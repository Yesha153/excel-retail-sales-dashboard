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hahn\Desktop\Projects\excel-sales-dashboard\"/>
    </mc:Choice>
  </mc:AlternateContent>
  <xr:revisionPtr revIDLastSave="0" documentId="13_ncr:1_{55571D92-BF26-4F73-A009-A71388F2AE74}" xr6:coauthVersionLast="47" xr6:coauthVersionMax="47" xr10:uidLastSave="{00000000-0000-0000-0000-000000000000}"/>
  <bookViews>
    <workbookView xWindow="-108" yWindow="-108" windowWidth="23256" windowHeight="12456" firstSheet="1" activeTab="8" xr2:uid="{00000000-000D-0000-FFFF-FFFF00000000}"/>
  </bookViews>
  <sheets>
    <sheet name="Customers" sheetId="1" r:id="rId1"/>
    <sheet name="Products" sheetId="2" r:id="rId2"/>
    <sheet name="Stores" sheetId="3" r:id="rId3"/>
    <sheet name="Sheet1" sheetId="5" r:id="rId4"/>
    <sheet name="Sheet2" sheetId="6" r:id="rId5"/>
    <sheet name="Sheet3" sheetId="7" r:id="rId6"/>
    <sheet name="Sheet4" sheetId="8" r:id="rId7"/>
    <sheet name="Transactions" sheetId="4" r:id="rId8"/>
    <sheet name="Dashboard" sheetId="9" r:id="rId9"/>
  </sheets>
  <definedNames>
    <definedName name="Slicer_Category">#N/A</definedName>
    <definedName name="Slicer_StoreLocation">#N/A</definedName>
  </definedNames>
  <calcPr calcId="181029"/>
  <pivotCaches>
    <pivotCache cacheId="9"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4" l="1"/>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N4804" i="4"/>
  <c r="N4805" i="4"/>
  <c r="N4806" i="4"/>
  <c r="N4807" i="4"/>
  <c r="N4808" i="4"/>
  <c r="N4809" i="4"/>
  <c r="N4810" i="4"/>
  <c r="N4811" i="4"/>
  <c r="N4812" i="4"/>
  <c r="N4813" i="4"/>
  <c r="N4814" i="4"/>
  <c r="N4815" i="4"/>
  <c r="N4816" i="4"/>
  <c r="N4817" i="4"/>
  <c r="N4818" i="4"/>
  <c r="N4819" i="4"/>
  <c r="N4820" i="4"/>
  <c r="N4821" i="4"/>
  <c r="N4822" i="4"/>
  <c r="N4823" i="4"/>
  <c r="N4824" i="4"/>
  <c r="N4825" i="4"/>
  <c r="N4826" i="4"/>
  <c r="N4827" i="4"/>
  <c r="N4828" i="4"/>
  <c r="N4829" i="4"/>
  <c r="N4830" i="4"/>
  <c r="N4831" i="4"/>
  <c r="N4832" i="4"/>
  <c r="N4833" i="4"/>
  <c r="N4834" i="4"/>
  <c r="N4835" i="4"/>
  <c r="N4836" i="4"/>
  <c r="N4837" i="4"/>
  <c r="N4838" i="4"/>
  <c r="N4839" i="4"/>
  <c r="N4840" i="4"/>
  <c r="N4841" i="4"/>
  <c r="N4842" i="4"/>
  <c r="N4843" i="4"/>
  <c r="N4844" i="4"/>
  <c r="N4845" i="4"/>
  <c r="N4846" i="4"/>
  <c r="N4847" i="4"/>
  <c r="N4848" i="4"/>
  <c r="N4849" i="4"/>
  <c r="N4850" i="4"/>
  <c r="N4851" i="4"/>
  <c r="N4852" i="4"/>
  <c r="N4853" i="4"/>
  <c r="N4854" i="4"/>
  <c r="N4855" i="4"/>
  <c r="N4856" i="4"/>
  <c r="N4857" i="4"/>
  <c r="N4858" i="4"/>
  <c r="N4859" i="4"/>
  <c r="N4860" i="4"/>
  <c r="N4861" i="4"/>
  <c r="N4862" i="4"/>
  <c r="N4863" i="4"/>
  <c r="N4864" i="4"/>
  <c r="N4865" i="4"/>
  <c r="N4866" i="4"/>
  <c r="N4867" i="4"/>
  <c r="N4868" i="4"/>
  <c r="N4869" i="4"/>
  <c r="N4870" i="4"/>
  <c r="N4871" i="4"/>
  <c r="N4872" i="4"/>
  <c r="N4873" i="4"/>
  <c r="N4874" i="4"/>
  <c r="N4875" i="4"/>
  <c r="N4876" i="4"/>
  <c r="N4877" i="4"/>
  <c r="N4878" i="4"/>
  <c r="N4879" i="4"/>
  <c r="N4880" i="4"/>
  <c r="N4881" i="4"/>
  <c r="N4882" i="4"/>
  <c r="N4883" i="4"/>
  <c r="N4884" i="4"/>
  <c r="N4885" i="4"/>
  <c r="N4886" i="4"/>
  <c r="N4887" i="4"/>
  <c r="N4888" i="4"/>
  <c r="N4889" i="4"/>
  <c r="N4890" i="4"/>
  <c r="N4891" i="4"/>
  <c r="N4892" i="4"/>
  <c r="N4893" i="4"/>
  <c r="N4894" i="4"/>
  <c r="N4895" i="4"/>
  <c r="N4896" i="4"/>
  <c r="N4897" i="4"/>
  <c r="N4898" i="4"/>
  <c r="N4899" i="4"/>
  <c r="N4900" i="4"/>
  <c r="N4901" i="4"/>
  <c r="N4902" i="4"/>
  <c r="N4903" i="4"/>
  <c r="N4904" i="4"/>
  <c r="N4905" i="4"/>
  <c r="N4906" i="4"/>
  <c r="N4907" i="4"/>
  <c r="N4908" i="4"/>
  <c r="N4909" i="4"/>
  <c r="N4910" i="4"/>
  <c r="N4911" i="4"/>
  <c r="N4912" i="4"/>
  <c r="N4913" i="4"/>
  <c r="N4914" i="4"/>
  <c r="N4915" i="4"/>
  <c r="N4916" i="4"/>
  <c r="N4917" i="4"/>
  <c r="N4918" i="4"/>
  <c r="N4919" i="4"/>
  <c r="N4920" i="4"/>
  <c r="N4921" i="4"/>
  <c r="N4922" i="4"/>
  <c r="N4923" i="4"/>
  <c r="N4924" i="4"/>
  <c r="N4925" i="4"/>
  <c r="N4926" i="4"/>
  <c r="N4927" i="4"/>
  <c r="N4928" i="4"/>
  <c r="N4929" i="4"/>
  <c r="N4930" i="4"/>
  <c r="N4931" i="4"/>
  <c r="N4932" i="4"/>
  <c r="N4933" i="4"/>
  <c r="N4934" i="4"/>
  <c r="N4935" i="4"/>
  <c r="N4936" i="4"/>
  <c r="N4937" i="4"/>
  <c r="N4938" i="4"/>
  <c r="N4939" i="4"/>
  <c r="N4940" i="4"/>
  <c r="N4941" i="4"/>
  <c r="N4942" i="4"/>
  <c r="N4943" i="4"/>
  <c r="N4944" i="4"/>
  <c r="N4945" i="4"/>
  <c r="N4946" i="4"/>
  <c r="N4947" i="4"/>
  <c r="N4948" i="4"/>
  <c r="N4949" i="4"/>
  <c r="N4950" i="4"/>
  <c r="N4951" i="4"/>
  <c r="N4952" i="4"/>
  <c r="N4953" i="4"/>
  <c r="N4954" i="4"/>
  <c r="N4955" i="4"/>
  <c r="N4956" i="4"/>
  <c r="N4957" i="4"/>
  <c r="N4958" i="4"/>
  <c r="N4959" i="4"/>
  <c r="N4960" i="4"/>
  <c r="N4961" i="4"/>
  <c r="N4962" i="4"/>
  <c r="N4963" i="4"/>
  <c r="N4964" i="4"/>
  <c r="N4965" i="4"/>
  <c r="N4966" i="4"/>
  <c r="N4967" i="4"/>
  <c r="N4968" i="4"/>
  <c r="N4969" i="4"/>
  <c r="N4970" i="4"/>
  <c r="N4971" i="4"/>
  <c r="N4972" i="4"/>
  <c r="N4973" i="4"/>
  <c r="N4974" i="4"/>
  <c r="N4975" i="4"/>
  <c r="N4976" i="4"/>
  <c r="N4977" i="4"/>
  <c r="N4978" i="4"/>
  <c r="N4979" i="4"/>
  <c r="N4980" i="4"/>
  <c r="N4981" i="4"/>
  <c r="N4982" i="4"/>
  <c r="N4983" i="4"/>
  <c r="N4984" i="4"/>
  <c r="N4985" i="4"/>
  <c r="N4986" i="4"/>
  <c r="N4987" i="4"/>
  <c r="N4988" i="4"/>
  <c r="N4989" i="4"/>
  <c r="N4990" i="4"/>
  <c r="N4991" i="4"/>
  <c r="N4992" i="4"/>
  <c r="N4993" i="4"/>
  <c r="N4994" i="4"/>
  <c r="N4995" i="4"/>
  <c r="N4996" i="4"/>
  <c r="N4997" i="4"/>
  <c r="N4998" i="4"/>
  <c r="N4999" i="4"/>
  <c r="N5000" i="4"/>
  <c r="N5001"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L3444" i="4"/>
  <c r="L3445" i="4"/>
  <c r="L3446" i="4"/>
  <c r="L3447" i="4"/>
  <c r="L3448" i="4"/>
  <c r="L3449" i="4"/>
  <c r="L3450" i="4"/>
  <c r="L3451" i="4"/>
  <c r="L3452" i="4"/>
  <c r="L3453" i="4"/>
  <c r="L3454" i="4"/>
  <c r="L3455" i="4"/>
  <c r="L3456" i="4"/>
  <c r="L3457" i="4"/>
  <c r="L3458" i="4"/>
  <c r="L3459" i="4"/>
  <c r="L3460" i="4"/>
  <c r="L3461" i="4"/>
  <c r="L3462" i="4"/>
  <c r="L3463" i="4"/>
  <c r="L3464" i="4"/>
  <c r="L3465" i="4"/>
  <c r="L3466" i="4"/>
  <c r="L3467" i="4"/>
  <c r="L3468" i="4"/>
  <c r="L3469" i="4"/>
  <c r="L3470" i="4"/>
  <c r="L3471" i="4"/>
  <c r="L3472" i="4"/>
  <c r="L3473" i="4"/>
  <c r="L3474" i="4"/>
  <c r="L3475" i="4"/>
  <c r="L3476" i="4"/>
  <c r="L3477" i="4"/>
  <c r="L3478" i="4"/>
  <c r="L3479" i="4"/>
  <c r="L3480" i="4"/>
  <c r="L3481" i="4"/>
  <c r="L3482" i="4"/>
  <c r="L3483" i="4"/>
  <c r="L3484" i="4"/>
  <c r="L3485" i="4"/>
  <c r="L3486" i="4"/>
  <c r="L3487" i="4"/>
  <c r="L3488" i="4"/>
  <c r="L3489" i="4"/>
  <c r="L3490" i="4"/>
  <c r="L3491" i="4"/>
  <c r="L3492" i="4"/>
  <c r="L3493" i="4"/>
  <c r="L3494" i="4"/>
  <c r="L3495" i="4"/>
  <c r="L3496" i="4"/>
  <c r="L3497" i="4"/>
  <c r="L3498" i="4"/>
  <c r="L3499" i="4"/>
  <c r="L3500" i="4"/>
  <c r="L3501" i="4"/>
  <c r="L3502" i="4"/>
  <c r="L3503" i="4"/>
  <c r="L3504" i="4"/>
  <c r="L3505" i="4"/>
  <c r="L3506" i="4"/>
  <c r="L3507" i="4"/>
  <c r="L3508" i="4"/>
  <c r="L3509" i="4"/>
  <c r="L3510" i="4"/>
  <c r="L3511" i="4"/>
  <c r="L3512" i="4"/>
  <c r="L3513" i="4"/>
  <c r="L3514" i="4"/>
  <c r="L3515" i="4"/>
  <c r="L3516" i="4"/>
  <c r="L3517" i="4"/>
  <c r="L3518" i="4"/>
  <c r="L3519" i="4"/>
  <c r="L3520" i="4"/>
  <c r="L3521" i="4"/>
  <c r="L3522" i="4"/>
  <c r="L3523" i="4"/>
  <c r="L3524" i="4"/>
  <c r="L3525" i="4"/>
  <c r="L3526" i="4"/>
  <c r="L3527" i="4"/>
  <c r="L3528" i="4"/>
  <c r="L3529" i="4"/>
  <c r="L3530" i="4"/>
  <c r="L3531" i="4"/>
  <c r="L3532" i="4"/>
  <c r="L3533" i="4"/>
  <c r="L3534" i="4"/>
  <c r="L3535" i="4"/>
  <c r="L3536" i="4"/>
  <c r="L3537" i="4"/>
  <c r="L3538" i="4"/>
  <c r="L3539" i="4"/>
  <c r="L3540" i="4"/>
  <c r="L3541" i="4"/>
  <c r="L3542" i="4"/>
  <c r="L3543" i="4"/>
  <c r="L3544" i="4"/>
  <c r="L3545" i="4"/>
  <c r="L3546" i="4"/>
  <c r="L3547" i="4"/>
  <c r="L3548" i="4"/>
  <c r="L3549" i="4"/>
  <c r="L3550" i="4"/>
  <c r="L3551" i="4"/>
  <c r="L3552" i="4"/>
  <c r="L3553" i="4"/>
  <c r="L3554" i="4"/>
  <c r="L3555" i="4"/>
  <c r="L3556" i="4"/>
  <c r="L3557" i="4"/>
  <c r="L3558" i="4"/>
  <c r="L3559" i="4"/>
  <c r="L3560" i="4"/>
  <c r="L3561" i="4"/>
  <c r="L3562" i="4"/>
  <c r="L3563" i="4"/>
  <c r="L3564" i="4"/>
  <c r="L3565" i="4"/>
  <c r="L3566" i="4"/>
  <c r="L3567" i="4"/>
  <c r="L3568" i="4"/>
  <c r="L3569" i="4"/>
  <c r="L3570" i="4"/>
  <c r="L3571" i="4"/>
  <c r="L3572" i="4"/>
  <c r="L3573" i="4"/>
  <c r="L3574" i="4"/>
  <c r="L3575" i="4"/>
  <c r="L3576" i="4"/>
  <c r="L3577" i="4"/>
  <c r="L3578" i="4"/>
  <c r="L3579" i="4"/>
  <c r="L3580" i="4"/>
  <c r="L3581" i="4"/>
  <c r="L3582" i="4"/>
  <c r="L3583" i="4"/>
  <c r="L3584" i="4"/>
  <c r="L3585" i="4"/>
  <c r="L3586" i="4"/>
  <c r="L3587" i="4"/>
  <c r="L3588" i="4"/>
  <c r="L3589" i="4"/>
  <c r="L3590" i="4"/>
  <c r="L3591" i="4"/>
  <c r="L3592" i="4"/>
  <c r="L3593" i="4"/>
  <c r="L3594" i="4"/>
  <c r="L3595" i="4"/>
  <c r="L3596" i="4"/>
  <c r="L3597" i="4"/>
  <c r="L3598" i="4"/>
  <c r="L3599" i="4"/>
  <c r="L3600" i="4"/>
  <c r="L3601" i="4"/>
  <c r="L3602" i="4"/>
  <c r="L3603" i="4"/>
  <c r="L3604" i="4"/>
  <c r="L3605" i="4"/>
  <c r="L3606" i="4"/>
  <c r="L3607" i="4"/>
  <c r="L3608" i="4"/>
  <c r="L3609" i="4"/>
  <c r="L3610" i="4"/>
  <c r="L3611" i="4"/>
  <c r="L3612" i="4"/>
  <c r="L3613" i="4"/>
  <c r="L3614" i="4"/>
  <c r="L3615" i="4"/>
  <c r="L3616" i="4"/>
  <c r="L3617" i="4"/>
  <c r="L3618" i="4"/>
  <c r="L3619" i="4"/>
  <c r="L3620" i="4"/>
  <c r="L3621" i="4"/>
  <c r="L3622" i="4"/>
  <c r="L3623" i="4"/>
  <c r="L3624" i="4"/>
  <c r="L3625" i="4"/>
  <c r="L3626" i="4"/>
  <c r="L3627" i="4"/>
  <c r="L3628" i="4"/>
  <c r="L3629" i="4"/>
  <c r="L3630" i="4"/>
  <c r="L3631" i="4"/>
  <c r="L3632" i="4"/>
  <c r="L3633" i="4"/>
  <c r="L3634" i="4"/>
  <c r="L3635" i="4"/>
  <c r="L3636" i="4"/>
  <c r="L3637" i="4"/>
  <c r="L3638" i="4"/>
  <c r="L3639" i="4"/>
  <c r="L3640" i="4"/>
  <c r="L3641" i="4"/>
  <c r="L3642" i="4"/>
  <c r="L3643" i="4"/>
  <c r="L3644" i="4"/>
  <c r="L3645" i="4"/>
  <c r="L3646" i="4"/>
  <c r="L3647" i="4"/>
  <c r="L3648" i="4"/>
  <c r="L3649" i="4"/>
  <c r="L3650" i="4"/>
  <c r="L3651" i="4"/>
  <c r="L3652" i="4"/>
  <c r="L3653" i="4"/>
  <c r="L3654" i="4"/>
  <c r="L3655" i="4"/>
  <c r="L3656" i="4"/>
  <c r="L3657" i="4"/>
  <c r="L3658" i="4"/>
  <c r="L3659" i="4"/>
  <c r="L3660" i="4"/>
  <c r="L3661" i="4"/>
  <c r="L3662" i="4"/>
  <c r="L3663" i="4"/>
  <c r="L3664" i="4"/>
  <c r="L3665" i="4"/>
  <c r="L3666" i="4"/>
  <c r="L3667" i="4"/>
  <c r="L3668" i="4"/>
  <c r="L3669" i="4"/>
  <c r="L3670" i="4"/>
  <c r="L3671" i="4"/>
  <c r="L3672" i="4"/>
  <c r="L3673" i="4"/>
  <c r="L3674" i="4"/>
  <c r="L3675" i="4"/>
  <c r="L3676" i="4"/>
  <c r="L3677" i="4"/>
  <c r="L3678" i="4"/>
  <c r="L3679" i="4"/>
  <c r="L3680" i="4"/>
  <c r="L3681" i="4"/>
  <c r="L3682" i="4"/>
  <c r="L3683" i="4"/>
  <c r="L3684" i="4"/>
  <c r="L3685" i="4"/>
  <c r="L3686" i="4"/>
  <c r="L3687" i="4"/>
  <c r="L3688" i="4"/>
  <c r="L3689" i="4"/>
  <c r="L3690" i="4"/>
  <c r="L3691" i="4"/>
  <c r="L3692" i="4"/>
  <c r="L3693" i="4"/>
  <c r="L3694" i="4"/>
  <c r="L3695" i="4"/>
  <c r="L3696" i="4"/>
  <c r="L3697" i="4"/>
  <c r="L3698" i="4"/>
  <c r="L3699" i="4"/>
  <c r="L3700" i="4"/>
  <c r="L3701" i="4"/>
  <c r="L3702" i="4"/>
  <c r="L3703" i="4"/>
  <c r="L3704" i="4"/>
  <c r="L3705" i="4"/>
  <c r="L3706" i="4"/>
  <c r="L3707" i="4"/>
  <c r="L3708" i="4"/>
  <c r="L3709" i="4"/>
  <c r="L3710" i="4"/>
  <c r="L3711" i="4"/>
  <c r="L3712" i="4"/>
  <c r="L3713" i="4"/>
  <c r="L3714" i="4"/>
  <c r="L3715" i="4"/>
  <c r="L3716" i="4"/>
  <c r="L3717" i="4"/>
  <c r="L3718" i="4"/>
  <c r="L3719" i="4"/>
  <c r="L3720" i="4"/>
  <c r="L3721" i="4"/>
  <c r="L3722" i="4"/>
  <c r="L3723" i="4"/>
  <c r="L3724" i="4"/>
  <c r="L3725" i="4"/>
  <c r="L3726" i="4"/>
  <c r="L3727" i="4"/>
  <c r="L3728" i="4"/>
  <c r="L3729" i="4"/>
  <c r="L3730" i="4"/>
  <c r="L3731" i="4"/>
  <c r="L3732" i="4"/>
  <c r="L3733" i="4"/>
  <c r="L3734" i="4"/>
  <c r="L3735" i="4"/>
  <c r="L3736" i="4"/>
  <c r="L3737" i="4"/>
  <c r="L3738" i="4"/>
  <c r="L3739" i="4"/>
  <c r="L3740" i="4"/>
  <c r="L3741" i="4"/>
  <c r="L3742" i="4"/>
  <c r="L3743" i="4"/>
  <c r="L3744" i="4"/>
  <c r="L3745" i="4"/>
  <c r="L3746" i="4"/>
  <c r="L3747" i="4"/>
  <c r="L3748" i="4"/>
  <c r="L3749" i="4"/>
  <c r="L3750" i="4"/>
  <c r="L3751" i="4"/>
  <c r="L3752" i="4"/>
  <c r="L3753" i="4"/>
  <c r="L3754" i="4"/>
  <c r="L3755" i="4"/>
  <c r="L3756" i="4"/>
  <c r="L3757" i="4"/>
  <c r="L3758" i="4"/>
  <c r="L3759" i="4"/>
  <c r="L3760" i="4"/>
  <c r="L3761" i="4"/>
  <c r="L3762" i="4"/>
  <c r="L3763" i="4"/>
  <c r="L3764" i="4"/>
  <c r="L3765" i="4"/>
  <c r="L3766" i="4"/>
  <c r="L3767" i="4"/>
  <c r="L3768" i="4"/>
  <c r="L3769" i="4"/>
  <c r="L3770" i="4"/>
  <c r="L3771" i="4"/>
  <c r="L3772" i="4"/>
  <c r="L3773" i="4"/>
  <c r="L3774" i="4"/>
  <c r="L3775" i="4"/>
  <c r="L3776" i="4"/>
  <c r="L3777" i="4"/>
  <c r="L3778" i="4"/>
  <c r="L3779" i="4"/>
  <c r="L3780" i="4"/>
  <c r="L3781" i="4"/>
  <c r="L3782" i="4"/>
  <c r="L3783" i="4"/>
  <c r="L3784" i="4"/>
  <c r="L3785" i="4"/>
  <c r="L3786" i="4"/>
  <c r="L3787" i="4"/>
  <c r="L3788" i="4"/>
  <c r="L3789" i="4"/>
  <c r="L3790" i="4"/>
  <c r="L3791" i="4"/>
  <c r="L3792" i="4"/>
  <c r="L3793" i="4"/>
  <c r="L3794" i="4"/>
  <c r="L3795" i="4"/>
  <c r="L3796" i="4"/>
  <c r="L3797" i="4"/>
  <c r="L3798" i="4"/>
  <c r="L3799" i="4"/>
  <c r="L3800" i="4"/>
  <c r="L3801" i="4"/>
  <c r="L3802" i="4"/>
  <c r="L3803" i="4"/>
  <c r="L3804" i="4"/>
  <c r="L3805" i="4"/>
  <c r="L3806" i="4"/>
  <c r="L3807" i="4"/>
  <c r="L3808" i="4"/>
  <c r="L3809" i="4"/>
  <c r="L3810" i="4"/>
  <c r="L3811" i="4"/>
  <c r="L3812" i="4"/>
  <c r="L3813" i="4"/>
  <c r="L3814" i="4"/>
  <c r="L3815" i="4"/>
  <c r="L3816" i="4"/>
  <c r="L3817" i="4"/>
  <c r="L3818" i="4"/>
  <c r="L3819" i="4"/>
  <c r="L3820" i="4"/>
  <c r="L3821" i="4"/>
  <c r="L3822" i="4"/>
  <c r="L3823" i="4"/>
  <c r="L3824" i="4"/>
  <c r="L3825" i="4"/>
  <c r="L3826" i="4"/>
  <c r="L3827" i="4"/>
  <c r="L3828" i="4"/>
  <c r="L3829" i="4"/>
  <c r="L3830" i="4"/>
  <c r="L3831" i="4"/>
  <c r="L3832" i="4"/>
  <c r="L3833" i="4"/>
  <c r="L3834" i="4"/>
  <c r="L3835" i="4"/>
  <c r="L3836" i="4"/>
  <c r="L3837" i="4"/>
  <c r="L3838" i="4"/>
  <c r="L3839" i="4"/>
  <c r="L3840" i="4"/>
  <c r="L3841" i="4"/>
  <c r="L3842" i="4"/>
  <c r="L3843" i="4"/>
  <c r="L3844" i="4"/>
  <c r="L3845" i="4"/>
  <c r="L3846" i="4"/>
  <c r="L3847" i="4"/>
  <c r="L3848" i="4"/>
  <c r="L3849" i="4"/>
  <c r="L3850" i="4"/>
  <c r="L3851" i="4"/>
  <c r="L3852" i="4"/>
  <c r="L3853" i="4"/>
  <c r="L3854" i="4"/>
  <c r="L3855" i="4"/>
  <c r="L3856" i="4"/>
  <c r="L3857" i="4"/>
  <c r="L3858" i="4"/>
  <c r="L3859" i="4"/>
  <c r="L3860" i="4"/>
  <c r="L3861" i="4"/>
  <c r="L3862" i="4"/>
  <c r="L3863" i="4"/>
  <c r="L3864" i="4"/>
  <c r="L3865" i="4"/>
  <c r="L3866" i="4"/>
  <c r="L3867" i="4"/>
  <c r="L3868" i="4"/>
  <c r="L3869" i="4"/>
  <c r="L3870" i="4"/>
  <c r="L3871" i="4"/>
  <c r="L3872" i="4"/>
  <c r="L3873" i="4"/>
  <c r="L3874" i="4"/>
  <c r="L3875" i="4"/>
  <c r="L3876" i="4"/>
  <c r="L3877" i="4"/>
  <c r="L3878" i="4"/>
  <c r="L3879" i="4"/>
  <c r="L3880" i="4"/>
  <c r="L3881" i="4"/>
  <c r="L3882" i="4"/>
  <c r="L3883" i="4"/>
  <c r="L3884" i="4"/>
  <c r="L3885" i="4"/>
  <c r="L3886" i="4"/>
  <c r="L3887" i="4"/>
  <c r="L3888" i="4"/>
  <c r="L3889" i="4"/>
  <c r="L3890" i="4"/>
  <c r="L3891" i="4"/>
  <c r="L3892" i="4"/>
  <c r="L3893" i="4"/>
  <c r="L3894" i="4"/>
  <c r="L3895" i="4"/>
  <c r="L3896" i="4"/>
  <c r="L3897" i="4"/>
  <c r="L3898" i="4"/>
  <c r="L3899" i="4"/>
  <c r="L3900" i="4"/>
  <c r="L3901" i="4"/>
  <c r="L3902" i="4"/>
  <c r="L3903" i="4"/>
  <c r="L3904" i="4"/>
  <c r="L3905" i="4"/>
  <c r="L3906" i="4"/>
  <c r="L3907" i="4"/>
  <c r="L3908" i="4"/>
  <c r="L3909" i="4"/>
  <c r="L3910" i="4"/>
  <c r="L3911" i="4"/>
  <c r="L3912" i="4"/>
  <c r="L3913" i="4"/>
  <c r="L3914" i="4"/>
  <c r="L3915" i="4"/>
  <c r="L3916" i="4"/>
  <c r="L3917" i="4"/>
  <c r="L3918" i="4"/>
  <c r="L3919" i="4"/>
  <c r="L3920" i="4"/>
  <c r="L3921" i="4"/>
  <c r="L3922" i="4"/>
  <c r="L3923" i="4"/>
  <c r="L3924" i="4"/>
  <c r="L3925" i="4"/>
  <c r="L3926" i="4"/>
  <c r="L3927" i="4"/>
  <c r="L3928" i="4"/>
  <c r="L3929" i="4"/>
  <c r="L3930" i="4"/>
  <c r="L3931" i="4"/>
  <c r="L3932" i="4"/>
  <c r="L3933" i="4"/>
  <c r="L3934" i="4"/>
  <c r="L3935" i="4"/>
  <c r="L3936" i="4"/>
  <c r="L3937" i="4"/>
  <c r="L3938" i="4"/>
  <c r="L3939" i="4"/>
  <c r="L3940" i="4"/>
  <c r="L3941" i="4"/>
  <c r="L3942" i="4"/>
  <c r="L3943" i="4"/>
  <c r="L3944" i="4"/>
  <c r="L3945" i="4"/>
  <c r="L3946" i="4"/>
  <c r="L3947" i="4"/>
  <c r="L3948" i="4"/>
  <c r="L3949" i="4"/>
  <c r="L3950" i="4"/>
  <c r="L3951" i="4"/>
  <c r="L3952" i="4"/>
  <c r="L3953" i="4"/>
  <c r="L3954" i="4"/>
  <c r="L3955" i="4"/>
  <c r="L3956" i="4"/>
  <c r="L3957" i="4"/>
  <c r="L3958" i="4"/>
  <c r="L3959" i="4"/>
  <c r="L3960" i="4"/>
  <c r="L3961" i="4"/>
  <c r="L3962" i="4"/>
  <c r="L3963" i="4"/>
  <c r="L3964" i="4"/>
  <c r="L3965" i="4"/>
  <c r="L3966" i="4"/>
  <c r="L3967" i="4"/>
  <c r="L3968" i="4"/>
  <c r="L3969" i="4"/>
  <c r="L3970" i="4"/>
  <c r="L3971" i="4"/>
  <c r="L3972" i="4"/>
  <c r="L3973" i="4"/>
  <c r="L3974" i="4"/>
  <c r="L3975" i="4"/>
  <c r="L3976" i="4"/>
  <c r="L3977" i="4"/>
  <c r="L3978" i="4"/>
  <c r="L3979" i="4"/>
  <c r="L3980" i="4"/>
  <c r="L3981" i="4"/>
  <c r="L3982" i="4"/>
  <c r="L3983" i="4"/>
  <c r="L3984" i="4"/>
  <c r="L3985" i="4"/>
  <c r="L3986" i="4"/>
  <c r="L3987" i="4"/>
  <c r="L3988" i="4"/>
  <c r="L3989" i="4"/>
  <c r="L3990" i="4"/>
  <c r="L3991" i="4"/>
  <c r="L3992" i="4"/>
  <c r="L3993" i="4"/>
  <c r="L3994" i="4"/>
  <c r="L3995" i="4"/>
  <c r="L3996" i="4"/>
  <c r="L3997" i="4"/>
  <c r="L3998" i="4"/>
  <c r="L3999" i="4"/>
  <c r="L4000" i="4"/>
  <c r="L4001" i="4"/>
  <c r="L4002" i="4"/>
  <c r="L4003" i="4"/>
  <c r="L4004" i="4"/>
  <c r="L4005" i="4"/>
  <c r="L4006" i="4"/>
  <c r="L4007" i="4"/>
  <c r="L4008" i="4"/>
  <c r="L4009" i="4"/>
  <c r="L4010" i="4"/>
  <c r="L4011" i="4"/>
  <c r="L4012" i="4"/>
  <c r="L4013" i="4"/>
  <c r="L4014" i="4"/>
  <c r="L4015" i="4"/>
  <c r="L4016" i="4"/>
  <c r="L4017" i="4"/>
  <c r="L4018" i="4"/>
  <c r="L4019" i="4"/>
  <c r="L4020" i="4"/>
  <c r="L4021" i="4"/>
  <c r="L4022" i="4"/>
  <c r="L4023" i="4"/>
  <c r="L4024" i="4"/>
  <c r="L4025" i="4"/>
  <c r="L4026" i="4"/>
  <c r="L4027" i="4"/>
  <c r="L4028" i="4"/>
  <c r="L4029" i="4"/>
  <c r="L4030" i="4"/>
  <c r="L4031" i="4"/>
  <c r="L4032" i="4"/>
  <c r="L4033" i="4"/>
  <c r="L4034" i="4"/>
  <c r="L4035" i="4"/>
  <c r="L4036" i="4"/>
  <c r="L4037" i="4"/>
  <c r="L4038" i="4"/>
  <c r="L4039" i="4"/>
  <c r="L4040" i="4"/>
  <c r="L4041" i="4"/>
  <c r="L4042" i="4"/>
  <c r="L4043" i="4"/>
  <c r="L4044" i="4"/>
  <c r="L4045" i="4"/>
  <c r="L4046" i="4"/>
  <c r="L4047" i="4"/>
  <c r="L4048" i="4"/>
  <c r="L4049" i="4"/>
  <c r="L4050" i="4"/>
  <c r="L4051" i="4"/>
  <c r="L4052" i="4"/>
  <c r="L4053" i="4"/>
  <c r="L4054" i="4"/>
  <c r="L4055" i="4"/>
  <c r="L4056" i="4"/>
  <c r="L4057" i="4"/>
  <c r="L4058" i="4"/>
  <c r="L4059" i="4"/>
  <c r="L4060" i="4"/>
  <c r="L4061" i="4"/>
  <c r="L4062" i="4"/>
  <c r="L4063" i="4"/>
  <c r="L4064" i="4"/>
  <c r="L4065" i="4"/>
  <c r="L4066" i="4"/>
  <c r="L4067" i="4"/>
  <c r="L4068" i="4"/>
  <c r="L4069" i="4"/>
  <c r="L4070" i="4"/>
  <c r="L4071" i="4"/>
  <c r="L4072" i="4"/>
  <c r="L4073" i="4"/>
  <c r="L4074" i="4"/>
  <c r="L4075" i="4"/>
  <c r="L4076" i="4"/>
  <c r="L4077" i="4"/>
  <c r="L4078" i="4"/>
  <c r="L4079" i="4"/>
  <c r="L4080" i="4"/>
  <c r="L4081" i="4"/>
  <c r="L4082" i="4"/>
  <c r="L4083" i="4"/>
  <c r="L4084" i="4"/>
  <c r="L4085" i="4"/>
  <c r="L4086" i="4"/>
  <c r="L4087" i="4"/>
  <c r="L4088" i="4"/>
  <c r="L4089" i="4"/>
  <c r="L4090" i="4"/>
  <c r="L4091" i="4"/>
  <c r="L4092" i="4"/>
  <c r="L4093" i="4"/>
  <c r="L4094" i="4"/>
  <c r="L4095" i="4"/>
  <c r="L4096" i="4"/>
  <c r="L4097" i="4"/>
  <c r="L4098" i="4"/>
  <c r="L4099" i="4"/>
  <c r="L4100" i="4"/>
  <c r="L4101" i="4"/>
  <c r="L4102" i="4"/>
  <c r="L4103" i="4"/>
  <c r="L4104" i="4"/>
  <c r="L4105" i="4"/>
  <c r="L4106" i="4"/>
  <c r="L4107" i="4"/>
  <c r="L4108" i="4"/>
  <c r="L4109" i="4"/>
  <c r="L4110" i="4"/>
  <c r="L4111" i="4"/>
  <c r="L4112" i="4"/>
  <c r="L4113" i="4"/>
  <c r="L4114" i="4"/>
  <c r="L4115" i="4"/>
  <c r="L4116" i="4"/>
  <c r="L4117" i="4"/>
  <c r="L4118" i="4"/>
  <c r="L4119" i="4"/>
  <c r="L4120" i="4"/>
  <c r="L4121" i="4"/>
  <c r="L4122" i="4"/>
  <c r="L4123" i="4"/>
  <c r="L4124" i="4"/>
  <c r="L4125" i="4"/>
  <c r="L4126" i="4"/>
  <c r="L4127" i="4"/>
  <c r="L4128" i="4"/>
  <c r="L4129" i="4"/>
  <c r="L4130" i="4"/>
  <c r="L4131" i="4"/>
  <c r="L4132" i="4"/>
  <c r="L4133" i="4"/>
  <c r="L4134" i="4"/>
  <c r="L4135" i="4"/>
  <c r="L4136" i="4"/>
  <c r="L4137" i="4"/>
  <c r="L4138" i="4"/>
  <c r="L4139" i="4"/>
  <c r="L4140" i="4"/>
  <c r="L4141" i="4"/>
  <c r="L4142" i="4"/>
  <c r="L4143" i="4"/>
  <c r="L4144" i="4"/>
  <c r="L4145" i="4"/>
  <c r="L4146" i="4"/>
  <c r="L4147" i="4"/>
  <c r="L4148" i="4"/>
  <c r="L4149" i="4"/>
  <c r="L4150" i="4"/>
  <c r="L4151" i="4"/>
  <c r="L4152" i="4"/>
  <c r="L4153" i="4"/>
  <c r="L4154" i="4"/>
  <c r="L4155" i="4"/>
  <c r="L4156" i="4"/>
  <c r="L4157" i="4"/>
  <c r="L4158" i="4"/>
  <c r="L4159" i="4"/>
  <c r="L4160" i="4"/>
  <c r="L4161" i="4"/>
  <c r="L4162" i="4"/>
  <c r="L4163" i="4"/>
  <c r="L4164" i="4"/>
  <c r="L4165" i="4"/>
  <c r="L4166" i="4"/>
  <c r="L4167" i="4"/>
  <c r="L4168" i="4"/>
  <c r="L4169" i="4"/>
  <c r="L4170" i="4"/>
  <c r="L4171" i="4"/>
  <c r="L4172" i="4"/>
  <c r="L4173" i="4"/>
  <c r="L4174" i="4"/>
  <c r="L4175" i="4"/>
  <c r="L4176" i="4"/>
  <c r="L4177" i="4"/>
  <c r="L4178" i="4"/>
  <c r="L4179" i="4"/>
  <c r="L4180" i="4"/>
  <c r="L4181" i="4"/>
  <c r="L4182" i="4"/>
  <c r="L4183" i="4"/>
  <c r="L4184" i="4"/>
  <c r="L4185" i="4"/>
  <c r="L4186" i="4"/>
  <c r="L4187" i="4"/>
  <c r="L4188" i="4"/>
  <c r="L4189" i="4"/>
  <c r="L4190" i="4"/>
  <c r="L4191" i="4"/>
  <c r="L4192" i="4"/>
  <c r="L4193" i="4"/>
  <c r="L4194" i="4"/>
  <c r="L4195" i="4"/>
  <c r="L4196" i="4"/>
  <c r="L4197" i="4"/>
  <c r="L4198" i="4"/>
  <c r="L4199" i="4"/>
  <c r="L4200" i="4"/>
  <c r="L4201" i="4"/>
  <c r="L4202" i="4"/>
  <c r="L4203" i="4"/>
  <c r="L4204" i="4"/>
  <c r="L4205" i="4"/>
  <c r="L4206" i="4"/>
  <c r="L4207" i="4"/>
  <c r="L4208" i="4"/>
  <c r="L4209" i="4"/>
  <c r="L4210" i="4"/>
  <c r="L4211" i="4"/>
  <c r="L4212" i="4"/>
  <c r="L4213" i="4"/>
  <c r="L4214" i="4"/>
  <c r="L4215" i="4"/>
  <c r="L4216" i="4"/>
  <c r="L4217" i="4"/>
  <c r="L4218" i="4"/>
  <c r="L4219" i="4"/>
  <c r="L4220" i="4"/>
  <c r="L4221" i="4"/>
  <c r="L4222" i="4"/>
  <c r="L4223" i="4"/>
  <c r="L4224" i="4"/>
  <c r="L4225" i="4"/>
  <c r="L4226" i="4"/>
  <c r="L4227" i="4"/>
  <c r="L4228" i="4"/>
  <c r="L4229" i="4"/>
  <c r="L4230" i="4"/>
  <c r="L4231" i="4"/>
  <c r="L4232" i="4"/>
  <c r="L4233" i="4"/>
  <c r="L4234" i="4"/>
  <c r="L4235" i="4"/>
  <c r="L4236" i="4"/>
  <c r="L4237" i="4"/>
  <c r="L4238" i="4"/>
  <c r="L4239" i="4"/>
  <c r="L4240" i="4"/>
  <c r="L4241" i="4"/>
  <c r="L4242" i="4"/>
  <c r="L4243" i="4"/>
  <c r="L4244" i="4"/>
  <c r="L4245" i="4"/>
  <c r="L4246" i="4"/>
  <c r="L4247" i="4"/>
  <c r="L4248" i="4"/>
  <c r="L4249" i="4"/>
  <c r="L4250" i="4"/>
  <c r="L4251" i="4"/>
  <c r="L4252" i="4"/>
  <c r="L4253" i="4"/>
  <c r="L4254" i="4"/>
  <c r="L4255" i="4"/>
  <c r="L4256" i="4"/>
  <c r="L4257" i="4"/>
  <c r="L4258" i="4"/>
  <c r="L4259" i="4"/>
  <c r="L4260" i="4"/>
  <c r="L4261" i="4"/>
  <c r="L4262" i="4"/>
  <c r="L4263" i="4"/>
  <c r="L4264" i="4"/>
  <c r="L4265" i="4"/>
  <c r="L4266" i="4"/>
  <c r="L4267" i="4"/>
  <c r="L4268" i="4"/>
  <c r="L4269" i="4"/>
  <c r="L4270" i="4"/>
  <c r="L4271" i="4"/>
  <c r="L4272" i="4"/>
  <c r="L4273" i="4"/>
  <c r="L4274" i="4"/>
  <c r="L4275" i="4"/>
  <c r="L4276" i="4"/>
  <c r="L4277" i="4"/>
  <c r="L4278" i="4"/>
  <c r="L4279" i="4"/>
  <c r="L4280" i="4"/>
  <c r="L4281" i="4"/>
  <c r="L4282" i="4"/>
  <c r="L4283" i="4"/>
  <c r="L4284" i="4"/>
  <c r="L4285" i="4"/>
  <c r="L4286" i="4"/>
  <c r="L4287" i="4"/>
  <c r="L4288" i="4"/>
  <c r="L4289" i="4"/>
  <c r="L4290" i="4"/>
  <c r="L4291" i="4"/>
  <c r="L4292" i="4"/>
  <c r="L4293" i="4"/>
  <c r="L4294" i="4"/>
  <c r="L4295" i="4"/>
  <c r="L4296" i="4"/>
  <c r="L4297" i="4"/>
  <c r="L4298" i="4"/>
  <c r="L4299" i="4"/>
  <c r="L4300" i="4"/>
  <c r="L4301" i="4"/>
  <c r="L4302" i="4"/>
  <c r="L4303" i="4"/>
  <c r="L4304" i="4"/>
  <c r="L4305" i="4"/>
  <c r="L4306" i="4"/>
  <c r="L4307" i="4"/>
  <c r="L4308" i="4"/>
  <c r="L4309" i="4"/>
  <c r="L4310" i="4"/>
  <c r="L4311" i="4"/>
  <c r="L4312" i="4"/>
  <c r="L4313" i="4"/>
  <c r="L4314" i="4"/>
  <c r="L4315" i="4"/>
  <c r="L4316" i="4"/>
  <c r="L4317" i="4"/>
  <c r="L4318" i="4"/>
  <c r="L4319" i="4"/>
  <c r="L4320" i="4"/>
  <c r="L4321" i="4"/>
  <c r="L4322" i="4"/>
  <c r="L4323" i="4"/>
  <c r="L4324" i="4"/>
  <c r="L4325" i="4"/>
  <c r="L4326" i="4"/>
  <c r="L4327" i="4"/>
  <c r="L4328" i="4"/>
  <c r="L4329" i="4"/>
  <c r="L4330" i="4"/>
  <c r="L4331" i="4"/>
  <c r="L4332" i="4"/>
  <c r="L4333" i="4"/>
  <c r="L4334" i="4"/>
  <c r="L4335" i="4"/>
  <c r="L4336" i="4"/>
  <c r="L4337" i="4"/>
  <c r="L4338" i="4"/>
  <c r="L4339" i="4"/>
  <c r="L4340" i="4"/>
  <c r="L4341" i="4"/>
  <c r="L4342" i="4"/>
  <c r="L4343" i="4"/>
  <c r="L4344" i="4"/>
  <c r="L4345" i="4"/>
  <c r="L4346" i="4"/>
  <c r="L4347" i="4"/>
  <c r="L4348" i="4"/>
  <c r="L4349" i="4"/>
  <c r="L4350" i="4"/>
  <c r="L4351" i="4"/>
  <c r="L4352" i="4"/>
  <c r="L4353" i="4"/>
  <c r="L4354" i="4"/>
  <c r="L4355" i="4"/>
  <c r="L4356" i="4"/>
  <c r="L4357" i="4"/>
  <c r="L4358" i="4"/>
  <c r="L4359" i="4"/>
  <c r="L4360" i="4"/>
  <c r="L4361" i="4"/>
  <c r="L4362" i="4"/>
  <c r="L4363" i="4"/>
  <c r="L4364" i="4"/>
  <c r="L4365" i="4"/>
  <c r="L4366" i="4"/>
  <c r="L4367" i="4"/>
  <c r="L4368" i="4"/>
  <c r="L4369" i="4"/>
  <c r="L4370" i="4"/>
  <c r="L4371" i="4"/>
  <c r="L4372" i="4"/>
  <c r="L4373" i="4"/>
  <c r="L4374" i="4"/>
  <c r="L4375" i="4"/>
  <c r="L4376" i="4"/>
  <c r="L4377" i="4"/>
  <c r="L4378" i="4"/>
  <c r="L4379" i="4"/>
  <c r="L4380" i="4"/>
  <c r="L4381" i="4"/>
  <c r="L4382" i="4"/>
  <c r="L4383" i="4"/>
  <c r="L4384" i="4"/>
  <c r="L4385" i="4"/>
  <c r="L4386" i="4"/>
  <c r="L4387" i="4"/>
  <c r="L4388" i="4"/>
  <c r="L4389" i="4"/>
  <c r="L4390" i="4"/>
  <c r="L4391" i="4"/>
  <c r="L4392" i="4"/>
  <c r="L4393" i="4"/>
  <c r="L4394" i="4"/>
  <c r="L4395" i="4"/>
  <c r="L4396" i="4"/>
  <c r="L4397" i="4"/>
  <c r="L4398" i="4"/>
  <c r="L4399" i="4"/>
  <c r="L4400" i="4"/>
  <c r="L4401" i="4"/>
  <c r="L4402" i="4"/>
  <c r="L4403" i="4"/>
  <c r="L4404" i="4"/>
  <c r="L4405" i="4"/>
  <c r="L4406" i="4"/>
  <c r="L4407" i="4"/>
  <c r="L4408" i="4"/>
  <c r="L4409" i="4"/>
  <c r="L4410" i="4"/>
  <c r="L4411" i="4"/>
  <c r="L4412" i="4"/>
  <c r="L4413" i="4"/>
  <c r="L4414" i="4"/>
  <c r="L4415" i="4"/>
  <c r="L4416" i="4"/>
  <c r="L4417" i="4"/>
  <c r="L4418" i="4"/>
  <c r="L4419" i="4"/>
  <c r="L4420" i="4"/>
  <c r="L4421" i="4"/>
  <c r="L4422" i="4"/>
  <c r="L4423" i="4"/>
  <c r="L4424" i="4"/>
  <c r="L4425" i="4"/>
  <c r="L4426" i="4"/>
  <c r="L4427" i="4"/>
  <c r="L4428" i="4"/>
  <c r="L4429" i="4"/>
  <c r="L4430" i="4"/>
  <c r="L4431" i="4"/>
  <c r="L4432" i="4"/>
  <c r="L4433" i="4"/>
  <c r="L4434" i="4"/>
  <c r="L4435" i="4"/>
  <c r="L4436" i="4"/>
  <c r="L4437" i="4"/>
  <c r="L4438" i="4"/>
  <c r="L4439" i="4"/>
  <c r="L4440" i="4"/>
  <c r="L4441" i="4"/>
  <c r="L4442" i="4"/>
  <c r="L4443" i="4"/>
  <c r="L4444" i="4"/>
  <c r="L4445" i="4"/>
  <c r="L4446" i="4"/>
  <c r="L4447" i="4"/>
  <c r="L4448" i="4"/>
  <c r="L4449" i="4"/>
  <c r="L4450" i="4"/>
  <c r="L4451" i="4"/>
  <c r="L4452" i="4"/>
  <c r="L4453" i="4"/>
  <c r="L4454" i="4"/>
  <c r="L4455" i="4"/>
  <c r="L4456" i="4"/>
  <c r="L4457" i="4"/>
  <c r="L4458" i="4"/>
  <c r="L4459" i="4"/>
  <c r="L4460" i="4"/>
  <c r="L4461" i="4"/>
  <c r="L4462" i="4"/>
  <c r="L4463" i="4"/>
  <c r="L4464" i="4"/>
  <c r="L4465" i="4"/>
  <c r="L4466" i="4"/>
  <c r="L4467" i="4"/>
  <c r="L4468" i="4"/>
  <c r="L4469" i="4"/>
  <c r="L4470" i="4"/>
  <c r="L4471" i="4"/>
  <c r="L4472" i="4"/>
  <c r="L4473" i="4"/>
  <c r="L4474" i="4"/>
  <c r="L4475" i="4"/>
  <c r="L4476" i="4"/>
  <c r="L4477" i="4"/>
  <c r="L4478" i="4"/>
  <c r="L4479" i="4"/>
  <c r="L4480" i="4"/>
  <c r="L4481" i="4"/>
  <c r="L4482" i="4"/>
  <c r="L4483" i="4"/>
  <c r="L4484" i="4"/>
  <c r="L4485" i="4"/>
  <c r="L4486" i="4"/>
  <c r="L4487" i="4"/>
  <c r="L4488" i="4"/>
  <c r="L4489" i="4"/>
  <c r="L4490" i="4"/>
  <c r="L4491" i="4"/>
  <c r="L4492" i="4"/>
  <c r="L4493" i="4"/>
  <c r="L4494" i="4"/>
  <c r="L4495" i="4"/>
  <c r="L4496" i="4"/>
  <c r="L4497" i="4"/>
  <c r="L4498" i="4"/>
  <c r="L4499" i="4"/>
  <c r="L4500" i="4"/>
  <c r="L4501" i="4"/>
  <c r="L4502" i="4"/>
  <c r="L4503" i="4"/>
  <c r="L4504" i="4"/>
  <c r="L4505" i="4"/>
  <c r="L4506" i="4"/>
  <c r="L4507" i="4"/>
  <c r="L4508" i="4"/>
  <c r="L4509" i="4"/>
  <c r="L4510" i="4"/>
  <c r="L4511" i="4"/>
  <c r="L4512" i="4"/>
  <c r="L4513" i="4"/>
  <c r="L4514" i="4"/>
  <c r="L4515" i="4"/>
  <c r="L4516" i="4"/>
  <c r="L4517" i="4"/>
  <c r="L4518" i="4"/>
  <c r="L4519" i="4"/>
  <c r="L4520" i="4"/>
  <c r="L4521" i="4"/>
  <c r="L4522" i="4"/>
  <c r="L4523" i="4"/>
  <c r="L4524" i="4"/>
  <c r="L4525" i="4"/>
  <c r="L4526" i="4"/>
  <c r="L4527" i="4"/>
  <c r="L4528" i="4"/>
  <c r="L4529" i="4"/>
  <c r="L4530" i="4"/>
  <c r="L4531" i="4"/>
  <c r="L4532" i="4"/>
  <c r="L4533" i="4"/>
  <c r="L4534" i="4"/>
  <c r="L4535" i="4"/>
  <c r="L4536" i="4"/>
  <c r="L4537" i="4"/>
  <c r="L4538" i="4"/>
  <c r="L4539" i="4"/>
  <c r="L4540" i="4"/>
  <c r="L4541" i="4"/>
  <c r="L4542" i="4"/>
  <c r="L4543" i="4"/>
  <c r="L4544" i="4"/>
  <c r="L4545" i="4"/>
  <c r="L4546" i="4"/>
  <c r="L4547" i="4"/>
  <c r="L4548" i="4"/>
  <c r="L4549" i="4"/>
  <c r="L4550" i="4"/>
  <c r="L4551" i="4"/>
  <c r="L4552" i="4"/>
  <c r="L4553" i="4"/>
  <c r="L4554" i="4"/>
  <c r="L4555" i="4"/>
  <c r="L4556" i="4"/>
  <c r="L4557" i="4"/>
  <c r="L4558" i="4"/>
  <c r="L4559" i="4"/>
  <c r="L4560" i="4"/>
  <c r="L4561" i="4"/>
  <c r="L4562" i="4"/>
  <c r="L4563" i="4"/>
  <c r="L4564" i="4"/>
  <c r="L4565" i="4"/>
  <c r="L4566" i="4"/>
  <c r="L4567" i="4"/>
  <c r="L4568" i="4"/>
  <c r="L4569" i="4"/>
  <c r="L4570" i="4"/>
  <c r="L4571" i="4"/>
  <c r="L4572" i="4"/>
  <c r="L4573" i="4"/>
  <c r="L4574" i="4"/>
  <c r="L4575" i="4"/>
  <c r="L4576" i="4"/>
  <c r="L4577" i="4"/>
  <c r="L4578" i="4"/>
  <c r="L4579" i="4"/>
  <c r="L4580" i="4"/>
  <c r="L4581" i="4"/>
  <c r="L4582" i="4"/>
  <c r="L4583" i="4"/>
  <c r="L4584" i="4"/>
  <c r="L4585" i="4"/>
  <c r="L4586" i="4"/>
  <c r="L4587" i="4"/>
  <c r="L4588" i="4"/>
  <c r="L4589" i="4"/>
  <c r="L4590" i="4"/>
  <c r="L4591" i="4"/>
  <c r="L4592" i="4"/>
  <c r="L4593" i="4"/>
  <c r="L4594" i="4"/>
  <c r="L4595" i="4"/>
  <c r="L4596" i="4"/>
  <c r="L4597" i="4"/>
  <c r="L4598" i="4"/>
  <c r="L4599" i="4"/>
  <c r="L4600" i="4"/>
  <c r="L4601" i="4"/>
  <c r="L4602" i="4"/>
  <c r="L4603" i="4"/>
  <c r="L4604" i="4"/>
  <c r="L4605" i="4"/>
  <c r="L4606" i="4"/>
  <c r="L4607" i="4"/>
  <c r="L4608" i="4"/>
  <c r="L4609" i="4"/>
  <c r="L4610" i="4"/>
  <c r="L4611" i="4"/>
  <c r="L4612" i="4"/>
  <c r="L4613" i="4"/>
  <c r="L4614" i="4"/>
  <c r="L4615" i="4"/>
  <c r="L4616" i="4"/>
  <c r="L4617" i="4"/>
  <c r="L4618" i="4"/>
  <c r="L4619" i="4"/>
  <c r="L4620" i="4"/>
  <c r="L4621" i="4"/>
  <c r="L4622" i="4"/>
  <c r="L4623" i="4"/>
  <c r="L4624" i="4"/>
  <c r="L4625" i="4"/>
  <c r="L4626" i="4"/>
  <c r="L4627" i="4"/>
  <c r="L4628" i="4"/>
  <c r="L4629" i="4"/>
  <c r="L4630" i="4"/>
  <c r="L4631" i="4"/>
  <c r="L4632" i="4"/>
  <c r="L4633" i="4"/>
  <c r="L4634" i="4"/>
  <c r="L4635" i="4"/>
  <c r="L4636" i="4"/>
  <c r="L4637" i="4"/>
  <c r="L4638" i="4"/>
  <c r="L4639" i="4"/>
  <c r="L4640" i="4"/>
  <c r="L4641" i="4"/>
  <c r="L4642" i="4"/>
  <c r="L4643" i="4"/>
  <c r="L4644" i="4"/>
  <c r="L4645" i="4"/>
  <c r="L4646" i="4"/>
  <c r="L4647" i="4"/>
  <c r="L4648" i="4"/>
  <c r="L4649" i="4"/>
  <c r="L4650" i="4"/>
  <c r="L4651" i="4"/>
  <c r="L4652" i="4"/>
  <c r="L4653" i="4"/>
  <c r="L4654" i="4"/>
  <c r="L4655" i="4"/>
  <c r="L4656" i="4"/>
  <c r="L4657" i="4"/>
  <c r="L4658" i="4"/>
  <c r="L4659" i="4"/>
  <c r="L4660" i="4"/>
  <c r="L4661" i="4"/>
  <c r="L4662" i="4"/>
  <c r="L4663" i="4"/>
  <c r="L4664" i="4"/>
  <c r="L4665" i="4"/>
  <c r="L4666" i="4"/>
  <c r="L4667" i="4"/>
  <c r="L4668" i="4"/>
  <c r="L4669" i="4"/>
  <c r="L4670" i="4"/>
  <c r="L4671" i="4"/>
  <c r="L4672" i="4"/>
  <c r="L4673" i="4"/>
  <c r="L4674" i="4"/>
  <c r="L4675" i="4"/>
  <c r="L4676" i="4"/>
  <c r="L4677" i="4"/>
  <c r="L4678" i="4"/>
  <c r="L4679" i="4"/>
  <c r="L4680" i="4"/>
  <c r="L4681" i="4"/>
  <c r="L4682" i="4"/>
  <c r="L4683" i="4"/>
  <c r="L4684" i="4"/>
  <c r="L4685" i="4"/>
  <c r="L4686" i="4"/>
  <c r="L4687" i="4"/>
  <c r="L4688" i="4"/>
  <c r="L4689" i="4"/>
  <c r="L4690" i="4"/>
  <c r="L4691" i="4"/>
  <c r="L4692" i="4"/>
  <c r="L4693" i="4"/>
  <c r="L4694" i="4"/>
  <c r="L4695" i="4"/>
  <c r="L4696" i="4"/>
  <c r="L4697" i="4"/>
  <c r="L4698" i="4"/>
  <c r="L4699" i="4"/>
  <c r="L4700" i="4"/>
  <c r="L4701" i="4"/>
  <c r="L4702" i="4"/>
  <c r="L4703" i="4"/>
  <c r="L4704" i="4"/>
  <c r="L4705" i="4"/>
  <c r="L4706" i="4"/>
  <c r="L4707" i="4"/>
  <c r="L4708" i="4"/>
  <c r="L4709" i="4"/>
  <c r="L4710" i="4"/>
  <c r="L4711" i="4"/>
  <c r="L4712" i="4"/>
  <c r="L4713" i="4"/>
  <c r="L4714" i="4"/>
  <c r="L4715" i="4"/>
  <c r="L4716" i="4"/>
  <c r="L4717" i="4"/>
  <c r="L4718" i="4"/>
  <c r="L4719" i="4"/>
  <c r="L4720" i="4"/>
  <c r="L4721" i="4"/>
  <c r="L4722" i="4"/>
  <c r="L4723" i="4"/>
  <c r="L4724" i="4"/>
  <c r="L4725" i="4"/>
  <c r="L4726" i="4"/>
  <c r="L4727" i="4"/>
  <c r="L4728" i="4"/>
  <c r="L4729" i="4"/>
  <c r="L4730" i="4"/>
  <c r="L4731" i="4"/>
  <c r="L4732" i="4"/>
  <c r="L4733" i="4"/>
  <c r="L4734" i="4"/>
  <c r="L4735" i="4"/>
  <c r="L4736" i="4"/>
  <c r="L4737" i="4"/>
  <c r="L4738" i="4"/>
  <c r="L4739" i="4"/>
  <c r="L4740" i="4"/>
  <c r="L4741" i="4"/>
  <c r="L4742" i="4"/>
  <c r="L4743" i="4"/>
  <c r="L4744" i="4"/>
  <c r="L4745" i="4"/>
  <c r="L4746" i="4"/>
  <c r="L4747" i="4"/>
  <c r="L4748" i="4"/>
  <c r="L4749" i="4"/>
  <c r="L4750" i="4"/>
  <c r="L4751" i="4"/>
  <c r="L4752" i="4"/>
  <c r="L4753" i="4"/>
  <c r="L4754" i="4"/>
  <c r="L4755" i="4"/>
  <c r="L4756" i="4"/>
  <c r="L4757" i="4"/>
  <c r="L4758" i="4"/>
  <c r="L4759" i="4"/>
  <c r="L4760" i="4"/>
  <c r="L4761" i="4"/>
  <c r="L4762" i="4"/>
  <c r="L4763" i="4"/>
  <c r="L4764" i="4"/>
  <c r="L4765" i="4"/>
  <c r="L4766" i="4"/>
  <c r="L4767" i="4"/>
  <c r="L4768" i="4"/>
  <c r="L4769" i="4"/>
  <c r="L4770" i="4"/>
  <c r="L4771" i="4"/>
  <c r="L4772" i="4"/>
  <c r="L4773" i="4"/>
  <c r="L4774" i="4"/>
  <c r="L4775" i="4"/>
  <c r="L4776" i="4"/>
  <c r="L4777" i="4"/>
  <c r="L4778" i="4"/>
  <c r="L4779" i="4"/>
  <c r="L4780" i="4"/>
  <c r="L4781" i="4"/>
  <c r="L4782" i="4"/>
  <c r="L4783" i="4"/>
  <c r="L4784" i="4"/>
  <c r="L4785" i="4"/>
  <c r="L4786" i="4"/>
  <c r="L4787" i="4"/>
  <c r="L4788" i="4"/>
  <c r="L4789" i="4"/>
  <c r="L4790" i="4"/>
  <c r="L4791" i="4"/>
  <c r="L4792" i="4"/>
  <c r="L4793" i="4"/>
  <c r="L4794" i="4"/>
  <c r="L4795" i="4"/>
  <c r="L4796" i="4"/>
  <c r="L4797" i="4"/>
  <c r="L4798" i="4"/>
  <c r="L4799" i="4"/>
  <c r="L4800" i="4"/>
  <c r="L4801" i="4"/>
  <c r="L4802" i="4"/>
  <c r="L4803" i="4"/>
  <c r="L4804" i="4"/>
  <c r="L4805" i="4"/>
  <c r="L4806" i="4"/>
  <c r="L4807" i="4"/>
  <c r="L4808" i="4"/>
  <c r="L4809" i="4"/>
  <c r="L4810" i="4"/>
  <c r="L4811" i="4"/>
  <c r="L4812" i="4"/>
  <c r="L4813" i="4"/>
  <c r="L4814" i="4"/>
  <c r="L4815" i="4"/>
  <c r="L4816" i="4"/>
  <c r="L4817" i="4"/>
  <c r="L4818" i="4"/>
  <c r="L4819" i="4"/>
  <c r="L4820" i="4"/>
  <c r="L4821" i="4"/>
  <c r="L4822" i="4"/>
  <c r="L4823" i="4"/>
  <c r="L4824" i="4"/>
  <c r="L4825" i="4"/>
  <c r="L4826" i="4"/>
  <c r="L4827" i="4"/>
  <c r="L4828" i="4"/>
  <c r="L4829" i="4"/>
  <c r="L4830" i="4"/>
  <c r="L4831" i="4"/>
  <c r="L4832" i="4"/>
  <c r="L4833" i="4"/>
  <c r="L4834" i="4"/>
  <c r="L4835" i="4"/>
  <c r="L4836" i="4"/>
  <c r="L4837" i="4"/>
  <c r="L4838" i="4"/>
  <c r="L4839" i="4"/>
  <c r="L4840" i="4"/>
  <c r="L4841" i="4"/>
  <c r="L4842" i="4"/>
  <c r="L4843" i="4"/>
  <c r="L4844" i="4"/>
  <c r="L4845" i="4"/>
  <c r="L4846" i="4"/>
  <c r="L4847" i="4"/>
  <c r="L4848" i="4"/>
  <c r="L4849" i="4"/>
  <c r="L4850" i="4"/>
  <c r="L4851" i="4"/>
  <c r="L4852" i="4"/>
  <c r="L4853" i="4"/>
  <c r="L4854" i="4"/>
  <c r="L4855" i="4"/>
  <c r="L4856" i="4"/>
  <c r="L4857" i="4"/>
  <c r="L4858" i="4"/>
  <c r="L4859" i="4"/>
  <c r="L4860" i="4"/>
  <c r="L4861" i="4"/>
  <c r="L4862" i="4"/>
  <c r="L4863" i="4"/>
  <c r="L4864" i="4"/>
  <c r="L4865" i="4"/>
  <c r="L4866" i="4"/>
  <c r="L4867" i="4"/>
  <c r="L4868" i="4"/>
  <c r="L4869" i="4"/>
  <c r="L4870" i="4"/>
  <c r="L4871" i="4"/>
  <c r="L4872" i="4"/>
  <c r="L4873" i="4"/>
  <c r="L4874" i="4"/>
  <c r="L4875" i="4"/>
  <c r="L4876" i="4"/>
  <c r="L4877" i="4"/>
  <c r="L4878" i="4"/>
  <c r="L4879" i="4"/>
  <c r="L4880" i="4"/>
  <c r="L4881" i="4"/>
  <c r="L4882" i="4"/>
  <c r="L4883" i="4"/>
  <c r="L4884" i="4"/>
  <c r="L4885" i="4"/>
  <c r="L4886" i="4"/>
  <c r="L4887" i="4"/>
  <c r="L4888" i="4"/>
  <c r="L4889" i="4"/>
  <c r="L4890" i="4"/>
  <c r="L4891" i="4"/>
  <c r="L4892" i="4"/>
  <c r="L4893" i="4"/>
  <c r="L4894" i="4"/>
  <c r="L4895" i="4"/>
  <c r="L4896" i="4"/>
  <c r="L4897" i="4"/>
  <c r="L4898" i="4"/>
  <c r="L4899" i="4"/>
  <c r="L4900" i="4"/>
  <c r="L4901" i="4"/>
  <c r="L4902" i="4"/>
  <c r="L4903" i="4"/>
  <c r="L4904" i="4"/>
  <c r="L4905" i="4"/>
  <c r="L4906" i="4"/>
  <c r="L4907" i="4"/>
  <c r="L4908" i="4"/>
  <c r="L4909" i="4"/>
  <c r="L4910" i="4"/>
  <c r="L4911" i="4"/>
  <c r="L4912" i="4"/>
  <c r="L4913" i="4"/>
  <c r="L4914" i="4"/>
  <c r="L4915" i="4"/>
  <c r="L4916" i="4"/>
  <c r="L4917" i="4"/>
  <c r="L4918" i="4"/>
  <c r="L4919" i="4"/>
  <c r="L4920" i="4"/>
  <c r="L4921" i="4"/>
  <c r="L4922" i="4"/>
  <c r="L4923" i="4"/>
  <c r="L4924" i="4"/>
  <c r="L4925" i="4"/>
  <c r="L4926" i="4"/>
  <c r="L4927" i="4"/>
  <c r="L4928" i="4"/>
  <c r="L4929" i="4"/>
  <c r="L4930" i="4"/>
  <c r="L4931" i="4"/>
  <c r="L4932" i="4"/>
  <c r="L4933" i="4"/>
  <c r="L4934" i="4"/>
  <c r="L4935" i="4"/>
  <c r="L4936" i="4"/>
  <c r="L4937" i="4"/>
  <c r="L4938" i="4"/>
  <c r="L4939" i="4"/>
  <c r="L4940" i="4"/>
  <c r="L4941" i="4"/>
  <c r="L4942" i="4"/>
  <c r="L4943" i="4"/>
  <c r="L4944" i="4"/>
  <c r="L4945" i="4"/>
  <c r="L4946" i="4"/>
  <c r="L4947" i="4"/>
  <c r="L4948" i="4"/>
  <c r="L4949" i="4"/>
  <c r="L4950" i="4"/>
  <c r="L4951" i="4"/>
  <c r="L4952" i="4"/>
  <c r="L4953" i="4"/>
  <c r="L4954" i="4"/>
  <c r="L4955" i="4"/>
  <c r="L4956" i="4"/>
  <c r="L4957" i="4"/>
  <c r="L4958" i="4"/>
  <c r="L4959" i="4"/>
  <c r="L4960" i="4"/>
  <c r="L4961" i="4"/>
  <c r="L4962" i="4"/>
  <c r="L4963" i="4"/>
  <c r="L4964" i="4"/>
  <c r="L4965" i="4"/>
  <c r="L4966" i="4"/>
  <c r="L4967" i="4"/>
  <c r="L4968" i="4"/>
  <c r="L4969" i="4"/>
  <c r="L4970" i="4"/>
  <c r="L4971" i="4"/>
  <c r="L4972" i="4"/>
  <c r="L4973" i="4"/>
  <c r="L4974" i="4"/>
  <c r="L4975" i="4"/>
  <c r="L4976" i="4"/>
  <c r="L4977" i="4"/>
  <c r="L4978" i="4"/>
  <c r="L4979" i="4"/>
  <c r="L4980" i="4"/>
  <c r="L4981" i="4"/>
  <c r="L4982" i="4"/>
  <c r="L4983" i="4"/>
  <c r="L4984" i="4"/>
  <c r="L4985" i="4"/>
  <c r="L4986" i="4"/>
  <c r="L4987" i="4"/>
  <c r="L4988" i="4"/>
  <c r="L4989" i="4"/>
  <c r="L4990" i="4"/>
  <c r="L4991" i="4"/>
  <c r="L4992" i="4"/>
  <c r="L4993" i="4"/>
  <c r="L4994" i="4"/>
  <c r="L4995" i="4"/>
  <c r="L4996" i="4"/>
  <c r="L4997" i="4"/>
  <c r="L4998" i="4"/>
  <c r="L4999" i="4"/>
  <c r="L5000" i="4"/>
  <c r="L5001"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J2" i="4"/>
  <c r="I5001" i="4"/>
  <c r="I5000" i="4"/>
  <c r="I4999" i="4"/>
  <c r="I4998" i="4"/>
  <c r="I4997" i="4"/>
  <c r="I4996" i="4"/>
  <c r="I4995" i="4"/>
  <c r="I4994" i="4"/>
  <c r="I4993" i="4"/>
  <c r="I4992" i="4"/>
  <c r="I4991" i="4"/>
  <c r="I4990" i="4"/>
  <c r="I4989" i="4"/>
  <c r="I4988" i="4"/>
  <c r="I4987" i="4"/>
  <c r="I4986" i="4"/>
  <c r="I4985" i="4"/>
  <c r="I4984" i="4"/>
  <c r="I4983" i="4"/>
  <c r="I4982" i="4"/>
  <c r="I4981" i="4"/>
  <c r="I4980" i="4"/>
  <c r="I4979" i="4"/>
  <c r="I4978" i="4"/>
  <c r="I4977" i="4"/>
  <c r="I4976" i="4"/>
  <c r="I4975" i="4"/>
  <c r="I4974" i="4"/>
  <c r="I4973" i="4"/>
  <c r="I4972" i="4"/>
  <c r="I4971" i="4"/>
  <c r="I4970" i="4"/>
  <c r="I4969" i="4"/>
  <c r="I4968" i="4"/>
  <c r="I4967" i="4"/>
  <c r="I4966" i="4"/>
  <c r="I4965" i="4"/>
  <c r="I4964" i="4"/>
  <c r="I4963" i="4"/>
  <c r="I4962" i="4"/>
  <c r="I4961" i="4"/>
  <c r="I4960" i="4"/>
  <c r="I4959" i="4"/>
  <c r="I4958" i="4"/>
  <c r="I4957" i="4"/>
  <c r="I4956" i="4"/>
  <c r="I4955" i="4"/>
  <c r="I4954" i="4"/>
  <c r="I4953" i="4"/>
  <c r="I4952" i="4"/>
  <c r="I4951" i="4"/>
  <c r="I4950" i="4"/>
  <c r="I4949" i="4"/>
  <c r="I4948" i="4"/>
  <c r="I4947" i="4"/>
  <c r="I4946" i="4"/>
  <c r="I4945" i="4"/>
  <c r="I4944" i="4"/>
  <c r="I4943" i="4"/>
  <c r="I4942" i="4"/>
  <c r="I4941" i="4"/>
  <c r="I4940" i="4"/>
  <c r="I4939" i="4"/>
  <c r="I4938" i="4"/>
  <c r="I4937" i="4"/>
  <c r="I4936" i="4"/>
  <c r="I4935" i="4"/>
  <c r="I4934" i="4"/>
  <c r="I4933" i="4"/>
  <c r="I4932" i="4"/>
  <c r="I4931" i="4"/>
  <c r="I4930" i="4"/>
  <c r="I4929" i="4"/>
  <c r="I4928" i="4"/>
  <c r="I4927" i="4"/>
  <c r="I4926" i="4"/>
  <c r="I4925" i="4"/>
  <c r="I4924" i="4"/>
  <c r="I4923" i="4"/>
  <c r="I4922" i="4"/>
  <c r="I4921" i="4"/>
  <c r="I4920" i="4"/>
  <c r="I4919" i="4"/>
  <c r="I4918" i="4"/>
  <c r="I4917" i="4"/>
  <c r="I4916" i="4"/>
  <c r="I4915" i="4"/>
  <c r="I4914" i="4"/>
  <c r="I4913" i="4"/>
  <c r="I4912" i="4"/>
  <c r="I4911" i="4"/>
  <c r="I4910" i="4"/>
  <c r="I4909" i="4"/>
  <c r="I4908" i="4"/>
  <c r="I4907" i="4"/>
  <c r="I4906" i="4"/>
  <c r="I4905" i="4"/>
  <c r="I4904" i="4"/>
  <c r="I4903" i="4"/>
  <c r="I4902" i="4"/>
  <c r="I4901" i="4"/>
  <c r="I4900" i="4"/>
  <c r="I4899" i="4"/>
  <c r="I4898" i="4"/>
  <c r="I4897" i="4"/>
  <c r="I4896" i="4"/>
  <c r="I4895" i="4"/>
  <c r="I4894" i="4"/>
  <c r="I4893" i="4"/>
  <c r="I4892" i="4"/>
  <c r="I4891" i="4"/>
  <c r="I4890" i="4"/>
  <c r="I4889" i="4"/>
  <c r="I4888" i="4"/>
  <c r="I4887" i="4"/>
  <c r="I4886" i="4"/>
  <c r="I4885" i="4"/>
  <c r="I4884" i="4"/>
  <c r="I4883" i="4"/>
  <c r="I4882" i="4"/>
  <c r="I4881" i="4"/>
  <c r="I4880" i="4"/>
  <c r="I4879" i="4"/>
  <c r="I4878" i="4"/>
  <c r="I4877" i="4"/>
  <c r="I4876" i="4"/>
  <c r="I4875" i="4"/>
  <c r="I4874" i="4"/>
  <c r="I4873" i="4"/>
  <c r="I4872" i="4"/>
  <c r="I4871" i="4"/>
  <c r="I4870" i="4"/>
  <c r="I4869" i="4"/>
  <c r="I4868" i="4"/>
  <c r="I4867" i="4"/>
  <c r="I4866" i="4"/>
  <c r="I4865" i="4"/>
  <c r="I4864" i="4"/>
  <c r="I4863" i="4"/>
  <c r="I4862" i="4"/>
  <c r="I4861" i="4"/>
  <c r="I4860" i="4"/>
  <c r="I4859" i="4"/>
  <c r="I4858" i="4"/>
  <c r="I4857" i="4"/>
  <c r="I4856" i="4"/>
  <c r="I4855" i="4"/>
  <c r="I4854" i="4"/>
  <c r="I4853" i="4"/>
  <c r="I4852" i="4"/>
  <c r="I4851" i="4"/>
  <c r="I4850" i="4"/>
  <c r="I4849" i="4"/>
  <c r="I4848" i="4"/>
  <c r="I4847" i="4"/>
  <c r="I4846" i="4"/>
  <c r="I4845" i="4"/>
  <c r="I4844" i="4"/>
  <c r="I4843" i="4"/>
  <c r="I4842" i="4"/>
  <c r="I4841" i="4"/>
  <c r="I4840" i="4"/>
  <c r="I4839" i="4"/>
  <c r="I4838" i="4"/>
  <c r="I4837" i="4"/>
  <c r="I4836" i="4"/>
  <c r="I4835" i="4"/>
  <c r="I4834" i="4"/>
  <c r="I4833" i="4"/>
  <c r="I4832" i="4"/>
  <c r="I4831" i="4"/>
  <c r="I4830" i="4"/>
  <c r="I4829" i="4"/>
  <c r="I4828" i="4"/>
  <c r="I4827" i="4"/>
  <c r="I4826" i="4"/>
  <c r="I4825" i="4"/>
  <c r="I4824" i="4"/>
  <c r="I4823" i="4"/>
  <c r="I4822" i="4"/>
  <c r="I4821" i="4"/>
  <c r="I4820" i="4"/>
  <c r="I4819" i="4"/>
  <c r="I4818" i="4"/>
  <c r="I4817" i="4"/>
  <c r="I4816" i="4"/>
  <c r="I4815" i="4"/>
  <c r="I4814" i="4"/>
  <c r="I4813" i="4"/>
  <c r="I4812" i="4"/>
  <c r="I4811" i="4"/>
  <c r="I4810" i="4"/>
  <c r="I4809" i="4"/>
  <c r="I4808" i="4"/>
  <c r="I4807" i="4"/>
  <c r="I4806" i="4"/>
  <c r="I4805" i="4"/>
  <c r="I4804" i="4"/>
  <c r="I4803" i="4"/>
  <c r="I4802" i="4"/>
  <c r="I4801" i="4"/>
  <c r="I4800" i="4"/>
  <c r="I4799" i="4"/>
  <c r="I4798" i="4"/>
  <c r="I4797" i="4"/>
  <c r="I4796" i="4"/>
  <c r="I4795" i="4"/>
  <c r="I4794" i="4"/>
  <c r="I4793" i="4"/>
  <c r="I4792" i="4"/>
  <c r="I4791" i="4"/>
  <c r="I4790" i="4"/>
  <c r="I4789" i="4"/>
  <c r="I4788" i="4"/>
  <c r="I4787" i="4"/>
  <c r="I4786" i="4"/>
  <c r="I4785" i="4"/>
  <c r="I4784" i="4"/>
  <c r="I4783" i="4"/>
  <c r="I4782" i="4"/>
  <c r="I4781" i="4"/>
  <c r="I4780" i="4"/>
  <c r="I4779" i="4"/>
  <c r="I4778" i="4"/>
  <c r="I4777" i="4"/>
  <c r="I4776" i="4"/>
  <c r="I4775" i="4"/>
  <c r="I4774" i="4"/>
  <c r="I4773" i="4"/>
  <c r="I4772" i="4"/>
  <c r="I4771" i="4"/>
  <c r="I4770" i="4"/>
  <c r="I4769" i="4"/>
  <c r="I4768" i="4"/>
  <c r="I4767" i="4"/>
  <c r="I4766" i="4"/>
  <c r="I4765" i="4"/>
  <c r="I4764" i="4"/>
  <c r="I4763" i="4"/>
  <c r="I4762" i="4"/>
  <c r="I4761" i="4"/>
  <c r="I4760" i="4"/>
  <c r="I4759" i="4"/>
  <c r="I4758" i="4"/>
  <c r="I4757" i="4"/>
  <c r="I4756" i="4"/>
  <c r="I4755" i="4"/>
  <c r="I4754" i="4"/>
  <c r="I4753" i="4"/>
  <c r="I4752" i="4"/>
  <c r="I4751" i="4"/>
  <c r="I4750" i="4"/>
  <c r="I4749" i="4"/>
  <c r="I4748" i="4"/>
  <c r="I4747" i="4"/>
  <c r="I4746" i="4"/>
  <c r="I4745" i="4"/>
  <c r="I4744" i="4"/>
  <c r="I4743" i="4"/>
  <c r="I4742" i="4"/>
  <c r="I4741" i="4"/>
  <c r="I4740" i="4"/>
  <c r="I4739" i="4"/>
  <c r="I4738" i="4"/>
  <c r="I4737" i="4"/>
  <c r="I4736" i="4"/>
  <c r="I4735" i="4"/>
  <c r="I4734" i="4"/>
  <c r="I4733" i="4"/>
  <c r="I4732" i="4"/>
  <c r="I4731" i="4"/>
  <c r="I4730" i="4"/>
  <c r="I4729" i="4"/>
  <c r="I4728" i="4"/>
  <c r="I4727" i="4"/>
  <c r="I4726" i="4"/>
  <c r="I4725" i="4"/>
  <c r="I4724" i="4"/>
  <c r="I4723" i="4"/>
  <c r="I4722" i="4"/>
  <c r="I4721" i="4"/>
  <c r="I4720" i="4"/>
  <c r="I4719" i="4"/>
  <c r="I4718" i="4"/>
  <c r="I4717" i="4"/>
  <c r="I4716" i="4"/>
  <c r="I4715" i="4"/>
  <c r="I4714" i="4"/>
  <c r="I4713" i="4"/>
  <c r="I4712" i="4"/>
  <c r="I4711" i="4"/>
  <c r="I4710" i="4"/>
  <c r="I4709" i="4"/>
  <c r="I4708" i="4"/>
  <c r="I4707" i="4"/>
  <c r="I4706" i="4"/>
  <c r="I4705" i="4"/>
  <c r="I4704" i="4"/>
  <c r="I4703" i="4"/>
  <c r="I4702" i="4"/>
  <c r="I4701" i="4"/>
  <c r="I4700" i="4"/>
  <c r="I4699" i="4"/>
  <c r="I4698" i="4"/>
  <c r="I4697" i="4"/>
  <c r="I4696" i="4"/>
  <c r="I4695" i="4"/>
  <c r="I4694" i="4"/>
  <c r="I4693" i="4"/>
  <c r="I4692" i="4"/>
  <c r="I4691" i="4"/>
  <c r="I4690" i="4"/>
  <c r="I4689" i="4"/>
  <c r="I4688" i="4"/>
  <c r="I4687" i="4"/>
  <c r="I4686" i="4"/>
  <c r="I4685" i="4"/>
  <c r="I4684" i="4"/>
  <c r="I4683" i="4"/>
  <c r="I4682" i="4"/>
  <c r="I4681" i="4"/>
  <c r="I4680" i="4"/>
  <c r="I4679" i="4"/>
  <c r="I4678" i="4"/>
  <c r="I4677" i="4"/>
  <c r="I4676" i="4"/>
  <c r="I4675" i="4"/>
  <c r="I4674" i="4"/>
  <c r="I4673" i="4"/>
  <c r="I4672" i="4"/>
  <c r="I4671" i="4"/>
  <c r="I4670" i="4"/>
  <c r="I4669" i="4"/>
  <c r="I4668" i="4"/>
  <c r="I4667" i="4"/>
  <c r="I4666" i="4"/>
  <c r="I4665" i="4"/>
  <c r="I4664" i="4"/>
  <c r="I4663" i="4"/>
  <c r="I4662" i="4"/>
  <c r="I4661" i="4"/>
  <c r="I4660" i="4"/>
  <c r="I4659" i="4"/>
  <c r="I4658" i="4"/>
  <c r="I4657" i="4"/>
  <c r="I4656" i="4"/>
  <c r="I4655" i="4"/>
  <c r="I4654" i="4"/>
  <c r="I4653" i="4"/>
  <c r="I4652" i="4"/>
  <c r="I4651" i="4"/>
  <c r="I4650" i="4"/>
  <c r="I4649" i="4"/>
  <c r="I4648" i="4"/>
  <c r="I4647" i="4"/>
  <c r="I4646" i="4"/>
  <c r="I4645" i="4"/>
  <c r="I4644" i="4"/>
  <c r="I4643" i="4"/>
  <c r="I4642" i="4"/>
  <c r="I4641" i="4"/>
  <c r="I4640" i="4"/>
  <c r="I4639" i="4"/>
  <c r="I4638" i="4"/>
  <c r="I4637" i="4"/>
  <c r="I4636" i="4"/>
  <c r="I4635" i="4"/>
  <c r="I4634" i="4"/>
  <c r="I4633" i="4"/>
  <c r="I4632" i="4"/>
  <c r="I4631" i="4"/>
  <c r="I4630" i="4"/>
  <c r="I4629" i="4"/>
  <c r="I4628" i="4"/>
  <c r="I4627" i="4"/>
  <c r="I4626" i="4"/>
  <c r="I4625" i="4"/>
  <c r="I4624" i="4"/>
  <c r="I4623" i="4"/>
  <c r="I4622" i="4"/>
  <c r="I4621" i="4"/>
  <c r="I4620" i="4"/>
  <c r="I4619" i="4"/>
  <c r="I4618" i="4"/>
  <c r="I4617" i="4"/>
  <c r="I4616" i="4"/>
  <c r="I4615" i="4"/>
  <c r="I4614" i="4"/>
  <c r="I4613" i="4"/>
  <c r="I4612" i="4"/>
  <c r="I4611" i="4"/>
  <c r="I4610" i="4"/>
  <c r="I4609" i="4"/>
  <c r="I4608" i="4"/>
  <c r="I4607" i="4"/>
  <c r="I4606" i="4"/>
  <c r="I4605" i="4"/>
  <c r="I4604" i="4"/>
  <c r="I4603" i="4"/>
  <c r="I4602" i="4"/>
  <c r="I4601" i="4"/>
  <c r="I4600" i="4"/>
  <c r="I4599" i="4"/>
  <c r="I4598" i="4"/>
  <c r="I4597" i="4"/>
  <c r="I4596" i="4"/>
  <c r="I4595" i="4"/>
  <c r="I4594" i="4"/>
  <c r="I4593" i="4"/>
  <c r="I4592" i="4"/>
  <c r="I4591" i="4"/>
  <c r="I4590" i="4"/>
  <c r="I4589" i="4"/>
  <c r="I4588" i="4"/>
  <c r="I4587" i="4"/>
  <c r="I4586" i="4"/>
  <c r="I4585" i="4"/>
  <c r="I4584" i="4"/>
  <c r="I4583" i="4"/>
  <c r="I4582" i="4"/>
  <c r="I4581" i="4"/>
  <c r="I4580" i="4"/>
  <c r="I4579" i="4"/>
  <c r="I4578" i="4"/>
  <c r="I4577" i="4"/>
  <c r="I4576" i="4"/>
  <c r="I4575" i="4"/>
  <c r="I4574" i="4"/>
  <c r="I4573" i="4"/>
  <c r="I4572" i="4"/>
  <c r="I4571" i="4"/>
  <c r="I4570" i="4"/>
  <c r="I4569" i="4"/>
  <c r="I4568" i="4"/>
  <c r="I4567" i="4"/>
  <c r="I4566" i="4"/>
  <c r="I4565" i="4"/>
  <c r="I4564" i="4"/>
  <c r="I4563" i="4"/>
  <c r="I4562" i="4"/>
  <c r="I4561" i="4"/>
  <c r="I4560" i="4"/>
  <c r="I4559" i="4"/>
  <c r="I4558" i="4"/>
  <c r="I4557" i="4"/>
  <c r="I4556" i="4"/>
  <c r="I4555" i="4"/>
  <c r="I4554" i="4"/>
  <c r="I4553" i="4"/>
  <c r="I4552" i="4"/>
  <c r="I4551" i="4"/>
  <c r="I4550" i="4"/>
  <c r="I4549" i="4"/>
  <c r="I4548" i="4"/>
  <c r="I4547" i="4"/>
  <c r="I4546" i="4"/>
  <c r="I4545" i="4"/>
  <c r="I4544" i="4"/>
  <c r="I4543" i="4"/>
  <c r="I4542" i="4"/>
  <c r="I4541" i="4"/>
  <c r="I4540" i="4"/>
  <c r="I4539" i="4"/>
  <c r="I4538" i="4"/>
  <c r="I4537" i="4"/>
  <c r="I4536" i="4"/>
  <c r="I4535" i="4"/>
  <c r="I4534" i="4"/>
  <c r="I4533" i="4"/>
  <c r="I4532" i="4"/>
  <c r="I4531" i="4"/>
  <c r="I4530" i="4"/>
  <c r="I4529" i="4"/>
  <c r="I4528" i="4"/>
  <c r="I4527" i="4"/>
  <c r="I4526" i="4"/>
  <c r="I4525" i="4"/>
  <c r="I4524" i="4"/>
  <c r="I4523" i="4"/>
  <c r="I4522" i="4"/>
  <c r="I4521" i="4"/>
  <c r="I4520" i="4"/>
  <c r="I4519" i="4"/>
  <c r="I4518" i="4"/>
  <c r="I4517" i="4"/>
  <c r="I4516" i="4"/>
  <c r="I4515" i="4"/>
  <c r="I4514" i="4"/>
  <c r="I4513" i="4"/>
  <c r="I4512" i="4"/>
  <c r="I4511" i="4"/>
  <c r="I4510" i="4"/>
  <c r="I4509" i="4"/>
  <c r="I4508" i="4"/>
  <c r="I4507" i="4"/>
  <c r="I4506" i="4"/>
  <c r="I4505" i="4"/>
  <c r="I4504" i="4"/>
  <c r="I4503" i="4"/>
  <c r="I4502" i="4"/>
  <c r="I4501" i="4"/>
  <c r="I4500" i="4"/>
  <c r="I4499" i="4"/>
  <c r="I4498" i="4"/>
  <c r="I4497" i="4"/>
  <c r="I4496" i="4"/>
  <c r="I4495" i="4"/>
  <c r="I4494" i="4"/>
  <c r="I4493" i="4"/>
  <c r="I4492" i="4"/>
  <c r="I4491" i="4"/>
  <c r="I4490" i="4"/>
  <c r="I4489" i="4"/>
  <c r="I4488" i="4"/>
  <c r="I4487" i="4"/>
  <c r="I4486" i="4"/>
  <c r="I4485" i="4"/>
  <c r="I4484" i="4"/>
  <c r="I4483" i="4"/>
  <c r="I4482" i="4"/>
  <c r="I4481" i="4"/>
  <c r="I4480" i="4"/>
  <c r="I4479" i="4"/>
  <c r="I4478" i="4"/>
  <c r="I4477" i="4"/>
  <c r="I4476" i="4"/>
  <c r="I4475" i="4"/>
  <c r="I4474" i="4"/>
  <c r="I4473" i="4"/>
  <c r="I4472" i="4"/>
  <c r="I4471" i="4"/>
  <c r="I4470" i="4"/>
  <c r="I4469" i="4"/>
  <c r="I4468" i="4"/>
  <c r="I4467" i="4"/>
  <c r="I4466" i="4"/>
  <c r="I4465" i="4"/>
  <c r="I4464" i="4"/>
  <c r="I4463" i="4"/>
  <c r="I4462" i="4"/>
  <c r="I4461" i="4"/>
  <c r="I4460" i="4"/>
  <c r="I4459" i="4"/>
  <c r="I4458" i="4"/>
  <c r="I4457" i="4"/>
  <c r="I4456" i="4"/>
  <c r="I4455" i="4"/>
  <c r="I4454" i="4"/>
  <c r="I4453" i="4"/>
  <c r="I4452" i="4"/>
  <c r="I4451" i="4"/>
  <c r="I4450" i="4"/>
  <c r="I4449" i="4"/>
  <c r="I4448" i="4"/>
  <c r="I4447" i="4"/>
  <c r="I4446" i="4"/>
  <c r="I4445" i="4"/>
  <c r="I4444" i="4"/>
  <c r="I4443" i="4"/>
  <c r="I4442" i="4"/>
  <c r="I4441" i="4"/>
  <c r="I4440" i="4"/>
  <c r="I4439" i="4"/>
  <c r="I4438" i="4"/>
  <c r="I4437" i="4"/>
  <c r="I4436" i="4"/>
  <c r="I4435" i="4"/>
  <c r="I4434" i="4"/>
  <c r="I4433" i="4"/>
  <c r="I4432" i="4"/>
  <c r="I4431" i="4"/>
  <c r="I4430" i="4"/>
  <c r="I4429" i="4"/>
  <c r="I4428" i="4"/>
  <c r="I4427" i="4"/>
  <c r="I4426" i="4"/>
  <c r="I4425" i="4"/>
  <c r="I4424" i="4"/>
  <c r="I4423" i="4"/>
  <c r="I4422" i="4"/>
  <c r="I4421" i="4"/>
  <c r="I4420" i="4"/>
  <c r="I4419" i="4"/>
  <c r="I4418" i="4"/>
  <c r="I4417" i="4"/>
  <c r="I4416" i="4"/>
  <c r="I4415" i="4"/>
  <c r="I4414" i="4"/>
  <c r="I4413" i="4"/>
  <c r="I4412" i="4"/>
  <c r="I4411" i="4"/>
  <c r="I4410" i="4"/>
  <c r="I4409" i="4"/>
  <c r="I4408" i="4"/>
  <c r="I4407" i="4"/>
  <c r="I4406" i="4"/>
  <c r="I4405" i="4"/>
  <c r="I4404" i="4"/>
  <c r="I4403" i="4"/>
  <c r="I4402" i="4"/>
  <c r="I4401" i="4"/>
  <c r="I4400" i="4"/>
  <c r="I4399" i="4"/>
  <c r="I4398" i="4"/>
  <c r="I4397" i="4"/>
  <c r="I4396" i="4"/>
  <c r="I4395" i="4"/>
  <c r="I4394" i="4"/>
  <c r="I4393" i="4"/>
  <c r="I4392" i="4"/>
  <c r="I4391" i="4"/>
  <c r="I4390" i="4"/>
  <c r="I4389" i="4"/>
  <c r="I4388" i="4"/>
  <c r="I4387" i="4"/>
  <c r="I4386" i="4"/>
  <c r="I4385" i="4"/>
  <c r="I4384" i="4"/>
  <c r="I4383" i="4"/>
  <c r="I4382" i="4"/>
  <c r="I4381" i="4"/>
  <c r="I4380" i="4"/>
  <c r="I4379" i="4"/>
  <c r="I4378" i="4"/>
  <c r="I4377" i="4"/>
  <c r="I4376" i="4"/>
  <c r="I4375" i="4"/>
  <c r="I4374" i="4"/>
  <c r="I4373" i="4"/>
  <c r="I4372" i="4"/>
  <c r="I4371" i="4"/>
  <c r="I4370" i="4"/>
  <c r="I4369" i="4"/>
  <c r="I4368" i="4"/>
  <c r="I4367" i="4"/>
  <c r="I4366" i="4"/>
  <c r="I4365" i="4"/>
  <c r="I4364" i="4"/>
  <c r="I4363" i="4"/>
  <c r="I4362" i="4"/>
  <c r="I4361" i="4"/>
  <c r="I4360" i="4"/>
  <c r="I4359" i="4"/>
  <c r="I4358" i="4"/>
  <c r="I4357" i="4"/>
  <c r="I4356" i="4"/>
  <c r="I4355" i="4"/>
  <c r="I4354" i="4"/>
  <c r="I4353" i="4"/>
  <c r="I4352" i="4"/>
  <c r="I4351" i="4"/>
  <c r="I4350" i="4"/>
  <c r="I4349" i="4"/>
  <c r="I4348" i="4"/>
  <c r="I4347" i="4"/>
  <c r="I4346" i="4"/>
  <c r="I4345" i="4"/>
  <c r="I4344" i="4"/>
  <c r="I4343" i="4"/>
  <c r="I4342" i="4"/>
  <c r="I4341" i="4"/>
  <c r="I4340" i="4"/>
  <c r="I4339" i="4"/>
  <c r="I4338" i="4"/>
  <c r="I4337" i="4"/>
  <c r="I4336" i="4"/>
  <c r="I4335" i="4"/>
  <c r="I4334" i="4"/>
  <c r="I4333" i="4"/>
  <c r="I4332" i="4"/>
  <c r="I4331" i="4"/>
  <c r="I4330" i="4"/>
  <c r="I4329" i="4"/>
  <c r="I4328" i="4"/>
  <c r="I4327" i="4"/>
  <c r="I4326" i="4"/>
  <c r="I4325" i="4"/>
  <c r="I4324" i="4"/>
  <c r="I4323" i="4"/>
  <c r="I4322" i="4"/>
  <c r="I4321" i="4"/>
  <c r="I4320" i="4"/>
  <c r="I4319" i="4"/>
  <c r="I4318" i="4"/>
  <c r="I4317" i="4"/>
  <c r="I4316" i="4"/>
  <c r="I4315" i="4"/>
  <c r="I4314" i="4"/>
  <c r="I4313" i="4"/>
  <c r="I4312" i="4"/>
  <c r="I4311" i="4"/>
  <c r="I4310" i="4"/>
  <c r="I4309" i="4"/>
  <c r="I4308" i="4"/>
  <c r="I4307" i="4"/>
  <c r="I4306" i="4"/>
  <c r="I4305" i="4"/>
  <c r="I4304" i="4"/>
  <c r="I4303" i="4"/>
  <c r="I4302" i="4"/>
  <c r="I4301" i="4"/>
  <c r="I4300" i="4"/>
  <c r="I4299" i="4"/>
  <c r="I4298" i="4"/>
  <c r="I4297" i="4"/>
  <c r="I4296" i="4"/>
  <c r="I4295" i="4"/>
  <c r="I4294" i="4"/>
  <c r="I4293" i="4"/>
  <c r="I4292" i="4"/>
  <c r="I4291" i="4"/>
  <c r="I4290" i="4"/>
  <c r="I4289" i="4"/>
  <c r="I4288" i="4"/>
  <c r="I4287" i="4"/>
  <c r="I4286" i="4"/>
  <c r="I4285" i="4"/>
  <c r="I4284" i="4"/>
  <c r="I4283" i="4"/>
  <c r="I4282" i="4"/>
  <c r="I4281" i="4"/>
  <c r="I4280" i="4"/>
  <c r="I4279" i="4"/>
  <c r="I4278" i="4"/>
  <c r="I4277" i="4"/>
  <c r="I4276" i="4"/>
  <c r="I4275" i="4"/>
  <c r="I4274" i="4"/>
  <c r="I4273" i="4"/>
  <c r="I4272" i="4"/>
  <c r="I4271" i="4"/>
  <c r="I4270" i="4"/>
  <c r="I4269" i="4"/>
  <c r="I4268" i="4"/>
  <c r="I4267" i="4"/>
  <c r="I4266" i="4"/>
  <c r="I4265" i="4"/>
  <c r="I4264" i="4"/>
  <c r="I4263" i="4"/>
  <c r="I4262" i="4"/>
  <c r="I4261" i="4"/>
  <c r="I4260" i="4"/>
  <c r="I4259" i="4"/>
  <c r="I4258" i="4"/>
  <c r="I4257" i="4"/>
  <c r="I4256" i="4"/>
  <c r="I4255" i="4"/>
  <c r="I4254" i="4"/>
  <c r="I4253" i="4"/>
  <c r="I4252" i="4"/>
  <c r="I4251" i="4"/>
  <c r="I4250" i="4"/>
  <c r="I4249" i="4"/>
  <c r="I4248" i="4"/>
  <c r="I4247" i="4"/>
  <c r="I4246" i="4"/>
  <c r="I4245" i="4"/>
  <c r="I4244" i="4"/>
  <c r="I4243" i="4"/>
  <c r="I4242" i="4"/>
  <c r="I4241" i="4"/>
  <c r="I4240" i="4"/>
  <c r="I4239" i="4"/>
  <c r="I4238" i="4"/>
  <c r="I4237" i="4"/>
  <c r="I4236" i="4"/>
  <c r="I4235" i="4"/>
  <c r="I4234" i="4"/>
  <c r="I4233" i="4"/>
  <c r="I4232" i="4"/>
  <c r="I4231" i="4"/>
  <c r="I4230" i="4"/>
  <c r="I4229" i="4"/>
  <c r="I4228" i="4"/>
  <c r="I4227" i="4"/>
  <c r="I4226" i="4"/>
  <c r="I4225" i="4"/>
  <c r="I4224" i="4"/>
  <c r="I4223" i="4"/>
  <c r="I4222" i="4"/>
  <c r="I4221" i="4"/>
  <c r="I4220" i="4"/>
  <c r="I4219" i="4"/>
  <c r="I4218" i="4"/>
  <c r="I4217" i="4"/>
  <c r="I4216" i="4"/>
  <c r="I4215" i="4"/>
  <c r="I4214" i="4"/>
  <c r="I4213" i="4"/>
  <c r="I4212" i="4"/>
  <c r="I4211" i="4"/>
  <c r="I4210" i="4"/>
  <c r="I4209" i="4"/>
  <c r="I4208" i="4"/>
  <c r="I4207" i="4"/>
  <c r="I4206" i="4"/>
  <c r="I4205" i="4"/>
  <c r="I4204" i="4"/>
  <c r="I4203" i="4"/>
  <c r="I4202" i="4"/>
  <c r="I4201" i="4"/>
  <c r="I4200" i="4"/>
  <c r="I4199" i="4"/>
  <c r="I4198" i="4"/>
  <c r="I4197" i="4"/>
  <c r="I4196" i="4"/>
  <c r="I4195" i="4"/>
  <c r="I4194" i="4"/>
  <c r="I4193" i="4"/>
  <c r="I4192" i="4"/>
  <c r="I4191" i="4"/>
  <c r="I4190" i="4"/>
  <c r="I4189" i="4"/>
  <c r="I4188" i="4"/>
  <c r="I4187" i="4"/>
  <c r="I4186" i="4"/>
  <c r="I4185" i="4"/>
  <c r="I4184" i="4"/>
  <c r="I4183" i="4"/>
  <c r="I4182" i="4"/>
  <c r="I4181" i="4"/>
  <c r="I4180" i="4"/>
  <c r="I4179" i="4"/>
  <c r="I4178" i="4"/>
  <c r="I4177" i="4"/>
  <c r="I4176" i="4"/>
  <c r="I4175" i="4"/>
  <c r="I4174" i="4"/>
  <c r="I4173" i="4"/>
  <c r="I4172" i="4"/>
  <c r="I4171" i="4"/>
  <c r="I4170" i="4"/>
  <c r="I4169" i="4"/>
  <c r="I4168" i="4"/>
  <c r="I4167" i="4"/>
  <c r="I4166" i="4"/>
  <c r="I4165" i="4"/>
  <c r="I4164" i="4"/>
  <c r="I4163" i="4"/>
  <c r="I4162" i="4"/>
  <c r="I4161" i="4"/>
  <c r="I4160" i="4"/>
  <c r="I4159" i="4"/>
  <c r="I4158" i="4"/>
  <c r="I4157" i="4"/>
  <c r="I4156" i="4"/>
  <c r="I4155" i="4"/>
  <c r="I4154" i="4"/>
  <c r="I4153" i="4"/>
  <c r="I4152" i="4"/>
  <c r="I4151" i="4"/>
  <c r="I4150" i="4"/>
  <c r="I4149" i="4"/>
  <c r="I4148" i="4"/>
  <c r="I4147" i="4"/>
  <c r="I4146" i="4"/>
  <c r="I4145" i="4"/>
  <c r="I4144" i="4"/>
  <c r="I4143" i="4"/>
  <c r="I4142" i="4"/>
  <c r="I4141" i="4"/>
  <c r="I4140" i="4"/>
  <c r="I4139" i="4"/>
  <c r="I4138" i="4"/>
  <c r="I4137" i="4"/>
  <c r="I4136" i="4"/>
  <c r="I4135" i="4"/>
  <c r="I4134" i="4"/>
  <c r="I4133" i="4"/>
  <c r="I4132" i="4"/>
  <c r="I4131" i="4"/>
  <c r="I4130" i="4"/>
  <c r="I4129" i="4"/>
  <c r="I4128" i="4"/>
  <c r="I4127" i="4"/>
  <c r="I4126" i="4"/>
  <c r="I4125" i="4"/>
  <c r="I4124" i="4"/>
  <c r="I4123" i="4"/>
  <c r="I4122" i="4"/>
  <c r="I4121" i="4"/>
  <c r="I4120" i="4"/>
  <c r="I4119" i="4"/>
  <c r="I4118" i="4"/>
  <c r="I4117" i="4"/>
  <c r="I4116" i="4"/>
  <c r="I4115" i="4"/>
  <c r="I4114" i="4"/>
  <c r="I4113" i="4"/>
  <c r="I4112" i="4"/>
  <c r="I4111" i="4"/>
  <c r="I4110" i="4"/>
  <c r="I4109" i="4"/>
  <c r="I4108" i="4"/>
  <c r="I4107" i="4"/>
  <c r="I4106" i="4"/>
  <c r="I4105" i="4"/>
  <c r="I4104" i="4"/>
  <c r="I4103" i="4"/>
  <c r="I4102" i="4"/>
  <c r="I4101" i="4"/>
  <c r="I4100" i="4"/>
  <c r="I4099" i="4"/>
  <c r="I4098" i="4"/>
  <c r="I4097" i="4"/>
  <c r="I4096" i="4"/>
  <c r="I4095" i="4"/>
  <c r="I4094" i="4"/>
  <c r="I4093" i="4"/>
  <c r="I4092" i="4"/>
  <c r="I4091" i="4"/>
  <c r="I4090" i="4"/>
  <c r="I4089" i="4"/>
  <c r="I4088" i="4"/>
  <c r="I4087" i="4"/>
  <c r="I4086" i="4"/>
  <c r="I4085" i="4"/>
  <c r="I4084" i="4"/>
  <c r="I4083" i="4"/>
  <c r="I4082" i="4"/>
  <c r="I4081" i="4"/>
  <c r="I4080" i="4"/>
  <c r="I4079" i="4"/>
  <c r="I4078" i="4"/>
  <c r="I4077" i="4"/>
  <c r="I4076" i="4"/>
  <c r="I4075" i="4"/>
  <c r="I4074" i="4"/>
  <c r="I4073" i="4"/>
  <c r="I4072" i="4"/>
  <c r="I4071" i="4"/>
  <c r="I4070" i="4"/>
  <c r="I4069" i="4"/>
  <c r="I4068" i="4"/>
  <c r="I4067" i="4"/>
  <c r="I4066" i="4"/>
  <c r="I4065" i="4"/>
  <c r="I4064" i="4"/>
  <c r="I4063" i="4"/>
  <c r="I4062" i="4"/>
  <c r="I4061" i="4"/>
  <c r="I4060" i="4"/>
  <c r="I4059" i="4"/>
  <c r="I4058" i="4"/>
  <c r="I4057" i="4"/>
  <c r="I4056" i="4"/>
  <c r="I4055" i="4"/>
  <c r="I4054" i="4"/>
  <c r="I4053" i="4"/>
  <c r="I4052" i="4"/>
  <c r="I4051" i="4"/>
  <c r="I4050" i="4"/>
  <c r="I4049" i="4"/>
  <c r="I4048" i="4"/>
  <c r="I4047" i="4"/>
  <c r="I4046" i="4"/>
  <c r="I4045" i="4"/>
  <c r="I4044" i="4"/>
  <c r="I4043" i="4"/>
  <c r="I4042" i="4"/>
  <c r="I4041" i="4"/>
  <c r="I4040" i="4"/>
  <c r="I4039" i="4"/>
  <c r="I4038" i="4"/>
  <c r="I4037" i="4"/>
  <c r="I4036" i="4"/>
  <c r="I4035" i="4"/>
  <c r="I4034" i="4"/>
  <c r="I4033" i="4"/>
  <c r="I4032" i="4"/>
  <c r="I4031" i="4"/>
  <c r="I4030" i="4"/>
  <c r="I4029" i="4"/>
  <c r="I4028" i="4"/>
  <c r="I4027" i="4"/>
  <c r="I4026" i="4"/>
  <c r="I4025" i="4"/>
  <c r="I4024" i="4"/>
  <c r="I4023" i="4"/>
  <c r="I4022" i="4"/>
  <c r="I4021" i="4"/>
  <c r="I4020" i="4"/>
  <c r="I4019" i="4"/>
  <c r="I4018" i="4"/>
  <c r="I4017" i="4"/>
  <c r="I4016" i="4"/>
  <c r="I4015" i="4"/>
  <c r="I4014" i="4"/>
  <c r="I4013" i="4"/>
  <c r="I4012" i="4"/>
  <c r="I4011" i="4"/>
  <c r="I4010" i="4"/>
  <c r="I4009" i="4"/>
  <c r="I4008" i="4"/>
  <c r="I4007" i="4"/>
  <c r="I4006" i="4"/>
  <c r="I4005" i="4"/>
  <c r="I4004" i="4"/>
  <c r="I4003" i="4"/>
  <c r="I4002" i="4"/>
  <c r="I4001" i="4"/>
  <c r="I4000" i="4"/>
  <c r="I3999" i="4"/>
  <c r="I3998" i="4"/>
  <c r="I3997" i="4"/>
  <c r="I3996" i="4"/>
  <c r="I3995" i="4"/>
  <c r="I3994" i="4"/>
  <c r="I3993" i="4"/>
  <c r="I3992" i="4"/>
  <c r="I3991" i="4"/>
  <c r="I3990" i="4"/>
  <c r="I3989" i="4"/>
  <c r="I3988" i="4"/>
  <c r="I3987" i="4"/>
  <c r="I3986" i="4"/>
  <c r="I3985" i="4"/>
  <c r="I3984" i="4"/>
  <c r="I3983" i="4"/>
  <c r="I3982" i="4"/>
  <c r="I3981" i="4"/>
  <c r="I3980" i="4"/>
  <c r="I3979" i="4"/>
  <c r="I3978" i="4"/>
  <c r="I3977" i="4"/>
  <c r="I3976" i="4"/>
  <c r="I3975" i="4"/>
  <c r="I3974" i="4"/>
  <c r="I3973" i="4"/>
  <c r="I3972" i="4"/>
  <c r="I3971" i="4"/>
  <c r="I3970" i="4"/>
  <c r="I3969" i="4"/>
  <c r="I3968" i="4"/>
  <c r="I3967" i="4"/>
  <c r="I3966" i="4"/>
  <c r="I3965" i="4"/>
  <c r="I3964" i="4"/>
  <c r="I3963" i="4"/>
  <c r="I3962" i="4"/>
  <c r="I3961" i="4"/>
  <c r="I3960" i="4"/>
  <c r="I3959" i="4"/>
  <c r="I3958" i="4"/>
  <c r="I3957" i="4"/>
  <c r="I3956" i="4"/>
  <c r="I3955" i="4"/>
  <c r="I3954" i="4"/>
  <c r="I3953" i="4"/>
  <c r="I3952" i="4"/>
  <c r="I3951" i="4"/>
  <c r="I3950" i="4"/>
  <c r="I3949" i="4"/>
  <c r="I3948" i="4"/>
  <c r="I3947" i="4"/>
  <c r="I3946" i="4"/>
  <c r="I3945" i="4"/>
  <c r="I3944" i="4"/>
  <c r="I3943" i="4"/>
  <c r="I3942" i="4"/>
  <c r="I3941" i="4"/>
  <c r="I3940" i="4"/>
  <c r="I3939" i="4"/>
  <c r="I3938" i="4"/>
  <c r="I3937" i="4"/>
  <c r="I3936" i="4"/>
  <c r="I3935" i="4"/>
  <c r="I3934" i="4"/>
  <c r="I3933" i="4"/>
  <c r="I3932" i="4"/>
  <c r="I3931" i="4"/>
  <c r="I3930" i="4"/>
  <c r="I3929" i="4"/>
  <c r="I3928" i="4"/>
  <c r="I3927" i="4"/>
  <c r="I3926" i="4"/>
  <c r="I3925" i="4"/>
  <c r="I3924" i="4"/>
  <c r="I3923" i="4"/>
  <c r="I3922" i="4"/>
  <c r="I3921" i="4"/>
  <c r="I3920" i="4"/>
  <c r="I3919" i="4"/>
  <c r="I3918" i="4"/>
  <c r="I3917" i="4"/>
  <c r="I3916" i="4"/>
  <c r="I3915" i="4"/>
  <c r="I3914" i="4"/>
  <c r="I3913" i="4"/>
  <c r="I3912" i="4"/>
  <c r="I3911" i="4"/>
  <c r="I3910" i="4"/>
  <c r="I3909" i="4"/>
  <c r="I3908" i="4"/>
  <c r="I3907" i="4"/>
  <c r="I3906" i="4"/>
  <c r="I3905" i="4"/>
  <c r="I3904" i="4"/>
  <c r="I3903" i="4"/>
  <c r="I3902" i="4"/>
  <c r="I3901" i="4"/>
  <c r="I3900" i="4"/>
  <c r="I3899" i="4"/>
  <c r="I3898" i="4"/>
  <c r="I3897" i="4"/>
  <c r="I3896" i="4"/>
  <c r="I3895" i="4"/>
  <c r="I3894" i="4"/>
  <c r="I3893" i="4"/>
  <c r="I3892" i="4"/>
  <c r="I3891" i="4"/>
  <c r="I3890" i="4"/>
  <c r="I3889" i="4"/>
  <c r="I3888" i="4"/>
  <c r="I3887" i="4"/>
  <c r="I3886" i="4"/>
  <c r="I3885" i="4"/>
  <c r="I3884" i="4"/>
  <c r="I3883" i="4"/>
  <c r="I3882" i="4"/>
  <c r="I3881" i="4"/>
  <c r="I3880" i="4"/>
  <c r="I3879" i="4"/>
  <c r="I3878" i="4"/>
  <c r="I3877" i="4"/>
  <c r="I3876" i="4"/>
  <c r="I3875" i="4"/>
  <c r="I3874" i="4"/>
  <c r="I3873" i="4"/>
  <c r="I3872" i="4"/>
  <c r="I3871" i="4"/>
  <c r="I3870" i="4"/>
  <c r="I3869" i="4"/>
  <c r="I3868" i="4"/>
  <c r="I3867" i="4"/>
  <c r="I3866" i="4"/>
  <c r="I3865" i="4"/>
  <c r="I3864" i="4"/>
  <c r="I3863" i="4"/>
  <c r="I3862" i="4"/>
  <c r="I3861" i="4"/>
  <c r="I3860" i="4"/>
  <c r="I3859" i="4"/>
  <c r="I3858" i="4"/>
  <c r="I3857" i="4"/>
  <c r="I3856" i="4"/>
  <c r="I3855" i="4"/>
  <c r="I3854" i="4"/>
  <c r="I3853" i="4"/>
  <c r="I3852" i="4"/>
  <c r="I3851" i="4"/>
  <c r="I3850" i="4"/>
  <c r="I3849" i="4"/>
  <c r="I3848" i="4"/>
  <c r="I3847" i="4"/>
  <c r="I3846" i="4"/>
  <c r="I3845" i="4"/>
  <c r="I3844" i="4"/>
  <c r="I3843" i="4"/>
  <c r="I3842" i="4"/>
  <c r="I3841" i="4"/>
  <c r="I3840" i="4"/>
  <c r="I3839" i="4"/>
  <c r="I3838" i="4"/>
  <c r="I3837" i="4"/>
  <c r="I3836" i="4"/>
  <c r="I3835" i="4"/>
  <c r="I3834" i="4"/>
  <c r="I3833" i="4"/>
  <c r="I3832" i="4"/>
  <c r="I3831" i="4"/>
  <c r="I3830" i="4"/>
  <c r="I3829" i="4"/>
  <c r="I3828" i="4"/>
  <c r="I3827" i="4"/>
  <c r="I3826" i="4"/>
  <c r="I3825" i="4"/>
  <c r="I3824" i="4"/>
  <c r="I3823" i="4"/>
  <c r="I3822" i="4"/>
  <c r="I3821" i="4"/>
  <c r="I3820" i="4"/>
  <c r="I3819" i="4"/>
  <c r="I3818" i="4"/>
  <c r="I3817" i="4"/>
  <c r="I3816" i="4"/>
  <c r="I3815" i="4"/>
  <c r="I3814" i="4"/>
  <c r="I3813" i="4"/>
  <c r="I3812" i="4"/>
  <c r="I3811" i="4"/>
  <c r="I3810" i="4"/>
  <c r="I3809" i="4"/>
  <c r="I3808" i="4"/>
  <c r="I3807" i="4"/>
  <c r="I3806" i="4"/>
  <c r="I3805" i="4"/>
  <c r="I3804" i="4"/>
  <c r="I3803" i="4"/>
  <c r="I3802" i="4"/>
  <c r="I3801" i="4"/>
  <c r="I3800" i="4"/>
  <c r="I3799" i="4"/>
  <c r="I3798" i="4"/>
  <c r="I3797" i="4"/>
  <c r="I3796" i="4"/>
  <c r="I3795" i="4"/>
  <c r="I3794" i="4"/>
  <c r="I3793" i="4"/>
  <c r="I3792" i="4"/>
  <c r="I3791" i="4"/>
  <c r="I3790" i="4"/>
  <c r="I3789" i="4"/>
  <c r="I3788" i="4"/>
  <c r="I3787" i="4"/>
  <c r="I3786" i="4"/>
  <c r="I3785" i="4"/>
  <c r="I3784" i="4"/>
  <c r="I3783" i="4"/>
  <c r="I3782" i="4"/>
  <c r="I3781" i="4"/>
  <c r="I3780" i="4"/>
  <c r="I3779" i="4"/>
  <c r="I3778" i="4"/>
  <c r="I3777" i="4"/>
  <c r="I3776" i="4"/>
  <c r="I3775" i="4"/>
  <c r="I3774" i="4"/>
  <c r="I3773" i="4"/>
  <c r="I3772" i="4"/>
  <c r="I3771" i="4"/>
  <c r="I3770" i="4"/>
  <c r="I3769" i="4"/>
  <c r="I3768" i="4"/>
  <c r="I3767" i="4"/>
  <c r="I3766" i="4"/>
  <c r="I3765" i="4"/>
  <c r="I3764" i="4"/>
  <c r="I3763" i="4"/>
  <c r="I3762" i="4"/>
  <c r="I3761" i="4"/>
  <c r="I3760" i="4"/>
  <c r="I3759" i="4"/>
  <c r="I3758" i="4"/>
  <c r="I3757" i="4"/>
  <c r="I3756" i="4"/>
  <c r="I3755" i="4"/>
  <c r="I3754" i="4"/>
  <c r="I3753" i="4"/>
  <c r="I3752" i="4"/>
  <c r="I3751" i="4"/>
  <c r="I3750" i="4"/>
  <c r="I3749" i="4"/>
  <c r="I3748" i="4"/>
  <c r="I3747" i="4"/>
  <c r="I3746" i="4"/>
  <c r="I3745" i="4"/>
  <c r="I3744" i="4"/>
  <c r="I3743" i="4"/>
  <c r="I3742" i="4"/>
  <c r="I3741" i="4"/>
  <c r="I3740" i="4"/>
  <c r="I3739" i="4"/>
  <c r="I3738" i="4"/>
  <c r="I3737" i="4"/>
  <c r="I3736" i="4"/>
  <c r="I3735" i="4"/>
  <c r="I3734" i="4"/>
  <c r="I3733" i="4"/>
  <c r="I3732" i="4"/>
  <c r="I3731" i="4"/>
  <c r="I3730" i="4"/>
  <c r="I3729" i="4"/>
  <c r="I3728" i="4"/>
  <c r="I3727" i="4"/>
  <c r="I3726" i="4"/>
  <c r="I3725" i="4"/>
  <c r="I3724" i="4"/>
  <c r="I3723" i="4"/>
  <c r="I3722" i="4"/>
  <c r="I3721" i="4"/>
  <c r="I3720" i="4"/>
  <c r="I3719" i="4"/>
  <c r="I3718" i="4"/>
  <c r="I3717" i="4"/>
  <c r="I3716" i="4"/>
  <c r="I3715" i="4"/>
  <c r="I3714" i="4"/>
  <c r="I3713" i="4"/>
  <c r="I3712" i="4"/>
  <c r="I3711" i="4"/>
  <c r="I3710" i="4"/>
  <c r="I3709" i="4"/>
  <c r="I3708" i="4"/>
  <c r="I3707" i="4"/>
  <c r="I3706" i="4"/>
  <c r="I3705" i="4"/>
  <c r="I3704" i="4"/>
  <c r="I3703" i="4"/>
  <c r="I3702" i="4"/>
  <c r="I3701" i="4"/>
  <c r="I3700" i="4"/>
  <c r="I3699" i="4"/>
  <c r="I3698" i="4"/>
  <c r="I3697" i="4"/>
  <c r="I3696" i="4"/>
  <c r="I3695" i="4"/>
  <c r="I3694" i="4"/>
  <c r="I3693" i="4"/>
  <c r="I3692" i="4"/>
  <c r="I3691" i="4"/>
  <c r="I3690" i="4"/>
  <c r="I3689" i="4"/>
  <c r="I3688" i="4"/>
  <c r="I3687" i="4"/>
  <c r="I3686" i="4"/>
  <c r="I3685" i="4"/>
  <c r="I3684" i="4"/>
  <c r="I3683" i="4"/>
  <c r="I3682" i="4"/>
  <c r="I3681" i="4"/>
  <c r="I3680" i="4"/>
  <c r="I3679" i="4"/>
  <c r="I3678" i="4"/>
  <c r="I3677" i="4"/>
  <c r="I3676" i="4"/>
  <c r="I3675" i="4"/>
  <c r="I3674" i="4"/>
  <c r="I3673" i="4"/>
  <c r="I3672" i="4"/>
  <c r="I3671" i="4"/>
  <c r="I3670" i="4"/>
  <c r="I3669" i="4"/>
  <c r="I3668" i="4"/>
  <c r="I3667" i="4"/>
  <c r="I3666" i="4"/>
  <c r="I3665" i="4"/>
  <c r="I3664" i="4"/>
  <c r="I3663" i="4"/>
  <c r="I3662" i="4"/>
  <c r="I3661" i="4"/>
  <c r="I3660" i="4"/>
  <c r="I3659" i="4"/>
  <c r="I3658" i="4"/>
  <c r="I3657" i="4"/>
  <c r="I3656" i="4"/>
  <c r="I3655" i="4"/>
  <c r="I3654" i="4"/>
  <c r="I3653" i="4"/>
  <c r="I3652" i="4"/>
  <c r="I3651" i="4"/>
  <c r="I3650" i="4"/>
  <c r="I3649" i="4"/>
  <c r="I3648" i="4"/>
  <c r="I3647" i="4"/>
  <c r="I3646" i="4"/>
  <c r="I3645" i="4"/>
  <c r="I3644" i="4"/>
  <c r="I3643" i="4"/>
  <c r="I3642" i="4"/>
  <c r="I3641" i="4"/>
  <c r="I3640" i="4"/>
  <c r="I3639" i="4"/>
  <c r="I3638" i="4"/>
  <c r="I3637" i="4"/>
  <c r="I3636" i="4"/>
  <c r="I3635" i="4"/>
  <c r="I3634" i="4"/>
  <c r="I3633" i="4"/>
  <c r="I3632" i="4"/>
  <c r="I3631" i="4"/>
  <c r="I3630" i="4"/>
  <c r="I3629" i="4"/>
  <c r="I3628" i="4"/>
  <c r="I3627" i="4"/>
  <c r="I3626" i="4"/>
  <c r="I3625" i="4"/>
  <c r="I3624" i="4"/>
  <c r="I3623" i="4"/>
  <c r="I3622" i="4"/>
  <c r="I3621" i="4"/>
  <c r="I3620" i="4"/>
  <c r="I3619" i="4"/>
  <c r="I3618" i="4"/>
  <c r="I3617" i="4"/>
  <c r="I3616" i="4"/>
  <c r="I3615" i="4"/>
  <c r="I3614" i="4"/>
  <c r="I3613" i="4"/>
  <c r="I3612" i="4"/>
  <c r="I3611" i="4"/>
  <c r="I3610" i="4"/>
  <c r="I3609" i="4"/>
  <c r="I3608" i="4"/>
  <c r="I3607" i="4"/>
  <c r="I3606" i="4"/>
  <c r="I3605" i="4"/>
  <c r="I3604" i="4"/>
  <c r="I3603" i="4"/>
  <c r="I3602" i="4"/>
  <c r="I3601" i="4"/>
  <c r="I3600" i="4"/>
  <c r="I3599" i="4"/>
  <c r="I3598" i="4"/>
  <c r="I3597" i="4"/>
  <c r="I3596" i="4"/>
  <c r="I3595" i="4"/>
  <c r="I3594" i="4"/>
  <c r="I3593" i="4"/>
  <c r="I3592" i="4"/>
  <c r="I3591" i="4"/>
  <c r="I3590" i="4"/>
  <c r="I3589" i="4"/>
  <c r="I3588" i="4"/>
  <c r="I3587" i="4"/>
  <c r="I3586" i="4"/>
  <c r="I3585" i="4"/>
  <c r="I3584" i="4"/>
  <c r="I3583" i="4"/>
  <c r="I3582" i="4"/>
  <c r="I3581" i="4"/>
  <c r="I3580" i="4"/>
  <c r="I3579" i="4"/>
  <c r="I3578" i="4"/>
  <c r="I3577" i="4"/>
  <c r="I3576" i="4"/>
  <c r="I3575" i="4"/>
  <c r="I3574" i="4"/>
  <c r="I3573" i="4"/>
  <c r="I3572" i="4"/>
  <c r="I3571" i="4"/>
  <c r="I3570" i="4"/>
  <c r="I3569" i="4"/>
  <c r="I3568" i="4"/>
  <c r="I3567" i="4"/>
  <c r="I3566" i="4"/>
  <c r="I3565" i="4"/>
  <c r="I3564" i="4"/>
  <c r="I3563" i="4"/>
  <c r="I3562" i="4"/>
  <c r="I3561" i="4"/>
  <c r="I3560" i="4"/>
  <c r="I3559" i="4"/>
  <c r="I3558" i="4"/>
  <c r="I3557" i="4"/>
  <c r="I3556" i="4"/>
  <c r="I3555" i="4"/>
  <c r="I3554" i="4"/>
  <c r="I3553" i="4"/>
  <c r="I3552" i="4"/>
  <c r="I3551" i="4"/>
  <c r="I3550" i="4"/>
  <c r="I3549" i="4"/>
  <c r="I3548" i="4"/>
  <c r="I3547" i="4"/>
  <c r="I3546" i="4"/>
  <c r="I3545" i="4"/>
  <c r="I3544" i="4"/>
  <c r="I3543" i="4"/>
  <c r="I3542" i="4"/>
  <c r="I3541" i="4"/>
  <c r="I3540" i="4"/>
  <c r="I3539" i="4"/>
  <c r="I3538" i="4"/>
  <c r="I3537" i="4"/>
  <c r="I3536" i="4"/>
  <c r="I3535" i="4"/>
  <c r="I3534" i="4"/>
  <c r="I3533" i="4"/>
  <c r="I3532" i="4"/>
  <c r="I3531" i="4"/>
  <c r="I3530" i="4"/>
  <c r="I3529" i="4"/>
  <c r="I3528" i="4"/>
  <c r="I3527" i="4"/>
  <c r="I3526" i="4"/>
  <c r="I3525" i="4"/>
  <c r="I3524" i="4"/>
  <c r="I3523" i="4"/>
  <c r="I3522" i="4"/>
  <c r="I3521" i="4"/>
  <c r="I3520" i="4"/>
  <c r="I3519" i="4"/>
  <c r="I3518" i="4"/>
  <c r="I3517" i="4"/>
  <c r="I3516" i="4"/>
  <c r="I3515" i="4"/>
  <c r="I3514" i="4"/>
  <c r="I3513" i="4"/>
  <c r="I3512" i="4"/>
  <c r="I3511" i="4"/>
  <c r="I3510" i="4"/>
  <c r="I3509" i="4"/>
  <c r="I3508" i="4"/>
  <c r="I3507" i="4"/>
  <c r="I3506" i="4"/>
  <c r="I3505" i="4"/>
  <c r="I3504" i="4"/>
  <c r="I3503" i="4"/>
  <c r="I3502" i="4"/>
  <c r="I3501" i="4"/>
  <c r="I3500" i="4"/>
  <c r="I3499" i="4"/>
  <c r="I3498" i="4"/>
  <c r="I3497" i="4"/>
  <c r="I3496" i="4"/>
  <c r="I3495" i="4"/>
  <c r="I3494" i="4"/>
  <c r="I3493" i="4"/>
  <c r="I3492" i="4"/>
  <c r="I3491" i="4"/>
  <c r="I3490" i="4"/>
  <c r="I3489" i="4"/>
  <c r="I3488" i="4"/>
  <c r="I3487" i="4"/>
  <c r="I3486" i="4"/>
  <c r="I3485" i="4"/>
  <c r="I3484" i="4"/>
  <c r="I3483" i="4"/>
  <c r="I3482" i="4"/>
  <c r="I3481" i="4"/>
  <c r="I3480" i="4"/>
  <c r="I3479" i="4"/>
  <c r="I3478" i="4"/>
  <c r="I3477" i="4"/>
  <c r="I3476" i="4"/>
  <c r="I3475" i="4"/>
  <c r="I3474" i="4"/>
  <c r="I3473" i="4"/>
  <c r="I3472" i="4"/>
  <c r="I3471" i="4"/>
  <c r="I3470" i="4"/>
  <c r="I3469" i="4"/>
  <c r="I3468" i="4"/>
  <c r="I3467" i="4"/>
  <c r="I3466" i="4"/>
  <c r="I3465" i="4"/>
  <c r="I3464" i="4"/>
  <c r="I3463" i="4"/>
  <c r="I3462" i="4"/>
  <c r="I3461" i="4"/>
  <c r="I3460" i="4"/>
  <c r="I3459" i="4"/>
  <c r="I3458" i="4"/>
  <c r="I3457" i="4"/>
  <c r="I3456" i="4"/>
  <c r="I3455" i="4"/>
  <c r="I3454" i="4"/>
  <c r="I3453" i="4"/>
  <c r="I3452" i="4"/>
  <c r="I3451" i="4"/>
  <c r="I3450" i="4"/>
  <c r="I3449" i="4"/>
  <c r="I3448" i="4"/>
  <c r="I3447" i="4"/>
  <c r="I3446" i="4"/>
  <c r="I3445" i="4"/>
  <c r="I3444" i="4"/>
  <c r="I3443" i="4"/>
  <c r="I3442" i="4"/>
  <c r="I3441" i="4"/>
  <c r="I3440" i="4"/>
  <c r="I3439" i="4"/>
  <c r="I3438" i="4"/>
  <c r="I3437" i="4"/>
  <c r="I3436" i="4"/>
  <c r="I3435" i="4"/>
  <c r="I3434" i="4"/>
  <c r="I3433" i="4"/>
  <c r="I3432" i="4"/>
  <c r="I3431" i="4"/>
  <c r="I3430" i="4"/>
  <c r="I3429" i="4"/>
  <c r="I3428" i="4"/>
  <c r="I3427" i="4"/>
  <c r="I3426" i="4"/>
  <c r="I3425" i="4"/>
  <c r="I3424" i="4"/>
  <c r="I3423" i="4"/>
  <c r="I3422" i="4"/>
  <c r="I3421" i="4"/>
  <c r="I3420" i="4"/>
  <c r="I3419" i="4"/>
  <c r="I3418" i="4"/>
  <c r="I3417" i="4"/>
  <c r="I3416" i="4"/>
  <c r="I3415" i="4"/>
  <c r="I3414" i="4"/>
  <c r="I3413" i="4"/>
  <c r="I3412" i="4"/>
  <c r="I3411" i="4"/>
  <c r="I3410" i="4"/>
  <c r="I3409" i="4"/>
  <c r="I3408" i="4"/>
  <c r="I3407" i="4"/>
  <c r="I3406" i="4"/>
  <c r="I3405" i="4"/>
  <c r="I3404" i="4"/>
  <c r="I3403" i="4"/>
  <c r="I3402" i="4"/>
  <c r="I3401" i="4"/>
  <c r="I3400" i="4"/>
  <c r="I3399" i="4"/>
  <c r="I3398" i="4"/>
  <c r="I3397" i="4"/>
  <c r="I3396" i="4"/>
  <c r="I3395" i="4"/>
  <c r="I3394" i="4"/>
  <c r="I3393" i="4"/>
  <c r="I3392" i="4"/>
  <c r="I3391" i="4"/>
  <c r="I3390" i="4"/>
  <c r="I3389" i="4"/>
  <c r="I3388" i="4"/>
  <c r="I3387" i="4"/>
  <c r="I3386" i="4"/>
  <c r="I3385" i="4"/>
  <c r="I3384" i="4"/>
  <c r="I3383" i="4"/>
  <c r="I3382" i="4"/>
  <c r="I3381" i="4"/>
  <c r="I3380" i="4"/>
  <c r="I3379" i="4"/>
  <c r="I3378" i="4"/>
  <c r="I3377" i="4"/>
  <c r="I3376" i="4"/>
  <c r="I3375" i="4"/>
  <c r="I3374" i="4"/>
  <c r="I3373" i="4"/>
  <c r="I3372" i="4"/>
  <c r="I3371" i="4"/>
  <c r="I3370" i="4"/>
  <c r="I3369" i="4"/>
  <c r="I3368" i="4"/>
  <c r="I3367" i="4"/>
  <c r="I3366" i="4"/>
  <c r="I3365" i="4"/>
  <c r="I3364" i="4"/>
  <c r="I3363" i="4"/>
  <c r="I3362" i="4"/>
  <c r="I3361" i="4"/>
  <c r="I3360" i="4"/>
  <c r="I3359" i="4"/>
  <c r="I3358" i="4"/>
  <c r="I3357" i="4"/>
  <c r="I3356" i="4"/>
  <c r="I3355" i="4"/>
  <c r="I3354" i="4"/>
  <c r="I3353" i="4"/>
  <c r="I3352" i="4"/>
  <c r="I3351" i="4"/>
  <c r="I3350" i="4"/>
  <c r="I3349" i="4"/>
  <c r="I3348" i="4"/>
  <c r="I3347" i="4"/>
  <c r="I3346" i="4"/>
  <c r="I3345" i="4"/>
  <c r="I3344" i="4"/>
  <c r="I3343" i="4"/>
  <c r="I3342" i="4"/>
  <c r="I3341" i="4"/>
  <c r="I3340" i="4"/>
  <c r="I3339" i="4"/>
  <c r="I3338" i="4"/>
  <c r="I3337" i="4"/>
  <c r="I3336" i="4"/>
  <c r="I3335" i="4"/>
  <c r="I3334" i="4"/>
  <c r="I3333" i="4"/>
  <c r="I3332" i="4"/>
  <c r="I3331" i="4"/>
  <c r="I3330" i="4"/>
  <c r="I3329" i="4"/>
  <c r="I3328" i="4"/>
  <c r="I3327" i="4"/>
  <c r="I3326" i="4"/>
  <c r="I3325" i="4"/>
  <c r="I3324" i="4"/>
  <c r="I3323" i="4"/>
  <c r="I3322" i="4"/>
  <c r="I3321" i="4"/>
  <c r="I3320" i="4"/>
  <c r="I3319" i="4"/>
  <c r="I3318" i="4"/>
  <c r="I3317" i="4"/>
  <c r="I3316" i="4"/>
  <c r="I3315" i="4"/>
  <c r="I3314" i="4"/>
  <c r="I3313" i="4"/>
  <c r="I3312" i="4"/>
  <c r="I3311" i="4"/>
  <c r="I3310" i="4"/>
  <c r="I3309" i="4"/>
  <c r="I3308" i="4"/>
  <c r="I3307" i="4"/>
  <c r="I3306" i="4"/>
  <c r="I3305" i="4"/>
  <c r="I3304" i="4"/>
  <c r="I3303" i="4"/>
  <c r="I3302" i="4"/>
  <c r="I3301" i="4"/>
  <c r="I3300" i="4"/>
  <c r="I3299" i="4"/>
  <c r="I3298" i="4"/>
  <c r="I3297" i="4"/>
  <c r="I3296" i="4"/>
  <c r="I3295" i="4"/>
  <c r="I3294" i="4"/>
  <c r="I3293" i="4"/>
  <c r="I3292" i="4"/>
  <c r="I3291" i="4"/>
  <c r="I3290" i="4"/>
  <c r="I3289" i="4"/>
  <c r="I3288" i="4"/>
  <c r="I3287" i="4"/>
  <c r="I3286" i="4"/>
  <c r="I3285" i="4"/>
  <c r="I3284" i="4"/>
  <c r="I3283" i="4"/>
  <c r="I3282" i="4"/>
  <c r="I3281" i="4"/>
  <c r="I3280" i="4"/>
  <c r="I3279" i="4"/>
  <c r="I3278" i="4"/>
  <c r="I3277" i="4"/>
  <c r="I3276" i="4"/>
  <c r="I3275" i="4"/>
  <c r="I3274" i="4"/>
  <c r="I3273" i="4"/>
  <c r="I3272" i="4"/>
  <c r="I3271" i="4"/>
  <c r="I3270" i="4"/>
  <c r="I3269" i="4"/>
  <c r="I3268" i="4"/>
  <c r="I3267" i="4"/>
  <c r="I3266" i="4"/>
  <c r="I3265" i="4"/>
  <c r="I3264" i="4"/>
  <c r="I3263" i="4"/>
  <c r="I3262" i="4"/>
  <c r="I3261" i="4"/>
  <c r="I3260" i="4"/>
  <c r="I3259" i="4"/>
  <c r="I3258" i="4"/>
  <c r="I3257" i="4"/>
  <c r="I3256" i="4"/>
  <c r="I3255" i="4"/>
  <c r="I3254" i="4"/>
  <c r="I3253" i="4"/>
  <c r="I3252" i="4"/>
  <c r="I3251" i="4"/>
  <c r="I3250" i="4"/>
  <c r="I3249" i="4"/>
  <c r="I3248" i="4"/>
  <c r="I3247" i="4"/>
  <c r="I3246" i="4"/>
  <c r="I3245" i="4"/>
  <c r="I3244" i="4"/>
  <c r="I3243" i="4"/>
  <c r="I3242" i="4"/>
  <c r="I3241" i="4"/>
  <c r="I3240" i="4"/>
  <c r="I3239" i="4"/>
  <c r="I3238" i="4"/>
  <c r="I3237" i="4"/>
  <c r="I3236" i="4"/>
  <c r="I3235" i="4"/>
  <c r="I3234" i="4"/>
  <c r="I3233" i="4"/>
  <c r="I3232" i="4"/>
  <c r="I3231" i="4"/>
  <c r="I3230" i="4"/>
  <c r="I3229" i="4"/>
  <c r="I3228" i="4"/>
  <c r="I3227" i="4"/>
  <c r="I3226" i="4"/>
  <c r="I3225" i="4"/>
  <c r="I3224" i="4"/>
  <c r="I3223" i="4"/>
  <c r="I3222" i="4"/>
  <c r="I3221" i="4"/>
  <c r="I3220" i="4"/>
  <c r="I3219" i="4"/>
  <c r="I3218" i="4"/>
  <c r="I3217" i="4"/>
  <c r="I3216" i="4"/>
  <c r="I3215" i="4"/>
  <c r="I3214" i="4"/>
  <c r="I3213" i="4"/>
  <c r="I3212" i="4"/>
  <c r="I3211" i="4"/>
  <c r="I3210" i="4"/>
  <c r="I3209" i="4"/>
  <c r="I3208" i="4"/>
  <c r="I3207" i="4"/>
  <c r="I3206" i="4"/>
  <c r="I3205" i="4"/>
  <c r="I3204" i="4"/>
  <c r="I3203" i="4"/>
  <c r="I3202" i="4"/>
  <c r="I3201" i="4"/>
  <c r="I3200" i="4"/>
  <c r="I3199" i="4"/>
  <c r="I3198" i="4"/>
  <c r="I3197" i="4"/>
  <c r="I3196" i="4"/>
  <c r="I3195" i="4"/>
  <c r="I3194" i="4"/>
  <c r="I3193" i="4"/>
  <c r="I3192" i="4"/>
  <c r="I3191" i="4"/>
  <c r="I3190" i="4"/>
  <c r="I3189" i="4"/>
  <c r="I3188" i="4"/>
  <c r="I3187" i="4"/>
  <c r="I3186" i="4"/>
  <c r="I3185" i="4"/>
  <c r="I3184" i="4"/>
  <c r="I3183" i="4"/>
  <c r="I3182" i="4"/>
  <c r="I3181" i="4"/>
  <c r="I3180" i="4"/>
  <c r="I3179" i="4"/>
  <c r="I3178" i="4"/>
  <c r="I3177" i="4"/>
  <c r="I3176" i="4"/>
  <c r="I3175" i="4"/>
  <c r="I3174" i="4"/>
  <c r="I3173" i="4"/>
  <c r="I3172" i="4"/>
  <c r="I3171" i="4"/>
  <c r="I3170" i="4"/>
  <c r="I3169" i="4"/>
  <c r="I3168" i="4"/>
  <c r="I3167" i="4"/>
  <c r="I3166" i="4"/>
  <c r="I3165" i="4"/>
  <c r="I3164" i="4"/>
  <c r="I3163" i="4"/>
  <c r="I3162" i="4"/>
  <c r="I3161" i="4"/>
  <c r="I3160" i="4"/>
  <c r="I3159" i="4"/>
  <c r="I3158" i="4"/>
  <c r="I3157" i="4"/>
  <c r="I3156" i="4"/>
  <c r="I3155" i="4"/>
  <c r="I3154" i="4"/>
  <c r="I3153" i="4"/>
  <c r="I3152" i="4"/>
  <c r="I3151" i="4"/>
  <c r="I3150" i="4"/>
  <c r="I3149" i="4"/>
  <c r="I3148" i="4"/>
  <c r="I3147" i="4"/>
  <c r="I3146" i="4"/>
  <c r="I3145" i="4"/>
  <c r="I3144" i="4"/>
  <c r="I3143" i="4"/>
  <c r="I3142" i="4"/>
  <c r="I3141" i="4"/>
  <c r="I3140" i="4"/>
  <c r="I3139" i="4"/>
  <c r="I3138" i="4"/>
  <c r="I3137" i="4"/>
  <c r="I3136" i="4"/>
  <c r="I3135" i="4"/>
  <c r="I3134" i="4"/>
  <c r="I3133" i="4"/>
  <c r="I3132" i="4"/>
  <c r="I3131" i="4"/>
  <c r="I3130" i="4"/>
  <c r="I3129" i="4"/>
  <c r="I3128" i="4"/>
  <c r="I3127" i="4"/>
  <c r="I3126" i="4"/>
  <c r="I3125" i="4"/>
  <c r="I3124" i="4"/>
  <c r="I3123" i="4"/>
  <c r="I3122" i="4"/>
  <c r="I3121" i="4"/>
  <c r="I3120" i="4"/>
  <c r="I3119" i="4"/>
  <c r="I3118" i="4"/>
  <c r="I3117" i="4"/>
  <c r="I3116" i="4"/>
  <c r="I3115" i="4"/>
  <c r="I3114" i="4"/>
  <c r="I3113" i="4"/>
  <c r="I3112" i="4"/>
  <c r="I3111" i="4"/>
  <c r="I3110" i="4"/>
  <c r="I3109" i="4"/>
  <c r="I3108" i="4"/>
  <c r="I3107" i="4"/>
  <c r="I3106" i="4"/>
  <c r="I3105" i="4"/>
  <c r="I3104" i="4"/>
  <c r="I3103" i="4"/>
  <c r="I3102" i="4"/>
  <c r="I3101" i="4"/>
  <c r="I3100" i="4"/>
  <c r="I3099" i="4"/>
  <c r="I3098" i="4"/>
  <c r="I3097" i="4"/>
  <c r="I3096" i="4"/>
  <c r="I3095" i="4"/>
  <c r="I3094" i="4"/>
  <c r="I3093" i="4"/>
  <c r="I3092" i="4"/>
  <c r="I3091" i="4"/>
  <c r="I3090" i="4"/>
  <c r="I3089" i="4"/>
  <c r="I3088" i="4"/>
  <c r="I3087" i="4"/>
  <c r="I3086" i="4"/>
  <c r="I3085" i="4"/>
  <c r="I3084" i="4"/>
  <c r="I3083" i="4"/>
  <c r="I3082" i="4"/>
  <c r="I3081" i="4"/>
  <c r="I3080" i="4"/>
  <c r="I3079" i="4"/>
  <c r="I3078" i="4"/>
  <c r="I3077" i="4"/>
  <c r="I3076" i="4"/>
  <c r="I3075" i="4"/>
  <c r="I3074" i="4"/>
  <c r="I3073" i="4"/>
  <c r="I3072" i="4"/>
  <c r="I3071" i="4"/>
  <c r="I3070" i="4"/>
  <c r="I3069" i="4"/>
  <c r="I3068" i="4"/>
  <c r="I3067" i="4"/>
  <c r="I3066" i="4"/>
  <c r="I3065" i="4"/>
  <c r="I3064" i="4"/>
  <c r="I3063" i="4"/>
  <c r="I3062" i="4"/>
  <c r="I3061" i="4"/>
  <c r="I3060" i="4"/>
  <c r="I3059" i="4"/>
  <c r="I3058" i="4"/>
  <c r="I3057" i="4"/>
  <c r="I3056" i="4"/>
  <c r="I3055" i="4"/>
  <c r="I3054" i="4"/>
  <c r="I3053" i="4"/>
  <c r="I3052" i="4"/>
  <c r="I3051" i="4"/>
  <c r="I3050" i="4"/>
  <c r="I3049" i="4"/>
  <c r="I3048" i="4"/>
  <c r="I3047" i="4"/>
  <c r="I3046" i="4"/>
  <c r="I3045" i="4"/>
  <c r="I3044" i="4"/>
  <c r="I3043" i="4"/>
  <c r="I3042" i="4"/>
  <c r="I3041" i="4"/>
  <c r="I3040" i="4"/>
  <c r="I3039" i="4"/>
  <c r="I3038" i="4"/>
  <c r="I3037" i="4"/>
  <c r="I3036" i="4"/>
  <c r="I3035" i="4"/>
  <c r="I3034" i="4"/>
  <c r="I3033" i="4"/>
  <c r="I3032" i="4"/>
  <c r="I3031" i="4"/>
  <c r="I3030" i="4"/>
  <c r="I3029" i="4"/>
  <c r="I3028" i="4"/>
  <c r="I3027" i="4"/>
  <c r="I3026" i="4"/>
  <c r="I3025" i="4"/>
  <c r="I3024" i="4"/>
  <c r="I3023" i="4"/>
  <c r="I3022" i="4"/>
  <c r="I3021" i="4"/>
  <c r="I3020" i="4"/>
  <c r="I3019" i="4"/>
  <c r="I3018" i="4"/>
  <c r="I3017" i="4"/>
  <c r="I3016" i="4"/>
  <c r="I3015" i="4"/>
  <c r="I3014" i="4"/>
  <c r="I3013" i="4"/>
  <c r="I3012" i="4"/>
  <c r="I3011" i="4"/>
  <c r="I3010" i="4"/>
  <c r="I3009" i="4"/>
  <c r="I3008" i="4"/>
  <c r="I3007" i="4"/>
  <c r="I3006" i="4"/>
  <c r="I3005" i="4"/>
  <c r="I3004" i="4"/>
  <c r="I3003" i="4"/>
  <c r="I3002" i="4"/>
  <c r="I3001" i="4"/>
  <c r="I3000" i="4"/>
  <c r="I2999" i="4"/>
  <c r="I2998" i="4"/>
  <c r="I2997" i="4"/>
  <c r="I2996" i="4"/>
  <c r="I2995" i="4"/>
  <c r="I2994" i="4"/>
  <c r="I2993" i="4"/>
  <c r="I2992" i="4"/>
  <c r="I2991" i="4"/>
  <c r="I2990" i="4"/>
  <c r="I2989" i="4"/>
  <c r="I2988" i="4"/>
  <c r="I2987" i="4"/>
  <c r="I2986" i="4"/>
  <c r="I2985" i="4"/>
  <c r="I2984" i="4"/>
  <c r="I2983" i="4"/>
  <c r="I2982" i="4"/>
  <c r="I2981" i="4"/>
  <c r="I2980" i="4"/>
  <c r="I2979" i="4"/>
  <c r="I2978" i="4"/>
  <c r="I2977" i="4"/>
  <c r="I2976" i="4"/>
  <c r="I2975" i="4"/>
  <c r="I2974" i="4"/>
  <c r="I2973" i="4"/>
  <c r="I2972" i="4"/>
  <c r="I2971" i="4"/>
  <c r="I2970" i="4"/>
  <c r="I2969" i="4"/>
  <c r="I2968" i="4"/>
  <c r="I2967" i="4"/>
  <c r="I2966" i="4"/>
  <c r="I2965" i="4"/>
  <c r="I2964" i="4"/>
  <c r="I2963" i="4"/>
  <c r="I2962" i="4"/>
  <c r="I2961" i="4"/>
  <c r="I2960" i="4"/>
  <c r="I2959" i="4"/>
  <c r="I2958" i="4"/>
  <c r="I2957" i="4"/>
  <c r="I2956" i="4"/>
  <c r="I2955" i="4"/>
  <c r="I2954" i="4"/>
  <c r="I2953" i="4"/>
  <c r="I2952" i="4"/>
  <c r="I2951" i="4"/>
  <c r="I2950" i="4"/>
  <c r="I2949" i="4"/>
  <c r="I2948" i="4"/>
  <c r="I2947" i="4"/>
  <c r="I2946" i="4"/>
  <c r="I2945" i="4"/>
  <c r="I2944" i="4"/>
  <c r="I2943" i="4"/>
  <c r="I2942" i="4"/>
  <c r="I2941" i="4"/>
  <c r="I2940" i="4"/>
  <c r="I2939" i="4"/>
  <c r="I2938" i="4"/>
  <c r="I2937" i="4"/>
  <c r="I2936" i="4"/>
  <c r="I2935" i="4"/>
  <c r="I2934" i="4"/>
  <c r="I2933" i="4"/>
  <c r="I2932" i="4"/>
  <c r="I2931" i="4"/>
  <c r="I2930" i="4"/>
  <c r="I2929" i="4"/>
  <c r="I2928" i="4"/>
  <c r="I2927" i="4"/>
  <c r="I2926" i="4"/>
  <c r="I2925" i="4"/>
  <c r="I2924" i="4"/>
  <c r="I2923" i="4"/>
  <c r="I2922" i="4"/>
  <c r="I2921" i="4"/>
  <c r="I2920" i="4"/>
  <c r="I2919" i="4"/>
  <c r="I2918" i="4"/>
  <c r="I2917" i="4"/>
  <c r="I2916" i="4"/>
  <c r="I2915" i="4"/>
  <c r="I2914" i="4"/>
  <c r="I2913" i="4"/>
  <c r="I2912" i="4"/>
  <c r="I2911" i="4"/>
  <c r="I2910" i="4"/>
  <c r="I2909" i="4"/>
  <c r="I2908" i="4"/>
  <c r="I2907" i="4"/>
  <c r="I2906" i="4"/>
  <c r="I2905" i="4"/>
  <c r="I2904" i="4"/>
  <c r="I2903" i="4"/>
  <c r="I2902" i="4"/>
  <c r="I2901" i="4"/>
  <c r="I2900" i="4"/>
  <c r="I2899" i="4"/>
  <c r="I2898" i="4"/>
  <c r="I2897" i="4"/>
  <c r="I2896" i="4"/>
  <c r="I2895" i="4"/>
  <c r="I2894" i="4"/>
  <c r="I2893" i="4"/>
  <c r="I2892" i="4"/>
  <c r="I2891" i="4"/>
  <c r="I2890" i="4"/>
  <c r="I2889" i="4"/>
  <c r="I2888" i="4"/>
  <c r="I2887" i="4"/>
  <c r="I2886" i="4"/>
  <c r="I2885" i="4"/>
  <c r="I2884" i="4"/>
  <c r="I2883" i="4"/>
  <c r="I2882" i="4"/>
  <c r="I2881" i="4"/>
  <c r="I2880" i="4"/>
  <c r="I2879" i="4"/>
  <c r="I2878" i="4"/>
  <c r="I2877" i="4"/>
  <c r="I2876" i="4"/>
  <c r="I2875" i="4"/>
  <c r="I2874" i="4"/>
  <c r="I2873" i="4"/>
  <c r="I2872" i="4"/>
  <c r="I2871" i="4"/>
  <c r="I2870" i="4"/>
  <c r="I2869" i="4"/>
  <c r="I2868" i="4"/>
  <c r="I2867" i="4"/>
  <c r="I2866" i="4"/>
  <c r="I2865" i="4"/>
  <c r="I2864" i="4"/>
  <c r="I2863" i="4"/>
  <c r="I2862" i="4"/>
  <c r="I2861" i="4"/>
  <c r="I2860" i="4"/>
  <c r="I2859" i="4"/>
  <c r="I2858" i="4"/>
  <c r="I2857" i="4"/>
  <c r="I2856" i="4"/>
  <c r="I2855" i="4"/>
  <c r="I2854" i="4"/>
  <c r="I2853" i="4"/>
  <c r="I2852" i="4"/>
  <c r="I2851" i="4"/>
  <c r="I2850" i="4"/>
  <c r="I2849" i="4"/>
  <c r="I2848" i="4"/>
  <c r="I2847" i="4"/>
  <c r="I2846" i="4"/>
  <c r="I2845" i="4"/>
  <c r="I2844" i="4"/>
  <c r="I2843" i="4"/>
  <c r="I2842" i="4"/>
  <c r="I2841" i="4"/>
  <c r="I2840" i="4"/>
  <c r="I2839" i="4"/>
  <c r="I2838" i="4"/>
  <c r="I2837" i="4"/>
  <c r="I2836" i="4"/>
  <c r="I2835" i="4"/>
  <c r="I2834" i="4"/>
  <c r="I2833" i="4"/>
  <c r="I2832" i="4"/>
  <c r="I2831" i="4"/>
  <c r="I2830" i="4"/>
  <c r="I2829" i="4"/>
  <c r="I2828" i="4"/>
  <c r="I2827" i="4"/>
  <c r="I2826" i="4"/>
  <c r="I2825" i="4"/>
  <c r="I2824" i="4"/>
  <c r="I2823" i="4"/>
  <c r="I2822" i="4"/>
  <c r="I2821" i="4"/>
  <c r="I2820" i="4"/>
  <c r="I2819" i="4"/>
  <c r="I2818" i="4"/>
  <c r="I2817" i="4"/>
  <c r="I2816" i="4"/>
  <c r="I2815" i="4"/>
  <c r="I2814" i="4"/>
  <c r="I2813" i="4"/>
  <c r="I2812" i="4"/>
  <c r="I2811" i="4"/>
  <c r="I2810" i="4"/>
  <c r="I2809" i="4"/>
  <c r="I2808" i="4"/>
  <c r="I2807" i="4"/>
  <c r="I2806" i="4"/>
  <c r="I2805" i="4"/>
  <c r="I2804" i="4"/>
  <c r="I2803" i="4"/>
  <c r="I2802" i="4"/>
  <c r="I2801" i="4"/>
  <c r="I2800" i="4"/>
  <c r="I2799" i="4"/>
  <c r="I2798" i="4"/>
  <c r="I2797" i="4"/>
  <c r="I2796" i="4"/>
  <c r="I2795" i="4"/>
  <c r="I2794" i="4"/>
  <c r="I2793" i="4"/>
  <c r="I2792" i="4"/>
  <c r="I2791" i="4"/>
  <c r="I2790" i="4"/>
  <c r="I2789" i="4"/>
  <c r="I2788" i="4"/>
  <c r="I2787" i="4"/>
  <c r="I2786" i="4"/>
  <c r="I2785" i="4"/>
  <c r="I2784" i="4"/>
  <c r="I2783" i="4"/>
  <c r="I2782" i="4"/>
  <c r="I2781" i="4"/>
  <c r="I2780" i="4"/>
  <c r="I2779" i="4"/>
  <c r="I2778" i="4"/>
  <c r="I2777" i="4"/>
  <c r="I2776" i="4"/>
  <c r="I2775" i="4"/>
  <c r="I2774" i="4"/>
  <c r="I2773" i="4"/>
  <c r="I2772" i="4"/>
  <c r="I2771" i="4"/>
  <c r="I2770" i="4"/>
  <c r="I2769" i="4"/>
  <c r="I2768" i="4"/>
  <c r="I2767" i="4"/>
  <c r="I2766" i="4"/>
  <c r="I2765" i="4"/>
  <c r="I2764" i="4"/>
  <c r="I2763" i="4"/>
  <c r="I2762" i="4"/>
  <c r="I2761" i="4"/>
  <c r="I2760" i="4"/>
  <c r="I2759" i="4"/>
  <c r="I2758" i="4"/>
  <c r="I2757" i="4"/>
  <c r="I2756" i="4"/>
  <c r="I2755" i="4"/>
  <c r="I2754" i="4"/>
  <c r="I2753" i="4"/>
  <c r="I2752" i="4"/>
  <c r="I2751" i="4"/>
  <c r="I2750" i="4"/>
  <c r="I2749" i="4"/>
  <c r="I2748" i="4"/>
  <c r="I2747" i="4"/>
  <c r="I2746" i="4"/>
  <c r="I2745" i="4"/>
  <c r="I2744" i="4"/>
  <c r="I2743" i="4"/>
  <c r="I2742" i="4"/>
  <c r="I2741" i="4"/>
  <c r="I2740" i="4"/>
  <c r="I2739" i="4"/>
  <c r="I2738" i="4"/>
  <c r="I2737" i="4"/>
  <c r="I2736" i="4"/>
  <c r="I2735" i="4"/>
  <c r="I2734" i="4"/>
  <c r="I2733" i="4"/>
  <c r="I2732" i="4"/>
  <c r="I2731" i="4"/>
  <c r="I2730" i="4"/>
  <c r="I2729" i="4"/>
  <c r="I2728" i="4"/>
  <c r="I2727" i="4"/>
  <c r="I2726" i="4"/>
  <c r="I2725" i="4"/>
  <c r="I2724" i="4"/>
  <c r="I2723" i="4"/>
  <c r="I2722" i="4"/>
  <c r="I2721" i="4"/>
  <c r="I2720" i="4"/>
  <c r="I2719" i="4"/>
  <c r="I2718" i="4"/>
  <c r="I2717" i="4"/>
  <c r="I2716" i="4"/>
  <c r="I2715" i="4"/>
  <c r="I2714" i="4"/>
  <c r="I2713" i="4"/>
  <c r="I2712" i="4"/>
  <c r="I2711" i="4"/>
  <c r="I2710" i="4"/>
  <c r="I2709" i="4"/>
  <c r="I2708" i="4"/>
  <c r="I2707" i="4"/>
  <c r="I2706" i="4"/>
  <c r="I2705" i="4"/>
  <c r="I2704" i="4"/>
  <c r="I2703" i="4"/>
  <c r="I2702" i="4"/>
  <c r="I2701" i="4"/>
  <c r="I2700" i="4"/>
  <c r="I2699" i="4"/>
  <c r="I2698" i="4"/>
  <c r="I2697" i="4"/>
  <c r="I2696" i="4"/>
  <c r="I2695" i="4"/>
  <c r="I2694" i="4"/>
  <c r="I2693" i="4"/>
  <c r="I2692" i="4"/>
  <c r="I2691" i="4"/>
  <c r="I2690" i="4"/>
  <c r="I2689" i="4"/>
  <c r="I2688" i="4"/>
  <c r="I2687" i="4"/>
  <c r="I2686" i="4"/>
  <c r="I2685" i="4"/>
  <c r="I2684" i="4"/>
  <c r="I2683" i="4"/>
  <c r="I2682" i="4"/>
  <c r="I2681" i="4"/>
  <c r="I2680" i="4"/>
  <c r="I2679" i="4"/>
  <c r="I2678" i="4"/>
  <c r="I2677" i="4"/>
  <c r="I2676" i="4"/>
  <c r="I2675" i="4"/>
  <c r="I2674" i="4"/>
  <c r="I2673" i="4"/>
  <c r="I2672" i="4"/>
  <c r="I2671" i="4"/>
  <c r="I2670" i="4"/>
  <c r="I2669" i="4"/>
  <c r="I2668" i="4"/>
  <c r="I2667" i="4"/>
  <c r="I2666" i="4"/>
  <c r="I2665" i="4"/>
  <c r="I2664" i="4"/>
  <c r="I2663" i="4"/>
  <c r="I2662" i="4"/>
  <c r="I2661" i="4"/>
  <c r="I2660" i="4"/>
  <c r="I2659" i="4"/>
  <c r="I2658" i="4"/>
  <c r="I2657" i="4"/>
  <c r="I2656" i="4"/>
  <c r="I2655" i="4"/>
  <c r="I2654" i="4"/>
  <c r="I2653" i="4"/>
  <c r="I2652" i="4"/>
  <c r="I2651" i="4"/>
  <c r="I2650" i="4"/>
  <c r="I2649" i="4"/>
  <c r="I2648" i="4"/>
  <c r="I2647" i="4"/>
  <c r="I2646" i="4"/>
  <c r="I2645" i="4"/>
  <c r="I2644" i="4"/>
  <c r="I2643" i="4"/>
  <c r="I2642" i="4"/>
  <c r="I2641" i="4"/>
  <c r="I2640" i="4"/>
  <c r="I2639" i="4"/>
  <c r="I2638" i="4"/>
  <c r="I2637" i="4"/>
  <c r="I2636" i="4"/>
  <c r="I2635" i="4"/>
  <c r="I2634" i="4"/>
  <c r="I2633" i="4"/>
  <c r="I2632" i="4"/>
  <c r="I2631" i="4"/>
  <c r="I2630" i="4"/>
  <c r="I2629" i="4"/>
  <c r="I2628" i="4"/>
  <c r="I2627" i="4"/>
  <c r="I2626" i="4"/>
  <c r="I2625" i="4"/>
  <c r="I2624" i="4"/>
  <c r="I2623" i="4"/>
  <c r="I2622" i="4"/>
  <c r="I2621" i="4"/>
  <c r="I2620" i="4"/>
  <c r="I2619" i="4"/>
  <c r="I2618" i="4"/>
  <c r="I2617" i="4"/>
  <c r="I2616" i="4"/>
  <c r="I2615" i="4"/>
  <c r="I2614" i="4"/>
  <c r="I2613" i="4"/>
  <c r="I2612" i="4"/>
  <c r="I2611" i="4"/>
  <c r="I2610" i="4"/>
  <c r="I2609" i="4"/>
  <c r="I2608" i="4"/>
  <c r="I2607" i="4"/>
  <c r="I2606" i="4"/>
  <c r="I2605" i="4"/>
  <c r="I2604" i="4"/>
  <c r="I2603" i="4"/>
  <c r="I2602" i="4"/>
  <c r="I2601" i="4"/>
  <c r="I2600" i="4"/>
  <c r="I2599" i="4"/>
  <c r="I2598" i="4"/>
  <c r="I2597" i="4"/>
  <c r="I2596" i="4"/>
  <c r="I2595" i="4"/>
  <c r="I2594" i="4"/>
  <c r="I2593" i="4"/>
  <c r="I2592" i="4"/>
  <c r="I2591" i="4"/>
  <c r="I2590" i="4"/>
  <c r="I2589" i="4"/>
  <c r="I2588" i="4"/>
  <c r="I2587" i="4"/>
  <c r="I2586" i="4"/>
  <c r="I2585" i="4"/>
  <c r="I2584" i="4"/>
  <c r="I2583" i="4"/>
  <c r="I2582" i="4"/>
  <c r="I2581" i="4"/>
  <c r="I2580" i="4"/>
  <c r="I2579" i="4"/>
  <c r="I2578" i="4"/>
  <c r="I2577" i="4"/>
  <c r="I2576" i="4"/>
  <c r="I2575" i="4"/>
  <c r="I2574" i="4"/>
  <c r="I2573" i="4"/>
  <c r="I2572" i="4"/>
  <c r="I2571" i="4"/>
  <c r="I2570" i="4"/>
  <c r="I2569" i="4"/>
  <c r="I2568" i="4"/>
  <c r="I2567" i="4"/>
  <c r="I2566" i="4"/>
  <c r="I2565" i="4"/>
  <c r="I2564" i="4"/>
  <c r="I2563" i="4"/>
  <c r="I2562" i="4"/>
  <c r="I2561" i="4"/>
  <c r="I2560" i="4"/>
  <c r="I2559" i="4"/>
  <c r="I2558" i="4"/>
  <c r="I2557" i="4"/>
  <c r="I2556" i="4"/>
  <c r="I2555" i="4"/>
  <c r="I2554" i="4"/>
  <c r="I2553" i="4"/>
  <c r="I2552" i="4"/>
  <c r="I2551" i="4"/>
  <c r="I2550" i="4"/>
  <c r="I2549" i="4"/>
  <c r="I2548" i="4"/>
  <c r="I2547" i="4"/>
  <c r="I2546" i="4"/>
  <c r="I2545" i="4"/>
  <c r="I2544" i="4"/>
  <c r="I2543" i="4"/>
  <c r="I2542" i="4"/>
  <c r="I2541" i="4"/>
  <c r="I2540" i="4"/>
  <c r="I2539" i="4"/>
  <c r="I2538" i="4"/>
  <c r="I2537" i="4"/>
  <c r="I2536" i="4"/>
  <c r="I2535" i="4"/>
  <c r="I2534" i="4"/>
  <c r="I2533" i="4"/>
  <c r="I2532" i="4"/>
  <c r="I2531" i="4"/>
  <c r="I2530" i="4"/>
  <c r="I2529" i="4"/>
  <c r="I2528" i="4"/>
  <c r="I2527" i="4"/>
  <c r="I2526" i="4"/>
  <c r="I2525" i="4"/>
  <c r="I2524" i="4"/>
  <c r="I2523" i="4"/>
  <c r="I2522" i="4"/>
  <c r="I2521" i="4"/>
  <c r="I2520" i="4"/>
  <c r="I2519" i="4"/>
  <c r="I2518" i="4"/>
  <c r="I2517" i="4"/>
  <c r="I2516" i="4"/>
  <c r="I2515" i="4"/>
  <c r="I2514" i="4"/>
  <c r="I2513" i="4"/>
  <c r="I2512" i="4"/>
  <c r="I2511" i="4"/>
  <c r="I2510" i="4"/>
  <c r="I2509" i="4"/>
  <c r="I2508" i="4"/>
  <c r="I2507" i="4"/>
  <c r="I2506" i="4"/>
  <c r="I2505" i="4"/>
  <c r="I2504" i="4"/>
  <c r="I2503" i="4"/>
  <c r="I2502" i="4"/>
  <c r="I2501" i="4"/>
  <c r="I2500" i="4"/>
  <c r="I2499" i="4"/>
  <c r="I2498" i="4"/>
  <c r="I2497" i="4"/>
  <c r="I2496" i="4"/>
  <c r="I2495" i="4"/>
  <c r="I2494" i="4"/>
  <c r="I2493" i="4"/>
  <c r="I2492" i="4"/>
  <c r="I2491" i="4"/>
  <c r="I2490" i="4"/>
  <c r="I2489" i="4"/>
  <c r="I2488" i="4"/>
  <c r="I2487" i="4"/>
  <c r="I2486" i="4"/>
  <c r="I2485" i="4"/>
  <c r="I2484" i="4"/>
  <c r="I2483" i="4"/>
  <c r="I2482" i="4"/>
  <c r="I2481" i="4"/>
  <c r="I2480" i="4"/>
  <c r="I2479" i="4"/>
  <c r="I2478" i="4"/>
  <c r="I2477" i="4"/>
  <c r="I2476" i="4"/>
  <c r="I2475" i="4"/>
  <c r="I2474" i="4"/>
  <c r="I2473" i="4"/>
  <c r="I2472" i="4"/>
  <c r="I2471" i="4"/>
  <c r="I2470" i="4"/>
  <c r="I2469" i="4"/>
  <c r="I2468" i="4"/>
  <c r="I2467" i="4"/>
  <c r="I2466" i="4"/>
  <c r="I2465" i="4"/>
  <c r="I2464" i="4"/>
  <c r="I2463" i="4"/>
  <c r="I2462" i="4"/>
  <c r="I2461" i="4"/>
  <c r="I2460" i="4"/>
  <c r="I2459" i="4"/>
  <c r="I2458" i="4"/>
  <c r="I2457" i="4"/>
  <c r="I2456" i="4"/>
  <c r="I2455" i="4"/>
  <c r="I2454" i="4"/>
  <c r="I2453" i="4"/>
  <c r="I2452" i="4"/>
  <c r="I2451" i="4"/>
  <c r="I2450" i="4"/>
  <c r="I2449" i="4"/>
  <c r="I2448" i="4"/>
  <c r="I2447" i="4"/>
  <c r="I2446" i="4"/>
  <c r="I2445" i="4"/>
  <c r="I2444" i="4"/>
  <c r="I2443" i="4"/>
  <c r="I2442" i="4"/>
  <c r="I2441" i="4"/>
  <c r="I2440" i="4"/>
  <c r="I2439" i="4"/>
  <c r="I2438" i="4"/>
  <c r="I2437" i="4"/>
  <c r="I2436" i="4"/>
  <c r="I2435" i="4"/>
  <c r="I2434" i="4"/>
  <c r="I2433" i="4"/>
  <c r="I2432" i="4"/>
  <c r="I2431" i="4"/>
  <c r="I2430" i="4"/>
  <c r="I2429" i="4"/>
  <c r="I2428" i="4"/>
  <c r="I2427" i="4"/>
  <c r="I2426" i="4"/>
  <c r="I2425" i="4"/>
  <c r="I2424" i="4"/>
  <c r="I2423" i="4"/>
  <c r="I2422" i="4"/>
  <c r="I2421" i="4"/>
  <c r="I2420" i="4"/>
  <c r="I2419" i="4"/>
  <c r="I2418" i="4"/>
  <c r="I2417" i="4"/>
  <c r="I2416" i="4"/>
  <c r="I2415" i="4"/>
  <c r="I2414" i="4"/>
  <c r="I2413" i="4"/>
  <c r="I2412" i="4"/>
  <c r="I2411" i="4"/>
  <c r="I2410" i="4"/>
  <c r="I2409" i="4"/>
  <c r="I2408" i="4"/>
  <c r="I2407" i="4"/>
  <c r="I2406" i="4"/>
  <c r="I2405" i="4"/>
  <c r="I2404" i="4"/>
  <c r="I2403" i="4"/>
  <c r="I2402" i="4"/>
  <c r="I2401" i="4"/>
  <c r="I2400" i="4"/>
  <c r="I2399" i="4"/>
  <c r="I2398" i="4"/>
  <c r="I2397" i="4"/>
  <c r="I2396" i="4"/>
  <c r="I2395" i="4"/>
  <c r="I2394" i="4"/>
  <c r="I2393" i="4"/>
  <c r="I2392" i="4"/>
  <c r="I2391" i="4"/>
  <c r="I2390" i="4"/>
  <c r="I2389" i="4"/>
  <c r="I2388" i="4"/>
  <c r="I2387" i="4"/>
  <c r="I2386" i="4"/>
  <c r="I2385" i="4"/>
  <c r="I2384" i="4"/>
  <c r="I2383" i="4"/>
  <c r="I2382" i="4"/>
  <c r="I2381" i="4"/>
  <c r="I2380" i="4"/>
  <c r="I2379" i="4"/>
  <c r="I2378" i="4"/>
  <c r="I2377" i="4"/>
  <c r="I2376" i="4"/>
  <c r="I2375" i="4"/>
  <c r="I2374" i="4"/>
  <c r="I2373" i="4"/>
  <c r="I2372" i="4"/>
  <c r="I2371" i="4"/>
  <c r="I2370" i="4"/>
  <c r="I2369" i="4"/>
  <c r="I2368" i="4"/>
  <c r="I2367" i="4"/>
  <c r="I2366" i="4"/>
  <c r="I2365" i="4"/>
  <c r="I2364" i="4"/>
  <c r="I2363" i="4"/>
  <c r="I2362" i="4"/>
  <c r="I2361" i="4"/>
  <c r="I2360" i="4"/>
  <c r="I2359" i="4"/>
  <c r="I2358" i="4"/>
  <c r="I2357" i="4"/>
  <c r="I2356" i="4"/>
  <c r="I2355" i="4"/>
  <c r="I2354" i="4"/>
  <c r="I2353" i="4"/>
  <c r="I2352" i="4"/>
  <c r="I2351" i="4"/>
  <c r="I2350" i="4"/>
  <c r="I2349" i="4"/>
  <c r="I2348" i="4"/>
  <c r="I2347" i="4"/>
  <c r="I2346" i="4"/>
  <c r="I2345" i="4"/>
  <c r="I2344" i="4"/>
  <c r="I2343" i="4"/>
  <c r="I2342" i="4"/>
  <c r="I2341" i="4"/>
  <c r="I2340" i="4"/>
  <c r="I2339" i="4"/>
  <c r="I2338" i="4"/>
  <c r="I2337" i="4"/>
  <c r="I2336" i="4"/>
  <c r="I2335" i="4"/>
  <c r="I2334" i="4"/>
  <c r="I2333" i="4"/>
  <c r="I2332" i="4"/>
  <c r="I2331" i="4"/>
  <c r="I2330" i="4"/>
  <c r="I2329" i="4"/>
  <c r="I2328" i="4"/>
  <c r="I2327" i="4"/>
  <c r="I2326" i="4"/>
  <c r="I2325" i="4"/>
  <c r="I2324" i="4"/>
  <c r="I2323" i="4"/>
  <c r="I2322" i="4"/>
  <c r="I2321" i="4"/>
  <c r="I2320" i="4"/>
  <c r="I2319" i="4"/>
  <c r="I2318" i="4"/>
  <c r="I2317" i="4"/>
  <c r="I2316" i="4"/>
  <c r="I2315" i="4"/>
  <c r="I2314" i="4"/>
  <c r="I2313" i="4"/>
  <c r="I2312" i="4"/>
  <c r="I2311" i="4"/>
  <c r="I2310" i="4"/>
  <c r="I2309" i="4"/>
  <c r="I2308" i="4"/>
  <c r="I2307" i="4"/>
  <c r="I2306" i="4"/>
  <c r="I2305" i="4"/>
  <c r="I2304" i="4"/>
  <c r="I2303" i="4"/>
  <c r="I2302" i="4"/>
  <c r="I2301" i="4"/>
  <c r="I2300" i="4"/>
  <c r="I2299" i="4"/>
  <c r="I2298" i="4"/>
  <c r="I2297" i="4"/>
  <c r="I2296" i="4"/>
  <c r="I2295" i="4"/>
  <c r="I2294" i="4"/>
  <c r="I2293" i="4"/>
  <c r="I2292" i="4"/>
  <c r="I2291" i="4"/>
  <c r="I2290" i="4"/>
  <c r="I2289" i="4"/>
  <c r="I2288" i="4"/>
  <c r="I2287" i="4"/>
  <c r="I2286" i="4"/>
  <c r="I2285" i="4"/>
  <c r="I2284" i="4"/>
  <c r="I2283" i="4"/>
  <c r="I2282" i="4"/>
  <c r="I2281" i="4"/>
  <c r="I2280" i="4"/>
  <c r="I2279" i="4"/>
  <c r="I2278" i="4"/>
  <c r="I2277" i="4"/>
  <c r="I2276" i="4"/>
  <c r="I2275" i="4"/>
  <c r="I2274" i="4"/>
  <c r="I2273" i="4"/>
  <c r="I2272" i="4"/>
  <c r="I2271" i="4"/>
  <c r="I2270" i="4"/>
  <c r="I2269" i="4"/>
  <c r="I2268" i="4"/>
  <c r="I2267" i="4"/>
  <c r="I2266" i="4"/>
  <c r="I2265" i="4"/>
  <c r="I2264" i="4"/>
  <c r="I2263" i="4"/>
  <c r="I2262" i="4"/>
  <c r="I2261" i="4"/>
  <c r="I2260" i="4"/>
  <c r="I2259" i="4"/>
  <c r="I2258" i="4"/>
  <c r="I2257" i="4"/>
  <c r="I2256" i="4"/>
  <c r="I2255" i="4"/>
  <c r="I2254" i="4"/>
  <c r="I2253" i="4"/>
  <c r="I2252" i="4"/>
  <c r="I2251" i="4"/>
  <c r="I2250" i="4"/>
  <c r="I2249" i="4"/>
  <c r="I2248" i="4"/>
  <c r="I2247" i="4"/>
  <c r="I2246" i="4"/>
  <c r="I2245" i="4"/>
  <c r="I2244" i="4"/>
  <c r="I2243" i="4"/>
  <c r="I2242" i="4"/>
  <c r="I2241" i="4"/>
  <c r="I2240" i="4"/>
  <c r="I2239" i="4"/>
  <c r="I2238" i="4"/>
  <c r="I2237" i="4"/>
  <c r="I2236" i="4"/>
  <c r="I2235" i="4"/>
  <c r="I2234" i="4"/>
  <c r="I2233" i="4"/>
  <c r="I2232" i="4"/>
  <c r="I2231" i="4"/>
  <c r="I2230" i="4"/>
  <c r="I2229" i="4"/>
  <c r="I2228" i="4"/>
  <c r="I2227" i="4"/>
  <c r="I2226" i="4"/>
  <c r="I2225" i="4"/>
  <c r="I2224" i="4"/>
  <c r="I2223" i="4"/>
  <c r="I2222" i="4"/>
  <c r="I2221" i="4"/>
  <c r="I2220" i="4"/>
  <c r="I2219" i="4"/>
  <c r="I2218" i="4"/>
  <c r="I2217" i="4"/>
  <c r="I2216" i="4"/>
  <c r="I2215" i="4"/>
  <c r="I2214" i="4"/>
  <c r="I2213" i="4"/>
  <c r="I2212" i="4"/>
  <c r="I2211" i="4"/>
  <c r="I2210" i="4"/>
  <c r="I2209" i="4"/>
  <c r="I2208" i="4"/>
  <c r="I2207" i="4"/>
  <c r="I2206" i="4"/>
  <c r="I2205" i="4"/>
  <c r="I2204" i="4"/>
  <c r="I2203" i="4"/>
  <c r="I2202" i="4"/>
  <c r="I2201" i="4"/>
  <c r="I2200" i="4"/>
  <c r="I2199" i="4"/>
  <c r="I2198" i="4"/>
  <c r="I2197" i="4"/>
  <c r="I2196" i="4"/>
  <c r="I2195" i="4"/>
  <c r="I2194" i="4"/>
  <c r="I2193" i="4"/>
  <c r="I2192" i="4"/>
  <c r="I2191" i="4"/>
  <c r="I2190" i="4"/>
  <c r="I2189" i="4"/>
  <c r="I2188" i="4"/>
  <c r="I2187" i="4"/>
  <c r="I2186" i="4"/>
  <c r="I2185" i="4"/>
  <c r="I2184" i="4"/>
  <c r="I2183" i="4"/>
  <c r="I2182" i="4"/>
  <c r="I2181" i="4"/>
  <c r="I2180" i="4"/>
  <c r="I2179" i="4"/>
  <c r="I2178" i="4"/>
  <c r="I2177" i="4"/>
  <c r="I2176" i="4"/>
  <c r="I2175" i="4"/>
  <c r="I2174" i="4"/>
  <c r="I2173" i="4"/>
  <c r="I2172" i="4"/>
  <c r="I2171" i="4"/>
  <c r="I2170" i="4"/>
  <c r="I2169" i="4"/>
  <c r="I2168" i="4"/>
  <c r="I2167" i="4"/>
  <c r="I2166" i="4"/>
  <c r="I2165" i="4"/>
  <c r="I2164" i="4"/>
  <c r="I2163" i="4"/>
  <c r="I2162" i="4"/>
  <c r="I2161" i="4"/>
  <c r="I2160" i="4"/>
  <c r="I2159" i="4"/>
  <c r="I2158" i="4"/>
  <c r="I2157" i="4"/>
  <c r="I2156" i="4"/>
  <c r="I2155" i="4"/>
  <c r="I2154" i="4"/>
  <c r="I2153" i="4"/>
  <c r="I2152" i="4"/>
  <c r="I2151" i="4"/>
  <c r="I2150" i="4"/>
  <c r="I2149" i="4"/>
  <c r="I2148" i="4"/>
  <c r="I2147" i="4"/>
  <c r="I2146" i="4"/>
  <c r="I2145" i="4"/>
  <c r="I2144" i="4"/>
  <c r="I2143" i="4"/>
  <c r="I2142" i="4"/>
  <c r="I2141" i="4"/>
  <c r="I2140" i="4"/>
  <c r="I2139" i="4"/>
  <c r="I2138" i="4"/>
  <c r="I2137" i="4"/>
  <c r="I2136" i="4"/>
  <c r="I2135" i="4"/>
  <c r="I2134" i="4"/>
  <c r="I2133" i="4"/>
  <c r="I2132" i="4"/>
  <c r="I2131" i="4"/>
  <c r="I2130" i="4"/>
  <c r="I2129" i="4"/>
  <c r="I2128" i="4"/>
  <c r="I2127" i="4"/>
  <c r="I2126" i="4"/>
  <c r="I2125" i="4"/>
  <c r="I2124" i="4"/>
  <c r="I2123" i="4"/>
  <c r="I2122" i="4"/>
  <c r="I2121" i="4"/>
  <c r="I2120" i="4"/>
  <c r="I2119" i="4"/>
  <c r="I2118" i="4"/>
  <c r="I2117" i="4"/>
  <c r="I2116" i="4"/>
  <c r="I2115" i="4"/>
  <c r="I2114" i="4"/>
  <c r="I2113" i="4"/>
  <c r="I2112" i="4"/>
  <c r="I2111" i="4"/>
  <c r="I2110" i="4"/>
  <c r="I2109" i="4"/>
  <c r="I2108" i="4"/>
  <c r="I2107" i="4"/>
  <c r="I2106" i="4"/>
  <c r="I2105" i="4"/>
  <c r="I2104" i="4"/>
  <c r="I2103" i="4"/>
  <c r="I2102" i="4"/>
  <c r="I2101" i="4"/>
  <c r="I2100" i="4"/>
  <c r="I2099" i="4"/>
  <c r="I2098" i="4"/>
  <c r="I2097" i="4"/>
  <c r="I2096" i="4"/>
  <c r="I2095" i="4"/>
  <c r="I2094" i="4"/>
  <c r="I2093" i="4"/>
  <c r="I2092" i="4"/>
  <c r="I2091" i="4"/>
  <c r="I2090" i="4"/>
  <c r="I2089" i="4"/>
  <c r="I2088" i="4"/>
  <c r="I2087" i="4"/>
  <c r="I2086" i="4"/>
  <c r="I2085" i="4"/>
  <c r="I2084" i="4"/>
  <c r="I2083" i="4"/>
  <c r="I2082" i="4"/>
  <c r="I2081" i="4"/>
  <c r="I2080" i="4"/>
  <c r="I2079" i="4"/>
  <c r="I2078" i="4"/>
  <c r="I2077" i="4"/>
  <c r="I2076" i="4"/>
  <c r="I2075" i="4"/>
  <c r="I2074" i="4"/>
  <c r="I2073" i="4"/>
  <c r="I2072" i="4"/>
  <c r="I2071" i="4"/>
  <c r="I2070" i="4"/>
  <c r="I2069" i="4"/>
  <c r="I2068" i="4"/>
  <c r="I2067" i="4"/>
  <c r="I2066" i="4"/>
  <c r="I2065" i="4"/>
  <c r="I2064" i="4"/>
  <c r="I2063" i="4"/>
  <c r="I2062" i="4"/>
  <c r="I2061" i="4"/>
  <c r="I2060" i="4"/>
  <c r="I2059" i="4"/>
  <c r="I2058" i="4"/>
  <c r="I2057" i="4"/>
  <c r="I2056" i="4"/>
  <c r="I2055" i="4"/>
  <c r="I2054" i="4"/>
  <c r="I2053" i="4"/>
  <c r="I2052" i="4"/>
  <c r="I2051" i="4"/>
  <c r="I2050" i="4"/>
  <c r="I2049" i="4"/>
  <c r="I2048" i="4"/>
  <c r="I2047" i="4"/>
  <c r="I2046" i="4"/>
  <c r="I2045" i="4"/>
  <c r="I2044" i="4"/>
  <c r="I2043" i="4"/>
  <c r="I2042" i="4"/>
  <c r="I2041" i="4"/>
  <c r="I2040" i="4"/>
  <c r="I2039" i="4"/>
  <c r="I2038" i="4"/>
  <c r="I2037" i="4"/>
  <c r="I2036" i="4"/>
  <c r="I2035" i="4"/>
  <c r="I2034" i="4"/>
  <c r="I2033" i="4"/>
  <c r="I2032" i="4"/>
  <c r="I2031" i="4"/>
  <c r="I2030" i="4"/>
  <c r="I2029" i="4"/>
  <c r="I2028" i="4"/>
  <c r="I2027" i="4"/>
  <c r="I2026" i="4"/>
  <c r="I2025" i="4"/>
  <c r="I2024" i="4"/>
  <c r="I2023" i="4"/>
  <c r="I2022" i="4"/>
  <c r="I2021" i="4"/>
  <c r="I2020" i="4"/>
  <c r="I2019" i="4"/>
  <c r="I2018" i="4"/>
  <c r="I2017" i="4"/>
  <c r="I2016" i="4"/>
  <c r="I2015" i="4"/>
  <c r="I2014" i="4"/>
  <c r="I2013" i="4"/>
  <c r="I2012" i="4"/>
  <c r="I2011" i="4"/>
  <c r="I2010" i="4"/>
  <c r="I2009" i="4"/>
  <c r="I2008" i="4"/>
  <c r="I2007" i="4"/>
  <c r="I2006" i="4"/>
  <c r="I2005" i="4"/>
  <c r="I2004" i="4"/>
  <c r="I2003" i="4"/>
  <c r="I2002" i="4"/>
  <c r="I2001" i="4"/>
  <c r="I2000" i="4"/>
  <c r="I1999" i="4"/>
  <c r="I1998" i="4"/>
  <c r="I1997" i="4"/>
  <c r="I1996" i="4"/>
  <c r="I1995" i="4"/>
  <c r="I1994" i="4"/>
  <c r="I1993" i="4"/>
  <c r="I1992" i="4"/>
  <c r="I1991" i="4"/>
  <c r="I1990" i="4"/>
  <c r="I1989" i="4"/>
  <c r="I1988" i="4"/>
  <c r="I1987" i="4"/>
  <c r="I1986" i="4"/>
  <c r="I1985" i="4"/>
  <c r="I1984" i="4"/>
  <c r="I1983" i="4"/>
  <c r="I1982" i="4"/>
  <c r="I1981" i="4"/>
  <c r="I1980" i="4"/>
  <c r="I1979" i="4"/>
  <c r="I1978" i="4"/>
  <c r="I1977" i="4"/>
  <c r="I1976" i="4"/>
  <c r="I1975" i="4"/>
  <c r="I1974" i="4"/>
  <c r="I1973" i="4"/>
  <c r="I1972" i="4"/>
  <c r="I1971" i="4"/>
  <c r="I1970" i="4"/>
  <c r="I1969" i="4"/>
  <c r="I1968" i="4"/>
  <c r="I1967" i="4"/>
  <c r="I1966" i="4"/>
  <c r="I1965" i="4"/>
  <c r="I1964" i="4"/>
  <c r="I1963" i="4"/>
  <c r="I1962" i="4"/>
  <c r="I1961" i="4"/>
  <c r="I1960" i="4"/>
  <c r="I1959" i="4"/>
  <c r="I1958" i="4"/>
  <c r="I1957" i="4"/>
  <c r="I1956" i="4"/>
  <c r="I1955" i="4"/>
  <c r="I1954" i="4"/>
  <c r="I1953" i="4"/>
  <c r="I1952" i="4"/>
  <c r="I1951" i="4"/>
  <c r="I1950" i="4"/>
  <c r="I1949" i="4"/>
  <c r="I1948" i="4"/>
  <c r="I1947" i="4"/>
  <c r="I1946" i="4"/>
  <c r="I1945" i="4"/>
  <c r="I1944" i="4"/>
  <c r="I1943" i="4"/>
  <c r="I1942" i="4"/>
  <c r="I1941" i="4"/>
  <c r="I1940" i="4"/>
  <c r="I1939" i="4"/>
  <c r="I1938" i="4"/>
  <c r="I1937" i="4"/>
  <c r="I1936" i="4"/>
  <c r="I1935" i="4"/>
  <c r="I1934" i="4"/>
  <c r="I1933" i="4"/>
  <c r="I1932" i="4"/>
  <c r="I1931" i="4"/>
  <c r="I1930" i="4"/>
  <c r="I1929" i="4"/>
  <c r="I1928" i="4"/>
  <c r="I1927" i="4"/>
  <c r="I1926" i="4"/>
  <c r="I1925" i="4"/>
  <c r="I1924" i="4"/>
  <c r="I1923" i="4"/>
  <c r="I1922" i="4"/>
  <c r="I1921" i="4"/>
  <c r="I1920" i="4"/>
  <c r="I1919" i="4"/>
  <c r="I1918" i="4"/>
  <c r="I1917" i="4"/>
  <c r="I1916" i="4"/>
  <c r="I1915" i="4"/>
  <c r="I1914" i="4"/>
  <c r="I1913" i="4"/>
  <c r="I1912" i="4"/>
  <c r="I1911" i="4"/>
  <c r="I1910" i="4"/>
  <c r="I1909" i="4"/>
  <c r="I1908" i="4"/>
  <c r="I1907" i="4"/>
  <c r="I1906" i="4"/>
  <c r="I1905" i="4"/>
  <c r="I1904" i="4"/>
  <c r="I1903" i="4"/>
  <c r="I1902" i="4"/>
  <c r="I1901" i="4"/>
  <c r="I1900" i="4"/>
  <c r="I1899" i="4"/>
  <c r="I1898" i="4"/>
  <c r="I1897" i="4"/>
  <c r="I1896" i="4"/>
  <c r="I1895" i="4"/>
  <c r="I1894" i="4"/>
  <c r="I1893" i="4"/>
  <c r="I1892" i="4"/>
  <c r="I1891" i="4"/>
  <c r="I1890" i="4"/>
  <c r="I1889" i="4"/>
  <c r="I1888" i="4"/>
  <c r="I1887" i="4"/>
  <c r="I1886" i="4"/>
  <c r="I1885" i="4"/>
  <c r="I1884" i="4"/>
  <c r="I1883" i="4"/>
  <c r="I1882" i="4"/>
  <c r="I1881" i="4"/>
  <c r="I1880" i="4"/>
  <c r="I1879" i="4"/>
  <c r="I1878" i="4"/>
  <c r="I1877" i="4"/>
  <c r="I1876" i="4"/>
  <c r="I1875" i="4"/>
  <c r="I1874" i="4"/>
  <c r="I1873" i="4"/>
  <c r="I1872" i="4"/>
  <c r="I1871" i="4"/>
  <c r="I1870" i="4"/>
  <c r="I1869" i="4"/>
  <c r="I1868" i="4"/>
  <c r="I1867" i="4"/>
  <c r="I1866" i="4"/>
  <c r="I1865" i="4"/>
  <c r="I1864" i="4"/>
  <c r="I1863" i="4"/>
  <c r="I1862" i="4"/>
  <c r="I1861" i="4"/>
  <c r="I1860" i="4"/>
  <c r="I1859" i="4"/>
  <c r="I1858" i="4"/>
  <c r="I1857" i="4"/>
  <c r="I1856" i="4"/>
  <c r="I1855" i="4"/>
  <c r="I1854" i="4"/>
  <c r="I1853" i="4"/>
  <c r="I1852" i="4"/>
  <c r="I1851" i="4"/>
  <c r="I1850" i="4"/>
  <c r="I1849" i="4"/>
  <c r="I1848" i="4"/>
  <c r="I1847" i="4"/>
  <c r="I1846" i="4"/>
  <c r="I1845" i="4"/>
  <c r="I1844" i="4"/>
  <c r="I1843" i="4"/>
  <c r="I1842" i="4"/>
  <c r="I1841" i="4"/>
  <c r="I1840" i="4"/>
  <c r="I1839" i="4"/>
  <c r="I1838" i="4"/>
  <c r="I1837" i="4"/>
  <c r="I1836" i="4"/>
  <c r="I1835" i="4"/>
  <c r="I1834" i="4"/>
  <c r="I1833" i="4"/>
  <c r="I1832" i="4"/>
  <c r="I1831" i="4"/>
  <c r="I1830" i="4"/>
  <c r="I1829" i="4"/>
  <c r="I1828" i="4"/>
  <c r="I1827" i="4"/>
  <c r="I1826" i="4"/>
  <c r="I1825" i="4"/>
  <c r="I1824" i="4"/>
  <c r="I1823" i="4"/>
  <c r="I1822" i="4"/>
  <c r="I1821" i="4"/>
  <c r="I1820" i="4"/>
  <c r="I1819" i="4"/>
  <c r="I1818" i="4"/>
  <c r="I1817" i="4"/>
  <c r="I1816" i="4"/>
  <c r="I1815" i="4"/>
  <c r="I1814" i="4"/>
  <c r="I1813" i="4"/>
  <c r="I1812" i="4"/>
  <c r="I1811" i="4"/>
  <c r="I1810" i="4"/>
  <c r="I1809" i="4"/>
  <c r="I1808" i="4"/>
  <c r="I1807" i="4"/>
  <c r="I1806" i="4"/>
  <c r="I1805" i="4"/>
  <c r="I1804" i="4"/>
  <c r="I1803" i="4"/>
  <c r="I1802" i="4"/>
  <c r="I1801" i="4"/>
  <c r="I1800" i="4"/>
  <c r="I1799" i="4"/>
  <c r="I1798" i="4"/>
  <c r="I1797" i="4"/>
  <c r="I1796" i="4"/>
  <c r="I1795" i="4"/>
  <c r="I1794" i="4"/>
  <c r="I1793" i="4"/>
  <c r="I1792" i="4"/>
  <c r="I1791" i="4"/>
  <c r="I1790" i="4"/>
  <c r="I1789" i="4"/>
  <c r="I1788" i="4"/>
  <c r="I1787" i="4"/>
  <c r="I1786" i="4"/>
  <c r="I1785" i="4"/>
  <c r="I1784" i="4"/>
  <c r="I1783" i="4"/>
  <c r="I1782" i="4"/>
  <c r="I1781" i="4"/>
  <c r="I1780" i="4"/>
  <c r="I1779" i="4"/>
  <c r="I1778" i="4"/>
  <c r="I1777" i="4"/>
  <c r="I1776" i="4"/>
  <c r="I1775" i="4"/>
  <c r="I1774" i="4"/>
  <c r="I1773" i="4"/>
  <c r="I1772" i="4"/>
  <c r="I1771" i="4"/>
  <c r="I1770" i="4"/>
  <c r="I1769" i="4"/>
  <c r="I1768" i="4"/>
  <c r="I1767" i="4"/>
  <c r="I1766" i="4"/>
  <c r="I1765" i="4"/>
  <c r="I1764" i="4"/>
  <c r="I1763" i="4"/>
  <c r="I1762" i="4"/>
  <c r="I1761" i="4"/>
  <c r="I1760" i="4"/>
  <c r="I1759" i="4"/>
  <c r="I1758" i="4"/>
  <c r="I1757" i="4"/>
  <c r="I1756" i="4"/>
  <c r="I1755" i="4"/>
  <c r="I1754" i="4"/>
  <c r="I1753" i="4"/>
  <c r="I1752" i="4"/>
  <c r="I1751" i="4"/>
  <c r="I1750" i="4"/>
  <c r="I1749" i="4"/>
  <c r="I1748" i="4"/>
  <c r="I1747" i="4"/>
  <c r="I1746" i="4"/>
  <c r="I1745" i="4"/>
  <c r="I1744" i="4"/>
  <c r="I1743" i="4"/>
  <c r="I1742" i="4"/>
  <c r="I1741" i="4"/>
  <c r="I1740" i="4"/>
  <c r="I1739" i="4"/>
  <c r="I1738" i="4"/>
  <c r="I1737" i="4"/>
  <c r="I1736" i="4"/>
  <c r="I1735" i="4"/>
  <c r="I1734" i="4"/>
  <c r="I1733" i="4"/>
  <c r="I1732" i="4"/>
  <c r="I1731" i="4"/>
  <c r="I1730" i="4"/>
  <c r="I1729" i="4"/>
  <c r="I1728" i="4"/>
  <c r="I1727" i="4"/>
  <c r="I1726" i="4"/>
  <c r="I1725" i="4"/>
  <c r="I1724" i="4"/>
  <c r="I1723" i="4"/>
  <c r="I1722" i="4"/>
  <c r="I1721" i="4"/>
  <c r="I1720" i="4"/>
  <c r="I1719" i="4"/>
  <c r="I1718" i="4"/>
  <c r="I1717" i="4"/>
  <c r="I1716" i="4"/>
  <c r="I1715" i="4"/>
  <c r="I1714" i="4"/>
  <c r="I1713" i="4"/>
  <c r="I1712" i="4"/>
  <c r="I1711" i="4"/>
  <c r="I1710" i="4"/>
  <c r="I1709" i="4"/>
  <c r="I1708" i="4"/>
  <c r="I1707" i="4"/>
  <c r="I1706" i="4"/>
  <c r="I1705" i="4"/>
  <c r="I1704" i="4"/>
  <c r="I1703" i="4"/>
  <c r="I1702" i="4"/>
  <c r="I1701" i="4"/>
  <c r="I1700" i="4"/>
  <c r="I1699" i="4"/>
  <c r="I1698" i="4"/>
  <c r="I1697" i="4"/>
  <c r="I1696" i="4"/>
  <c r="I1695" i="4"/>
  <c r="I1694" i="4"/>
  <c r="I1693" i="4"/>
  <c r="I1692" i="4"/>
  <c r="I1691" i="4"/>
  <c r="I1690" i="4"/>
  <c r="I1689" i="4"/>
  <c r="I1688" i="4"/>
  <c r="I1687" i="4"/>
  <c r="I1686" i="4"/>
  <c r="I1685" i="4"/>
  <c r="I1684" i="4"/>
  <c r="I1683" i="4"/>
  <c r="I1682" i="4"/>
  <c r="I1681" i="4"/>
  <c r="I1680" i="4"/>
  <c r="I1679" i="4"/>
  <c r="I1678" i="4"/>
  <c r="I1677" i="4"/>
  <c r="I1676" i="4"/>
  <c r="I1675" i="4"/>
  <c r="I1674" i="4"/>
  <c r="I1673" i="4"/>
  <c r="I1672" i="4"/>
  <c r="I1671" i="4"/>
  <c r="I1670" i="4"/>
  <c r="I1669" i="4"/>
  <c r="I1668" i="4"/>
  <c r="I1667" i="4"/>
  <c r="I1666" i="4"/>
  <c r="I1665" i="4"/>
  <c r="I1664" i="4"/>
  <c r="I1663" i="4"/>
  <c r="I1662" i="4"/>
  <c r="I1661" i="4"/>
  <c r="I1660" i="4"/>
  <c r="I1659" i="4"/>
  <c r="I1658" i="4"/>
  <c r="I1657" i="4"/>
  <c r="I1656" i="4"/>
  <c r="I1655" i="4"/>
  <c r="I1654" i="4"/>
  <c r="I1653" i="4"/>
  <c r="I1652" i="4"/>
  <c r="I1651" i="4"/>
  <c r="I1650" i="4"/>
  <c r="I1649" i="4"/>
  <c r="I1648" i="4"/>
  <c r="I1647" i="4"/>
  <c r="I1646" i="4"/>
  <c r="I1645" i="4"/>
  <c r="I1644" i="4"/>
  <c r="I1643" i="4"/>
  <c r="I1642" i="4"/>
  <c r="I1641" i="4"/>
  <c r="I1640" i="4"/>
  <c r="I1639" i="4"/>
  <c r="I1638" i="4"/>
  <c r="I1637" i="4"/>
  <c r="I1636" i="4"/>
  <c r="I1635" i="4"/>
  <c r="I1634" i="4"/>
  <c r="I1633" i="4"/>
  <c r="I1632" i="4"/>
  <c r="I1631" i="4"/>
  <c r="I1630" i="4"/>
  <c r="I1629" i="4"/>
  <c r="I1628" i="4"/>
  <c r="I1627" i="4"/>
  <c r="I1626" i="4"/>
  <c r="I1625" i="4"/>
  <c r="I1624" i="4"/>
  <c r="I1623" i="4"/>
  <c r="I1622" i="4"/>
  <c r="I1621" i="4"/>
  <c r="I1620" i="4"/>
  <c r="I1619" i="4"/>
  <c r="I1618" i="4"/>
  <c r="I1617" i="4"/>
  <c r="I1616" i="4"/>
  <c r="I1615" i="4"/>
  <c r="I1614" i="4"/>
  <c r="I1613" i="4"/>
  <c r="I1612" i="4"/>
  <c r="I1611" i="4"/>
  <c r="I1610" i="4"/>
  <c r="I1609" i="4"/>
  <c r="I1608" i="4"/>
  <c r="I1607" i="4"/>
  <c r="I1606" i="4"/>
  <c r="I1605" i="4"/>
  <c r="I1604" i="4"/>
  <c r="I1603" i="4"/>
  <c r="I1602" i="4"/>
  <c r="I1601" i="4"/>
  <c r="I1600" i="4"/>
  <c r="I1599" i="4"/>
  <c r="I1598" i="4"/>
  <c r="I1597" i="4"/>
  <c r="I1596" i="4"/>
  <c r="I1595" i="4"/>
  <c r="I1594" i="4"/>
  <c r="I1593" i="4"/>
  <c r="I1592" i="4"/>
  <c r="I1591" i="4"/>
  <c r="I1590" i="4"/>
  <c r="I1589" i="4"/>
  <c r="I1588" i="4"/>
  <c r="I1587" i="4"/>
  <c r="I1586" i="4"/>
  <c r="I1585" i="4"/>
  <c r="I1584" i="4"/>
  <c r="I1583" i="4"/>
  <c r="I1582" i="4"/>
  <c r="I1581" i="4"/>
  <c r="I1580" i="4"/>
  <c r="I1579" i="4"/>
  <c r="I1578" i="4"/>
  <c r="I1577" i="4"/>
  <c r="I1576" i="4"/>
  <c r="I1575" i="4"/>
  <c r="I1574" i="4"/>
  <c r="I1573" i="4"/>
  <c r="I1572" i="4"/>
  <c r="I1571" i="4"/>
  <c r="I1570" i="4"/>
  <c r="I1569" i="4"/>
  <c r="I1568" i="4"/>
  <c r="I1567" i="4"/>
  <c r="I1566" i="4"/>
  <c r="I1565" i="4"/>
  <c r="I1564" i="4"/>
  <c r="I1563" i="4"/>
  <c r="I1562" i="4"/>
  <c r="I1561" i="4"/>
  <c r="I1560" i="4"/>
  <c r="I1559" i="4"/>
  <c r="I1558" i="4"/>
  <c r="I1557" i="4"/>
  <c r="I1556" i="4"/>
  <c r="I1555" i="4"/>
  <c r="I1554" i="4"/>
  <c r="I1553" i="4"/>
  <c r="I1552" i="4"/>
  <c r="I1551" i="4"/>
  <c r="I1550" i="4"/>
  <c r="I1549" i="4"/>
  <c r="I1548" i="4"/>
  <c r="I1547" i="4"/>
  <c r="I1546" i="4"/>
  <c r="I1545" i="4"/>
  <c r="I1544" i="4"/>
  <c r="I1543" i="4"/>
  <c r="I1542" i="4"/>
  <c r="I1541" i="4"/>
  <c r="I1540" i="4"/>
  <c r="I1539" i="4"/>
  <c r="I1538" i="4"/>
  <c r="I1537" i="4"/>
  <c r="I1536" i="4"/>
  <c r="I1535" i="4"/>
  <c r="I1534" i="4"/>
  <c r="I1533" i="4"/>
  <c r="I1532" i="4"/>
  <c r="I1531" i="4"/>
  <c r="I1530" i="4"/>
  <c r="I1529" i="4"/>
  <c r="I1528" i="4"/>
  <c r="I1527" i="4"/>
  <c r="I1526" i="4"/>
  <c r="I1525" i="4"/>
  <c r="I1524" i="4"/>
  <c r="I1523" i="4"/>
  <c r="I1522" i="4"/>
  <c r="I1521" i="4"/>
  <c r="I1520" i="4"/>
  <c r="I1519" i="4"/>
  <c r="I1518" i="4"/>
  <c r="I1517" i="4"/>
  <c r="I1516" i="4"/>
  <c r="I1515" i="4"/>
  <c r="I1514" i="4"/>
  <c r="I1513" i="4"/>
  <c r="I1512" i="4"/>
  <c r="I1511" i="4"/>
  <c r="I1510" i="4"/>
  <c r="I1509" i="4"/>
  <c r="I1508" i="4"/>
  <c r="I1507" i="4"/>
  <c r="I1506" i="4"/>
  <c r="I1505" i="4"/>
  <c r="I1504" i="4"/>
  <c r="I1503" i="4"/>
  <c r="I1502" i="4"/>
  <c r="I1501" i="4"/>
  <c r="I1500" i="4"/>
  <c r="I1499" i="4"/>
  <c r="I1498" i="4"/>
  <c r="I1497" i="4"/>
  <c r="I1496" i="4"/>
  <c r="I1495" i="4"/>
  <c r="I1494" i="4"/>
  <c r="I1493" i="4"/>
  <c r="I1492" i="4"/>
  <c r="I1491" i="4"/>
  <c r="I1490" i="4"/>
  <c r="I1489" i="4"/>
  <c r="I1488" i="4"/>
  <c r="I1487" i="4"/>
  <c r="I1486" i="4"/>
  <c r="I1485" i="4"/>
  <c r="I1484" i="4"/>
  <c r="I1483" i="4"/>
  <c r="I1482" i="4"/>
  <c r="I1481" i="4"/>
  <c r="I1480" i="4"/>
  <c r="I1479" i="4"/>
  <c r="I1478" i="4"/>
  <c r="I1477" i="4"/>
  <c r="I1476" i="4"/>
  <c r="I1475" i="4"/>
  <c r="I1474" i="4"/>
  <c r="I1473" i="4"/>
  <c r="I1472" i="4"/>
  <c r="I1471" i="4"/>
  <c r="I1470" i="4"/>
  <c r="I1469" i="4"/>
  <c r="I1468" i="4"/>
  <c r="I1467" i="4"/>
  <c r="I1466" i="4"/>
  <c r="I1465" i="4"/>
  <c r="I1464" i="4"/>
  <c r="I1463" i="4"/>
  <c r="I1462" i="4"/>
  <c r="I1461" i="4"/>
  <c r="I1460" i="4"/>
  <c r="I1459" i="4"/>
  <c r="I1458" i="4"/>
  <c r="I1457" i="4"/>
  <c r="I1456" i="4"/>
  <c r="I1455" i="4"/>
  <c r="I1454" i="4"/>
  <c r="I1453" i="4"/>
  <c r="I1452" i="4"/>
  <c r="I1451" i="4"/>
  <c r="I1450" i="4"/>
  <c r="I1449" i="4"/>
  <c r="I1448" i="4"/>
  <c r="I1447" i="4"/>
  <c r="I1446" i="4"/>
  <c r="I1445" i="4"/>
  <c r="I1444" i="4"/>
  <c r="I1443" i="4"/>
  <c r="I1442" i="4"/>
  <c r="I1441" i="4"/>
  <c r="I1440" i="4"/>
  <c r="I1439" i="4"/>
  <c r="I1438" i="4"/>
  <c r="I1437" i="4"/>
  <c r="I1436" i="4"/>
  <c r="I1435" i="4"/>
  <c r="I1434" i="4"/>
  <c r="I1433" i="4"/>
  <c r="I1432" i="4"/>
  <c r="I1431" i="4"/>
  <c r="I1430" i="4"/>
  <c r="I1429" i="4"/>
  <c r="I1428" i="4"/>
  <c r="I1427" i="4"/>
  <c r="I1426" i="4"/>
  <c r="I1425" i="4"/>
  <c r="I1424" i="4"/>
  <c r="I1423" i="4"/>
  <c r="I1422" i="4"/>
  <c r="I1421" i="4"/>
  <c r="I1420" i="4"/>
  <c r="I1419" i="4"/>
  <c r="I1418" i="4"/>
  <c r="I1417" i="4"/>
  <c r="I1416" i="4"/>
  <c r="I1415" i="4"/>
  <c r="I1414" i="4"/>
  <c r="I1413" i="4"/>
  <c r="I1412" i="4"/>
  <c r="I1411" i="4"/>
  <c r="I1410" i="4"/>
  <c r="I1409" i="4"/>
  <c r="I1408" i="4"/>
  <c r="I1407" i="4"/>
  <c r="I1406" i="4"/>
  <c r="I1405" i="4"/>
  <c r="I1404" i="4"/>
  <c r="I1403" i="4"/>
  <c r="I1402" i="4"/>
  <c r="I1401" i="4"/>
  <c r="I1400" i="4"/>
  <c r="I1399" i="4"/>
  <c r="I1398" i="4"/>
  <c r="I1397" i="4"/>
  <c r="I1396" i="4"/>
  <c r="I1395" i="4"/>
  <c r="I1394" i="4"/>
  <c r="I1393" i="4"/>
  <c r="I1392" i="4"/>
  <c r="I1391" i="4"/>
  <c r="I1390" i="4"/>
  <c r="I1389" i="4"/>
  <c r="I1388" i="4"/>
  <c r="I1387" i="4"/>
  <c r="I1386" i="4"/>
  <c r="I1385" i="4"/>
  <c r="I1384" i="4"/>
  <c r="I1383" i="4"/>
  <c r="I1382" i="4"/>
  <c r="I1381" i="4"/>
  <c r="I1380" i="4"/>
  <c r="I1379" i="4"/>
  <c r="I1378" i="4"/>
  <c r="I1377" i="4"/>
  <c r="I1376" i="4"/>
  <c r="I1375" i="4"/>
  <c r="I1374" i="4"/>
  <c r="I1373" i="4"/>
  <c r="I1372" i="4"/>
  <c r="I1371" i="4"/>
  <c r="I1370" i="4"/>
  <c r="I1369" i="4"/>
  <c r="I1368" i="4"/>
  <c r="I1367" i="4"/>
  <c r="I1366" i="4"/>
  <c r="I1365" i="4"/>
  <c r="I1364" i="4"/>
  <c r="I1363" i="4"/>
  <c r="I1362" i="4"/>
  <c r="I1361" i="4"/>
  <c r="I1360" i="4"/>
  <c r="I1359" i="4"/>
  <c r="I1358" i="4"/>
  <c r="I1357" i="4"/>
  <c r="I1356" i="4"/>
  <c r="I1355" i="4"/>
  <c r="I1354" i="4"/>
  <c r="I1353" i="4"/>
  <c r="I1352" i="4"/>
  <c r="I1351" i="4"/>
  <c r="I1350" i="4"/>
  <c r="I1349" i="4"/>
  <c r="I1348" i="4"/>
  <c r="I1347" i="4"/>
  <c r="I1346" i="4"/>
  <c r="I1345" i="4"/>
  <c r="I1344" i="4"/>
  <c r="I1343" i="4"/>
  <c r="I1342" i="4"/>
  <c r="I1341" i="4"/>
  <c r="I1340" i="4"/>
  <c r="I1339" i="4"/>
  <c r="I1338" i="4"/>
  <c r="I1337" i="4"/>
  <c r="I1336" i="4"/>
  <c r="I1335" i="4"/>
  <c r="I1334" i="4"/>
  <c r="I1333" i="4"/>
  <c r="I1332" i="4"/>
  <c r="I1331" i="4"/>
  <c r="I1330" i="4"/>
  <c r="I1329" i="4"/>
  <c r="I1328" i="4"/>
  <c r="I1327" i="4"/>
  <c r="I1326" i="4"/>
  <c r="I1325" i="4"/>
  <c r="I1324" i="4"/>
  <c r="I1323" i="4"/>
  <c r="I1322" i="4"/>
  <c r="I1321" i="4"/>
  <c r="I1320" i="4"/>
  <c r="I1319" i="4"/>
  <c r="I1318" i="4"/>
  <c r="I1317" i="4"/>
  <c r="I1316" i="4"/>
  <c r="I1315" i="4"/>
  <c r="I1314" i="4"/>
  <c r="I1313" i="4"/>
  <c r="I1312" i="4"/>
  <c r="I1311" i="4"/>
  <c r="I1310" i="4"/>
  <c r="I1309" i="4"/>
  <c r="I1308" i="4"/>
  <c r="I1307" i="4"/>
  <c r="I1306" i="4"/>
  <c r="I1305" i="4"/>
  <c r="I1304" i="4"/>
  <c r="I1303" i="4"/>
  <c r="I1302" i="4"/>
  <c r="I1301" i="4"/>
  <c r="I1300" i="4"/>
  <c r="I1299" i="4"/>
  <c r="I1298" i="4"/>
  <c r="I1297" i="4"/>
  <c r="I1296" i="4"/>
  <c r="I1295" i="4"/>
  <c r="I1294" i="4"/>
  <c r="I1293" i="4"/>
  <c r="I1292" i="4"/>
  <c r="I1291" i="4"/>
  <c r="I1290" i="4"/>
  <c r="I1289" i="4"/>
  <c r="I1288" i="4"/>
  <c r="I1287" i="4"/>
  <c r="I1286" i="4"/>
  <c r="I1285" i="4"/>
  <c r="I1284" i="4"/>
  <c r="I1283" i="4"/>
  <c r="I1282" i="4"/>
  <c r="I1281" i="4"/>
  <c r="I1280" i="4"/>
  <c r="I1279" i="4"/>
  <c r="I1278" i="4"/>
  <c r="I1277" i="4"/>
  <c r="I1276" i="4"/>
  <c r="I1275" i="4"/>
  <c r="I1274" i="4"/>
  <c r="I1273" i="4"/>
  <c r="I1272" i="4"/>
  <c r="I1271" i="4"/>
  <c r="I1270" i="4"/>
  <c r="I1269" i="4"/>
  <c r="I1268" i="4"/>
  <c r="I1267" i="4"/>
  <c r="I1266" i="4"/>
  <c r="I1265" i="4"/>
  <c r="I1264" i="4"/>
  <c r="I1263" i="4"/>
  <c r="I1262" i="4"/>
  <c r="I1261" i="4"/>
  <c r="I1260" i="4"/>
  <c r="I1259" i="4"/>
  <c r="I1258" i="4"/>
  <c r="I1257" i="4"/>
  <c r="I1256" i="4"/>
  <c r="I1255" i="4"/>
  <c r="I1254" i="4"/>
  <c r="I1253" i="4"/>
  <c r="I1252" i="4"/>
  <c r="I1251" i="4"/>
  <c r="I1250" i="4"/>
  <c r="I1249" i="4"/>
  <c r="I1248" i="4"/>
  <c r="I1247" i="4"/>
  <c r="I1246" i="4"/>
  <c r="I1245" i="4"/>
  <c r="I1244" i="4"/>
  <c r="I1243" i="4"/>
  <c r="I1242" i="4"/>
  <c r="I1241" i="4"/>
  <c r="I1240" i="4"/>
  <c r="I1239" i="4"/>
  <c r="I1238" i="4"/>
  <c r="I1237" i="4"/>
  <c r="I1236" i="4"/>
  <c r="I1235" i="4"/>
  <c r="I1234" i="4"/>
  <c r="I1233" i="4"/>
  <c r="I1232" i="4"/>
  <c r="I1231" i="4"/>
  <c r="I1230" i="4"/>
  <c r="I1229" i="4"/>
  <c r="I1228" i="4"/>
  <c r="I1227" i="4"/>
  <c r="I1226" i="4"/>
  <c r="I1225" i="4"/>
  <c r="I1224" i="4"/>
  <c r="I1223" i="4"/>
  <c r="I1222" i="4"/>
  <c r="I1221" i="4"/>
  <c r="I1220" i="4"/>
  <c r="I1219" i="4"/>
  <c r="I1218" i="4"/>
  <c r="I1217" i="4"/>
  <c r="I1216" i="4"/>
  <c r="I1215" i="4"/>
  <c r="I1214" i="4"/>
  <c r="I1213" i="4"/>
  <c r="I1212" i="4"/>
  <c r="I1211" i="4"/>
  <c r="I1210" i="4"/>
  <c r="I1209" i="4"/>
  <c r="I1208" i="4"/>
  <c r="I1207" i="4"/>
  <c r="I1206" i="4"/>
  <c r="I1205" i="4"/>
  <c r="I1204" i="4"/>
  <c r="I1203" i="4"/>
  <c r="I1202" i="4"/>
  <c r="I1201" i="4"/>
  <c r="I1200" i="4"/>
  <c r="I1199" i="4"/>
  <c r="I1198" i="4"/>
  <c r="I1197" i="4"/>
  <c r="I1196" i="4"/>
  <c r="I1195" i="4"/>
  <c r="I1194" i="4"/>
  <c r="I1193" i="4"/>
  <c r="I1192" i="4"/>
  <c r="I1191" i="4"/>
  <c r="I1190" i="4"/>
  <c r="I1189" i="4"/>
  <c r="I1188" i="4"/>
  <c r="I1187" i="4"/>
  <c r="I1186" i="4"/>
  <c r="I1185" i="4"/>
  <c r="I1184" i="4"/>
  <c r="I1183" i="4"/>
  <c r="I1182" i="4"/>
  <c r="I1181" i="4"/>
  <c r="I1180" i="4"/>
  <c r="I1179" i="4"/>
  <c r="I1178" i="4"/>
  <c r="I1177" i="4"/>
  <c r="I1176" i="4"/>
  <c r="I1175" i="4"/>
  <c r="I1174" i="4"/>
  <c r="I1173" i="4"/>
  <c r="I1172" i="4"/>
  <c r="I1171" i="4"/>
  <c r="I1170" i="4"/>
  <c r="I1169" i="4"/>
  <c r="I1168" i="4"/>
  <c r="I1167" i="4"/>
  <c r="I1166" i="4"/>
  <c r="I1165" i="4"/>
  <c r="I1164" i="4"/>
  <c r="I1163" i="4"/>
  <c r="I1162" i="4"/>
  <c r="I1161" i="4"/>
  <c r="I1160" i="4"/>
  <c r="I1159" i="4"/>
  <c r="I1158" i="4"/>
  <c r="I1157" i="4"/>
  <c r="I1156" i="4"/>
  <c r="I1155" i="4"/>
  <c r="I1154" i="4"/>
  <c r="I1153" i="4"/>
  <c r="I1152" i="4"/>
  <c r="I1151" i="4"/>
  <c r="I1150" i="4"/>
  <c r="I1149" i="4"/>
  <c r="I1148" i="4"/>
  <c r="I1147" i="4"/>
  <c r="I1146" i="4"/>
  <c r="I1145" i="4"/>
  <c r="I1144" i="4"/>
  <c r="I1143" i="4"/>
  <c r="I1142" i="4"/>
  <c r="I1141" i="4"/>
  <c r="I1140" i="4"/>
  <c r="I1139" i="4"/>
  <c r="I1138" i="4"/>
  <c r="I1137" i="4"/>
  <c r="I1136" i="4"/>
  <c r="I1135" i="4"/>
  <c r="I1134" i="4"/>
  <c r="I1133" i="4"/>
  <c r="I1132" i="4"/>
  <c r="I1131" i="4"/>
  <c r="I1130" i="4"/>
  <c r="I1129" i="4"/>
  <c r="I1128" i="4"/>
  <c r="I1127" i="4"/>
  <c r="I1126" i="4"/>
  <c r="I1125" i="4"/>
  <c r="I1124" i="4"/>
  <c r="I1123" i="4"/>
  <c r="I1122" i="4"/>
  <c r="I1121" i="4"/>
  <c r="I1120" i="4"/>
  <c r="I1119" i="4"/>
  <c r="I1118" i="4"/>
  <c r="I1117" i="4"/>
  <c r="I1116" i="4"/>
  <c r="I1115" i="4"/>
  <c r="I1114" i="4"/>
  <c r="I1113" i="4"/>
  <c r="I1112" i="4"/>
  <c r="I1111" i="4"/>
  <c r="I1110" i="4"/>
  <c r="I1109" i="4"/>
  <c r="I1108" i="4"/>
  <c r="I1107" i="4"/>
  <c r="I1106" i="4"/>
  <c r="I1105" i="4"/>
  <c r="I1104" i="4"/>
  <c r="I1103" i="4"/>
  <c r="I1102" i="4"/>
  <c r="I1101" i="4"/>
  <c r="I1100" i="4"/>
  <c r="I1099" i="4"/>
  <c r="I1098" i="4"/>
  <c r="I1097" i="4"/>
  <c r="I1096" i="4"/>
  <c r="I1095" i="4"/>
  <c r="I1094" i="4"/>
  <c r="I1093" i="4"/>
  <c r="I1092" i="4"/>
  <c r="I1091" i="4"/>
  <c r="I1090" i="4"/>
  <c r="I1089" i="4"/>
  <c r="I1088" i="4"/>
  <c r="I1087" i="4"/>
  <c r="I1086" i="4"/>
  <c r="I1085" i="4"/>
  <c r="I1084" i="4"/>
  <c r="I1083" i="4"/>
  <c r="I1082" i="4"/>
  <c r="I1081" i="4"/>
  <c r="I1080" i="4"/>
  <c r="I1079" i="4"/>
  <c r="I1078" i="4"/>
  <c r="I1077" i="4"/>
  <c r="I1076" i="4"/>
  <c r="I1075" i="4"/>
  <c r="I1074" i="4"/>
  <c r="I1073" i="4"/>
  <c r="I1072" i="4"/>
  <c r="I1071" i="4"/>
  <c r="I1070" i="4"/>
  <c r="I1069" i="4"/>
  <c r="I1068" i="4"/>
  <c r="I1067" i="4"/>
  <c r="I1066" i="4"/>
  <c r="I1065" i="4"/>
  <c r="I1064" i="4"/>
  <c r="I1063" i="4"/>
  <c r="I1062" i="4"/>
  <c r="I1061" i="4"/>
  <c r="I1060" i="4"/>
  <c r="I1059" i="4"/>
  <c r="I1058" i="4"/>
  <c r="I1057" i="4"/>
  <c r="I1056" i="4"/>
  <c r="I1055" i="4"/>
  <c r="I1054" i="4"/>
  <c r="I1053" i="4"/>
  <c r="I1052" i="4"/>
  <c r="I1051" i="4"/>
  <c r="I1050" i="4"/>
  <c r="I1049" i="4"/>
  <c r="I1048" i="4"/>
  <c r="I1047" i="4"/>
  <c r="I1046" i="4"/>
  <c r="I1045" i="4"/>
  <c r="I1044" i="4"/>
  <c r="I1043" i="4"/>
  <c r="I1042" i="4"/>
  <c r="I1041" i="4"/>
  <c r="I1040" i="4"/>
  <c r="I1039" i="4"/>
  <c r="I1038" i="4"/>
  <c r="I1037" i="4"/>
  <c r="I1036" i="4"/>
  <c r="I1035" i="4"/>
  <c r="I1034" i="4"/>
  <c r="I1033" i="4"/>
  <c r="I1032" i="4"/>
  <c r="I1031" i="4"/>
  <c r="I1030" i="4"/>
  <c r="I1029" i="4"/>
  <c r="I1028" i="4"/>
  <c r="I1027" i="4"/>
  <c r="I1026" i="4"/>
  <c r="I1025" i="4"/>
  <c r="I1024" i="4"/>
  <c r="I1023" i="4"/>
  <c r="I1022" i="4"/>
  <c r="I1021" i="4"/>
  <c r="I1020" i="4"/>
  <c r="I1019" i="4"/>
  <c r="I1018" i="4"/>
  <c r="I1017" i="4"/>
  <c r="I1016" i="4"/>
  <c r="I1015" i="4"/>
  <c r="I1014" i="4"/>
  <c r="I1013" i="4"/>
  <c r="I1012" i="4"/>
  <c r="I1011" i="4"/>
  <c r="I1010" i="4"/>
  <c r="I1009" i="4"/>
  <c r="I1008" i="4"/>
  <c r="I1007" i="4"/>
  <c r="I1006" i="4"/>
  <c r="I1005" i="4"/>
  <c r="I1004" i="4"/>
  <c r="I1003" i="4"/>
  <c r="I1002" i="4"/>
  <c r="I1001" i="4"/>
  <c r="I1000" i="4"/>
  <c r="I999" i="4"/>
  <c r="I998" i="4"/>
  <c r="I997" i="4"/>
  <c r="I996" i="4"/>
  <c r="I995" i="4"/>
  <c r="I994" i="4"/>
  <c r="I993" i="4"/>
  <c r="I992" i="4"/>
  <c r="I991" i="4"/>
  <c r="I990" i="4"/>
  <c r="I989" i="4"/>
  <c r="I988" i="4"/>
  <c r="I987" i="4"/>
  <c r="I986" i="4"/>
  <c r="I985" i="4"/>
  <c r="I984" i="4"/>
  <c r="I983" i="4"/>
  <c r="I982" i="4"/>
  <c r="I981" i="4"/>
  <c r="I980" i="4"/>
  <c r="I979" i="4"/>
  <c r="I978" i="4"/>
  <c r="I977" i="4"/>
  <c r="I976" i="4"/>
  <c r="I975" i="4"/>
  <c r="I974" i="4"/>
  <c r="I973" i="4"/>
  <c r="I972" i="4"/>
  <c r="I971" i="4"/>
  <c r="I970" i="4"/>
  <c r="I969" i="4"/>
  <c r="I968" i="4"/>
  <c r="I967" i="4"/>
  <c r="I966" i="4"/>
  <c r="I965" i="4"/>
  <c r="I964" i="4"/>
  <c r="I963" i="4"/>
  <c r="I962" i="4"/>
  <c r="I961" i="4"/>
  <c r="I960" i="4"/>
  <c r="I959" i="4"/>
  <c r="I958" i="4"/>
  <c r="I957" i="4"/>
  <c r="I956" i="4"/>
  <c r="I955" i="4"/>
  <c r="I954" i="4"/>
  <c r="I953" i="4"/>
  <c r="I952" i="4"/>
  <c r="I951" i="4"/>
  <c r="I950" i="4"/>
  <c r="I949" i="4"/>
  <c r="I948" i="4"/>
  <c r="I947" i="4"/>
  <c r="I946" i="4"/>
  <c r="I945" i="4"/>
  <c r="I944" i="4"/>
  <c r="I943" i="4"/>
  <c r="I942" i="4"/>
  <c r="I941" i="4"/>
  <c r="I940" i="4"/>
  <c r="I939" i="4"/>
  <c r="I938" i="4"/>
  <c r="I937" i="4"/>
  <c r="I936" i="4"/>
  <c r="I935" i="4"/>
  <c r="I934" i="4"/>
  <c r="I933" i="4"/>
  <c r="I932" i="4"/>
  <c r="I931" i="4"/>
  <c r="I930" i="4"/>
  <c r="I929" i="4"/>
  <c r="I928" i="4"/>
  <c r="I927" i="4"/>
  <c r="I926" i="4"/>
  <c r="I925" i="4"/>
  <c r="I924" i="4"/>
  <c r="I923" i="4"/>
  <c r="I922" i="4"/>
  <c r="I921" i="4"/>
  <c r="I920" i="4"/>
  <c r="I919" i="4"/>
  <c r="I918" i="4"/>
  <c r="I917" i="4"/>
  <c r="I916" i="4"/>
  <c r="I915" i="4"/>
  <c r="I914" i="4"/>
  <c r="I913" i="4"/>
  <c r="I912" i="4"/>
  <c r="I911" i="4"/>
  <c r="I910" i="4"/>
  <c r="I909" i="4"/>
  <c r="I908" i="4"/>
  <c r="I907" i="4"/>
  <c r="I906" i="4"/>
  <c r="I905" i="4"/>
  <c r="I904" i="4"/>
  <c r="I903" i="4"/>
  <c r="I902" i="4"/>
  <c r="I901" i="4"/>
  <c r="I900" i="4"/>
  <c r="I899" i="4"/>
  <c r="I898" i="4"/>
  <c r="I897" i="4"/>
  <c r="I896" i="4"/>
  <c r="I895" i="4"/>
  <c r="I894" i="4"/>
  <c r="I893" i="4"/>
  <c r="I892" i="4"/>
  <c r="I891" i="4"/>
  <c r="I890" i="4"/>
  <c r="I889" i="4"/>
  <c r="I888" i="4"/>
  <c r="I887" i="4"/>
  <c r="I886" i="4"/>
  <c r="I885" i="4"/>
  <c r="I884" i="4"/>
  <c r="I883" i="4"/>
  <c r="I882" i="4"/>
  <c r="I881" i="4"/>
  <c r="I880" i="4"/>
  <c r="I879" i="4"/>
  <c r="I878" i="4"/>
  <c r="I877" i="4"/>
  <c r="I876" i="4"/>
  <c r="I875" i="4"/>
  <c r="I874" i="4"/>
  <c r="I873" i="4"/>
  <c r="I872" i="4"/>
  <c r="I871" i="4"/>
  <c r="I870" i="4"/>
  <c r="I869" i="4"/>
  <c r="I868" i="4"/>
  <c r="I867" i="4"/>
  <c r="I866" i="4"/>
  <c r="I865" i="4"/>
  <c r="I864" i="4"/>
  <c r="I863" i="4"/>
  <c r="I862" i="4"/>
  <c r="I861" i="4"/>
  <c r="I860" i="4"/>
  <c r="I859" i="4"/>
  <c r="I858" i="4"/>
  <c r="I857" i="4"/>
  <c r="I856" i="4"/>
  <c r="I855" i="4"/>
  <c r="I854" i="4"/>
  <c r="I853" i="4"/>
  <c r="I852" i="4"/>
  <c r="I851" i="4"/>
  <c r="I850" i="4"/>
  <c r="I849" i="4"/>
  <c r="I848" i="4"/>
  <c r="I847" i="4"/>
  <c r="I846" i="4"/>
  <c r="I845" i="4"/>
  <c r="I844" i="4"/>
  <c r="I843" i="4"/>
  <c r="I842" i="4"/>
  <c r="I841" i="4"/>
  <c r="I840" i="4"/>
  <c r="I839" i="4"/>
  <c r="I838" i="4"/>
  <c r="I837" i="4"/>
  <c r="I836" i="4"/>
  <c r="I835" i="4"/>
  <c r="I834" i="4"/>
  <c r="I833" i="4"/>
  <c r="I832" i="4"/>
  <c r="I831" i="4"/>
  <c r="I830" i="4"/>
  <c r="I829" i="4"/>
  <c r="I828" i="4"/>
  <c r="I827" i="4"/>
  <c r="I826" i="4"/>
  <c r="I825" i="4"/>
  <c r="I824" i="4"/>
  <c r="I823" i="4"/>
  <c r="I822" i="4"/>
  <c r="I821" i="4"/>
  <c r="I820" i="4"/>
  <c r="I819" i="4"/>
  <c r="I818" i="4"/>
  <c r="I817" i="4"/>
  <c r="I816" i="4"/>
  <c r="I815" i="4"/>
  <c r="I814" i="4"/>
  <c r="I813" i="4"/>
  <c r="I812" i="4"/>
  <c r="I811" i="4"/>
  <c r="I810" i="4"/>
  <c r="I809" i="4"/>
  <c r="I808" i="4"/>
  <c r="I807" i="4"/>
  <c r="I806" i="4"/>
  <c r="I805" i="4"/>
  <c r="I804" i="4"/>
  <c r="I803" i="4"/>
  <c r="I802" i="4"/>
  <c r="I801" i="4"/>
  <c r="I800" i="4"/>
  <c r="I799" i="4"/>
  <c r="I798" i="4"/>
  <c r="I797" i="4"/>
  <c r="I796" i="4"/>
  <c r="I795" i="4"/>
  <c r="I794" i="4"/>
  <c r="I793" i="4"/>
  <c r="I792" i="4"/>
  <c r="I791" i="4"/>
  <c r="I790" i="4"/>
  <c r="I789" i="4"/>
  <c r="I788" i="4"/>
  <c r="I787" i="4"/>
  <c r="I786" i="4"/>
  <c r="I785" i="4"/>
  <c r="I784" i="4"/>
  <c r="I783" i="4"/>
  <c r="I782" i="4"/>
  <c r="I781" i="4"/>
  <c r="I780" i="4"/>
  <c r="I779" i="4"/>
  <c r="I778" i="4"/>
  <c r="I777" i="4"/>
  <c r="I776" i="4"/>
  <c r="I775" i="4"/>
  <c r="I774" i="4"/>
  <c r="I773" i="4"/>
  <c r="I772" i="4"/>
  <c r="I771" i="4"/>
  <c r="I770" i="4"/>
  <c r="I769" i="4"/>
  <c r="I768" i="4"/>
  <c r="I767" i="4"/>
  <c r="I766" i="4"/>
  <c r="I765" i="4"/>
  <c r="I764" i="4"/>
  <c r="I763" i="4"/>
  <c r="I762" i="4"/>
  <c r="I761" i="4"/>
  <c r="I760" i="4"/>
  <c r="I759" i="4"/>
  <c r="I758" i="4"/>
  <c r="I757" i="4"/>
  <c r="I756" i="4"/>
  <c r="I755" i="4"/>
  <c r="I754" i="4"/>
  <c r="I753" i="4"/>
  <c r="I752" i="4"/>
  <c r="I751" i="4"/>
  <c r="I750" i="4"/>
  <c r="I749" i="4"/>
  <c r="I748" i="4"/>
  <c r="I747" i="4"/>
  <c r="I746" i="4"/>
  <c r="I745" i="4"/>
  <c r="I744" i="4"/>
  <c r="I743" i="4"/>
  <c r="I742" i="4"/>
  <c r="I741" i="4"/>
  <c r="I740" i="4"/>
  <c r="I739" i="4"/>
  <c r="I738" i="4"/>
  <c r="I737" i="4"/>
  <c r="I736" i="4"/>
  <c r="I735" i="4"/>
  <c r="I734" i="4"/>
  <c r="I733" i="4"/>
  <c r="I732" i="4"/>
  <c r="I731" i="4"/>
  <c r="I730" i="4"/>
  <c r="I729" i="4"/>
  <c r="I728" i="4"/>
  <c r="I727" i="4"/>
  <c r="I726" i="4"/>
  <c r="I725" i="4"/>
  <c r="I724" i="4"/>
  <c r="I723" i="4"/>
  <c r="I722" i="4"/>
  <c r="I721" i="4"/>
  <c r="I720" i="4"/>
  <c r="I719" i="4"/>
  <c r="I718" i="4"/>
  <c r="I717" i="4"/>
  <c r="I716" i="4"/>
  <c r="I715" i="4"/>
  <c r="I714" i="4"/>
  <c r="I713" i="4"/>
  <c r="I712" i="4"/>
  <c r="I711" i="4"/>
  <c r="I710" i="4"/>
  <c r="I709" i="4"/>
  <c r="I708" i="4"/>
  <c r="I707" i="4"/>
  <c r="I706" i="4"/>
  <c r="I705" i="4"/>
  <c r="I704" i="4"/>
  <c r="I703" i="4"/>
  <c r="I702" i="4"/>
  <c r="I701" i="4"/>
  <c r="I700" i="4"/>
  <c r="I699" i="4"/>
  <c r="I698" i="4"/>
  <c r="I697" i="4"/>
  <c r="I696" i="4"/>
  <c r="I695" i="4"/>
  <c r="I694" i="4"/>
  <c r="I693" i="4"/>
  <c r="I692" i="4"/>
  <c r="I691" i="4"/>
  <c r="I690" i="4"/>
  <c r="I689" i="4"/>
  <c r="I688" i="4"/>
  <c r="I687" i="4"/>
  <c r="I686" i="4"/>
  <c r="I685" i="4"/>
  <c r="I684" i="4"/>
  <c r="I683" i="4"/>
  <c r="I682" i="4"/>
  <c r="I681" i="4"/>
  <c r="I680" i="4"/>
  <c r="I679" i="4"/>
  <c r="I678" i="4"/>
  <c r="I677" i="4"/>
  <c r="I676" i="4"/>
  <c r="I675" i="4"/>
  <c r="I674" i="4"/>
  <c r="I673" i="4"/>
  <c r="I672" i="4"/>
  <c r="I671" i="4"/>
  <c r="I670" i="4"/>
  <c r="I669" i="4"/>
  <c r="I668" i="4"/>
  <c r="I667" i="4"/>
  <c r="I666" i="4"/>
  <c r="I665" i="4"/>
  <c r="I664" i="4"/>
  <c r="I663" i="4"/>
  <c r="I662" i="4"/>
  <c r="I661" i="4"/>
  <c r="I660" i="4"/>
  <c r="I659" i="4"/>
  <c r="I658" i="4"/>
  <c r="I657" i="4"/>
  <c r="I656" i="4"/>
  <c r="I655" i="4"/>
  <c r="I654" i="4"/>
  <c r="I653" i="4"/>
  <c r="I652" i="4"/>
  <c r="I651" i="4"/>
  <c r="I650" i="4"/>
  <c r="I649" i="4"/>
  <c r="I648" i="4"/>
  <c r="I647" i="4"/>
  <c r="I646" i="4"/>
  <c r="I645" i="4"/>
  <c r="I644" i="4"/>
  <c r="I643" i="4"/>
  <c r="I642" i="4"/>
  <c r="I641" i="4"/>
  <c r="I640" i="4"/>
  <c r="I639" i="4"/>
  <c r="I638" i="4"/>
  <c r="I637" i="4"/>
  <c r="I636" i="4"/>
  <c r="I635" i="4"/>
  <c r="I634" i="4"/>
  <c r="I633" i="4"/>
  <c r="I632" i="4"/>
  <c r="I631" i="4"/>
  <c r="I630" i="4"/>
  <c r="I629" i="4"/>
  <c r="I628" i="4"/>
  <c r="I627" i="4"/>
  <c r="I626" i="4"/>
  <c r="I625" i="4"/>
  <c r="I624" i="4"/>
  <c r="I623" i="4"/>
  <c r="I622" i="4"/>
  <c r="I621" i="4"/>
  <c r="I620" i="4"/>
  <c r="I619" i="4"/>
  <c r="I618" i="4"/>
  <c r="I617" i="4"/>
  <c r="I616" i="4"/>
  <c r="I615" i="4"/>
  <c r="I614" i="4"/>
  <c r="I613" i="4"/>
  <c r="I612" i="4"/>
  <c r="I611" i="4"/>
  <c r="I610" i="4"/>
  <c r="I609" i="4"/>
  <c r="I608" i="4"/>
  <c r="I607" i="4"/>
  <c r="I606" i="4"/>
  <c r="I605" i="4"/>
  <c r="I604" i="4"/>
  <c r="I603" i="4"/>
  <c r="I602" i="4"/>
  <c r="I601" i="4"/>
  <c r="I600" i="4"/>
  <c r="I599" i="4"/>
  <c r="I598" i="4"/>
  <c r="I597" i="4"/>
  <c r="I596" i="4"/>
  <c r="I595" i="4"/>
  <c r="I594" i="4"/>
  <c r="I593" i="4"/>
  <c r="I592" i="4"/>
  <c r="I591" i="4"/>
  <c r="I590" i="4"/>
  <c r="I589" i="4"/>
  <c r="I588" i="4"/>
  <c r="I587" i="4"/>
  <c r="I586" i="4"/>
  <c r="I585" i="4"/>
  <c r="I584" i="4"/>
  <c r="I583" i="4"/>
  <c r="I582" i="4"/>
  <c r="I581" i="4"/>
  <c r="I580" i="4"/>
  <c r="I579" i="4"/>
  <c r="I578" i="4"/>
  <c r="I577" i="4"/>
  <c r="I576" i="4"/>
  <c r="I575" i="4"/>
  <c r="I574" i="4"/>
  <c r="I573" i="4"/>
  <c r="I572" i="4"/>
  <c r="I571" i="4"/>
  <c r="I570" i="4"/>
  <c r="I569" i="4"/>
  <c r="I568" i="4"/>
  <c r="I567" i="4"/>
  <c r="I566" i="4"/>
  <c r="I565" i="4"/>
  <c r="I564" i="4"/>
  <c r="I563" i="4"/>
  <c r="I562" i="4"/>
  <c r="I561" i="4"/>
  <c r="I560" i="4"/>
  <c r="I559" i="4"/>
  <c r="I558" i="4"/>
  <c r="I557" i="4"/>
  <c r="I556" i="4"/>
  <c r="I555" i="4"/>
  <c r="I554" i="4"/>
  <c r="I553" i="4"/>
  <c r="I552" i="4"/>
  <c r="I551" i="4"/>
  <c r="I550" i="4"/>
  <c r="I549" i="4"/>
  <c r="I548" i="4"/>
  <c r="I547" i="4"/>
  <c r="I546" i="4"/>
  <c r="I545" i="4"/>
  <c r="I544" i="4"/>
  <c r="I543" i="4"/>
  <c r="I542" i="4"/>
  <c r="I541" i="4"/>
  <c r="I540" i="4"/>
  <c r="I539" i="4"/>
  <c r="I538" i="4"/>
  <c r="I537" i="4"/>
  <c r="I536" i="4"/>
  <c r="I535" i="4"/>
  <c r="I534" i="4"/>
  <c r="I533" i="4"/>
  <c r="I532" i="4"/>
  <c r="I531" i="4"/>
  <c r="I530" i="4"/>
  <c r="I529" i="4"/>
  <c r="I528" i="4"/>
  <c r="I527" i="4"/>
  <c r="I526" i="4"/>
  <c r="I525" i="4"/>
  <c r="I524" i="4"/>
  <c r="I523" i="4"/>
  <c r="I522" i="4"/>
  <c r="I521" i="4"/>
  <c r="I520" i="4"/>
  <c r="I519" i="4"/>
  <c r="I518" i="4"/>
  <c r="I517" i="4"/>
  <c r="I516" i="4"/>
  <c r="I515" i="4"/>
  <c r="I514" i="4"/>
  <c r="I513" i="4"/>
  <c r="I512" i="4"/>
  <c r="I511" i="4"/>
  <c r="I510" i="4"/>
  <c r="I509" i="4"/>
  <c r="I508" i="4"/>
  <c r="I507" i="4"/>
  <c r="I506" i="4"/>
  <c r="I505" i="4"/>
  <c r="I504" i="4"/>
  <c r="I503"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I2" i="4"/>
</calcChain>
</file>

<file path=xl/sharedStrings.xml><?xml version="1.0" encoding="utf-8"?>
<sst xmlns="http://schemas.openxmlformats.org/spreadsheetml/2006/main" count="26285" uniqueCount="5866">
  <si>
    <t>CustomerID</t>
  </si>
  <si>
    <t>FirstName</t>
  </si>
  <si>
    <t>LastName</t>
  </si>
  <si>
    <t>Gender</t>
  </si>
  <si>
    <t>BirthDate</t>
  </si>
  <si>
    <t>City</t>
  </si>
  <si>
    <t>JoinDate</t>
  </si>
  <si>
    <t>C001</t>
  </si>
  <si>
    <t>Michael</t>
  </si>
  <si>
    <t>Davis</t>
  </si>
  <si>
    <t>M</t>
  </si>
  <si>
    <t>Osborneport</t>
  </si>
  <si>
    <t>C002</t>
  </si>
  <si>
    <t>Miller</t>
  </si>
  <si>
    <t>New Gabrielleport</t>
  </si>
  <si>
    <t>C003</t>
  </si>
  <si>
    <t>Carol</t>
  </si>
  <si>
    <t>Hays</t>
  </si>
  <si>
    <t>F</t>
  </si>
  <si>
    <t>Port Allen</t>
  </si>
  <si>
    <t>C004</t>
  </si>
  <si>
    <t>Joseph</t>
  </si>
  <si>
    <t>Ward</t>
  </si>
  <si>
    <t>East Edgarborough</t>
  </si>
  <si>
    <t>C005</t>
  </si>
  <si>
    <t>Jamie</t>
  </si>
  <si>
    <t>Salinas</t>
  </si>
  <si>
    <t>Port Kimberly</t>
  </si>
  <si>
    <t>C006</t>
  </si>
  <si>
    <t>Danny</t>
  </si>
  <si>
    <t>Moore</t>
  </si>
  <si>
    <t>Costaberg</t>
  </si>
  <si>
    <t>C007</t>
  </si>
  <si>
    <t>Erin</t>
  </si>
  <si>
    <t>Walker</t>
  </si>
  <si>
    <t>West Jasmine</t>
  </si>
  <si>
    <t>C008</t>
  </si>
  <si>
    <t>Isaiah</t>
  </si>
  <si>
    <t>Williams</t>
  </si>
  <si>
    <t>New Michaelland</t>
  </si>
  <si>
    <t>C009</t>
  </si>
  <si>
    <t>Richard</t>
  </si>
  <si>
    <t>Pacheco</t>
  </si>
  <si>
    <t>West Lisaville</t>
  </si>
  <si>
    <t>C010</t>
  </si>
  <si>
    <t>Catherine</t>
  </si>
  <si>
    <t>Rice</t>
  </si>
  <si>
    <t>West Carol</t>
  </si>
  <si>
    <t>C011</t>
  </si>
  <si>
    <t>Haley</t>
  </si>
  <si>
    <t>Leburgh</t>
  </si>
  <si>
    <t>C012</t>
  </si>
  <si>
    <t>Dale</t>
  </si>
  <si>
    <t>Perry</t>
  </si>
  <si>
    <t>Lake Dawn</t>
  </si>
  <si>
    <t>C013</t>
  </si>
  <si>
    <t>Robert</t>
  </si>
  <si>
    <t>Anderson</t>
  </si>
  <si>
    <t>Jillianhaven</t>
  </si>
  <si>
    <t>C014</t>
  </si>
  <si>
    <t>Brittany</t>
  </si>
  <si>
    <t>Green</t>
  </si>
  <si>
    <t>East Samantha</t>
  </si>
  <si>
    <t>C015</t>
  </si>
  <si>
    <t>Matthew</t>
  </si>
  <si>
    <t>Molina</t>
  </si>
  <si>
    <t>Quinnville</t>
  </si>
  <si>
    <t>C016</t>
  </si>
  <si>
    <t>Miguel</t>
  </si>
  <si>
    <t>Johnson</t>
  </si>
  <si>
    <t>Murrayborough</t>
  </si>
  <si>
    <t>C017</t>
  </si>
  <si>
    <t>Vanessa</t>
  </si>
  <si>
    <t>Peterside</t>
  </si>
  <si>
    <t>C018</t>
  </si>
  <si>
    <t>Breanna</t>
  </si>
  <si>
    <t>East William</t>
  </si>
  <si>
    <t>C019</t>
  </si>
  <si>
    <t>John</t>
  </si>
  <si>
    <t>Smith</t>
  </si>
  <si>
    <t>Stephaniechester</t>
  </si>
  <si>
    <t>C020</t>
  </si>
  <si>
    <t>Ryan</t>
  </si>
  <si>
    <t>Cole</t>
  </si>
  <si>
    <t>Travisstad</t>
  </si>
  <si>
    <t>C021</t>
  </si>
  <si>
    <t>Debbie</t>
  </si>
  <si>
    <t>Martin</t>
  </si>
  <si>
    <t>Meganmouth</t>
  </si>
  <si>
    <t>C022</t>
  </si>
  <si>
    <t>Megan</t>
  </si>
  <si>
    <t>Velasquez</t>
  </si>
  <si>
    <t>East James</t>
  </si>
  <si>
    <t>C023</t>
  </si>
  <si>
    <t>Mark</t>
  </si>
  <si>
    <t>Martinez</t>
  </si>
  <si>
    <t>New Christophermouth</t>
  </si>
  <si>
    <t>C024</t>
  </si>
  <si>
    <t>Molly</t>
  </si>
  <si>
    <t>Murray</t>
  </si>
  <si>
    <t>North April</t>
  </si>
  <si>
    <t>C025</t>
  </si>
  <si>
    <t>Cheryl</t>
  </si>
  <si>
    <t>Gilbert</t>
  </si>
  <si>
    <t>Bradyshire</t>
  </si>
  <si>
    <t>C026</t>
  </si>
  <si>
    <t>Justin</t>
  </si>
  <si>
    <t>Macdonald</t>
  </si>
  <si>
    <t>Shepherdburgh</t>
  </si>
  <si>
    <t>C027</t>
  </si>
  <si>
    <t>Jacqueline</t>
  </si>
  <si>
    <t>Robertmouth</t>
  </si>
  <si>
    <t>C028</t>
  </si>
  <si>
    <t>Carr</t>
  </si>
  <si>
    <t>New David</t>
  </si>
  <si>
    <t>C029</t>
  </si>
  <si>
    <t>Tyler</t>
  </si>
  <si>
    <t>Levine</t>
  </si>
  <si>
    <t>West Charles</t>
  </si>
  <si>
    <t>C030</t>
  </si>
  <si>
    <t>Lacey</t>
  </si>
  <si>
    <t>Hall</t>
  </si>
  <si>
    <t>Thomashaven</t>
  </si>
  <si>
    <t>C031</t>
  </si>
  <si>
    <t>Ashley</t>
  </si>
  <si>
    <t>Gibson</t>
  </si>
  <si>
    <t>East Carrieberg</t>
  </si>
  <si>
    <t>C032</t>
  </si>
  <si>
    <t>Valerie</t>
  </si>
  <si>
    <t>East Shelby</t>
  </si>
  <si>
    <t>C033</t>
  </si>
  <si>
    <t>Jenny</t>
  </si>
  <si>
    <t>Beck</t>
  </si>
  <si>
    <t>Lake Cody</t>
  </si>
  <si>
    <t>C034</t>
  </si>
  <si>
    <t>Kari</t>
  </si>
  <si>
    <t>East Mary</t>
  </si>
  <si>
    <t>C035</t>
  </si>
  <si>
    <t>Kimberly</t>
  </si>
  <si>
    <t>King</t>
  </si>
  <si>
    <t>North George</t>
  </si>
  <si>
    <t>C036</t>
  </si>
  <si>
    <t>Cervantes</t>
  </si>
  <si>
    <t>Ashleyview</t>
  </si>
  <si>
    <t>C037</t>
  </si>
  <si>
    <t>Miranda</t>
  </si>
  <si>
    <t>Nelson</t>
  </si>
  <si>
    <t>West Melissahaven</t>
  </si>
  <si>
    <t>C038</t>
  </si>
  <si>
    <t>Tracey</t>
  </si>
  <si>
    <t>Wilsonbury</t>
  </si>
  <si>
    <t>C039</t>
  </si>
  <si>
    <t>Nancy</t>
  </si>
  <si>
    <t>Savage</t>
  </si>
  <si>
    <t>Port Sandra</t>
  </si>
  <si>
    <t>C040</t>
  </si>
  <si>
    <t>Scott</t>
  </si>
  <si>
    <t>Powell</t>
  </si>
  <si>
    <t>Port Miguel</t>
  </si>
  <si>
    <t>C041</t>
  </si>
  <si>
    <t>Melissa</t>
  </si>
  <si>
    <t>Rodgers</t>
  </si>
  <si>
    <t>North Sharontown</t>
  </si>
  <si>
    <t>C042</t>
  </si>
  <si>
    <t>Anna</t>
  </si>
  <si>
    <t>Andrews</t>
  </si>
  <si>
    <t>North Teresashire</t>
  </si>
  <si>
    <t>C043</t>
  </si>
  <si>
    <t>Kenneth</t>
  </si>
  <si>
    <t>Allen</t>
  </si>
  <si>
    <t>North Jonathonhaven</t>
  </si>
  <si>
    <t>C044</t>
  </si>
  <si>
    <t>Parker</t>
  </si>
  <si>
    <t>Sparks</t>
  </si>
  <si>
    <t>Bryanside</t>
  </si>
  <si>
    <t>C045</t>
  </si>
  <si>
    <t>Kelly</t>
  </si>
  <si>
    <t>Shaw</t>
  </si>
  <si>
    <t>Zacharyfort</t>
  </si>
  <si>
    <t>C046</t>
  </si>
  <si>
    <t>Dennis</t>
  </si>
  <si>
    <t>Poole</t>
  </si>
  <si>
    <t>New Jontown</t>
  </si>
  <si>
    <t>C047</t>
  </si>
  <si>
    <t>Mary</t>
  </si>
  <si>
    <t>Decker</t>
  </si>
  <si>
    <t>Port Jessica</t>
  </si>
  <si>
    <t>C048</t>
  </si>
  <si>
    <t>Alexis</t>
  </si>
  <si>
    <t>Crane</t>
  </si>
  <si>
    <t>Newtonborough</t>
  </si>
  <si>
    <t>C049</t>
  </si>
  <si>
    <t>Antonio</t>
  </si>
  <si>
    <t>Hamilton</t>
  </si>
  <si>
    <t>Chambersview</t>
  </si>
  <si>
    <t>C050</t>
  </si>
  <si>
    <t>Mcmillan</t>
  </si>
  <si>
    <t>Erinland</t>
  </si>
  <si>
    <t>C051</t>
  </si>
  <si>
    <t>Madison</t>
  </si>
  <si>
    <t>Sellers</t>
  </si>
  <si>
    <t>Boyerstad</t>
  </si>
  <si>
    <t>C052</t>
  </si>
  <si>
    <t>Billy</t>
  </si>
  <si>
    <t>Hernandez</t>
  </si>
  <si>
    <t>Walkerfurt</t>
  </si>
  <si>
    <t>C053</t>
  </si>
  <si>
    <t>Felicia</t>
  </si>
  <si>
    <t>Morgan</t>
  </si>
  <si>
    <t>Lake Michaelshire</t>
  </si>
  <si>
    <t>C054</t>
  </si>
  <si>
    <t>Crystal</t>
  </si>
  <si>
    <t>New Kathleentown</t>
  </si>
  <si>
    <t>C055</t>
  </si>
  <si>
    <t>Deborah</t>
  </si>
  <si>
    <t>Moody</t>
  </si>
  <si>
    <t>Andersonville</t>
  </si>
  <si>
    <t>C056</t>
  </si>
  <si>
    <t>Carl</t>
  </si>
  <si>
    <t>Wyatt</t>
  </si>
  <si>
    <t>North Tracey</t>
  </si>
  <si>
    <t>C057</t>
  </si>
  <si>
    <t>Julie</t>
  </si>
  <si>
    <t>Williamsville</t>
  </si>
  <si>
    <t>C058</t>
  </si>
  <si>
    <t>Lawrence</t>
  </si>
  <si>
    <t>Stewart</t>
  </si>
  <si>
    <t>West Tinatown</t>
  </si>
  <si>
    <t>C059</t>
  </si>
  <si>
    <t>New Meagan</t>
  </si>
  <si>
    <t>C060</t>
  </si>
  <si>
    <t>Anthony</t>
  </si>
  <si>
    <t>Conway</t>
  </si>
  <si>
    <t>Carlyberg</t>
  </si>
  <si>
    <t>C061</t>
  </si>
  <si>
    <t>Heather</t>
  </si>
  <si>
    <t>Russell</t>
  </si>
  <si>
    <t>North Michellemouth</t>
  </si>
  <si>
    <t>C062</t>
  </si>
  <si>
    <t>Susan</t>
  </si>
  <si>
    <t>Turnerberg</t>
  </si>
  <si>
    <t>C063</t>
  </si>
  <si>
    <t>West Amandashire</t>
  </si>
  <si>
    <t>C064</t>
  </si>
  <si>
    <t>Amanda</t>
  </si>
  <si>
    <t>Hoover</t>
  </si>
  <si>
    <t>Brittanyburgh</t>
  </si>
  <si>
    <t>C065</t>
  </si>
  <si>
    <t>Duke</t>
  </si>
  <si>
    <t>Williamhaven</t>
  </si>
  <si>
    <t>C066</t>
  </si>
  <si>
    <t>Jason</t>
  </si>
  <si>
    <t>Jenkins</t>
  </si>
  <si>
    <t>New Randychester</t>
  </si>
  <si>
    <t>C067</t>
  </si>
  <si>
    <t>Daniel</t>
  </si>
  <si>
    <t>Maldonado</t>
  </si>
  <si>
    <t>Davisfurt</t>
  </si>
  <si>
    <t>C068</t>
  </si>
  <si>
    <t>Alexandra</t>
  </si>
  <si>
    <t>Montoya</t>
  </si>
  <si>
    <t>New Julia</t>
  </si>
  <si>
    <t>C069</t>
  </si>
  <si>
    <t>Gabriel</t>
  </si>
  <si>
    <t>Daugherty</t>
  </si>
  <si>
    <t>New Reginald</t>
  </si>
  <si>
    <t>C070</t>
  </si>
  <si>
    <t>Eric</t>
  </si>
  <si>
    <t>Bryan</t>
  </si>
  <si>
    <t>Taylorhaven</t>
  </si>
  <si>
    <t>C071</t>
  </si>
  <si>
    <t>Denise</t>
  </si>
  <si>
    <t>Gutierrez</t>
  </si>
  <si>
    <t>New Manuelville</t>
  </si>
  <si>
    <t>C072</t>
  </si>
  <si>
    <t>Watkins</t>
  </si>
  <si>
    <t>Melissashire</t>
  </si>
  <si>
    <t>C073</t>
  </si>
  <si>
    <t>Armstrong</t>
  </si>
  <si>
    <t>Port Angelabury</t>
  </si>
  <si>
    <t>C074</t>
  </si>
  <si>
    <t>Jesus</t>
  </si>
  <si>
    <t>Singh</t>
  </si>
  <si>
    <t>Port Michaelstad</t>
  </si>
  <si>
    <t>C075</t>
  </si>
  <si>
    <t>Seth</t>
  </si>
  <si>
    <t>New John</t>
  </si>
  <si>
    <t>C076</t>
  </si>
  <si>
    <t>Phyllis</t>
  </si>
  <si>
    <t>Durham</t>
  </si>
  <si>
    <t>Nancyside</t>
  </si>
  <si>
    <t>C077</t>
  </si>
  <si>
    <t>Juarez</t>
  </si>
  <si>
    <t>North Meagan</t>
  </si>
  <si>
    <t>C078</t>
  </si>
  <si>
    <t>Jeanne</t>
  </si>
  <si>
    <t>Young</t>
  </si>
  <si>
    <t>Craigport</t>
  </si>
  <si>
    <t>C079</t>
  </si>
  <si>
    <t>Donald</t>
  </si>
  <si>
    <t>Marsh</t>
  </si>
  <si>
    <t>North Bradleyfurt</t>
  </si>
  <si>
    <t>C080</t>
  </si>
  <si>
    <t>Grace</t>
  </si>
  <si>
    <t>Garcia</t>
  </si>
  <si>
    <t>Markberg</t>
  </si>
  <si>
    <t>C081</t>
  </si>
  <si>
    <t>Sarah</t>
  </si>
  <si>
    <t>Reynolds</t>
  </si>
  <si>
    <t>South Christinabury</t>
  </si>
  <si>
    <t>C082</t>
  </si>
  <si>
    <t>Amy</t>
  </si>
  <si>
    <t>Vasquezmouth</t>
  </si>
  <si>
    <t>C083</t>
  </si>
  <si>
    <t>Jeremy</t>
  </si>
  <si>
    <t>Robles</t>
  </si>
  <si>
    <t>West Josephport</t>
  </si>
  <si>
    <t>C084</t>
  </si>
  <si>
    <t>Lee</t>
  </si>
  <si>
    <t>Meyersstad</t>
  </si>
  <si>
    <t>C085</t>
  </si>
  <si>
    <t>Juan</t>
  </si>
  <si>
    <t>Ramirez</t>
  </si>
  <si>
    <t>New Michaelview</t>
  </si>
  <si>
    <t>C086</t>
  </si>
  <si>
    <t>Hunter</t>
  </si>
  <si>
    <t>Port Stephanie</t>
  </si>
  <si>
    <t>C087</t>
  </si>
  <si>
    <t>Laurie</t>
  </si>
  <si>
    <t>Mason</t>
  </si>
  <si>
    <t>Berrymouth</t>
  </si>
  <si>
    <t>C088</t>
  </si>
  <si>
    <t>Brenda</t>
  </si>
  <si>
    <t>Costa</t>
  </si>
  <si>
    <t>North Christian</t>
  </si>
  <si>
    <t>C089</t>
  </si>
  <si>
    <t>William</t>
  </si>
  <si>
    <t>Warner</t>
  </si>
  <si>
    <t>Geoffreystad</t>
  </si>
  <si>
    <t>C090</t>
  </si>
  <si>
    <t>Carrie</t>
  </si>
  <si>
    <t>Peterson</t>
  </si>
  <si>
    <t>Fergusonview</t>
  </si>
  <si>
    <t>C091</t>
  </si>
  <si>
    <t>Brian</t>
  </si>
  <si>
    <t>Fowler</t>
  </si>
  <si>
    <t>Port Williamhaven</t>
  </si>
  <si>
    <t>C092</t>
  </si>
  <si>
    <t>Lindsey</t>
  </si>
  <si>
    <t>Holder</t>
  </si>
  <si>
    <t>Mendozaland</t>
  </si>
  <si>
    <t>C093</t>
  </si>
  <si>
    <t>Stanley</t>
  </si>
  <si>
    <t>Brown</t>
  </si>
  <si>
    <t>Baldwinstad</t>
  </si>
  <si>
    <t>C094</t>
  </si>
  <si>
    <t>Stokes</t>
  </si>
  <si>
    <t>Seanland</t>
  </si>
  <si>
    <t>C095</t>
  </si>
  <si>
    <t>Kevin</t>
  </si>
  <si>
    <t>Snyder</t>
  </si>
  <si>
    <t>Seanville</t>
  </si>
  <si>
    <t>C096</t>
  </si>
  <si>
    <t>Lake Amanda</t>
  </si>
  <si>
    <t>C097</t>
  </si>
  <si>
    <t>Evelyn</t>
  </si>
  <si>
    <t>Gray</t>
  </si>
  <si>
    <t>Wardfort</t>
  </si>
  <si>
    <t>C098</t>
  </si>
  <si>
    <t>Lisa</t>
  </si>
  <si>
    <t>Vega</t>
  </si>
  <si>
    <t>East Colinmouth</t>
  </si>
  <si>
    <t>C099</t>
  </si>
  <si>
    <t>Jones</t>
  </si>
  <si>
    <t>Hansonhaven</t>
  </si>
  <si>
    <t>C100</t>
  </si>
  <si>
    <t>Sean</t>
  </si>
  <si>
    <t>Hart</t>
  </si>
  <si>
    <t>North Jason</t>
  </si>
  <si>
    <t>C101</t>
  </si>
  <si>
    <t>Pope</t>
  </si>
  <si>
    <t>North Gary</t>
  </si>
  <si>
    <t>C102</t>
  </si>
  <si>
    <t>Carolyn</t>
  </si>
  <si>
    <t>Perez</t>
  </si>
  <si>
    <t>South Briantown</t>
  </si>
  <si>
    <t>C103</t>
  </si>
  <si>
    <t>David</t>
  </si>
  <si>
    <t>Burns</t>
  </si>
  <si>
    <t>Joyceside</t>
  </si>
  <si>
    <t>C104</t>
  </si>
  <si>
    <t>Dean</t>
  </si>
  <si>
    <t>West Ann</t>
  </si>
  <si>
    <t>C105</t>
  </si>
  <si>
    <t>Berg</t>
  </si>
  <si>
    <t>Morrisborough</t>
  </si>
  <si>
    <t>C106</t>
  </si>
  <si>
    <t>Flores</t>
  </si>
  <si>
    <t>Lake Ricardo</t>
  </si>
  <si>
    <t>C107</t>
  </si>
  <si>
    <t>Victoria</t>
  </si>
  <si>
    <t>Hansen</t>
  </si>
  <si>
    <t>Lake Dale</t>
  </si>
  <si>
    <t>C108</t>
  </si>
  <si>
    <t>Samantha</t>
  </si>
  <si>
    <t>Hill</t>
  </si>
  <si>
    <t>Georgetown</t>
  </si>
  <si>
    <t>C109</t>
  </si>
  <si>
    <t>Austin</t>
  </si>
  <si>
    <t>Hogan</t>
  </si>
  <si>
    <t>Port Fernandohaven</t>
  </si>
  <si>
    <t>C110</t>
  </si>
  <si>
    <t>Travis</t>
  </si>
  <si>
    <t>Peters</t>
  </si>
  <si>
    <t>South Ianhaven</t>
  </si>
  <si>
    <t>C111</t>
  </si>
  <si>
    <t>Dylan</t>
  </si>
  <si>
    <t>Booker</t>
  </si>
  <si>
    <t>Justintown</t>
  </si>
  <si>
    <t>C112</t>
  </si>
  <si>
    <t>Jeffrey</t>
  </si>
  <si>
    <t>Aaronmouth</t>
  </si>
  <si>
    <t>C113</t>
  </si>
  <si>
    <t>Heidi</t>
  </si>
  <si>
    <t>Wilson</t>
  </si>
  <si>
    <t>Ramosbury</t>
  </si>
  <si>
    <t>C114</t>
  </si>
  <si>
    <t>Rodriguez</t>
  </si>
  <si>
    <t>Adkinsport</t>
  </si>
  <si>
    <t>C115</t>
  </si>
  <si>
    <t>Jose</t>
  </si>
  <si>
    <t>Smithburgh</t>
  </si>
  <si>
    <t>C116</t>
  </si>
  <si>
    <t>Webb</t>
  </si>
  <si>
    <t>Zacharyberg</t>
  </si>
  <si>
    <t>C117</t>
  </si>
  <si>
    <t>Timothy</t>
  </si>
  <si>
    <t>Lauraborough</t>
  </si>
  <si>
    <t>C118</t>
  </si>
  <si>
    <t>Gina</t>
  </si>
  <si>
    <t>Bradford</t>
  </si>
  <si>
    <t>Port William</t>
  </si>
  <si>
    <t>C119</t>
  </si>
  <si>
    <t>Lloyd</t>
  </si>
  <si>
    <t>West Ralph</t>
  </si>
  <si>
    <t>C120</t>
  </si>
  <si>
    <t>Curtis</t>
  </si>
  <si>
    <t>Faulkner</t>
  </si>
  <si>
    <t>Annaborough</t>
  </si>
  <si>
    <t>C121</t>
  </si>
  <si>
    <t>Bell</t>
  </si>
  <si>
    <t>Sarahhaven</t>
  </si>
  <si>
    <t>C122</t>
  </si>
  <si>
    <t>Simonstad</t>
  </si>
  <si>
    <t>C123</t>
  </si>
  <si>
    <t>Peter</t>
  </si>
  <si>
    <t>Edwards</t>
  </si>
  <si>
    <t>Cliffordbury</t>
  </si>
  <si>
    <t>C124</t>
  </si>
  <si>
    <t>Chad</t>
  </si>
  <si>
    <t>Roberts</t>
  </si>
  <si>
    <t>North Michelle</t>
  </si>
  <si>
    <t>C125</t>
  </si>
  <si>
    <t>Lake Christopher</t>
  </si>
  <si>
    <t>C126</t>
  </si>
  <si>
    <t>Monique</t>
  </si>
  <si>
    <t>West Paulfurt</t>
  </si>
  <si>
    <t>C127</t>
  </si>
  <si>
    <t>Kimland</t>
  </si>
  <si>
    <t>C128</t>
  </si>
  <si>
    <t>Collins</t>
  </si>
  <si>
    <t>Anthonystad</t>
  </si>
  <si>
    <t>C129</t>
  </si>
  <si>
    <t>Gary</t>
  </si>
  <si>
    <t>Taylor</t>
  </si>
  <si>
    <t>New Michael</t>
  </si>
  <si>
    <t>C130</t>
  </si>
  <si>
    <t>Aaron</t>
  </si>
  <si>
    <t>Bailey</t>
  </si>
  <si>
    <t>Marcchester</t>
  </si>
  <si>
    <t>C131</t>
  </si>
  <si>
    <t>Jackson</t>
  </si>
  <si>
    <t>Williamsport</t>
  </si>
  <si>
    <t>C132</t>
  </si>
  <si>
    <t>Jared</t>
  </si>
  <si>
    <t>Ochoa</t>
  </si>
  <si>
    <t>Cisnerosville</t>
  </si>
  <si>
    <t>C133</t>
  </si>
  <si>
    <t>Yvette</t>
  </si>
  <si>
    <t>Roth</t>
  </si>
  <si>
    <t>East Melissashire</t>
  </si>
  <si>
    <t>C134</t>
  </si>
  <si>
    <t>Emily</t>
  </si>
  <si>
    <t>Angelaland</t>
  </si>
  <si>
    <t>C135</t>
  </si>
  <si>
    <t>Mario</t>
  </si>
  <si>
    <t>Cuevas</t>
  </si>
  <si>
    <t>North Charlesville</t>
  </si>
  <si>
    <t>C136</t>
  </si>
  <si>
    <t>Watsonview</t>
  </si>
  <si>
    <t>C137</t>
  </si>
  <si>
    <t>Lopez</t>
  </si>
  <si>
    <t>Amandachester</t>
  </si>
  <si>
    <t>C138</t>
  </si>
  <si>
    <t>Melissaberg</t>
  </si>
  <si>
    <t>C139</t>
  </si>
  <si>
    <t>Alexander</t>
  </si>
  <si>
    <t>Mcfarland</t>
  </si>
  <si>
    <t>Whiteside</t>
  </si>
  <si>
    <t>C140</t>
  </si>
  <si>
    <t>Stacy</t>
  </si>
  <si>
    <t>Port Gail</t>
  </si>
  <si>
    <t>C141</t>
  </si>
  <si>
    <t>Adam</t>
  </si>
  <si>
    <t>Lucas</t>
  </si>
  <si>
    <t>Allisonmouth</t>
  </si>
  <si>
    <t>C142</t>
  </si>
  <si>
    <t>Suzanne</t>
  </si>
  <si>
    <t>Fox</t>
  </si>
  <si>
    <t>Joelborough</t>
  </si>
  <si>
    <t>C143</t>
  </si>
  <si>
    <t>Cynthia</t>
  </si>
  <si>
    <t>Carlson</t>
  </si>
  <si>
    <t>South Jameschester</t>
  </si>
  <si>
    <t>C144</t>
  </si>
  <si>
    <t>Betty</t>
  </si>
  <si>
    <t>North Lisa</t>
  </si>
  <si>
    <t>C145</t>
  </si>
  <si>
    <t>Paige</t>
  </si>
  <si>
    <t>Osborne</t>
  </si>
  <si>
    <t>Carlsonborough</t>
  </si>
  <si>
    <t>C146</t>
  </si>
  <si>
    <t>North Jamesport</t>
  </si>
  <si>
    <t>C147</t>
  </si>
  <si>
    <t>Garrison</t>
  </si>
  <si>
    <t>New Jason</t>
  </si>
  <si>
    <t>C148</t>
  </si>
  <si>
    <t>Foster</t>
  </si>
  <si>
    <t>Charlesmouth</t>
  </si>
  <si>
    <t>C149</t>
  </si>
  <si>
    <t>Torres</t>
  </si>
  <si>
    <t>North Kathryn</t>
  </si>
  <si>
    <t>C150</t>
  </si>
  <si>
    <t>Francis</t>
  </si>
  <si>
    <t>Juliefurt</t>
  </si>
  <si>
    <t>C151</t>
  </si>
  <si>
    <t>Dawn</t>
  </si>
  <si>
    <t>Fletcher</t>
  </si>
  <si>
    <t>South Audrey</t>
  </si>
  <si>
    <t>C152</t>
  </si>
  <si>
    <t>Port Jeffreyside</t>
  </si>
  <si>
    <t>C153</t>
  </si>
  <si>
    <t>Gordon</t>
  </si>
  <si>
    <t>Port Alex</t>
  </si>
  <si>
    <t>C154</t>
  </si>
  <si>
    <t>East Codyton</t>
  </si>
  <si>
    <t>C155</t>
  </si>
  <si>
    <t>Jill</t>
  </si>
  <si>
    <t>Mcconnell</t>
  </si>
  <si>
    <t>Kevinshire</t>
  </si>
  <si>
    <t>C156</t>
  </si>
  <si>
    <t>George</t>
  </si>
  <si>
    <t>Lisatown</t>
  </si>
  <si>
    <t>C157</t>
  </si>
  <si>
    <t>Connie</t>
  </si>
  <si>
    <t>Terry</t>
  </si>
  <si>
    <t>Port Patriciaburgh</t>
  </si>
  <si>
    <t>C158</t>
  </si>
  <si>
    <t>Aguirre</t>
  </si>
  <si>
    <t>Dylanmouth</t>
  </si>
  <si>
    <t>C159</t>
  </si>
  <si>
    <t>Thomas</t>
  </si>
  <si>
    <t>Chung</t>
  </si>
  <si>
    <t>Joshuamouth</t>
  </si>
  <si>
    <t>C160</t>
  </si>
  <si>
    <t>Meagan</t>
  </si>
  <si>
    <t>Port Jacob</t>
  </si>
  <si>
    <t>C161</t>
  </si>
  <si>
    <t>Shannontown</t>
  </si>
  <si>
    <t>C162</t>
  </si>
  <si>
    <t>Roach</t>
  </si>
  <si>
    <t>Ellisside</t>
  </si>
  <si>
    <t>C163</t>
  </si>
  <si>
    <t>Rogers</t>
  </si>
  <si>
    <t>Lake Lindsay</t>
  </si>
  <si>
    <t>C164</t>
  </si>
  <si>
    <t>Linda</t>
  </si>
  <si>
    <t>Vasquez</t>
  </si>
  <si>
    <t>North Rodney</t>
  </si>
  <si>
    <t>C165</t>
  </si>
  <si>
    <t>Tanya</t>
  </si>
  <si>
    <t>Mueller</t>
  </si>
  <si>
    <t>West Tanner</t>
  </si>
  <si>
    <t>C166</t>
  </si>
  <si>
    <t>Ali</t>
  </si>
  <si>
    <t>South Markbury</t>
  </si>
  <si>
    <t>C167</t>
  </si>
  <si>
    <t>Lin</t>
  </si>
  <si>
    <t>Wilsonland</t>
  </si>
  <si>
    <t>C168</t>
  </si>
  <si>
    <t>Lake Steventown</t>
  </si>
  <si>
    <t>C169</t>
  </si>
  <si>
    <t>Watson</t>
  </si>
  <si>
    <t>Christopherburgh</t>
  </si>
  <si>
    <t>C170</t>
  </si>
  <si>
    <t>Amber</t>
  </si>
  <si>
    <t>Graham</t>
  </si>
  <si>
    <t>Lake Melissaborough</t>
  </si>
  <si>
    <t>C171</t>
  </si>
  <si>
    <t>Christina</t>
  </si>
  <si>
    <t>Dominguez</t>
  </si>
  <si>
    <t>Robertsborough</t>
  </si>
  <si>
    <t>C172</t>
  </si>
  <si>
    <t>Michelle</t>
  </si>
  <si>
    <t>New Fred</t>
  </si>
  <si>
    <t>C173</t>
  </si>
  <si>
    <t>Ruiz</t>
  </si>
  <si>
    <t>South Marcusberg</t>
  </si>
  <si>
    <t>C174</t>
  </si>
  <si>
    <t>Howell</t>
  </si>
  <si>
    <t>South Jennifer</t>
  </si>
  <si>
    <t>C175</t>
  </si>
  <si>
    <t>Stacey</t>
  </si>
  <si>
    <t>Thompson</t>
  </si>
  <si>
    <t>Davidtown</t>
  </si>
  <si>
    <t>C176</t>
  </si>
  <si>
    <t>West Amymouth</t>
  </si>
  <si>
    <t>C177</t>
  </si>
  <si>
    <t>Gould</t>
  </si>
  <si>
    <t>South James</t>
  </si>
  <si>
    <t>C178</t>
  </si>
  <si>
    <t>Mcdonald</t>
  </si>
  <si>
    <t>East Paulburgh</t>
  </si>
  <si>
    <t>C179</t>
  </si>
  <si>
    <t>Wallace</t>
  </si>
  <si>
    <t>Bennettburgh</t>
  </si>
  <si>
    <t>C180</t>
  </si>
  <si>
    <t>Nichole</t>
  </si>
  <si>
    <t>Calhoun</t>
  </si>
  <si>
    <t>West Dakotaside</t>
  </si>
  <si>
    <t>C181</t>
  </si>
  <si>
    <t>Oneal</t>
  </si>
  <si>
    <t>Port Bryce</t>
  </si>
  <si>
    <t>C182</t>
  </si>
  <si>
    <t>Meghan</t>
  </si>
  <si>
    <t>Wright</t>
  </si>
  <si>
    <t>East Rodney</t>
  </si>
  <si>
    <t>C183</t>
  </si>
  <si>
    <t>Dawson</t>
  </si>
  <si>
    <t>New Tiffanyberg</t>
  </si>
  <si>
    <t>C184</t>
  </si>
  <si>
    <t>Mcintyre</t>
  </si>
  <si>
    <t>West Katrina</t>
  </si>
  <si>
    <t>C185</t>
  </si>
  <si>
    <t>Joe</t>
  </si>
  <si>
    <t>Vincent</t>
  </si>
  <si>
    <t>North Chaseborough</t>
  </si>
  <si>
    <t>C186</t>
  </si>
  <si>
    <t>Vicki</t>
  </si>
  <si>
    <t>Guzman</t>
  </si>
  <si>
    <t>West Wandaland</t>
  </si>
  <si>
    <t>C187</t>
  </si>
  <si>
    <t>Cherry</t>
  </si>
  <si>
    <t>Gomeztown</t>
  </si>
  <si>
    <t>C188</t>
  </si>
  <si>
    <t>East Danielleshire</t>
  </si>
  <si>
    <t>C189</t>
  </si>
  <si>
    <t>Steve</t>
  </si>
  <si>
    <t>Flynn</t>
  </si>
  <si>
    <t>East Walter</t>
  </si>
  <si>
    <t>C190</t>
  </si>
  <si>
    <t>Lawson</t>
  </si>
  <si>
    <t>Conwayside</t>
  </si>
  <si>
    <t>C191</t>
  </si>
  <si>
    <t>Karen</t>
  </si>
  <si>
    <t>Quinn</t>
  </si>
  <si>
    <t>Kristinemouth</t>
  </si>
  <si>
    <t>C192</t>
  </si>
  <si>
    <t>James</t>
  </si>
  <si>
    <t>Franklinview</t>
  </si>
  <si>
    <t>C193</t>
  </si>
  <si>
    <t>Meza</t>
  </si>
  <si>
    <t>North Kelly</t>
  </si>
  <si>
    <t>C194</t>
  </si>
  <si>
    <t>Ann</t>
  </si>
  <si>
    <t>West</t>
  </si>
  <si>
    <t>Craigshire</t>
  </si>
  <si>
    <t>C195</t>
  </si>
  <si>
    <t>Mitchell</t>
  </si>
  <si>
    <t>East Raymond</t>
  </si>
  <si>
    <t>C196</t>
  </si>
  <si>
    <t>Noble</t>
  </si>
  <si>
    <t>Woodbury</t>
  </si>
  <si>
    <t>C197</t>
  </si>
  <si>
    <t>Dixon</t>
  </si>
  <si>
    <t>Lake Emily</t>
  </si>
  <si>
    <t>C198</t>
  </si>
  <si>
    <t>Jessica</t>
  </si>
  <si>
    <t>Mullins</t>
  </si>
  <si>
    <t>Jessicaside</t>
  </si>
  <si>
    <t>C199</t>
  </si>
  <si>
    <t>South Scottton</t>
  </si>
  <si>
    <t>C200</t>
  </si>
  <si>
    <t>Ronald</t>
  </si>
  <si>
    <t>Jenniferbury</t>
  </si>
  <si>
    <t>ProductID</t>
  </si>
  <si>
    <t>ProductName</t>
  </si>
  <si>
    <t>Category</t>
  </si>
  <si>
    <t>SubCategory</t>
  </si>
  <si>
    <t>UnitPrice</t>
  </si>
  <si>
    <t>CostPrice</t>
  </si>
  <si>
    <t>P001</t>
  </si>
  <si>
    <t>Like Camera</t>
  </si>
  <si>
    <t>Electronics</t>
  </si>
  <si>
    <t>Camera</t>
  </si>
  <si>
    <t>P002</t>
  </si>
  <si>
    <t>Audience Television</t>
  </si>
  <si>
    <t>Television</t>
  </si>
  <si>
    <t>P003</t>
  </si>
  <si>
    <t>Here Footwear</t>
  </si>
  <si>
    <t>Fashion</t>
  </si>
  <si>
    <t>Footwear</t>
  </si>
  <si>
    <t>P004</t>
  </si>
  <si>
    <t>Four Accessories</t>
  </si>
  <si>
    <t>Accessories</t>
  </si>
  <si>
    <t>P005</t>
  </si>
  <si>
    <t>Knowledge Bags</t>
  </si>
  <si>
    <t>Bags</t>
  </si>
  <si>
    <t>P006</t>
  </si>
  <si>
    <t>Company Fruits</t>
  </si>
  <si>
    <t>Groceries</t>
  </si>
  <si>
    <t>Fruits</t>
  </si>
  <si>
    <t>P007</t>
  </si>
  <si>
    <t>Understand Camera</t>
  </si>
  <si>
    <t>P008</t>
  </si>
  <si>
    <t>Recognize Footwear</t>
  </si>
  <si>
    <t>P009</t>
  </si>
  <si>
    <t>Us Snacks</t>
  </si>
  <si>
    <t>Snacks</t>
  </si>
  <si>
    <t>P010</t>
  </si>
  <si>
    <t>Step Smartphone</t>
  </si>
  <si>
    <t>Smartphone</t>
  </si>
  <si>
    <t>P011</t>
  </si>
  <si>
    <t>Either Headphones</t>
  </si>
  <si>
    <t>Headphones</t>
  </si>
  <si>
    <t>P012</t>
  </si>
  <si>
    <t>Above Camera</t>
  </si>
  <si>
    <t>P013</t>
  </si>
  <si>
    <t>World Watches</t>
  </si>
  <si>
    <t>Watches</t>
  </si>
  <si>
    <t>P014</t>
  </si>
  <si>
    <t>Add Clothing</t>
  </si>
  <si>
    <t>Clothing</t>
  </si>
  <si>
    <t>P015</t>
  </si>
  <si>
    <t>Whether Bags</t>
  </si>
  <si>
    <t>P016</t>
  </si>
  <si>
    <t>House Accessories</t>
  </si>
  <si>
    <t>P017</t>
  </si>
  <si>
    <t>Find Headphones</t>
  </si>
  <si>
    <t>P018</t>
  </si>
  <si>
    <t>Democratic Smartphone</t>
  </si>
  <si>
    <t>P019</t>
  </si>
  <si>
    <t>Traditional Laptop</t>
  </si>
  <si>
    <t>Laptop</t>
  </si>
  <si>
    <t>P020</t>
  </si>
  <si>
    <t>Simple Accessories</t>
  </si>
  <si>
    <t>P021</t>
  </si>
  <si>
    <t>Firm Dairy</t>
  </si>
  <si>
    <t>Dairy</t>
  </si>
  <si>
    <t>P022</t>
  </si>
  <si>
    <t>How Vegetables</t>
  </si>
  <si>
    <t>Vegetables</t>
  </si>
  <si>
    <t>P023</t>
  </si>
  <si>
    <t>And Footwear</t>
  </si>
  <si>
    <t>P024</t>
  </si>
  <si>
    <t>Him Smartphone</t>
  </si>
  <si>
    <t>P025</t>
  </si>
  <si>
    <t>Little Watches</t>
  </si>
  <si>
    <t>P026</t>
  </si>
  <si>
    <t>Behavior Dairy</t>
  </si>
  <si>
    <t>P027</t>
  </si>
  <si>
    <t>Hospital Smartphone</t>
  </si>
  <si>
    <t>P028</t>
  </si>
  <si>
    <t>Deal Smartphone</t>
  </si>
  <si>
    <t>P029</t>
  </si>
  <si>
    <t>Road Clothing</t>
  </si>
  <si>
    <t>P030</t>
  </si>
  <si>
    <t>National Watches</t>
  </si>
  <si>
    <t>P031</t>
  </si>
  <si>
    <t>Foot Snacks</t>
  </si>
  <si>
    <t>P032</t>
  </si>
  <si>
    <t>Difficult Vegetables</t>
  </si>
  <si>
    <t>P033</t>
  </si>
  <si>
    <t>Beat Accessories</t>
  </si>
  <si>
    <t>P034</t>
  </si>
  <si>
    <t>Everything Laptop</t>
  </si>
  <si>
    <t>P035</t>
  </si>
  <si>
    <t>Chair Laptop</t>
  </si>
  <si>
    <t>P036</t>
  </si>
  <si>
    <t>New Watches</t>
  </si>
  <si>
    <t>P037</t>
  </si>
  <si>
    <t>Book Television</t>
  </si>
  <si>
    <t>P038</t>
  </si>
  <si>
    <t>Stage Footwear</t>
  </si>
  <si>
    <t>P039</t>
  </si>
  <si>
    <t>Church Clothing</t>
  </si>
  <si>
    <t>P040</t>
  </si>
  <si>
    <t>Piece Headphones</t>
  </si>
  <si>
    <t>P041</t>
  </si>
  <si>
    <t>Present Television</t>
  </si>
  <si>
    <t>P042</t>
  </si>
  <si>
    <t>Maybe Clothing</t>
  </si>
  <si>
    <t>P043</t>
  </si>
  <si>
    <t>Soon Accessories</t>
  </si>
  <si>
    <t>P044</t>
  </si>
  <si>
    <t>Least Accessories</t>
  </si>
  <si>
    <t>P045</t>
  </si>
  <si>
    <t>Set Dairy</t>
  </si>
  <si>
    <t>P046</t>
  </si>
  <si>
    <t>Nature Clothing</t>
  </si>
  <si>
    <t>P047</t>
  </si>
  <si>
    <t>Or Smartphone</t>
  </si>
  <si>
    <t>P048</t>
  </si>
  <si>
    <t>Nor Bags</t>
  </si>
  <si>
    <t>P049</t>
  </si>
  <si>
    <t>Possible Watches</t>
  </si>
  <si>
    <t>P050</t>
  </si>
  <si>
    <t>Maybe Footwear</t>
  </si>
  <si>
    <t>StoreID</t>
  </si>
  <si>
    <t>StoreName</t>
  </si>
  <si>
    <t>Region</t>
  </si>
  <si>
    <t>S001</t>
  </si>
  <si>
    <t>MegaMart Jimenezborough</t>
  </si>
  <si>
    <t>Jimenezborough</t>
  </si>
  <si>
    <t>South</t>
  </si>
  <si>
    <t>S002</t>
  </si>
  <si>
    <t>MegaMart Peckmouth</t>
  </si>
  <si>
    <t>Peckmouth</t>
  </si>
  <si>
    <t>East</t>
  </si>
  <si>
    <t>S003</t>
  </si>
  <si>
    <t>MegaMart New Michele</t>
  </si>
  <si>
    <t>New Michele</t>
  </si>
  <si>
    <t>S004</t>
  </si>
  <si>
    <t>MegaMart Brianahaven</t>
  </si>
  <si>
    <t>Brianahaven</t>
  </si>
  <si>
    <t>North</t>
  </si>
  <si>
    <t>S005</t>
  </si>
  <si>
    <t>MegaMart Johnmouth</t>
  </si>
  <si>
    <t>Johnmouth</t>
  </si>
  <si>
    <t>TransactionID</t>
  </si>
  <si>
    <t>Date</t>
  </si>
  <si>
    <t>Quantity</t>
  </si>
  <si>
    <t>Discount</t>
  </si>
  <si>
    <t>PaymentMethod</t>
  </si>
  <si>
    <t>T00001</t>
  </si>
  <si>
    <t>Bank Transfer</t>
  </si>
  <si>
    <t>T00002</t>
  </si>
  <si>
    <t>T00003</t>
  </si>
  <si>
    <t>Mobile Money</t>
  </si>
  <si>
    <t>T00004</t>
  </si>
  <si>
    <t>T00005</t>
  </si>
  <si>
    <t>Credit Card</t>
  </si>
  <si>
    <t>T00006</t>
  </si>
  <si>
    <t>T00007</t>
  </si>
  <si>
    <t>T00008</t>
  </si>
  <si>
    <t>Cash</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</si>
  <si>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</si>
  <si>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</si>
  <si>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</si>
  <si>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</si>
  <si>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</si>
  <si>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</si>
  <si>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</si>
  <si>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</si>
  <si>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</si>
  <si>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</si>
  <si>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</si>
  <si>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</si>
  <si>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</si>
  <si>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</si>
  <si>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</si>
  <si>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</si>
  <si>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</si>
  <si>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</si>
  <si>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</si>
  <si>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</si>
  <si>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</si>
  <si>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</si>
  <si>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</si>
  <si>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</si>
  <si>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</si>
  <si>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</si>
  <si>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</si>
  <si>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</si>
  <si>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</si>
  <si>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</si>
  <si>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</si>
  <si>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</si>
  <si>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</si>
  <si>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</si>
  <si>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</si>
  <si>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</si>
  <si>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</si>
  <si>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</si>
  <si>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</si>
  <si>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</si>
  <si>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</si>
  <si>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</si>
  <si>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</si>
  <si>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</si>
  <si>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</si>
  <si>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</si>
  <si>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</si>
  <si>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</si>
  <si>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</si>
  <si>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</si>
  <si>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</si>
  <si>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</si>
  <si>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</si>
  <si>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</si>
  <si>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</si>
  <si>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</si>
  <si>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</si>
  <si>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</si>
  <si>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</si>
  <si>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</si>
  <si>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</si>
  <si>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</si>
  <si>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</si>
  <si>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</si>
  <si>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</si>
  <si>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</si>
  <si>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</si>
  <si>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</si>
  <si>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</si>
  <si>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</si>
  <si>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</si>
  <si>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</si>
  <si>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</si>
  <si>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</si>
  <si>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</si>
  <si>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</si>
  <si>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</si>
  <si>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</si>
  <si>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</si>
  <si>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</si>
  <si>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</si>
  <si>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</si>
  <si>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</si>
  <si>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</si>
  <si>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</si>
  <si>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</si>
  <si>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</si>
  <si>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</si>
  <si>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</si>
  <si>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</si>
  <si>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</si>
  <si>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</si>
  <si>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</si>
  <si>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</si>
  <si>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</si>
  <si>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</si>
  <si>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</si>
  <si>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</si>
  <si>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</si>
  <si>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</si>
  <si>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</si>
  <si>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</si>
  <si>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</si>
  <si>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</si>
  <si>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</si>
  <si>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</si>
  <si>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</si>
  <si>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</si>
  <si>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</si>
  <si>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</si>
  <si>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</si>
  <si>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</si>
  <si>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</si>
  <si>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</si>
  <si>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</si>
  <si>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</si>
  <si>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</si>
  <si>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</si>
  <si>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</si>
  <si>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</si>
  <si>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</si>
  <si>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</si>
  <si>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</si>
  <si>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</si>
  <si>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</si>
  <si>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</si>
  <si>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</si>
  <si>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</si>
  <si>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</si>
  <si>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</si>
  <si>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</si>
  <si>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</si>
  <si>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</si>
  <si>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</si>
  <si>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</si>
  <si>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</si>
  <si>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</si>
  <si>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</si>
  <si>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</si>
  <si>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</si>
  <si>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</si>
  <si>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</si>
  <si>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</si>
  <si>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</si>
  <si>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</si>
  <si>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</si>
  <si>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</si>
  <si>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</si>
  <si>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</si>
  <si>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</si>
  <si>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</si>
  <si>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</si>
  <si>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</si>
  <si>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</si>
  <si>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</si>
  <si>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</si>
  <si>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</si>
  <si>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</si>
  <si>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</si>
  <si>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</si>
  <si>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</si>
  <si>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</si>
  <si>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</si>
  <si>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</si>
  <si>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</si>
  <si>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</si>
  <si>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</si>
  <si>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</si>
  <si>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</si>
  <si>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</si>
  <si>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</si>
  <si>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</si>
  <si>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</si>
  <si>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</si>
  <si>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</si>
  <si>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</si>
  <si>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</si>
  <si>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</si>
  <si>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</si>
  <si>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</si>
  <si>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</si>
  <si>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</si>
  <si>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</si>
  <si>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</si>
  <si>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</si>
  <si>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</si>
  <si>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</si>
  <si>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</si>
  <si>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</si>
  <si>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</si>
  <si>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</si>
  <si>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</si>
  <si>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</si>
  <si>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</si>
  <si>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</si>
  <si>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</si>
  <si>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</si>
  <si>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</si>
  <si>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</si>
  <si>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</si>
  <si>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</si>
  <si>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</si>
  <si>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</si>
  <si>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</si>
  <si>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</si>
  <si>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</si>
  <si>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</si>
  <si>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</si>
  <si>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</si>
  <si>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</si>
  <si>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</si>
  <si>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</si>
  <si>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</si>
  <si>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</si>
  <si>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</si>
  <si>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</si>
  <si>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</si>
  <si>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</si>
  <si>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</si>
  <si>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</si>
  <si>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</si>
  <si>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</si>
  <si>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</si>
  <si>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</si>
  <si>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</si>
  <si>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</si>
  <si>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</si>
  <si>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</si>
  <si>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</si>
  <si>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</si>
  <si>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</si>
  <si>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</si>
  <si>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</si>
  <si>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</si>
  <si>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</si>
  <si>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</si>
  <si>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</si>
  <si>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</si>
  <si>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</si>
  <si>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</si>
  <si>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</si>
  <si>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</si>
  <si>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</si>
  <si>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</si>
  <si>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</si>
  <si>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</si>
  <si>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</si>
  <si>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</si>
  <si>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</si>
  <si>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</si>
  <si>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</si>
  <si>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</si>
  <si>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</si>
  <si>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</si>
  <si>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</si>
  <si>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</si>
  <si>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</si>
  <si>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</si>
  <si>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</si>
  <si>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</si>
  <si>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</si>
  <si>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</si>
  <si>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</si>
  <si>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</si>
  <si>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</si>
  <si>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</si>
  <si>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</si>
  <si>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</si>
  <si>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</si>
  <si>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</si>
  <si>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</si>
  <si>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</si>
  <si>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</si>
  <si>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</si>
  <si>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</si>
  <si>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</si>
  <si>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</si>
  <si>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</si>
  <si>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</si>
  <si>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</si>
  <si>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</si>
  <si>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</si>
  <si>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</si>
  <si>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</si>
  <si>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</si>
  <si>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</si>
  <si>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</si>
  <si>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</si>
  <si>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</si>
  <si>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</si>
  <si>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</si>
  <si>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</si>
  <si>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</si>
  <si>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</si>
  <si>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</si>
  <si>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</si>
  <si>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</si>
  <si>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</si>
  <si>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</si>
  <si>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</si>
  <si>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</si>
  <si>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</si>
  <si>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</si>
  <si>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</si>
  <si>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</si>
  <si>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</si>
  <si>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</si>
  <si>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</si>
  <si>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</si>
  <si>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</si>
  <si>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</si>
  <si>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</si>
  <si>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</si>
  <si>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</si>
  <si>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</si>
  <si>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</si>
  <si>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</si>
  <si>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</si>
  <si>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</si>
  <si>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</si>
  <si>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</si>
  <si>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</si>
  <si>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</si>
  <si>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</si>
  <si>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</si>
  <si>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</si>
  <si>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</si>
  <si>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</si>
  <si>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</si>
  <si>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</si>
  <si>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</si>
  <si>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</si>
  <si>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</si>
  <si>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</si>
  <si>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</si>
  <si>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</si>
  <si>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</si>
  <si>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</si>
  <si>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</si>
  <si>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</si>
  <si>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</si>
  <si>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</si>
  <si>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</si>
  <si>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</si>
  <si>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</si>
  <si>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</si>
  <si>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</si>
  <si>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</si>
  <si>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</si>
  <si>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</si>
  <si>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</si>
  <si>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</si>
  <si>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</si>
  <si>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</si>
  <si>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</si>
  <si>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</si>
  <si>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</si>
  <si>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</si>
  <si>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</si>
  <si>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</si>
  <si>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</si>
  <si>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</si>
  <si>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</si>
  <si>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</si>
  <si>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</si>
  <si>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</si>
  <si>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</si>
  <si>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</si>
  <si>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</si>
  <si>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</si>
  <si>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</si>
  <si>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</si>
  <si>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</si>
  <si>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</si>
  <si>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</si>
  <si>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</si>
  <si>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</si>
  <si>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</si>
  <si>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</si>
  <si>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</si>
  <si>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</si>
  <si>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</si>
  <si>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</si>
  <si>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</si>
  <si>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</si>
  <si>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</si>
  <si>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</si>
  <si>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</si>
  <si>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</si>
  <si>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</si>
  <si>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</si>
  <si>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</si>
  <si>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</si>
  <si>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</si>
  <si>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</si>
  <si>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</si>
  <si>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</si>
  <si>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</si>
  <si>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</si>
  <si>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</si>
  <si>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</si>
  <si>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</si>
  <si>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</si>
  <si>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</si>
  <si>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</si>
  <si>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</si>
  <si>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</si>
  <si>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</si>
  <si>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</si>
  <si>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</si>
  <si>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</si>
  <si>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</si>
  <si>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</si>
  <si>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</si>
  <si>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</si>
  <si>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</si>
  <si>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</si>
  <si>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</si>
  <si>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</si>
  <si>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</si>
  <si>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</si>
  <si>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</si>
  <si>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</si>
  <si>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</si>
  <si>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</si>
  <si>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</si>
  <si>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</si>
  <si>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</si>
  <si>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</si>
  <si>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</si>
  <si>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</si>
  <si>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</si>
  <si>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</si>
  <si>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</si>
  <si>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</si>
  <si>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</si>
  <si>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</si>
  <si>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</si>
  <si>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</si>
  <si>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</si>
  <si>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</si>
  <si>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</si>
  <si>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</si>
  <si>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</si>
  <si>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</si>
  <si>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</si>
  <si>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</si>
  <si>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</si>
  <si>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</si>
  <si>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</si>
  <si>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</si>
  <si>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</si>
  <si>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</si>
  <si>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</si>
  <si>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</si>
  <si>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</si>
  <si>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</si>
  <si>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</si>
  <si>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</si>
  <si>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</si>
  <si>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</si>
  <si>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</si>
  <si>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</si>
  <si>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</si>
  <si>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</si>
  <si>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</si>
  <si>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</si>
  <si>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</si>
  <si>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</si>
  <si>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</si>
  <si>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</si>
  <si>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</si>
  <si>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</si>
  <si>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</si>
  <si>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</si>
  <si>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</si>
  <si>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</si>
  <si>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</si>
  <si>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</si>
  <si>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</si>
  <si>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</si>
  <si>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</si>
  <si>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</si>
  <si>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</si>
  <si>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</si>
  <si>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</si>
  <si>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</si>
  <si>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</si>
  <si>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</si>
  <si>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</si>
  <si>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</si>
  <si>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</si>
  <si>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</si>
  <si>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</si>
  <si>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</si>
  <si>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</si>
  <si>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</si>
  <si>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</si>
  <si>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</si>
  <si>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</si>
  <si>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</si>
  <si>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</si>
  <si>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</si>
  <si>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</si>
  <si>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</si>
  <si>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</si>
  <si>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</si>
  <si>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</si>
  <si>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</si>
  <si>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</si>
  <si>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</si>
  <si>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</si>
  <si>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</si>
  <si>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</si>
  <si>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</si>
  <si>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</si>
  <si>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</si>
  <si>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</si>
  <si>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</si>
  <si>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</si>
  <si>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</si>
  <si>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</si>
  <si>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</si>
  <si>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</si>
  <si>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</si>
  <si>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</si>
  <si>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</si>
  <si>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</si>
  <si>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</si>
  <si>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</si>
  <si>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</si>
  <si>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</si>
  <si>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</si>
  <si>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</si>
  <si>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</si>
  <si>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</si>
  <si>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</si>
  <si>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</si>
  <si>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</si>
  <si>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</si>
  <si>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</si>
  <si>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</si>
  <si>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</si>
  <si>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</si>
  <si>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</si>
  <si>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</si>
  <si>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</si>
  <si>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</si>
  <si>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</si>
  <si>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</si>
  <si>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</si>
  <si>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</si>
  <si>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</si>
  <si>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</si>
  <si>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</si>
  <si>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</si>
  <si>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</si>
  <si>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</si>
  <si>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</si>
  <si>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</si>
  <si>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</si>
  <si>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</si>
  <si>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</si>
  <si>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</si>
  <si>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</si>
  <si>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</si>
  <si>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</si>
  <si>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</si>
  <si>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</si>
  <si>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</si>
  <si>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</si>
  <si>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</si>
  <si>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</si>
  <si>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</si>
  <si>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</si>
  <si>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</si>
  <si>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</si>
  <si>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</si>
  <si>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</si>
  <si>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</si>
  <si>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</si>
  <si>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</si>
  <si>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</si>
  <si>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</si>
  <si>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</si>
  <si>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</si>
  <si>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</si>
  <si>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</si>
  <si>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</si>
  <si>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</si>
  <si>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</si>
  <si>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</si>
  <si>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</si>
  <si>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</si>
  <si>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</si>
  <si>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</si>
  <si>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</si>
  <si>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</si>
  <si>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</si>
  <si>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</si>
  <si>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</si>
  <si>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</si>
  <si>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</si>
  <si>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</si>
  <si>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</si>
  <si>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</si>
  <si>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</si>
  <si>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</si>
  <si>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</si>
  <si>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</si>
  <si>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</si>
  <si>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</si>
  <si>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</si>
  <si>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</si>
  <si>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</si>
  <si>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</si>
  <si>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</si>
  <si>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</si>
  <si>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</si>
  <si>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</si>
  <si>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</si>
  <si>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</si>
  <si>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</si>
  <si>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</si>
  <si>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</si>
  <si>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</si>
  <si>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</si>
  <si>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</si>
  <si>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</si>
  <si>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</si>
  <si>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</si>
  <si>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</si>
  <si>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</si>
  <si>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</si>
  <si>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</si>
  <si>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</si>
  <si>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</si>
  <si>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</si>
  <si>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</si>
  <si>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</si>
  <si>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</si>
  <si>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</si>
  <si>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</si>
  <si>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</si>
  <si>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</si>
  <si>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</si>
  <si>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</si>
  <si>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</si>
  <si>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</si>
  <si>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</si>
  <si>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</si>
  <si>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</si>
  <si>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</si>
  <si>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</si>
  <si>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</si>
  <si>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</si>
  <si>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</si>
  <si>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</si>
  <si>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</si>
  <si>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</si>
  <si>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</si>
  <si>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</si>
  <si>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</si>
  <si>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</si>
  <si>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</si>
  <si>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</si>
  <si>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</si>
  <si>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</si>
  <si>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</si>
  <si>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</si>
  <si>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</si>
  <si>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</si>
  <si>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</si>
  <si>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</si>
  <si>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</si>
  <si>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</si>
  <si>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</si>
  <si>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</si>
  <si>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</si>
  <si>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</si>
  <si>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</si>
  <si>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</si>
  <si>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</si>
  <si>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</si>
  <si>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</si>
  <si>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</si>
  <si>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</si>
  <si>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</si>
  <si>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</si>
  <si>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</si>
  <si>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</si>
  <si>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</si>
  <si>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</si>
  <si>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</si>
  <si>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</si>
  <si>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</si>
  <si>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</si>
  <si>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</si>
  <si>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</si>
  <si>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</si>
  <si>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</si>
  <si>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</si>
  <si>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</si>
  <si>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</si>
  <si>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</si>
  <si>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</si>
  <si>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</si>
  <si>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</si>
  <si>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</si>
  <si>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</si>
  <si>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</si>
  <si>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</si>
  <si>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</si>
  <si>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</si>
  <si>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</si>
  <si>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</si>
  <si>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</si>
  <si>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</si>
  <si>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</si>
  <si>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</si>
  <si>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</si>
  <si>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</si>
  <si>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</si>
  <si>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</si>
  <si>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</si>
  <si>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</si>
  <si>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</si>
  <si>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</si>
  <si>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</si>
  <si>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</si>
  <si>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</si>
  <si>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</si>
  <si>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</si>
  <si>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</si>
  <si>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</si>
  <si>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</si>
  <si>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</si>
  <si>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</si>
  <si>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</si>
  <si>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</si>
  <si>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</si>
  <si>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</si>
  <si>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</si>
  <si>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</si>
  <si>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</si>
  <si>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</si>
  <si>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</si>
  <si>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</si>
  <si>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</si>
  <si>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</si>
  <si>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</si>
  <si>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</si>
  <si>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</si>
  <si>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</si>
  <si>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</si>
  <si>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</si>
  <si>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</si>
  <si>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</si>
  <si>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</si>
  <si>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</si>
  <si>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</si>
  <si>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</si>
  <si>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</si>
  <si>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</si>
  <si>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</si>
  <si>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</si>
  <si>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</si>
  <si>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</si>
  <si>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</si>
  <si>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</si>
  <si>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</si>
  <si>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</si>
  <si>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</si>
  <si>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</si>
  <si>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</si>
  <si>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</si>
  <si>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</si>
  <si>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</si>
  <si>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</si>
  <si>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</si>
  <si>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</si>
  <si>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</si>
  <si>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</si>
  <si>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</si>
  <si>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</si>
  <si>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</si>
  <si>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</si>
  <si>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</si>
  <si>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</si>
  <si>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</si>
  <si>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</si>
  <si>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</si>
  <si>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</si>
  <si>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</si>
  <si>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</si>
  <si>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</si>
  <si>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</si>
  <si>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</si>
  <si>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</si>
  <si>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</si>
  <si>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</si>
  <si>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</si>
  <si>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</si>
  <si>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</si>
  <si>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</si>
  <si>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</si>
  <si>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</si>
  <si>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</si>
  <si>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</si>
  <si>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</si>
  <si>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</si>
  <si>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</si>
  <si>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</si>
  <si>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</si>
  <si>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</si>
  <si>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</si>
  <si>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</si>
  <si>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</si>
  <si>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</si>
  <si>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</si>
  <si>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</si>
  <si>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</si>
  <si>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</si>
  <si>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</si>
  <si>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</si>
  <si>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</si>
  <si>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</si>
  <si>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</si>
  <si>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</si>
  <si>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</si>
  <si>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</si>
  <si>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</si>
  <si>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</si>
  <si>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</si>
  <si>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</si>
  <si>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</si>
  <si>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</si>
  <si>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</si>
  <si>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</si>
  <si>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</si>
  <si>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</si>
  <si>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</si>
  <si>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</si>
  <si>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</si>
  <si>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</si>
  <si>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</si>
  <si>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</si>
  <si>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</si>
  <si>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</si>
  <si>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</si>
  <si>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</si>
  <si>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</si>
  <si>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</si>
  <si>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</si>
  <si>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</si>
  <si>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</si>
  <si>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</si>
  <si>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</si>
  <si>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</si>
  <si>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</si>
  <si>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</si>
  <si>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</si>
  <si>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</si>
  <si>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</si>
  <si>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</si>
  <si>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</si>
  <si>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</si>
  <si>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</si>
  <si>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</si>
  <si>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</si>
  <si>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</si>
  <si>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</si>
  <si>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</si>
  <si>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</si>
  <si>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</si>
  <si>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</si>
  <si>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</si>
  <si>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</si>
  <si>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</si>
  <si>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</si>
  <si>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</si>
  <si>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</si>
  <si>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</si>
  <si>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</si>
  <si>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</si>
  <si>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</si>
  <si>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</si>
  <si>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</si>
  <si>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</si>
  <si>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</si>
  <si>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</si>
  <si>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</si>
  <si>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</si>
  <si>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</si>
  <si>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</si>
  <si>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</si>
  <si>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</si>
  <si>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</si>
  <si>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</si>
  <si>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</si>
  <si>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</si>
  <si>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</si>
  <si>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</si>
  <si>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</si>
  <si>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</si>
  <si>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</si>
  <si>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</si>
  <si>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</si>
  <si>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</si>
  <si>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</si>
  <si>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</si>
  <si>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</si>
  <si>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</si>
  <si>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</si>
  <si>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</si>
  <si>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</si>
  <si>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</si>
  <si>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</si>
  <si>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</si>
  <si>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</si>
  <si>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</si>
  <si>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</si>
  <si>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</si>
  <si>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</si>
  <si>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</si>
  <si>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</si>
  <si>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</si>
  <si>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</si>
  <si>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</si>
  <si>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</si>
  <si>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</si>
  <si>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</si>
  <si>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</si>
  <si>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</si>
  <si>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</si>
  <si>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</si>
  <si>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</si>
  <si>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</si>
  <si>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</si>
  <si>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</si>
  <si>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</si>
  <si>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</si>
  <si>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</si>
  <si>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</si>
  <si>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</si>
  <si>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</si>
  <si>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</si>
  <si>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</si>
  <si>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</si>
  <si>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</si>
  <si>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</si>
  <si>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</si>
  <si>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</si>
  <si>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</si>
  <si>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</si>
  <si>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</si>
  <si>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</si>
  <si>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</si>
  <si>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</si>
  <si>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</si>
  <si>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</si>
  <si>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</si>
  <si>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</si>
  <si>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</si>
  <si>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</si>
  <si>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</si>
  <si>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</si>
  <si>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</si>
  <si>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</si>
  <si>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</si>
  <si>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</si>
  <si>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</si>
  <si>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</si>
  <si>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</si>
  <si>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</si>
  <si>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</si>
  <si>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</si>
  <si>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</si>
  <si>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</si>
  <si>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</si>
  <si>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</si>
  <si>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</si>
  <si>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</si>
  <si>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</si>
  <si>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</si>
  <si>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</si>
  <si>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</si>
  <si>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</si>
  <si>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</si>
  <si>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</si>
  <si>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</si>
  <si>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</si>
  <si>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</si>
  <si>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</si>
  <si>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</si>
  <si>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</si>
  <si>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</si>
  <si>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</si>
  <si>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</si>
  <si>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</si>
  <si>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</si>
  <si>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</si>
  <si>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</si>
  <si>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</si>
  <si>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</si>
  <si>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</si>
  <si>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</si>
  <si>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</si>
  <si>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</si>
  <si>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</si>
  <si>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</si>
  <si>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</si>
  <si>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</si>
  <si>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</si>
  <si>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</si>
  <si>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</si>
  <si>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</si>
  <si>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</si>
  <si>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</si>
  <si>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</si>
  <si>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</si>
  <si>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</si>
  <si>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</si>
  <si>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</si>
  <si>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</si>
  <si>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</si>
  <si>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</si>
  <si>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</si>
  <si>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</si>
  <si>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</si>
  <si>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</si>
  <si>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</si>
  <si>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</si>
  <si>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</si>
  <si>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</si>
  <si>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</si>
  <si>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</si>
  <si>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</si>
  <si>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</si>
  <si>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</si>
  <si>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</si>
  <si>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</si>
  <si>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</si>
  <si>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</si>
  <si>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</si>
  <si>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</si>
  <si>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</si>
  <si>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</si>
  <si>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</si>
  <si>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</si>
  <si>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</si>
  <si>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</si>
  <si>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</si>
  <si>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</si>
  <si>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</si>
  <si>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</si>
  <si>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</si>
  <si>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</si>
  <si>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</si>
  <si>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</si>
  <si>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</si>
  <si>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</si>
  <si>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</si>
  <si>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</si>
  <si>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</si>
  <si>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</si>
  <si>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</si>
  <si>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</si>
  <si>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</si>
  <si>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</si>
  <si>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</si>
  <si>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</si>
  <si>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</si>
  <si>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</si>
  <si>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</si>
  <si>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</si>
  <si>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</si>
  <si>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</si>
  <si>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</si>
  <si>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</si>
  <si>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</si>
  <si>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</si>
  <si>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</si>
  <si>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</si>
  <si>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</si>
  <si>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</si>
  <si>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</si>
  <si>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</si>
  <si>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</si>
  <si>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</si>
  <si>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</si>
  <si>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</si>
  <si>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</si>
  <si>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</si>
  <si>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</si>
  <si>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</si>
  <si>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</si>
  <si>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</si>
  <si>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</si>
  <si>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</si>
  <si>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</si>
  <si>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</si>
  <si>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</si>
  <si>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</si>
  <si>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</si>
  <si>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</si>
  <si>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</si>
  <si>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</si>
  <si>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</si>
  <si>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</si>
  <si>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</si>
  <si>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</si>
  <si>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</si>
  <si>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</si>
  <si>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</si>
  <si>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</si>
  <si>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</si>
  <si>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</si>
  <si>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</si>
  <si>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</si>
  <si>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</si>
  <si>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</si>
  <si>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</si>
  <si>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</si>
  <si>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</si>
  <si>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</si>
  <si>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</si>
  <si>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</si>
  <si>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</si>
  <si>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</si>
  <si>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</si>
  <si>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</si>
  <si>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</si>
  <si>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</si>
  <si>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</si>
  <si>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</si>
  <si>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</si>
  <si>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</si>
  <si>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</si>
  <si>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</si>
  <si>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</si>
  <si>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</si>
  <si>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</si>
  <si>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</si>
  <si>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</si>
  <si>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</si>
  <si>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</si>
  <si>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</si>
  <si>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</si>
  <si>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</si>
  <si>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</si>
  <si>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</si>
  <si>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</si>
  <si>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</si>
  <si>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</si>
  <si>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</si>
  <si>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</si>
  <si>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</si>
  <si>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</si>
  <si>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</si>
  <si>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</si>
  <si>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</si>
  <si>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</si>
  <si>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</si>
  <si>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</si>
  <si>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</si>
  <si>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</si>
  <si>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</si>
  <si>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</si>
  <si>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</si>
  <si>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</si>
  <si>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</si>
  <si>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</si>
  <si>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</si>
  <si>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</si>
  <si>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</si>
  <si>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</si>
  <si>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</si>
  <si>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</si>
  <si>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</si>
  <si>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</si>
  <si>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</si>
  <si>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</si>
  <si>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</si>
  <si>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</si>
  <si>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</si>
  <si>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</si>
  <si>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</si>
  <si>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</si>
  <si>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</si>
  <si>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</si>
  <si>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</si>
  <si>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</si>
  <si>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</si>
  <si>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</si>
  <si>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</si>
  <si>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</si>
  <si>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</si>
  <si>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</si>
  <si>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</si>
  <si>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</si>
  <si>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</si>
  <si>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</si>
  <si>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</si>
  <si>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</si>
  <si>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</si>
  <si>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</si>
  <si>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</si>
  <si>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</si>
  <si>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</si>
  <si>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</si>
  <si>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</si>
  <si>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</si>
  <si>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</si>
  <si>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</si>
  <si>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</si>
  <si>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</si>
  <si>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</si>
  <si>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</si>
  <si>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</si>
  <si>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</si>
  <si>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</si>
  <si>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</si>
  <si>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</si>
  <si>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</si>
  <si>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</si>
  <si>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</si>
  <si>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</si>
  <si>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</si>
  <si>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</si>
  <si>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</si>
  <si>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</si>
  <si>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</si>
  <si>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</si>
  <si>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</si>
  <si>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</si>
  <si>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</si>
  <si>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</si>
  <si>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</si>
  <si>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</si>
  <si>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</si>
  <si>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</si>
  <si>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</si>
  <si>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</si>
  <si>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</si>
  <si>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</si>
  <si>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</si>
  <si>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</si>
  <si>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</si>
  <si>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</si>
  <si>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</si>
  <si>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</si>
  <si>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</si>
  <si>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</si>
  <si>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</si>
  <si>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</si>
  <si>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</si>
  <si>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</si>
  <si>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</si>
  <si>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</si>
  <si>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</si>
  <si>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</si>
  <si>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</si>
  <si>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</si>
  <si>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</si>
  <si>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</si>
  <si>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</si>
  <si>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</si>
  <si>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</si>
  <si>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</si>
  <si>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</si>
  <si>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</si>
  <si>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</si>
  <si>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</si>
  <si>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</si>
  <si>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</si>
  <si>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</si>
  <si>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</si>
  <si>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</si>
  <si>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</si>
  <si>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</si>
  <si>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</si>
  <si>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</si>
  <si>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</si>
  <si>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</si>
  <si>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</si>
  <si>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</si>
  <si>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</si>
  <si>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</si>
  <si>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</si>
  <si>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</si>
  <si>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</si>
  <si>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</si>
  <si>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</si>
  <si>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</si>
  <si>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</si>
  <si>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</si>
  <si>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</si>
  <si>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</si>
  <si>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</si>
  <si>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</si>
  <si>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</si>
  <si>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</si>
  <si>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</si>
  <si>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</si>
  <si>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</si>
  <si>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</si>
  <si>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</si>
  <si>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</si>
  <si>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</si>
  <si>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</si>
  <si>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</si>
  <si>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</si>
  <si>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</si>
  <si>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</si>
  <si>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</si>
  <si>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</si>
  <si>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</si>
  <si>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</si>
  <si>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</si>
  <si>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</si>
  <si>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</si>
  <si>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</si>
  <si>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</si>
  <si>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</si>
  <si>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</si>
  <si>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</si>
  <si>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</si>
  <si>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</si>
  <si>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</si>
  <si>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</si>
  <si>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</si>
  <si>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</si>
  <si>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</si>
  <si>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</si>
  <si>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</si>
  <si>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</si>
  <si>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</si>
  <si>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</si>
  <si>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</si>
  <si>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</si>
  <si>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</si>
  <si>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T01351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</si>
  <si>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</si>
  <si>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</si>
  <si>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</si>
  <si>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</si>
  <si>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</si>
  <si>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</si>
  <si>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</si>
  <si>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</si>
  <si>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</si>
  <si>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</si>
  <si>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</si>
  <si>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</si>
  <si>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</si>
  <si>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</si>
  <si>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</si>
  <si>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</si>
  <si>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</si>
  <si>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</si>
  <si>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</si>
  <si>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</si>
  <si>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</si>
  <si>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</si>
  <si>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</si>
  <si>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</si>
  <si>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</si>
  <si>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</si>
  <si>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</si>
  <si>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</si>
  <si>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</si>
  <si>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</si>
  <si>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</si>
  <si>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</si>
  <si>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</si>
  <si>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</si>
  <si>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</si>
  <si>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</si>
  <si>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</si>
  <si>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</si>
  <si>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</si>
  <si>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</si>
  <si>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</si>
  <si>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</si>
  <si>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</si>
  <si>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</si>
  <si>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</si>
  <si>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</si>
  <si>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</si>
  <si>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</si>
  <si>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</si>
  <si>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</si>
  <si>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</si>
  <si>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</si>
  <si>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</si>
  <si>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</si>
  <si>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</si>
  <si>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</si>
  <si>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</si>
  <si>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</si>
  <si>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</si>
  <si>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</si>
  <si>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</si>
  <si>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</si>
  <si>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</si>
  <si>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</si>
  <si>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</si>
  <si>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</si>
  <si>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</si>
  <si>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</si>
  <si>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</si>
  <si>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</si>
  <si>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</si>
  <si>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</si>
  <si>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</si>
  <si>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</si>
  <si>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</si>
  <si>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</si>
  <si>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</si>
  <si>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</si>
  <si>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</si>
  <si>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</si>
  <si>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</si>
  <si>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</si>
  <si>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</si>
  <si>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</si>
  <si>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</si>
  <si>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</si>
  <si>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</si>
  <si>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</si>
  <si>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</si>
  <si>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</si>
  <si>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</si>
  <si>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</si>
  <si>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</si>
  <si>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</si>
  <si>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</si>
  <si>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</si>
  <si>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</si>
  <si>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</si>
  <si>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</si>
  <si>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</si>
  <si>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</si>
  <si>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</si>
  <si>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</si>
  <si>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</si>
  <si>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</si>
  <si>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</si>
  <si>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</si>
  <si>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</si>
  <si>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</si>
  <si>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</si>
  <si>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</si>
  <si>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</si>
  <si>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</si>
  <si>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</si>
  <si>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</si>
  <si>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</si>
  <si>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</si>
  <si>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</si>
  <si>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</si>
  <si>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</si>
  <si>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</si>
  <si>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</si>
  <si>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</si>
  <si>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</si>
  <si>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</si>
  <si>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</si>
  <si>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</si>
  <si>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</si>
  <si>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</si>
  <si>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</si>
  <si>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</si>
  <si>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</si>
  <si>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</si>
  <si>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</si>
  <si>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</si>
  <si>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</si>
  <si>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</si>
  <si>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</si>
  <si>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</si>
  <si>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</si>
  <si>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</si>
  <si>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</si>
  <si>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</si>
  <si>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</si>
  <si>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</si>
  <si>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</si>
  <si>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</si>
  <si>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</si>
  <si>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</si>
  <si>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T01501</t>
  </si>
  <si>
    <t>T01502</t>
  </si>
  <si>
    <t>T01503</t>
  </si>
  <si>
    <t>T01504</t>
  </si>
  <si>
    <t>T01505</t>
  </si>
  <si>
    <t>T01506</t>
  </si>
  <si>
    <t>T01507</t>
  </si>
  <si>
    <t>T01508</t>
  </si>
  <si>
    <t>T01509</t>
  </si>
  <si>
    <t>T01510</t>
  </si>
  <si>
    <t>T01511</t>
  </si>
  <si>
    <t>T01512</t>
  </si>
  <si>
    <t>T01513</t>
  </si>
  <si>
    <t>T01514</t>
  </si>
  <si>
    <t>T01515</t>
  </si>
  <si>
    <t>T01516</t>
  </si>
  <si>
    <t>T01517</t>
  </si>
  <si>
    <t>T01518</t>
  </si>
  <si>
    <t>T01519</t>
  </si>
  <si>
    <t>T01520</t>
  </si>
  <si>
    <t>T01521</t>
  </si>
  <si>
    <t>T01522</t>
  </si>
  <si>
    <t>T01523</t>
  </si>
  <si>
    <t>T01524</t>
  </si>
  <si>
    <t>T01525</t>
  </si>
  <si>
    <t>T01526</t>
  </si>
  <si>
    <t>T01527</t>
  </si>
  <si>
    <t>T01528</t>
  </si>
  <si>
    <t>T01529</t>
  </si>
  <si>
    <t>T01530</t>
  </si>
  <si>
    <t>T01531</t>
  </si>
  <si>
    <t>T01532</t>
  </si>
  <si>
    <t>T01533</t>
  </si>
  <si>
    <t>T01534</t>
  </si>
  <si>
    <t>T01535</t>
  </si>
  <si>
    <t>T01536</t>
  </si>
  <si>
    <t>T01537</t>
  </si>
  <si>
    <t>T01538</t>
  </si>
  <si>
    <t>T01539</t>
  </si>
  <si>
    <t>T01540</t>
  </si>
  <si>
    <t>T01541</t>
  </si>
  <si>
    <t>T01542</t>
  </si>
  <si>
    <t>T01543</t>
  </si>
  <si>
    <t>T01544</t>
  </si>
  <si>
    <t>T01545</t>
  </si>
  <si>
    <t>T01546</t>
  </si>
  <si>
    <t>T01547</t>
  </si>
  <si>
    <t>T01548</t>
  </si>
  <si>
    <t>T01549</t>
  </si>
  <si>
    <t>T01550</t>
  </si>
  <si>
    <t>T01551</t>
  </si>
  <si>
    <t>T01552</t>
  </si>
  <si>
    <t>T01553</t>
  </si>
  <si>
    <t>T01554</t>
  </si>
  <si>
    <t>T01555</t>
  </si>
  <si>
    <t>T01556</t>
  </si>
  <si>
    <t>T01557</t>
  </si>
  <si>
    <t>T01558</t>
  </si>
  <si>
    <t>T01559</t>
  </si>
  <si>
    <t>T01560</t>
  </si>
  <si>
    <t>T01561</t>
  </si>
  <si>
    <t>T01562</t>
  </si>
  <si>
    <t>T01563</t>
  </si>
  <si>
    <t>T01564</t>
  </si>
  <si>
    <t>T01565</t>
  </si>
  <si>
    <t>T01566</t>
  </si>
  <si>
    <t>T01567</t>
  </si>
  <si>
    <t>T01568</t>
  </si>
  <si>
    <t>T01569</t>
  </si>
  <si>
    <t>T01570</t>
  </si>
  <si>
    <t>T01571</t>
  </si>
  <si>
    <t>T01572</t>
  </si>
  <si>
    <t>T01573</t>
  </si>
  <si>
    <t>T01574</t>
  </si>
  <si>
    <t>T01575</t>
  </si>
  <si>
    <t>T01576</t>
  </si>
  <si>
    <t>T01577</t>
  </si>
  <si>
    <t>T01578</t>
  </si>
  <si>
    <t>T01579</t>
  </si>
  <si>
    <t>T01580</t>
  </si>
  <si>
    <t>T01581</t>
  </si>
  <si>
    <t>T01582</t>
  </si>
  <si>
    <t>T01583</t>
  </si>
  <si>
    <t>T01584</t>
  </si>
  <si>
    <t>T01585</t>
  </si>
  <si>
    <t>T01586</t>
  </si>
  <si>
    <t>T01587</t>
  </si>
  <si>
    <t>T01588</t>
  </si>
  <si>
    <t>T01589</t>
  </si>
  <si>
    <t>T01590</t>
  </si>
  <si>
    <t>T01591</t>
  </si>
  <si>
    <t>T01592</t>
  </si>
  <si>
    <t>T01593</t>
  </si>
  <si>
    <t>T01594</t>
  </si>
  <si>
    <t>T01595</t>
  </si>
  <si>
    <t>T01596</t>
  </si>
  <si>
    <t>T01597</t>
  </si>
  <si>
    <t>T01598</t>
  </si>
  <si>
    <t>T01599</t>
  </si>
  <si>
    <t>T01600</t>
  </si>
  <si>
    <t>T01601</t>
  </si>
  <si>
    <t>T01602</t>
  </si>
  <si>
    <t>T01603</t>
  </si>
  <si>
    <t>T01604</t>
  </si>
  <si>
    <t>T01605</t>
  </si>
  <si>
    <t>T01606</t>
  </si>
  <si>
    <t>T01607</t>
  </si>
  <si>
    <t>T01608</t>
  </si>
  <si>
    <t>T01609</t>
  </si>
  <si>
    <t>T01610</t>
  </si>
  <si>
    <t>T01611</t>
  </si>
  <si>
    <t>T01612</t>
  </si>
  <si>
    <t>T01613</t>
  </si>
  <si>
    <t>T01614</t>
  </si>
  <si>
    <t>T01615</t>
  </si>
  <si>
    <t>T01616</t>
  </si>
  <si>
    <t>T01617</t>
  </si>
  <si>
    <t>T01618</t>
  </si>
  <si>
    <t>T01619</t>
  </si>
  <si>
    <t>T01620</t>
  </si>
  <si>
    <t>T01621</t>
  </si>
  <si>
    <t>T01622</t>
  </si>
  <si>
    <t>T01623</t>
  </si>
  <si>
    <t>T01624</t>
  </si>
  <si>
    <t>T01625</t>
  </si>
  <si>
    <t>T01626</t>
  </si>
  <si>
    <t>T01627</t>
  </si>
  <si>
    <t>T01628</t>
  </si>
  <si>
    <t>T01629</t>
  </si>
  <si>
    <t>T01630</t>
  </si>
  <si>
    <t>T01631</t>
  </si>
  <si>
    <t>T01632</t>
  </si>
  <si>
    <t>T01633</t>
  </si>
  <si>
    <t>T01634</t>
  </si>
  <si>
    <t>T01635</t>
  </si>
  <si>
    <t>T01636</t>
  </si>
  <si>
    <t>T01637</t>
  </si>
  <si>
    <t>T01638</t>
  </si>
  <si>
    <t>T01639</t>
  </si>
  <si>
    <t>T01640</t>
  </si>
  <si>
    <t>T01641</t>
  </si>
  <si>
    <t>T01642</t>
  </si>
  <si>
    <t>T01643</t>
  </si>
  <si>
    <t>T01644</t>
  </si>
  <si>
    <t>T01645</t>
  </si>
  <si>
    <t>T01646</t>
  </si>
  <si>
    <t>T01647</t>
  </si>
  <si>
    <t>T01648</t>
  </si>
  <si>
    <t>T01649</t>
  </si>
  <si>
    <t>T01650</t>
  </si>
  <si>
    <t>T01651</t>
  </si>
  <si>
    <t>T01652</t>
  </si>
  <si>
    <t>T01653</t>
  </si>
  <si>
    <t>T01654</t>
  </si>
  <si>
    <t>T01655</t>
  </si>
  <si>
    <t>T01656</t>
  </si>
  <si>
    <t>T01657</t>
  </si>
  <si>
    <t>T01658</t>
  </si>
  <si>
    <t>T01659</t>
  </si>
  <si>
    <t>T01660</t>
  </si>
  <si>
    <t>T01661</t>
  </si>
  <si>
    <t>T01662</t>
  </si>
  <si>
    <t>T01663</t>
  </si>
  <si>
    <t>T01664</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</si>
  <si>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</si>
  <si>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</si>
  <si>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</si>
  <si>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</si>
  <si>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</si>
  <si>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</si>
  <si>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</si>
  <si>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</si>
  <si>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</si>
  <si>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</si>
  <si>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</si>
  <si>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</si>
  <si>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</si>
  <si>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</si>
  <si>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</si>
  <si>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</si>
  <si>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</si>
  <si>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</si>
  <si>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</si>
  <si>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T01684</t>
  </si>
  <si>
    <t>T01685</t>
  </si>
  <si>
    <t>T01686</t>
  </si>
  <si>
    <t>T01687</t>
  </si>
  <si>
    <t>T01688</t>
  </si>
  <si>
    <t>T01689</t>
  </si>
  <si>
    <t>T01690</t>
  </si>
  <si>
    <t>T01691</t>
  </si>
  <si>
    <t>T01692</t>
  </si>
  <si>
    <t>T01693</t>
  </si>
  <si>
    <t>T01694</t>
  </si>
  <si>
    <t>T01695</t>
  </si>
  <si>
    <t>T01696</t>
  </si>
  <si>
    <t>T01697</t>
  </si>
  <si>
    <t>T01698</t>
  </si>
  <si>
    <t>T01699</t>
  </si>
  <si>
    <t>T01700</t>
  </si>
  <si>
    <t>T01701</t>
  </si>
  <si>
    <t>T01702</t>
  </si>
  <si>
    <t>T01703</t>
  </si>
  <si>
    <t>T01704</t>
  </si>
  <si>
    <t>T01705</t>
  </si>
  <si>
    <t>T01706</t>
  </si>
  <si>
    <t>T01707</t>
  </si>
  <si>
    <t>T01708</t>
  </si>
  <si>
    <t>T01709</t>
  </si>
  <si>
    <t>T01710</t>
  </si>
  <si>
    <t>T01711</t>
  </si>
  <si>
    <t>T01712</t>
  </si>
  <si>
    <t>T01713</t>
  </si>
  <si>
    <t>T01714</t>
  </si>
  <si>
    <t>T01715</t>
  </si>
  <si>
    <t>T01716</t>
  </si>
  <si>
    <t>T01717</t>
  </si>
  <si>
    <t>T01718</t>
  </si>
  <si>
    <t>T01719</t>
  </si>
  <si>
    <t>T01720</t>
  </si>
  <si>
    <t>T01721</t>
  </si>
  <si>
    <t>T01722</t>
  </si>
  <si>
    <t>T01723</t>
  </si>
  <si>
    <t>T01724</t>
  </si>
  <si>
    <t>T01725</t>
  </si>
  <si>
    <t>T01726</t>
  </si>
  <si>
    <t>T01727</t>
  </si>
  <si>
    <t>T01728</t>
  </si>
  <si>
    <t>T01729</t>
  </si>
  <si>
    <t>T01730</t>
  </si>
  <si>
    <t>T01731</t>
  </si>
  <si>
    <t>T01732</t>
  </si>
  <si>
    <t>T01733</t>
  </si>
  <si>
    <t>T01734</t>
  </si>
  <si>
    <t>T01735</t>
  </si>
  <si>
    <t>T01736</t>
  </si>
  <si>
    <t>T01737</t>
  </si>
  <si>
    <t>T01738</t>
  </si>
  <si>
    <t>T01739</t>
  </si>
  <si>
    <t>T01740</t>
  </si>
  <si>
    <t>T01741</t>
  </si>
  <si>
    <t>T01742</t>
  </si>
  <si>
    <t>T01743</t>
  </si>
  <si>
    <t>T01744</t>
  </si>
  <si>
    <t>T01745</t>
  </si>
  <si>
    <t>T01746</t>
  </si>
  <si>
    <t>T01747</t>
  </si>
  <si>
    <t>T01748</t>
  </si>
  <si>
    <t>T01749</t>
  </si>
  <si>
    <t>T01750</t>
  </si>
  <si>
    <t>T01751</t>
  </si>
  <si>
    <t>T01752</t>
  </si>
  <si>
    <t>T01753</t>
  </si>
  <si>
    <t>T01754</t>
  </si>
  <si>
    <t>T01755</t>
  </si>
  <si>
    <t>T01756</t>
  </si>
  <si>
    <t>T01757</t>
  </si>
  <si>
    <t>T01758</t>
  </si>
  <si>
    <t>T01759</t>
  </si>
  <si>
    <t>T01760</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</si>
  <si>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</si>
  <si>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</si>
  <si>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</si>
  <si>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</si>
  <si>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</si>
  <si>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</si>
  <si>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</si>
  <si>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</si>
  <si>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</si>
  <si>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</si>
  <si>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</si>
  <si>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</si>
  <si>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</si>
  <si>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</si>
  <si>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</si>
  <si>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</si>
  <si>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</si>
  <si>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</si>
  <si>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</si>
  <si>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</si>
  <si>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</si>
  <si>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</si>
  <si>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</si>
  <si>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</si>
  <si>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</si>
  <si>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T01786</t>
  </si>
  <si>
    <t>T01787</t>
  </si>
  <si>
    <t>T01788</t>
  </si>
  <si>
    <t>T01789</t>
  </si>
  <si>
    <t>T01790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</si>
  <si>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</si>
  <si>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</si>
  <si>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</si>
  <si>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</si>
  <si>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</si>
  <si>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</si>
  <si>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</si>
  <si>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</si>
  <si>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</si>
  <si>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</si>
  <si>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</si>
  <si>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</si>
  <si>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</si>
  <si>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</si>
  <si>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</si>
  <si>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</si>
  <si>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</si>
  <si>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</si>
  <si>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</si>
  <si>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T01810</t>
  </si>
  <si>
    <t>T01811</t>
  </si>
  <si>
    <t>T01812</t>
  </si>
  <si>
    <t>T01813</t>
  </si>
  <si>
    <t>T01814</t>
  </si>
  <si>
    <t>T01815</t>
  </si>
  <si>
    <t>T01816</t>
  </si>
  <si>
    <t>T01817</t>
  </si>
  <si>
    <t>T01818</t>
  </si>
  <si>
    <t>T01819</t>
  </si>
  <si>
    <t>T01820</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</si>
  <si>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</si>
  <si>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</si>
  <si>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</si>
  <si>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</si>
  <si>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</si>
  <si>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</si>
  <si>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</si>
  <si>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</si>
  <si>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</si>
  <si>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</si>
  <si>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</si>
  <si>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</si>
  <si>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</si>
  <si>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</si>
  <si>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</si>
  <si>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</si>
  <si>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</si>
  <si>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</si>
  <si>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</si>
  <si>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</si>
  <si>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</si>
  <si>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</si>
  <si>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</si>
  <si>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</si>
  <si>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</si>
  <si>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</si>
  <si>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</si>
  <si>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</si>
  <si>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</si>
  <si>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</si>
  <si>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</si>
  <si>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</si>
  <si>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</si>
  <si>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</si>
  <si>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</si>
  <si>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</si>
  <si>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</si>
  <si>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</si>
  <si>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</si>
  <si>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</si>
  <si>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</si>
  <si>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</si>
  <si>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T01863</t>
  </si>
  <si>
    <t>T01864</t>
  </si>
  <si>
    <t>T01865</t>
  </si>
  <si>
    <t>T01866</t>
  </si>
  <si>
    <t>T01867</t>
  </si>
  <si>
    <t>T01868</t>
  </si>
  <si>
    <t>T01869</t>
  </si>
  <si>
    <t>T01870</t>
  </si>
  <si>
    <t>T01871</t>
  </si>
  <si>
    <t>T01872</t>
  </si>
  <si>
    <t>T01873</t>
  </si>
  <si>
    <t>T01874</t>
  </si>
  <si>
    <t>T01875</t>
  </si>
  <si>
    <t>T01876</t>
  </si>
  <si>
    <t>T01877</t>
  </si>
  <si>
    <t>T01878</t>
  </si>
  <si>
    <t>T01879</t>
  </si>
  <si>
    <t>T01880</t>
  </si>
  <si>
    <t>T01881</t>
  </si>
  <si>
    <t>T01882</t>
  </si>
  <si>
    <t>T01883</t>
  </si>
  <si>
    <t>T01884</t>
  </si>
  <si>
    <t>T01885</t>
  </si>
  <si>
    <t>T01886</t>
  </si>
  <si>
    <t>T01887</t>
  </si>
  <si>
    <t>T01888</t>
  </si>
  <si>
    <t>T01889</t>
  </si>
  <si>
    <t>T01890</t>
  </si>
  <si>
    <t>T01891</t>
  </si>
  <si>
    <t>T01892</t>
  </si>
  <si>
    <t>T01893</t>
  </si>
  <si>
    <t>T01894</t>
  </si>
  <si>
    <t>T01895</t>
  </si>
  <si>
    <t>T01896</t>
  </si>
  <si>
    <t>T01897</t>
  </si>
  <si>
    <t>T01898</t>
  </si>
  <si>
    <t>T01899</t>
  </si>
  <si>
    <t>T01900</t>
  </si>
  <si>
    <t>T01901</t>
  </si>
  <si>
    <t>T01902</t>
  </si>
  <si>
    <t>T01903</t>
  </si>
  <si>
    <t>T01904</t>
  </si>
  <si>
    <t>T01905</t>
  </si>
  <si>
    <t>T01906</t>
  </si>
  <si>
    <t>T01907</t>
  </si>
  <si>
    <t>T01908</t>
  </si>
  <si>
    <t>T01909</t>
  </si>
  <si>
    <t>T01910</t>
  </si>
  <si>
    <t>T01911</t>
  </si>
  <si>
    <t>T01912</t>
  </si>
  <si>
    <t>T01913</t>
  </si>
  <si>
    <t>T01914</t>
  </si>
  <si>
    <t>T01915</t>
  </si>
  <si>
    <t>T01916</t>
  </si>
  <si>
    <t>T01917</t>
  </si>
  <si>
    <t>T01918</t>
  </si>
  <si>
    <t>T01919</t>
  </si>
  <si>
    <t>T01920</t>
  </si>
  <si>
    <t>T01921</t>
  </si>
  <si>
    <t>T01922</t>
  </si>
  <si>
    <t>T01923</t>
  </si>
  <si>
    <t>T01924</t>
  </si>
  <si>
    <t>T01925</t>
  </si>
  <si>
    <t>T01926</t>
  </si>
  <si>
    <t>T01927</t>
  </si>
  <si>
    <t>T01928</t>
  </si>
  <si>
    <t>T01929</t>
  </si>
  <si>
    <t>T01930</t>
  </si>
  <si>
    <t>T01931</t>
  </si>
  <si>
    <t>T01932</t>
  </si>
  <si>
    <t>T01933</t>
  </si>
  <si>
    <t>T01934</t>
  </si>
  <si>
    <t>T01935</t>
  </si>
  <si>
    <t>T01936</t>
  </si>
  <si>
    <t>T01937</t>
  </si>
  <si>
    <t>T01938</t>
  </si>
  <si>
    <t>T01939</t>
  </si>
  <si>
    <t>T01940</t>
  </si>
  <si>
    <t>T01941</t>
  </si>
  <si>
    <t>T01942</t>
  </si>
  <si>
    <t>T01943</t>
  </si>
  <si>
    <t>T01944</t>
  </si>
  <si>
    <t>T01945</t>
  </si>
  <si>
    <t>T01946</t>
  </si>
  <si>
    <t>T01947</t>
  </si>
  <si>
    <t>T01948</t>
  </si>
  <si>
    <t>T01949</t>
  </si>
  <si>
    <t>T01950</t>
  </si>
  <si>
    <t>T01951</t>
  </si>
  <si>
    <t>T01952</t>
  </si>
  <si>
    <t>T01953</t>
  </si>
  <si>
    <t>T01954</t>
  </si>
  <si>
    <t>T01955</t>
  </si>
  <si>
    <t>T01956</t>
  </si>
  <si>
    <t>T01957</t>
  </si>
  <si>
    <t>T01958</t>
  </si>
  <si>
    <t>T01959</t>
  </si>
  <si>
    <t>T01960</t>
  </si>
  <si>
    <t>T01961</t>
  </si>
  <si>
    <t>T01962</t>
  </si>
  <si>
    <t>T01963</t>
  </si>
  <si>
    <t>T01964</t>
  </si>
  <si>
    <t>T01965</t>
  </si>
  <si>
    <t>T01966</t>
  </si>
  <si>
    <t>T01967</t>
  </si>
  <si>
    <t>T01968</t>
  </si>
  <si>
    <t>T01969</t>
  </si>
  <si>
    <t>T01970</t>
  </si>
  <si>
    <t>T01971</t>
  </si>
  <si>
    <t>T01972</t>
  </si>
  <si>
    <t>T01973</t>
  </si>
  <si>
    <t>T01974</t>
  </si>
  <si>
    <t>T01975</t>
  </si>
  <si>
    <t>T01976</t>
  </si>
  <si>
    <t>T01977</t>
  </si>
  <si>
    <t>T01978</t>
  </si>
  <si>
    <t>T01979</t>
  </si>
  <si>
    <t>T01980</t>
  </si>
  <si>
    <t>T01981</t>
  </si>
  <si>
    <t>T01982</t>
  </si>
  <si>
    <t>T01983</t>
  </si>
  <si>
    <t>T01984</t>
  </si>
  <si>
    <t>T01985</t>
  </si>
  <si>
    <t>T01986</t>
  </si>
  <si>
    <t>T01987</t>
  </si>
  <si>
    <t>T01988</t>
  </si>
  <si>
    <t>T01989</t>
  </si>
  <si>
    <t>T01990</t>
  </si>
  <si>
    <t>T01991</t>
  </si>
  <si>
    <t>T01992</t>
  </si>
  <si>
    <t>T01993</t>
  </si>
  <si>
    <t>T01994</t>
  </si>
  <si>
    <t>T01995</t>
  </si>
  <si>
    <t>T01996</t>
  </si>
  <si>
    <t>T01997</t>
  </si>
  <si>
    <t>T01998</t>
  </si>
  <si>
    <t>T01999</t>
  </si>
  <si>
    <t>T02000</t>
  </si>
  <si>
    <t>T02001</t>
  </si>
  <si>
    <t>T02002</t>
  </si>
  <si>
    <t>T02003</t>
  </si>
  <si>
    <t>T02004</t>
  </si>
  <si>
    <t>T02005</t>
  </si>
  <si>
    <t>T02006</t>
  </si>
  <si>
    <t>T02007</t>
  </si>
  <si>
    <t>T02008</t>
  </si>
  <si>
    <t>T02009</t>
  </si>
  <si>
    <t>T02010</t>
  </si>
  <si>
    <t>T02011</t>
  </si>
  <si>
    <t>T02012</t>
  </si>
  <si>
    <t>T02013</t>
  </si>
  <si>
    <t>T02014</t>
  </si>
  <si>
    <t>T02015</t>
  </si>
  <si>
    <t>T02016</t>
  </si>
  <si>
    <t>T02017</t>
  </si>
  <si>
    <t>T02018</t>
  </si>
  <si>
    <t>T02019</t>
  </si>
  <si>
    <t>T02020</t>
  </si>
  <si>
    <t>T02021</t>
  </si>
  <si>
    <t>T02022</t>
  </si>
  <si>
    <t>T02023</t>
  </si>
  <si>
    <t>T02024</t>
  </si>
  <si>
    <t>T02025</t>
  </si>
  <si>
    <t>T02026</t>
  </si>
  <si>
    <t>T02027</t>
  </si>
  <si>
    <t>T02028</t>
  </si>
  <si>
    <t>T02029</t>
  </si>
  <si>
    <t>T02030</t>
  </si>
  <si>
    <t>T02031</t>
  </si>
  <si>
    <t>T02032</t>
  </si>
  <si>
    <t>T02033</t>
  </si>
  <si>
    <t>T02034</t>
  </si>
  <si>
    <t>T02035</t>
  </si>
  <si>
    <t>T02036</t>
  </si>
  <si>
    <t>T02037</t>
  </si>
  <si>
    <t>T02038</t>
  </si>
  <si>
    <t>T02039</t>
  </si>
  <si>
    <t>T02040</t>
  </si>
  <si>
    <t>T02041</t>
  </si>
  <si>
    <t>T02042</t>
  </si>
  <si>
    <t>T02043</t>
  </si>
  <si>
    <t>T02044</t>
  </si>
  <si>
    <t>T02045</t>
  </si>
  <si>
    <t>T02046</t>
  </si>
  <si>
    <t>T02047</t>
  </si>
  <si>
    <t>T02048</t>
  </si>
  <si>
    <t>T02049</t>
  </si>
  <si>
    <t>T02050</t>
  </si>
  <si>
    <t>T02051</t>
  </si>
  <si>
    <t>T02052</t>
  </si>
  <si>
    <t>T02053</t>
  </si>
  <si>
    <t>T02054</t>
  </si>
  <si>
    <t>T02055</t>
  </si>
  <si>
    <t>T02056</t>
  </si>
  <si>
    <t>T02057</t>
  </si>
  <si>
    <t>T02058</t>
  </si>
  <si>
    <t>T02059</t>
  </si>
  <si>
    <t>T02060</t>
  </si>
  <si>
    <t>T02061</t>
  </si>
  <si>
    <t>T02062</t>
  </si>
  <si>
    <t>T02063</t>
  </si>
  <si>
    <t>T02064</t>
  </si>
  <si>
    <t>T02065</t>
  </si>
  <si>
    <t>T02066</t>
  </si>
  <si>
    <t>T02067</t>
  </si>
  <si>
    <t>T02068</t>
  </si>
  <si>
    <t>T02069</t>
  </si>
  <si>
    <t>T02070</t>
  </si>
  <si>
    <t>T02071</t>
  </si>
  <si>
    <t>T02072</t>
  </si>
  <si>
    <t>T02073</t>
  </si>
  <si>
    <t>T02074</t>
  </si>
  <si>
    <t>T02075</t>
  </si>
  <si>
    <t>T02076</t>
  </si>
  <si>
    <t>T02077</t>
  </si>
  <si>
    <t>T02078</t>
  </si>
  <si>
    <t>T02079</t>
  </si>
  <si>
    <t>T02080</t>
  </si>
  <si>
    <t>T02081</t>
  </si>
  <si>
    <t>T02082</t>
  </si>
  <si>
    <t>T02083</t>
  </si>
  <si>
    <t>T02084</t>
  </si>
  <si>
    <t>T02085</t>
  </si>
  <si>
    <t>T02086</t>
  </si>
  <si>
    <t>T02087</t>
  </si>
  <si>
    <t>T02088</t>
  </si>
  <si>
    <t>T02089</t>
  </si>
  <si>
    <t>T02090</t>
  </si>
  <si>
    <t>T02091</t>
  </si>
  <si>
    <t>T02092</t>
  </si>
  <si>
    <t>T02093</t>
  </si>
  <si>
    <t>T02094</t>
  </si>
  <si>
    <t>T02095</t>
  </si>
  <si>
    <t>T02096</t>
  </si>
  <si>
    <t>T02097</t>
  </si>
  <si>
    <t>T02098</t>
  </si>
  <si>
    <t>T02099</t>
  </si>
  <si>
    <t>T02100</t>
  </si>
  <si>
    <t>T02101</t>
  </si>
  <si>
    <t>T02102</t>
  </si>
  <si>
    <t>T02103</t>
  </si>
  <si>
    <t>T02104</t>
  </si>
  <si>
    <t>T02105</t>
  </si>
  <si>
    <t>T02106</t>
  </si>
  <si>
    <t>T02107</t>
  </si>
  <si>
    <t>T02108</t>
  </si>
  <si>
    <t>T02109</t>
  </si>
  <si>
    <t>T02110</t>
  </si>
  <si>
    <t>T02111</t>
  </si>
  <si>
    <t>T02112</t>
  </si>
  <si>
    <t>T02113</t>
  </si>
  <si>
    <t>T02114</t>
  </si>
  <si>
    <t>T02115</t>
  </si>
  <si>
    <t>T02116</t>
  </si>
  <si>
    <t>T02117</t>
  </si>
  <si>
    <t>T02118</t>
  </si>
  <si>
    <t>T02119</t>
  </si>
  <si>
    <t>T02120</t>
  </si>
  <si>
    <t>T02121</t>
  </si>
  <si>
    <t>T02122</t>
  </si>
  <si>
    <t>T02123</t>
  </si>
  <si>
    <t>T02124</t>
  </si>
  <si>
    <t>T02125</t>
  </si>
  <si>
    <t>T02126</t>
  </si>
  <si>
    <t>T02127</t>
  </si>
  <si>
    <t>T02128</t>
  </si>
  <si>
    <t>T02129</t>
  </si>
  <si>
    <t>T02130</t>
  </si>
  <si>
    <t>T02131</t>
  </si>
  <si>
    <t>T02132</t>
  </si>
  <si>
    <t>T02133</t>
  </si>
  <si>
    <t>T02134</t>
  </si>
  <si>
    <t>T02135</t>
  </si>
  <si>
    <t>T02136</t>
  </si>
  <si>
    <t>T02137</t>
  </si>
  <si>
    <t>T02138</t>
  </si>
  <si>
    <t>T02139</t>
  </si>
  <si>
    <t>T02140</t>
  </si>
  <si>
    <t>T02141</t>
  </si>
  <si>
    <t>T02142</t>
  </si>
  <si>
    <t>T02143</t>
  </si>
  <si>
    <t>T02144</t>
  </si>
  <si>
    <t>T02145</t>
  </si>
  <si>
    <t>T02146</t>
  </si>
  <si>
    <t>T02147</t>
  </si>
  <si>
    <t>T02148</t>
  </si>
  <si>
    <t>T02149</t>
  </si>
  <si>
    <t>T02150</t>
  </si>
  <si>
    <t>T02151</t>
  </si>
  <si>
    <t>T02152</t>
  </si>
  <si>
    <t>T02153</t>
  </si>
  <si>
    <t>T02154</t>
  </si>
  <si>
    <t>T02155</t>
  </si>
  <si>
    <t>T02156</t>
  </si>
  <si>
    <t>T02157</t>
  </si>
  <si>
    <t>T02158</t>
  </si>
  <si>
    <t>T02159</t>
  </si>
  <si>
    <t>T02160</t>
  </si>
  <si>
    <t>T02161</t>
  </si>
  <si>
    <t>T02162</t>
  </si>
  <si>
    <t>T02163</t>
  </si>
  <si>
    <t>T02164</t>
  </si>
  <si>
    <t>T02165</t>
  </si>
  <si>
    <t>T02166</t>
  </si>
  <si>
    <t>T02167</t>
  </si>
  <si>
    <t>T02168</t>
  </si>
  <si>
    <t>T02169</t>
  </si>
  <si>
    <t>T02170</t>
  </si>
  <si>
    <t>T02171</t>
  </si>
  <si>
    <t>T02172</t>
  </si>
  <si>
    <t>T02173</t>
  </si>
  <si>
    <t>T02174</t>
  </si>
  <si>
    <t>T02175</t>
  </si>
  <si>
    <t>T02176</t>
  </si>
  <si>
    <t>T02177</t>
  </si>
  <si>
    <t>T02178</t>
  </si>
  <si>
    <t>T02179</t>
  </si>
  <si>
    <t>T02180</t>
  </si>
  <si>
    <t>T02181</t>
  </si>
  <si>
    <t>T02182</t>
  </si>
  <si>
    <t>T02183</t>
  </si>
  <si>
    <t>T02184</t>
  </si>
  <si>
    <t>T02185</t>
  </si>
  <si>
    <t>T02186</t>
  </si>
  <si>
    <t>T02187</t>
  </si>
  <si>
    <t>T02188</t>
  </si>
  <si>
    <t>T02189</t>
  </si>
  <si>
    <t>T02190</t>
  </si>
  <si>
    <t>T02191</t>
  </si>
  <si>
    <t>T02192</t>
  </si>
  <si>
    <t>T02193</t>
  </si>
  <si>
    <t>T02194</t>
  </si>
  <si>
    <t>T02195</t>
  </si>
  <si>
    <t>T02196</t>
  </si>
  <si>
    <t>T02197</t>
  </si>
  <si>
    <t>T02198</t>
  </si>
  <si>
    <t>T02199</t>
  </si>
  <si>
    <t>T02200</t>
  </si>
  <si>
    <t>T02201</t>
  </si>
  <si>
    <t>T02202</t>
  </si>
  <si>
    <t>T02203</t>
  </si>
  <si>
    <t>T02204</t>
  </si>
  <si>
    <t>T02205</t>
  </si>
  <si>
    <t>T02206</t>
  </si>
  <si>
    <t>T02207</t>
  </si>
  <si>
    <t>T02208</t>
  </si>
  <si>
    <t>T02209</t>
  </si>
  <si>
    <t>T02210</t>
  </si>
  <si>
    <t>T02211</t>
  </si>
  <si>
    <t>T02212</t>
  </si>
  <si>
    <t>T02213</t>
  </si>
  <si>
    <t>T02214</t>
  </si>
  <si>
    <t>T02215</t>
  </si>
  <si>
    <t>T02216</t>
  </si>
  <si>
    <t>T02217</t>
  </si>
  <si>
    <t>T02218</t>
  </si>
  <si>
    <t>T02219</t>
  </si>
  <si>
    <t>T02220</t>
  </si>
  <si>
    <t>T02221</t>
  </si>
  <si>
    <t>T02222</t>
  </si>
  <si>
    <t>T02223</t>
  </si>
  <si>
    <t>T02224</t>
  </si>
  <si>
    <t>T02225</t>
  </si>
  <si>
    <t>T02226</t>
  </si>
  <si>
    <t>T02227</t>
  </si>
  <si>
    <t>T02228</t>
  </si>
  <si>
    <t>T02229</t>
  </si>
  <si>
    <t>T02230</t>
  </si>
  <si>
    <t>T02231</t>
  </si>
  <si>
    <t>T02232</t>
  </si>
  <si>
    <t>T02233</t>
  </si>
  <si>
    <t>T02234</t>
  </si>
  <si>
    <t>T02235</t>
  </si>
  <si>
    <t>T02236</t>
  </si>
  <si>
    <t>T02237</t>
  </si>
  <si>
    <t>T02238</t>
  </si>
  <si>
    <t>T02239</t>
  </si>
  <si>
    <t>T02240</t>
  </si>
  <si>
    <t>T02241</t>
  </si>
  <si>
    <t>T02242</t>
  </si>
  <si>
    <t>T02243</t>
  </si>
  <si>
    <t>T02244</t>
  </si>
  <si>
    <t>T02245</t>
  </si>
  <si>
    <t>T02246</t>
  </si>
  <si>
    <t>T02247</t>
  </si>
  <si>
    <t>T02248</t>
  </si>
  <si>
    <t>T02249</t>
  </si>
  <si>
    <t>T02250</t>
  </si>
  <si>
    <t>T02251</t>
  </si>
  <si>
    <t>T02252</t>
  </si>
  <si>
    <t>T02253</t>
  </si>
  <si>
    <t>T02254</t>
  </si>
  <si>
    <t>T02255</t>
  </si>
  <si>
    <t>T02256</t>
  </si>
  <si>
    <t>T02257</t>
  </si>
  <si>
    <t>T02258</t>
  </si>
  <si>
    <t>T02259</t>
  </si>
  <si>
    <t>T02260</t>
  </si>
  <si>
    <t>T02261</t>
  </si>
  <si>
    <t>T02262</t>
  </si>
  <si>
    <t>T02263</t>
  </si>
  <si>
    <t>T02264</t>
  </si>
  <si>
    <t>T02265</t>
  </si>
  <si>
    <t>T02266</t>
  </si>
  <si>
    <t>T02267</t>
  </si>
  <si>
    <t>T02268</t>
  </si>
  <si>
    <t>T02269</t>
  </si>
  <si>
    <t>T02270</t>
  </si>
  <si>
    <t>T02271</t>
  </si>
  <si>
    <t>T02272</t>
  </si>
  <si>
    <t>T02273</t>
  </si>
  <si>
    <t>T02274</t>
  </si>
  <si>
    <t>T02275</t>
  </si>
  <si>
    <t>T02276</t>
  </si>
  <si>
    <t>T02277</t>
  </si>
  <si>
    <t>T02278</t>
  </si>
  <si>
    <t>T02279</t>
  </si>
  <si>
    <t>T02280</t>
  </si>
  <si>
    <t>T02281</t>
  </si>
  <si>
    <t>T02282</t>
  </si>
  <si>
    <t>T02283</t>
  </si>
  <si>
    <t>T02284</t>
  </si>
  <si>
    <t>T02285</t>
  </si>
  <si>
    <t>T02286</t>
  </si>
  <si>
    <t>T02287</t>
  </si>
  <si>
    <t>T02288</t>
  </si>
  <si>
    <t>T02289</t>
  </si>
  <si>
    <t>T02290</t>
  </si>
  <si>
    <t>T02291</t>
  </si>
  <si>
    <t>T02292</t>
  </si>
  <si>
    <t>T02293</t>
  </si>
  <si>
    <t>T02294</t>
  </si>
  <si>
    <t>T02295</t>
  </si>
  <si>
    <t>T02296</t>
  </si>
  <si>
    <t>T02297</t>
  </si>
  <si>
    <t>T02298</t>
  </si>
  <si>
    <t>T02299</t>
  </si>
  <si>
    <t>T02300</t>
  </si>
  <si>
    <t>T02301</t>
  </si>
  <si>
    <t>T02302</t>
  </si>
  <si>
    <t>T02303</t>
  </si>
  <si>
    <t>T02304</t>
  </si>
  <si>
    <t>T02305</t>
  </si>
  <si>
    <t>T02306</t>
  </si>
  <si>
    <t>T02307</t>
  </si>
  <si>
    <t>T02308</t>
  </si>
  <si>
    <t>T02309</t>
  </si>
  <si>
    <t>T02310</t>
  </si>
  <si>
    <t>T02311</t>
  </si>
  <si>
    <t>T02312</t>
  </si>
  <si>
    <t>T02313</t>
  </si>
  <si>
    <t>T02314</t>
  </si>
  <si>
    <t>T02315</t>
  </si>
  <si>
    <t>T02316</t>
  </si>
  <si>
    <t>T02317</t>
  </si>
  <si>
    <t>T02318</t>
  </si>
  <si>
    <t>T02319</t>
  </si>
  <si>
    <t>T02320</t>
  </si>
  <si>
    <t>T02321</t>
  </si>
  <si>
    <t>T02322</t>
  </si>
  <si>
    <t>T02323</t>
  </si>
  <si>
    <t>T02324</t>
  </si>
  <si>
    <t>T02325</t>
  </si>
  <si>
    <t>T02326</t>
  </si>
  <si>
    <t>T02327</t>
  </si>
  <si>
    <t>T02328</t>
  </si>
  <si>
    <t>T02329</t>
  </si>
  <si>
    <t>T02330</t>
  </si>
  <si>
    <t>T02331</t>
  </si>
  <si>
    <t>T02332</t>
  </si>
  <si>
    <t>T02333</t>
  </si>
  <si>
    <t>T02334</t>
  </si>
  <si>
    <t>T02335</t>
  </si>
  <si>
    <t>T02336</t>
  </si>
  <si>
    <t>T02337</t>
  </si>
  <si>
    <t>T02338</t>
  </si>
  <si>
    <t>T02339</t>
  </si>
  <si>
    <t>T02340</t>
  </si>
  <si>
    <t>T02341</t>
  </si>
  <si>
    <t>T02342</t>
  </si>
  <si>
    <t>T02343</t>
  </si>
  <si>
    <t>T02344</t>
  </si>
  <si>
    <t>T02345</t>
  </si>
  <si>
    <t>T02346</t>
  </si>
  <si>
    <t>T02347</t>
  </si>
  <si>
    <t>T02348</t>
  </si>
  <si>
    <t>T02349</t>
  </si>
  <si>
    <t>T02350</t>
  </si>
  <si>
    <t>T02351</t>
  </si>
  <si>
    <t>T02352</t>
  </si>
  <si>
    <t>T02353</t>
  </si>
  <si>
    <t>T02354</t>
  </si>
  <si>
    <t>T02355</t>
  </si>
  <si>
    <t>T02356</t>
  </si>
  <si>
    <t>T02357</t>
  </si>
  <si>
    <t>T02358</t>
  </si>
  <si>
    <t>T02359</t>
  </si>
  <si>
    <t>T02360</t>
  </si>
  <si>
    <t>T02361</t>
  </si>
  <si>
    <t>T02362</t>
  </si>
  <si>
    <t>T02363</t>
  </si>
  <si>
    <t>T02364</t>
  </si>
  <si>
    <t>T02365</t>
  </si>
  <si>
    <t>T02366</t>
  </si>
  <si>
    <t>T02367</t>
  </si>
  <si>
    <t>T02368</t>
  </si>
  <si>
    <t>T02369</t>
  </si>
  <si>
    <t>T02370</t>
  </si>
  <si>
    <t>T02371</t>
  </si>
  <si>
    <t>T02372</t>
  </si>
  <si>
    <t>T02373</t>
  </si>
  <si>
    <t>T02374</t>
  </si>
  <si>
    <t>T02375</t>
  </si>
  <si>
    <t>T02376</t>
  </si>
  <si>
    <t>T02377</t>
  </si>
  <si>
    <t>T02378</t>
  </si>
  <si>
    <t>T02379</t>
  </si>
  <si>
    <t>T02380</t>
  </si>
  <si>
    <t>T02381</t>
  </si>
  <si>
    <t>T02382</t>
  </si>
  <si>
    <t>T02383</t>
  </si>
  <si>
    <t>T02384</t>
  </si>
  <si>
    <t>T02385</t>
  </si>
  <si>
    <t>T02386</t>
  </si>
  <si>
    <t>T02387</t>
  </si>
  <si>
    <t>T02388</t>
  </si>
  <si>
    <t>T02389</t>
  </si>
  <si>
    <t>T02390</t>
  </si>
  <si>
    <t>T02391</t>
  </si>
  <si>
    <t>T02392</t>
  </si>
  <si>
    <t>T02393</t>
  </si>
  <si>
    <t>T02394</t>
  </si>
  <si>
    <t>T02395</t>
  </si>
  <si>
    <t>T02396</t>
  </si>
  <si>
    <t>T02397</t>
  </si>
  <si>
    <t>T02398</t>
  </si>
  <si>
    <t>T02399</t>
  </si>
  <si>
    <t>T02400</t>
  </si>
  <si>
    <t>T02401</t>
  </si>
  <si>
    <t>T02402</t>
  </si>
  <si>
    <t>T02403</t>
  </si>
  <si>
    <t>T02404</t>
  </si>
  <si>
    <t>T02405</t>
  </si>
  <si>
    <t>T02406</t>
  </si>
  <si>
    <t>T02407</t>
  </si>
  <si>
    <t>T02408</t>
  </si>
  <si>
    <t>T02409</t>
  </si>
  <si>
    <t>T02410</t>
  </si>
  <si>
    <t>T02411</t>
  </si>
  <si>
    <t>T02412</t>
  </si>
  <si>
    <t>T02413</t>
  </si>
  <si>
    <t>T02414</t>
  </si>
  <si>
    <t>T02415</t>
  </si>
  <si>
    <t>T02416</t>
  </si>
  <si>
    <t>T02417</t>
  </si>
  <si>
    <t>T02418</t>
  </si>
  <si>
    <t>T02419</t>
  </si>
  <si>
    <t>T02420</t>
  </si>
  <si>
    <t>T02421</t>
  </si>
  <si>
    <t>T02422</t>
  </si>
  <si>
    <t>T02423</t>
  </si>
  <si>
    <t>T02424</t>
  </si>
  <si>
    <t>T02425</t>
  </si>
  <si>
    <t>T02426</t>
  </si>
  <si>
    <t>T02427</t>
  </si>
  <si>
    <t>T02428</t>
  </si>
  <si>
    <t>T02429</t>
  </si>
  <si>
    <t>T02430</t>
  </si>
  <si>
    <t>T02431</t>
  </si>
  <si>
    <t>T02432</t>
  </si>
  <si>
    <t>T02433</t>
  </si>
  <si>
    <t>T02434</t>
  </si>
  <si>
    <t>T02435</t>
  </si>
  <si>
    <t>T02436</t>
  </si>
  <si>
    <t>T02437</t>
  </si>
  <si>
    <t>T02438</t>
  </si>
  <si>
    <t>T02439</t>
  </si>
  <si>
    <t>T02440</t>
  </si>
  <si>
    <t>T02441</t>
  </si>
  <si>
    <t>T02442</t>
  </si>
  <si>
    <t>T02443</t>
  </si>
  <si>
    <t>T02444</t>
  </si>
  <si>
    <t>T02445</t>
  </si>
  <si>
    <t>T02446</t>
  </si>
  <si>
    <t>T02447</t>
  </si>
  <si>
    <t>T02448</t>
  </si>
  <si>
    <t>T02449</t>
  </si>
  <si>
    <t>T02450</t>
  </si>
  <si>
    <t>T02451</t>
  </si>
  <si>
    <t>T02452</t>
  </si>
  <si>
    <t>T02453</t>
  </si>
  <si>
    <t>T02454</t>
  </si>
  <si>
    <t>T02455</t>
  </si>
  <si>
    <t>T02456</t>
  </si>
  <si>
    <t>T02457</t>
  </si>
  <si>
    <t>T02458</t>
  </si>
  <si>
    <t>T02459</t>
  </si>
  <si>
    <t>T02460</t>
  </si>
  <si>
    <t>T02461</t>
  </si>
  <si>
    <t>T02462</t>
  </si>
  <si>
    <t>T02463</t>
  </si>
  <si>
    <t>T02464</t>
  </si>
  <si>
    <t>T02465</t>
  </si>
  <si>
    <t>T02466</t>
  </si>
  <si>
    <t>T02467</t>
  </si>
  <si>
    <t>T02468</t>
  </si>
  <si>
    <t>T02469</t>
  </si>
  <si>
    <t>T02470</t>
  </si>
  <si>
    <t>T02471</t>
  </si>
  <si>
    <t>T02472</t>
  </si>
  <si>
    <t>T02473</t>
  </si>
  <si>
    <t>T02474</t>
  </si>
  <si>
    <t>T02475</t>
  </si>
  <si>
    <t>T02476</t>
  </si>
  <si>
    <t>T02477</t>
  </si>
  <si>
    <t>T02478</t>
  </si>
  <si>
    <t>T02479</t>
  </si>
  <si>
    <t>T02480</t>
  </si>
  <si>
    <t>T02481</t>
  </si>
  <si>
    <t>T02482</t>
  </si>
  <si>
    <t>T02483</t>
  </si>
  <si>
    <t>T02484</t>
  </si>
  <si>
    <t>T02485</t>
  </si>
  <si>
    <t>T02486</t>
  </si>
  <si>
    <t>T02487</t>
  </si>
  <si>
    <t>T02488</t>
  </si>
  <si>
    <t>T02489</t>
  </si>
  <si>
    <t>T02490</t>
  </si>
  <si>
    <t>T02491</t>
  </si>
  <si>
    <t>T02492</t>
  </si>
  <si>
    <t>T02493</t>
  </si>
  <si>
    <t>T02494</t>
  </si>
  <si>
    <t>T02495</t>
  </si>
  <si>
    <t>T02496</t>
  </si>
  <si>
    <t>T02497</t>
  </si>
  <si>
    <t>T02498</t>
  </si>
  <si>
    <t>T02499</t>
  </si>
  <si>
    <t>T02500</t>
  </si>
  <si>
    <t>T02501</t>
  </si>
  <si>
    <t>T02502</t>
  </si>
  <si>
    <t>T02503</t>
  </si>
  <si>
    <t>T02504</t>
  </si>
  <si>
    <t>T02505</t>
  </si>
  <si>
    <t>T02506</t>
  </si>
  <si>
    <t>T02507</t>
  </si>
  <si>
    <t>T02508</t>
  </si>
  <si>
    <t>T02509</t>
  </si>
  <si>
    <t>T02510</t>
  </si>
  <si>
    <t>T02511</t>
  </si>
  <si>
    <t>T02512</t>
  </si>
  <si>
    <t>T02513</t>
  </si>
  <si>
    <t>T02514</t>
  </si>
  <si>
    <t>T02515</t>
  </si>
  <si>
    <t>T02516</t>
  </si>
  <si>
    <t>T02517</t>
  </si>
  <si>
    <t>T02518</t>
  </si>
  <si>
    <t>T02519</t>
  </si>
  <si>
    <t>T02520</t>
  </si>
  <si>
    <t>T02521</t>
  </si>
  <si>
    <t>T02522</t>
  </si>
  <si>
    <t>T02523</t>
  </si>
  <si>
    <t>T02524</t>
  </si>
  <si>
    <t>T02525</t>
  </si>
  <si>
    <t>T02526</t>
  </si>
  <si>
    <t>T02527</t>
  </si>
  <si>
    <t>T02528</t>
  </si>
  <si>
    <t>T02529</t>
  </si>
  <si>
    <t>T02530</t>
  </si>
  <si>
    <t>T02531</t>
  </si>
  <si>
    <t>T02532</t>
  </si>
  <si>
    <t>T02533</t>
  </si>
  <si>
    <t>T02534</t>
  </si>
  <si>
    <t>T02535</t>
  </si>
  <si>
    <t>T02536</t>
  </si>
  <si>
    <t>T02537</t>
  </si>
  <si>
    <t>T02538</t>
  </si>
  <si>
    <t>T02539</t>
  </si>
  <si>
    <t>T02540</t>
  </si>
  <si>
    <t>T02541</t>
  </si>
  <si>
    <t>T02542</t>
  </si>
  <si>
    <t>T02543</t>
  </si>
  <si>
    <t>T02544</t>
  </si>
  <si>
    <t>T02545</t>
  </si>
  <si>
    <t>T02546</t>
  </si>
  <si>
    <t>T02547</t>
  </si>
  <si>
    <t>T02548</t>
  </si>
  <si>
    <t>T02549</t>
  </si>
  <si>
    <t>T02550</t>
  </si>
  <si>
    <t>T02551</t>
  </si>
  <si>
    <t>T02552</t>
  </si>
  <si>
    <t>T02553</t>
  </si>
  <si>
    <t>T02554</t>
  </si>
  <si>
    <t>T02555</t>
  </si>
  <si>
    <t>T02556</t>
  </si>
  <si>
    <t>T02557</t>
  </si>
  <si>
    <t>T02558</t>
  </si>
  <si>
    <t>T02559</t>
  </si>
  <si>
    <t>T02560</t>
  </si>
  <si>
    <t>T02561</t>
  </si>
  <si>
    <t>T02562</t>
  </si>
  <si>
    <t>T02563</t>
  </si>
  <si>
    <t>T02564</t>
  </si>
  <si>
    <t>T02565</t>
  </si>
  <si>
    <t>T02566</t>
  </si>
  <si>
    <t>T02567</t>
  </si>
  <si>
    <t>T02568</t>
  </si>
  <si>
    <t>T02569</t>
  </si>
  <si>
    <t>T02570</t>
  </si>
  <si>
    <t>T02571</t>
  </si>
  <si>
    <t>T02572</t>
  </si>
  <si>
    <t>T02573</t>
  </si>
  <si>
    <t>T02574</t>
  </si>
  <si>
    <t>T02575</t>
  </si>
  <si>
    <t>T02576</t>
  </si>
  <si>
    <t>T02577</t>
  </si>
  <si>
    <t>T02578</t>
  </si>
  <si>
    <t>T02579</t>
  </si>
  <si>
    <t>T02580</t>
  </si>
  <si>
    <t>T02581</t>
  </si>
  <si>
    <t>T02582</t>
  </si>
  <si>
    <t>T02583</t>
  </si>
  <si>
    <t>T02584</t>
  </si>
  <si>
    <t>T02585</t>
  </si>
  <si>
    <t>T02586</t>
  </si>
  <si>
    <t>T02587</t>
  </si>
  <si>
    <t>T02588</t>
  </si>
  <si>
    <t>T02589</t>
  </si>
  <si>
    <t>T02590</t>
  </si>
  <si>
    <t>T02591</t>
  </si>
  <si>
    <t>T02592</t>
  </si>
  <si>
    <t>T02593</t>
  </si>
  <si>
    <t>T02594</t>
  </si>
  <si>
    <t>T02595</t>
  </si>
  <si>
    <t>T02596</t>
  </si>
  <si>
    <t>T02597</t>
  </si>
  <si>
    <t>T02598</t>
  </si>
  <si>
    <t>T02599</t>
  </si>
  <si>
    <t>T02600</t>
  </si>
  <si>
    <t>T02601</t>
  </si>
  <si>
    <t>T02602</t>
  </si>
  <si>
    <t>T02603</t>
  </si>
  <si>
    <t>T02604</t>
  </si>
  <si>
    <t>T02605</t>
  </si>
  <si>
    <t>T02606</t>
  </si>
  <si>
    <t>T02607</t>
  </si>
  <si>
    <t>T02608</t>
  </si>
  <si>
    <t>T02609</t>
  </si>
  <si>
    <t>T02610</t>
  </si>
  <si>
    <t>T02611</t>
  </si>
  <si>
    <t>T02612</t>
  </si>
  <si>
    <t>T02613</t>
  </si>
  <si>
    <t>T02614</t>
  </si>
  <si>
    <t>T02615</t>
  </si>
  <si>
    <t>T02616</t>
  </si>
  <si>
    <t>T02617</t>
  </si>
  <si>
    <t>T02618</t>
  </si>
  <si>
    <t>T02619</t>
  </si>
  <si>
    <t>T02620</t>
  </si>
  <si>
    <t>T02621</t>
  </si>
  <si>
    <t>T02622</t>
  </si>
  <si>
    <t>T02623</t>
  </si>
  <si>
    <t>T02624</t>
  </si>
  <si>
    <t>T02625</t>
  </si>
  <si>
    <t>T02626</t>
  </si>
  <si>
    <t>T02627</t>
  </si>
  <si>
    <t>T02628</t>
  </si>
  <si>
    <t>T02629</t>
  </si>
  <si>
    <t>T02630</t>
  </si>
  <si>
    <t>T02631</t>
  </si>
  <si>
    <t>T02632</t>
  </si>
  <si>
    <t>T02633</t>
  </si>
  <si>
    <t>T02634</t>
  </si>
  <si>
    <t>T02635</t>
  </si>
  <si>
    <t>T02636</t>
  </si>
  <si>
    <t>T02637</t>
  </si>
  <si>
    <t>T02638</t>
  </si>
  <si>
    <t>T02639</t>
  </si>
  <si>
    <t>T02640</t>
  </si>
  <si>
    <t>T02641</t>
  </si>
  <si>
    <t>T02642</t>
  </si>
  <si>
    <t>T02643</t>
  </si>
  <si>
    <t>T02644</t>
  </si>
  <si>
    <t>T02645</t>
  </si>
  <si>
    <t>T02646</t>
  </si>
  <si>
    <t>T02647</t>
  </si>
  <si>
    <t>T02648</t>
  </si>
  <si>
    <t>T02649</t>
  </si>
  <si>
    <t>T02650</t>
  </si>
  <si>
    <t>T02651</t>
  </si>
  <si>
    <t>T02652</t>
  </si>
  <si>
    <t>T02653</t>
  </si>
  <si>
    <t>T02654</t>
  </si>
  <si>
    <t>T02655</t>
  </si>
  <si>
    <t>T02656</t>
  </si>
  <si>
    <t>T02657</t>
  </si>
  <si>
    <t>T02658</t>
  </si>
  <si>
    <t>T02659</t>
  </si>
  <si>
    <t>T02660</t>
  </si>
  <si>
    <t>T02661</t>
  </si>
  <si>
    <t>T02662</t>
  </si>
  <si>
    <t>T02663</t>
  </si>
  <si>
    <t>T02664</t>
  </si>
  <si>
    <t>T02665</t>
  </si>
  <si>
    <t>T02666</t>
  </si>
  <si>
    <t>T02667</t>
  </si>
  <si>
    <t>T02668</t>
  </si>
  <si>
    <t>T02669</t>
  </si>
  <si>
    <t>T02670</t>
  </si>
  <si>
    <t>T02671</t>
  </si>
  <si>
    <t>T02672</t>
  </si>
  <si>
    <t>T02673</t>
  </si>
  <si>
    <t>T02674</t>
  </si>
  <si>
    <t>T02675</t>
  </si>
  <si>
    <t>T02676</t>
  </si>
  <si>
    <t>T02677</t>
  </si>
  <si>
    <t>T02678</t>
  </si>
  <si>
    <t>T02679</t>
  </si>
  <si>
    <t>T02680</t>
  </si>
  <si>
    <t>T02681</t>
  </si>
  <si>
    <t>T02682</t>
  </si>
  <si>
    <t>T02683</t>
  </si>
  <si>
    <t>T02684</t>
  </si>
  <si>
    <t>T02685</t>
  </si>
  <si>
    <t>T02686</t>
  </si>
  <si>
    <t>T02687</t>
  </si>
  <si>
    <t>T02688</t>
  </si>
  <si>
    <t>T02689</t>
  </si>
  <si>
    <t>T02690</t>
  </si>
  <si>
    <t>T02691</t>
  </si>
  <si>
    <t>T02692</t>
  </si>
  <si>
    <t>T02693</t>
  </si>
  <si>
    <t>T02694</t>
  </si>
  <si>
    <t>T02695</t>
  </si>
  <si>
    <t>T02696</t>
  </si>
  <si>
    <t>T02697</t>
  </si>
  <si>
    <t>T02698</t>
  </si>
  <si>
    <t>T02699</t>
  </si>
  <si>
    <t>T02700</t>
  </si>
  <si>
    <t>T02701</t>
  </si>
  <si>
    <t>T02702</t>
  </si>
  <si>
    <t>T02703</t>
  </si>
  <si>
    <t>T02704</t>
  </si>
  <si>
    <t>T02705</t>
  </si>
  <si>
    <t>T02706</t>
  </si>
  <si>
    <t>T02707</t>
  </si>
  <si>
    <t>T02708</t>
  </si>
  <si>
    <t>T02709</t>
  </si>
  <si>
    <t>T02710</t>
  </si>
  <si>
    <t>T02711</t>
  </si>
  <si>
    <t>T02712</t>
  </si>
  <si>
    <t>T02713</t>
  </si>
  <si>
    <t>T02714</t>
  </si>
  <si>
    <t>T02715</t>
  </si>
  <si>
    <t>T02716</t>
  </si>
  <si>
    <t>T02717</t>
  </si>
  <si>
    <t>T02718</t>
  </si>
  <si>
    <t>T02719</t>
  </si>
  <si>
    <t>T02720</t>
  </si>
  <si>
    <t>T02721</t>
  </si>
  <si>
    <t>T02722</t>
  </si>
  <si>
    <t>T02723</t>
  </si>
  <si>
    <t>T02724</t>
  </si>
  <si>
    <t>T02725</t>
  </si>
  <si>
    <t>T02726</t>
  </si>
  <si>
    <t>T02727</t>
  </si>
  <si>
    <t>T02728</t>
  </si>
  <si>
    <t>T02729</t>
  </si>
  <si>
    <t>T02730</t>
  </si>
  <si>
    <t>T02731</t>
  </si>
  <si>
    <t>T02732</t>
  </si>
  <si>
    <t>T02733</t>
  </si>
  <si>
    <t>T02734</t>
  </si>
  <si>
    <t>T02735</t>
  </si>
  <si>
    <t>T02736</t>
  </si>
  <si>
    <t>T02737</t>
  </si>
  <si>
    <t>T02738</t>
  </si>
  <si>
    <t>T02739</t>
  </si>
  <si>
    <t>T02740</t>
  </si>
  <si>
    <t>T02741</t>
  </si>
  <si>
    <t>T02742</t>
  </si>
  <si>
    <t>T02743</t>
  </si>
  <si>
    <t>T02744</t>
  </si>
  <si>
    <t>T02745</t>
  </si>
  <si>
    <t>T02746</t>
  </si>
  <si>
    <t>T02747</t>
  </si>
  <si>
    <t>T02748</t>
  </si>
  <si>
    <t>T02749</t>
  </si>
  <si>
    <t>T02750</t>
  </si>
  <si>
    <t>T02751</t>
  </si>
  <si>
    <t>T02752</t>
  </si>
  <si>
    <t>T02753</t>
  </si>
  <si>
    <t>T02754</t>
  </si>
  <si>
    <t>T02755</t>
  </si>
  <si>
    <t>T02756</t>
  </si>
  <si>
    <t>T02757</t>
  </si>
  <si>
    <t>T02758</t>
  </si>
  <si>
    <t>T02759</t>
  </si>
  <si>
    <t>T02760</t>
  </si>
  <si>
    <t>T02761</t>
  </si>
  <si>
    <t>T02762</t>
  </si>
  <si>
    <t>T02763</t>
  </si>
  <si>
    <t>T02764</t>
  </si>
  <si>
    <t>T02765</t>
  </si>
  <si>
    <t>T02766</t>
  </si>
  <si>
    <t>T02767</t>
  </si>
  <si>
    <t>T02768</t>
  </si>
  <si>
    <t>T02769</t>
  </si>
  <si>
    <t>T02770</t>
  </si>
  <si>
    <t>T02771</t>
  </si>
  <si>
    <t>T02772</t>
  </si>
  <si>
    <t>T02773</t>
  </si>
  <si>
    <t>T02774</t>
  </si>
  <si>
    <t>T02775</t>
  </si>
  <si>
    <t>T02776</t>
  </si>
  <si>
    <t>T02777</t>
  </si>
  <si>
    <t>T02778</t>
  </si>
  <si>
    <t>T02779</t>
  </si>
  <si>
    <t>T02780</t>
  </si>
  <si>
    <t>T02781</t>
  </si>
  <si>
    <t>T02782</t>
  </si>
  <si>
    <t>T02783</t>
  </si>
  <si>
    <t>T02784</t>
  </si>
  <si>
    <t>T02785</t>
  </si>
  <si>
    <t>T02786</t>
  </si>
  <si>
    <t>T02787</t>
  </si>
  <si>
    <t>T02788</t>
  </si>
  <si>
    <t>T02789</t>
  </si>
  <si>
    <t>T02790</t>
  </si>
  <si>
    <t>T02791</t>
  </si>
  <si>
    <t>T02792</t>
  </si>
  <si>
    <t>T02793</t>
  </si>
  <si>
    <t>T02794</t>
  </si>
  <si>
    <t>T02795</t>
  </si>
  <si>
    <t>T02796</t>
  </si>
  <si>
    <t>T02797</t>
  </si>
  <si>
    <t>T02798</t>
  </si>
  <si>
    <t>T02799</t>
  </si>
  <si>
    <t>T02800</t>
  </si>
  <si>
    <t>T02801</t>
  </si>
  <si>
    <t>T02802</t>
  </si>
  <si>
    <t>T02803</t>
  </si>
  <si>
    <t>T02804</t>
  </si>
  <si>
    <t>T02805</t>
  </si>
  <si>
    <t>T02806</t>
  </si>
  <si>
    <t>T02807</t>
  </si>
  <si>
    <t>T02808</t>
  </si>
  <si>
    <t>T02809</t>
  </si>
  <si>
    <t>T02810</t>
  </si>
  <si>
    <t>T02811</t>
  </si>
  <si>
    <t>T02812</t>
  </si>
  <si>
    <t>T02813</t>
  </si>
  <si>
    <t>T02814</t>
  </si>
  <si>
    <t>T02815</t>
  </si>
  <si>
    <t>T02816</t>
  </si>
  <si>
    <t>T02817</t>
  </si>
  <si>
    <t>T02818</t>
  </si>
  <si>
    <t>T02819</t>
  </si>
  <si>
    <t>T02820</t>
  </si>
  <si>
    <t>T02821</t>
  </si>
  <si>
    <t>T02822</t>
  </si>
  <si>
    <t>T02823</t>
  </si>
  <si>
    <t>T02824</t>
  </si>
  <si>
    <t>T02825</t>
  </si>
  <si>
    <t>T02826</t>
  </si>
  <si>
    <t>T02827</t>
  </si>
  <si>
    <t>T02828</t>
  </si>
  <si>
    <t>T02829</t>
  </si>
  <si>
    <t>T02830</t>
  </si>
  <si>
    <t>T02831</t>
  </si>
  <si>
    <t>T02832</t>
  </si>
  <si>
    <t>T02833</t>
  </si>
  <si>
    <t>T02834</t>
  </si>
  <si>
    <t>T02835</t>
  </si>
  <si>
    <t>T02836</t>
  </si>
  <si>
    <t>T02837</t>
  </si>
  <si>
    <t>T02838</t>
  </si>
  <si>
    <t>T02839</t>
  </si>
  <si>
    <t>T02840</t>
  </si>
  <si>
    <t>T02841</t>
  </si>
  <si>
    <t>T02842</t>
  </si>
  <si>
    <t>T02843</t>
  </si>
  <si>
    <t>T02844</t>
  </si>
  <si>
    <t>T02845</t>
  </si>
  <si>
    <t>T02846</t>
  </si>
  <si>
    <t>T02847</t>
  </si>
  <si>
    <t>T02848</t>
  </si>
  <si>
    <t>T02849</t>
  </si>
  <si>
    <t>T02850</t>
  </si>
  <si>
    <t>T02851</t>
  </si>
  <si>
    <t>T02852</t>
  </si>
  <si>
    <t>T02853</t>
  </si>
  <si>
    <t>T02854</t>
  </si>
  <si>
    <t>T02855</t>
  </si>
  <si>
    <t>T02856</t>
  </si>
  <si>
    <t>T02857</t>
  </si>
  <si>
    <t>T02858</t>
  </si>
  <si>
    <t>T02859</t>
  </si>
  <si>
    <t>T02860</t>
  </si>
  <si>
    <t>T02861</t>
  </si>
  <si>
    <t>T02862</t>
  </si>
  <si>
    <t>T02863</t>
  </si>
  <si>
    <t>T02864</t>
  </si>
  <si>
    <t>T02865</t>
  </si>
  <si>
    <t>T02866</t>
  </si>
  <si>
    <t>T02867</t>
  </si>
  <si>
    <t>T02868</t>
  </si>
  <si>
    <t>T02869</t>
  </si>
  <si>
    <t>T02870</t>
  </si>
  <si>
    <t>T02871</t>
  </si>
  <si>
    <t>T02872</t>
  </si>
  <si>
    <t>T02873</t>
  </si>
  <si>
    <t>T02874</t>
  </si>
  <si>
    <t>T02875</t>
  </si>
  <si>
    <t>T02876</t>
  </si>
  <si>
    <t>T02877</t>
  </si>
  <si>
    <t>T02878</t>
  </si>
  <si>
    <t>T02879</t>
  </si>
  <si>
    <t>T02880</t>
  </si>
  <si>
    <t>T02881</t>
  </si>
  <si>
    <t>T02882</t>
  </si>
  <si>
    <t>T02883</t>
  </si>
  <si>
    <t>T02884</t>
  </si>
  <si>
    <t>T02885</t>
  </si>
  <si>
    <t>T02886</t>
  </si>
  <si>
    <t>T02887</t>
  </si>
  <si>
    <t>T02888</t>
  </si>
  <si>
    <t>T02889</t>
  </si>
  <si>
    <t>T02890</t>
  </si>
  <si>
    <t>T02891</t>
  </si>
  <si>
    <t>T02892</t>
  </si>
  <si>
    <t>T02893</t>
  </si>
  <si>
    <t>T02894</t>
  </si>
  <si>
    <t>T02895</t>
  </si>
  <si>
    <t>T02896</t>
  </si>
  <si>
    <t>T02897</t>
  </si>
  <si>
    <t>T02898</t>
  </si>
  <si>
    <t>T02899</t>
  </si>
  <si>
    <t>T02900</t>
  </si>
  <si>
    <t>T02901</t>
  </si>
  <si>
    <t>T02902</t>
  </si>
  <si>
    <t>T02903</t>
  </si>
  <si>
    <t>T02904</t>
  </si>
  <si>
    <t>T02905</t>
  </si>
  <si>
    <t>T02906</t>
  </si>
  <si>
    <t>T02907</t>
  </si>
  <si>
    <t>T02908</t>
  </si>
  <si>
    <t>T02909</t>
  </si>
  <si>
    <t>T02910</t>
  </si>
  <si>
    <t>T02911</t>
  </si>
  <si>
    <t>T02912</t>
  </si>
  <si>
    <t>T02913</t>
  </si>
  <si>
    <t>T02914</t>
  </si>
  <si>
    <t>T02915</t>
  </si>
  <si>
    <t>T02916</t>
  </si>
  <si>
    <t>T02917</t>
  </si>
  <si>
    <t>T02918</t>
  </si>
  <si>
    <t>T02919</t>
  </si>
  <si>
    <t>T02920</t>
  </si>
  <si>
    <t>T02921</t>
  </si>
  <si>
    <t>T02922</t>
  </si>
  <si>
    <t>T02923</t>
  </si>
  <si>
    <t>T02924</t>
  </si>
  <si>
    <t>T02925</t>
  </si>
  <si>
    <t>T02926</t>
  </si>
  <si>
    <t>T02927</t>
  </si>
  <si>
    <t>T02928</t>
  </si>
  <si>
    <t>T02929</t>
  </si>
  <si>
    <t>T02930</t>
  </si>
  <si>
    <t>T02931</t>
  </si>
  <si>
    <t>T02932</t>
  </si>
  <si>
    <t>T02933</t>
  </si>
  <si>
    <t>T02934</t>
  </si>
  <si>
    <t>T02935</t>
  </si>
  <si>
    <t>T02936</t>
  </si>
  <si>
    <t>T02937</t>
  </si>
  <si>
    <t>T02938</t>
  </si>
  <si>
    <t>T02939</t>
  </si>
  <si>
    <t>T02940</t>
  </si>
  <si>
    <t>T02941</t>
  </si>
  <si>
    <t>T02942</t>
  </si>
  <si>
    <t>T02943</t>
  </si>
  <si>
    <t>T02944</t>
  </si>
  <si>
    <t>T02945</t>
  </si>
  <si>
    <t>T02946</t>
  </si>
  <si>
    <t>T02947</t>
  </si>
  <si>
    <t>T02948</t>
  </si>
  <si>
    <t>T02949</t>
  </si>
  <si>
    <t>T02950</t>
  </si>
  <si>
    <t>T02951</t>
  </si>
  <si>
    <t>T02952</t>
  </si>
  <si>
    <t>T02953</t>
  </si>
  <si>
    <t>T02954</t>
  </si>
  <si>
    <t>T02955</t>
  </si>
  <si>
    <t>T02956</t>
  </si>
  <si>
    <t>T02957</t>
  </si>
  <si>
    <t>T02958</t>
  </si>
  <si>
    <t>T02959</t>
  </si>
  <si>
    <t>T02960</t>
  </si>
  <si>
    <t>T02961</t>
  </si>
  <si>
    <t>T02962</t>
  </si>
  <si>
    <t>T02963</t>
  </si>
  <si>
    <t>T02964</t>
  </si>
  <si>
    <t>T02965</t>
  </si>
  <si>
    <t>T02966</t>
  </si>
  <si>
    <t>T02967</t>
  </si>
  <si>
    <t>T02968</t>
  </si>
  <si>
    <t>T02969</t>
  </si>
  <si>
    <t>T02970</t>
  </si>
  <si>
    <t>T02971</t>
  </si>
  <si>
    <t>T02972</t>
  </si>
  <si>
    <t>T02973</t>
  </si>
  <si>
    <t>T02974</t>
  </si>
  <si>
    <t>T02975</t>
  </si>
  <si>
    <t>T02976</t>
  </si>
  <si>
    <t>T02977</t>
  </si>
  <si>
    <t>T02978</t>
  </si>
  <si>
    <t>T02979</t>
  </si>
  <si>
    <t>T02980</t>
  </si>
  <si>
    <t>T02981</t>
  </si>
  <si>
    <t>T02982</t>
  </si>
  <si>
    <t>T02983</t>
  </si>
  <si>
    <t>T02984</t>
  </si>
  <si>
    <t>T02985</t>
  </si>
  <si>
    <t>T02986</t>
  </si>
  <si>
    <t>T02987</t>
  </si>
  <si>
    <t>T02988</t>
  </si>
  <si>
    <t>T02989</t>
  </si>
  <si>
    <t>T02990</t>
  </si>
  <si>
    <t>T02991</t>
  </si>
  <si>
    <t>T02992</t>
  </si>
  <si>
    <t>T02993</t>
  </si>
  <si>
    <t>T02994</t>
  </si>
  <si>
    <t>T02995</t>
  </si>
  <si>
    <t>T02996</t>
  </si>
  <si>
    <t>T02997</t>
  </si>
  <si>
    <t>T02998</t>
  </si>
  <si>
    <t>T02999</t>
  </si>
  <si>
    <t>T03000</t>
  </si>
  <si>
    <t>T03001</t>
  </si>
  <si>
    <t>T03002</t>
  </si>
  <si>
    <t>T03003</t>
  </si>
  <si>
    <t>T03004</t>
  </si>
  <si>
    <t>T03005</t>
  </si>
  <si>
    <t>T03006</t>
  </si>
  <si>
    <t>T03007</t>
  </si>
  <si>
    <t>T03008</t>
  </si>
  <si>
    <t>T03009</t>
  </si>
  <si>
    <t>T03010</t>
  </si>
  <si>
    <t>T03011</t>
  </si>
  <si>
    <t>T03012</t>
  </si>
  <si>
    <t>T03013</t>
  </si>
  <si>
    <t>T03014</t>
  </si>
  <si>
    <t>T03015</t>
  </si>
  <si>
    <t>T03016</t>
  </si>
  <si>
    <t>T03017</t>
  </si>
  <si>
    <t>T03018</t>
  </si>
  <si>
    <t>T03019</t>
  </si>
  <si>
    <t>T03020</t>
  </si>
  <si>
    <t>T03021</t>
  </si>
  <si>
    <t>T03022</t>
  </si>
  <si>
    <t>T03023</t>
  </si>
  <si>
    <t>T03024</t>
  </si>
  <si>
    <t>T03025</t>
  </si>
  <si>
    <t>T03026</t>
  </si>
  <si>
    <t>T03027</t>
  </si>
  <si>
    <t>T03028</t>
  </si>
  <si>
    <t>T03029</t>
  </si>
  <si>
    <t>T03030</t>
  </si>
  <si>
    <t>T03031</t>
  </si>
  <si>
    <t>T03032</t>
  </si>
  <si>
    <t>T03033</t>
  </si>
  <si>
    <t>T03034</t>
  </si>
  <si>
    <t>T03035</t>
  </si>
  <si>
    <t>T03036</t>
  </si>
  <si>
    <t>T03037</t>
  </si>
  <si>
    <t>T03038</t>
  </si>
  <si>
    <t>T03039</t>
  </si>
  <si>
    <t>T03040</t>
  </si>
  <si>
    <t>T03041</t>
  </si>
  <si>
    <t>T03042</t>
  </si>
  <si>
    <t>T03043</t>
  </si>
  <si>
    <t>T03044</t>
  </si>
  <si>
    <t>T03045</t>
  </si>
  <si>
    <t>T03046</t>
  </si>
  <si>
    <t>T03047</t>
  </si>
  <si>
    <t>T03048</t>
  </si>
  <si>
    <t>T03049</t>
  </si>
  <si>
    <t>T03050</t>
  </si>
  <si>
    <t>T03051</t>
  </si>
  <si>
    <t>T03052</t>
  </si>
  <si>
    <t>T03053</t>
  </si>
  <si>
    <t>T03054</t>
  </si>
  <si>
    <t>T03055</t>
  </si>
  <si>
    <t>T03056</t>
  </si>
  <si>
    <t>T03057</t>
  </si>
  <si>
    <t>T03058</t>
  </si>
  <si>
    <t>T03059</t>
  </si>
  <si>
    <t>T03060</t>
  </si>
  <si>
    <t>T03061</t>
  </si>
  <si>
    <t>T03062</t>
  </si>
  <si>
    <t>T03063</t>
  </si>
  <si>
    <t>T03064</t>
  </si>
  <si>
    <t>T03065</t>
  </si>
  <si>
    <t>T03066</t>
  </si>
  <si>
    <t>T03067</t>
  </si>
  <si>
    <t>T03068</t>
  </si>
  <si>
    <t>T03069</t>
  </si>
  <si>
    <t>T03070</t>
  </si>
  <si>
    <t>T03071</t>
  </si>
  <si>
    <t>T03072</t>
  </si>
  <si>
    <t>T03073</t>
  </si>
  <si>
    <t>T03074</t>
  </si>
  <si>
    <t>T03075</t>
  </si>
  <si>
    <t>T03076</t>
  </si>
  <si>
    <t>T03077</t>
  </si>
  <si>
    <t>T03078</t>
  </si>
  <si>
    <t>T03079</t>
  </si>
  <si>
    <t>T03080</t>
  </si>
  <si>
    <t>T03081</t>
  </si>
  <si>
    <t>T03082</t>
  </si>
  <si>
    <t>T03083</t>
  </si>
  <si>
    <t>T03084</t>
  </si>
  <si>
    <t>T03085</t>
  </si>
  <si>
    <t>T03086</t>
  </si>
  <si>
    <t>T03087</t>
  </si>
  <si>
    <t>T03088</t>
  </si>
  <si>
    <t>T03089</t>
  </si>
  <si>
    <t>T03090</t>
  </si>
  <si>
    <t>T03091</t>
  </si>
  <si>
    <t>T03092</t>
  </si>
  <si>
    <t>T03093</t>
  </si>
  <si>
    <t>T03094</t>
  </si>
  <si>
    <t>T03095</t>
  </si>
  <si>
    <t>T03096</t>
  </si>
  <si>
    <t>T03097</t>
  </si>
  <si>
    <t>T03098</t>
  </si>
  <si>
    <t>T03099</t>
  </si>
  <si>
    <t>T03100</t>
  </si>
  <si>
    <t>T03101</t>
  </si>
  <si>
    <t>T03102</t>
  </si>
  <si>
    <t>T03103</t>
  </si>
  <si>
    <t>T03104</t>
  </si>
  <si>
    <t>T03105</t>
  </si>
  <si>
    <t>T03106</t>
  </si>
  <si>
    <t>T03107</t>
  </si>
  <si>
    <t>T03108</t>
  </si>
  <si>
    <t>T03109</t>
  </si>
  <si>
    <t>T03110</t>
  </si>
  <si>
    <t>T03111</t>
  </si>
  <si>
    <t>T03112</t>
  </si>
  <si>
    <t>T03113</t>
  </si>
  <si>
    <t>T03114</t>
  </si>
  <si>
    <t>T03115</t>
  </si>
  <si>
    <t>T03116</t>
  </si>
  <si>
    <t>T03117</t>
  </si>
  <si>
    <t>T03118</t>
  </si>
  <si>
    <t>T03119</t>
  </si>
  <si>
    <t>T03120</t>
  </si>
  <si>
    <t>T03121</t>
  </si>
  <si>
    <t>T03122</t>
  </si>
  <si>
    <t>T03123</t>
  </si>
  <si>
    <t>T03124</t>
  </si>
  <si>
    <t>T03125</t>
  </si>
  <si>
    <t>T03126</t>
  </si>
  <si>
    <t>T03127</t>
  </si>
  <si>
    <t>T03128</t>
  </si>
  <si>
    <t>T03129</t>
  </si>
  <si>
    <t>T03130</t>
  </si>
  <si>
    <t>T03131</t>
  </si>
  <si>
    <t>T03132</t>
  </si>
  <si>
    <t>T03133</t>
  </si>
  <si>
    <t>T03134</t>
  </si>
  <si>
    <t>T03135</t>
  </si>
  <si>
    <t>T03136</t>
  </si>
  <si>
    <t>T03137</t>
  </si>
  <si>
    <t>T03138</t>
  </si>
  <si>
    <t>T03139</t>
  </si>
  <si>
    <t>T03140</t>
  </si>
  <si>
    <t>T03141</t>
  </si>
  <si>
    <t>T03142</t>
  </si>
  <si>
    <t>T03143</t>
  </si>
  <si>
    <t>T03144</t>
  </si>
  <si>
    <t>T03145</t>
  </si>
  <si>
    <t>T03146</t>
  </si>
  <si>
    <t>T03147</t>
  </si>
  <si>
    <t>T03148</t>
  </si>
  <si>
    <t>T03149</t>
  </si>
  <si>
    <t>T03150</t>
  </si>
  <si>
    <t>T03151</t>
  </si>
  <si>
    <t>T03152</t>
  </si>
  <si>
    <t>T03153</t>
  </si>
  <si>
    <t>T03154</t>
  </si>
  <si>
    <t>T03155</t>
  </si>
  <si>
    <t>T03156</t>
  </si>
  <si>
    <t>T03157</t>
  </si>
  <si>
    <t>T03158</t>
  </si>
  <si>
    <t>T03159</t>
  </si>
  <si>
    <t>T03160</t>
  </si>
  <si>
    <t>T03161</t>
  </si>
  <si>
    <t>T03162</t>
  </si>
  <si>
    <t>T03163</t>
  </si>
  <si>
    <t>T03164</t>
  </si>
  <si>
    <t>T03165</t>
  </si>
  <si>
    <t>T03166</t>
  </si>
  <si>
    <t>T03167</t>
  </si>
  <si>
    <t>T03168</t>
  </si>
  <si>
    <t>T03169</t>
  </si>
  <si>
    <t>T03170</t>
  </si>
  <si>
    <t>T03171</t>
  </si>
  <si>
    <t>T03172</t>
  </si>
  <si>
    <t>T03173</t>
  </si>
  <si>
    <t>T03174</t>
  </si>
  <si>
    <t>T03175</t>
  </si>
  <si>
    <t>T03176</t>
  </si>
  <si>
    <t>T03177</t>
  </si>
  <si>
    <t>T03178</t>
  </si>
  <si>
    <t>T03179</t>
  </si>
  <si>
    <t>T03180</t>
  </si>
  <si>
    <t>T03181</t>
  </si>
  <si>
    <t>T03182</t>
  </si>
  <si>
    <t>T03183</t>
  </si>
  <si>
    <t>T03184</t>
  </si>
  <si>
    <t>T03185</t>
  </si>
  <si>
    <t>T03186</t>
  </si>
  <si>
    <t>T03187</t>
  </si>
  <si>
    <t>T03188</t>
  </si>
  <si>
    <t>T03189</t>
  </si>
  <si>
    <t>T03190</t>
  </si>
  <si>
    <t>T03191</t>
  </si>
  <si>
    <t>T03192</t>
  </si>
  <si>
    <t>T03193</t>
  </si>
  <si>
    <t>T03194</t>
  </si>
  <si>
    <t>T03195</t>
  </si>
  <si>
    <t>T03196</t>
  </si>
  <si>
    <t>T03197</t>
  </si>
  <si>
    <t>T03198</t>
  </si>
  <si>
    <t>T03199</t>
  </si>
  <si>
    <t>T03200</t>
  </si>
  <si>
    <t>T03201</t>
  </si>
  <si>
    <t>T03202</t>
  </si>
  <si>
    <t>T03203</t>
  </si>
  <si>
    <t>T03204</t>
  </si>
  <si>
    <t>T03205</t>
  </si>
  <si>
    <t>T03206</t>
  </si>
  <si>
    <t>T03207</t>
  </si>
  <si>
    <t>T03208</t>
  </si>
  <si>
    <t>T03209</t>
  </si>
  <si>
    <t>T03210</t>
  </si>
  <si>
    <t>T03211</t>
  </si>
  <si>
    <t>T03212</t>
  </si>
  <si>
    <t>T03213</t>
  </si>
  <si>
    <t>T03214</t>
  </si>
  <si>
    <t>T03215</t>
  </si>
  <si>
    <t>T03216</t>
  </si>
  <si>
    <t>T03217</t>
  </si>
  <si>
    <t>T03218</t>
  </si>
  <si>
    <t>T03219</t>
  </si>
  <si>
    <t>T03220</t>
  </si>
  <si>
    <t>T03221</t>
  </si>
  <si>
    <t>T03222</t>
  </si>
  <si>
    <t>T03223</t>
  </si>
  <si>
    <t>T03224</t>
  </si>
  <si>
    <t>T03225</t>
  </si>
  <si>
    <t>T03226</t>
  </si>
  <si>
    <t>T03227</t>
  </si>
  <si>
    <t>T03228</t>
  </si>
  <si>
    <t>T03229</t>
  </si>
  <si>
    <t>T03230</t>
  </si>
  <si>
    <t>T03231</t>
  </si>
  <si>
    <t>T03232</t>
  </si>
  <si>
    <t>T03233</t>
  </si>
  <si>
    <t>T03234</t>
  </si>
  <si>
    <t>T03235</t>
  </si>
  <si>
    <t>T03236</t>
  </si>
  <si>
    <t>T03237</t>
  </si>
  <si>
    <t>T03238</t>
  </si>
  <si>
    <t>T03239</t>
  </si>
  <si>
    <t>T03240</t>
  </si>
  <si>
    <t>T03241</t>
  </si>
  <si>
    <t>T03242</t>
  </si>
  <si>
    <t>T03243</t>
  </si>
  <si>
    <t>T03244</t>
  </si>
  <si>
    <t>T03245</t>
  </si>
  <si>
    <t>T03246</t>
  </si>
  <si>
    <t>T03247</t>
  </si>
  <si>
    <t>T03248</t>
  </si>
  <si>
    <t>T03249</t>
  </si>
  <si>
    <t>T03250</t>
  </si>
  <si>
    <t>T03251</t>
  </si>
  <si>
    <t>T03252</t>
  </si>
  <si>
    <t>T03253</t>
  </si>
  <si>
    <t>T03254</t>
  </si>
  <si>
    <t>T03255</t>
  </si>
  <si>
    <t>T03256</t>
  </si>
  <si>
    <t>T03257</t>
  </si>
  <si>
    <t>T03258</t>
  </si>
  <si>
    <t>T03259</t>
  </si>
  <si>
    <t>T03260</t>
  </si>
  <si>
    <t>T03261</t>
  </si>
  <si>
    <t>T03262</t>
  </si>
  <si>
    <t>T03263</t>
  </si>
  <si>
    <t>T03264</t>
  </si>
  <si>
    <t>T03265</t>
  </si>
  <si>
    <t>T03266</t>
  </si>
  <si>
    <t>T03267</t>
  </si>
  <si>
    <t>T03268</t>
  </si>
  <si>
    <t>T03269</t>
  </si>
  <si>
    <t>T03270</t>
  </si>
  <si>
    <t>T03271</t>
  </si>
  <si>
    <t>T03272</t>
  </si>
  <si>
    <t>T03273</t>
  </si>
  <si>
    <t>T03274</t>
  </si>
  <si>
    <t>T03275</t>
  </si>
  <si>
    <t>T03276</t>
  </si>
  <si>
    <t>T03277</t>
  </si>
  <si>
    <t>T03278</t>
  </si>
  <si>
    <t>T03279</t>
  </si>
  <si>
    <t>T03280</t>
  </si>
  <si>
    <t>T03281</t>
  </si>
  <si>
    <t>T03282</t>
  </si>
  <si>
    <t>T03283</t>
  </si>
  <si>
    <t>T03284</t>
  </si>
  <si>
    <t>T03285</t>
  </si>
  <si>
    <t>T03286</t>
  </si>
  <si>
    <t>T03287</t>
  </si>
  <si>
    <t>T03288</t>
  </si>
  <si>
    <t>T03289</t>
  </si>
  <si>
    <t>T03290</t>
  </si>
  <si>
    <t>T03291</t>
  </si>
  <si>
    <t>T03292</t>
  </si>
  <si>
    <t>T03293</t>
  </si>
  <si>
    <t>T03294</t>
  </si>
  <si>
    <t>T03295</t>
  </si>
  <si>
    <t>T03296</t>
  </si>
  <si>
    <t>T03297</t>
  </si>
  <si>
    <t>T03298</t>
  </si>
  <si>
    <t>T03299</t>
  </si>
  <si>
    <t>T03300</t>
  </si>
  <si>
    <t>T03301</t>
  </si>
  <si>
    <t>T03302</t>
  </si>
  <si>
    <t>T03303</t>
  </si>
  <si>
    <t>T03304</t>
  </si>
  <si>
    <t>T03305</t>
  </si>
  <si>
    <t>T03306</t>
  </si>
  <si>
    <t>T03307</t>
  </si>
  <si>
    <t>T03308</t>
  </si>
  <si>
    <t>T03309</t>
  </si>
  <si>
    <t>T03310</t>
  </si>
  <si>
    <t>T03311</t>
  </si>
  <si>
    <t>T03312</t>
  </si>
  <si>
    <t>T03313</t>
  </si>
  <si>
    <t>T03314</t>
  </si>
  <si>
    <t>T03315</t>
  </si>
  <si>
    <t>T03316</t>
  </si>
  <si>
    <t>T03317</t>
  </si>
  <si>
    <t>T03318</t>
  </si>
  <si>
    <t>T03319</t>
  </si>
  <si>
    <t>T03320</t>
  </si>
  <si>
    <t>T03321</t>
  </si>
  <si>
    <t>T03322</t>
  </si>
  <si>
    <t>T03323</t>
  </si>
  <si>
    <t>T03324</t>
  </si>
  <si>
    <t>T03325</t>
  </si>
  <si>
    <t>T03326</t>
  </si>
  <si>
    <t>T03327</t>
  </si>
  <si>
    <t>T03328</t>
  </si>
  <si>
    <t>T03329</t>
  </si>
  <si>
    <t>T03330</t>
  </si>
  <si>
    <t>T03331</t>
  </si>
  <si>
    <t>T03332</t>
  </si>
  <si>
    <t>T03333</t>
  </si>
  <si>
    <t>T03334</t>
  </si>
  <si>
    <t>T03335</t>
  </si>
  <si>
    <t>T03336</t>
  </si>
  <si>
    <t>T03337</t>
  </si>
  <si>
    <t>T03338</t>
  </si>
  <si>
    <t>T03339</t>
  </si>
  <si>
    <t>T03340</t>
  </si>
  <si>
    <t>T03341</t>
  </si>
  <si>
    <t>T03342</t>
  </si>
  <si>
    <t>T03343</t>
  </si>
  <si>
    <t>T03344</t>
  </si>
  <si>
    <t>T03345</t>
  </si>
  <si>
    <t>T03346</t>
  </si>
  <si>
    <t>T03347</t>
  </si>
  <si>
    <t>T03348</t>
  </si>
  <si>
    <t>T03349</t>
  </si>
  <si>
    <t>T03350</t>
  </si>
  <si>
    <t>T03351</t>
  </si>
  <si>
    <t>T03352</t>
  </si>
  <si>
    <t>T03353</t>
  </si>
  <si>
    <t>T03354</t>
  </si>
  <si>
    <t>T03355</t>
  </si>
  <si>
    <t>T03356</t>
  </si>
  <si>
    <t>T03357</t>
  </si>
  <si>
    <t>T03358</t>
  </si>
  <si>
    <t>T03359</t>
  </si>
  <si>
    <t>T03360</t>
  </si>
  <si>
    <t>T03361</t>
  </si>
  <si>
    <t>T03362</t>
  </si>
  <si>
    <t>T03363</t>
  </si>
  <si>
    <t>T03364</t>
  </si>
  <si>
    <t>T03365</t>
  </si>
  <si>
    <t>T03366</t>
  </si>
  <si>
    <t>T03367</t>
  </si>
  <si>
    <t>T03368</t>
  </si>
  <si>
    <t>T03369</t>
  </si>
  <si>
    <t>T03370</t>
  </si>
  <si>
    <t>T03371</t>
  </si>
  <si>
    <t>T03372</t>
  </si>
  <si>
    <t>T03373</t>
  </si>
  <si>
    <t>T03374</t>
  </si>
  <si>
    <t>T03375</t>
  </si>
  <si>
    <t>T03376</t>
  </si>
  <si>
    <t>T03377</t>
  </si>
  <si>
    <t>T03378</t>
  </si>
  <si>
    <t>T03379</t>
  </si>
  <si>
    <t>T03380</t>
  </si>
  <si>
    <t>T03381</t>
  </si>
  <si>
    <t>T03382</t>
  </si>
  <si>
    <t>T03383</t>
  </si>
  <si>
    <t>T03384</t>
  </si>
  <si>
    <t>T03385</t>
  </si>
  <si>
    <t>T03386</t>
  </si>
  <si>
    <t>T03387</t>
  </si>
  <si>
    <t>T03388</t>
  </si>
  <si>
    <t>T03389</t>
  </si>
  <si>
    <t>T03390</t>
  </si>
  <si>
    <t>T03391</t>
  </si>
  <si>
    <t>T03392</t>
  </si>
  <si>
    <t>T03393</t>
  </si>
  <si>
    <t>T03394</t>
  </si>
  <si>
    <t>T03395</t>
  </si>
  <si>
    <t>T03396</t>
  </si>
  <si>
    <t>T03397</t>
  </si>
  <si>
    <t>T03398</t>
  </si>
  <si>
    <t>T03399</t>
  </si>
  <si>
    <t>T03400</t>
  </si>
  <si>
    <t>T03401</t>
  </si>
  <si>
    <t>T03402</t>
  </si>
  <si>
    <t>T03403</t>
  </si>
  <si>
    <t>T03404</t>
  </si>
  <si>
    <t>T03405</t>
  </si>
  <si>
    <t>T03406</t>
  </si>
  <si>
    <t>T03407</t>
  </si>
  <si>
    <t>T03408</t>
  </si>
  <si>
    <t>T03409</t>
  </si>
  <si>
    <t>T03410</t>
  </si>
  <si>
    <t>T03411</t>
  </si>
  <si>
    <t>T03412</t>
  </si>
  <si>
    <t>T03413</t>
  </si>
  <si>
    <t>T03414</t>
  </si>
  <si>
    <t>T03415</t>
  </si>
  <si>
    <t>T03416</t>
  </si>
  <si>
    <t>T03417</t>
  </si>
  <si>
    <t>T03418</t>
  </si>
  <si>
    <t>T03419</t>
  </si>
  <si>
    <t>T03420</t>
  </si>
  <si>
    <t>T03421</t>
  </si>
  <si>
    <t>T03422</t>
  </si>
  <si>
    <t>T03423</t>
  </si>
  <si>
    <t>T03424</t>
  </si>
  <si>
    <t>T03425</t>
  </si>
  <si>
    <t>T03426</t>
  </si>
  <si>
    <t>T03427</t>
  </si>
  <si>
    <t>T03428</t>
  </si>
  <si>
    <t>T03429</t>
  </si>
  <si>
    <t>T03430</t>
  </si>
  <si>
    <t>T03431</t>
  </si>
  <si>
    <t>T03432</t>
  </si>
  <si>
    <t>T03433</t>
  </si>
  <si>
    <t>T03434</t>
  </si>
  <si>
    <t>T03435</t>
  </si>
  <si>
    <t>T03436</t>
  </si>
  <si>
    <t>T03437</t>
  </si>
  <si>
    <t>T03438</t>
  </si>
  <si>
    <t>T03439</t>
  </si>
  <si>
    <t>T03440</t>
  </si>
  <si>
    <t>T03441</t>
  </si>
  <si>
    <t>T03442</t>
  </si>
  <si>
    <t>T03443</t>
  </si>
  <si>
    <t>T03444</t>
  </si>
  <si>
    <t>T03445</t>
  </si>
  <si>
    <t>T03446</t>
  </si>
  <si>
    <t>T03447</t>
  </si>
  <si>
    <t>T03448</t>
  </si>
  <si>
    <t>T03449</t>
  </si>
  <si>
    <t>T03450</t>
  </si>
  <si>
    <t>T03451</t>
  </si>
  <si>
    <t>T03452</t>
  </si>
  <si>
    <t>T03453</t>
  </si>
  <si>
    <t>T03454</t>
  </si>
  <si>
    <t>T03455</t>
  </si>
  <si>
    <t>T03456</t>
  </si>
  <si>
    <t>T03457</t>
  </si>
  <si>
    <t>T03458</t>
  </si>
  <si>
    <t>T03459</t>
  </si>
  <si>
    <t>T03460</t>
  </si>
  <si>
    <t>T03461</t>
  </si>
  <si>
    <t>T03462</t>
  </si>
  <si>
    <t>T03463</t>
  </si>
  <si>
    <t>T03464</t>
  </si>
  <si>
    <t>T03465</t>
  </si>
  <si>
    <t>T03466</t>
  </si>
  <si>
    <t>T03467</t>
  </si>
  <si>
    <t>T03468</t>
  </si>
  <si>
    <t>T03469</t>
  </si>
  <si>
    <t>T03470</t>
  </si>
  <si>
    <t>T03471</t>
  </si>
  <si>
    <t>T03472</t>
  </si>
  <si>
    <t>T03473</t>
  </si>
  <si>
    <t>T03474</t>
  </si>
  <si>
    <t>T03475</t>
  </si>
  <si>
    <t>T03476</t>
  </si>
  <si>
    <t>T03477</t>
  </si>
  <si>
    <t>T03478</t>
  </si>
  <si>
    <t>T03479</t>
  </si>
  <si>
    <t>T03480</t>
  </si>
  <si>
    <t>T03481</t>
  </si>
  <si>
    <t>T03482</t>
  </si>
  <si>
    <t>T03483</t>
  </si>
  <si>
    <t>T03484</t>
  </si>
  <si>
    <t>T03485</t>
  </si>
  <si>
    <t>T03486</t>
  </si>
  <si>
    <t>T03487</t>
  </si>
  <si>
    <t>T03488</t>
  </si>
  <si>
    <t>T03489</t>
  </si>
  <si>
    <t>T03490</t>
  </si>
  <si>
    <t>T03491</t>
  </si>
  <si>
    <t>T03492</t>
  </si>
  <si>
    <t>T03493</t>
  </si>
  <si>
    <t>T03494</t>
  </si>
  <si>
    <t>T03495</t>
  </si>
  <si>
    <t>T03496</t>
  </si>
  <si>
    <t>T03497</t>
  </si>
  <si>
    <t>T03498</t>
  </si>
  <si>
    <t>T03499</t>
  </si>
  <si>
    <t>T03500</t>
  </si>
  <si>
    <t>T03501</t>
  </si>
  <si>
    <t>T03502</t>
  </si>
  <si>
    <t>T03503</t>
  </si>
  <si>
    <t>T03504</t>
  </si>
  <si>
    <t>T03505</t>
  </si>
  <si>
    <t>T03506</t>
  </si>
  <si>
    <t>T03507</t>
  </si>
  <si>
    <t>T03508</t>
  </si>
  <si>
    <t>T03509</t>
  </si>
  <si>
    <t>T03510</t>
  </si>
  <si>
    <t>T03511</t>
  </si>
  <si>
    <t>T03512</t>
  </si>
  <si>
    <t>T03513</t>
  </si>
  <si>
    <t>T03514</t>
  </si>
  <si>
    <t>T03515</t>
  </si>
  <si>
    <t>T03516</t>
  </si>
  <si>
    <t>T03517</t>
  </si>
  <si>
    <t>T03518</t>
  </si>
  <si>
    <t>T03519</t>
  </si>
  <si>
    <t>T03520</t>
  </si>
  <si>
    <t>T03521</t>
  </si>
  <si>
    <t>T03522</t>
  </si>
  <si>
    <t>T03523</t>
  </si>
  <si>
    <t>T03524</t>
  </si>
  <si>
    <t>T03525</t>
  </si>
  <si>
    <t>T03526</t>
  </si>
  <si>
    <t>T03527</t>
  </si>
  <si>
    <t>T03528</t>
  </si>
  <si>
    <t>T03529</t>
  </si>
  <si>
    <t>T03530</t>
  </si>
  <si>
    <t>T03531</t>
  </si>
  <si>
    <t>T03532</t>
  </si>
  <si>
    <t>T03533</t>
  </si>
  <si>
    <t>T03534</t>
  </si>
  <si>
    <t>T03535</t>
  </si>
  <si>
    <t>T03536</t>
  </si>
  <si>
    <t>T03537</t>
  </si>
  <si>
    <t>T03538</t>
  </si>
  <si>
    <t>T03539</t>
  </si>
  <si>
    <t>T03540</t>
  </si>
  <si>
    <t>T03541</t>
  </si>
  <si>
    <t>T03542</t>
  </si>
  <si>
    <t>T03543</t>
  </si>
  <si>
    <t>T03544</t>
  </si>
  <si>
    <t>T03545</t>
  </si>
  <si>
    <t>T03546</t>
  </si>
  <si>
    <t>T03547</t>
  </si>
  <si>
    <t>T03548</t>
  </si>
  <si>
    <t>T03549</t>
  </si>
  <si>
    <t>T03550</t>
  </si>
  <si>
    <t>T03551</t>
  </si>
  <si>
    <t>T03552</t>
  </si>
  <si>
    <t>T03553</t>
  </si>
  <si>
    <t>T03554</t>
  </si>
  <si>
    <t>T03555</t>
  </si>
  <si>
    <t>T03556</t>
  </si>
  <si>
    <t>T03557</t>
  </si>
  <si>
    <t>T03558</t>
  </si>
  <si>
    <t>T03559</t>
  </si>
  <si>
    <t>T03560</t>
  </si>
  <si>
    <t>T03561</t>
  </si>
  <si>
    <t>T03562</t>
  </si>
  <si>
    <t>T03563</t>
  </si>
  <si>
    <t>T03564</t>
  </si>
  <si>
    <t>T03565</t>
  </si>
  <si>
    <t>T03566</t>
  </si>
  <si>
    <t>T03567</t>
  </si>
  <si>
    <t>T03568</t>
  </si>
  <si>
    <t>T03569</t>
  </si>
  <si>
    <t>T03570</t>
  </si>
  <si>
    <t>T03571</t>
  </si>
  <si>
    <t>T03572</t>
  </si>
  <si>
    <t>T03573</t>
  </si>
  <si>
    <t>T03574</t>
  </si>
  <si>
    <t>T03575</t>
  </si>
  <si>
    <t>T03576</t>
  </si>
  <si>
    <t>T03577</t>
  </si>
  <si>
    <t>T03578</t>
  </si>
  <si>
    <t>T03579</t>
  </si>
  <si>
    <t>T03580</t>
  </si>
  <si>
    <t>T03581</t>
  </si>
  <si>
    <t>T03582</t>
  </si>
  <si>
    <t>T03583</t>
  </si>
  <si>
    <t>T03584</t>
  </si>
  <si>
    <t>T03585</t>
  </si>
  <si>
    <t>T03586</t>
  </si>
  <si>
    <t>T03587</t>
  </si>
  <si>
    <t>T03588</t>
  </si>
  <si>
    <t>T03589</t>
  </si>
  <si>
    <t>T03590</t>
  </si>
  <si>
    <t>T03591</t>
  </si>
  <si>
    <t>T03592</t>
  </si>
  <si>
    <t>T03593</t>
  </si>
  <si>
    <t>T03594</t>
  </si>
  <si>
    <t>T03595</t>
  </si>
  <si>
    <t>T03596</t>
  </si>
  <si>
    <t>T03597</t>
  </si>
  <si>
    <t>T03598</t>
  </si>
  <si>
    <t>T03599</t>
  </si>
  <si>
    <t>T03600</t>
  </si>
  <si>
    <t>T03601</t>
  </si>
  <si>
    <t>T03602</t>
  </si>
  <si>
    <t>T03603</t>
  </si>
  <si>
    <t>T03604</t>
  </si>
  <si>
    <t>T03605</t>
  </si>
  <si>
    <t>T03606</t>
  </si>
  <si>
    <t>T03607</t>
  </si>
  <si>
    <t>T03608</t>
  </si>
  <si>
    <t>T03609</t>
  </si>
  <si>
    <t>T03610</t>
  </si>
  <si>
    <t>T03611</t>
  </si>
  <si>
    <t>T03612</t>
  </si>
  <si>
    <t>T03613</t>
  </si>
  <si>
    <t>T03614</t>
  </si>
  <si>
    <t>T03615</t>
  </si>
  <si>
    <t>T03616</t>
  </si>
  <si>
    <t>T03617</t>
  </si>
  <si>
    <t>T03618</t>
  </si>
  <si>
    <t>T03619</t>
  </si>
  <si>
    <t>T03620</t>
  </si>
  <si>
    <t>T03621</t>
  </si>
  <si>
    <t>T03622</t>
  </si>
  <si>
    <t>T03623</t>
  </si>
  <si>
    <t>T03624</t>
  </si>
  <si>
    <t>T03625</t>
  </si>
  <si>
    <t>T03626</t>
  </si>
  <si>
    <t>T03627</t>
  </si>
  <si>
    <t>T03628</t>
  </si>
  <si>
    <t>T03629</t>
  </si>
  <si>
    <t>T03630</t>
  </si>
  <si>
    <t>T03631</t>
  </si>
  <si>
    <t>T03632</t>
  </si>
  <si>
    <t>T03633</t>
  </si>
  <si>
    <t>T03634</t>
  </si>
  <si>
    <t>T03635</t>
  </si>
  <si>
    <t>T03636</t>
  </si>
  <si>
    <t>T03637</t>
  </si>
  <si>
    <t>T03638</t>
  </si>
  <si>
    <t>T03639</t>
  </si>
  <si>
    <t>T03640</t>
  </si>
  <si>
    <t>T03641</t>
  </si>
  <si>
    <t>T03642</t>
  </si>
  <si>
    <t>T03643</t>
  </si>
  <si>
    <t>T03644</t>
  </si>
  <si>
    <t>T03645</t>
  </si>
  <si>
    <t>T03646</t>
  </si>
  <si>
    <t>T03647</t>
  </si>
  <si>
    <t>T03648</t>
  </si>
  <si>
    <t>T03649</t>
  </si>
  <si>
    <t>T03650</t>
  </si>
  <si>
    <t>T03651</t>
  </si>
  <si>
    <t>T03652</t>
  </si>
  <si>
    <t>T03653</t>
  </si>
  <si>
    <t>T03654</t>
  </si>
  <si>
    <t>T03655</t>
  </si>
  <si>
    <t>T03656</t>
  </si>
  <si>
    <t>T03657</t>
  </si>
  <si>
    <t>T03658</t>
  </si>
  <si>
    <t>T03659</t>
  </si>
  <si>
    <t>T03660</t>
  </si>
  <si>
    <t>T03661</t>
  </si>
  <si>
    <t>T03662</t>
  </si>
  <si>
    <t>T03663</t>
  </si>
  <si>
    <t>T03664</t>
  </si>
  <si>
    <t>T03665</t>
  </si>
  <si>
    <t>T03666</t>
  </si>
  <si>
    <t>T03667</t>
  </si>
  <si>
    <t>T03668</t>
  </si>
  <si>
    <t>T03669</t>
  </si>
  <si>
    <t>T03670</t>
  </si>
  <si>
    <t>T03671</t>
  </si>
  <si>
    <t>T03672</t>
  </si>
  <si>
    <t>T03673</t>
  </si>
  <si>
    <t>T03674</t>
  </si>
  <si>
    <t>T03675</t>
  </si>
  <si>
    <t>T03676</t>
  </si>
  <si>
    <t>T03677</t>
  </si>
  <si>
    <t>T03678</t>
  </si>
  <si>
    <t>T03679</t>
  </si>
  <si>
    <t>T03680</t>
  </si>
  <si>
    <t>T03681</t>
  </si>
  <si>
    <t>T03682</t>
  </si>
  <si>
    <t>T03683</t>
  </si>
  <si>
    <t>T03684</t>
  </si>
  <si>
    <t>T03685</t>
  </si>
  <si>
    <t>T03686</t>
  </si>
  <si>
    <t>T03687</t>
  </si>
  <si>
    <t>T03688</t>
  </si>
  <si>
    <t>T03689</t>
  </si>
  <si>
    <t>T03690</t>
  </si>
  <si>
    <t>T03691</t>
  </si>
  <si>
    <t>T03692</t>
  </si>
  <si>
    <t>T03693</t>
  </si>
  <si>
    <t>T03694</t>
  </si>
  <si>
    <t>T03695</t>
  </si>
  <si>
    <t>T03696</t>
  </si>
  <si>
    <t>T03697</t>
  </si>
  <si>
    <t>T03698</t>
  </si>
  <si>
    <t>T03699</t>
  </si>
  <si>
    <t>T03700</t>
  </si>
  <si>
    <t>T03701</t>
  </si>
  <si>
    <t>T03702</t>
  </si>
  <si>
    <t>T03703</t>
  </si>
  <si>
    <t>T03704</t>
  </si>
  <si>
    <t>T03705</t>
  </si>
  <si>
    <t>T03706</t>
  </si>
  <si>
    <t>T03707</t>
  </si>
  <si>
    <t>T03708</t>
  </si>
  <si>
    <t>T03709</t>
  </si>
  <si>
    <t>T03710</t>
  </si>
  <si>
    <t>T03711</t>
  </si>
  <si>
    <t>T03712</t>
  </si>
  <si>
    <t>T03713</t>
  </si>
  <si>
    <t>T03714</t>
  </si>
  <si>
    <t>T03715</t>
  </si>
  <si>
    <t>T03716</t>
  </si>
  <si>
    <t>T03717</t>
  </si>
  <si>
    <t>T03718</t>
  </si>
  <si>
    <t>T03719</t>
  </si>
  <si>
    <t>T03720</t>
  </si>
  <si>
    <t>T03721</t>
  </si>
  <si>
    <t>T03722</t>
  </si>
  <si>
    <t>T03723</t>
  </si>
  <si>
    <t>T03724</t>
  </si>
  <si>
    <t>T03725</t>
  </si>
  <si>
    <t>T03726</t>
  </si>
  <si>
    <t>T03727</t>
  </si>
  <si>
    <t>T03728</t>
  </si>
  <si>
    <t>T03729</t>
  </si>
  <si>
    <t>T03730</t>
  </si>
  <si>
    <t>T03731</t>
  </si>
  <si>
    <t>T03732</t>
  </si>
  <si>
    <t>T03733</t>
  </si>
  <si>
    <t>T03734</t>
  </si>
  <si>
    <t>T03735</t>
  </si>
  <si>
    <t>T03736</t>
  </si>
  <si>
    <t>T03737</t>
  </si>
  <si>
    <t>T03738</t>
  </si>
  <si>
    <t>T03739</t>
  </si>
  <si>
    <t>T03740</t>
  </si>
  <si>
    <t>T03741</t>
  </si>
  <si>
    <t>T03742</t>
  </si>
  <si>
    <t>T03743</t>
  </si>
  <si>
    <t>T03744</t>
  </si>
  <si>
    <t>T03745</t>
  </si>
  <si>
    <t>T03746</t>
  </si>
  <si>
    <t>T03747</t>
  </si>
  <si>
    <t>T03748</t>
  </si>
  <si>
    <t>T03749</t>
  </si>
  <si>
    <t>T03750</t>
  </si>
  <si>
    <t>T03751</t>
  </si>
  <si>
    <t>T03752</t>
  </si>
  <si>
    <t>T03753</t>
  </si>
  <si>
    <t>T03754</t>
  </si>
  <si>
    <t>T03755</t>
  </si>
  <si>
    <t>T03756</t>
  </si>
  <si>
    <t>T03757</t>
  </si>
  <si>
    <t>T03758</t>
  </si>
  <si>
    <t>T03759</t>
  </si>
  <si>
    <t>T03760</t>
  </si>
  <si>
    <t>T03761</t>
  </si>
  <si>
    <t>T03762</t>
  </si>
  <si>
    <t>T03763</t>
  </si>
  <si>
    <t>T03764</t>
  </si>
  <si>
    <t>T03765</t>
  </si>
  <si>
    <t>T03766</t>
  </si>
  <si>
    <t>T03767</t>
  </si>
  <si>
    <t>T03768</t>
  </si>
  <si>
    <t>T03769</t>
  </si>
  <si>
    <t>T03770</t>
  </si>
  <si>
    <t>T03771</t>
  </si>
  <si>
    <t>T03772</t>
  </si>
  <si>
    <t>T03773</t>
  </si>
  <si>
    <t>T03774</t>
  </si>
  <si>
    <t>T03775</t>
  </si>
  <si>
    <t>T03776</t>
  </si>
  <si>
    <t>T03777</t>
  </si>
  <si>
    <t>T03778</t>
  </si>
  <si>
    <t>T03779</t>
  </si>
  <si>
    <t>T03780</t>
  </si>
  <si>
    <t>T03781</t>
  </si>
  <si>
    <t>T03782</t>
  </si>
  <si>
    <t>T03783</t>
  </si>
  <si>
    <t>T03784</t>
  </si>
  <si>
    <t>T03785</t>
  </si>
  <si>
    <t>T03786</t>
  </si>
  <si>
    <t>T03787</t>
  </si>
  <si>
    <t>T03788</t>
  </si>
  <si>
    <t>T03789</t>
  </si>
  <si>
    <t>T03790</t>
  </si>
  <si>
    <t>T03791</t>
  </si>
  <si>
    <t>T03792</t>
  </si>
  <si>
    <t>T03793</t>
  </si>
  <si>
    <t>T03794</t>
  </si>
  <si>
    <t>T03795</t>
  </si>
  <si>
    <t>T03796</t>
  </si>
  <si>
    <t>T03797</t>
  </si>
  <si>
    <t>T03798</t>
  </si>
  <si>
    <t>T03799</t>
  </si>
  <si>
    <t>T03800</t>
  </si>
  <si>
    <t>T03801</t>
  </si>
  <si>
    <t>T03802</t>
  </si>
  <si>
    <t>T03803</t>
  </si>
  <si>
    <t>T03804</t>
  </si>
  <si>
    <t>T03805</t>
  </si>
  <si>
    <t>T03806</t>
  </si>
  <si>
    <t>T03807</t>
  </si>
  <si>
    <t>T03808</t>
  </si>
  <si>
    <t>T03809</t>
  </si>
  <si>
    <t>T03810</t>
  </si>
  <si>
    <t>T03811</t>
  </si>
  <si>
    <t>T03812</t>
  </si>
  <si>
    <t>T03813</t>
  </si>
  <si>
    <t>T03814</t>
  </si>
  <si>
    <t>T03815</t>
  </si>
  <si>
    <t>T03816</t>
  </si>
  <si>
    <t>T03817</t>
  </si>
  <si>
    <t>T03818</t>
  </si>
  <si>
    <t>T03819</t>
  </si>
  <si>
    <t>T03820</t>
  </si>
  <si>
    <t>T03821</t>
  </si>
  <si>
    <t>T03822</t>
  </si>
  <si>
    <t>T03823</t>
  </si>
  <si>
    <t>T03824</t>
  </si>
  <si>
    <t>T03825</t>
  </si>
  <si>
    <t>T03826</t>
  </si>
  <si>
    <t>T03827</t>
  </si>
  <si>
    <t>T03828</t>
  </si>
  <si>
    <t>T03829</t>
  </si>
  <si>
    <t>T03830</t>
  </si>
  <si>
    <t>T03831</t>
  </si>
  <si>
    <t>T03832</t>
  </si>
  <si>
    <t>T03833</t>
  </si>
  <si>
    <t>T03834</t>
  </si>
  <si>
    <t>T03835</t>
  </si>
  <si>
    <t>T03836</t>
  </si>
  <si>
    <t>T03837</t>
  </si>
  <si>
    <t>T03838</t>
  </si>
  <si>
    <t>T03839</t>
  </si>
  <si>
    <t>T03840</t>
  </si>
  <si>
    <t>T03841</t>
  </si>
  <si>
    <t>T03842</t>
  </si>
  <si>
    <t>T03843</t>
  </si>
  <si>
    <t>T03844</t>
  </si>
  <si>
    <t>T03845</t>
  </si>
  <si>
    <t>T03846</t>
  </si>
  <si>
    <t>T03847</t>
  </si>
  <si>
    <t>T03848</t>
  </si>
  <si>
    <t>T03849</t>
  </si>
  <si>
    <t>T03850</t>
  </si>
  <si>
    <t>T03851</t>
  </si>
  <si>
    <t>T03852</t>
  </si>
  <si>
    <t>T03853</t>
  </si>
  <si>
    <t>T03854</t>
  </si>
  <si>
    <t>T03855</t>
  </si>
  <si>
    <t>T03856</t>
  </si>
  <si>
    <t>T03857</t>
  </si>
  <si>
    <t>T03858</t>
  </si>
  <si>
    <t>T03859</t>
  </si>
  <si>
    <t>T03860</t>
  </si>
  <si>
    <t>T03861</t>
  </si>
  <si>
    <t>T03862</t>
  </si>
  <si>
    <t>T03863</t>
  </si>
  <si>
    <t>T03864</t>
  </si>
  <si>
    <t>T03865</t>
  </si>
  <si>
    <t>T03866</t>
  </si>
  <si>
    <t>T03867</t>
  </si>
  <si>
    <t>T03868</t>
  </si>
  <si>
    <t>T03869</t>
  </si>
  <si>
    <t>T03870</t>
  </si>
  <si>
    <t>T03871</t>
  </si>
  <si>
    <t>T03872</t>
  </si>
  <si>
    <t>T03873</t>
  </si>
  <si>
    <t>T03874</t>
  </si>
  <si>
    <t>T03875</t>
  </si>
  <si>
    <t>T03876</t>
  </si>
  <si>
    <t>T03877</t>
  </si>
  <si>
    <t>T03878</t>
  </si>
  <si>
    <t>T03879</t>
  </si>
  <si>
    <t>T03880</t>
  </si>
  <si>
    <t>T03881</t>
  </si>
  <si>
    <t>T03882</t>
  </si>
  <si>
    <t>T03883</t>
  </si>
  <si>
    <t>T03884</t>
  </si>
  <si>
    <t>T03885</t>
  </si>
  <si>
    <t>T03886</t>
  </si>
  <si>
    <t>T03887</t>
  </si>
  <si>
    <t>T03888</t>
  </si>
  <si>
    <t>T03889</t>
  </si>
  <si>
    <t>T03890</t>
  </si>
  <si>
    <t>T03891</t>
  </si>
  <si>
    <t>T03892</t>
  </si>
  <si>
    <t>T03893</t>
  </si>
  <si>
    <t>T03894</t>
  </si>
  <si>
    <t>T03895</t>
  </si>
  <si>
    <t>T03896</t>
  </si>
  <si>
    <t>T03897</t>
  </si>
  <si>
    <t>T03898</t>
  </si>
  <si>
    <t>T03899</t>
  </si>
  <si>
    <t>T03900</t>
  </si>
  <si>
    <t>T03901</t>
  </si>
  <si>
    <t>T03902</t>
  </si>
  <si>
    <t>T03903</t>
  </si>
  <si>
    <t>T03904</t>
  </si>
  <si>
    <t>T03905</t>
  </si>
  <si>
    <t>T03906</t>
  </si>
  <si>
    <t>T03907</t>
  </si>
  <si>
    <t>T03908</t>
  </si>
  <si>
    <t>T03909</t>
  </si>
  <si>
    <t>T03910</t>
  </si>
  <si>
    <t>T03911</t>
  </si>
  <si>
    <t>T03912</t>
  </si>
  <si>
    <t>T03913</t>
  </si>
  <si>
    <t>T03914</t>
  </si>
  <si>
    <t>T03915</t>
  </si>
  <si>
    <t>T03916</t>
  </si>
  <si>
    <t>T03917</t>
  </si>
  <si>
    <t>T03918</t>
  </si>
  <si>
    <t>T03919</t>
  </si>
  <si>
    <t>T03920</t>
  </si>
  <si>
    <t>T03921</t>
  </si>
  <si>
    <t>T03922</t>
  </si>
  <si>
    <t>T03923</t>
  </si>
  <si>
    <t>T03924</t>
  </si>
  <si>
    <t>T03925</t>
  </si>
  <si>
    <t>T03926</t>
  </si>
  <si>
    <t>T03927</t>
  </si>
  <si>
    <t>T03928</t>
  </si>
  <si>
    <t>T03929</t>
  </si>
  <si>
    <t>T03930</t>
  </si>
  <si>
    <t>T03931</t>
  </si>
  <si>
    <t>T03932</t>
  </si>
  <si>
    <t>T03933</t>
  </si>
  <si>
    <t>T03934</t>
  </si>
  <si>
    <t>T03935</t>
  </si>
  <si>
    <t>T03936</t>
  </si>
  <si>
    <t>T03937</t>
  </si>
  <si>
    <t>T03938</t>
  </si>
  <si>
    <t>T03939</t>
  </si>
  <si>
    <t>T03940</t>
  </si>
  <si>
    <t>T03941</t>
  </si>
  <si>
    <t>T03942</t>
  </si>
  <si>
    <t>T03943</t>
  </si>
  <si>
    <t>T03944</t>
  </si>
  <si>
    <t>T03945</t>
  </si>
  <si>
    <t>T03946</t>
  </si>
  <si>
    <t>T03947</t>
  </si>
  <si>
    <t>T03948</t>
  </si>
  <si>
    <t>T03949</t>
  </si>
  <si>
    <t>T03950</t>
  </si>
  <si>
    <t>T03951</t>
  </si>
  <si>
    <t>T03952</t>
  </si>
  <si>
    <t>T03953</t>
  </si>
  <si>
    <t>T03954</t>
  </si>
  <si>
    <t>T03955</t>
  </si>
  <si>
    <t>T03956</t>
  </si>
  <si>
    <t>T03957</t>
  </si>
  <si>
    <t>T03958</t>
  </si>
  <si>
    <t>T03959</t>
  </si>
  <si>
    <t>T03960</t>
  </si>
  <si>
    <t>T03961</t>
  </si>
  <si>
    <t>T03962</t>
  </si>
  <si>
    <t>T03963</t>
  </si>
  <si>
    <t>T03964</t>
  </si>
  <si>
    <t>T03965</t>
  </si>
  <si>
    <t>T03966</t>
  </si>
  <si>
    <t>T03967</t>
  </si>
  <si>
    <t>T03968</t>
  </si>
  <si>
    <t>T03969</t>
  </si>
  <si>
    <t>T03970</t>
  </si>
  <si>
    <t>T03971</t>
  </si>
  <si>
    <t>T03972</t>
  </si>
  <si>
    <t>T03973</t>
  </si>
  <si>
    <t>T03974</t>
  </si>
  <si>
    <t>T03975</t>
  </si>
  <si>
    <t>T03976</t>
  </si>
  <si>
    <t>T03977</t>
  </si>
  <si>
    <t>T03978</t>
  </si>
  <si>
    <t>T03979</t>
  </si>
  <si>
    <t>T03980</t>
  </si>
  <si>
    <t>T03981</t>
  </si>
  <si>
    <t>T03982</t>
  </si>
  <si>
    <t>T03983</t>
  </si>
  <si>
    <t>T03984</t>
  </si>
  <si>
    <t>T03985</t>
  </si>
  <si>
    <t>T03986</t>
  </si>
  <si>
    <t>T03987</t>
  </si>
  <si>
    <t>T03988</t>
  </si>
  <si>
    <t>T03989</t>
  </si>
  <si>
    <t>T03990</t>
  </si>
  <si>
    <t>T03991</t>
  </si>
  <si>
    <t>T03992</t>
  </si>
  <si>
    <t>T03993</t>
  </si>
  <si>
    <t>T03994</t>
  </si>
  <si>
    <t>T03995</t>
  </si>
  <si>
    <t>T03996</t>
  </si>
  <si>
    <t>T03997</t>
  </si>
  <si>
    <t>T03998</t>
  </si>
  <si>
    <t>T03999</t>
  </si>
  <si>
    <t>T04000</t>
  </si>
  <si>
    <t>T04001</t>
  </si>
  <si>
    <t>T04002</t>
  </si>
  <si>
    <t>T04003</t>
  </si>
  <si>
    <t>T04004</t>
  </si>
  <si>
    <t>T04005</t>
  </si>
  <si>
    <t>T04006</t>
  </si>
  <si>
    <t>T04007</t>
  </si>
  <si>
    <t>T04008</t>
  </si>
  <si>
    <t>T04009</t>
  </si>
  <si>
    <t>T04010</t>
  </si>
  <si>
    <t>T04011</t>
  </si>
  <si>
    <t>T04012</t>
  </si>
  <si>
    <t>T04013</t>
  </si>
  <si>
    <t>T04014</t>
  </si>
  <si>
    <t>T04015</t>
  </si>
  <si>
    <t>T04016</t>
  </si>
  <si>
    <t>T04017</t>
  </si>
  <si>
    <t>T04018</t>
  </si>
  <si>
    <t>T04019</t>
  </si>
  <si>
    <t>T04020</t>
  </si>
  <si>
    <t>T04021</t>
  </si>
  <si>
    <t>T04022</t>
  </si>
  <si>
    <t>T04023</t>
  </si>
  <si>
    <t>T04024</t>
  </si>
  <si>
    <t>T04025</t>
  </si>
  <si>
    <t>T04026</t>
  </si>
  <si>
    <t>T04027</t>
  </si>
  <si>
    <t>T04028</t>
  </si>
  <si>
    <t>T04029</t>
  </si>
  <si>
    <t>T04030</t>
  </si>
  <si>
    <t>T04031</t>
  </si>
  <si>
    <t>T04032</t>
  </si>
  <si>
    <t>T04033</t>
  </si>
  <si>
    <t>T04034</t>
  </si>
  <si>
    <t>T04035</t>
  </si>
  <si>
    <t>T04036</t>
  </si>
  <si>
    <t>T04037</t>
  </si>
  <si>
    <t>T04038</t>
  </si>
  <si>
    <t>T04039</t>
  </si>
  <si>
    <t>T04040</t>
  </si>
  <si>
    <t>T04041</t>
  </si>
  <si>
    <t>T04042</t>
  </si>
  <si>
    <t>T04043</t>
  </si>
  <si>
    <t>T04044</t>
  </si>
  <si>
    <t>T04045</t>
  </si>
  <si>
    <t>T04046</t>
  </si>
  <si>
    <t>T04047</t>
  </si>
  <si>
    <t>T04048</t>
  </si>
  <si>
    <t>T04049</t>
  </si>
  <si>
    <t>T04050</t>
  </si>
  <si>
    <t>T04051</t>
  </si>
  <si>
    <t>T04052</t>
  </si>
  <si>
    <t>T04053</t>
  </si>
  <si>
    <t>T04054</t>
  </si>
  <si>
    <t>T04055</t>
  </si>
  <si>
    <t>T04056</t>
  </si>
  <si>
    <t>T04057</t>
  </si>
  <si>
    <t>T04058</t>
  </si>
  <si>
    <t>T04059</t>
  </si>
  <si>
    <t>T04060</t>
  </si>
  <si>
    <t>T04061</t>
  </si>
  <si>
    <t>T04062</t>
  </si>
  <si>
    <t>T04063</t>
  </si>
  <si>
    <t>T04064</t>
  </si>
  <si>
    <t>T04065</t>
  </si>
  <si>
    <t>T04066</t>
  </si>
  <si>
    <t>T04067</t>
  </si>
  <si>
    <t>T04068</t>
  </si>
  <si>
    <t>T04069</t>
  </si>
  <si>
    <t>T04070</t>
  </si>
  <si>
    <t>T04071</t>
  </si>
  <si>
    <t>T04072</t>
  </si>
  <si>
    <t>T04073</t>
  </si>
  <si>
    <t>T04074</t>
  </si>
  <si>
    <t>T04075</t>
  </si>
  <si>
    <t>T04076</t>
  </si>
  <si>
    <t>T04077</t>
  </si>
  <si>
    <t>T04078</t>
  </si>
  <si>
    <t>T04079</t>
  </si>
  <si>
    <t>T04080</t>
  </si>
  <si>
    <t>T04081</t>
  </si>
  <si>
    <t>T04082</t>
  </si>
  <si>
    <t>T04083</t>
  </si>
  <si>
    <t>T04084</t>
  </si>
  <si>
    <t>T04085</t>
  </si>
  <si>
    <t>T04086</t>
  </si>
  <si>
    <t>T04087</t>
  </si>
  <si>
    <t>T04088</t>
  </si>
  <si>
    <t>T04089</t>
  </si>
  <si>
    <t>T04090</t>
  </si>
  <si>
    <t>T04091</t>
  </si>
  <si>
    <t>T04092</t>
  </si>
  <si>
    <t>T04093</t>
  </si>
  <si>
    <t>T04094</t>
  </si>
  <si>
    <t>T04095</t>
  </si>
  <si>
    <t>T04096</t>
  </si>
  <si>
    <t>T04097</t>
  </si>
  <si>
    <t>T04098</t>
  </si>
  <si>
    <t>T04099</t>
  </si>
  <si>
    <t>T04100</t>
  </si>
  <si>
    <t>T04101</t>
  </si>
  <si>
    <t>T04102</t>
  </si>
  <si>
    <t>T04103</t>
  </si>
  <si>
    <t>T04104</t>
  </si>
  <si>
    <t>T04105</t>
  </si>
  <si>
    <t>T04106</t>
  </si>
  <si>
    <t>T04107</t>
  </si>
  <si>
    <t>T04108</t>
  </si>
  <si>
    <t>T04109</t>
  </si>
  <si>
    <t>T04110</t>
  </si>
  <si>
    <t>T04111</t>
  </si>
  <si>
    <t>T04112</t>
  </si>
  <si>
    <t>T04113</t>
  </si>
  <si>
    <t>T04114</t>
  </si>
  <si>
    <t>T04115</t>
  </si>
  <si>
    <t>T04116</t>
  </si>
  <si>
    <t>T04117</t>
  </si>
  <si>
    <t>T04118</t>
  </si>
  <si>
    <t>T04119</t>
  </si>
  <si>
    <t>T04120</t>
  </si>
  <si>
    <t>T04121</t>
  </si>
  <si>
    <t>T04122</t>
  </si>
  <si>
    <t>T04123</t>
  </si>
  <si>
    <t>T04124</t>
  </si>
  <si>
    <t>T04125</t>
  </si>
  <si>
    <t>T04126</t>
  </si>
  <si>
    <t>T04127</t>
  </si>
  <si>
    <t>T04128</t>
  </si>
  <si>
    <t>T04129</t>
  </si>
  <si>
    <t>T04130</t>
  </si>
  <si>
    <t>T04131</t>
  </si>
  <si>
    <t>T04132</t>
  </si>
  <si>
    <t>T04133</t>
  </si>
  <si>
    <t>T04134</t>
  </si>
  <si>
    <t>T04135</t>
  </si>
  <si>
    <t>T04136</t>
  </si>
  <si>
    <t>T04137</t>
  </si>
  <si>
    <t>T04138</t>
  </si>
  <si>
    <t>T04139</t>
  </si>
  <si>
    <t>T04140</t>
  </si>
  <si>
    <t>T04141</t>
  </si>
  <si>
    <t>T04142</t>
  </si>
  <si>
    <t>T04143</t>
  </si>
  <si>
    <t>T04144</t>
  </si>
  <si>
    <t>T04145</t>
  </si>
  <si>
    <t>T04146</t>
  </si>
  <si>
    <t>T04147</t>
  </si>
  <si>
    <t>T04148</t>
  </si>
  <si>
    <t>T04149</t>
  </si>
  <si>
    <t>T04150</t>
  </si>
  <si>
    <t>T04151</t>
  </si>
  <si>
    <t>T04152</t>
  </si>
  <si>
    <t>T04153</t>
  </si>
  <si>
    <t>T04154</t>
  </si>
  <si>
    <t>T04155</t>
  </si>
  <si>
    <t>T04156</t>
  </si>
  <si>
    <t>T04157</t>
  </si>
  <si>
    <t>T04158</t>
  </si>
  <si>
    <t>T04159</t>
  </si>
  <si>
    <t>T04160</t>
  </si>
  <si>
    <t>T04161</t>
  </si>
  <si>
    <t>T04162</t>
  </si>
  <si>
    <t>T04163</t>
  </si>
  <si>
    <t>T04164</t>
  </si>
  <si>
    <t>T04165</t>
  </si>
  <si>
    <t>T04166</t>
  </si>
  <si>
    <t>T04167</t>
  </si>
  <si>
    <t>T04168</t>
  </si>
  <si>
    <t>T04169</t>
  </si>
  <si>
    <t>T04170</t>
  </si>
  <si>
    <t>T04171</t>
  </si>
  <si>
    <t>T04172</t>
  </si>
  <si>
    <t>T04173</t>
  </si>
  <si>
    <t>T04174</t>
  </si>
  <si>
    <t>T04175</t>
  </si>
  <si>
    <t>T04176</t>
  </si>
  <si>
    <t>T04177</t>
  </si>
  <si>
    <t>T04178</t>
  </si>
  <si>
    <t>T04179</t>
  </si>
  <si>
    <t>T04180</t>
  </si>
  <si>
    <t>T04181</t>
  </si>
  <si>
    <t>T04182</t>
  </si>
  <si>
    <t>T04183</t>
  </si>
  <si>
    <t>T04184</t>
  </si>
  <si>
    <t>T04185</t>
  </si>
  <si>
    <t>T04186</t>
  </si>
  <si>
    <t>T04187</t>
  </si>
  <si>
    <t>T04188</t>
  </si>
  <si>
    <t>T04189</t>
  </si>
  <si>
    <t>T04190</t>
  </si>
  <si>
    <t>T04191</t>
  </si>
  <si>
    <t>T04192</t>
  </si>
  <si>
    <t>T04193</t>
  </si>
  <si>
    <t>T04194</t>
  </si>
  <si>
    <t>T04195</t>
  </si>
  <si>
    <t>T04196</t>
  </si>
  <si>
    <t>T04197</t>
  </si>
  <si>
    <t>T04198</t>
  </si>
  <si>
    <t>T04199</t>
  </si>
  <si>
    <t>T04200</t>
  </si>
  <si>
    <t>T04201</t>
  </si>
  <si>
    <t>T04202</t>
  </si>
  <si>
    <t>T04203</t>
  </si>
  <si>
    <t>T04204</t>
  </si>
  <si>
    <t>T04205</t>
  </si>
  <si>
    <t>T04206</t>
  </si>
  <si>
    <t>T04207</t>
  </si>
  <si>
    <t>T04208</t>
  </si>
  <si>
    <t>T04209</t>
  </si>
  <si>
    <t>T04210</t>
  </si>
  <si>
    <t>T04211</t>
  </si>
  <si>
    <t>T04212</t>
  </si>
  <si>
    <t>T04213</t>
  </si>
  <si>
    <t>T04214</t>
  </si>
  <si>
    <t>T04215</t>
  </si>
  <si>
    <t>T04216</t>
  </si>
  <si>
    <t>T04217</t>
  </si>
  <si>
    <t>T04218</t>
  </si>
  <si>
    <t>T04219</t>
  </si>
  <si>
    <t>T04220</t>
  </si>
  <si>
    <t>T04221</t>
  </si>
  <si>
    <t>T04222</t>
  </si>
  <si>
    <t>T04223</t>
  </si>
  <si>
    <t>T04224</t>
  </si>
  <si>
    <t>T04225</t>
  </si>
  <si>
    <t>T04226</t>
  </si>
  <si>
    <t>T04227</t>
  </si>
  <si>
    <t>T04228</t>
  </si>
  <si>
    <t>T04229</t>
  </si>
  <si>
    <t>T04230</t>
  </si>
  <si>
    <t>T04231</t>
  </si>
  <si>
    <t>T04232</t>
  </si>
  <si>
    <t>T04233</t>
  </si>
  <si>
    <t>T04234</t>
  </si>
  <si>
    <t>T04235</t>
  </si>
  <si>
    <t>T04236</t>
  </si>
  <si>
    <t>T04237</t>
  </si>
  <si>
    <t>T04238</t>
  </si>
  <si>
    <t>T04239</t>
  </si>
  <si>
    <t>T04240</t>
  </si>
  <si>
    <t>T04241</t>
  </si>
  <si>
    <t>T04242</t>
  </si>
  <si>
    <t>T04243</t>
  </si>
  <si>
    <t>T04244</t>
  </si>
  <si>
    <t>T04245</t>
  </si>
  <si>
    <t>T04246</t>
  </si>
  <si>
    <t>T04247</t>
  </si>
  <si>
    <t>T04248</t>
  </si>
  <si>
    <t>T04249</t>
  </si>
  <si>
    <t>T04250</t>
  </si>
  <si>
    <t>T04251</t>
  </si>
  <si>
    <t>T04252</t>
  </si>
  <si>
    <t>T04253</t>
  </si>
  <si>
    <t>T04254</t>
  </si>
  <si>
    <t>T04255</t>
  </si>
  <si>
    <t>T04256</t>
  </si>
  <si>
    <t>T04257</t>
  </si>
  <si>
    <t>T04258</t>
  </si>
  <si>
    <t>T04259</t>
  </si>
  <si>
    <t>T04260</t>
  </si>
  <si>
    <t>T04261</t>
  </si>
  <si>
    <t>T04262</t>
  </si>
  <si>
    <t>T04263</t>
  </si>
  <si>
    <t>T04264</t>
  </si>
  <si>
    <t>T04265</t>
  </si>
  <si>
    <t>T04266</t>
  </si>
  <si>
    <t>T04267</t>
  </si>
  <si>
    <t>T04268</t>
  </si>
  <si>
    <t>T04269</t>
  </si>
  <si>
    <t>T04270</t>
  </si>
  <si>
    <t>T04271</t>
  </si>
  <si>
    <t>T04272</t>
  </si>
  <si>
    <t>T04273</t>
  </si>
  <si>
    <t>T04274</t>
  </si>
  <si>
    <t>T04275</t>
  </si>
  <si>
    <t>T04276</t>
  </si>
  <si>
    <t>T04277</t>
  </si>
  <si>
    <t>T04278</t>
  </si>
  <si>
    <t>T04279</t>
  </si>
  <si>
    <t>T04280</t>
  </si>
  <si>
    <t>T04281</t>
  </si>
  <si>
    <t>T04282</t>
  </si>
  <si>
    <t>T04283</t>
  </si>
  <si>
    <t>T04284</t>
  </si>
  <si>
    <t>T04285</t>
  </si>
  <si>
    <t>T04286</t>
  </si>
  <si>
    <t>T04287</t>
  </si>
  <si>
    <t>T04288</t>
  </si>
  <si>
    <t>T04289</t>
  </si>
  <si>
    <t>T04290</t>
  </si>
  <si>
    <t>T04291</t>
  </si>
  <si>
    <t>T04292</t>
  </si>
  <si>
    <t>T04293</t>
  </si>
  <si>
    <t>T04294</t>
  </si>
  <si>
    <t>T04295</t>
  </si>
  <si>
    <t>T04296</t>
  </si>
  <si>
    <t>T04297</t>
  </si>
  <si>
    <t>T04298</t>
  </si>
  <si>
    <t>T04299</t>
  </si>
  <si>
    <t>T04300</t>
  </si>
  <si>
    <t>T04301</t>
  </si>
  <si>
    <t>T04302</t>
  </si>
  <si>
    <t>T04303</t>
  </si>
  <si>
    <t>T04304</t>
  </si>
  <si>
    <t>T04305</t>
  </si>
  <si>
    <t>T04306</t>
  </si>
  <si>
    <t>T04307</t>
  </si>
  <si>
    <t>T04308</t>
  </si>
  <si>
    <t>T04309</t>
  </si>
  <si>
    <t>T04310</t>
  </si>
  <si>
    <t>T04311</t>
  </si>
  <si>
    <t>T04312</t>
  </si>
  <si>
    <t>T04313</t>
  </si>
  <si>
    <t>T04314</t>
  </si>
  <si>
    <t>T04315</t>
  </si>
  <si>
    <t>T04316</t>
  </si>
  <si>
    <t>T04317</t>
  </si>
  <si>
    <t>T04318</t>
  </si>
  <si>
    <t>T04319</t>
  </si>
  <si>
    <t>T04320</t>
  </si>
  <si>
    <t>T04321</t>
  </si>
  <si>
    <t>T04322</t>
  </si>
  <si>
    <t>T04323</t>
  </si>
  <si>
    <t>T04324</t>
  </si>
  <si>
    <t>T04325</t>
  </si>
  <si>
    <t>T04326</t>
  </si>
  <si>
    <t>T04327</t>
  </si>
  <si>
    <t>T04328</t>
  </si>
  <si>
    <t>T04329</t>
  </si>
  <si>
    <t>T04330</t>
  </si>
  <si>
    <t>T04331</t>
  </si>
  <si>
    <t>T04332</t>
  </si>
  <si>
    <t>T04333</t>
  </si>
  <si>
    <t>T04334</t>
  </si>
  <si>
    <t>T04335</t>
  </si>
  <si>
    <t>T04336</t>
  </si>
  <si>
    <t>T04337</t>
  </si>
  <si>
    <t>T04338</t>
  </si>
  <si>
    <t>T04339</t>
  </si>
  <si>
    <t>T04340</t>
  </si>
  <si>
    <t>T04341</t>
  </si>
  <si>
    <t>T04342</t>
  </si>
  <si>
    <t>T04343</t>
  </si>
  <si>
    <t>T04344</t>
  </si>
  <si>
    <t>T04345</t>
  </si>
  <si>
    <t>T04346</t>
  </si>
  <si>
    <t>T04347</t>
  </si>
  <si>
    <t>T04348</t>
  </si>
  <si>
    <t>T04349</t>
  </si>
  <si>
    <t>T04350</t>
  </si>
  <si>
    <t>T04351</t>
  </si>
  <si>
    <t>T04352</t>
  </si>
  <si>
    <t>T04353</t>
  </si>
  <si>
    <t>T04354</t>
  </si>
  <si>
    <t>T04355</t>
  </si>
  <si>
    <t>T04356</t>
  </si>
  <si>
    <t>T04357</t>
  </si>
  <si>
    <t>T04358</t>
  </si>
  <si>
    <t>T04359</t>
  </si>
  <si>
    <t>T04360</t>
  </si>
  <si>
    <t>T04361</t>
  </si>
  <si>
    <t>T04362</t>
  </si>
  <si>
    <t>T04363</t>
  </si>
  <si>
    <t>T04364</t>
  </si>
  <si>
    <t>T04365</t>
  </si>
  <si>
    <t>T04366</t>
  </si>
  <si>
    <t>T04367</t>
  </si>
  <si>
    <t>T04368</t>
  </si>
  <si>
    <t>T04369</t>
  </si>
  <si>
    <t>T04370</t>
  </si>
  <si>
    <t>T04371</t>
  </si>
  <si>
    <t>T04372</t>
  </si>
  <si>
    <t>T04373</t>
  </si>
  <si>
    <t>T04374</t>
  </si>
  <si>
    <t>T04375</t>
  </si>
  <si>
    <t>T04376</t>
  </si>
  <si>
    <t>T04377</t>
  </si>
  <si>
    <t>T04378</t>
  </si>
  <si>
    <t>T04379</t>
  </si>
  <si>
    <t>T04380</t>
  </si>
  <si>
    <t>T04381</t>
  </si>
  <si>
    <t>T04382</t>
  </si>
  <si>
    <t>T04383</t>
  </si>
  <si>
    <t>T04384</t>
  </si>
  <si>
    <t>T04385</t>
  </si>
  <si>
    <t>T04386</t>
  </si>
  <si>
    <t>T04387</t>
  </si>
  <si>
    <t>T04388</t>
  </si>
  <si>
    <t>T04389</t>
  </si>
  <si>
    <t>T04390</t>
  </si>
  <si>
    <t>T04391</t>
  </si>
  <si>
    <t>T04392</t>
  </si>
  <si>
    <t>T04393</t>
  </si>
  <si>
    <t>T04394</t>
  </si>
  <si>
    <t>T04395</t>
  </si>
  <si>
    <t>T04396</t>
  </si>
  <si>
    <t>T04397</t>
  </si>
  <si>
    <t>T04398</t>
  </si>
  <si>
    <t>T04399</t>
  </si>
  <si>
    <t>T04400</t>
  </si>
  <si>
    <t>T04401</t>
  </si>
  <si>
    <t>T04402</t>
  </si>
  <si>
    <t>T04403</t>
  </si>
  <si>
    <t>T04404</t>
  </si>
  <si>
    <t>T04405</t>
  </si>
  <si>
    <t>T04406</t>
  </si>
  <si>
    <t>T04407</t>
  </si>
  <si>
    <t>T04408</t>
  </si>
  <si>
    <t>T04409</t>
  </si>
  <si>
    <t>T04410</t>
  </si>
  <si>
    <t>T04411</t>
  </si>
  <si>
    <t>T04412</t>
  </si>
  <si>
    <t>T04413</t>
  </si>
  <si>
    <t>T04414</t>
  </si>
  <si>
    <t>T04415</t>
  </si>
  <si>
    <t>T04416</t>
  </si>
  <si>
    <t>T04417</t>
  </si>
  <si>
    <t>T04418</t>
  </si>
  <si>
    <t>T04419</t>
  </si>
  <si>
    <t>T04420</t>
  </si>
  <si>
    <t>T04421</t>
  </si>
  <si>
    <t>T04422</t>
  </si>
  <si>
    <t>T04423</t>
  </si>
  <si>
    <t>T04424</t>
  </si>
  <si>
    <t>T04425</t>
  </si>
  <si>
    <t>T04426</t>
  </si>
  <si>
    <t>T04427</t>
  </si>
  <si>
    <t>T04428</t>
  </si>
  <si>
    <t>T04429</t>
  </si>
  <si>
    <t>T04430</t>
  </si>
  <si>
    <t>T04431</t>
  </si>
  <si>
    <t>T04432</t>
  </si>
  <si>
    <t>T04433</t>
  </si>
  <si>
    <t>T04434</t>
  </si>
  <si>
    <t>T04435</t>
  </si>
  <si>
    <t>T04436</t>
  </si>
  <si>
    <t>T04437</t>
  </si>
  <si>
    <t>T04438</t>
  </si>
  <si>
    <t>T04439</t>
  </si>
  <si>
    <t>T04440</t>
  </si>
  <si>
    <t>T04441</t>
  </si>
  <si>
    <t>T04442</t>
  </si>
  <si>
    <t>T04443</t>
  </si>
  <si>
    <t>T04444</t>
  </si>
  <si>
    <t>T04445</t>
  </si>
  <si>
    <t>T04446</t>
  </si>
  <si>
    <t>T04447</t>
  </si>
  <si>
    <t>T04448</t>
  </si>
  <si>
    <t>T04449</t>
  </si>
  <si>
    <t>T04450</t>
  </si>
  <si>
    <t>T04451</t>
  </si>
  <si>
    <t>T04452</t>
  </si>
  <si>
    <t>T04453</t>
  </si>
  <si>
    <t>T04454</t>
  </si>
  <si>
    <t>T04455</t>
  </si>
  <si>
    <t>T04456</t>
  </si>
  <si>
    <t>T04457</t>
  </si>
  <si>
    <t>T04458</t>
  </si>
  <si>
    <t>T04459</t>
  </si>
  <si>
    <t>T04460</t>
  </si>
  <si>
    <t>T04461</t>
  </si>
  <si>
    <t>T04462</t>
  </si>
  <si>
    <t>T04463</t>
  </si>
  <si>
    <t>T04464</t>
  </si>
  <si>
    <t>T04465</t>
  </si>
  <si>
    <t>T04466</t>
  </si>
  <si>
    <t>T04467</t>
  </si>
  <si>
    <t>T04468</t>
  </si>
  <si>
    <t>T04469</t>
  </si>
  <si>
    <t>T04470</t>
  </si>
  <si>
    <t>T04471</t>
  </si>
  <si>
    <t>T04472</t>
  </si>
  <si>
    <t>T04473</t>
  </si>
  <si>
    <t>T04474</t>
  </si>
  <si>
    <t>T04475</t>
  </si>
  <si>
    <t>T04476</t>
  </si>
  <si>
    <t>T04477</t>
  </si>
  <si>
    <t>T04478</t>
  </si>
  <si>
    <t>T04479</t>
  </si>
  <si>
    <t>T04480</t>
  </si>
  <si>
    <t>T04481</t>
  </si>
  <si>
    <t>T04482</t>
  </si>
  <si>
    <t>T04483</t>
  </si>
  <si>
    <t>T04484</t>
  </si>
  <si>
    <t>T04485</t>
  </si>
  <si>
    <t>T04486</t>
  </si>
  <si>
    <t>T04487</t>
  </si>
  <si>
    <t>T04488</t>
  </si>
  <si>
    <t>T04489</t>
  </si>
  <si>
    <t>T04490</t>
  </si>
  <si>
    <t>T04491</t>
  </si>
  <si>
    <t>T04492</t>
  </si>
  <si>
    <t>T04493</t>
  </si>
  <si>
    <t>T04494</t>
  </si>
  <si>
    <t>T04495</t>
  </si>
  <si>
    <t>T04496</t>
  </si>
  <si>
    <t>T04497</t>
  </si>
  <si>
    <t>T04498</t>
  </si>
  <si>
    <t>T04499</t>
  </si>
  <si>
    <t>T04500</t>
  </si>
  <si>
    <t>T04501</t>
  </si>
  <si>
    <t>T04502</t>
  </si>
  <si>
    <t>T04503</t>
  </si>
  <si>
    <t>T04504</t>
  </si>
  <si>
    <t>T04505</t>
  </si>
  <si>
    <t>T04506</t>
  </si>
  <si>
    <t>T04507</t>
  </si>
  <si>
    <t>T04508</t>
  </si>
  <si>
    <t>T04509</t>
  </si>
  <si>
    <t>T04510</t>
  </si>
  <si>
    <t>T04511</t>
  </si>
  <si>
    <t>T04512</t>
  </si>
  <si>
    <t>T04513</t>
  </si>
  <si>
    <t>T04514</t>
  </si>
  <si>
    <t>T04515</t>
  </si>
  <si>
    <t>T04516</t>
  </si>
  <si>
    <t>T04517</t>
  </si>
  <si>
    <t>T04518</t>
  </si>
  <si>
    <t>T04519</t>
  </si>
  <si>
    <t>T04520</t>
  </si>
  <si>
    <t>T04521</t>
  </si>
  <si>
    <t>T04522</t>
  </si>
  <si>
    <t>T04523</t>
  </si>
  <si>
    <t>T04524</t>
  </si>
  <si>
    <t>T04525</t>
  </si>
  <si>
    <t>T04526</t>
  </si>
  <si>
    <t>T04527</t>
  </si>
  <si>
    <t>T04528</t>
  </si>
  <si>
    <t>T04529</t>
  </si>
  <si>
    <t>T04530</t>
  </si>
  <si>
    <t>T04531</t>
  </si>
  <si>
    <t>T04532</t>
  </si>
  <si>
    <t>T04533</t>
  </si>
  <si>
    <t>T04534</t>
  </si>
  <si>
    <t>T04535</t>
  </si>
  <si>
    <t>T04536</t>
  </si>
  <si>
    <t>T04537</t>
  </si>
  <si>
    <t>T04538</t>
  </si>
  <si>
    <t>T04539</t>
  </si>
  <si>
    <t>T04540</t>
  </si>
  <si>
    <t>T04541</t>
  </si>
  <si>
    <t>T04542</t>
  </si>
  <si>
    <t>T04543</t>
  </si>
  <si>
    <t>T04544</t>
  </si>
  <si>
    <t>T04545</t>
  </si>
  <si>
    <t>T04546</t>
  </si>
  <si>
    <t>T04547</t>
  </si>
  <si>
    <t>T04548</t>
  </si>
  <si>
    <t>T04549</t>
  </si>
  <si>
    <t>T04550</t>
  </si>
  <si>
    <t>T04551</t>
  </si>
  <si>
    <t>T04552</t>
  </si>
  <si>
    <t>T04553</t>
  </si>
  <si>
    <t>T04554</t>
  </si>
  <si>
    <t>T04555</t>
  </si>
  <si>
    <t>T04556</t>
  </si>
  <si>
    <t>T04557</t>
  </si>
  <si>
    <t>T04558</t>
  </si>
  <si>
    <t>T04559</t>
  </si>
  <si>
    <t>T04560</t>
  </si>
  <si>
    <t>T04561</t>
  </si>
  <si>
    <t>T04562</t>
  </si>
  <si>
    <t>T04563</t>
  </si>
  <si>
    <t>T04564</t>
  </si>
  <si>
    <t>T04565</t>
  </si>
  <si>
    <t>T04566</t>
  </si>
  <si>
    <t>T04567</t>
  </si>
  <si>
    <t>T04568</t>
  </si>
  <si>
    <t>T04569</t>
  </si>
  <si>
    <t>T04570</t>
  </si>
  <si>
    <t>T04571</t>
  </si>
  <si>
    <t>T04572</t>
  </si>
  <si>
    <t>T04573</t>
  </si>
  <si>
    <t>T04574</t>
  </si>
  <si>
    <t>T04575</t>
  </si>
  <si>
    <t>T04576</t>
  </si>
  <si>
    <t>T04577</t>
  </si>
  <si>
    <t>T04578</t>
  </si>
  <si>
    <t>T04579</t>
  </si>
  <si>
    <t>T04580</t>
  </si>
  <si>
    <t>T04581</t>
  </si>
  <si>
    <t>T04582</t>
  </si>
  <si>
    <t>T04583</t>
  </si>
  <si>
    <t>T04584</t>
  </si>
  <si>
    <t>T04585</t>
  </si>
  <si>
    <t>T04586</t>
  </si>
  <si>
    <t>T04587</t>
  </si>
  <si>
    <t>T04588</t>
  </si>
  <si>
    <t>T04589</t>
  </si>
  <si>
    <t>T04590</t>
  </si>
  <si>
    <t>T04591</t>
  </si>
  <si>
    <t>T04592</t>
  </si>
  <si>
    <t>T04593</t>
  </si>
  <si>
    <t>T04594</t>
  </si>
  <si>
    <t>T04595</t>
  </si>
  <si>
    <t>T04596</t>
  </si>
  <si>
    <t>T04597</t>
  </si>
  <si>
    <t>T04598</t>
  </si>
  <si>
    <t>T04599</t>
  </si>
  <si>
    <t>T04600</t>
  </si>
  <si>
    <t>T04601</t>
  </si>
  <si>
    <t>T04602</t>
  </si>
  <si>
    <t>T04603</t>
  </si>
  <si>
    <t>T04604</t>
  </si>
  <si>
    <t>T04605</t>
  </si>
  <si>
    <t>T04606</t>
  </si>
  <si>
    <t>T04607</t>
  </si>
  <si>
    <t>T04608</t>
  </si>
  <si>
    <t>T04609</t>
  </si>
  <si>
    <t>T04610</t>
  </si>
  <si>
    <t>T04611</t>
  </si>
  <si>
    <t>T04612</t>
  </si>
  <si>
    <t>T04613</t>
  </si>
  <si>
    <t>T04614</t>
  </si>
  <si>
    <t>T04615</t>
  </si>
  <si>
    <t>T04616</t>
  </si>
  <si>
    <t>T04617</t>
  </si>
  <si>
    <t>T04618</t>
  </si>
  <si>
    <t>T04619</t>
  </si>
  <si>
    <t>T04620</t>
  </si>
  <si>
    <t>T04621</t>
  </si>
  <si>
    <t>T04622</t>
  </si>
  <si>
    <t>T04623</t>
  </si>
  <si>
    <t>T04624</t>
  </si>
  <si>
    <t>T04625</t>
  </si>
  <si>
    <t>T04626</t>
  </si>
  <si>
    <t>T04627</t>
  </si>
  <si>
    <t>T04628</t>
  </si>
  <si>
    <t>T04629</t>
  </si>
  <si>
    <t>T04630</t>
  </si>
  <si>
    <t>T04631</t>
  </si>
  <si>
    <t>T04632</t>
  </si>
  <si>
    <t>T04633</t>
  </si>
  <si>
    <t>T04634</t>
  </si>
  <si>
    <t>T04635</t>
  </si>
  <si>
    <t>T04636</t>
  </si>
  <si>
    <t>T04637</t>
  </si>
  <si>
    <t>T04638</t>
  </si>
  <si>
    <t>T04639</t>
  </si>
  <si>
    <t>T04640</t>
  </si>
  <si>
    <t>T04641</t>
  </si>
  <si>
    <t>T04642</t>
  </si>
  <si>
    <t>T04643</t>
  </si>
  <si>
    <t>T04644</t>
  </si>
  <si>
    <t>T04645</t>
  </si>
  <si>
    <t>T04646</t>
  </si>
  <si>
    <t>T04647</t>
  </si>
  <si>
    <t>T04648</t>
  </si>
  <si>
    <t>T04649</t>
  </si>
  <si>
    <t>T04650</t>
  </si>
  <si>
    <t>T04651</t>
  </si>
  <si>
    <t>T04652</t>
  </si>
  <si>
    <t>T04653</t>
  </si>
  <si>
    <t>T04654</t>
  </si>
  <si>
    <t>T04655</t>
  </si>
  <si>
    <t>T04656</t>
  </si>
  <si>
    <t>T04657</t>
  </si>
  <si>
    <t>T04658</t>
  </si>
  <si>
    <t>T04659</t>
  </si>
  <si>
    <t>T04660</t>
  </si>
  <si>
    <t>T04661</t>
  </si>
  <si>
    <t>T04662</t>
  </si>
  <si>
    <t>T04663</t>
  </si>
  <si>
    <t>T04664</t>
  </si>
  <si>
    <t>T04665</t>
  </si>
  <si>
    <t>T04666</t>
  </si>
  <si>
    <t>T04667</t>
  </si>
  <si>
    <t>T04668</t>
  </si>
  <si>
    <t>T04669</t>
  </si>
  <si>
    <t>T04670</t>
  </si>
  <si>
    <t>T04671</t>
  </si>
  <si>
    <t>T04672</t>
  </si>
  <si>
    <t>T04673</t>
  </si>
  <si>
    <t>T04674</t>
  </si>
  <si>
    <t>T04675</t>
  </si>
  <si>
    <t>T04676</t>
  </si>
  <si>
    <t>T04677</t>
  </si>
  <si>
    <t>T04678</t>
  </si>
  <si>
    <t>T04679</t>
  </si>
  <si>
    <t>T04680</t>
  </si>
  <si>
    <t>T04681</t>
  </si>
  <si>
    <t>T04682</t>
  </si>
  <si>
    <t>T04683</t>
  </si>
  <si>
    <t>T04684</t>
  </si>
  <si>
    <t>T04685</t>
  </si>
  <si>
    <t>T04686</t>
  </si>
  <si>
    <t>T04687</t>
  </si>
  <si>
    <t>T04688</t>
  </si>
  <si>
    <t>T04689</t>
  </si>
  <si>
    <t>T04690</t>
  </si>
  <si>
    <t>T04691</t>
  </si>
  <si>
    <t>T04692</t>
  </si>
  <si>
    <t>T04693</t>
  </si>
  <si>
    <t>T04694</t>
  </si>
  <si>
    <t>T04695</t>
  </si>
  <si>
    <t>T04696</t>
  </si>
  <si>
    <t>T04697</t>
  </si>
  <si>
    <t>T04698</t>
  </si>
  <si>
    <t>T04699</t>
  </si>
  <si>
    <t>T04700</t>
  </si>
  <si>
    <t>T04701</t>
  </si>
  <si>
    <t>T04702</t>
  </si>
  <si>
    <t>T04703</t>
  </si>
  <si>
    <t>T04704</t>
  </si>
  <si>
    <t>T04705</t>
  </si>
  <si>
    <t>T04706</t>
  </si>
  <si>
    <t>T04707</t>
  </si>
  <si>
    <t>T04708</t>
  </si>
  <si>
    <t>T04709</t>
  </si>
  <si>
    <t>T04710</t>
  </si>
  <si>
    <t>T04711</t>
  </si>
  <si>
    <t>T04712</t>
  </si>
  <si>
    <t>T04713</t>
  </si>
  <si>
    <t>T04714</t>
  </si>
  <si>
    <t>T04715</t>
  </si>
  <si>
    <t>T04716</t>
  </si>
  <si>
    <t>T04717</t>
  </si>
  <si>
    <t>T04718</t>
  </si>
  <si>
    <t>T04719</t>
  </si>
  <si>
    <t>T04720</t>
  </si>
  <si>
    <t>T04721</t>
  </si>
  <si>
    <t>T04722</t>
  </si>
  <si>
    <t>T04723</t>
  </si>
  <si>
    <t>T04724</t>
  </si>
  <si>
    <t>T04725</t>
  </si>
  <si>
    <t>T04726</t>
  </si>
  <si>
    <t>T04727</t>
  </si>
  <si>
    <t>T04728</t>
  </si>
  <si>
    <t>T04729</t>
  </si>
  <si>
    <t>T04730</t>
  </si>
  <si>
    <t>T04731</t>
  </si>
  <si>
    <t>T04732</t>
  </si>
  <si>
    <t>T04733</t>
  </si>
  <si>
    <t>T04734</t>
  </si>
  <si>
    <t>T04735</t>
  </si>
  <si>
    <t>T04736</t>
  </si>
  <si>
    <t>T04737</t>
  </si>
  <si>
    <t>T04738</t>
  </si>
  <si>
    <t>T04739</t>
  </si>
  <si>
    <t>T04740</t>
  </si>
  <si>
    <t>T04741</t>
  </si>
  <si>
    <t>T04742</t>
  </si>
  <si>
    <t>T04743</t>
  </si>
  <si>
    <t>T04744</t>
  </si>
  <si>
    <t>T04745</t>
  </si>
  <si>
    <t>T04746</t>
  </si>
  <si>
    <t>T04747</t>
  </si>
  <si>
    <t>T04748</t>
  </si>
  <si>
    <t>T04749</t>
  </si>
  <si>
    <t>T04750</t>
  </si>
  <si>
    <t>T04751</t>
  </si>
  <si>
    <t>T04752</t>
  </si>
  <si>
    <t>T04753</t>
  </si>
  <si>
    <t>T04754</t>
  </si>
  <si>
    <t>T04755</t>
  </si>
  <si>
    <t>T04756</t>
  </si>
  <si>
    <t>T04757</t>
  </si>
  <si>
    <t>T04758</t>
  </si>
  <si>
    <t>T04759</t>
  </si>
  <si>
    <t>T04760</t>
  </si>
  <si>
    <t>T04761</t>
  </si>
  <si>
    <t>T04762</t>
  </si>
  <si>
    <t>T04763</t>
  </si>
  <si>
    <t>T04764</t>
  </si>
  <si>
    <t>T04765</t>
  </si>
  <si>
    <t>T04766</t>
  </si>
  <si>
    <t>T04767</t>
  </si>
  <si>
    <t>T04768</t>
  </si>
  <si>
    <t>T04769</t>
  </si>
  <si>
    <t>T04770</t>
  </si>
  <si>
    <t>T04771</t>
  </si>
  <si>
    <t>T04772</t>
  </si>
  <si>
    <t>T04773</t>
  </si>
  <si>
    <t>T04774</t>
  </si>
  <si>
    <t>T04775</t>
  </si>
  <si>
    <t>T04776</t>
  </si>
  <si>
    <t>T04777</t>
  </si>
  <si>
    <t>T04778</t>
  </si>
  <si>
    <t>T04779</t>
  </si>
  <si>
    <t>T04780</t>
  </si>
  <si>
    <t>T04781</t>
  </si>
  <si>
    <t>T04782</t>
  </si>
  <si>
    <t>T04783</t>
  </si>
  <si>
    <t>T04784</t>
  </si>
  <si>
    <t>T04785</t>
  </si>
  <si>
    <t>T04786</t>
  </si>
  <si>
    <t>T04787</t>
  </si>
  <si>
    <t>T04788</t>
  </si>
  <si>
    <t>T04789</t>
  </si>
  <si>
    <t>T04790</t>
  </si>
  <si>
    <t>T04791</t>
  </si>
  <si>
    <t>T04792</t>
  </si>
  <si>
    <t>T04793</t>
  </si>
  <si>
    <t>T04794</t>
  </si>
  <si>
    <t>T04795</t>
  </si>
  <si>
    <t>T04796</t>
  </si>
  <si>
    <t>T04797</t>
  </si>
  <si>
    <t>T04798</t>
  </si>
  <si>
    <t>T04799</t>
  </si>
  <si>
    <t>T04800</t>
  </si>
  <si>
    <t>T04801</t>
  </si>
  <si>
    <t>T04802</t>
  </si>
  <si>
    <t>T04803</t>
  </si>
  <si>
    <t>T04804</t>
  </si>
  <si>
    <t>T04805</t>
  </si>
  <si>
    <t>T04806</t>
  </si>
  <si>
    <t>T04807</t>
  </si>
  <si>
    <t>T04808</t>
  </si>
  <si>
    <t>T04809</t>
  </si>
  <si>
    <t>T04810</t>
  </si>
  <si>
    <t>T04811</t>
  </si>
  <si>
    <t>T04812</t>
  </si>
  <si>
    <t>T04813</t>
  </si>
  <si>
    <t>T04814</t>
  </si>
  <si>
    <t>T04815</t>
  </si>
  <si>
    <t>T04816</t>
  </si>
  <si>
    <t>T04817</t>
  </si>
  <si>
    <t>T04818</t>
  </si>
  <si>
    <t>T04819</t>
  </si>
  <si>
    <t>T04820</t>
  </si>
  <si>
    <t>T04821</t>
  </si>
  <si>
    <t>T04822</t>
  </si>
  <si>
    <t>T04823</t>
  </si>
  <si>
    <t>T04824</t>
  </si>
  <si>
    <t>T04825</t>
  </si>
  <si>
    <t>T04826</t>
  </si>
  <si>
    <t>T04827</t>
  </si>
  <si>
    <t>T04828</t>
  </si>
  <si>
    <t>T04829</t>
  </si>
  <si>
    <t>T04830</t>
  </si>
  <si>
    <t>T04831</t>
  </si>
  <si>
    <t>T04832</t>
  </si>
  <si>
    <t>T04833</t>
  </si>
  <si>
    <t>T04834</t>
  </si>
  <si>
    <t>T04835</t>
  </si>
  <si>
    <t>T04836</t>
  </si>
  <si>
    <t>T04837</t>
  </si>
  <si>
    <t>T04838</t>
  </si>
  <si>
    <t>T04839</t>
  </si>
  <si>
    <t>T04840</t>
  </si>
  <si>
    <t>T04841</t>
  </si>
  <si>
    <t>T04842</t>
  </si>
  <si>
    <t>T04843</t>
  </si>
  <si>
    <t>T04844</t>
  </si>
  <si>
    <t>T04845</t>
  </si>
  <si>
    <t>T04846</t>
  </si>
  <si>
    <t>T04847</t>
  </si>
  <si>
    <t>T04848</t>
  </si>
  <si>
    <t>T04849</t>
  </si>
  <si>
    <t>T04850</t>
  </si>
  <si>
    <t>T04851</t>
  </si>
  <si>
    <t>T04852</t>
  </si>
  <si>
    <t>T04853</t>
  </si>
  <si>
    <t>T04854</t>
  </si>
  <si>
    <t>T04855</t>
  </si>
  <si>
    <t>T04856</t>
  </si>
  <si>
    <t>T04857</t>
  </si>
  <si>
    <t>T04858</t>
  </si>
  <si>
    <t>T04859</t>
  </si>
  <si>
    <t>T04860</t>
  </si>
  <si>
    <t>T04861</t>
  </si>
  <si>
    <t>T04862</t>
  </si>
  <si>
    <t>T04863</t>
  </si>
  <si>
    <t>T04864</t>
  </si>
  <si>
    <t>T04865</t>
  </si>
  <si>
    <t>T04866</t>
  </si>
  <si>
    <t>T04867</t>
  </si>
  <si>
    <t>T04868</t>
  </si>
  <si>
    <t>T04869</t>
  </si>
  <si>
    <t>T04870</t>
  </si>
  <si>
    <t>T04871</t>
  </si>
  <si>
    <t>T04872</t>
  </si>
  <si>
    <t>T04873</t>
  </si>
  <si>
    <t>T04874</t>
  </si>
  <si>
    <t>T04875</t>
  </si>
  <si>
    <t>T04876</t>
  </si>
  <si>
    <t>T04877</t>
  </si>
  <si>
    <t>T04878</t>
  </si>
  <si>
    <t>T04879</t>
  </si>
  <si>
    <t>T04880</t>
  </si>
  <si>
    <t>T04881</t>
  </si>
  <si>
    <t>T04882</t>
  </si>
  <si>
    <t>T04883</t>
  </si>
  <si>
    <t>T04884</t>
  </si>
  <si>
    <t>T04885</t>
  </si>
  <si>
    <t>T04886</t>
  </si>
  <si>
    <t>T04887</t>
  </si>
  <si>
    <t>T04888</t>
  </si>
  <si>
    <t>T04889</t>
  </si>
  <si>
    <t>T04890</t>
  </si>
  <si>
    <t>T04891</t>
  </si>
  <si>
    <t>T04892</t>
  </si>
  <si>
    <t>T04893</t>
  </si>
  <si>
    <t>T04894</t>
  </si>
  <si>
    <t>T04895</t>
  </si>
  <si>
    <t>T04896</t>
  </si>
  <si>
    <t>T04897</t>
  </si>
  <si>
    <t>T04898</t>
  </si>
  <si>
    <t>T04899</t>
  </si>
  <si>
    <t>T04900</t>
  </si>
  <si>
    <t>T04901</t>
  </si>
  <si>
    <t>T04902</t>
  </si>
  <si>
    <t>T04903</t>
  </si>
  <si>
    <t>T04904</t>
  </si>
  <si>
    <t>T04905</t>
  </si>
  <si>
    <t>T04906</t>
  </si>
  <si>
    <t>T04907</t>
  </si>
  <si>
    <t>T04908</t>
  </si>
  <si>
    <t>T04909</t>
  </si>
  <si>
    <t>T04910</t>
  </si>
  <si>
    <t>T04911</t>
  </si>
  <si>
    <t>T04912</t>
  </si>
  <si>
    <t>T04913</t>
  </si>
  <si>
    <t>T04914</t>
  </si>
  <si>
    <t>T04915</t>
  </si>
  <si>
    <t>T04916</t>
  </si>
  <si>
    <t>T04917</t>
  </si>
  <si>
    <t>T04918</t>
  </si>
  <si>
    <t>T04919</t>
  </si>
  <si>
    <t>T04920</t>
  </si>
  <si>
    <t>T04921</t>
  </si>
  <si>
    <t>T04922</t>
  </si>
  <si>
    <t>T04923</t>
  </si>
  <si>
    <t>T04924</t>
  </si>
  <si>
    <t>T04925</t>
  </si>
  <si>
    <t>T04926</t>
  </si>
  <si>
    <t>T04927</t>
  </si>
  <si>
    <t>T04928</t>
  </si>
  <si>
    <t>T04929</t>
  </si>
  <si>
    <t>T04930</t>
  </si>
  <si>
    <t>T04931</t>
  </si>
  <si>
    <t>T04932</t>
  </si>
  <si>
    <t>T04933</t>
  </si>
  <si>
    <t>T04934</t>
  </si>
  <si>
    <t>T04935</t>
  </si>
  <si>
    <t>T04936</t>
  </si>
  <si>
    <t>T04937</t>
  </si>
  <si>
    <t>T04938</t>
  </si>
  <si>
    <t>T04939</t>
  </si>
  <si>
    <t>T04940</t>
  </si>
  <si>
    <t>T04941</t>
  </si>
  <si>
    <t>T04942</t>
  </si>
  <si>
    <t>T04943</t>
  </si>
  <si>
    <t>T04944</t>
  </si>
  <si>
    <t>T04945</t>
  </si>
  <si>
    <t>T04946</t>
  </si>
  <si>
    <t>T04947</t>
  </si>
  <si>
    <t>T04948</t>
  </si>
  <si>
    <t>T04949</t>
  </si>
  <si>
    <t>T04950</t>
  </si>
  <si>
    <t>T04951</t>
  </si>
  <si>
    <t>T04952</t>
  </si>
  <si>
    <t>T04953</t>
  </si>
  <si>
    <t>T04954</t>
  </si>
  <si>
    <t>T04955</t>
  </si>
  <si>
    <t>T04956</t>
  </si>
  <si>
    <t>T04957</t>
  </si>
  <si>
    <t>T04958</t>
  </si>
  <si>
    <t>T04959</t>
  </si>
  <si>
    <t>T04960</t>
  </si>
  <si>
    <t>T04961</t>
  </si>
  <si>
    <t>T04962</t>
  </si>
  <si>
    <t>T04963</t>
  </si>
  <si>
    <t>T04964</t>
  </si>
  <si>
    <t>T04965</t>
  </si>
  <si>
    <t>T04966</t>
  </si>
  <si>
    <t>T04967</t>
  </si>
  <si>
    <t>T04968</t>
  </si>
  <si>
    <t>T04969</t>
  </si>
  <si>
    <t>T04970</t>
  </si>
  <si>
    <t>T04971</t>
  </si>
  <si>
    <t>T04972</t>
  </si>
  <si>
    <t>T04973</t>
  </si>
  <si>
    <t>T04974</t>
  </si>
  <si>
    <t>T04975</t>
  </si>
  <si>
    <t>T04976</t>
  </si>
  <si>
    <t>T04977</t>
  </si>
  <si>
    <t>T04978</t>
  </si>
  <si>
    <t>T04979</t>
  </si>
  <si>
    <t>T04980</t>
  </si>
  <si>
    <t>T04981</t>
  </si>
  <si>
    <t>T04982</t>
  </si>
  <si>
    <t>T04983</t>
  </si>
  <si>
    <t>T04984</t>
  </si>
  <si>
    <t>T04985</t>
  </si>
  <si>
    <t>T04986</t>
  </si>
  <si>
    <t>T04987</t>
  </si>
  <si>
    <t>T04988</t>
  </si>
  <si>
    <t>T04989</t>
  </si>
  <si>
    <t>T04990</t>
  </si>
  <si>
    <t>T04991</t>
  </si>
  <si>
    <t>T04992</t>
  </si>
  <si>
    <t>T04993</t>
  </si>
  <si>
    <t>T04994</t>
  </si>
  <si>
    <t>T04995</t>
  </si>
  <si>
    <t>T04996</t>
  </si>
  <si>
    <t>T04997</t>
  </si>
  <si>
    <t>T04998</t>
  </si>
  <si>
    <t>T04999</t>
  </si>
  <si>
    <t>T05000</t>
  </si>
  <si>
    <t>Customer Name</t>
  </si>
  <si>
    <t>Product name</t>
  </si>
  <si>
    <t>StoreLocation</t>
  </si>
  <si>
    <t>Unit Price</t>
  </si>
  <si>
    <t>Total Sales</t>
  </si>
  <si>
    <t>Row Labels</t>
  </si>
  <si>
    <t>Grand Total</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</si>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</sst>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8" fontId="1" fillId="0" borderId="2" xfId="0" applyNumberFormat="1" applyFont="1" applyFill="1" applyBorder="1" applyAlignment="1">
      <alignment horizontal="center" vertical="top"/>
    </xf>
    <xf numFmtId="8"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Total Revenue by Category</a:t>
            </a:r>
            <a:endParaRPr lang="en-US"/>
          </a:p>
        </c:rich>
      </c:tx>
      <c:layout>
        <c:manualLayout>
          <c:xMode val="edge"/>
          <c:yMode val="edge"/>
          <c:x val="0.36120122484689415"/>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Electronics</c:v>
                </c:pt>
                <c:pt idx="1">
                  <c:v>Fashion</c:v>
                </c:pt>
                <c:pt idx="2">
                  <c:v>Groceries</c:v>
                </c:pt>
              </c:strCache>
            </c:strRef>
          </c:cat>
          <c:val>
            <c:numRef>
              <c:f>Sheet1!$B$4:$B$7</c:f>
              <c:numCache>
                <c:formatCode>0</c:formatCode>
                <c:ptCount val="3"/>
                <c:pt idx="0">
                  <c:v>6316917.3149999958</c:v>
                </c:pt>
                <c:pt idx="1">
                  <c:v>6232279.7454999974</c:v>
                </c:pt>
                <c:pt idx="2">
                  <c:v>1752706.0870000005</c:v>
                </c:pt>
              </c:numCache>
            </c:numRef>
          </c:val>
          <c:extLst>
            <c:ext xmlns:c16="http://schemas.microsoft.com/office/drawing/2014/chart" uri="{C3380CC4-5D6E-409C-BE32-E72D297353CC}">
              <c16:uniqueId val="{00000000-A73D-42E9-82AE-CC084720B2F4}"/>
            </c:ext>
          </c:extLst>
        </c:ser>
        <c:dLbls>
          <c:dLblPos val="outEnd"/>
          <c:showLegendKey val="0"/>
          <c:showVal val="1"/>
          <c:showCatName val="0"/>
          <c:showSerName val="0"/>
          <c:showPercent val="0"/>
          <c:showBubbleSize val="0"/>
        </c:dLbls>
        <c:gapWidth val="219"/>
        <c:overlap val="-27"/>
        <c:axId val="321461424"/>
        <c:axId val="321456624"/>
      </c:barChart>
      <c:catAx>
        <c:axId val="32146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56624"/>
        <c:crosses val="autoZero"/>
        <c:auto val="1"/>
        <c:lblAlgn val="ctr"/>
        <c:lblOffset val="100"/>
        <c:noMultiLvlLbl val="0"/>
      </c:catAx>
      <c:valAx>
        <c:axId val="3214566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Store</a:t>
            </a:r>
            <a:endParaRPr lang="en-US"/>
          </a:p>
        </c:rich>
      </c:tx>
      <c:layout>
        <c:manualLayout>
          <c:xMode val="edge"/>
          <c:yMode val="edge"/>
          <c:x val="0.39095822397200353"/>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MegaMart New Michele</c:v>
                </c:pt>
                <c:pt idx="1">
                  <c:v>MegaMart Brianahaven</c:v>
                </c:pt>
                <c:pt idx="2">
                  <c:v>MegaMart Jimenezborough</c:v>
                </c:pt>
                <c:pt idx="3">
                  <c:v>MegaMart Johnmouth</c:v>
                </c:pt>
                <c:pt idx="4">
                  <c:v>MegaMart Peckmouth</c:v>
                </c:pt>
              </c:strCache>
            </c:strRef>
          </c:cat>
          <c:val>
            <c:numRef>
              <c:f>Sheet2!$B$4:$B$9</c:f>
              <c:numCache>
                <c:formatCode>0</c:formatCode>
                <c:ptCount val="5"/>
                <c:pt idx="0">
                  <c:v>2920406.930000003</c:v>
                </c:pt>
                <c:pt idx="1">
                  <c:v>2900701.0779999983</c:v>
                </c:pt>
                <c:pt idx="2">
                  <c:v>2880114.7260000007</c:v>
                </c:pt>
                <c:pt idx="3">
                  <c:v>2847047.8029999961</c:v>
                </c:pt>
                <c:pt idx="4">
                  <c:v>2753632.6105000065</c:v>
                </c:pt>
              </c:numCache>
            </c:numRef>
          </c:val>
          <c:extLst>
            <c:ext xmlns:c16="http://schemas.microsoft.com/office/drawing/2014/chart" uri="{C3380CC4-5D6E-409C-BE32-E72D297353CC}">
              <c16:uniqueId val="{00000000-8A23-40D1-89CF-A596AAC2BEE5}"/>
            </c:ext>
          </c:extLst>
        </c:ser>
        <c:dLbls>
          <c:dLblPos val="outEnd"/>
          <c:showLegendKey val="0"/>
          <c:showVal val="1"/>
          <c:showCatName val="0"/>
          <c:showSerName val="0"/>
          <c:showPercent val="0"/>
          <c:showBubbleSize val="0"/>
        </c:dLbls>
        <c:gapWidth val="182"/>
        <c:axId val="321460464"/>
        <c:axId val="321460944"/>
      </c:barChart>
      <c:catAx>
        <c:axId val="32146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60944"/>
        <c:crosses val="autoZero"/>
        <c:auto val="1"/>
        <c:lblAlgn val="ctr"/>
        <c:lblOffset val="100"/>
        <c:noMultiLvlLbl val="0"/>
      </c:catAx>
      <c:valAx>
        <c:axId val="3214609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6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[retail_sales_dataset.xlsx]Sheet3!PivotTable3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Revenue by Payment Method</a:t>
            </a:r>
            <a:endParaRPr lang="en-US"/>
          </a:p>
        </c:rich>
      </c:tx>
      <c:layout>
        <c:manualLayout>
          <c:xMode val="edge"/>
          <c:yMode val="edge"/>
          <c:x val="0.31835411198600178"/>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Cash</c:v>
                </c:pt>
                <c:pt idx="1">
                  <c:v>Credit Card</c:v>
                </c:pt>
                <c:pt idx="2">
                  <c:v>Mobile Money</c:v>
                </c:pt>
                <c:pt idx="3">
                  <c:v>Bank Transfer</c:v>
                </c:pt>
              </c:strCache>
            </c:strRef>
          </c:cat>
          <c:val>
            <c:numRef>
              <c:f>Sheet3!$B$4:$B$8</c:f>
              <c:numCache>
                <c:formatCode>0</c:formatCode>
                <c:ptCount val="4"/>
                <c:pt idx="0">
                  <c:v>3676072.8859999995</c:v>
                </c:pt>
                <c:pt idx="1">
                  <c:v>3673746.7845000061</c:v>
                </c:pt>
                <c:pt idx="2">
                  <c:v>3558433.4814999946</c:v>
                </c:pt>
                <c:pt idx="3">
                  <c:v>3393649.9955000016</c:v>
                </c:pt>
              </c:numCache>
            </c:numRef>
          </c:val>
          <c:extLst>
            <c:ext xmlns:c16="http://schemas.microsoft.com/office/drawing/2014/chart" uri="{C3380CC4-5D6E-409C-BE32-E72D297353CC}">
              <c16:uniqueId val="{00000000-0FF7-4F82-8BE5-8D82FD7B39C0}"/>
            </c:ext>
          </c:extLst>
        </c:ser>
        <c:dLbls>
          <c:dLblPos val="outEnd"/>
          <c:showLegendKey val="0"/>
          <c:showVal val="1"/>
          <c:showCatName val="0"/>
          <c:showSerName val="0"/>
          <c:showPercent val="0"/>
          <c:showBubbleSize val="0"/>
        </c:dLbls>
        <c:gapWidth val="219"/>
        <c:overlap val="-27"/>
        <c:axId val="321448944"/>
        <c:axId val="321465744"/>
      </c:barChart>
      <c:catAx>
        <c:axId val="32144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65744"/>
        <c:crosses val="autoZero"/>
        <c:auto val="1"/>
        <c:lblAlgn val="ctr"/>
        <c:lblOffset val="100"/>
        <c:noMultiLvlLbl val="0"/>
      </c:catAx>
      <c:valAx>
        <c:axId val="3214657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4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[retail_sales_dataset.xlsx]Sheet4!PivotTable4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Top 10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2"/>
            </a:solidFill>
            <a:ln>
              <a:noFill/>
            </a:ln>
            <a:effectLst/>
          </c:spPr>
          <c:invertIfNegative val="0"/>
          <c:cat>
            <c:strRef>
              <c:f>Sheet4!$A$4:$A$14</c:f>
              <c:strCache>
                <c:ptCount val="10"/>
                <c:pt idx="0">
                  <c:v>Four Accessories</c:v>
                </c:pt>
                <c:pt idx="1">
                  <c:v>Present Television</c:v>
                </c:pt>
                <c:pt idx="2">
                  <c:v>Road Clothing</c:v>
                </c:pt>
                <c:pt idx="3">
                  <c:v>Like Camera</c:v>
                </c:pt>
                <c:pt idx="4">
                  <c:v>Piece Headphones</c:v>
                </c:pt>
                <c:pt idx="5">
                  <c:v>Beat Accessories</c:v>
                </c:pt>
                <c:pt idx="6">
                  <c:v>Traditional Laptop</c:v>
                </c:pt>
                <c:pt idx="7">
                  <c:v>Set Dairy</c:v>
                </c:pt>
                <c:pt idx="8">
                  <c:v>And Footwear</c:v>
                </c:pt>
                <c:pt idx="9">
                  <c:v>Book Television</c:v>
                </c:pt>
              </c:strCache>
            </c:strRef>
          </c:cat>
          <c:val>
            <c:numRef>
              <c:f>Sheet4!$B$4:$B$14</c:f>
              <c:numCache>
                <c:formatCode>0</c:formatCode>
                <c:ptCount val="10"/>
                <c:pt idx="0">
                  <c:v>471228.33399999986</c:v>
                </c:pt>
                <c:pt idx="1">
                  <c:v>477913.4229999996</c:v>
                </c:pt>
                <c:pt idx="2">
                  <c:v>479596.8974999999</c:v>
                </c:pt>
                <c:pt idx="3">
                  <c:v>482608.51150000002</c:v>
                </c:pt>
                <c:pt idx="4">
                  <c:v>497149.728</c:v>
                </c:pt>
                <c:pt idx="5">
                  <c:v>498224.74149999977</c:v>
                </c:pt>
                <c:pt idx="6">
                  <c:v>521031.00599999988</c:v>
                </c:pt>
                <c:pt idx="7">
                  <c:v>573777.07799999986</c:v>
                </c:pt>
                <c:pt idx="8">
                  <c:v>585613.02249999973</c:v>
                </c:pt>
                <c:pt idx="9">
                  <c:v>605028.60250000004</c:v>
                </c:pt>
              </c:numCache>
            </c:numRef>
          </c:val>
          <c:extLst>
            <c:ext xmlns:c16="http://schemas.microsoft.com/office/drawing/2014/chart" uri="{C3380CC4-5D6E-409C-BE32-E72D297353CC}">
              <c16:uniqueId val="{00000000-EF91-4955-8B95-8B5F762B0A6C}"/>
            </c:ext>
          </c:extLst>
        </c:ser>
        <c:dLbls>
          <c:dLblPos val="outEnd"/>
          <c:showLegendKey val="0"/>
          <c:showVal val="0"/>
          <c:showCatName val="0"/>
          <c:showSerName val="0"/>
          <c:showPercent val="0"/>
          <c:showBubbleSize val="0"/>
        </c:dLbls>
        <c:gapWidth val="182"/>
        <c:axId val="1627618032"/>
        <c:axId val="1627573872"/>
      </c:barChart>
      <c:catAx>
        <c:axId val="162761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73872"/>
        <c:crosses val="autoZero"/>
        <c:auto val="1"/>
        <c:lblAlgn val="ctr"/>
        <c:lblOffset val="100"/>
        <c:noMultiLvlLbl val="0"/>
      </c:catAx>
      <c:valAx>
        <c:axId val="16275738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618032"/>
        <c:crosses val="autoZero"/>
        <c:crossBetween val="between"/>
      </c:valAx>
      <c:spPr>
        <a:noFill/>
        <a:ln w="9525">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Total Revenue by Category</a:t>
            </a:r>
            <a:endParaRPr lang="en-US"/>
          </a:p>
        </c:rich>
      </c:tx>
      <c:layout>
        <c:manualLayout>
          <c:xMode val="edge"/>
          <c:yMode val="edge"/>
          <c:x val="0.36120122484689415"/>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Electronics</c:v>
                </c:pt>
                <c:pt idx="1">
                  <c:v>Fashion</c:v>
                </c:pt>
                <c:pt idx="2">
                  <c:v>Groceries</c:v>
                </c:pt>
              </c:strCache>
            </c:strRef>
          </c:cat>
          <c:val>
            <c:numRef>
              <c:f>Sheet1!$B$4:$B$7</c:f>
              <c:numCache>
                <c:formatCode>0</c:formatCode>
                <c:ptCount val="3"/>
                <c:pt idx="0">
                  <c:v>6316917.3149999958</c:v>
                </c:pt>
                <c:pt idx="1">
                  <c:v>6232279.7454999974</c:v>
                </c:pt>
                <c:pt idx="2">
                  <c:v>1752706.0870000005</c:v>
                </c:pt>
              </c:numCache>
            </c:numRef>
          </c:val>
          <c:extLst>
            <c:ext xmlns:c16="http://schemas.microsoft.com/office/drawing/2014/chart" uri="{C3380CC4-5D6E-409C-BE32-E72D297353CC}">
              <c16:uniqueId val="{00000000-1803-4F3B-847B-9059DEB5116A}"/>
            </c:ext>
          </c:extLst>
        </c:ser>
        <c:dLbls>
          <c:dLblPos val="outEnd"/>
          <c:showLegendKey val="0"/>
          <c:showVal val="1"/>
          <c:showCatName val="0"/>
          <c:showSerName val="0"/>
          <c:showPercent val="0"/>
          <c:showBubbleSize val="0"/>
        </c:dLbls>
        <c:gapWidth val="219"/>
        <c:overlap val="-27"/>
        <c:axId val="321461424"/>
        <c:axId val="321456624"/>
      </c:barChart>
      <c:catAx>
        <c:axId val="32146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56624"/>
        <c:crosses val="autoZero"/>
        <c:auto val="1"/>
        <c:lblAlgn val="ctr"/>
        <c:lblOffset val="100"/>
        <c:noMultiLvlLbl val="0"/>
      </c:catAx>
      <c:valAx>
        <c:axId val="3214566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Store</a:t>
            </a:r>
            <a:endParaRPr lang="en-US"/>
          </a:p>
        </c:rich>
      </c:tx>
      <c:layout>
        <c:manualLayout>
          <c:xMode val="edge"/>
          <c:yMode val="edge"/>
          <c:x val="0.39095825762164343"/>
          <c:y val="0.101313946186174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MegaMart New Michele</c:v>
                </c:pt>
                <c:pt idx="1">
                  <c:v>MegaMart Brianahaven</c:v>
                </c:pt>
                <c:pt idx="2">
                  <c:v>MegaMart Jimenezborough</c:v>
                </c:pt>
                <c:pt idx="3">
                  <c:v>MegaMart Johnmouth</c:v>
                </c:pt>
                <c:pt idx="4">
                  <c:v>MegaMart Peckmouth</c:v>
                </c:pt>
              </c:strCache>
            </c:strRef>
          </c:cat>
          <c:val>
            <c:numRef>
              <c:f>Sheet2!$B$4:$B$9</c:f>
              <c:numCache>
                <c:formatCode>0</c:formatCode>
                <c:ptCount val="5"/>
                <c:pt idx="0">
                  <c:v>2920406.930000003</c:v>
                </c:pt>
                <c:pt idx="1">
                  <c:v>2900701.0779999983</c:v>
                </c:pt>
                <c:pt idx="2">
                  <c:v>2880114.7260000007</c:v>
                </c:pt>
                <c:pt idx="3">
                  <c:v>2847047.8029999961</c:v>
                </c:pt>
                <c:pt idx="4">
                  <c:v>2753632.6105000065</c:v>
                </c:pt>
              </c:numCache>
            </c:numRef>
          </c:val>
          <c:extLst>
            <c:ext xmlns:c16="http://schemas.microsoft.com/office/drawing/2014/chart" uri="{C3380CC4-5D6E-409C-BE32-E72D297353CC}">
              <c16:uniqueId val="{00000000-D81A-480B-8070-D50EE4A537D2}"/>
            </c:ext>
          </c:extLst>
        </c:ser>
        <c:dLbls>
          <c:dLblPos val="outEnd"/>
          <c:showLegendKey val="0"/>
          <c:showVal val="1"/>
          <c:showCatName val="0"/>
          <c:showSerName val="0"/>
          <c:showPercent val="0"/>
          <c:showBubbleSize val="0"/>
        </c:dLbls>
        <c:gapWidth val="182"/>
        <c:axId val="321460464"/>
        <c:axId val="321460944"/>
      </c:barChart>
      <c:catAx>
        <c:axId val="32146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60944"/>
        <c:crosses val="autoZero"/>
        <c:auto val="1"/>
        <c:lblAlgn val="ctr"/>
        <c:lblOffset val="100"/>
        <c:noMultiLvlLbl val="0"/>
      </c:catAx>
      <c:valAx>
        <c:axId val="3214609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6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[retail_sales_dataset.xlsx]Sheet3!PivotTable3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Revenue by Payment Method</a:t>
            </a:r>
            <a:endParaRPr lang="en-US"/>
          </a:p>
        </c:rich>
      </c:tx>
      <c:layout>
        <c:manualLayout>
          <c:xMode val="edge"/>
          <c:yMode val="edge"/>
          <c:x val="0.31835407670815341"/>
          <c:y val="2.9584258006968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Cash</c:v>
                </c:pt>
                <c:pt idx="1">
                  <c:v>Credit Card</c:v>
                </c:pt>
                <c:pt idx="2">
                  <c:v>Mobile Money</c:v>
                </c:pt>
                <c:pt idx="3">
                  <c:v>Bank Transfer</c:v>
                </c:pt>
              </c:strCache>
            </c:strRef>
          </c:cat>
          <c:val>
            <c:numRef>
              <c:f>Sheet3!$B$4:$B$8</c:f>
              <c:numCache>
                <c:formatCode>0</c:formatCode>
                <c:ptCount val="4"/>
                <c:pt idx="0">
                  <c:v>3676072.8859999995</c:v>
                </c:pt>
                <c:pt idx="1">
                  <c:v>3673746.7845000061</c:v>
                </c:pt>
                <c:pt idx="2">
                  <c:v>3558433.4814999946</c:v>
                </c:pt>
                <c:pt idx="3">
                  <c:v>3393649.9955000016</c:v>
                </c:pt>
              </c:numCache>
            </c:numRef>
          </c:val>
          <c:extLst>
            <c:ext xmlns:c16="http://schemas.microsoft.com/office/drawing/2014/chart" uri="{C3380CC4-5D6E-409C-BE32-E72D297353CC}">
              <c16:uniqueId val="{00000000-8B9C-45C8-A40B-8F3FFF32678A}"/>
            </c:ext>
          </c:extLst>
        </c:ser>
        <c:dLbls>
          <c:dLblPos val="outEnd"/>
          <c:showLegendKey val="0"/>
          <c:showVal val="1"/>
          <c:showCatName val="0"/>
          <c:showSerName val="0"/>
          <c:showPercent val="0"/>
          <c:showBubbleSize val="0"/>
        </c:dLbls>
        <c:gapWidth val="219"/>
        <c:overlap val="-27"/>
        <c:axId val="321448944"/>
        <c:axId val="321465744"/>
      </c:barChart>
      <c:catAx>
        <c:axId val="32144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65744"/>
        <c:crosses val="autoZero"/>
        <c:auto val="1"/>
        <c:lblAlgn val="ctr"/>
        <c:lblOffset val="100"/>
        <c:noMultiLvlLbl val="0"/>
      </c:catAx>
      <c:valAx>
        <c:axId val="3214657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4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[retail_sales_dataset.xlsx]Sheet4!PivotTable4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Top 10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Four Accessories</c:v>
                </c:pt>
                <c:pt idx="1">
                  <c:v>Present Television</c:v>
                </c:pt>
                <c:pt idx="2">
                  <c:v>Road Clothing</c:v>
                </c:pt>
                <c:pt idx="3">
                  <c:v>Like Camera</c:v>
                </c:pt>
                <c:pt idx="4">
                  <c:v>Piece Headphones</c:v>
                </c:pt>
                <c:pt idx="5">
                  <c:v>Beat Accessories</c:v>
                </c:pt>
                <c:pt idx="6">
                  <c:v>Traditional Laptop</c:v>
                </c:pt>
                <c:pt idx="7">
                  <c:v>Set Dairy</c:v>
                </c:pt>
                <c:pt idx="8">
                  <c:v>And Footwear</c:v>
                </c:pt>
                <c:pt idx="9">
                  <c:v>Book Television</c:v>
                </c:pt>
              </c:strCache>
            </c:strRef>
          </c:cat>
          <c:val>
            <c:numRef>
              <c:f>Sheet4!$B$4:$B$14</c:f>
              <c:numCache>
                <c:formatCode>0</c:formatCode>
                <c:ptCount val="10"/>
                <c:pt idx="0">
                  <c:v>471228.33399999986</c:v>
                </c:pt>
                <c:pt idx="1">
                  <c:v>477913.4229999996</c:v>
                </c:pt>
                <c:pt idx="2">
                  <c:v>479596.8974999999</c:v>
                </c:pt>
                <c:pt idx="3">
                  <c:v>482608.51150000002</c:v>
                </c:pt>
                <c:pt idx="4">
                  <c:v>497149.728</c:v>
                </c:pt>
                <c:pt idx="5">
                  <c:v>498224.74149999977</c:v>
                </c:pt>
                <c:pt idx="6">
                  <c:v>521031.00599999988</c:v>
                </c:pt>
                <c:pt idx="7">
                  <c:v>573777.07799999986</c:v>
                </c:pt>
                <c:pt idx="8">
                  <c:v>585613.02249999973</c:v>
                </c:pt>
                <c:pt idx="9">
                  <c:v>605028.60250000004</c:v>
                </c:pt>
              </c:numCache>
            </c:numRef>
          </c:val>
          <c:extLst>
            <c:ext xmlns:c16="http://schemas.microsoft.com/office/drawing/2014/chart" uri="{C3380CC4-5D6E-409C-BE32-E72D297353CC}">
              <c16:uniqueId val="{00000000-B664-4FD6-AA25-708DA808D090}"/>
            </c:ext>
          </c:extLst>
        </c:ser>
        <c:dLbls>
          <c:dLblPos val="outEnd"/>
          <c:showLegendKey val="0"/>
          <c:showVal val="1"/>
          <c:showCatName val="0"/>
          <c:showSerName val="0"/>
          <c:showPercent val="0"/>
          <c:showBubbleSize val="0"/>
        </c:dLbls>
        <c:gapWidth val="182"/>
        <c:axId val="1627618032"/>
        <c:axId val="1627573872"/>
      </c:barChart>
      <c:catAx>
        <c:axId val="162761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73872"/>
        <c:crosses val="autoZero"/>
        <c:auto val="1"/>
        <c:lblAlgn val="ctr"/>
        <c:lblOffset val="100"/>
        <c:noMultiLvlLbl val="0"/>
      </c:catAx>
      <c:valAx>
        <c:axId val="16275738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618032"/>
        <c:crosses val="autoZero"/>
        <c:crossBetween val="between"/>
      </c:valAx>
      <c:spPr>
        <a:noFill/>
        <a:ln w="952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266700</xdr:colOff>
      <xdr:row>3</xdr:row>
      <xdr:rowOff>87630</xdr:rowOff>
    </xdr:from>
    <xdr:to>
      <xdr:col>12</xdr:col>
      <xdr:colOff>571500</xdr:colOff>
      <xdr:row>18</xdr:row>
      <xdr:rowOff>87630</xdr:rowOff>
    </xdr:to>
    <xdr:graphicFrame macro="">
      <xdr:nvGraphicFramePr>
        <xdr:cNvPr id="3" name="Chart 2">
          <a:extLst>
            <a:ext uri="{FF2B5EF4-FFF2-40B4-BE49-F238E27FC236}">
              <a16:creationId xmlns:a16="http://schemas.microsoft.com/office/drawing/2014/main" id="{597FAED2-B160-1BD0-DABB-16E78FF5B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3</xdr:row>
      <xdr:rowOff>125730</xdr:rowOff>
    </xdr:from>
    <xdr:to>
      <xdr:col>11</xdr:col>
      <xdr:colOff>541020</xdr:colOff>
      <xdr:row>18</xdr:row>
      <xdr:rowOff>125730</xdr:rowOff>
    </xdr:to>
    <xdr:graphicFrame macro="">
      <xdr:nvGraphicFramePr>
        <xdr:cNvPr id="2" name="Chart 1">
          <a:extLst>
            <a:ext uri="{FF2B5EF4-FFF2-40B4-BE49-F238E27FC236}">
              <a16:creationId xmlns:a16="http://schemas.microsoft.com/office/drawing/2014/main" id="{BC21BCC0-7B83-048A-5F79-4B2E4891C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160020</xdr:colOff>
      <xdr:row>4</xdr:row>
      <xdr:rowOff>3810</xdr:rowOff>
    </xdr:from>
    <xdr:to>
      <xdr:col>12</xdr:col>
      <xdr:colOff>464820</xdr:colOff>
      <xdr:row>19</xdr:row>
      <xdr:rowOff>3810</xdr:rowOff>
    </xdr:to>
    <xdr:graphicFrame macro="">
      <xdr:nvGraphicFramePr>
        <xdr:cNvPr id="2" name="Chart 1">
          <a:extLst>
            <a:ext uri="{FF2B5EF4-FFF2-40B4-BE49-F238E27FC236}">
              <a16:creationId xmlns:a16="http://schemas.microsoft.com/office/drawing/2014/main" id="{9BF56A87-7657-0966-B238-239EFA6FD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579120</xdr:colOff>
      <xdr:row>2</xdr:row>
      <xdr:rowOff>95250</xdr:rowOff>
    </xdr:from>
    <xdr:to>
      <xdr:col>12</xdr:col>
      <xdr:colOff>274320</xdr:colOff>
      <xdr:row>21</xdr:row>
      <xdr:rowOff>175260</xdr:rowOff>
    </xdr:to>
    <xdr:graphicFrame macro="">
      <xdr:nvGraphicFramePr>
        <xdr:cNvPr id="4" name="Chart 3">
          <a:extLst>
            <a:ext uri="{FF2B5EF4-FFF2-40B4-BE49-F238E27FC236}">
              <a16:creationId xmlns:a16="http://schemas.microsoft.com/office/drawing/2014/main" id="{EBB05FFF-AE62-7B0A-0F6C-17EBF384A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98323</xdr:colOff>
      <xdr:row>3</xdr:row>
      <xdr:rowOff>30082</xdr:rowOff>
    </xdr:from>
    <xdr:to>
      <xdr:col>19</xdr:col>
      <xdr:colOff>565355</xdr:colOff>
      <xdr:row>6</xdr:row>
      <xdr:rowOff>147483</xdr:rowOff>
    </xdr:to>
    <xdr:sp macro="" textlink="">
      <xdr:nvSpPr>
        <xdr:cNvPr id="2" name="TextBox 1">
          <a:extLst>
            <a:ext uri="{FF2B5EF4-FFF2-40B4-BE49-F238E27FC236}">
              <a16:creationId xmlns:a16="http://schemas.microsoft.com/office/drawing/2014/main" id="{8407FA19-E2EF-1EBE-B721-C87898841B45}"/>
            </a:ext>
          </a:extLst>
        </xdr:cNvPr>
        <xdr:cNvSpPr txBox="1"/>
      </xdr:nvSpPr>
      <xdr:spPr>
        <a:xfrm>
          <a:off x="6858000" y="583147"/>
          <a:ext cx="5383161" cy="670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5400" b="1"/>
            <a:t>Sales</a:t>
          </a:r>
          <a:r>
            <a:rPr lang="en-CA" sz="5400" b="1" baseline="0"/>
            <a:t> Dashboard</a:t>
          </a:r>
          <a:endParaRPr lang="en-CA" sz="5400" b="1"/>
        </a:p>
      </xdr:txBody>
    </xdr:sp>
    <xdr:clientData/>
  </xdr:twoCellAnchor>
  <xdr:twoCellAnchor>
    <xdr:from>
      <xdr:col>2</xdr:col>
      <xdr:colOff>259080</xdr:colOff>
      <xdr:row>6</xdr:row>
      <xdr:rowOff>137160</xdr:rowOff>
    </xdr:from>
    <xdr:to>
      <xdr:col>8</xdr:col>
      <xdr:colOff>137160</xdr:colOff>
      <xdr:row>19</xdr:row>
      <xdr:rowOff>121920</xdr:rowOff>
    </xdr:to>
    <xdr:graphicFrame macro="">
      <xdr:nvGraphicFramePr>
        <xdr:cNvPr id="3" name="Chart 2">
          <a:extLst>
            <a:ext uri="{FF2B5EF4-FFF2-40B4-BE49-F238E27FC236}">
              <a16:creationId xmlns:a16="http://schemas.microsoft.com/office/drawing/2014/main" id="{C3622E0B-F912-4C86-BFC1-C1089160A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174364</xdr:colOff>
      <xdr:row>6</xdr:row>
      <xdr:rowOff>130524</xdr:rowOff>
    </xdr:from>
    <xdr:to>
      <xdr:col>29</xdr:col>
      <xdr:colOff>702</xdr:colOff>
      <xdr:row>19</xdr:row>
      <xdr:rowOff>83329</xdr:rowOff>
    </xdr:to>
    <xdr:graphicFrame macro="">
      <xdr:nvGraphicFramePr>
        <xdr:cNvPr id="4" name="Chart 3">
          <a:extLst>
            <a:ext uri="{FF2B5EF4-FFF2-40B4-BE49-F238E27FC236}">
              <a16:creationId xmlns:a16="http://schemas.microsoft.com/office/drawing/2014/main" id="{74D10983-FDB5-43A6-9642-346C2BE15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21</xdr:row>
      <xdr:rowOff>76200</xdr:rowOff>
    </xdr:from>
    <xdr:to>
      <xdr:col>8</xdr:col>
      <xdr:colOff>121920</xdr:colOff>
      <xdr:row>44</xdr:row>
      <xdr:rowOff>97972</xdr:rowOff>
    </xdr:to>
    <xdr:graphicFrame macro="">
      <xdr:nvGraphicFramePr>
        <xdr:cNvPr id="5" name="Chart 4">
          <a:extLst>
            <a:ext uri="{FF2B5EF4-FFF2-40B4-BE49-F238E27FC236}">
              <a16:creationId xmlns:a16="http://schemas.microsoft.com/office/drawing/2014/main" id="{5F855934-7C0F-46F0-B633-C56ED6E6B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463111</xdr:colOff>
      <xdr:row>21</xdr:row>
      <xdr:rowOff>47422</xdr:rowOff>
    </xdr:from>
    <xdr:to>
      <xdr:col>29</xdr:col>
      <xdr:colOff>258098</xdr:colOff>
      <xdr:row>44</xdr:row>
      <xdr:rowOff>110613</xdr:rowOff>
    </xdr:to>
    <xdr:graphicFrame macro="">
      <xdr:nvGraphicFramePr>
        <xdr:cNvPr id="6" name="Chart 5">
          <a:extLst>
            <a:ext uri="{FF2B5EF4-FFF2-40B4-BE49-F238E27FC236}">
              <a16:creationId xmlns:a16="http://schemas.microsoft.com/office/drawing/2014/main" id="{5B7F0462-FB67-4C71-84CB-AD2D461BC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522292</xdr:colOff>
      <xdr:row>12</xdr:row>
      <xdr:rowOff>84873</xdr:rowOff>
    </xdr:from>
    <xdr:to>
      <xdr:col>13</xdr:col>
      <xdr:colOff>522292</xdr:colOff>
      <xdr:row>18</xdr:row>
      <xdr:rowOff>139688</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F17BCE7E-A5A7-33F6-B6DF-0CE9B72619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67453" y="2297131"/>
              <a:ext cx="1843549" cy="116094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115772</xdr:colOff>
      <xdr:row>10</xdr:row>
      <xdr:rowOff>161930</xdr:rowOff>
    </xdr:from>
    <xdr:to>
      <xdr:col>20</xdr:col>
      <xdr:colOff>115771</xdr:colOff>
      <xdr:row>19</xdr:row>
      <xdr:rowOff>154309</xdr:rowOff>
    </xdr:to>
    <mc:AlternateContent xmlns:mc="http://schemas.openxmlformats.org/markup-compatibility/2006">
      <mc:Choice xmlns:a14="http://schemas.microsoft.com/office/drawing/2010/main" Requires="a14">
        <xdr:graphicFrame macro="">
          <xdr:nvGraphicFramePr>
            <xdr:cNvPr id="8" name="StoreLocation">
              <a:extLst>
                <a:ext uri="{FF2B5EF4-FFF2-40B4-BE49-F238E27FC236}">
                  <a16:creationId xmlns:a16="http://schemas.microsoft.com/office/drawing/2014/main" id="{F514B11C-F5F5-34FD-4FA8-984C98BFDFEC}"/>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dr:sp macro="" textlink="">
          <xdr:nvSpPr>
            <xdr:cNvPr id="0" name=""/>
            <xdr:cNvSpPr>
              <a:spLocks noTextEdit="1"/>
            </xdr:cNvSpPr>
          </xdr:nvSpPr>
          <xdr:spPr>
            <a:xfrm>
              <a:off x="10562546" y="2005478"/>
              <a:ext cx="1843548" cy="165157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442451</xdr:colOff>
      <xdr:row>24</xdr:row>
      <xdr:rowOff>172575</xdr:rowOff>
    </xdr:from>
    <xdr:to>
      <xdr:col>17</xdr:col>
      <xdr:colOff>430161</xdr:colOff>
      <xdr:row>32</xdr:row>
      <xdr:rowOff>122903</xdr:rowOff>
    </xdr:to>
    <xdr:sp macro="" textlink="">
      <xdr:nvSpPr>
        <xdr:cNvPr id="12" name="TextBox 11">
          <a:extLst>
            <a:ext uri="{FF2B5EF4-FFF2-40B4-BE49-F238E27FC236}">
              <a16:creationId xmlns:a16="http://schemas.microsoft.com/office/drawing/2014/main" id="{A10619BE-7BC2-BFE7-9F85-5AEBFF1D2947}"/>
            </a:ext>
          </a:extLst>
        </xdr:cNvPr>
        <xdr:cNvSpPr txBox="1"/>
      </xdr:nvSpPr>
      <xdr:spPr>
        <a:xfrm>
          <a:off x="7816645" y="4597091"/>
          <a:ext cx="3060290" cy="14251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2000"/>
            <a:t>Total Revenue: </a:t>
          </a:r>
          <a:r>
            <a:rPr lang="en-CA" sz="2000" b="1"/>
            <a:t>14.3M</a:t>
          </a:r>
        </a:p>
        <a:p>
          <a:pPr algn="ctr"/>
          <a:r>
            <a:rPr lang="en-CA" sz="2000"/>
            <a:t>Avg Order Value: </a:t>
          </a:r>
          <a:r>
            <a:rPr lang="en-CA" sz="2000" b="1"/>
            <a:t>~2800</a:t>
          </a:r>
        </a:p>
        <a:p>
          <a:pPr algn="ctr"/>
          <a:r>
            <a:rPr lang="en-CA" sz="2000"/>
            <a:t>Top Category: </a:t>
          </a:r>
          <a:r>
            <a:rPr lang="en-CA" sz="2000" b="1"/>
            <a:t>Fashion</a:t>
          </a:r>
        </a:p>
        <a:p>
          <a:pPr algn="ctr"/>
          <a:r>
            <a:rPr lang="en-CA" sz="2000"/>
            <a:t>Total Transactions: </a:t>
          </a:r>
          <a:r>
            <a:rPr lang="en-CA" sz="2000" b="1"/>
            <a:t>5000+</a:t>
          </a:r>
        </a:p>
      </xdr:txBody>
    </xdr:sp>
    <xdr:clientData/>
  </xdr:twoCellAnchor>
  <xdr:oneCellAnchor>
    <xdr:from>
      <xdr:col>14</xdr:col>
      <xdr:colOff>385823</xdr:colOff>
      <xdr:row>19</xdr:row>
      <xdr:rowOff>77164</xdr:rowOff>
    </xdr:from>
    <xdr:ext cx="184731" cy="264560"/>
    <xdr:sp macro="" textlink="">
      <xdr:nvSpPr>
        <xdr:cNvPr id="13" name="TextBox 12">
          <a:extLst>
            <a:ext uri="{FF2B5EF4-FFF2-40B4-BE49-F238E27FC236}">
              <a16:creationId xmlns:a16="http://schemas.microsoft.com/office/drawing/2014/main" id="{15C7757B-314E-66A3-6385-812478440404}"/>
            </a:ext>
          </a:extLst>
        </xdr:cNvPr>
        <xdr:cNvSpPr txBox="1"/>
      </xdr:nvSpPr>
      <xdr:spPr>
        <a:xfrm>
          <a:off x="8893215" y="3559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 shah" refreshedDate="46147.611532870367" createdVersion="8" refreshedVersion="8" minRefreshableVersion="3" recordCount="5001" xr:uid="{B480BB11-0E54-4524-8FAE-B890AF942125}">
  <cacheSource type="worksheet">
    <worksheetSource ref="A1:N1048576" sheet="Transactions"/>
  </cacheSource>
  <cacheFields count="14">
    <cacheField name="TransactionID" numFmtId="0">
      <sharedItems containsBlank="1"/>
    </cacheField>
    <cacheField name="Date" numFmtId="0">
      <sharedItems containsNonDate="0" containsDate="1" containsString="0" containsBlank="1" minDate="2023-09-10T00:00:00" maxDate="2025-09-10T00:00:00"/>
    </cacheField>
    <cacheField name="CustomerID" numFmtId="0">
      <sharedItems containsBlank="1"/>
    </cacheField>
    <cacheField name="ProductID" numFmtId="0">
      <sharedItems containsBlank="1"/>
    </cacheField>
    <cacheField name="StoreID" numFmtId="0">
      <sharedItems containsBlank="1"/>
    </cacheField>
    <cacheField name="Quantity" numFmtId="0">
      <sharedItems containsString="0" containsBlank="1" containsNumber="1" containsInteger="1" minValue="1" maxValue="5"/>
    </cacheField>
    <cacheField name="Discount" numFmtId="0">
      <sharedItems containsString="0" containsBlank="1" containsNumber="1" minValue="0" maxValue="0.15"/>
    </cacheField>
    <cacheField name="PaymentMethod" numFmtId="0">
      <sharedItems containsBlank="1" count="5">
        <s v="Bank Transfer"/>
        <s v="Mobile Money"/>
        <s v="Credit Card"/>
        <s v="Cash"/>
        <m/>
      </sharedItems>
    </cacheField>
    <cacheField name="Customer Name" numFmtId="0">
      <sharedItems containsBlank="1"/>
    </cacheField>
    <cacheField name="Product name" numFmtId="0">
      <sharedItems containsBlank="1" count="51">
        <s v="Add Clothing"/>
        <s v="National Watches"/>
        <s v="Audience Television"/>
        <s v="Maybe Footwear"/>
        <s v="New Watches"/>
        <s v="Us Snacks"/>
        <s v="Knowledge Bags"/>
        <s v="Chair Laptop"/>
        <s v="Set Dairy"/>
        <s v="How Vegetables"/>
        <s v="Maybe Clothing"/>
        <s v="Nor Bags"/>
        <s v="Everything Laptop"/>
        <s v="House Accessories"/>
        <s v="Him Smartphone"/>
        <s v="Behavior Dairy"/>
        <s v="Beat Accessories"/>
        <s v="Either Headphones"/>
        <s v="Understand Camera"/>
        <s v="Democratic Smartphone"/>
        <s v="And Footwear"/>
        <s v="World Watches"/>
        <s v="Church Clothing"/>
        <s v="Firm Dairy"/>
        <s v="Simple Accessories"/>
        <s v="Deal Smartphone"/>
        <s v="Traditional Laptop"/>
        <s v="Book Television"/>
        <s v="Or Smartphone"/>
        <s v="Possible Watches"/>
        <s v="Present Television"/>
        <s v="Like Camera"/>
        <s v="Least Accessories"/>
        <s v="Little Watches"/>
        <s v="Hospital Smartphone"/>
        <s v="Company Fruits"/>
        <s v="Step Smartphone"/>
        <s v="Piece Headphones"/>
        <s v="Above Camera"/>
        <s v="Foot Snacks"/>
        <s v="Whether Bags"/>
        <s v="Stage Footwear"/>
        <s v="Nature Clothing"/>
        <s v="Find Headphones"/>
        <s v="Difficult Vegetables"/>
        <s v="Soon Accessories"/>
        <s v="Here Footwear"/>
        <s v="Road Clothing"/>
        <s v="Recognize Footwear"/>
        <s v="Four Accessories"/>
        <m/>
      </sharedItems>
    </cacheField>
    <cacheField name="Category" numFmtId="0">
      <sharedItems containsBlank="1" count="4">
        <s v="Fashion"/>
        <s v="Electronics"/>
        <s v="Groceries"/>
        <m/>
      </sharedItems>
    </cacheField>
    <cacheField name="StoreLocation" numFmtId="0">
      <sharedItems containsBlank="1" count="6">
        <s v="MegaMart New Michele"/>
        <s v="MegaMart Brianahaven"/>
        <s v="MegaMart Peckmouth"/>
        <s v="MegaMart Jimenezborough"/>
        <s v="MegaMart Johnmouth"/>
        <m/>
      </sharedItems>
    </cacheField>
    <cacheField name="Unit Price" numFmtId="0">
      <sharedItems containsString="0" containsBlank="1" containsNumber="1" minValue="25.57" maxValue="1952.65"/>
    </cacheField>
    <cacheField name="Total Sales" numFmtId="8">
      <sharedItems containsString="0" containsBlank="1" containsNumber="1" minValue="21.734500000000001" maxValue="9763.25"/>
    </cacheField>
  </cacheFields>
  <extLst>
    <ext xmlns:x14="http://schemas.microsoft.com/office/spreadsheetml/2009/9/main" uri="{725AE2AE-9491-48be-B2B4-4EB974FC3084}">
      <x14:pivotCacheDefinition pivotCacheId="189265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T00001"/>
    <d v="2024-06-18T00:00:00"/>
    <s v="C160"/>
    <s v="P014"/>
    <s v="S003"/>
    <n v="1"/>
    <n v="0.1"/>
    <x v="0"/>
    <s v="Meagan Macdonald"/>
    <x v="0"/>
    <x v="0"/>
    <x v="0"/>
    <n v="1342.75"/>
    <n v="1208.4750000000001"/>
  </r>
  <r>
    <s v="T00002"/>
    <d v="2023-11-02T00:00:00"/>
    <s v="C171"/>
    <s v="P030"/>
    <s v="S004"/>
    <n v="3"/>
    <n v="0.15"/>
    <x v="0"/>
    <s v="Christina Dominguez"/>
    <x v="1"/>
    <x v="0"/>
    <x v="1"/>
    <n v="29.24"/>
    <n v="74.561999999999998"/>
  </r>
  <r>
    <s v="T00003"/>
    <d v="2024-03-28T00:00:00"/>
    <s v="C142"/>
    <s v="P002"/>
    <s v="S002"/>
    <n v="2"/>
    <n v="0.15"/>
    <x v="1"/>
    <s v="Suzanne Fox"/>
    <x v="2"/>
    <x v="1"/>
    <x v="2"/>
    <n v="818.76"/>
    <n v="1391.8920000000001"/>
  </r>
  <r>
    <s v="T00004"/>
    <d v="2024-06-15T00:00:00"/>
    <s v="C174"/>
    <s v="P050"/>
    <s v="S002"/>
    <n v="5"/>
    <n v="0.1"/>
    <x v="1"/>
    <s v="Scott Howell"/>
    <x v="3"/>
    <x v="0"/>
    <x v="2"/>
    <n v="1044.6400000000001"/>
    <n v="4700.880000000001"/>
  </r>
  <r>
    <s v="T00005"/>
    <d v="2024-08-29T00:00:00"/>
    <s v="C141"/>
    <s v="P036"/>
    <s v="S001"/>
    <n v="3"/>
    <n v="0.1"/>
    <x v="2"/>
    <s v="Adam Lucas"/>
    <x v="4"/>
    <x v="0"/>
    <x v="3"/>
    <n v="1501.46"/>
    <n v="4053.942"/>
  </r>
  <r>
    <s v="T00006"/>
    <d v="2025-03-28T00:00:00"/>
    <s v="C111"/>
    <s v="P036"/>
    <s v="S005"/>
    <n v="5"/>
    <n v="0.1"/>
    <x v="1"/>
    <s v="Dylan Booker"/>
    <x v="4"/>
    <x v="0"/>
    <x v="4"/>
    <n v="1501.46"/>
    <n v="6756.5700000000006"/>
  </r>
  <r>
    <s v="T00007"/>
    <d v="2024-11-09T00:00:00"/>
    <s v="C114"/>
    <s v="P009"/>
    <s v="S004"/>
    <n v="2"/>
    <n v="0.15"/>
    <x v="2"/>
    <s v="Miranda Rodriguez"/>
    <x v="5"/>
    <x v="2"/>
    <x v="1"/>
    <n v="123.19"/>
    <n v="209.423"/>
  </r>
  <r>
    <s v="T00008"/>
    <d v="2024-05-28T00:00:00"/>
    <s v="C169"/>
    <s v="P005"/>
    <s v="S001"/>
    <n v="3"/>
    <n v="0.1"/>
    <x v="3"/>
    <s v="Travis Watson"/>
    <x v="6"/>
    <x v="0"/>
    <x v="3"/>
    <n v="1396.22"/>
    <n v="3769.7939999999999"/>
  </r>
  <r>
    <s v="T00009"/>
    <d v="2024-09-04T00:00:00"/>
    <s v="C193"/>
    <s v="P035"/>
    <s v="S002"/>
    <n v="3"/>
    <n v="0.05"/>
    <x v="2"/>
    <s v="Donald Meza"/>
    <x v="7"/>
    <x v="1"/>
    <x v="2"/>
    <n v="1562.43"/>
    <n v="4452.9254999999994"/>
  </r>
  <r>
    <s v="T00010"/>
    <d v="2024-06-16T00:00:00"/>
    <s v="C038"/>
    <s v="P045"/>
    <s v="S001"/>
    <n v="1"/>
    <n v="0.05"/>
    <x v="1"/>
    <s v="Tracey Davis"/>
    <x v="8"/>
    <x v="2"/>
    <x v="3"/>
    <n v="1879.08"/>
    <n v="1785.1259999999997"/>
  </r>
  <r>
    <s v="T00011"/>
    <d v="2025-03-09T00:00:00"/>
    <s v="C157"/>
    <s v="P022"/>
    <s v="S001"/>
    <n v="4"/>
    <n v="0.15"/>
    <x v="2"/>
    <s v="Connie Terry"/>
    <x v="9"/>
    <x v="2"/>
    <x v="3"/>
    <n v="25.57"/>
    <n v="86.938000000000002"/>
  </r>
  <r>
    <s v="T00012"/>
    <d v="2024-06-06T00:00:00"/>
    <s v="C184"/>
    <s v="P042"/>
    <s v="S004"/>
    <n v="4"/>
    <n v="0.15"/>
    <x v="2"/>
    <s v="Daniel Mcintyre"/>
    <x v="10"/>
    <x v="0"/>
    <x v="1"/>
    <n v="453.62"/>
    <n v="1542.308"/>
  </r>
  <r>
    <s v="T00013"/>
    <d v="2023-10-02T00:00:00"/>
    <s v="C038"/>
    <s v="P048"/>
    <s v="S001"/>
    <n v="1"/>
    <n v="0.15"/>
    <x v="2"/>
    <s v="Tracey Davis"/>
    <x v="11"/>
    <x v="0"/>
    <x v="3"/>
    <n v="1216.3599999999999"/>
    <n v="1033.9059999999999"/>
  </r>
  <r>
    <s v="T00014"/>
    <d v="2024-10-28T00:00:00"/>
    <s v="C046"/>
    <s v="P034"/>
    <s v="S005"/>
    <n v="4"/>
    <n v="0"/>
    <x v="2"/>
    <s v="Dennis Poole"/>
    <x v="12"/>
    <x v="1"/>
    <x v="4"/>
    <n v="428.05"/>
    <n v="1712.2"/>
  </r>
  <r>
    <s v="T00015"/>
    <d v="2025-03-23T00:00:00"/>
    <s v="C032"/>
    <s v="P016"/>
    <s v="S004"/>
    <n v="2"/>
    <n v="0.15"/>
    <x v="0"/>
    <s v="Valerie Macdonald"/>
    <x v="13"/>
    <x v="0"/>
    <x v="1"/>
    <n v="1858.75"/>
    <n v="3159.875"/>
  </r>
  <r>
    <s v="T00016"/>
    <d v="2023-12-14T00:00:00"/>
    <s v="C194"/>
    <s v="P024"/>
    <s v="S004"/>
    <n v="5"/>
    <n v="0.15"/>
    <x v="1"/>
    <s v="Ann West"/>
    <x v="14"/>
    <x v="1"/>
    <x v="1"/>
    <n v="1487.41"/>
    <n v="6321.4925000000003"/>
  </r>
  <r>
    <s v="T00017"/>
    <d v="2024-12-24T00:00:00"/>
    <s v="C041"/>
    <s v="P026"/>
    <s v="S004"/>
    <n v="4"/>
    <n v="0.1"/>
    <x v="2"/>
    <s v="Melissa Rodgers"/>
    <x v="15"/>
    <x v="2"/>
    <x v="1"/>
    <n v="1015.76"/>
    <n v="3656.7359999999999"/>
  </r>
  <r>
    <s v="T00018"/>
    <d v="2025-05-30T00:00:00"/>
    <s v="C164"/>
    <s v="P033"/>
    <s v="S003"/>
    <n v="5"/>
    <n v="0.15"/>
    <x v="2"/>
    <s v="Linda Vasquez"/>
    <x v="16"/>
    <x v="0"/>
    <x v="0"/>
    <n v="1798.97"/>
    <n v="7645.6225000000004"/>
  </r>
  <r>
    <s v="T00019"/>
    <d v="2025-04-21T00:00:00"/>
    <s v="C071"/>
    <s v="P011"/>
    <s v="S004"/>
    <n v="1"/>
    <n v="0.1"/>
    <x v="2"/>
    <s v="Denise Gutierrez"/>
    <x v="17"/>
    <x v="1"/>
    <x v="1"/>
    <n v="248.57"/>
    <n v="223.71299999999999"/>
  </r>
  <r>
    <s v="T00020"/>
    <d v="2025-01-07T00:00:00"/>
    <s v="C070"/>
    <s v="P007"/>
    <s v="S003"/>
    <n v="3"/>
    <n v="0"/>
    <x v="2"/>
    <s v="Eric Bryan"/>
    <x v="18"/>
    <x v="1"/>
    <x v="0"/>
    <n v="1474.12"/>
    <n v="4422.3599999999997"/>
  </r>
  <r>
    <s v="T00021"/>
    <d v="2024-11-16T00:00:00"/>
    <s v="C039"/>
    <s v="P018"/>
    <s v="S002"/>
    <n v="4"/>
    <n v="0.05"/>
    <x v="2"/>
    <s v="Nancy Savage"/>
    <x v="19"/>
    <x v="1"/>
    <x v="2"/>
    <n v="1079.8900000000001"/>
    <n v="4103.5820000000003"/>
  </r>
  <r>
    <s v="T00022"/>
    <d v="2024-11-26T00:00:00"/>
    <s v="C017"/>
    <s v="P022"/>
    <s v="S004"/>
    <n v="4"/>
    <n v="0.1"/>
    <x v="1"/>
    <s v="Vanessa Anderson"/>
    <x v="9"/>
    <x v="2"/>
    <x v="1"/>
    <n v="25.57"/>
    <n v="92.052000000000007"/>
  </r>
  <r>
    <s v="T00023"/>
    <d v="2024-08-02T00:00:00"/>
    <s v="C107"/>
    <s v="P023"/>
    <s v="S001"/>
    <n v="2"/>
    <n v="0.15"/>
    <x v="1"/>
    <s v="Victoria Hansen"/>
    <x v="20"/>
    <x v="0"/>
    <x v="3"/>
    <n v="1878.47"/>
    <n v="3193.3989999999999"/>
  </r>
  <r>
    <s v="T00024"/>
    <d v="2025-03-30T00:00:00"/>
    <s v="C198"/>
    <s v="P013"/>
    <s v="S005"/>
    <n v="1"/>
    <n v="0.15"/>
    <x v="1"/>
    <s v="Jessica Mullins"/>
    <x v="21"/>
    <x v="0"/>
    <x v="4"/>
    <n v="1134.8"/>
    <n v="964.57999999999993"/>
  </r>
  <r>
    <s v="T00025"/>
    <d v="2024-06-02T00:00:00"/>
    <s v="C002"/>
    <s v="P039"/>
    <s v="S003"/>
    <n v="3"/>
    <n v="0.15"/>
    <x v="1"/>
    <s v="Michael Miller"/>
    <x v="22"/>
    <x v="0"/>
    <x v="0"/>
    <n v="540.94000000000005"/>
    <n v="1379.3970000000002"/>
  </r>
  <r>
    <s v="T00026"/>
    <d v="2024-10-26T00:00:00"/>
    <s v="C138"/>
    <s v="P021"/>
    <s v="S005"/>
    <n v="5"/>
    <n v="0.05"/>
    <x v="1"/>
    <s v="Breanna Moore"/>
    <x v="23"/>
    <x v="2"/>
    <x v="4"/>
    <n v="1227.24"/>
    <n v="5829.3899999999994"/>
  </r>
  <r>
    <s v="T00027"/>
    <d v="2024-01-23T00:00:00"/>
    <s v="C057"/>
    <s v="P039"/>
    <s v="S003"/>
    <n v="4"/>
    <n v="0.15"/>
    <x v="3"/>
    <s v="Julie Gibson"/>
    <x v="22"/>
    <x v="0"/>
    <x v="0"/>
    <n v="540.94000000000005"/>
    <n v="1839.1960000000001"/>
  </r>
  <r>
    <s v="T00028"/>
    <d v="2024-12-15T00:00:00"/>
    <s v="C100"/>
    <s v="P020"/>
    <s v="S003"/>
    <n v="4"/>
    <n v="0.05"/>
    <x v="1"/>
    <s v="Sean Hart"/>
    <x v="24"/>
    <x v="0"/>
    <x v="0"/>
    <n v="323.92"/>
    <n v="1230.896"/>
  </r>
  <r>
    <s v="T00029"/>
    <d v="2025-04-09T00:00:00"/>
    <s v="C033"/>
    <s v="P013"/>
    <s v="S005"/>
    <n v="5"/>
    <n v="0"/>
    <x v="1"/>
    <s v="Jenny Beck"/>
    <x v="21"/>
    <x v="0"/>
    <x v="4"/>
    <n v="1134.8"/>
    <n v="5674"/>
  </r>
  <r>
    <s v="T00030"/>
    <d v="2025-02-26T00:00:00"/>
    <s v="C152"/>
    <s v="P028"/>
    <s v="S005"/>
    <n v="1"/>
    <n v="0"/>
    <x v="1"/>
    <s v="Brittany Green"/>
    <x v="25"/>
    <x v="1"/>
    <x v="4"/>
    <n v="673.78"/>
    <n v="673.78"/>
  </r>
  <r>
    <s v="T00031"/>
    <d v="2024-12-16T00:00:00"/>
    <s v="C035"/>
    <s v="P019"/>
    <s v="S004"/>
    <n v="2"/>
    <n v="0"/>
    <x v="0"/>
    <s v="Kimberly King"/>
    <x v="26"/>
    <x v="1"/>
    <x v="1"/>
    <n v="1762.92"/>
    <n v="3525.84"/>
  </r>
  <r>
    <s v="T00032"/>
    <d v="2025-01-16T00:00:00"/>
    <s v="C098"/>
    <s v="P028"/>
    <s v="S003"/>
    <n v="2"/>
    <n v="0.15"/>
    <x v="0"/>
    <s v="Lisa Vega"/>
    <x v="25"/>
    <x v="1"/>
    <x v="0"/>
    <n v="673.78"/>
    <n v="1145.4259999999999"/>
  </r>
  <r>
    <s v="T00033"/>
    <d v="2025-07-20T00:00:00"/>
    <s v="C087"/>
    <s v="P021"/>
    <s v="S004"/>
    <n v="3"/>
    <n v="0.15"/>
    <x v="0"/>
    <s v="Laurie Mason"/>
    <x v="23"/>
    <x v="2"/>
    <x v="1"/>
    <n v="1227.24"/>
    <n v="3129.462"/>
  </r>
  <r>
    <s v="T00034"/>
    <d v="2023-11-13T00:00:00"/>
    <s v="C021"/>
    <s v="P037"/>
    <s v="S004"/>
    <n v="1"/>
    <n v="0"/>
    <x v="0"/>
    <s v="Debbie Martin"/>
    <x v="27"/>
    <x v="1"/>
    <x v="1"/>
    <n v="1952.65"/>
    <n v="1952.65"/>
  </r>
  <r>
    <s v="T00035"/>
    <d v="2024-02-16T00:00:00"/>
    <s v="C058"/>
    <s v="P047"/>
    <s v="S001"/>
    <n v="1"/>
    <n v="0"/>
    <x v="2"/>
    <s v="Lawrence Stewart"/>
    <x v="28"/>
    <x v="1"/>
    <x v="3"/>
    <n v="1197.18"/>
    <n v="1197.18"/>
  </r>
  <r>
    <s v="T00036"/>
    <d v="2025-06-03T00:00:00"/>
    <s v="C052"/>
    <s v="P049"/>
    <s v="S001"/>
    <n v="5"/>
    <n v="0.05"/>
    <x v="2"/>
    <s v="Billy Hernandez"/>
    <x v="29"/>
    <x v="0"/>
    <x v="3"/>
    <n v="388.26"/>
    <n v="1844.2349999999999"/>
  </r>
  <r>
    <s v="T00037"/>
    <d v="2024-01-17T00:00:00"/>
    <s v="C033"/>
    <s v="P030"/>
    <s v="S004"/>
    <n v="1"/>
    <n v="0.05"/>
    <x v="1"/>
    <s v="Jenny Beck"/>
    <x v="1"/>
    <x v="0"/>
    <x v="1"/>
    <n v="29.24"/>
    <n v="27.777999999999999"/>
  </r>
  <r>
    <s v="T00038"/>
    <d v="2025-05-06T00:00:00"/>
    <s v="C180"/>
    <s v="P041"/>
    <s v="S003"/>
    <n v="3"/>
    <n v="0.05"/>
    <x v="3"/>
    <s v="Nichole Calhoun"/>
    <x v="30"/>
    <x v="1"/>
    <x v="0"/>
    <n v="1635.01"/>
    <n v="4659.7784999999994"/>
  </r>
  <r>
    <s v="T00039"/>
    <d v="2024-10-13T00:00:00"/>
    <s v="C200"/>
    <s v="P001"/>
    <s v="S002"/>
    <n v="3"/>
    <n v="0"/>
    <x v="3"/>
    <s v="Ronald Haley"/>
    <x v="31"/>
    <x v="1"/>
    <x v="2"/>
    <n v="1673.69"/>
    <n v="5021.07"/>
  </r>
  <r>
    <s v="T00040"/>
    <d v="2024-08-02T00:00:00"/>
    <s v="C080"/>
    <s v="P011"/>
    <s v="S005"/>
    <n v="4"/>
    <n v="0.15"/>
    <x v="2"/>
    <s v="Grace Garcia"/>
    <x v="17"/>
    <x v="1"/>
    <x v="4"/>
    <n v="248.57"/>
    <n v="845.13799999999992"/>
  </r>
  <r>
    <s v="T00041"/>
    <d v="2023-12-20T00:00:00"/>
    <s v="C020"/>
    <s v="P044"/>
    <s v="S005"/>
    <n v="2"/>
    <n v="0"/>
    <x v="0"/>
    <s v="Ryan Cole"/>
    <x v="32"/>
    <x v="0"/>
    <x v="4"/>
    <n v="1286.55"/>
    <n v="2573.1"/>
  </r>
  <r>
    <s v="T00042"/>
    <d v="2024-06-03T00:00:00"/>
    <s v="C176"/>
    <s v="P025"/>
    <s v="S005"/>
    <n v="1"/>
    <n v="0"/>
    <x v="0"/>
    <s v="Peter Garcia"/>
    <x v="33"/>
    <x v="0"/>
    <x v="4"/>
    <n v="429.15"/>
    <n v="429.15"/>
  </r>
  <r>
    <s v="T00043"/>
    <d v="2024-10-30T00:00:00"/>
    <s v="C137"/>
    <s v="P011"/>
    <s v="S004"/>
    <n v="3"/>
    <n v="0"/>
    <x v="0"/>
    <s v="Gary Lopez"/>
    <x v="17"/>
    <x v="1"/>
    <x v="1"/>
    <n v="248.57"/>
    <n v="745.71"/>
  </r>
  <r>
    <s v="T00044"/>
    <d v="2024-12-31T00:00:00"/>
    <s v="C004"/>
    <s v="P033"/>
    <s v="S004"/>
    <n v="4"/>
    <n v="0"/>
    <x v="1"/>
    <s v="Joseph Ward"/>
    <x v="16"/>
    <x v="0"/>
    <x v="1"/>
    <n v="1798.97"/>
    <n v="7195.88"/>
  </r>
  <r>
    <s v="T00045"/>
    <d v="2024-09-30T00:00:00"/>
    <s v="C093"/>
    <s v="P045"/>
    <s v="S004"/>
    <n v="2"/>
    <n v="0.15"/>
    <x v="2"/>
    <s v="Stanley Brown"/>
    <x v="8"/>
    <x v="2"/>
    <x v="1"/>
    <n v="1879.08"/>
    <n v="3194.4359999999997"/>
  </r>
  <r>
    <s v="T00046"/>
    <d v="2023-11-27T00:00:00"/>
    <s v="C188"/>
    <s v="P027"/>
    <s v="S005"/>
    <n v="3"/>
    <n v="0.15"/>
    <x v="1"/>
    <s v="Ryan Flores"/>
    <x v="34"/>
    <x v="1"/>
    <x v="4"/>
    <n v="1272.23"/>
    <n v="3244.1864999999998"/>
  </r>
  <r>
    <s v="T00047"/>
    <d v="2025-05-06T00:00:00"/>
    <s v="C112"/>
    <s v="P045"/>
    <s v="S005"/>
    <n v="3"/>
    <n v="0.1"/>
    <x v="2"/>
    <s v="Jeffrey Smith"/>
    <x v="8"/>
    <x v="2"/>
    <x v="4"/>
    <n v="1879.08"/>
    <n v="5073.5159999999996"/>
  </r>
  <r>
    <s v="T00048"/>
    <d v="2025-01-25T00:00:00"/>
    <s v="C023"/>
    <s v="P011"/>
    <s v="S003"/>
    <n v="4"/>
    <n v="0.05"/>
    <x v="1"/>
    <s v="Mark Martinez"/>
    <x v="17"/>
    <x v="1"/>
    <x v="0"/>
    <n v="248.57"/>
    <n v="944.56599999999992"/>
  </r>
  <r>
    <s v="T00049"/>
    <d v="2025-08-09T00:00:00"/>
    <s v="C146"/>
    <s v="P013"/>
    <s v="S005"/>
    <n v="4"/>
    <n v="0.1"/>
    <x v="3"/>
    <s v="John Johnson"/>
    <x v="21"/>
    <x v="0"/>
    <x v="4"/>
    <n v="1134.8"/>
    <n v="4085.2799999999997"/>
  </r>
  <r>
    <s v="T00050"/>
    <d v="2025-08-14T00:00:00"/>
    <s v="C127"/>
    <s v="P007"/>
    <s v="S003"/>
    <n v="2"/>
    <n v="0.15"/>
    <x v="2"/>
    <s v="John Allen"/>
    <x v="18"/>
    <x v="1"/>
    <x v="0"/>
    <n v="1474.12"/>
    <n v="2506.0039999999999"/>
  </r>
  <r>
    <s v="T00051"/>
    <d v="2024-09-25T00:00:00"/>
    <s v="C091"/>
    <s v="P026"/>
    <s v="S003"/>
    <n v="3"/>
    <n v="0.1"/>
    <x v="0"/>
    <s v="Brian Fowler"/>
    <x v="15"/>
    <x v="2"/>
    <x v="0"/>
    <n v="1015.76"/>
    <n v="2742.5519999999997"/>
  </r>
  <r>
    <s v="T00052"/>
    <d v="2025-05-09T00:00:00"/>
    <s v="C143"/>
    <s v="P022"/>
    <s v="S001"/>
    <n v="5"/>
    <n v="0.05"/>
    <x v="3"/>
    <s v="Cynthia Carlson"/>
    <x v="9"/>
    <x v="2"/>
    <x v="3"/>
    <n v="25.57"/>
    <n v="121.4575"/>
  </r>
  <r>
    <s v="T00053"/>
    <d v="2024-09-30T00:00:00"/>
    <s v="C062"/>
    <s v="P047"/>
    <s v="S004"/>
    <n v="4"/>
    <n v="0.05"/>
    <x v="1"/>
    <s v="Susan Salinas"/>
    <x v="28"/>
    <x v="1"/>
    <x v="1"/>
    <n v="1197.18"/>
    <n v="4549.2839999999997"/>
  </r>
  <r>
    <s v="T00054"/>
    <d v="2024-01-29T00:00:00"/>
    <s v="C166"/>
    <s v="P001"/>
    <s v="S004"/>
    <n v="4"/>
    <n v="0"/>
    <x v="3"/>
    <s v="Meagan Ali"/>
    <x v="31"/>
    <x v="1"/>
    <x v="1"/>
    <n v="1673.69"/>
    <n v="6694.76"/>
  </r>
  <r>
    <s v="T00055"/>
    <d v="2024-06-27T00:00:00"/>
    <s v="C076"/>
    <s v="P009"/>
    <s v="S002"/>
    <n v="4"/>
    <n v="0.05"/>
    <x v="0"/>
    <s v="Phyllis Durham"/>
    <x v="5"/>
    <x v="2"/>
    <x v="2"/>
    <n v="123.19"/>
    <n v="468.12199999999996"/>
  </r>
  <r>
    <s v="T00056"/>
    <d v="2025-08-19T00:00:00"/>
    <s v="C170"/>
    <s v="P028"/>
    <s v="S005"/>
    <n v="3"/>
    <n v="0.15"/>
    <x v="0"/>
    <s v="Amber Graham"/>
    <x v="25"/>
    <x v="1"/>
    <x v="4"/>
    <n v="673.78"/>
    <n v="1718.1389999999999"/>
  </r>
  <r>
    <s v="T00057"/>
    <d v="2024-10-11T00:00:00"/>
    <s v="C109"/>
    <s v="P011"/>
    <s v="S005"/>
    <n v="3"/>
    <n v="0.1"/>
    <x v="1"/>
    <s v="Austin Hogan"/>
    <x v="17"/>
    <x v="1"/>
    <x v="4"/>
    <n v="248.57"/>
    <n v="671.13900000000001"/>
  </r>
  <r>
    <s v="T00058"/>
    <d v="2024-01-20T00:00:00"/>
    <s v="C070"/>
    <s v="P034"/>
    <s v="S003"/>
    <n v="3"/>
    <n v="0.05"/>
    <x v="3"/>
    <s v="Eric Bryan"/>
    <x v="12"/>
    <x v="1"/>
    <x v="0"/>
    <n v="428.05"/>
    <n v="1219.9425000000001"/>
  </r>
  <r>
    <s v="T00059"/>
    <d v="2025-02-14T00:00:00"/>
    <s v="C185"/>
    <s v="P027"/>
    <s v="S002"/>
    <n v="3"/>
    <n v="0"/>
    <x v="2"/>
    <s v="Joe Vincent"/>
    <x v="34"/>
    <x v="1"/>
    <x v="2"/>
    <n v="1272.23"/>
    <n v="3816.69"/>
  </r>
  <r>
    <s v="T00060"/>
    <d v="2024-11-26T00:00:00"/>
    <s v="C050"/>
    <s v="P044"/>
    <s v="S002"/>
    <n v="4"/>
    <n v="0.1"/>
    <x v="0"/>
    <s v="Kelly Mcmillan"/>
    <x v="32"/>
    <x v="0"/>
    <x v="2"/>
    <n v="1286.55"/>
    <n v="4631.58"/>
  </r>
  <r>
    <s v="T00061"/>
    <d v="2025-03-20T00:00:00"/>
    <s v="C026"/>
    <s v="P006"/>
    <s v="S002"/>
    <n v="3"/>
    <n v="0.05"/>
    <x v="0"/>
    <s v="Justin Macdonald"/>
    <x v="35"/>
    <x v="2"/>
    <x v="2"/>
    <n v="318.05"/>
    <n v="906.4425"/>
  </r>
  <r>
    <s v="T00062"/>
    <d v="2025-05-03T00:00:00"/>
    <s v="C046"/>
    <s v="P027"/>
    <s v="S003"/>
    <n v="1"/>
    <n v="0.05"/>
    <x v="0"/>
    <s v="Dennis Poole"/>
    <x v="34"/>
    <x v="1"/>
    <x v="0"/>
    <n v="1272.23"/>
    <n v="1208.6185"/>
  </r>
  <r>
    <s v="T00063"/>
    <d v="2024-06-01T00:00:00"/>
    <s v="C012"/>
    <s v="P036"/>
    <s v="S001"/>
    <n v="5"/>
    <n v="0.1"/>
    <x v="2"/>
    <s v="Dale Perry"/>
    <x v="4"/>
    <x v="0"/>
    <x v="3"/>
    <n v="1501.46"/>
    <n v="6756.5700000000006"/>
  </r>
  <r>
    <s v="T00064"/>
    <d v="2024-11-15T00:00:00"/>
    <s v="C164"/>
    <s v="P048"/>
    <s v="S004"/>
    <n v="1"/>
    <n v="0"/>
    <x v="0"/>
    <s v="Linda Vasquez"/>
    <x v="11"/>
    <x v="0"/>
    <x v="1"/>
    <n v="1216.3599999999999"/>
    <n v="1216.3599999999999"/>
  </r>
  <r>
    <s v="T00065"/>
    <d v="2024-05-26T00:00:00"/>
    <s v="C121"/>
    <s v="P028"/>
    <s v="S004"/>
    <n v="4"/>
    <n v="0.1"/>
    <x v="2"/>
    <s v="John Bell"/>
    <x v="25"/>
    <x v="1"/>
    <x v="1"/>
    <n v="673.78"/>
    <n v="2425.6080000000002"/>
  </r>
  <r>
    <s v="T00066"/>
    <d v="2024-04-20T00:00:00"/>
    <s v="C014"/>
    <s v="P010"/>
    <s v="S003"/>
    <n v="4"/>
    <n v="0"/>
    <x v="3"/>
    <s v="Brittany Green"/>
    <x v="36"/>
    <x v="1"/>
    <x v="0"/>
    <n v="1194.1199999999999"/>
    <n v="4776.4799999999996"/>
  </r>
  <r>
    <s v="T00067"/>
    <d v="2025-02-16T00:00:00"/>
    <s v="C103"/>
    <s v="P042"/>
    <s v="S004"/>
    <n v="1"/>
    <n v="0"/>
    <x v="2"/>
    <s v="David Burns"/>
    <x v="10"/>
    <x v="0"/>
    <x v="1"/>
    <n v="453.62"/>
    <n v="453.62"/>
  </r>
  <r>
    <s v="T00068"/>
    <d v="2024-03-15T00:00:00"/>
    <s v="C039"/>
    <s v="P002"/>
    <s v="S005"/>
    <n v="3"/>
    <n v="0"/>
    <x v="2"/>
    <s v="Nancy Savage"/>
    <x v="2"/>
    <x v="1"/>
    <x v="4"/>
    <n v="818.76"/>
    <n v="2456.2799999999997"/>
  </r>
  <r>
    <s v="T00069"/>
    <d v="2023-11-14T00:00:00"/>
    <s v="C031"/>
    <s v="P040"/>
    <s v="S005"/>
    <n v="4"/>
    <n v="0.05"/>
    <x v="1"/>
    <s v="Ashley Gibson"/>
    <x v="37"/>
    <x v="1"/>
    <x v="4"/>
    <n v="1745.61"/>
    <n v="6633.3179999999993"/>
  </r>
  <r>
    <s v="T00070"/>
    <d v="2024-12-02T00:00:00"/>
    <s v="C116"/>
    <s v="P013"/>
    <s v="S004"/>
    <n v="3"/>
    <n v="0.15"/>
    <x v="0"/>
    <s v="Jamie Webb"/>
    <x v="21"/>
    <x v="0"/>
    <x v="1"/>
    <n v="1134.8"/>
    <n v="2893.74"/>
  </r>
  <r>
    <s v="T00071"/>
    <d v="2023-11-18T00:00:00"/>
    <s v="C146"/>
    <s v="P044"/>
    <s v="S005"/>
    <n v="1"/>
    <n v="0"/>
    <x v="2"/>
    <s v="John Johnson"/>
    <x v="32"/>
    <x v="0"/>
    <x v="4"/>
    <n v="1286.55"/>
    <n v="1286.55"/>
  </r>
  <r>
    <s v="T00072"/>
    <d v="2025-01-05T00:00:00"/>
    <s v="C161"/>
    <s v="P012"/>
    <s v="S002"/>
    <n v="3"/>
    <n v="0"/>
    <x v="2"/>
    <s v="Michael Perez"/>
    <x v="38"/>
    <x v="1"/>
    <x v="2"/>
    <n v="1193.0899999999999"/>
    <n v="3579.2699999999995"/>
  </r>
  <r>
    <s v="T00073"/>
    <d v="2024-10-08T00:00:00"/>
    <s v="C062"/>
    <s v="P022"/>
    <s v="S002"/>
    <n v="5"/>
    <n v="0"/>
    <x v="2"/>
    <s v="Susan Salinas"/>
    <x v="9"/>
    <x v="2"/>
    <x v="2"/>
    <n v="25.57"/>
    <n v="127.85"/>
  </r>
  <r>
    <s v="T00074"/>
    <d v="2024-07-01T00:00:00"/>
    <s v="C001"/>
    <s v="P014"/>
    <s v="S004"/>
    <n v="4"/>
    <n v="0.15"/>
    <x v="0"/>
    <s v="Michael Davis"/>
    <x v="0"/>
    <x v="0"/>
    <x v="1"/>
    <n v="1342.75"/>
    <n v="4565.3499999999995"/>
  </r>
  <r>
    <s v="T00075"/>
    <d v="2024-04-24T00:00:00"/>
    <s v="C009"/>
    <s v="P018"/>
    <s v="S002"/>
    <n v="3"/>
    <n v="0.1"/>
    <x v="1"/>
    <s v="Richard Pacheco"/>
    <x v="19"/>
    <x v="1"/>
    <x v="2"/>
    <n v="1079.8900000000001"/>
    <n v="2915.703"/>
  </r>
  <r>
    <s v="T00076"/>
    <d v="2025-05-20T00:00:00"/>
    <s v="C019"/>
    <s v="P005"/>
    <s v="S002"/>
    <n v="3"/>
    <n v="0.05"/>
    <x v="1"/>
    <s v="John Smith"/>
    <x v="6"/>
    <x v="0"/>
    <x v="2"/>
    <n v="1396.22"/>
    <n v="3979.2269999999999"/>
  </r>
  <r>
    <s v="T00077"/>
    <d v="2025-06-19T00:00:00"/>
    <s v="C030"/>
    <s v="P031"/>
    <s v="S005"/>
    <n v="2"/>
    <n v="0.05"/>
    <x v="0"/>
    <s v="Lacey Hall"/>
    <x v="39"/>
    <x v="2"/>
    <x v="4"/>
    <n v="1095.72"/>
    <n v="2081.8679999999999"/>
  </r>
  <r>
    <s v="T00078"/>
    <d v="2024-07-24T00:00:00"/>
    <s v="C037"/>
    <s v="P015"/>
    <s v="S001"/>
    <n v="1"/>
    <n v="0.05"/>
    <x v="0"/>
    <s v="Miranda Nelson"/>
    <x v="40"/>
    <x v="0"/>
    <x v="3"/>
    <n v="270.45"/>
    <n v="256.92749999999995"/>
  </r>
  <r>
    <s v="T00079"/>
    <d v="2024-01-06T00:00:00"/>
    <s v="C153"/>
    <s v="P018"/>
    <s v="S005"/>
    <n v="3"/>
    <n v="0.15"/>
    <x v="3"/>
    <s v="Nancy Gordon"/>
    <x v="19"/>
    <x v="1"/>
    <x v="4"/>
    <n v="1079.8900000000001"/>
    <n v="2753.7195000000002"/>
  </r>
  <r>
    <s v="T00080"/>
    <d v="2023-11-21T00:00:00"/>
    <s v="C120"/>
    <s v="P021"/>
    <s v="S003"/>
    <n v="4"/>
    <n v="0.1"/>
    <x v="1"/>
    <s v="Curtis Faulkner"/>
    <x v="23"/>
    <x v="2"/>
    <x v="0"/>
    <n v="1227.24"/>
    <n v="4418.0640000000003"/>
  </r>
  <r>
    <s v="T00081"/>
    <d v="2024-06-20T00:00:00"/>
    <s v="C113"/>
    <s v="P009"/>
    <s v="S001"/>
    <n v="5"/>
    <n v="0"/>
    <x v="1"/>
    <s v="Heidi Wilson"/>
    <x v="5"/>
    <x v="2"/>
    <x v="3"/>
    <n v="123.19"/>
    <n v="615.95000000000005"/>
  </r>
  <r>
    <s v="T00082"/>
    <d v="2023-10-23T00:00:00"/>
    <s v="C189"/>
    <s v="P009"/>
    <s v="S003"/>
    <n v="5"/>
    <n v="0.1"/>
    <x v="3"/>
    <s v="Steve Flynn"/>
    <x v="5"/>
    <x v="2"/>
    <x v="0"/>
    <n v="123.19"/>
    <n v="554.35500000000002"/>
  </r>
  <r>
    <s v="T00083"/>
    <d v="2024-08-16T00:00:00"/>
    <s v="C024"/>
    <s v="P039"/>
    <s v="S002"/>
    <n v="5"/>
    <n v="0"/>
    <x v="0"/>
    <s v="Molly Murray"/>
    <x v="22"/>
    <x v="0"/>
    <x v="2"/>
    <n v="540.94000000000005"/>
    <n v="2704.7000000000003"/>
  </r>
  <r>
    <s v="T00084"/>
    <d v="2025-05-28T00:00:00"/>
    <s v="C148"/>
    <s v="P038"/>
    <s v="S001"/>
    <n v="2"/>
    <n v="0.15"/>
    <x v="1"/>
    <s v="John Foster"/>
    <x v="41"/>
    <x v="0"/>
    <x v="3"/>
    <n v="366.93"/>
    <n v="623.78099999999995"/>
  </r>
  <r>
    <s v="T00085"/>
    <d v="2023-10-13T00:00:00"/>
    <s v="C072"/>
    <s v="P014"/>
    <s v="S002"/>
    <n v="5"/>
    <n v="0.15"/>
    <x v="1"/>
    <s v="Eric Watkins"/>
    <x v="0"/>
    <x v="0"/>
    <x v="2"/>
    <n v="1342.75"/>
    <n v="5706.6875"/>
  </r>
  <r>
    <s v="T00086"/>
    <d v="2023-09-17T00:00:00"/>
    <s v="C024"/>
    <s v="P018"/>
    <s v="S004"/>
    <n v="3"/>
    <n v="0.15"/>
    <x v="0"/>
    <s v="Molly Murray"/>
    <x v="19"/>
    <x v="1"/>
    <x v="1"/>
    <n v="1079.8900000000001"/>
    <n v="2753.7195000000002"/>
  </r>
  <r>
    <s v="T00087"/>
    <d v="2024-10-17T00:00:00"/>
    <s v="C083"/>
    <s v="P036"/>
    <s v="S001"/>
    <n v="2"/>
    <n v="0.1"/>
    <x v="1"/>
    <s v="Jeremy Robles"/>
    <x v="4"/>
    <x v="0"/>
    <x v="3"/>
    <n v="1501.46"/>
    <n v="2702.6280000000002"/>
  </r>
  <r>
    <s v="T00088"/>
    <d v="2025-05-23T00:00:00"/>
    <s v="C178"/>
    <s v="P024"/>
    <s v="S004"/>
    <n v="3"/>
    <n v="0.15"/>
    <x v="3"/>
    <s v="Mark Mcdonald"/>
    <x v="14"/>
    <x v="1"/>
    <x v="1"/>
    <n v="1487.41"/>
    <n v="3792.8955000000001"/>
  </r>
  <r>
    <s v="T00089"/>
    <d v="2025-01-31T00:00:00"/>
    <s v="C117"/>
    <s v="P049"/>
    <s v="S001"/>
    <n v="3"/>
    <n v="0.1"/>
    <x v="0"/>
    <s v="Timothy Beck"/>
    <x v="29"/>
    <x v="0"/>
    <x v="3"/>
    <n v="388.26"/>
    <n v="1048.3019999999999"/>
  </r>
  <r>
    <s v="T00090"/>
    <d v="2023-11-15T00:00:00"/>
    <s v="C030"/>
    <s v="P046"/>
    <s v="S004"/>
    <n v="5"/>
    <n v="0"/>
    <x v="1"/>
    <s v="Lacey Hall"/>
    <x v="42"/>
    <x v="0"/>
    <x v="1"/>
    <n v="1165.3699999999999"/>
    <n v="5826.8499999999995"/>
  </r>
  <r>
    <s v="T00091"/>
    <d v="2025-07-26T00:00:00"/>
    <s v="C106"/>
    <s v="P039"/>
    <s v="S001"/>
    <n v="2"/>
    <n v="0.1"/>
    <x v="1"/>
    <s v="Kevin Flores"/>
    <x v="22"/>
    <x v="0"/>
    <x v="3"/>
    <n v="540.94000000000005"/>
    <n v="973.69200000000012"/>
  </r>
  <r>
    <s v="T00092"/>
    <d v="2025-05-06T00:00:00"/>
    <s v="C161"/>
    <s v="P049"/>
    <s v="S004"/>
    <n v="1"/>
    <n v="0.05"/>
    <x v="0"/>
    <s v="Michael Perez"/>
    <x v="29"/>
    <x v="0"/>
    <x v="1"/>
    <n v="388.26"/>
    <n v="368.84699999999998"/>
  </r>
  <r>
    <s v="T00093"/>
    <d v="2023-09-23T00:00:00"/>
    <s v="C141"/>
    <s v="P048"/>
    <s v="S002"/>
    <n v="3"/>
    <n v="0.15"/>
    <x v="1"/>
    <s v="Adam Lucas"/>
    <x v="11"/>
    <x v="0"/>
    <x v="2"/>
    <n v="1216.3599999999999"/>
    <n v="3101.7179999999998"/>
  </r>
  <r>
    <s v="T00094"/>
    <d v="2023-12-24T00:00:00"/>
    <s v="C032"/>
    <s v="P019"/>
    <s v="S001"/>
    <n v="5"/>
    <n v="0.05"/>
    <x v="2"/>
    <s v="Valerie Macdonald"/>
    <x v="26"/>
    <x v="1"/>
    <x v="3"/>
    <n v="1762.92"/>
    <n v="8373.8700000000008"/>
  </r>
  <r>
    <s v="T00095"/>
    <d v="2024-10-13T00:00:00"/>
    <s v="C080"/>
    <s v="P030"/>
    <s v="S005"/>
    <n v="1"/>
    <n v="0.15"/>
    <x v="3"/>
    <s v="Grace Garcia"/>
    <x v="1"/>
    <x v="0"/>
    <x v="4"/>
    <n v="29.24"/>
    <n v="24.853999999999999"/>
  </r>
  <r>
    <s v="T00096"/>
    <d v="2024-06-08T00:00:00"/>
    <s v="C058"/>
    <s v="P048"/>
    <s v="S001"/>
    <n v="4"/>
    <n v="0"/>
    <x v="2"/>
    <s v="Lawrence Stewart"/>
    <x v="11"/>
    <x v="0"/>
    <x v="3"/>
    <n v="1216.3599999999999"/>
    <n v="4865.4399999999996"/>
  </r>
  <r>
    <s v="T00097"/>
    <d v="2024-03-16T00:00:00"/>
    <s v="C128"/>
    <s v="P038"/>
    <s v="S003"/>
    <n v="5"/>
    <n v="0.1"/>
    <x v="1"/>
    <s v="Robert Collins"/>
    <x v="41"/>
    <x v="0"/>
    <x v="0"/>
    <n v="366.93"/>
    <n v="1651.1850000000002"/>
  </r>
  <r>
    <s v="T00098"/>
    <d v="2024-08-15T00:00:00"/>
    <s v="C124"/>
    <s v="P009"/>
    <s v="S004"/>
    <n v="2"/>
    <n v="0.15"/>
    <x v="2"/>
    <s v="Chad Roberts"/>
    <x v="5"/>
    <x v="2"/>
    <x v="1"/>
    <n v="123.19"/>
    <n v="209.423"/>
  </r>
  <r>
    <s v="T00099"/>
    <d v="2024-10-18T00:00:00"/>
    <s v="C099"/>
    <s v="P017"/>
    <s v="S002"/>
    <n v="5"/>
    <n v="0.05"/>
    <x v="3"/>
    <s v="Kimberly Jones"/>
    <x v="43"/>
    <x v="1"/>
    <x v="2"/>
    <n v="1246.1099999999999"/>
    <n v="5919.0224999999991"/>
  </r>
  <r>
    <s v="T00100"/>
    <d v="2025-07-07T00:00:00"/>
    <s v="C071"/>
    <s v="P023"/>
    <s v="S004"/>
    <n v="3"/>
    <n v="0.1"/>
    <x v="3"/>
    <s v="Denise Gutierrez"/>
    <x v="20"/>
    <x v="0"/>
    <x v="1"/>
    <n v="1878.47"/>
    <n v="5071.8689999999997"/>
  </r>
  <r>
    <s v="T00101"/>
    <d v="2025-06-06T00:00:00"/>
    <s v="C073"/>
    <s v="P013"/>
    <s v="S003"/>
    <n v="5"/>
    <n v="0.15"/>
    <x v="2"/>
    <s v="Carl Armstrong"/>
    <x v="21"/>
    <x v="0"/>
    <x v="0"/>
    <n v="1134.8"/>
    <n v="4822.8999999999996"/>
  </r>
  <r>
    <s v="T00102"/>
    <d v="2025-07-16T00:00:00"/>
    <s v="C115"/>
    <s v="P006"/>
    <s v="S005"/>
    <n v="4"/>
    <n v="0.1"/>
    <x v="0"/>
    <s v="Jose Smith"/>
    <x v="35"/>
    <x v="2"/>
    <x v="4"/>
    <n v="318.05"/>
    <n v="1144.98"/>
  </r>
  <r>
    <s v="T00103"/>
    <d v="2024-12-29T00:00:00"/>
    <s v="C142"/>
    <s v="P016"/>
    <s v="S005"/>
    <n v="4"/>
    <n v="0.15"/>
    <x v="0"/>
    <s v="Suzanne Fox"/>
    <x v="13"/>
    <x v="0"/>
    <x v="4"/>
    <n v="1858.75"/>
    <n v="6319.75"/>
  </r>
  <r>
    <s v="T00104"/>
    <d v="2025-01-18T00:00:00"/>
    <s v="C049"/>
    <s v="P032"/>
    <s v="S002"/>
    <n v="5"/>
    <n v="0.15"/>
    <x v="2"/>
    <s v="Antonio Hamilton"/>
    <x v="44"/>
    <x v="2"/>
    <x v="2"/>
    <n v="304.70999999999998"/>
    <n v="1295.0174999999999"/>
  </r>
  <r>
    <s v="T00105"/>
    <d v="2024-01-14T00:00:00"/>
    <s v="C199"/>
    <s v="P011"/>
    <s v="S004"/>
    <n v="1"/>
    <n v="0.1"/>
    <x v="1"/>
    <s v="Juan Johnson"/>
    <x v="17"/>
    <x v="1"/>
    <x v="1"/>
    <n v="248.57"/>
    <n v="223.71299999999999"/>
  </r>
  <r>
    <s v="T00106"/>
    <d v="2025-01-29T00:00:00"/>
    <s v="C181"/>
    <s v="P049"/>
    <s v="S004"/>
    <n v="4"/>
    <n v="0.05"/>
    <x v="1"/>
    <s v="Brittany Oneal"/>
    <x v="29"/>
    <x v="0"/>
    <x v="1"/>
    <n v="388.26"/>
    <n v="1475.3879999999999"/>
  </r>
  <r>
    <s v="T00107"/>
    <d v="2025-03-07T00:00:00"/>
    <s v="C010"/>
    <s v="P010"/>
    <s v="S002"/>
    <n v="5"/>
    <n v="0.1"/>
    <x v="3"/>
    <s v="Catherine Rice"/>
    <x v="36"/>
    <x v="1"/>
    <x v="2"/>
    <n v="1194.1199999999999"/>
    <n v="5373.54"/>
  </r>
  <r>
    <s v="T00108"/>
    <d v="2025-08-02T00:00:00"/>
    <s v="C113"/>
    <s v="P039"/>
    <s v="S001"/>
    <n v="5"/>
    <n v="0.15"/>
    <x v="3"/>
    <s v="Heidi Wilson"/>
    <x v="22"/>
    <x v="0"/>
    <x v="3"/>
    <n v="540.94000000000005"/>
    <n v="2298.9950000000003"/>
  </r>
  <r>
    <s v="T00109"/>
    <d v="2023-11-09T00:00:00"/>
    <s v="C185"/>
    <s v="P030"/>
    <s v="S002"/>
    <n v="4"/>
    <n v="0.05"/>
    <x v="3"/>
    <s v="Joe Vincent"/>
    <x v="1"/>
    <x v="0"/>
    <x v="2"/>
    <n v="29.24"/>
    <n v="111.11199999999999"/>
  </r>
  <r>
    <s v="T00110"/>
    <d v="2024-07-21T00:00:00"/>
    <s v="C121"/>
    <s v="P014"/>
    <s v="S003"/>
    <n v="3"/>
    <n v="0.15"/>
    <x v="3"/>
    <s v="John Bell"/>
    <x v="0"/>
    <x v="0"/>
    <x v="0"/>
    <n v="1342.75"/>
    <n v="3424.0124999999998"/>
  </r>
  <r>
    <s v="T00111"/>
    <d v="2024-03-24T00:00:00"/>
    <s v="C085"/>
    <s v="P043"/>
    <s v="S005"/>
    <n v="4"/>
    <n v="0.1"/>
    <x v="1"/>
    <s v="Juan Ramirez"/>
    <x v="45"/>
    <x v="0"/>
    <x v="4"/>
    <n v="564.41999999999996"/>
    <n v="2031.9119999999998"/>
  </r>
  <r>
    <s v="T00112"/>
    <d v="2024-01-09T00:00:00"/>
    <s v="C139"/>
    <s v="P022"/>
    <s v="S001"/>
    <n v="5"/>
    <n v="0"/>
    <x v="2"/>
    <s v="Alexander Mcfarland"/>
    <x v="9"/>
    <x v="2"/>
    <x v="3"/>
    <n v="25.57"/>
    <n v="127.85"/>
  </r>
  <r>
    <s v="T00113"/>
    <d v="2024-10-07T00:00:00"/>
    <s v="C162"/>
    <s v="P024"/>
    <s v="S003"/>
    <n v="2"/>
    <n v="0"/>
    <x v="1"/>
    <s v="Jill Roach"/>
    <x v="14"/>
    <x v="1"/>
    <x v="0"/>
    <n v="1487.41"/>
    <n v="2974.82"/>
  </r>
  <r>
    <s v="T00114"/>
    <d v="2025-01-18T00:00:00"/>
    <s v="C026"/>
    <s v="P027"/>
    <s v="S001"/>
    <n v="4"/>
    <n v="0.05"/>
    <x v="0"/>
    <s v="Justin Macdonald"/>
    <x v="34"/>
    <x v="1"/>
    <x v="3"/>
    <n v="1272.23"/>
    <n v="4834.4740000000002"/>
  </r>
  <r>
    <s v="T00115"/>
    <d v="2025-06-13T00:00:00"/>
    <s v="C008"/>
    <s v="P038"/>
    <s v="S001"/>
    <n v="3"/>
    <n v="0"/>
    <x v="0"/>
    <s v="Isaiah Williams"/>
    <x v="41"/>
    <x v="0"/>
    <x v="3"/>
    <n v="366.93"/>
    <n v="1100.79"/>
  </r>
  <r>
    <s v="T00116"/>
    <d v="2024-02-14T00:00:00"/>
    <s v="C092"/>
    <s v="P033"/>
    <s v="S003"/>
    <n v="4"/>
    <n v="0.05"/>
    <x v="2"/>
    <s v="Lindsey Holder"/>
    <x v="16"/>
    <x v="0"/>
    <x v="0"/>
    <n v="1798.97"/>
    <n v="6836.0859999999993"/>
  </r>
  <r>
    <s v="T00117"/>
    <d v="2024-06-08T00:00:00"/>
    <s v="C136"/>
    <s v="P006"/>
    <s v="S004"/>
    <n v="5"/>
    <n v="0.05"/>
    <x v="2"/>
    <s v="Amanda Garcia"/>
    <x v="35"/>
    <x v="2"/>
    <x v="1"/>
    <n v="318.05"/>
    <n v="1510.7375"/>
  </r>
  <r>
    <s v="T00118"/>
    <d v="2024-07-01T00:00:00"/>
    <s v="C045"/>
    <s v="P037"/>
    <s v="S001"/>
    <n v="5"/>
    <n v="0.15"/>
    <x v="2"/>
    <s v="Kelly Shaw"/>
    <x v="27"/>
    <x v="1"/>
    <x v="3"/>
    <n v="1952.65"/>
    <n v="8298.7624999999989"/>
  </r>
  <r>
    <s v="T00119"/>
    <d v="2024-09-16T00:00:00"/>
    <s v="C128"/>
    <s v="P033"/>
    <s v="S005"/>
    <n v="2"/>
    <n v="0.05"/>
    <x v="1"/>
    <s v="Robert Collins"/>
    <x v="16"/>
    <x v="0"/>
    <x v="4"/>
    <n v="1798.97"/>
    <n v="3418.0429999999997"/>
  </r>
  <r>
    <s v="T00120"/>
    <d v="2024-10-26T00:00:00"/>
    <s v="C164"/>
    <s v="P024"/>
    <s v="S003"/>
    <n v="4"/>
    <n v="0.1"/>
    <x v="3"/>
    <s v="Linda Vasquez"/>
    <x v="14"/>
    <x v="1"/>
    <x v="0"/>
    <n v="1487.41"/>
    <n v="5354.6760000000004"/>
  </r>
  <r>
    <s v="T00121"/>
    <d v="2025-03-19T00:00:00"/>
    <s v="C120"/>
    <s v="P018"/>
    <s v="S003"/>
    <n v="5"/>
    <n v="0.05"/>
    <x v="3"/>
    <s v="Curtis Faulkner"/>
    <x v="19"/>
    <x v="1"/>
    <x v="0"/>
    <n v="1079.8900000000001"/>
    <n v="5129.4775000000009"/>
  </r>
  <r>
    <s v="T00122"/>
    <d v="2025-01-22T00:00:00"/>
    <s v="C114"/>
    <s v="P030"/>
    <s v="S003"/>
    <n v="5"/>
    <n v="0.1"/>
    <x v="1"/>
    <s v="Miranda Rodriguez"/>
    <x v="1"/>
    <x v="0"/>
    <x v="0"/>
    <n v="29.24"/>
    <n v="131.57999999999998"/>
  </r>
  <r>
    <s v="T00123"/>
    <d v="2025-03-30T00:00:00"/>
    <s v="C177"/>
    <s v="P042"/>
    <s v="S003"/>
    <n v="4"/>
    <n v="0.1"/>
    <x v="2"/>
    <s v="Anthony Gould"/>
    <x v="10"/>
    <x v="0"/>
    <x v="0"/>
    <n v="453.62"/>
    <n v="1633.0320000000002"/>
  </r>
  <r>
    <s v="T00124"/>
    <d v="2024-01-04T00:00:00"/>
    <s v="C099"/>
    <s v="P016"/>
    <s v="S004"/>
    <n v="1"/>
    <n v="0.05"/>
    <x v="1"/>
    <s v="Kimberly Jones"/>
    <x v="13"/>
    <x v="0"/>
    <x v="1"/>
    <n v="1858.75"/>
    <n v="1765.8125"/>
  </r>
  <r>
    <s v="T00125"/>
    <d v="2024-06-14T00:00:00"/>
    <s v="C147"/>
    <s v="P003"/>
    <s v="S003"/>
    <n v="5"/>
    <n v="0.1"/>
    <x v="0"/>
    <s v="Crystal Garrison"/>
    <x v="46"/>
    <x v="0"/>
    <x v="0"/>
    <n v="337.63"/>
    <n v="1519.335"/>
  </r>
  <r>
    <s v="T00126"/>
    <d v="2023-10-21T00:00:00"/>
    <s v="C006"/>
    <s v="P001"/>
    <s v="S004"/>
    <n v="3"/>
    <n v="0"/>
    <x v="3"/>
    <s v="Danny Moore"/>
    <x v="31"/>
    <x v="1"/>
    <x v="1"/>
    <n v="1673.69"/>
    <n v="5021.07"/>
  </r>
  <r>
    <s v="T00127"/>
    <d v="2025-01-29T00:00:00"/>
    <s v="C156"/>
    <s v="P022"/>
    <s v="S004"/>
    <n v="3"/>
    <n v="0.05"/>
    <x v="0"/>
    <s v="George Young"/>
    <x v="9"/>
    <x v="2"/>
    <x v="1"/>
    <n v="25.57"/>
    <n v="72.874499999999998"/>
  </r>
  <r>
    <s v="T00128"/>
    <d v="2024-09-17T00:00:00"/>
    <s v="C057"/>
    <s v="P029"/>
    <s v="S002"/>
    <n v="5"/>
    <n v="0.1"/>
    <x v="2"/>
    <s v="Julie Gibson"/>
    <x v="47"/>
    <x v="0"/>
    <x v="2"/>
    <n v="1485.05"/>
    <n v="6682.7250000000004"/>
  </r>
  <r>
    <s v="T00129"/>
    <d v="2024-11-12T00:00:00"/>
    <s v="C161"/>
    <s v="P010"/>
    <s v="S001"/>
    <n v="1"/>
    <n v="0.1"/>
    <x v="1"/>
    <s v="Michael Perez"/>
    <x v="36"/>
    <x v="1"/>
    <x v="3"/>
    <n v="1194.1199999999999"/>
    <n v="1074.7079999999999"/>
  </r>
  <r>
    <s v="T00130"/>
    <d v="2025-06-29T00:00:00"/>
    <s v="C009"/>
    <s v="P003"/>
    <s v="S005"/>
    <n v="3"/>
    <n v="0.05"/>
    <x v="3"/>
    <s v="Richard Pacheco"/>
    <x v="46"/>
    <x v="0"/>
    <x v="4"/>
    <n v="337.63"/>
    <n v="962.24549999999999"/>
  </r>
  <r>
    <s v="T00131"/>
    <d v="2024-01-10T00:00:00"/>
    <s v="C076"/>
    <s v="P015"/>
    <s v="S003"/>
    <n v="4"/>
    <n v="0.05"/>
    <x v="2"/>
    <s v="Phyllis Durham"/>
    <x v="40"/>
    <x v="0"/>
    <x v="0"/>
    <n v="270.45"/>
    <n v="1027.7099999999998"/>
  </r>
  <r>
    <s v="T00132"/>
    <d v="2025-05-20T00:00:00"/>
    <s v="C034"/>
    <s v="P007"/>
    <s v="S005"/>
    <n v="3"/>
    <n v="0.1"/>
    <x v="2"/>
    <s v="Kari Miller"/>
    <x v="18"/>
    <x v="1"/>
    <x v="4"/>
    <n v="1474.12"/>
    <n v="3980.1239999999998"/>
  </r>
  <r>
    <s v="T00133"/>
    <d v="2024-04-14T00:00:00"/>
    <s v="C066"/>
    <s v="P016"/>
    <s v="S004"/>
    <n v="3"/>
    <n v="0.1"/>
    <x v="3"/>
    <s v="Jason Jenkins"/>
    <x v="13"/>
    <x v="0"/>
    <x v="1"/>
    <n v="1858.75"/>
    <n v="5018.625"/>
  </r>
  <r>
    <s v="T00134"/>
    <d v="2024-05-26T00:00:00"/>
    <s v="C120"/>
    <s v="P045"/>
    <s v="S001"/>
    <n v="2"/>
    <n v="0.05"/>
    <x v="1"/>
    <s v="Curtis Faulkner"/>
    <x v="8"/>
    <x v="2"/>
    <x v="3"/>
    <n v="1879.08"/>
    <n v="3570.2519999999995"/>
  </r>
  <r>
    <s v="T00135"/>
    <d v="2024-08-30T00:00:00"/>
    <s v="C143"/>
    <s v="P025"/>
    <s v="S003"/>
    <n v="1"/>
    <n v="0.15"/>
    <x v="3"/>
    <s v="Cynthia Carlson"/>
    <x v="33"/>
    <x v="0"/>
    <x v="0"/>
    <n v="429.15"/>
    <n v="364.77749999999997"/>
  </r>
  <r>
    <s v="T00136"/>
    <d v="2024-07-12T00:00:00"/>
    <s v="C068"/>
    <s v="P037"/>
    <s v="S005"/>
    <n v="1"/>
    <n v="0.15"/>
    <x v="0"/>
    <s v="Alexandra Montoya"/>
    <x v="27"/>
    <x v="1"/>
    <x v="4"/>
    <n v="1952.65"/>
    <n v="1659.7525000000001"/>
  </r>
  <r>
    <s v="T00137"/>
    <d v="2024-05-26T00:00:00"/>
    <s v="C173"/>
    <s v="P024"/>
    <s v="S003"/>
    <n v="5"/>
    <n v="0.15"/>
    <x v="0"/>
    <s v="Lisa Ruiz"/>
    <x v="14"/>
    <x v="1"/>
    <x v="0"/>
    <n v="1487.41"/>
    <n v="6321.4925000000003"/>
  </r>
  <r>
    <s v="T00138"/>
    <d v="2024-01-21T00:00:00"/>
    <s v="C028"/>
    <s v="P028"/>
    <s v="S002"/>
    <n v="4"/>
    <n v="0"/>
    <x v="0"/>
    <s v="John Carr"/>
    <x v="25"/>
    <x v="1"/>
    <x v="2"/>
    <n v="673.78"/>
    <n v="2695.12"/>
  </r>
  <r>
    <s v="T00139"/>
    <d v="2023-12-31T00:00:00"/>
    <s v="C157"/>
    <s v="P027"/>
    <s v="S002"/>
    <n v="1"/>
    <n v="0.15"/>
    <x v="0"/>
    <s v="Connie Terry"/>
    <x v="34"/>
    <x v="1"/>
    <x v="2"/>
    <n v="1272.23"/>
    <n v="1081.3955000000001"/>
  </r>
  <r>
    <s v="T00140"/>
    <d v="2025-02-03T00:00:00"/>
    <s v="C167"/>
    <s v="P030"/>
    <s v="S004"/>
    <n v="1"/>
    <n v="0.05"/>
    <x v="3"/>
    <s v="Kimberly Lin"/>
    <x v="1"/>
    <x v="0"/>
    <x v="1"/>
    <n v="29.24"/>
    <n v="27.777999999999999"/>
  </r>
  <r>
    <s v="T00141"/>
    <d v="2023-11-23T00:00:00"/>
    <s v="C010"/>
    <s v="P024"/>
    <s v="S003"/>
    <n v="4"/>
    <n v="0"/>
    <x v="3"/>
    <s v="Catherine Rice"/>
    <x v="14"/>
    <x v="1"/>
    <x v="0"/>
    <n v="1487.41"/>
    <n v="5949.64"/>
  </r>
  <r>
    <s v="T00142"/>
    <d v="2024-09-27T00:00:00"/>
    <s v="C061"/>
    <s v="P049"/>
    <s v="S005"/>
    <n v="2"/>
    <n v="0.15"/>
    <x v="1"/>
    <s v="Heather Russell"/>
    <x v="29"/>
    <x v="0"/>
    <x v="4"/>
    <n v="388.26"/>
    <n v="660.04199999999992"/>
  </r>
  <r>
    <s v="T00143"/>
    <d v="2025-08-09T00:00:00"/>
    <s v="C095"/>
    <s v="P033"/>
    <s v="S005"/>
    <n v="4"/>
    <n v="0.05"/>
    <x v="1"/>
    <s v="Kevin Snyder"/>
    <x v="16"/>
    <x v="0"/>
    <x v="4"/>
    <n v="1798.97"/>
    <n v="6836.0859999999993"/>
  </r>
  <r>
    <s v="T00144"/>
    <d v="2023-12-18T00:00:00"/>
    <s v="C168"/>
    <s v="P044"/>
    <s v="S001"/>
    <n v="4"/>
    <n v="0.15"/>
    <x v="0"/>
    <s v="Richard Jones"/>
    <x v="32"/>
    <x v="0"/>
    <x v="3"/>
    <n v="1286.55"/>
    <n v="4374.2699999999995"/>
  </r>
  <r>
    <s v="T00145"/>
    <d v="2025-03-10T00:00:00"/>
    <s v="C009"/>
    <s v="P009"/>
    <s v="S003"/>
    <n v="2"/>
    <n v="0.15"/>
    <x v="1"/>
    <s v="Richard Pacheco"/>
    <x v="5"/>
    <x v="2"/>
    <x v="0"/>
    <n v="123.19"/>
    <n v="209.423"/>
  </r>
  <r>
    <s v="T00146"/>
    <d v="2024-05-12T00:00:00"/>
    <s v="C061"/>
    <s v="P039"/>
    <s v="S003"/>
    <n v="1"/>
    <n v="0.1"/>
    <x v="0"/>
    <s v="Heather Russell"/>
    <x v="22"/>
    <x v="0"/>
    <x v="0"/>
    <n v="540.94000000000005"/>
    <n v="486.84600000000006"/>
  </r>
  <r>
    <s v="T00147"/>
    <d v="2024-09-17T00:00:00"/>
    <s v="C016"/>
    <s v="P035"/>
    <s v="S004"/>
    <n v="3"/>
    <n v="0.05"/>
    <x v="3"/>
    <s v="Miguel Johnson"/>
    <x v="7"/>
    <x v="1"/>
    <x v="1"/>
    <n v="1562.43"/>
    <n v="4452.9254999999994"/>
  </r>
  <r>
    <s v="T00148"/>
    <d v="2024-04-09T00:00:00"/>
    <s v="C117"/>
    <s v="P016"/>
    <s v="S001"/>
    <n v="2"/>
    <n v="0"/>
    <x v="3"/>
    <s v="Timothy Beck"/>
    <x v="13"/>
    <x v="0"/>
    <x v="3"/>
    <n v="1858.75"/>
    <n v="3717.5"/>
  </r>
  <r>
    <s v="T00149"/>
    <d v="2023-10-16T00:00:00"/>
    <s v="C086"/>
    <s v="P014"/>
    <s v="S002"/>
    <n v="2"/>
    <n v="0.05"/>
    <x v="3"/>
    <s v="Lawrence Hunter"/>
    <x v="0"/>
    <x v="0"/>
    <x v="2"/>
    <n v="1342.75"/>
    <n v="2551.2249999999999"/>
  </r>
  <r>
    <s v="T00150"/>
    <d v="2024-08-30T00:00:00"/>
    <s v="C196"/>
    <s v="P029"/>
    <s v="S005"/>
    <n v="2"/>
    <n v="0.05"/>
    <x v="2"/>
    <s v="James Noble"/>
    <x v="47"/>
    <x v="0"/>
    <x v="4"/>
    <n v="1485.05"/>
    <n v="2821.5949999999998"/>
  </r>
  <r>
    <s v="T00151"/>
    <d v="2024-09-04T00:00:00"/>
    <s v="C085"/>
    <s v="P021"/>
    <s v="S002"/>
    <n v="5"/>
    <n v="0"/>
    <x v="0"/>
    <s v="Juan Ramirez"/>
    <x v="23"/>
    <x v="2"/>
    <x v="2"/>
    <n v="1227.24"/>
    <n v="6136.2"/>
  </r>
  <r>
    <s v="T00152"/>
    <d v="2024-10-21T00:00:00"/>
    <s v="C038"/>
    <s v="P044"/>
    <s v="S002"/>
    <n v="5"/>
    <n v="0.1"/>
    <x v="2"/>
    <s v="Tracey Davis"/>
    <x v="32"/>
    <x v="0"/>
    <x v="2"/>
    <n v="1286.55"/>
    <n v="5789.4750000000004"/>
  </r>
  <r>
    <s v="T00153"/>
    <d v="2024-04-20T00:00:00"/>
    <s v="C029"/>
    <s v="P006"/>
    <s v="S001"/>
    <n v="2"/>
    <n v="0"/>
    <x v="0"/>
    <s v="Tyler Levine"/>
    <x v="35"/>
    <x v="2"/>
    <x v="3"/>
    <n v="318.05"/>
    <n v="636.1"/>
  </r>
  <r>
    <s v="T00154"/>
    <d v="2025-07-02T00:00:00"/>
    <s v="C061"/>
    <s v="P026"/>
    <s v="S005"/>
    <n v="3"/>
    <n v="0"/>
    <x v="2"/>
    <s v="Heather Russell"/>
    <x v="15"/>
    <x v="2"/>
    <x v="4"/>
    <n v="1015.76"/>
    <n v="3047.2799999999997"/>
  </r>
  <r>
    <s v="T00155"/>
    <d v="2024-07-25T00:00:00"/>
    <s v="C068"/>
    <s v="P014"/>
    <s v="S001"/>
    <n v="2"/>
    <n v="0.15"/>
    <x v="3"/>
    <s v="Alexandra Montoya"/>
    <x v="0"/>
    <x v="0"/>
    <x v="3"/>
    <n v="1342.75"/>
    <n v="2282.6749999999997"/>
  </r>
  <r>
    <s v="T00156"/>
    <d v="2024-11-19T00:00:00"/>
    <s v="C191"/>
    <s v="P008"/>
    <s v="S001"/>
    <n v="4"/>
    <n v="0.15"/>
    <x v="0"/>
    <s v="Karen Quinn"/>
    <x v="48"/>
    <x v="0"/>
    <x v="3"/>
    <n v="109.78"/>
    <n v="373.25200000000001"/>
  </r>
  <r>
    <s v="T00157"/>
    <d v="2024-09-29T00:00:00"/>
    <s v="C132"/>
    <s v="P003"/>
    <s v="S005"/>
    <n v="1"/>
    <n v="0.15"/>
    <x v="2"/>
    <s v="Jared Ochoa"/>
    <x v="46"/>
    <x v="0"/>
    <x v="4"/>
    <n v="337.63"/>
    <n v="286.9855"/>
  </r>
  <r>
    <s v="T00158"/>
    <d v="2024-08-22T00:00:00"/>
    <s v="C158"/>
    <s v="P023"/>
    <s v="S001"/>
    <n v="5"/>
    <n v="0.1"/>
    <x v="1"/>
    <s v="Crystal Aguirre"/>
    <x v="20"/>
    <x v="0"/>
    <x v="3"/>
    <n v="1878.47"/>
    <n v="8453.1149999999998"/>
  </r>
  <r>
    <s v="T00159"/>
    <d v="2025-08-03T00:00:00"/>
    <s v="C165"/>
    <s v="P042"/>
    <s v="S001"/>
    <n v="1"/>
    <n v="0.15"/>
    <x v="1"/>
    <s v="Tanya Mueller"/>
    <x v="10"/>
    <x v="0"/>
    <x v="3"/>
    <n v="453.62"/>
    <n v="385.577"/>
  </r>
  <r>
    <s v="T00160"/>
    <d v="2023-10-06T00:00:00"/>
    <s v="C110"/>
    <s v="P021"/>
    <s v="S001"/>
    <n v="4"/>
    <n v="0.15"/>
    <x v="3"/>
    <s v="Travis Peters"/>
    <x v="23"/>
    <x v="2"/>
    <x v="3"/>
    <n v="1227.24"/>
    <n v="4172.616"/>
  </r>
  <r>
    <s v="T00161"/>
    <d v="2025-05-17T00:00:00"/>
    <s v="C021"/>
    <s v="P046"/>
    <s v="S003"/>
    <n v="5"/>
    <n v="0.05"/>
    <x v="3"/>
    <s v="Debbie Martin"/>
    <x v="42"/>
    <x v="0"/>
    <x v="0"/>
    <n v="1165.3699999999999"/>
    <n v="5535.5074999999988"/>
  </r>
  <r>
    <s v="T00162"/>
    <d v="2024-05-03T00:00:00"/>
    <s v="C033"/>
    <s v="P029"/>
    <s v="S003"/>
    <n v="5"/>
    <n v="0.1"/>
    <x v="1"/>
    <s v="Jenny Beck"/>
    <x v="47"/>
    <x v="0"/>
    <x v="0"/>
    <n v="1485.05"/>
    <n v="6682.7250000000004"/>
  </r>
  <r>
    <s v="T00163"/>
    <d v="2025-03-16T00:00:00"/>
    <s v="C153"/>
    <s v="P033"/>
    <s v="S005"/>
    <n v="3"/>
    <n v="0.15"/>
    <x v="1"/>
    <s v="Nancy Gordon"/>
    <x v="16"/>
    <x v="0"/>
    <x v="4"/>
    <n v="1798.97"/>
    <n v="4587.3734999999997"/>
  </r>
  <r>
    <s v="T00164"/>
    <d v="2024-07-28T00:00:00"/>
    <s v="C026"/>
    <s v="P003"/>
    <s v="S001"/>
    <n v="5"/>
    <n v="0.05"/>
    <x v="1"/>
    <s v="Justin Macdonald"/>
    <x v="46"/>
    <x v="0"/>
    <x v="3"/>
    <n v="337.63"/>
    <n v="1603.7425000000001"/>
  </r>
  <r>
    <s v="T00165"/>
    <d v="2025-08-19T00:00:00"/>
    <s v="C116"/>
    <s v="P005"/>
    <s v="S002"/>
    <n v="4"/>
    <n v="0.1"/>
    <x v="1"/>
    <s v="Jamie Webb"/>
    <x v="6"/>
    <x v="0"/>
    <x v="2"/>
    <n v="1396.22"/>
    <n v="5026.3919999999998"/>
  </r>
  <r>
    <s v="T00166"/>
    <d v="2025-01-28T00:00:00"/>
    <s v="C103"/>
    <s v="P030"/>
    <s v="S004"/>
    <n v="1"/>
    <n v="0.1"/>
    <x v="1"/>
    <s v="David Burns"/>
    <x v="1"/>
    <x v="0"/>
    <x v="1"/>
    <n v="29.24"/>
    <n v="26.315999999999999"/>
  </r>
  <r>
    <s v="T00167"/>
    <d v="2023-10-22T00:00:00"/>
    <s v="C081"/>
    <s v="P038"/>
    <s v="S003"/>
    <n v="3"/>
    <n v="0.05"/>
    <x v="1"/>
    <s v="Sarah Reynolds"/>
    <x v="41"/>
    <x v="0"/>
    <x v="0"/>
    <n v="366.93"/>
    <n v="1045.7504999999999"/>
  </r>
  <r>
    <s v="T00168"/>
    <d v="2024-03-11T00:00:00"/>
    <s v="C018"/>
    <s v="P022"/>
    <s v="S001"/>
    <n v="1"/>
    <n v="0"/>
    <x v="1"/>
    <s v="Breanna Davis"/>
    <x v="9"/>
    <x v="2"/>
    <x v="3"/>
    <n v="25.57"/>
    <n v="25.57"/>
  </r>
  <r>
    <s v="T00169"/>
    <d v="2024-08-01T00:00:00"/>
    <s v="C025"/>
    <s v="P018"/>
    <s v="S003"/>
    <n v="2"/>
    <n v="0"/>
    <x v="0"/>
    <s v="Cheryl Gilbert"/>
    <x v="19"/>
    <x v="1"/>
    <x v="0"/>
    <n v="1079.8900000000001"/>
    <n v="2159.7800000000002"/>
  </r>
  <r>
    <s v="T00170"/>
    <d v="2024-02-25T00:00:00"/>
    <s v="C172"/>
    <s v="P044"/>
    <s v="S001"/>
    <n v="4"/>
    <n v="0.1"/>
    <x v="1"/>
    <s v="Michelle Smith"/>
    <x v="32"/>
    <x v="0"/>
    <x v="3"/>
    <n v="1286.55"/>
    <n v="4631.58"/>
  </r>
  <r>
    <s v="T00171"/>
    <d v="2023-12-23T00:00:00"/>
    <s v="C185"/>
    <s v="P035"/>
    <s v="S001"/>
    <n v="3"/>
    <n v="0.1"/>
    <x v="0"/>
    <s v="Joe Vincent"/>
    <x v="7"/>
    <x v="1"/>
    <x v="3"/>
    <n v="1562.43"/>
    <n v="4218.5609999999997"/>
  </r>
  <r>
    <s v="T00172"/>
    <d v="2025-01-18T00:00:00"/>
    <s v="C027"/>
    <s v="P045"/>
    <s v="S005"/>
    <n v="5"/>
    <n v="0.05"/>
    <x v="2"/>
    <s v="Jacqueline Martin"/>
    <x v="8"/>
    <x v="2"/>
    <x v="4"/>
    <n v="1879.08"/>
    <n v="8925.6299999999992"/>
  </r>
  <r>
    <s v="T00173"/>
    <d v="2024-09-02T00:00:00"/>
    <s v="C169"/>
    <s v="P027"/>
    <s v="S004"/>
    <n v="2"/>
    <n v="0"/>
    <x v="0"/>
    <s v="Travis Watson"/>
    <x v="34"/>
    <x v="1"/>
    <x v="1"/>
    <n v="1272.23"/>
    <n v="2544.46"/>
  </r>
  <r>
    <s v="T00174"/>
    <d v="2025-05-22T00:00:00"/>
    <s v="C143"/>
    <s v="P010"/>
    <s v="S003"/>
    <n v="1"/>
    <n v="0.1"/>
    <x v="2"/>
    <s v="Cynthia Carlson"/>
    <x v="36"/>
    <x v="1"/>
    <x v="0"/>
    <n v="1194.1199999999999"/>
    <n v="1074.7079999999999"/>
  </r>
  <r>
    <s v="T00175"/>
    <d v="2024-11-27T00:00:00"/>
    <s v="C110"/>
    <s v="P006"/>
    <s v="S005"/>
    <n v="5"/>
    <n v="0"/>
    <x v="0"/>
    <s v="Travis Peters"/>
    <x v="35"/>
    <x v="2"/>
    <x v="4"/>
    <n v="318.05"/>
    <n v="1590.25"/>
  </r>
  <r>
    <s v="T00176"/>
    <d v="2025-08-13T00:00:00"/>
    <s v="C008"/>
    <s v="P012"/>
    <s v="S002"/>
    <n v="3"/>
    <n v="0.1"/>
    <x v="0"/>
    <s v="Isaiah Williams"/>
    <x v="38"/>
    <x v="1"/>
    <x v="2"/>
    <n v="1193.0899999999999"/>
    <n v="3221.3429999999998"/>
  </r>
  <r>
    <s v="T00177"/>
    <d v="2025-08-17T00:00:00"/>
    <s v="C090"/>
    <s v="P023"/>
    <s v="S001"/>
    <n v="2"/>
    <n v="0.05"/>
    <x v="1"/>
    <s v="Carrie Peterson"/>
    <x v="20"/>
    <x v="0"/>
    <x v="3"/>
    <n v="1878.47"/>
    <n v="3569.0929999999998"/>
  </r>
  <r>
    <s v="T00178"/>
    <d v="2024-04-08T00:00:00"/>
    <s v="C018"/>
    <s v="P016"/>
    <s v="S002"/>
    <n v="1"/>
    <n v="0"/>
    <x v="2"/>
    <s v="Breanna Davis"/>
    <x v="13"/>
    <x v="0"/>
    <x v="2"/>
    <n v="1858.75"/>
    <n v="1858.75"/>
  </r>
  <r>
    <s v="T00179"/>
    <d v="2024-04-05T00:00:00"/>
    <s v="C097"/>
    <s v="P020"/>
    <s v="S004"/>
    <n v="4"/>
    <n v="0.1"/>
    <x v="2"/>
    <s v="Evelyn Gray"/>
    <x v="24"/>
    <x v="0"/>
    <x v="1"/>
    <n v="323.92"/>
    <n v="1166.1120000000001"/>
  </r>
  <r>
    <s v="T00180"/>
    <d v="2024-06-04T00:00:00"/>
    <s v="C095"/>
    <s v="P009"/>
    <s v="S003"/>
    <n v="3"/>
    <n v="0"/>
    <x v="3"/>
    <s v="Kevin Snyder"/>
    <x v="5"/>
    <x v="2"/>
    <x v="0"/>
    <n v="123.19"/>
    <n v="369.57"/>
  </r>
  <r>
    <s v="T00181"/>
    <d v="2024-06-28T00:00:00"/>
    <s v="C040"/>
    <s v="P030"/>
    <s v="S002"/>
    <n v="5"/>
    <n v="0"/>
    <x v="3"/>
    <s v="Scott Powell"/>
    <x v="1"/>
    <x v="0"/>
    <x v="2"/>
    <n v="29.24"/>
    <n v="146.19999999999999"/>
  </r>
  <r>
    <s v="T00182"/>
    <d v="2023-12-31T00:00:00"/>
    <s v="C070"/>
    <s v="P029"/>
    <s v="S004"/>
    <n v="4"/>
    <n v="0.15"/>
    <x v="1"/>
    <s v="Eric Bryan"/>
    <x v="47"/>
    <x v="0"/>
    <x v="1"/>
    <n v="1485.05"/>
    <n v="5049.17"/>
  </r>
  <r>
    <s v="T00183"/>
    <d v="2025-05-21T00:00:00"/>
    <s v="C107"/>
    <s v="P012"/>
    <s v="S003"/>
    <n v="2"/>
    <n v="0"/>
    <x v="0"/>
    <s v="Victoria Hansen"/>
    <x v="38"/>
    <x v="1"/>
    <x v="0"/>
    <n v="1193.0899999999999"/>
    <n v="2386.1799999999998"/>
  </r>
  <r>
    <s v="T00184"/>
    <d v="2024-08-23T00:00:00"/>
    <s v="C111"/>
    <s v="P002"/>
    <s v="S001"/>
    <n v="3"/>
    <n v="0.15"/>
    <x v="0"/>
    <s v="Dylan Booker"/>
    <x v="2"/>
    <x v="1"/>
    <x v="3"/>
    <n v="818.76"/>
    <n v="2087.8379999999997"/>
  </r>
  <r>
    <s v="T00185"/>
    <d v="2025-07-02T00:00:00"/>
    <s v="C012"/>
    <s v="P030"/>
    <s v="S002"/>
    <n v="4"/>
    <n v="0"/>
    <x v="3"/>
    <s v="Dale Perry"/>
    <x v="1"/>
    <x v="0"/>
    <x v="2"/>
    <n v="29.24"/>
    <n v="116.96"/>
  </r>
  <r>
    <s v="T00186"/>
    <d v="2024-06-21T00:00:00"/>
    <s v="C053"/>
    <s v="P029"/>
    <s v="S003"/>
    <n v="2"/>
    <n v="0.05"/>
    <x v="0"/>
    <s v="Felicia Morgan"/>
    <x v="47"/>
    <x v="0"/>
    <x v="0"/>
    <n v="1485.05"/>
    <n v="2821.5949999999998"/>
  </r>
  <r>
    <s v="T00187"/>
    <d v="2024-09-26T00:00:00"/>
    <s v="C075"/>
    <s v="P013"/>
    <s v="S003"/>
    <n v="1"/>
    <n v="0"/>
    <x v="1"/>
    <s v="Seth Moore"/>
    <x v="21"/>
    <x v="0"/>
    <x v="0"/>
    <n v="1134.8"/>
    <n v="1134.8"/>
  </r>
  <r>
    <s v="T00188"/>
    <d v="2024-04-22T00:00:00"/>
    <s v="C192"/>
    <s v="P016"/>
    <s v="S004"/>
    <n v="2"/>
    <n v="0.05"/>
    <x v="1"/>
    <s v="James Wilson"/>
    <x v="13"/>
    <x v="0"/>
    <x v="1"/>
    <n v="1858.75"/>
    <n v="3531.625"/>
  </r>
  <r>
    <s v="T00189"/>
    <d v="2025-03-26T00:00:00"/>
    <s v="C137"/>
    <s v="P044"/>
    <s v="S002"/>
    <n v="5"/>
    <n v="0.1"/>
    <x v="3"/>
    <s v="Gary Lopez"/>
    <x v="32"/>
    <x v="0"/>
    <x v="2"/>
    <n v="1286.55"/>
    <n v="5789.4750000000004"/>
  </r>
  <r>
    <s v="T00190"/>
    <d v="2025-05-30T00:00:00"/>
    <s v="C102"/>
    <s v="P020"/>
    <s v="S001"/>
    <n v="4"/>
    <n v="0"/>
    <x v="1"/>
    <s v="Carolyn Perez"/>
    <x v="24"/>
    <x v="0"/>
    <x v="3"/>
    <n v="323.92"/>
    <n v="1295.68"/>
  </r>
  <r>
    <s v="T00191"/>
    <d v="2023-09-24T00:00:00"/>
    <s v="C020"/>
    <s v="P007"/>
    <s v="S003"/>
    <n v="5"/>
    <n v="0.15"/>
    <x v="1"/>
    <s v="Ryan Cole"/>
    <x v="18"/>
    <x v="1"/>
    <x v="0"/>
    <n v="1474.12"/>
    <n v="6265.0099999999993"/>
  </r>
  <r>
    <s v="T00192"/>
    <d v="2023-10-27T00:00:00"/>
    <s v="C182"/>
    <s v="P019"/>
    <s v="S004"/>
    <n v="3"/>
    <n v="0"/>
    <x v="1"/>
    <s v="Meghan Wright"/>
    <x v="26"/>
    <x v="1"/>
    <x v="1"/>
    <n v="1762.92"/>
    <n v="5288.76"/>
  </r>
  <r>
    <s v="T00193"/>
    <d v="2025-01-13T00:00:00"/>
    <s v="C006"/>
    <s v="P027"/>
    <s v="S003"/>
    <n v="2"/>
    <n v="0.15"/>
    <x v="0"/>
    <s v="Danny Moore"/>
    <x v="34"/>
    <x v="1"/>
    <x v="0"/>
    <n v="1272.23"/>
    <n v="2162.7910000000002"/>
  </r>
  <r>
    <s v="T00194"/>
    <d v="2023-12-08T00:00:00"/>
    <s v="C023"/>
    <s v="P010"/>
    <s v="S004"/>
    <n v="1"/>
    <n v="0.05"/>
    <x v="1"/>
    <s v="Mark Martinez"/>
    <x v="36"/>
    <x v="1"/>
    <x v="1"/>
    <n v="1194.1199999999999"/>
    <n v="1134.4139999999998"/>
  </r>
  <r>
    <s v="T00195"/>
    <d v="2025-06-07T00:00:00"/>
    <s v="C151"/>
    <s v="P016"/>
    <s v="S004"/>
    <n v="5"/>
    <n v="0"/>
    <x v="1"/>
    <s v="Dawn Fletcher"/>
    <x v="13"/>
    <x v="0"/>
    <x v="1"/>
    <n v="1858.75"/>
    <n v="9293.75"/>
  </r>
  <r>
    <s v="T00196"/>
    <d v="2024-09-07T00:00:00"/>
    <s v="C080"/>
    <s v="P011"/>
    <s v="S003"/>
    <n v="2"/>
    <n v="0.1"/>
    <x v="2"/>
    <s v="Grace Garcia"/>
    <x v="17"/>
    <x v="1"/>
    <x v="0"/>
    <n v="248.57"/>
    <n v="447.42599999999999"/>
  </r>
  <r>
    <s v="T00197"/>
    <d v="2024-05-23T00:00:00"/>
    <s v="C020"/>
    <s v="P025"/>
    <s v="S005"/>
    <n v="1"/>
    <n v="0.05"/>
    <x v="0"/>
    <s v="Ryan Cole"/>
    <x v="33"/>
    <x v="0"/>
    <x v="4"/>
    <n v="429.15"/>
    <n v="407.69249999999994"/>
  </r>
  <r>
    <s v="T00198"/>
    <d v="2025-03-14T00:00:00"/>
    <s v="C090"/>
    <s v="P025"/>
    <s v="S002"/>
    <n v="2"/>
    <n v="0"/>
    <x v="2"/>
    <s v="Carrie Peterson"/>
    <x v="33"/>
    <x v="0"/>
    <x v="2"/>
    <n v="429.15"/>
    <n v="858.3"/>
  </r>
  <r>
    <s v="T00199"/>
    <d v="2025-08-05T00:00:00"/>
    <s v="C066"/>
    <s v="P025"/>
    <s v="S002"/>
    <n v="2"/>
    <n v="0.05"/>
    <x v="3"/>
    <s v="Jason Jenkins"/>
    <x v="33"/>
    <x v="0"/>
    <x v="2"/>
    <n v="429.15"/>
    <n v="815.38499999999988"/>
  </r>
  <r>
    <s v="T00200"/>
    <d v="2023-11-30T00:00:00"/>
    <s v="C046"/>
    <s v="P044"/>
    <s v="S004"/>
    <n v="4"/>
    <n v="0.15"/>
    <x v="0"/>
    <s v="Dennis Poole"/>
    <x v="32"/>
    <x v="0"/>
    <x v="1"/>
    <n v="1286.55"/>
    <n v="4374.2699999999995"/>
  </r>
  <r>
    <s v="T00201"/>
    <d v="2023-09-27T00:00:00"/>
    <s v="C161"/>
    <s v="P042"/>
    <s v="S003"/>
    <n v="2"/>
    <n v="0.15"/>
    <x v="3"/>
    <s v="Michael Perez"/>
    <x v="10"/>
    <x v="0"/>
    <x v="0"/>
    <n v="453.62"/>
    <n v="771.154"/>
  </r>
  <r>
    <s v="T00202"/>
    <d v="2024-01-04T00:00:00"/>
    <s v="C121"/>
    <s v="P027"/>
    <s v="S004"/>
    <n v="3"/>
    <n v="0.1"/>
    <x v="3"/>
    <s v="John Bell"/>
    <x v="34"/>
    <x v="1"/>
    <x v="1"/>
    <n v="1272.23"/>
    <n v="3435.0210000000002"/>
  </r>
  <r>
    <s v="T00203"/>
    <d v="2024-01-08T00:00:00"/>
    <s v="C091"/>
    <s v="P017"/>
    <s v="S005"/>
    <n v="1"/>
    <n v="0.1"/>
    <x v="1"/>
    <s v="Brian Fowler"/>
    <x v="43"/>
    <x v="1"/>
    <x v="4"/>
    <n v="1246.1099999999999"/>
    <n v="1121.499"/>
  </r>
  <r>
    <s v="T00204"/>
    <d v="2025-07-24T00:00:00"/>
    <s v="C116"/>
    <s v="P050"/>
    <s v="S001"/>
    <n v="1"/>
    <n v="0.1"/>
    <x v="0"/>
    <s v="Jamie Webb"/>
    <x v="3"/>
    <x v="0"/>
    <x v="3"/>
    <n v="1044.6400000000001"/>
    <n v="940.17600000000016"/>
  </r>
  <r>
    <s v="T00205"/>
    <d v="2025-04-19T00:00:00"/>
    <s v="C020"/>
    <s v="P004"/>
    <s v="S001"/>
    <n v="5"/>
    <n v="0.15"/>
    <x v="1"/>
    <s v="Ryan Cole"/>
    <x v="49"/>
    <x v="0"/>
    <x v="3"/>
    <n v="1853.77"/>
    <n v="7878.5225"/>
  </r>
  <r>
    <s v="T00206"/>
    <d v="2023-10-14T00:00:00"/>
    <s v="C149"/>
    <s v="P043"/>
    <s v="S005"/>
    <n v="1"/>
    <n v="0.15"/>
    <x v="2"/>
    <s v="Melissa Torres"/>
    <x v="45"/>
    <x v="0"/>
    <x v="4"/>
    <n v="564.41999999999996"/>
    <n v="479.75699999999995"/>
  </r>
  <r>
    <s v="T00207"/>
    <d v="2023-10-30T00:00:00"/>
    <s v="C083"/>
    <s v="P035"/>
    <s v="S005"/>
    <n v="4"/>
    <n v="0.05"/>
    <x v="3"/>
    <s v="Jeremy Robles"/>
    <x v="7"/>
    <x v="1"/>
    <x v="4"/>
    <n v="1562.43"/>
    <n v="5937.2340000000004"/>
  </r>
  <r>
    <s v="T00208"/>
    <d v="2025-03-21T00:00:00"/>
    <s v="C116"/>
    <s v="P004"/>
    <s v="S001"/>
    <n v="3"/>
    <n v="0"/>
    <x v="2"/>
    <s v="Jamie Webb"/>
    <x v="49"/>
    <x v="0"/>
    <x v="3"/>
    <n v="1853.77"/>
    <n v="5561.3099999999995"/>
  </r>
  <r>
    <s v="T00209"/>
    <d v="2025-03-01T00:00:00"/>
    <s v="C011"/>
    <s v="P028"/>
    <s v="S002"/>
    <n v="4"/>
    <n v="0.15"/>
    <x v="2"/>
    <s v="Haley Williams"/>
    <x v="25"/>
    <x v="1"/>
    <x v="2"/>
    <n v="673.78"/>
    <n v="2290.8519999999999"/>
  </r>
  <r>
    <s v="T00210"/>
    <d v="2024-08-02T00:00:00"/>
    <s v="C094"/>
    <s v="P021"/>
    <s v="S003"/>
    <n v="3"/>
    <n v="0.15"/>
    <x v="1"/>
    <s v="Kimberly Stokes"/>
    <x v="23"/>
    <x v="2"/>
    <x v="0"/>
    <n v="1227.24"/>
    <n v="3129.462"/>
  </r>
  <r>
    <s v="T00211"/>
    <d v="2025-04-08T00:00:00"/>
    <s v="C199"/>
    <s v="P023"/>
    <s v="S003"/>
    <n v="5"/>
    <n v="0"/>
    <x v="0"/>
    <s v="Juan Johnson"/>
    <x v="20"/>
    <x v="0"/>
    <x v="0"/>
    <n v="1878.47"/>
    <n v="9392.35"/>
  </r>
  <r>
    <s v="T00212"/>
    <d v="2025-06-16T00:00:00"/>
    <s v="C017"/>
    <s v="P045"/>
    <s v="S003"/>
    <n v="1"/>
    <n v="0.15"/>
    <x v="0"/>
    <s v="Vanessa Anderson"/>
    <x v="8"/>
    <x v="2"/>
    <x v="0"/>
    <n v="1879.08"/>
    <n v="1597.2179999999998"/>
  </r>
  <r>
    <s v="T00213"/>
    <d v="2024-11-28T00:00:00"/>
    <s v="C065"/>
    <s v="P008"/>
    <s v="S005"/>
    <n v="2"/>
    <n v="0.1"/>
    <x v="3"/>
    <s v="Scott Duke"/>
    <x v="48"/>
    <x v="0"/>
    <x v="4"/>
    <n v="109.78"/>
    <n v="197.60400000000001"/>
  </r>
  <r>
    <s v="T00214"/>
    <d v="2024-10-10T00:00:00"/>
    <s v="C150"/>
    <s v="P025"/>
    <s v="S002"/>
    <n v="3"/>
    <n v="0.1"/>
    <x v="1"/>
    <s v="Francis Hernandez"/>
    <x v="33"/>
    <x v="0"/>
    <x v="2"/>
    <n v="429.15"/>
    <n v="1158.7049999999999"/>
  </r>
  <r>
    <s v="T00215"/>
    <d v="2025-06-10T00:00:00"/>
    <s v="C034"/>
    <s v="P034"/>
    <s v="S005"/>
    <n v="1"/>
    <n v="0.1"/>
    <x v="1"/>
    <s v="Kari Miller"/>
    <x v="12"/>
    <x v="1"/>
    <x v="4"/>
    <n v="428.05"/>
    <n v="385.245"/>
  </r>
  <r>
    <s v="T00216"/>
    <d v="2024-08-22T00:00:00"/>
    <s v="C165"/>
    <s v="P031"/>
    <s v="S003"/>
    <n v="2"/>
    <n v="0"/>
    <x v="1"/>
    <s v="Tanya Mueller"/>
    <x v="39"/>
    <x v="2"/>
    <x v="0"/>
    <n v="1095.72"/>
    <n v="2191.44"/>
  </r>
  <r>
    <s v="T00217"/>
    <d v="2024-12-27T00:00:00"/>
    <s v="C131"/>
    <s v="P048"/>
    <s v="S003"/>
    <n v="1"/>
    <n v="0.1"/>
    <x v="0"/>
    <s v="Denise Jackson"/>
    <x v="11"/>
    <x v="0"/>
    <x v="0"/>
    <n v="1216.3599999999999"/>
    <n v="1094.7239999999999"/>
  </r>
  <r>
    <s v="T00218"/>
    <d v="2024-03-10T00:00:00"/>
    <s v="C047"/>
    <s v="P048"/>
    <s v="S002"/>
    <n v="3"/>
    <n v="0.15"/>
    <x v="2"/>
    <s v="Mary Decker"/>
    <x v="11"/>
    <x v="0"/>
    <x v="2"/>
    <n v="1216.3599999999999"/>
    <n v="3101.7179999999998"/>
  </r>
  <r>
    <s v="T00219"/>
    <d v="2025-04-04T00:00:00"/>
    <s v="C058"/>
    <s v="P035"/>
    <s v="S002"/>
    <n v="2"/>
    <n v="0"/>
    <x v="0"/>
    <s v="Lawrence Stewart"/>
    <x v="7"/>
    <x v="1"/>
    <x v="2"/>
    <n v="1562.43"/>
    <n v="3124.86"/>
  </r>
  <r>
    <s v="T00220"/>
    <d v="2024-04-18T00:00:00"/>
    <s v="C026"/>
    <s v="P021"/>
    <s v="S005"/>
    <n v="5"/>
    <n v="0"/>
    <x v="0"/>
    <s v="Justin Macdonald"/>
    <x v="23"/>
    <x v="2"/>
    <x v="4"/>
    <n v="1227.24"/>
    <n v="6136.2"/>
  </r>
  <r>
    <s v="T00221"/>
    <d v="2025-07-29T00:00:00"/>
    <s v="C197"/>
    <s v="P002"/>
    <s v="S005"/>
    <n v="2"/>
    <n v="0.15"/>
    <x v="2"/>
    <s v="Matthew Dixon"/>
    <x v="2"/>
    <x v="1"/>
    <x v="4"/>
    <n v="818.76"/>
    <n v="1391.8920000000001"/>
  </r>
  <r>
    <s v="T00222"/>
    <d v="2025-04-07T00:00:00"/>
    <s v="C042"/>
    <s v="P045"/>
    <s v="S002"/>
    <n v="5"/>
    <n v="0.05"/>
    <x v="1"/>
    <s v="Anna Andrews"/>
    <x v="8"/>
    <x v="2"/>
    <x v="2"/>
    <n v="1879.08"/>
    <n v="8925.6299999999992"/>
  </r>
  <r>
    <s v="T00223"/>
    <d v="2025-08-13T00:00:00"/>
    <s v="C012"/>
    <s v="P046"/>
    <s v="S004"/>
    <n v="3"/>
    <n v="0.05"/>
    <x v="1"/>
    <s v="Dale Perry"/>
    <x v="42"/>
    <x v="0"/>
    <x v="1"/>
    <n v="1165.3699999999999"/>
    <n v="3321.3044999999997"/>
  </r>
  <r>
    <s v="T00224"/>
    <d v="2025-06-24T00:00:00"/>
    <s v="C157"/>
    <s v="P017"/>
    <s v="S003"/>
    <n v="4"/>
    <n v="0.05"/>
    <x v="2"/>
    <s v="Connie Terry"/>
    <x v="43"/>
    <x v="1"/>
    <x v="0"/>
    <n v="1246.1099999999999"/>
    <n v="4735.2179999999998"/>
  </r>
  <r>
    <s v="T00225"/>
    <d v="2023-11-30T00:00:00"/>
    <s v="C080"/>
    <s v="P020"/>
    <s v="S004"/>
    <n v="2"/>
    <n v="0.1"/>
    <x v="1"/>
    <s v="Grace Garcia"/>
    <x v="24"/>
    <x v="0"/>
    <x v="1"/>
    <n v="323.92"/>
    <n v="583.05600000000004"/>
  </r>
  <r>
    <s v="T00226"/>
    <d v="2024-05-18T00:00:00"/>
    <s v="C119"/>
    <s v="P020"/>
    <s v="S003"/>
    <n v="4"/>
    <n v="0.15"/>
    <x v="2"/>
    <s v="Jason Lloyd"/>
    <x v="24"/>
    <x v="0"/>
    <x v="0"/>
    <n v="323.92"/>
    <n v="1101.328"/>
  </r>
  <r>
    <s v="T00227"/>
    <d v="2024-08-25T00:00:00"/>
    <s v="C052"/>
    <s v="P032"/>
    <s v="S005"/>
    <n v="2"/>
    <n v="0.1"/>
    <x v="3"/>
    <s v="Billy Hernandez"/>
    <x v="44"/>
    <x v="2"/>
    <x v="4"/>
    <n v="304.70999999999998"/>
    <n v="548.47799999999995"/>
  </r>
  <r>
    <s v="T00228"/>
    <d v="2024-06-13T00:00:00"/>
    <s v="C165"/>
    <s v="P026"/>
    <s v="S004"/>
    <n v="3"/>
    <n v="0"/>
    <x v="3"/>
    <s v="Tanya Mueller"/>
    <x v="15"/>
    <x v="2"/>
    <x v="1"/>
    <n v="1015.76"/>
    <n v="3047.2799999999997"/>
  </r>
  <r>
    <s v="T00229"/>
    <d v="2025-07-12T00:00:00"/>
    <s v="C073"/>
    <s v="P042"/>
    <s v="S001"/>
    <n v="2"/>
    <n v="0.1"/>
    <x v="1"/>
    <s v="Carl Armstrong"/>
    <x v="10"/>
    <x v="0"/>
    <x v="3"/>
    <n v="453.62"/>
    <n v="816.51600000000008"/>
  </r>
  <r>
    <s v="T00230"/>
    <d v="2024-12-05T00:00:00"/>
    <s v="C132"/>
    <s v="P022"/>
    <s v="S002"/>
    <n v="4"/>
    <n v="0"/>
    <x v="2"/>
    <s v="Jared Ochoa"/>
    <x v="9"/>
    <x v="2"/>
    <x v="2"/>
    <n v="25.57"/>
    <n v="102.28"/>
  </r>
  <r>
    <s v="T00231"/>
    <d v="2025-06-20T00:00:00"/>
    <s v="C116"/>
    <s v="P046"/>
    <s v="S003"/>
    <n v="1"/>
    <n v="0.15"/>
    <x v="3"/>
    <s v="Jamie Webb"/>
    <x v="42"/>
    <x v="0"/>
    <x v="0"/>
    <n v="1165.3699999999999"/>
    <n v="990.56449999999984"/>
  </r>
  <r>
    <s v="T00232"/>
    <d v="2025-01-26T00:00:00"/>
    <s v="C102"/>
    <s v="P038"/>
    <s v="S005"/>
    <n v="3"/>
    <n v="0.05"/>
    <x v="1"/>
    <s v="Carolyn Perez"/>
    <x v="41"/>
    <x v="0"/>
    <x v="4"/>
    <n v="366.93"/>
    <n v="1045.7504999999999"/>
  </r>
  <r>
    <s v="T00233"/>
    <d v="2024-08-11T00:00:00"/>
    <s v="C021"/>
    <s v="P050"/>
    <s v="S003"/>
    <n v="2"/>
    <n v="0"/>
    <x v="0"/>
    <s v="Debbie Martin"/>
    <x v="3"/>
    <x v="0"/>
    <x v="0"/>
    <n v="1044.6400000000001"/>
    <n v="2089.2800000000002"/>
  </r>
  <r>
    <s v="T00234"/>
    <d v="2025-04-18T00:00:00"/>
    <s v="C026"/>
    <s v="P021"/>
    <s v="S003"/>
    <n v="2"/>
    <n v="0.05"/>
    <x v="3"/>
    <s v="Justin Macdonald"/>
    <x v="23"/>
    <x v="2"/>
    <x v="0"/>
    <n v="1227.24"/>
    <n v="2331.7559999999999"/>
  </r>
  <r>
    <s v="T00235"/>
    <d v="2025-08-10T00:00:00"/>
    <s v="C074"/>
    <s v="P007"/>
    <s v="S004"/>
    <n v="2"/>
    <n v="0.15"/>
    <x v="1"/>
    <s v="Jesus Singh"/>
    <x v="18"/>
    <x v="1"/>
    <x v="1"/>
    <n v="1474.12"/>
    <n v="2506.0039999999999"/>
  </r>
  <r>
    <s v="T00236"/>
    <d v="2024-01-27T00:00:00"/>
    <s v="C158"/>
    <s v="P050"/>
    <s v="S001"/>
    <n v="1"/>
    <n v="0"/>
    <x v="0"/>
    <s v="Crystal Aguirre"/>
    <x v="3"/>
    <x v="0"/>
    <x v="3"/>
    <n v="1044.6400000000001"/>
    <n v="1044.6400000000001"/>
  </r>
  <r>
    <s v="T00237"/>
    <d v="2024-05-08T00:00:00"/>
    <s v="C056"/>
    <s v="P039"/>
    <s v="S002"/>
    <n v="5"/>
    <n v="0.15"/>
    <x v="3"/>
    <s v="Carl Wyatt"/>
    <x v="22"/>
    <x v="0"/>
    <x v="2"/>
    <n v="540.94000000000005"/>
    <n v="2298.9950000000003"/>
  </r>
  <r>
    <s v="T00238"/>
    <d v="2023-09-27T00:00:00"/>
    <s v="C199"/>
    <s v="P023"/>
    <s v="S003"/>
    <n v="2"/>
    <n v="0.1"/>
    <x v="3"/>
    <s v="Juan Johnson"/>
    <x v="20"/>
    <x v="0"/>
    <x v="0"/>
    <n v="1878.47"/>
    <n v="3381.2460000000001"/>
  </r>
  <r>
    <s v="T00239"/>
    <d v="2024-04-27T00:00:00"/>
    <s v="C013"/>
    <s v="P014"/>
    <s v="S002"/>
    <n v="4"/>
    <n v="0.15"/>
    <x v="3"/>
    <s v="Robert Anderson"/>
    <x v="0"/>
    <x v="0"/>
    <x v="2"/>
    <n v="1342.75"/>
    <n v="4565.3499999999995"/>
  </r>
  <r>
    <s v="T00240"/>
    <d v="2024-09-03T00:00:00"/>
    <s v="C029"/>
    <s v="P018"/>
    <s v="S004"/>
    <n v="5"/>
    <n v="0"/>
    <x v="2"/>
    <s v="Tyler Levine"/>
    <x v="19"/>
    <x v="1"/>
    <x v="1"/>
    <n v="1079.8900000000001"/>
    <n v="5399.4500000000007"/>
  </r>
  <r>
    <s v="T00241"/>
    <d v="2024-10-28T00:00:00"/>
    <s v="C184"/>
    <s v="P034"/>
    <s v="S002"/>
    <n v="3"/>
    <n v="0.15"/>
    <x v="3"/>
    <s v="Daniel Mcintyre"/>
    <x v="12"/>
    <x v="1"/>
    <x v="2"/>
    <n v="428.05"/>
    <n v="1091.5275000000001"/>
  </r>
  <r>
    <s v="T00242"/>
    <d v="2025-03-30T00:00:00"/>
    <s v="C158"/>
    <s v="P015"/>
    <s v="S003"/>
    <n v="2"/>
    <n v="0.15"/>
    <x v="2"/>
    <s v="Crystal Aguirre"/>
    <x v="40"/>
    <x v="0"/>
    <x v="0"/>
    <n v="270.45"/>
    <n v="459.76499999999999"/>
  </r>
  <r>
    <s v="T00243"/>
    <d v="2025-09-03T00:00:00"/>
    <s v="C171"/>
    <s v="P044"/>
    <s v="S001"/>
    <n v="5"/>
    <n v="0.1"/>
    <x v="3"/>
    <s v="Christina Dominguez"/>
    <x v="32"/>
    <x v="0"/>
    <x v="3"/>
    <n v="1286.55"/>
    <n v="5789.4750000000004"/>
  </r>
  <r>
    <s v="T00244"/>
    <d v="2024-04-09T00:00:00"/>
    <s v="C135"/>
    <s v="P002"/>
    <s v="S005"/>
    <n v="5"/>
    <n v="0"/>
    <x v="1"/>
    <s v="Mario Cuevas"/>
    <x v="2"/>
    <x v="1"/>
    <x v="4"/>
    <n v="818.76"/>
    <n v="4093.8"/>
  </r>
  <r>
    <s v="T00245"/>
    <d v="2024-09-14T00:00:00"/>
    <s v="C121"/>
    <s v="P011"/>
    <s v="S001"/>
    <n v="4"/>
    <n v="0.1"/>
    <x v="0"/>
    <s v="John Bell"/>
    <x v="17"/>
    <x v="1"/>
    <x v="3"/>
    <n v="248.57"/>
    <n v="894.85199999999998"/>
  </r>
  <r>
    <s v="T00246"/>
    <d v="2024-06-03T00:00:00"/>
    <s v="C192"/>
    <s v="P030"/>
    <s v="S001"/>
    <n v="3"/>
    <n v="0"/>
    <x v="0"/>
    <s v="James Wilson"/>
    <x v="1"/>
    <x v="0"/>
    <x v="3"/>
    <n v="29.24"/>
    <n v="87.72"/>
  </r>
  <r>
    <s v="T00247"/>
    <d v="2024-12-07T00:00:00"/>
    <s v="C062"/>
    <s v="P022"/>
    <s v="S001"/>
    <n v="5"/>
    <n v="0.1"/>
    <x v="2"/>
    <s v="Susan Salinas"/>
    <x v="9"/>
    <x v="2"/>
    <x v="3"/>
    <n v="25.57"/>
    <n v="115.065"/>
  </r>
  <r>
    <s v="T00248"/>
    <d v="2023-11-17T00:00:00"/>
    <s v="C012"/>
    <s v="P035"/>
    <s v="S003"/>
    <n v="5"/>
    <n v="0.1"/>
    <x v="2"/>
    <s v="Dale Perry"/>
    <x v="7"/>
    <x v="1"/>
    <x v="0"/>
    <n v="1562.43"/>
    <n v="7030.9350000000004"/>
  </r>
  <r>
    <s v="T00249"/>
    <d v="2025-02-02T00:00:00"/>
    <s v="C200"/>
    <s v="P039"/>
    <s v="S004"/>
    <n v="4"/>
    <n v="0.05"/>
    <x v="2"/>
    <s v="Ronald Haley"/>
    <x v="22"/>
    <x v="0"/>
    <x v="1"/>
    <n v="540.94000000000005"/>
    <n v="2055.5720000000001"/>
  </r>
  <r>
    <s v="T00250"/>
    <d v="2025-07-08T00:00:00"/>
    <s v="C017"/>
    <s v="P037"/>
    <s v="S004"/>
    <n v="1"/>
    <n v="0.1"/>
    <x v="2"/>
    <s v="Vanessa Anderson"/>
    <x v="27"/>
    <x v="1"/>
    <x v="1"/>
    <n v="1952.65"/>
    <n v="1757.3850000000002"/>
  </r>
  <r>
    <s v="T00251"/>
    <d v="2024-08-03T00:00:00"/>
    <s v="C012"/>
    <s v="P022"/>
    <s v="S002"/>
    <n v="1"/>
    <n v="0.1"/>
    <x v="0"/>
    <s v="Dale Perry"/>
    <x v="9"/>
    <x v="2"/>
    <x v="2"/>
    <n v="25.57"/>
    <n v="23.013000000000002"/>
  </r>
  <r>
    <s v="T00252"/>
    <d v="2024-03-20T00:00:00"/>
    <s v="C132"/>
    <s v="P046"/>
    <s v="S004"/>
    <n v="5"/>
    <n v="0.15"/>
    <x v="0"/>
    <s v="Jared Ochoa"/>
    <x v="42"/>
    <x v="0"/>
    <x v="1"/>
    <n v="1165.3699999999999"/>
    <n v="4952.8224999999993"/>
  </r>
  <r>
    <s v="T00253"/>
    <d v="2024-02-20T00:00:00"/>
    <s v="C010"/>
    <s v="P004"/>
    <s v="S002"/>
    <n v="3"/>
    <n v="0.1"/>
    <x v="3"/>
    <s v="Catherine Rice"/>
    <x v="49"/>
    <x v="0"/>
    <x v="2"/>
    <n v="1853.77"/>
    <n v="5005.1790000000001"/>
  </r>
  <r>
    <s v="T00254"/>
    <d v="2025-03-16T00:00:00"/>
    <s v="C168"/>
    <s v="P046"/>
    <s v="S003"/>
    <n v="3"/>
    <n v="0"/>
    <x v="0"/>
    <s v="Richard Jones"/>
    <x v="42"/>
    <x v="0"/>
    <x v="0"/>
    <n v="1165.3699999999999"/>
    <n v="3496.1099999999997"/>
  </r>
  <r>
    <s v="T00255"/>
    <d v="2024-11-11T00:00:00"/>
    <s v="C112"/>
    <s v="P039"/>
    <s v="S004"/>
    <n v="4"/>
    <n v="0.15"/>
    <x v="0"/>
    <s v="Jeffrey Smith"/>
    <x v="22"/>
    <x v="0"/>
    <x v="1"/>
    <n v="540.94000000000005"/>
    <n v="1839.1960000000001"/>
  </r>
  <r>
    <s v="T00256"/>
    <d v="2024-09-29T00:00:00"/>
    <s v="C048"/>
    <s v="P015"/>
    <s v="S004"/>
    <n v="4"/>
    <n v="0.1"/>
    <x v="0"/>
    <s v="Alexis Crane"/>
    <x v="40"/>
    <x v="0"/>
    <x v="1"/>
    <n v="270.45"/>
    <n v="973.62"/>
  </r>
  <r>
    <s v="T00257"/>
    <d v="2024-10-18T00:00:00"/>
    <s v="C022"/>
    <s v="P040"/>
    <s v="S004"/>
    <n v="1"/>
    <n v="0.15"/>
    <x v="2"/>
    <s v="Megan Velasquez"/>
    <x v="37"/>
    <x v="1"/>
    <x v="1"/>
    <n v="1745.61"/>
    <n v="1483.7684999999999"/>
  </r>
  <r>
    <s v="T00258"/>
    <d v="2025-03-27T00:00:00"/>
    <s v="C140"/>
    <s v="P046"/>
    <s v="S003"/>
    <n v="3"/>
    <n v="0"/>
    <x v="3"/>
    <s v="Stacy Williams"/>
    <x v="42"/>
    <x v="0"/>
    <x v="0"/>
    <n v="1165.3699999999999"/>
    <n v="3496.1099999999997"/>
  </r>
  <r>
    <s v="T00259"/>
    <d v="2025-05-10T00:00:00"/>
    <s v="C084"/>
    <s v="P011"/>
    <s v="S003"/>
    <n v="3"/>
    <n v="0.15"/>
    <x v="1"/>
    <s v="Amanda Lee"/>
    <x v="17"/>
    <x v="1"/>
    <x v="0"/>
    <n v="248.57"/>
    <n v="633.85350000000005"/>
  </r>
  <r>
    <s v="T00260"/>
    <d v="2025-02-26T00:00:00"/>
    <s v="C043"/>
    <s v="P024"/>
    <s v="S004"/>
    <n v="3"/>
    <n v="0.15"/>
    <x v="3"/>
    <s v="Kenneth Allen"/>
    <x v="14"/>
    <x v="1"/>
    <x v="1"/>
    <n v="1487.41"/>
    <n v="3792.8955000000001"/>
  </r>
  <r>
    <s v="T00261"/>
    <d v="2023-11-16T00:00:00"/>
    <s v="C187"/>
    <s v="P030"/>
    <s v="S003"/>
    <n v="5"/>
    <n v="0.15"/>
    <x v="0"/>
    <s v="Cynthia Cherry"/>
    <x v="1"/>
    <x v="0"/>
    <x v="0"/>
    <n v="29.24"/>
    <n v="124.26999999999998"/>
  </r>
  <r>
    <s v="T00262"/>
    <d v="2024-08-04T00:00:00"/>
    <s v="C164"/>
    <s v="P039"/>
    <s v="S001"/>
    <n v="1"/>
    <n v="0.15"/>
    <x v="0"/>
    <s v="Linda Vasquez"/>
    <x v="22"/>
    <x v="0"/>
    <x v="3"/>
    <n v="540.94000000000005"/>
    <n v="459.79900000000004"/>
  </r>
  <r>
    <s v="T00263"/>
    <d v="2024-10-03T00:00:00"/>
    <s v="C132"/>
    <s v="P035"/>
    <s v="S002"/>
    <n v="1"/>
    <n v="0.05"/>
    <x v="1"/>
    <s v="Jared Ochoa"/>
    <x v="7"/>
    <x v="1"/>
    <x v="2"/>
    <n v="1562.43"/>
    <n v="1484.3085000000001"/>
  </r>
  <r>
    <s v="T00264"/>
    <d v="2025-02-19T00:00:00"/>
    <s v="C009"/>
    <s v="P037"/>
    <s v="S002"/>
    <n v="1"/>
    <n v="0.05"/>
    <x v="0"/>
    <s v="Richard Pacheco"/>
    <x v="27"/>
    <x v="1"/>
    <x v="2"/>
    <n v="1952.65"/>
    <n v="1855.0174999999999"/>
  </r>
  <r>
    <s v="T00265"/>
    <d v="2025-05-01T00:00:00"/>
    <s v="C093"/>
    <s v="P044"/>
    <s v="S004"/>
    <n v="5"/>
    <n v="0"/>
    <x v="2"/>
    <s v="Stanley Brown"/>
    <x v="32"/>
    <x v="0"/>
    <x v="1"/>
    <n v="1286.55"/>
    <n v="6432.75"/>
  </r>
  <r>
    <s v="T00266"/>
    <d v="2024-05-23T00:00:00"/>
    <s v="C174"/>
    <s v="P014"/>
    <s v="S004"/>
    <n v="3"/>
    <n v="0.1"/>
    <x v="1"/>
    <s v="Scott Howell"/>
    <x v="0"/>
    <x v="0"/>
    <x v="1"/>
    <n v="1342.75"/>
    <n v="3625.4250000000002"/>
  </r>
  <r>
    <s v="T00267"/>
    <d v="2023-10-11T00:00:00"/>
    <s v="C196"/>
    <s v="P009"/>
    <s v="S001"/>
    <n v="5"/>
    <n v="0.05"/>
    <x v="0"/>
    <s v="James Noble"/>
    <x v="5"/>
    <x v="2"/>
    <x v="3"/>
    <n v="123.19"/>
    <n v="585.15250000000003"/>
  </r>
  <r>
    <s v="T00268"/>
    <d v="2025-01-23T00:00:00"/>
    <s v="C102"/>
    <s v="P016"/>
    <s v="S003"/>
    <n v="3"/>
    <n v="0.05"/>
    <x v="3"/>
    <s v="Carolyn Perez"/>
    <x v="13"/>
    <x v="0"/>
    <x v="0"/>
    <n v="1858.75"/>
    <n v="5297.4375"/>
  </r>
  <r>
    <s v="T00269"/>
    <d v="2024-05-23T00:00:00"/>
    <s v="C007"/>
    <s v="P046"/>
    <s v="S002"/>
    <n v="4"/>
    <n v="0.15"/>
    <x v="3"/>
    <s v="Erin Walker"/>
    <x v="42"/>
    <x v="0"/>
    <x v="2"/>
    <n v="1165.3699999999999"/>
    <n v="3962.2579999999994"/>
  </r>
  <r>
    <s v="T00270"/>
    <d v="2024-02-24T00:00:00"/>
    <s v="C068"/>
    <s v="P023"/>
    <s v="S003"/>
    <n v="4"/>
    <n v="0.05"/>
    <x v="0"/>
    <s v="Alexandra Montoya"/>
    <x v="20"/>
    <x v="0"/>
    <x v="0"/>
    <n v="1878.47"/>
    <n v="7138.1859999999997"/>
  </r>
  <r>
    <s v="T00271"/>
    <d v="2025-06-20T00:00:00"/>
    <s v="C178"/>
    <s v="P040"/>
    <s v="S004"/>
    <n v="2"/>
    <n v="0"/>
    <x v="2"/>
    <s v="Mark Mcdonald"/>
    <x v="37"/>
    <x v="1"/>
    <x v="1"/>
    <n v="1745.61"/>
    <n v="3491.22"/>
  </r>
  <r>
    <s v="T00272"/>
    <d v="2024-12-03T00:00:00"/>
    <s v="C019"/>
    <s v="P002"/>
    <s v="S004"/>
    <n v="2"/>
    <n v="0.15"/>
    <x v="3"/>
    <s v="John Smith"/>
    <x v="2"/>
    <x v="1"/>
    <x v="1"/>
    <n v="818.76"/>
    <n v="1391.8920000000001"/>
  </r>
  <r>
    <s v="T00273"/>
    <d v="2023-10-20T00:00:00"/>
    <s v="C175"/>
    <s v="P014"/>
    <s v="S003"/>
    <n v="3"/>
    <n v="0"/>
    <x v="0"/>
    <s v="Stacey Thompson"/>
    <x v="0"/>
    <x v="0"/>
    <x v="0"/>
    <n v="1342.75"/>
    <n v="4028.25"/>
  </r>
  <r>
    <s v="T00274"/>
    <d v="2023-11-11T00:00:00"/>
    <s v="C077"/>
    <s v="P002"/>
    <s v="S002"/>
    <n v="2"/>
    <n v="0.1"/>
    <x v="2"/>
    <s v="Matthew Juarez"/>
    <x v="2"/>
    <x v="1"/>
    <x v="2"/>
    <n v="818.76"/>
    <n v="1473.768"/>
  </r>
  <r>
    <s v="T00275"/>
    <d v="2025-07-03T00:00:00"/>
    <s v="C032"/>
    <s v="P043"/>
    <s v="S002"/>
    <n v="2"/>
    <n v="0.05"/>
    <x v="1"/>
    <s v="Valerie Macdonald"/>
    <x v="45"/>
    <x v="0"/>
    <x v="2"/>
    <n v="564.41999999999996"/>
    <n v="1072.3979999999999"/>
  </r>
  <r>
    <s v="T00276"/>
    <d v="2023-10-13T00:00:00"/>
    <s v="C007"/>
    <s v="P031"/>
    <s v="S003"/>
    <n v="5"/>
    <n v="0.1"/>
    <x v="1"/>
    <s v="Erin Walker"/>
    <x v="39"/>
    <x v="2"/>
    <x v="0"/>
    <n v="1095.72"/>
    <n v="4930.7400000000007"/>
  </r>
  <r>
    <s v="T00277"/>
    <d v="2024-07-16T00:00:00"/>
    <s v="C142"/>
    <s v="P035"/>
    <s v="S002"/>
    <n v="5"/>
    <n v="0"/>
    <x v="3"/>
    <s v="Suzanne Fox"/>
    <x v="7"/>
    <x v="1"/>
    <x v="2"/>
    <n v="1562.43"/>
    <n v="7812.1500000000005"/>
  </r>
  <r>
    <s v="T00278"/>
    <d v="2024-10-10T00:00:00"/>
    <s v="C080"/>
    <s v="P036"/>
    <s v="S004"/>
    <n v="4"/>
    <n v="0.15"/>
    <x v="1"/>
    <s v="Grace Garcia"/>
    <x v="4"/>
    <x v="0"/>
    <x v="1"/>
    <n v="1501.46"/>
    <n v="5104.9639999999999"/>
  </r>
  <r>
    <s v="T00279"/>
    <d v="2025-07-13T00:00:00"/>
    <s v="C148"/>
    <s v="P012"/>
    <s v="S001"/>
    <n v="2"/>
    <n v="0.1"/>
    <x v="3"/>
    <s v="John Foster"/>
    <x v="38"/>
    <x v="1"/>
    <x v="3"/>
    <n v="1193.0899999999999"/>
    <n v="2147.5619999999999"/>
  </r>
  <r>
    <s v="T00280"/>
    <d v="2025-02-05T00:00:00"/>
    <s v="C116"/>
    <s v="P020"/>
    <s v="S004"/>
    <n v="5"/>
    <n v="0.1"/>
    <x v="2"/>
    <s v="Jamie Webb"/>
    <x v="24"/>
    <x v="0"/>
    <x v="1"/>
    <n v="323.92"/>
    <n v="1457.64"/>
  </r>
  <r>
    <s v="T00281"/>
    <d v="2024-10-14T00:00:00"/>
    <s v="C200"/>
    <s v="P047"/>
    <s v="S005"/>
    <n v="5"/>
    <n v="0.05"/>
    <x v="2"/>
    <s v="Ronald Haley"/>
    <x v="28"/>
    <x v="1"/>
    <x v="4"/>
    <n v="1197.18"/>
    <n v="5686.6050000000005"/>
  </r>
  <r>
    <s v="T00282"/>
    <d v="2025-03-09T00:00:00"/>
    <s v="C111"/>
    <s v="P023"/>
    <s v="S005"/>
    <n v="1"/>
    <n v="0"/>
    <x v="2"/>
    <s v="Dylan Booker"/>
    <x v="20"/>
    <x v="0"/>
    <x v="4"/>
    <n v="1878.47"/>
    <n v="1878.47"/>
  </r>
  <r>
    <s v="T00283"/>
    <d v="2024-07-12T00:00:00"/>
    <s v="C078"/>
    <s v="P026"/>
    <s v="S002"/>
    <n v="2"/>
    <n v="0.1"/>
    <x v="2"/>
    <s v="Jeanne Young"/>
    <x v="15"/>
    <x v="2"/>
    <x v="2"/>
    <n v="1015.76"/>
    <n v="1828.3679999999999"/>
  </r>
  <r>
    <s v="T00284"/>
    <d v="2024-06-07T00:00:00"/>
    <s v="C089"/>
    <s v="P022"/>
    <s v="S005"/>
    <n v="3"/>
    <n v="0"/>
    <x v="0"/>
    <s v="William Warner"/>
    <x v="9"/>
    <x v="2"/>
    <x v="4"/>
    <n v="25.57"/>
    <n v="76.710000000000008"/>
  </r>
  <r>
    <s v="T00285"/>
    <d v="2024-07-01T00:00:00"/>
    <s v="C051"/>
    <s v="P009"/>
    <s v="S005"/>
    <n v="3"/>
    <n v="0.05"/>
    <x v="0"/>
    <s v="Madison Sellers"/>
    <x v="5"/>
    <x v="2"/>
    <x v="4"/>
    <n v="123.19"/>
    <n v="351.0915"/>
  </r>
  <r>
    <s v="T00286"/>
    <d v="2023-10-11T00:00:00"/>
    <s v="C158"/>
    <s v="P050"/>
    <s v="S005"/>
    <n v="1"/>
    <n v="0.05"/>
    <x v="2"/>
    <s v="Crystal Aguirre"/>
    <x v="3"/>
    <x v="0"/>
    <x v="4"/>
    <n v="1044.6400000000001"/>
    <n v="992.40800000000002"/>
  </r>
  <r>
    <s v="T00287"/>
    <d v="2024-07-11T00:00:00"/>
    <s v="C044"/>
    <s v="P048"/>
    <s v="S005"/>
    <n v="5"/>
    <n v="0.1"/>
    <x v="3"/>
    <s v="Parker Sparks"/>
    <x v="11"/>
    <x v="0"/>
    <x v="4"/>
    <n v="1216.3599999999999"/>
    <n v="5473.62"/>
  </r>
  <r>
    <s v="T00288"/>
    <d v="2024-04-16T00:00:00"/>
    <s v="C008"/>
    <s v="P041"/>
    <s v="S001"/>
    <n v="1"/>
    <n v="0.1"/>
    <x v="2"/>
    <s v="Isaiah Williams"/>
    <x v="30"/>
    <x v="1"/>
    <x v="3"/>
    <n v="1635.01"/>
    <n v="1471.509"/>
  </r>
  <r>
    <s v="T00289"/>
    <d v="2024-05-25T00:00:00"/>
    <s v="C197"/>
    <s v="P001"/>
    <s v="S005"/>
    <n v="4"/>
    <n v="0"/>
    <x v="1"/>
    <s v="Matthew Dixon"/>
    <x v="31"/>
    <x v="1"/>
    <x v="4"/>
    <n v="1673.69"/>
    <n v="6694.76"/>
  </r>
  <r>
    <s v="T00290"/>
    <d v="2024-10-07T00:00:00"/>
    <s v="C161"/>
    <s v="P001"/>
    <s v="S005"/>
    <n v="3"/>
    <n v="0.1"/>
    <x v="1"/>
    <s v="Michael Perez"/>
    <x v="31"/>
    <x v="1"/>
    <x v="4"/>
    <n v="1673.69"/>
    <n v="4518.9629999999997"/>
  </r>
  <r>
    <s v="T00291"/>
    <d v="2025-06-12T00:00:00"/>
    <s v="C063"/>
    <s v="P043"/>
    <s v="S004"/>
    <n v="3"/>
    <n v="0.15"/>
    <x v="3"/>
    <s v="Michael Johnson"/>
    <x v="45"/>
    <x v="0"/>
    <x v="1"/>
    <n v="564.41999999999996"/>
    <n v="1439.2709999999997"/>
  </r>
  <r>
    <s v="T00292"/>
    <d v="2024-07-02T00:00:00"/>
    <s v="C177"/>
    <s v="P041"/>
    <s v="S001"/>
    <n v="2"/>
    <n v="0.15"/>
    <x v="1"/>
    <s v="Anthony Gould"/>
    <x v="30"/>
    <x v="1"/>
    <x v="3"/>
    <n v="1635.01"/>
    <n v="2779.5169999999998"/>
  </r>
  <r>
    <s v="T00293"/>
    <d v="2025-05-25T00:00:00"/>
    <s v="C124"/>
    <s v="P005"/>
    <s v="S004"/>
    <n v="2"/>
    <n v="0.1"/>
    <x v="2"/>
    <s v="Chad Roberts"/>
    <x v="6"/>
    <x v="0"/>
    <x v="1"/>
    <n v="1396.22"/>
    <n v="2513.1959999999999"/>
  </r>
  <r>
    <s v="T00294"/>
    <d v="2025-03-20T00:00:00"/>
    <s v="C081"/>
    <s v="P015"/>
    <s v="S003"/>
    <n v="3"/>
    <n v="0.15"/>
    <x v="2"/>
    <s v="Sarah Reynolds"/>
    <x v="40"/>
    <x v="0"/>
    <x v="0"/>
    <n v="270.45"/>
    <n v="689.64749999999992"/>
  </r>
  <r>
    <s v="T00295"/>
    <d v="2025-04-29T00:00:00"/>
    <s v="C195"/>
    <s v="P020"/>
    <s v="S003"/>
    <n v="5"/>
    <n v="0"/>
    <x v="0"/>
    <s v="James Mitchell"/>
    <x v="24"/>
    <x v="0"/>
    <x v="0"/>
    <n v="323.92"/>
    <n v="1619.6000000000001"/>
  </r>
  <r>
    <s v="T00296"/>
    <d v="2025-05-21T00:00:00"/>
    <s v="C062"/>
    <s v="P004"/>
    <s v="S004"/>
    <n v="1"/>
    <n v="0.1"/>
    <x v="1"/>
    <s v="Susan Salinas"/>
    <x v="49"/>
    <x v="0"/>
    <x v="1"/>
    <n v="1853.77"/>
    <n v="1668.393"/>
  </r>
  <r>
    <s v="T00297"/>
    <d v="2024-10-04T00:00:00"/>
    <s v="C064"/>
    <s v="P017"/>
    <s v="S002"/>
    <n v="1"/>
    <n v="0"/>
    <x v="0"/>
    <s v="Amanda Hoover"/>
    <x v="43"/>
    <x v="1"/>
    <x v="2"/>
    <n v="1246.1099999999999"/>
    <n v="1246.1099999999999"/>
  </r>
  <r>
    <s v="T00298"/>
    <d v="2024-08-21T00:00:00"/>
    <s v="C099"/>
    <s v="P009"/>
    <s v="S005"/>
    <n v="4"/>
    <n v="0.05"/>
    <x v="2"/>
    <s v="Kimberly Jones"/>
    <x v="5"/>
    <x v="2"/>
    <x v="4"/>
    <n v="123.19"/>
    <n v="468.12199999999996"/>
  </r>
  <r>
    <s v="T00299"/>
    <d v="2023-11-21T00:00:00"/>
    <s v="C084"/>
    <s v="P027"/>
    <s v="S005"/>
    <n v="3"/>
    <n v="0.05"/>
    <x v="2"/>
    <s v="Amanda Lee"/>
    <x v="34"/>
    <x v="1"/>
    <x v="4"/>
    <n v="1272.23"/>
    <n v="3625.8554999999997"/>
  </r>
  <r>
    <s v="T00300"/>
    <d v="2023-11-15T00:00:00"/>
    <s v="C128"/>
    <s v="P011"/>
    <s v="S005"/>
    <n v="4"/>
    <n v="0.15"/>
    <x v="0"/>
    <s v="Robert Collins"/>
    <x v="17"/>
    <x v="1"/>
    <x v="4"/>
    <n v="248.57"/>
    <n v="845.13799999999992"/>
  </r>
  <r>
    <s v="T00301"/>
    <d v="2024-12-07T00:00:00"/>
    <s v="C128"/>
    <s v="P032"/>
    <s v="S001"/>
    <n v="1"/>
    <n v="0.15"/>
    <x v="1"/>
    <s v="Robert Collins"/>
    <x v="44"/>
    <x v="2"/>
    <x v="3"/>
    <n v="304.70999999999998"/>
    <n v="259.00349999999997"/>
  </r>
  <r>
    <s v="T00302"/>
    <d v="2024-12-11T00:00:00"/>
    <s v="C062"/>
    <s v="P014"/>
    <s v="S002"/>
    <n v="5"/>
    <n v="0.1"/>
    <x v="3"/>
    <s v="Susan Salinas"/>
    <x v="0"/>
    <x v="0"/>
    <x v="2"/>
    <n v="1342.75"/>
    <n v="6042.375"/>
  </r>
  <r>
    <s v="T00303"/>
    <d v="2025-09-09T00:00:00"/>
    <s v="C013"/>
    <s v="P017"/>
    <s v="S003"/>
    <n v="4"/>
    <n v="0.15"/>
    <x v="0"/>
    <s v="Robert Anderson"/>
    <x v="43"/>
    <x v="1"/>
    <x v="0"/>
    <n v="1246.1099999999999"/>
    <n v="4236.7739999999994"/>
  </r>
  <r>
    <s v="T00304"/>
    <d v="2024-06-08T00:00:00"/>
    <s v="C138"/>
    <s v="P014"/>
    <s v="S001"/>
    <n v="1"/>
    <n v="0.15"/>
    <x v="2"/>
    <s v="Breanna Moore"/>
    <x v="0"/>
    <x v="0"/>
    <x v="3"/>
    <n v="1342.75"/>
    <n v="1141.3374999999999"/>
  </r>
  <r>
    <s v="T00305"/>
    <d v="2024-10-08T00:00:00"/>
    <s v="C068"/>
    <s v="P029"/>
    <s v="S003"/>
    <n v="4"/>
    <n v="0.1"/>
    <x v="3"/>
    <s v="Alexandra Montoya"/>
    <x v="47"/>
    <x v="0"/>
    <x v="0"/>
    <n v="1485.05"/>
    <n v="5346.18"/>
  </r>
  <r>
    <s v="T00306"/>
    <d v="2024-10-17T00:00:00"/>
    <s v="C103"/>
    <s v="P001"/>
    <s v="S001"/>
    <n v="5"/>
    <n v="0.05"/>
    <x v="0"/>
    <s v="David Burns"/>
    <x v="31"/>
    <x v="1"/>
    <x v="3"/>
    <n v="1673.69"/>
    <n v="7950.0275000000001"/>
  </r>
  <r>
    <s v="T00307"/>
    <d v="2025-07-14T00:00:00"/>
    <s v="C142"/>
    <s v="P012"/>
    <s v="S003"/>
    <n v="1"/>
    <n v="0.15"/>
    <x v="1"/>
    <s v="Suzanne Fox"/>
    <x v="38"/>
    <x v="1"/>
    <x v="0"/>
    <n v="1193.0899999999999"/>
    <n v="1014.1264999999999"/>
  </r>
  <r>
    <s v="T00308"/>
    <d v="2024-11-23T00:00:00"/>
    <s v="C196"/>
    <s v="P023"/>
    <s v="S005"/>
    <n v="3"/>
    <n v="0"/>
    <x v="2"/>
    <s v="James Noble"/>
    <x v="20"/>
    <x v="0"/>
    <x v="4"/>
    <n v="1878.47"/>
    <n v="5635.41"/>
  </r>
  <r>
    <s v="T00309"/>
    <d v="2024-04-07T00:00:00"/>
    <s v="C025"/>
    <s v="P049"/>
    <s v="S004"/>
    <n v="3"/>
    <n v="0.1"/>
    <x v="0"/>
    <s v="Cheryl Gilbert"/>
    <x v="29"/>
    <x v="0"/>
    <x v="1"/>
    <n v="388.26"/>
    <n v="1048.3019999999999"/>
  </r>
  <r>
    <s v="T00310"/>
    <d v="2023-11-28T00:00:00"/>
    <s v="C194"/>
    <s v="P010"/>
    <s v="S002"/>
    <n v="2"/>
    <n v="0.15"/>
    <x v="3"/>
    <s v="Ann West"/>
    <x v="36"/>
    <x v="1"/>
    <x v="2"/>
    <n v="1194.1199999999999"/>
    <n v="2030.0039999999997"/>
  </r>
  <r>
    <s v="T00311"/>
    <d v="2024-07-01T00:00:00"/>
    <s v="C012"/>
    <s v="P031"/>
    <s v="S001"/>
    <n v="2"/>
    <n v="0.1"/>
    <x v="1"/>
    <s v="Dale Perry"/>
    <x v="39"/>
    <x v="2"/>
    <x v="3"/>
    <n v="1095.72"/>
    <n v="1972.296"/>
  </r>
  <r>
    <s v="T00312"/>
    <d v="2025-01-08T00:00:00"/>
    <s v="C133"/>
    <s v="P024"/>
    <s v="S004"/>
    <n v="2"/>
    <n v="0.05"/>
    <x v="0"/>
    <s v="Yvette Roth"/>
    <x v="14"/>
    <x v="1"/>
    <x v="1"/>
    <n v="1487.41"/>
    <n v="2826.0790000000002"/>
  </r>
  <r>
    <s v="T00313"/>
    <d v="2024-12-19T00:00:00"/>
    <s v="C157"/>
    <s v="P038"/>
    <s v="S003"/>
    <n v="2"/>
    <n v="0.15"/>
    <x v="0"/>
    <s v="Connie Terry"/>
    <x v="41"/>
    <x v="0"/>
    <x v="0"/>
    <n v="366.93"/>
    <n v="623.78099999999995"/>
  </r>
  <r>
    <s v="T00314"/>
    <d v="2025-04-13T00:00:00"/>
    <s v="C152"/>
    <s v="P028"/>
    <s v="S003"/>
    <n v="5"/>
    <n v="0.15"/>
    <x v="0"/>
    <s v="Brittany Green"/>
    <x v="25"/>
    <x v="1"/>
    <x v="0"/>
    <n v="673.78"/>
    <n v="2863.5649999999996"/>
  </r>
  <r>
    <s v="T00315"/>
    <d v="2023-09-19T00:00:00"/>
    <s v="C122"/>
    <s v="P026"/>
    <s v="S001"/>
    <n v="3"/>
    <n v="0.1"/>
    <x v="3"/>
    <s v="Amy Smith"/>
    <x v="15"/>
    <x v="2"/>
    <x v="3"/>
    <n v="1015.76"/>
    <n v="2742.5519999999997"/>
  </r>
  <r>
    <s v="T00316"/>
    <d v="2025-04-01T00:00:00"/>
    <s v="C107"/>
    <s v="P003"/>
    <s v="S005"/>
    <n v="3"/>
    <n v="0"/>
    <x v="1"/>
    <s v="Victoria Hansen"/>
    <x v="46"/>
    <x v="0"/>
    <x v="4"/>
    <n v="337.63"/>
    <n v="1012.89"/>
  </r>
  <r>
    <s v="T00317"/>
    <d v="2025-02-27T00:00:00"/>
    <s v="C068"/>
    <s v="P047"/>
    <s v="S005"/>
    <n v="5"/>
    <n v="0.05"/>
    <x v="3"/>
    <s v="Alexandra Montoya"/>
    <x v="28"/>
    <x v="1"/>
    <x v="4"/>
    <n v="1197.18"/>
    <n v="5686.6050000000005"/>
  </r>
  <r>
    <s v="T00318"/>
    <d v="2025-05-24T00:00:00"/>
    <s v="C150"/>
    <s v="P043"/>
    <s v="S004"/>
    <n v="2"/>
    <n v="0.15"/>
    <x v="2"/>
    <s v="Francis Hernandez"/>
    <x v="45"/>
    <x v="0"/>
    <x v="1"/>
    <n v="564.41999999999996"/>
    <n v="959.5139999999999"/>
  </r>
  <r>
    <s v="T00319"/>
    <d v="2025-02-05T00:00:00"/>
    <s v="C175"/>
    <s v="P014"/>
    <s v="S002"/>
    <n v="1"/>
    <n v="0"/>
    <x v="2"/>
    <s v="Stacey Thompson"/>
    <x v="0"/>
    <x v="0"/>
    <x v="2"/>
    <n v="1342.75"/>
    <n v="1342.75"/>
  </r>
  <r>
    <s v="T00320"/>
    <d v="2024-10-06T00:00:00"/>
    <s v="C005"/>
    <s v="P032"/>
    <s v="S004"/>
    <n v="3"/>
    <n v="0.15"/>
    <x v="2"/>
    <s v="Jamie Salinas"/>
    <x v="44"/>
    <x v="2"/>
    <x v="1"/>
    <n v="304.70999999999998"/>
    <n v="777.01049999999987"/>
  </r>
  <r>
    <s v="T00321"/>
    <d v="2024-11-08T00:00:00"/>
    <s v="C106"/>
    <s v="P016"/>
    <s v="S002"/>
    <n v="4"/>
    <n v="0.15"/>
    <x v="3"/>
    <s v="Kevin Flores"/>
    <x v="13"/>
    <x v="0"/>
    <x v="2"/>
    <n v="1858.75"/>
    <n v="6319.75"/>
  </r>
  <r>
    <s v="T00322"/>
    <d v="2024-12-03T00:00:00"/>
    <s v="C181"/>
    <s v="P018"/>
    <s v="S002"/>
    <n v="5"/>
    <n v="0.05"/>
    <x v="0"/>
    <s v="Brittany Oneal"/>
    <x v="19"/>
    <x v="1"/>
    <x v="2"/>
    <n v="1079.8900000000001"/>
    <n v="5129.4775000000009"/>
  </r>
  <r>
    <s v="T00323"/>
    <d v="2025-04-25T00:00:00"/>
    <s v="C170"/>
    <s v="P037"/>
    <s v="S004"/>
    <n v="5"/>
    <n v="0.15"/>
    <x v="0"/>
    <s v="Amber Graham"/>
    <x v="27"/>
    <x v="1"/>
    <x v="1"/>
    <n v="1952.65"/>
    <n v="8298.7624999999989"/>
  </r>
  <r>
    <s v="T00324"/>
    <d v="2024-04-20T00:00:00"/>
    <s v="C045"/>
    <s v="P003"/>
    <s v="S004"/>
    <n v="5"/>
    <n v="0.1"/>
    <x v="0"/>
    <s v="Kelly Shaw"/>
    <x v="46"/>
    <x v="0"/>
    <x v="1"/>
    <n v="337.63"/>
    <n v="1519.335"/>
  </r>
  <r>
    <s v="T00325"/>
    <d v="2023-12-29T00:00:00"/>
    <s v="C174"/>
    <s v="P014"/>
    <s v="S003"/>
    <n v="5"/>
    <n v="0.15"/>
    <x v="2"/>
    <s v="Scott Howell"/>
    <x v="0"/>
    <x v="0"/>
    <x v="0"/>
    <n v="1342.75"/>
    <n v="5706.6875"/>
  </r>
  <r>
    <s v="T00326"/>
    <d v="2024-10-02T00:00:00"/>
    <s v="C064"/>
    <s v="P002"/>
    <s v="S003"/>
    <n v="5"/>
    <n v="0.1"/>
    <x v="2"/>
    <s v="Amanda Hoover"/>
    <x v="2"/>
    <x v="1"/>
    <x v="0"/>
    <n v="818.76"/>
    <n v="3684.42"/>
  </r>
  <r>
    <s v="T00327"/>
    <d v="2025-06-27T00:00:00"/>
    <s v="C077"/>
    <s v="P045"/>
    <s v="S003"/>
    <n v="2"/>
    <n v="0.15"/>
    <x v="0"/>
    <s v="Matthew Juarez"/>
    <x v="8"/>
    <x v="2"/>
    <x v="0"/>
    <n v="1879.08"/>
    <n v="3194.4359999999997"/>
  </r>
  <r>
    <s v="T00328"/>
    <d v="2025-05-22T00:00:00"/>
    <s v="C123"/>
    <s v="P043"/>
    <s v="S003"/>
    <n v="5"/>
    <n v="0.1"/>
    <x v="0"/>
    <s v="Peter Edwards"/>
    <x v="45"/>
    <x v="0"/>
    <x v="0"/>
    <n v="564.41999999999996"/>
    <n v="2539.89"/>
  </r>
  <r>
    <s v="T00329"/>
    <d v="2024-12-13T00:00:00"/>
    <s v="C032"/>
    <s v="P036"/>
    <s v="S005"/>
    <n v="5"/>
    <n v="0.15"/>
    <x v="1"/>
    <s v="Valerie Macdonald"/>
    <x v="4"/>
    <x v="0"/>
    <x v="4"/>
    <n v="1501.46"/>
    <n v="6381.2049999999999"/>
  </r>
  <r>
    <s v="T00330"/>
    <d v="2023-11-17T00:00:00"/>
    <s v="C089"/>
    <s v="P034"/>
    <s v="S002"/>
    <n v="3"/>
    <n v="0"/>
    <x v="0"/>
    <s v="William Warner"/>
    <x v="12"/>
    <x v="1"/>
    <x v="2"/>
    <n v="428.05"/>
    <n v="1284.1500000000001"/>
  </r>
  <r>
    <s v="T00331"/>
    <d v="2024-11-26T00:00:00"/>
    <s v="C183"/>
    <s v="P046"/>
    <s v="S001"/>
    <n v="3"/>
    <n v="0.15"/>
    <x v="0"/>
    <s v="Mary Dawson"/>
    <x v="42"/>
    <x v="0"/>
    <x v="3"/>
    <n v="1165.3699999999999"/>
    <n v="2971.6934999999999"/>
  </r>
  <r>
    <s v="T00332"/>
    <d v="2024-03-11T00:00:00"/>
    <s v="C192"/>
    <s v="P002"/>
    <s v="S004"/>
    <n v="2"/>
    <n v="0.05"/>
    <x v="0"/>
    <s v="James Wilson"/>
    <x v="2"/>
    <x v="1"/>
    <x v="1"/>
    <n v="818.76"/>
    <n v="1555.644"/>
  </r>
  <r>
    <s v="T00333"/>
    <d v="2024-09-18T00:00:00"/>
    <s v="C144"/>
    <s v="P026"/>
    <s v="S003"/>
    <n v="2"/>
    <n v="0"/>
    <x v="2"/>
    <s v="Betty Johnson"/>
    <x v="15"/>
    <x v="2"/>
    <x v="0"/>
    <n v="1015.76"/>
    <n v="2031.52"/>
  </r>
  <r>
    <s v="T00334"/>
    <d v="2025-09-01T00:00:00"/>
    <s v="C063"/>
    <s v="P026"/>
    <s v="S001"/>
    <n v="5"/>
    <n v="0.05"/>
    <x v="2"/>
    <s v="Michael Johnson"/>
    <x v="15"/>
    <x v="2"/>
    <x v="3"/>
    <n v="1015.76"/>
    <n v="4824.8599999999997"/>
  </r>
  <r>
    <s v="T00335"/>
    <d v="2024-10-26T00:00:00"/>
    <s v="C014"/>
    <s v="P041"/>
    <s v="S001"/>
    <n v="4"/>
    <n v="0.1"/>
    <x v="1"/>
    <s v="Brittany Green"/>
    <x v="30"/>
    <x v="1"/>
    <x v="3"/>
    <n v="1635.01"/>
    <n v="5886.0360000000001"/>
  </r>
  <r>
    <s v="T00336"/>
    <d v="2024-12-12T00:00:00"/>
    <s v="C026"/>
    <s v="P014"/>
    <s v="S002"/>
    <n v="1"/>
    <n v="0.05"/>
    <x v="1"/>
    <s v="Justin Macdonald"/>
    <x v="0"/>
    <x v="0"/>
    <x v="2"/>
    <n v="1342.75"/>
    <n v="1275.6125"/>
  </r>
  <r>
    <s v="T00337"/>
    <d v="2024-12-20T00:00:00"/>
    <s v="C168"/>
    <s v="P043"/>
    <s v="S004"/>
    <n v="4"/>
    <n v="0.05"/>
    <x v="0"/>
    <s v="Richard Jones"/>
    <x v="45"/>
    <x v="0"/>
    <x v="1"/>
    <n v="564.41999999999996"/>
    <n v="2144.7959999999998"/>
  </r>
  <r>
    <s v="T00338"/>
    <d v="2024-10-31T00:00:00"/>
    <s v="C083"/>
    <s v="P010"/>
    <s v="S003"/>
    <n v="1"/>
    <n v="0"/>
    <x v="2"/>
    <s v="Jeremy Robles"/>
    <x v="36"/>
    <x v="1"/>
    <x v="0"/>
    <n v="1194.1199999999999"/>
    <n v="1194.1199999999999"/>
  </r>
  <r>
    <s v="T00339"/>
    <d v="2024-04-13T00:00:00"/>
    <s v="C137"/>
    <s v="P039"/>
    <s v="S001"/>
    <n v="2"/>
    <n v="0.15"/>
    <x v="2"/>
    <s v="Gary Lopez"/>
    <x v="22"/>
    <x v="0"/>
    <x v="3"/>
    <n v="540.94000000000005"/>
    <n v="919.59800000000007"/>
  </r>
  <r>
    <s v="T00340"/>
    <d v="2024-05-08T00:00:00"/>
    <s v="C010"/>
    <s v="P010"/>
    <s v="S004"/>
    <n v="4"/>
    <n v="0.05"/>
    <x v="0"/>
    <s v="Catherine Rice"/>
    <x v="36"/>
    <x v="1"/>
    <x v="1"/>
    <n v="1194.1199999999999"/>
    <n v="4537.655999999999"/>
  </r>
  <r>
    <s v="T00341"/>
    <d v="2023-11-24T00:00:00"/>
    <s v="C010"/>
    <s v="P050"/>
    <s v="S001"/>
    <n v="3"/>
    <n v="0"/>
    <x v="0"/>
    <s v="Catherine Rice"/>
    <x v="3"/>
    <x v="0"/>
    <x v="3"/>
    <n v="1044.6400000000001"/>
    <n v="3133.92"/>
  </r>
  <r>
    <s v="T00342"/>
    <d v="2025-07-08T00:00:00"/>
    <s v="C073"/>
    <s v="P037"/>
    <s v="S004"/>
    <n v="5"/>
    <n v="0.15"/>
    <x v="2"/>
    <s v="Carl Armstrong"/>
    <x v="27"/>
    <x v="1"/>
    <x v="1"/>
    <n v="1952.65"/>
    <n v="8298.7624999999989"/>
  </r>
  <r>
    <s v="T00343"/>
    <d v="2024-11-23T00:00:00"/>
    <s v="C130"/>
    <s v="P022"/>
    <s v="S004"/>
    <n v="3"/>
    <n v="0.05"/>
    <x v="3"/>
    <s v="Aaron Bailey"/>
    <x v="9"/>
    <x v="2"/>
    <x v="1"/>
    <n v="25.57"/>
    <n v="72.874499999999998"/>
  </r>
  <r>
    <s v="T00344"/>
    <d v="2025-02-20T00:00:00"/>
    <s v="C085"/>
    <s v="P045"/>
    <s v="S002"/>
    <n v="4"/>
    <n v="0.1"/>
    <x v="2"/>
    <s v="Juan Ramirez"/>
    <x v="8"/>
    <x v="2"/>
    <x v="2"/>
    <n v="1879.08"/>
    <n v="6764.6880000000001"/>
  </r>
  <r>
    <s v="T00345"/>
    <d v="2025-08-30T00:00:00"/>
    <s v="C004"/>
    <s v="P033"/>
    <s v="S003"/>
    <n v="3"/>
    <n v="0.05"/>
    <x v="2"/>
    <s v="Joseph Ward"/>
    <x v="16"/>
    <x v="0"/>
    <x v="0"/>
    <n v="1798.97"/>
    <n v="5127.0644999999995"/>
  </r>
  <r>
    <s v="T00346"/>
    <d v="2025-03-28T00:00:00"/>
    <s v="C157"/>
    <s v="P014"/>
    <s v="S004"/>
    <n v="4"/>
    <n v="0.1"/>
    <x v="3"/>
    <s v="Connie Terry"/>
    <x v="0"/>
    <x v="0"/>
    <x v="1"/>
    <n v="1342.75"/>
    <n v="4833.9000000000005"/>
  </r>
  <r>
    <s v="T00347"/>
    <d v="2025-03-03T00:00:00"/>
    <s v="C103"/>
    <s v="P030"/>
    <s v="S001"/>
    <n v="2"/>
    <n v="0.05"/>
    <x v="1"/>
    <s v="David Burns"/>
    <x v="1"/>
    <x v="0"/>
    <x v="3"/>
    <n v="29.24"/>
    <n v="55.555999999999997"/>
  </r>
  <r>
    <s v="T00348"/>
    <d v="2025-03-10T00:00:00"/>
    <s v="C083"/>
    <s v="P025"/>
    <s v="S002"/>
    <n v="1"/>
    <n v="0.1"/>
    <x v="1"/>
    <s v="Jeremy Robles"/>
    <x v="33"/>
    <x v="0"/>
    <x v="2"/>
    <n v="429.15"/>
    <n v="386.23500000000001"/>
  </r>
  <r>
    <s v="T00349"/>
    <d v="2025-07-12T00:00:00"/>
    <s v="C061"/>
    <s v="P025"/>
    <s v="S004"/>
    <n v="3"/>
    <n v="0.1"/>
    <x v="0"/>
    <s v="Heather Russell"/>
    <x v="33"/>
    <x v="0"/>
    <x v="1"/>
    <n v="429.15"/>
    <n v="1158.7049999999999"/>
  </r>
  <r>
    <s v="T00350"/>
    <d v="2024-12-25T00:00:00"/>
    <s v="C150"/>
    <s v="P015"/>
    <s v="S005"/>
    <n v="1"/>
    <n v="0.1"/>
    <x v="0"/>
    <s v="Francis Hernandez"/>
    <x v="40"/>
    <x v="0"/>
    <x v="4"/>
    <n v="270.45"/>
    <n v="243.405"/>
  </r>
  <r>
    <s v="T00351"/>
    <d v="2024-12-24T00:00:00"/>
    <s v="C178"/>
    <s v="P047"/>
    <s v="S002"/>
    <n v="1"/>
    <n v="0"/>
    <x v="1"/>
    <s v="Mark Mcdonald"/>
    <x v="28"/>
    <x v="1"/>
    <x v="2"/>
    <n v="1197.18"/>
    <n v="1197.18"/>
  </r>
  <r>
    <s v="T00352"/>
    <d v="2024-01-04T00:00:00"/>
    <s v="C079"/>
    <s v="P011"/>
    <s v="S002"/>
    <n v="4"/>
    <n v="0.1"/>
    <x v="3"/>
    <s v="Donald Marsh"/>
    <x v="17"/>
    <x v="1"/>
    <x v="2"/>
    <n v="248.57"/>
    <n v="894.85199999999998"/>
  </r>
  <r>
    <s v="T00353"/>
    <d v="2025-03-14T00:00:00"/>
    <s v="C164"/>
    <s v="P015"/>
    <s v="S003"/>
    <n v="3"/>
    <n v="0.05"/>
    <x v="2"/>
    <s v="Linda Vasquez"/>
    <x v="40"/>
    <x v="0"/>
    <x v="0"/>
    <n v="270.45"/>
    <n v="770.78249999999991"/>
  </r>
  <r>
    <s v="T00354"/>
    <d v="2023-12-24T00:00:00"/>
    <s v="C035"/>
    <s v="P039"/>
    <s v="S004"/>
    <n v="2"/>
    <n v="0.15"/>
    <x v="0"/>
    <s v="Kimberly King"/>
    <x v="22"/>
    <x v="0"/>
    <x v="1"/>
    <n v="540.94000000000005"/>
    <n v="919.59800000000007"/>
  </r>
  <r>
    <s v="T00355"/>
    <d v="2023-09-16T00:00:00"/>
    <s v="C107"/>
    <s v="P031"/>
    <s v="S005"/>
    <n v="4"/>
    <n v="0.05"/>
    <x v="2"/>
    <s v="Victoria Hansen"/>
    <x v="39"/>
    <x v="2"/>
    <x v="4"/>
    <n v="1095.72"/>
    <n v="4163.7359999999999"/>
  </r>
  <r>
    <s v="T00356"/>
    <d v="2025-08-29T00:00:00"/>
    <s v="C175"/>
    <s v="P050"/>
    <s v="S005"/>
    <n v="1"/>
    <n v="0.15"/>
    <x v="0"/>
    <s v="Stacey Thompson"/>
    <x v="3"/>
    <x v="0"/>
    <x v="4"/>
    <n v="1044.6400000000001"/>
    <n v="887.94400000000007"/>
  </r>
  <r>
    <s v="T00357"/>
    <d v="2024-08-20T00:00:00"/>
    <s v="C020"/>
    <s v="P015"/>
    <s v="S005"/>
    <n v="1"/>
    <n v="0"/>
    <x v="2"/>
    <s v="Ryan Cole"/>
    <x v="40"/>
    <x v="0"/>
    <x v="4"/>
    <n v="270.45"/>
    <n v="270.45"/>
  </r>
  <r>
    <s v="T00358"/>
    <d v="2023-10-28T00:00:00"/>
    <s v="C147"/>
    <s v="P049"/>
    <s v="S005"/>
    <n v="2"/>
    <n v="0.05"/>
    <x v="0"/>
    <s v="Crystal Garrison"/>
    <x v="29"/>
    <x v="0"/>
    <x v="4"/>
    <n v="388.26"/>
    <n v="737.69399999999996"/>
  </r>
  <r>
    <s v="T00359"/>
    <d v="2025-03-22T00:00:00"/>
    <s v="C134"/>
    <s v="P006"/>
    <s v="S004"/>
    <n v="1"/>
    <n v="0.05"/>
    <x v="1"/>
    <s v="Emily Hart"/>
    <x v="35"/>
    <x v="2"/>
    <x v="1"/>
    <n v="318.05"/>
    <n v="302.14749999999998"/>
  </r>
  <r>
    <s v="T00360"/>
    <d v="2024-01-30T00:00:00"/>
    <s v="C024"/>
    <s v="P008"/>
    <s v="S005"/>
    <n v="4"/>
    <n v="0"/>
    <x v="1"/>
    <s v="Molly Murray"/>
    <x v="48"/>
    <x v="0"/>
    <x v="4"/>
    <n v="109.78"/>
    <n v="439.12"/>
  </r>
  <r>
    <s v="T00361"/>
    <d v="2025-08-18T00:00:00"/>
    <s v="C034"/>
    <s v="P011"/>
    <s v="S005"/>
    <n v="4"/>
    <n v="0.15"/>
    <x v="3"/>
    <s v="Kari Miller"/>
    <x v="17"/>
    <x v="1"/>
    <x v="4"/>
    <n v="248.57"/>
    <n v="845.13799999999992"/>
  </r>
  <r>
    <s v="T00362"/>
    <d v="2024-06-17T00:00:00"/>
    <s v="C144"/>
    <s v="P026"/>
    <s v="S004"/>
    <n v="3"/>
    <n v="0"/>
    <x v="1"/>
    <s v="Betty Johnson"/>
    <x v="15"/>
    <x v="2"/>
    <x v="1"/>
    <n v="1015.76"/>
    <n v="3047.2799999999997"/>
  </r>
  <r>
    <s v="T00363"/>
    <d v="2024-09-09T00:00:00"/>
    <s v="C066"/>
    <s v="P018"/>
    <s v="S001"/>
    <n v="2"/>
    <n v="0"/>
    <x v="3"/>
    <s v="Jason Jenkins"/>
    <x v="19"/>
    <x v="1"/>
    <x v="3"/>
    <n v="1079.8900000000001"/>
    <n v="2159.7800000000002"/>
  </r>
  <r>
    <s v="T00364"/>
    <d v="2024-06-28T00:00:00"/>
    <s v="C109"/>
    <s v="P024"/>
    <s v="S003"/>
    <n v="1"/>
    <n v="0"/>
    <x v="3"/>
    <s v="Austin Hogan"/>
    <x v="14"/>
    <x v="1"/>
    <x v="0"/>
    <n v="1487.41"/>
    <n v="1487.41"/>
  </r>
  <r>
    <s v="T00365"/>
    <d v="2024-06-15T00:00:00"/>
    <s v="C121"/>
    <s v="P045"/>
    <s v="S001"/>
    <n v="3"/>
    <n v="0.15"/>
    <x v="2"/>
    <s v="John Bell"/>
    <x v="8"/>
    <x v="2"/>
    <x v="3"/>
    <n v="1879.08"/>
    <n v="4791.6539999999995"/>
  </r>
  <r>
    <s v="T00366"/>
    <d v="2025-01-18T00:00:00"/>
    <s v="C197"/>
    <s v="P034"/>
    <s v="S002"/>
    <n v="4"/>
    <n v="0.1"/>
    <x v="1"/>
    <s v="Matthew Dixon"/>
    <x v="12"/>
    <x v="1"/>
    <x v="2"/>
    <n v="428.05"/>
    <n v="1540.98"/>
  </r>
  <r>
    <s v="T00367"/>
    <d v="2024-02-08T00:00:00"/>
    <s v="C115"/>
    <s v="P005"/>
    <s v="S004"/>
    <n v="4"/>
    <n v="0"/>
    <x v="2"/>
    <s v="Jose Smith"/>
    <x v="6"/>
    <x v="0"/>
    <x v="1"/>
    <n v="1396.22"/>
    <n v="5584.88"/>
  </r>
  <r>
    <s v="T00368"/>
    <d v="2023-10-26T00:00:00"/>
    <s v="C168"/>
    <s v="P044"/>
    <s v="S003"/>
    <n v="1"/>
    <n v="0.05"/>
    <x v="1"/>
    <s v="Richard Jones"/>
    <x v="32"/>
    <x v="0"/>
    <x v="0"/>
    <n v="1286.55"/>
    <n v="1222.2224999999999"/>
  </r>
  <r>
    <s v="T00369"/>
    <d v="2025-08-10T00:00:00"/>
    <s v="C136"/>
    <s v="P019"/>
    <s v="S002"/>
    <n v="2"/>
    <n v="0"/>
    <x v="3"/>
    <s v="Amanda Garcia"/>
    <x v="26"/>
    <x v="1"/>
    <x v="2"/>
    <n v="1762.92"/>
    <n v="3525.84"/>
  </r>
  <r>
    <s v="T00370"/>
    <d v="2024-12-14T00:00:00"/>
    <s v="C077"/>
    <s v="P010"/>
    <s v="S004"/>
    <n v="5"/>
    <n v="0.15"/>
    <x v="1"/>
    <s v="Matthew Juarez"/>
    <x v="36"/>
    <x v="1"/>
    <x v="1"/>
    <n v="1194.1199999999999"/>
    <n v="5075.0099999999993"/>
  </r>
  <r>
    <s v="T00371"/>
    <d v="2024-04-04T00:00:00"/>
    <s v="C059"/>
    <s v="P035"/>
    <s v="S002"/>
    <n v="4"/>
    <n v="0.1"/>
    <x v="2"/>
    <s v="Scott Wyatt"/>
    <x v="7"/>
    <x v="1"/>
    <x v="2"/>
    <n v="1562.43"/>
    <n v="5624.7480000000005"/>
  </r>
  <r>
    <s v="T00372"/>
    <d v="2024-08-29T00:00:00"/>
    <s v="C071"/>
    <s v="P014"/>
    <s v="S002"/>
    <n v="1"/>
    <n v="0"/>
    <x v="1"/>
    <s v="Denise Gutierrez"/>
    <x v="0"/>
    <x v="0"/>
    <x v="2"/>
    <n v="1342.75"/>
    <n v="1342.75"/>
  </r>
  <r>
    <s v="T00373"/>
    <d v="2025-05-14T00:00:00"/>
    <s v="C158"/>
    <s v="P026"/>
    <s v="S001"/>
    <n v="2"/>
    <n v="0.05"/>
    <x v="3"/>
    <s v="Crystal Aguirre"/>
    <x v="15"/>
    <x v="2"/>
    <x v="3"/>
    <n v="1015.76"/>
    <n v="1929.944"/>
  </r>
  <r>
    <s v="T00374"/>
    <d v="2025-07-19T00:00:00"/>
    <s v="C026"/>
    <s v="P013"/>
    <s v="S005"/>
    <n v="1"/>
    <n v="0.15"/>
    <x v="3"/>
    <s v="Justin Macdonald"/>
    <x v="21"/>
    <x v="0"/>
    <x v="4"/>
    <n v="1134.8"/>
    <n v="964.57999999999993"/>
  </r>
  <r>
    <s v="T00375"/>
    <d v="2023-11-11T00:00:00"/>
    <s v="C063"/>
    <s v="P025"/>
    <s v="S001"/>
    <n v="4"/>
    <n v="0.15"/>
    <x v="2"/>
    <s v="Michael Johnson"/>
    <x v="33"/>
    <x v="0"/>
    <x v="3"/>
    <n v="429.15"/>
    <n v="1459.11"/>
  </r>
  <r>
    <s v="T00376"/>
    <d v="2025-05-28T00:00:00"/>
    <s v="C139"/>
    <s v="P039"/>
    <s v="S002"/>
    <n v="1"/>
    <n v="0.05"/>
    <x v="0"/>
    <s v="Alexander Mcfarland"/>
    <x v="22"/>
    <x v="0"/>
    <x v="2"/>
    <n v="540.94000000000005"/>
    <n v="513.89300000000003"/>
  </r>
  <r>
    <s v="T00377"/>
    <d v="2024-05-23T00:00:00"/>
    <s v="C060"/>
    <s v="P030"/>
    <s v="S005"/>
    <n v="3"/>
    <n v="0.1"/>
    <x v="2"/>
    <s v="Anthony Conway"/>
    <x v="1"/>
    <x v="0"/>
    <x v="4"/>
    <n v="29.24"/>
    <n v="78.948000000000008"/>
  </r>
  <r>
    <s v="T00378"/>
    <d v="2025-02-21T00:00:00"/>
    <s v="C078"/>
    <s v="P034"/>
    <s v="S002"/>
    <n v="5"/>
    <n v="0.05"/>
    <x v="1"/>
    <s v="Jeanne Young"/>
    <x v="12"/>
    <x v="1"/>
    <x v="2"/>
    <n v="428.05"/>
    <n v="2033.2375"/>
  </r>
  <r>
    <s v="T00379"/>
    <d v="2024-02-13T00:00:00"/>
    <s v="C077"/>
    <s v="P005"/>
    <s v="S003"/>
    <n v="1"/>
    <n v="0.05"/>
    <x v="1"/>
    <s v="Matthew Juarez"/>
    <x v="6"/>
    <x v="0"/>
    <x v="0"/>
    <n v="1396.22"/>
    <n v="1326.4089999999999"/>
  </r>
  <r>
    <s v="T00380"/>
    <d v="2025-02-16T00:00:00"/>
    <s v="C143"/>
    <s v="P010"/>
    <s v="S004"/>
    <n v="1"/>
    <n v="0.1"/>
    <x v="1"/>
    <s v="Cynthia Carlson"/>
    <x v="36"/>
    <x v="1"/>
    <x v="1"/>
    <n v="1194.1199999999999"/>
    <n v="1074.7079999999999"/>
  </r>
  <r>
    <s v="T00381"/>
    <d v="2024-10-18T00:00:00"/>
    <s v="C135"/>
    <s v="P043"/>
    <s v="S003"/>
    <n v="4"/>
    <n v="0.15"/>
    <x v="2"/>
    <s v="Mario Cuevas"/>
    <x v="45"/>
    <x v="0"/>
    <x v="0"/>
    <n v="564.41999999999996"/>
    <n v="1919.0279999999998"/>
  </r>
  <r>
    <s v="T00382"/>
    <d v="2024-07-27T00:00:00"/>
    <s v="C077"/>
    <s v="P021"/>
    <s v="S004"/>
    <n v="2"/>
    <n v="0.15"/>
    <x v="2"/>
    <s v="Matthew Juarez"/>
    <x v="23"/>
    <x v="2"/>
    <x v="1"/>
    <n v="1227.24"/>
    <n v="2086.308"/>
  </r>
  <r>
    <s v="T00383"/>
    <d v="2025-02-26T00:00:00"/>
    <s v="C058"/>
    <s v="P037"/>
    <s v="S003"/>
    <n v="2"/>
    <n v="0.15"/>
    <x v="3"/>
    <s v="Lawrence Stewart"/>
    <x v="27"/>
    <x v="1"/>
    <x v="0"/>
    <n v="1952.65"/>
    <n v="3319.5050000000001"/>
  </r>
  <r>
    <s v="T00384"/>
    <d v="2025-04-29T00:00:00"/>
    <s v="C144"/>
    <s v="P007"/>
    <s v="S004"/>
    <n v="4"/>
    <n v="0.05"/>
    <x v="1"/>
    <s v="Betty Johnson"/>
    <x v="18"/>
    <x v="1"/>
    <x v="1"/>
    <n v="1474.12"/>
    <n v="5601.655999999999"/>
  </r>
  <r>
    <s v="T00385"/>
    <d v="2024-11-20T00:00:00"/>
    <s v="C063"/>
    <s v="P007"/>
    <s v="S003"/>
    <n v="2"/>
    <n v="0.1"/>
    <x v="3"/>
    <s v="Michael Johnson"/>
    <x v="18"/>
    <x v="1"/>
    <x v="0"/>
    <n v="1474.12"/>
    <n v="2653.4159999999997"/>
  </r>
  <r>
    <s v="T00386"/>
    <d v="2024-07-17T00:00:00"/>
    <s v="C116"/>
    <s v="P043"/>
    <s v="S003"/>
    <n v="1"/>
    <n v="0.05"/>
    <x v="3"/>
    <s v="Jamie Webb"/>
    <x v="45"/>
    <x v="0"/>
    <x v="0"/>
    <n v="564.41999999999996"/>
    <n v="536.19899999999996"/>
  </r>
  <r>
    <s v="T00387"/>
    <d v="2024-04-15T00:00:00"/>
    <s v="C069"/>
    <s v="P011"/>
    <s v="S004"/>
    <n v="5"/>
    <n v="0"/>
    <x v="3"/>
    <s v="Gabriel Daugherty"/>
    <x v="17"/>
    <x v="1"/>
    <x v="1"/>
    <n v="248.57"/>
    <n v="1242.8499999999999"/>
  </r>
  <r>
    <s v="T00388"/>
    <d v="2023-11-24T00:00:00"/>
    <s v="C049"/>
    <s v="P024"/>
    <s v="S005"/>
    <n v="5"/>
    <n v="0.05"/>
    <x v="1"/>
    <s v="Antonio Hamilton"/>
    <x v="14"/>
    <x v="1"/>
    <x v="4"/>
    <n v="1487.41"/>
    <n v="7065.1975000000002"/>
  </r>
  <r>
    <s v="T00389"/>
    <d v="2024-10-19T00:00:00"/>
    <s v="C054"/>
    <s v="P020"/>
    <s v="S003"/>
    <n v="3"/>
    <n v="0"/>
    <x v="2"/>
    <s v="Crystal Johnson"/>
    <x v="24"/>
    <x v="0"/>
    <x v="0"/>
    <n v="323.92"/>
    <n v="971.76"/>
  </r>
  <r>
    <s v="T00390"/>
    <d v="2025-06-10T00:00:00"/>
    <s v="C049"/>
    <s v="P048"/>
    <s v="S001"/>
    <n v="4"/>
    <n v="0.05"/>
    <x v="2"/>
    <s v="Antonio Hamilton"/>
    <x v="11"/>
    <x v="0"/>
    <x v="3"/>
    <n v="1216.3599999999999"/>
    <n v="4622.1679999999997"/>
  </r>
  <r>
    <s v="T00391"/>
    <d v="2024-10-10T00:00:00"/>
    <s v="C102"/>
    <s v="P005"/>
    <s v="S002"/>
    <n v="5"/>
    <n v="0.1"/>
    <x v="0"/>
    <s v="Carolyn Perez"/>
    <x v="6"/>
    <x v="0"/>
    <x v="2"/>
    <n v="1396.22"/>
    <n v="6282.9900000000007"/>
  </r>
  <r>
    <s v="T00392"/>
    <d v="2024-10-09T00:00:00"/>
    <s v="C098"/>
    <s v="P041"/>
    <s v="S004"/>
    <n v="5"/>
    <n v="0.1"/>
    <x v="0"/>
    <s v="Lisa Vega"/>
    <x v="30"/>
    <x v="1"/>
    <x v="1"/>
    <n v="1635.01"/>
    <n v="7357.5450000000001"/>
  </r>
  <r>
    <s v="T00393"/>
    <d v="2024-12-23T00:00:00"/>
    <s v="C067"/>
    <s v="P031"/>
    <s v="S003"/>
    <n v="5"/>
    <n v="0.15"/>
    <x v="1"/>
    <s v="Daniel Maldonado"/>
    <x v="39"/>
    <x v="2"/>
    <x v="0"/>
    <n v="1095.72"/>
    <n v="4656.8100000000004"/>
  </r>
  <r>
    <s v="T00394"/>
    <d v="2024-05-07T00:00:00"/>
    <s v="C026"/>
    <s v="P001"/>
    <s v="S004"/>
    <n v="3"/>
    <n v="0.05"/>
    <x v="0"/>
    <s v="Justin Macdonald"/>
    <x v="31"/>
    <x v="1"/>
    <x v="1"/>
    <n v="1673.69"/>
    <n v="4770.0164999999997"/>
  </r>
  <r>
    <s v="T00395"/>
    <d v="2024-12-16T00:00:00"/>
    <s v="C081"/>
    <s v="P025"/>
    <s v="S004"/>
    <n v="1"/>
    <n v="0.05"/>
    <x v="2"/>
    <s v="Sarah Reynolds"/>
    <x v="33"/>
    <x v="0"/>
    <x v="1"/>
    <n v="429.15"/>
    <n v="407.69249999999994"/>
  </r>
  <r>
    <s v="T00396"/>
    <d v="2024-07-25T00:00:00"/>
    <s v="C005"/>
    <s v="P049"/>
    <s v="S003"/>
    <n v="5"/>
    <n v="0.15"/>
    <x v="0"/>
    <s v="Jamie Salinas"/>
    <x v="29"/>
    <x v="0"/>
    <x v="0"/>
    <n v="388.26"/>
    <n v="1650.105"/>
  </r>
  <r>
    <s v="T00397"/>
    <d v="2023-11-17T00:00:00"/>
    <s v="C040"/>
    <s v="P029"/>
    <s v="S002"/>
    <n v="3"/>
    <n v="0.05"/>
    <x v="1"/>
    <s v="Scott Powell"/>
    <x v="47"/>
    <x v="0"/>
    <x v="2"/>
    <n v="1485.05"/>
    <n v="4232.392499999999"/>
  </r>
  <r>
    <s v="T00398"/>
    <d v="2024-10-14T00:00:00"/>
    <s v="C146"/>
    <s v="P009"/>
    <s v="S002"/>
    <n v="4"/>
    <n v="0.1"/>
    <x v="0"/>
    <s v="John Johnson"/>
    <x v="5"/>
    <x v="2"/>
    <x v="2"/>
    <n v="123.19"/>
    <n v="443.48399999999998"/>
  </r>
  <r>
    <s v="T00399"/>
    <d v="2023-10-04T00:00:00"/>
    <s v="C196"/>
    <s v="P017"/>
    <s v="S004"/>
    <n v="4"/>
    <n v="0.15"/>
    <x v="2"/>
    <s v="James Noble"/>
    <x v="43"/>
    <x v="1"/>
    <x v="1"/>
    <n v="1246.1099999999999"/>
    <n v="4236.7739999999994"/>
  </r>
  <r>
    <s v="T00400"/>
    <d v="2024-01-24T00:00:00"/>
    <s v="C188"/>
    <s v="P006"/>
    <s v="S003"/>
    <n v="2"/>
    <n v="0.05"/>
    <x v="1"/>
    <s v="Ryan Flores"/>
    <x v="35"/>
    <x v="2"/>
    <x v="0"/>
    <n v="318.05"/>
    <n v="604.29499999999996"/>
  </r>
  <r>
    <s v="T00401"/>
    <d v="2024-07-27T00:00:00"/>
    <s v="C048"/>
    <s v="P047"/>
    <s v="S005"/>
    <n v="1"/>
    <n v="0"/>
    <x v="3"/>
    <s v="Alexis Crane"/>
    <x v="28"/>
    <x v="1"/>
    <x v="4"/>
    <n v="1197.18"/>
    <n v="1197.18"/>
  </r>
  <r>
    <s v="T00402"/>
    <d v="2025-05-13T00:00:00"/>
    <s v="C172"/>
    <s v="P021"/>
    <s v="S001"/>
    <n v="1"/>
    <n v="0.15"/>
    <x v="2"/>
    <s v="Michelle Smith"/>
    <x v="23"/>
    <x v="2"/>
    <x v="3"/>
    <n v="1227.24"/>
    <n v="1043.154"/>
  </r>
  <r>
    <s v="T00403"/>
    <d v="2024-05-04T00:00:00"/>
    <s v="C162"/>
    <s v="P029"/>
    <s v="S002"/>
    <n v="1"/>
    <n v="0.05"/>
    <x v="3"/>
    <s v="Jill Roach"/>
    <x v="47"/>
    <x v="0"/>
    <x v="2"/>
    <n v="1485.05"/>
    <n v="1410.7974999999999"/>
  </r>
  <r>
    <s v="T00404"/>
    <d v="2025-01-20T00:00:00"/>
    <s v="C056"/>
    <s v="P048"/>
    <s v="S005"/>
    <n v="4"/>
    <n v="0.1"/>
    <x v="3"/>
    <s v="Carl Wyatt"/>
    <x v="11"/>
    <x v="0"/>
    <x v="4"/>
    <n v="1216.3599999999999"/>
    <n v="4378.8959999999997"/>
  </r>
  <r>
    <s v="T00405"/>
    <d v="2024-08-06T00:00:00"/>
    <s v="C159"/>
    <s v="P022"/>
    <s v="S005"/>
    <n v="4"/>
    <n v="0.15"/>
    <x v="3"/>
    <s v="Thomas Chung"/>
    <x v="9"/>
    <x v="2"/>
    <x v="4"/>
    <n v="25.57"/>
    <n v="86.938000000000002"/>
  </r>
  <r>
    <s v="T00406"/>
    <d v="2025-05-21T00:00:00"/>
    <s v="C002"/>
    <s v="P031"/>
    <s v="S005"/>
    <n v="5"/>
    <n v="0.15"/>
    <x v="3"/>
    <s v="Michael Miller"/>
    <x v="39"/>
    <x v="2"/>
    <x v="4"/>
    <n v="1095.72"/>
    <n v="4656.8100000000004"/>
  </r>
  <r>
    <s v="T00407"/>
    <d v="2025-06-13T00:00:00"/>
    <s v="C005"/>
    <s v="P034"/>
    <s v="S005"/>
    <n v="3"/>
    <n v="0.1"/>
    <x v="3"/>
    <s v="Jamie Salinas"/>
    <x v="12"/>
    <x v="1"/>
    <x v="4"/>
    <n v="428.05"/>
    <n v="1155.7350000000001"/>
  </r>
  <r>
    <s v="T00408"/>
    <d v="2024-12-22T00:00:00"/>
    <s v="C129"/>
    <s v="P015"/>
    <s v="S004"/>
    <n v="2"/>
    <n v="0"/>
    <x v="3"/>
    <s v="Gary Taylor"/>
    <x v="40"/>
    <x v="0"/>
    <x v="1"/>
    <n v="270.45"/>
    <n v="540.9"/>
  </r>
  <r>
    <s v="T00409"/>
    <d v="2025-01-21T00:00:00"/>
    <s v="C135"/>
    <s v="P037"/>
    <s v="S002"/>
    <n v="2"/>
    <n v="0.05"/>
    <x v="0"/>
    <s v="Mario Cuevas"/>
    <x v="27"/>
    <x v="1"/>
    <x v="2"/>
    <n v="1952.65"/>
    <n v="3710.0349999999999"/>
  </r>
  <r>
    <s v="T00410"/>
    <d v="2024-05-18T00:00:00"/>
    <s v="C091"/>
    <s v="P048"/>
    <s v="S003"/>
    <n v="4"/>
    <n v="0"/>
    <x v="0"/>
    <s v="Brian Fowler"/>
    <x v="11"/>
    <x v="0"/>
    <x v="0"/>
    <n v="1216.3599999999999"/>
    <n v="4865.4399999999996"/>
  </r>
  <r>
    <s v="T00411"/>
    <d v="2024-09-24T00:00:00"/>
    <s v="C104"/>
    <s v="P002"/>
    <s v="S004"/>
    <n v="5"/>
    <n v="0.05"/>
    <x v="2"/>
    <s v="Brenda Dean"/>
    <x v="2"/>
    <x v="1"/>
    <x v="1"/>
    <n v="818.76"/>
    <n v="3889.11"/>
  </r>
  <r>
    <s v="T00412"/>
    <d v="2023-10-03T00:00:00"/>
    <s v="C077"/>
    <s v="P005"/>
    <s v="S001"/>
    <n v="1"/>
    <n v="0"/>
    <x v="1"/>
    <s v="Matthew Juarez"/>
    <x v="6"/>
    <x v="0"/>
    <x v="3"/>
    <n v="1396.22"/>
    <n v="1396.22"/>
  </r>
  <r>
    <s v="T00413"/>
    <d v="2024-01-20T00:00:00"/>
    <s v="C098"/>
    <s v="P030"/>
    <s v="S004"/>
    <n v="5"/>
    <n v="0.15"/>
    <x v="3"/>
    <s v="Lisa Vega"/>
    <x v="1"/>
    <x v="0"/>
    <x v="1"/>
    <n v="29.24"/>
    <n v="124.26999999999998"/>
  </r>
  <r>
    <s v="T00414"/>
    <d v="2023-09-19T00:00:00"/>
    <s v="C164"/>
    <s v="P034"/>
    <s v="S001"/>
    <n v="2"/>
    <n v="0"/>
    <x v="1"/>
    <s v="Linda Vasquez"/>
    <x v="12"/>
    <x v="1"/>
    <x v="3"/>
    <n v="428.05"/>
    <n v="856.1"/>
  </r>
  <r>
    <s v="T00415"/>
    <d v="2025-06-13T00:00:00"/>
    <s v="C112"/>
    <s v="P029"/>
    <s v="S003"/>
    <n v="5"/>
    <n v="0"/>
    <x v="3"/>
    <s v="Jeffrey Smith"/>
    <x v="47"/>
    <x v="0"/>
    <x v="0"/>
    <n v="1485.05"/>
    <n v="7425.25"/>
  </r>
  <r>
    <s v="T00416"/>
    <d v="2025-04-18T00:00:00"/>
    <s v="C059"/>
    <s v="P036"/>
    <s v="S002"/>
    <n v="5"/>
    <n v="0.15"/>
    <x v="0"/>
    <s v="Scott Wyatt"/>
    <x v="4"/>
    <x v="0"/>
    <x v="2"/>
    <n v="1501.46"/>
    <n v="6381.2049999999999"/>
  </r>
  <r>
    <s v="T00417"/>
    <d v="2023-10-19T00:00:00"/>
    <s v="C012"/>
    <s v="P004"/>
    <s v="S001"/>
    <n v="3"/>
    <n v="0"/>
    <x v="2"/>
    <s v="Dale Perry"/>
    <x v="49"/>
    <x v="0"/>
    <x v="3"/>
    <n v="1853.77"/>
    <n v="5561.3099999999995"/>
  </r>
  <r>
    <s v="T00418"/>
    <d v="2024-11-12T00:00:00"/>
    <s v="C081"/>
    <s v="P033"/>
    <s v="S001"/>
    <n v="2"/>
    <n v="0.05"/>
    <x v="1"/>
    <s v="Sarah Reynolds"/>
    <x v="16"/>
    <x v="0"/>
    <x v="3"/>
    <n v="1798.97"/>
    <n v="3418.0429999999997"/>
  </r>
  <r>
    <s v="T00419"/>
    <d v="2024-01-30T00:00:00"/>
    <s v="C020"/>
    <s v="P029"/>
    <s v="S003"/>
    <n v="2"/>
    <n v="0.05"/>
    <x v="1"/>
    <s v="Ryan Cole"/>
    <x v="47"/>
    <x v="0"/>
    <x v="0"/>
    <n v="1485.05"/>
    <n v="2821.5949999999998"/>
  </r>
  <r>
    <s v="T00420"/>
    <d v="2024-03-30T00:00:00"/>
    <s v="C174"/>
    <s v="P029"/>
    <s v="S005"/>
    <n v="3"/>
    <n v="0.15"/>
    <x v="2"/>
    <s v="Scott Howell"/>
    <x v="47"/>
    <x v="0"/>
    <x v="4"/>
    <n v="1485.05"/>
    <n v="3786.8774999999996"/>
  </r>
  <r>
    <s v="T00421"/>
    <d v="2023-11-28T00:00:00"/>
    <s v="C177"/>
    <s v="P019"/>
    <s v="S001"/>
    <n v="5"/>
    <n v="0.1"/>
    <x v="3"/>
    <s v="Anthony Gould"/>
    <x v="26"/>
    <x v="1"/>
    <x v="3"/>
    <n v="1762.92"/>
    <n v="7933.14"/>
  </r>
  <r>
    <s v="T00422"/>
    <d v="2025-07-13T00:00:00"/>
    <s v="C026"/>
    <s v="P046"/>
    <s v="S004"/>
    <n v="2"/>
    <n v="0"/>
    <x v="0"/>
    <s v="Justin Macdonald"/>
    <x v="42"/>
    <x v="0"/>
    <x v="1"/>
    <n v="1165.3699999999999"/>
    <n v="2330.7399999999998"/>
  </r>
  <r>
    <s v="T00423"/>
    <d v="2023-12-06T00:00:00"/>
    <s v="C155"/>
    <s v="P001"/>
    <s v="S005"/>
    <n v="5"/>
    <n v="0.15"/>
    <x v="0"/>
    <s v="Jill Mcconnell"/>
    <x v="31"/>
    <x v="1"/>
    <x v="4"/>
    <n v="1673.69"/>
    <n v="7113.1825000000008"/>
  </r>
  <r>
    <s v="T00424"/>
    <d v="2024-04-13T00:00:00"/>
    <s v="C008"/>
    <s v="P014"/>
    <s v="S003"/>
    <n v="4"/>
    <n v="0.15"/>
    <x v="2"/>
    <s v="Isaiah Williams"/>
    <x v="0"/>
    <x v="0"/>
    <x v="0"/>
    <n v="1342.75"/>
    <n v="4565.3499999999995"/>
  </r>
  <r>
    <s v="T00425"/>
    <d v="2024-10-09T00:00:00"/>
    <s v="C092"/>
    <s v="P004"/>
    <s v="S005"/>
    <n v="4"/>
    <n v="0.15"/>
    <x v="2"/>
    <s v="Lindsey Holder"/>
    <x v="49"/>
    <x v="0"/>
    <x v="4"/>
    <n v="1853.77"/>
    <n v="6302.8180000000002"/>
  </r>
  <r>
    <s v="T00426"/>
    <d v="2023-09-11T00:00:00"/>
    <s v="C175"/>
    <s v="P024"/>
    <s v="S005"/>
    <n v="4"/>
    <n v="0"/>
    <x v="0"/>
    <s v="Stacey Thompson"/>
    <x v="14"/>
    <x v="1"/>
    <x v="4"/>
    <n v="1487.41"/>
    <n v="5949.64"/>
  </r>
  <r>
    <s v="T00427"/>
    <d v="2024-12-10T00:00:00"/>
    <s v="C064"/>
    <s v="P030"/>
    <s v="S001"/>
    <n v="1"/>
    <n v="0.1"/>
    <x v="2"/>
    <s v="Amanda Hoover"/>
    <x v="1"/>
    <x v="0"/>
    <x v="3"/>
    <n v="29.24"/>
    <n v="26.315999999999999"/>
  </r>
  <r>
    <s v="T00428"/>
    <d v="2025-08-30T00:00:00"/>
    <s v="C098"/>
    <s v="P033"/>
    <s v="S002"/>
    <n v="4"/>
    <n v="0.1"/>
    <x v="0"/>
    <s v="Lisa Vega"/>
    <x v="16"/>
    <x v="0"/>
    <x v="2"/>
    <n v="1798.97"/>
    <n v="6476.2920000000004"/>
  </r>
  <r>
    <s v="T00429"/>
    <d v="2024-02-18T00:00:00"/>
    <s v="C028"/>
    <s v="P010"/>
    <s v="S001"/>
    <n v="1"/>
    <n v="0.1"/>
    <x v="1"/>
    <s v="John Carr"/>
    <x v="36"/>
    <x v="1"/>
    <x v="3"/>
    <n v="1194.1199999999999"/>
    <n v="1074.7079999999999"/>
  </r>
  <r>
    <s v="T00430"/>
    <d v="2024-03-03T00:00:00"/>
    <s v="C093"/>
    <s v="P026"/>
    <s v="S003"/>
    <n v="1"/>
    <n v="0.05"/>
    <x v="3"/>
    <s v="Stanley Brown"/>
    <x v="15"/>
    <x v="2"/>
    <x v="0"/>
    <n v="1015.76"/>
    <n v="964.97199999999998"/>
  </r>
  <r>
    <s v="T00431"/>
    <d v="2024-01-10T00:00:00"/>
    <s v="C048"/>
    <s v="P015"/>
    <s v="S004"/>
    <n v="4"/>
    <n v="0.15"/>
    <x v="3"/>
    <s v="Alexis Crane"/>
    <x v="40"/>
    <x v="0"/>
    <x v="1"/>
    <n v="270.45"/>
    <n v="919.53"/>
  </r>
  <r>
    <s v="T00432"/>
    <d v="2023-12-18T00:00:00"/>
    <s v="C007"/>
    <s v="P048"/>
    <s v="S001"/>
    <n v="3"/>
    <n v="0"/>
    <x v="0"/>
    <s v="Erin Walker"/>
    <x v="11"/>
    <x v="0"/>
    <x v="3"/>
    <n v="1216.3599999999999"/>
    <n v="3649.08"/>
  </r>
  <r>
    <s v="T00433"/>
    <d v="2024-02-12T00:00:00"/>
    <s v="C099"/>
    <s v="P010"/>
    <s v="S001"/>
    <n v="3"/>
    <n v="0.15"/>
    <x v="1"/>
    <s v="Kimberly Jones"/>
    <x v="36"/>
    <x v="1"/>
    <x v="3"/>
    <n v="1194.1199999999999"/>
    <n v="3045.0059999999999"/>
  </r>
  <r>
    <s v="T00434"/>
    <d v="2025-02-21T00:00:00"/>
    <s v="C200"/>
    <s v="P030"/>
    <s v="S001"/>
    <n v="5"/>
    <n v="0.05"/>
    <x v="2"/>
    <s v="Ronald Haley"/>
    <x v="1"/>
    <x v="0"/>
    <x v="3"/>
    <n v="29.24"/>
    <n v="138.88999999999999"/>
  </r>
  <r>
    <s v="T00435"/>
    <d v="2025-02-20T00:00:00"/>
    <s v="C176"/>
    <s v="P028"/>
    <s v="S004"/>
    <n v="2"/>
    <n v="0.05"/>
    <x v="0"/>
    <s v="Peter Garcia"/>
    <x v="25"/>
    <x v="1"/>
    <x v="1"/>
    <n v="673.78"/>
    <n v="1280.1819999999998"/>
  </r>
  <r>
    <s v="T00436"/>
    <d v="2024-03-16T00:00:00"/>
    <s v="C078"/>
    <s v="P011"/>
    <s v="S003"/>
    <n v="4"/>
    <n v="0.05"/>
    <x v="3"/>
    <s v="Jeanne Young"/>
    <x v="17"/>
    <x v="1"/>
    <x v="0"/>
    <n v="248.57"/>
    <n v="944.56599999999992"/>
  </r>
  <r>
    <s v="T00437"/>
    <d v="2024-03-20T00:00:00"/>
    <s v="C043"/>
    <s v="P025"/>
    <s v="S004"/>
    <n v="3"/>
    <n v="0.15"/>
    <x v="0"/>
    <s v="Kenneth Allen"/>
    <x v="33"/>
    <x v="0"/>
    <x v="1"/>
    <n v="429.15"/>
    <n v="1094.3324999999998"/>
  </r>
  <r>
    <s v="T00438"/>
    <d v="2025-05-29T00:00:00"/>
    <s v="C124"/>
    <s v="P027"/>
    <s v="S001"/>
    <n v="3"/>
    <n v="0.1"/>
    <x v="2"/>
    <s v="Chad Roberts"/>
    <x v="34"/>
    <x v="1"/>
    <x v="3"/>
    <n v="1272.23"/>
    <n v="3435.0210000000002"/>
  </r>
  <r>
    <s v="T00439"/>
    <d v="2024-05-15T00:00:00"/>
    <s v="C185"/>
    <s v="P046"/>
    <s v="S004"/>
    <n v="5"/>
    <n v="0.05"/>
    <x v="1"/>
    <s v="Joe Vincent"/>
    <x v="42"/>
    <x v="0"/>
    <x v="1"/>
    <n v="1165.3699999999999"/>
    <n v="5535.5074999999988"/>
  </r>
  <r>
    <s v="T00440"/>
    <d v="2023-09-26T00:00:00"/>
    <s v="C028"/>
    <s v="P048"/>
    <s v="S002"/>
    <n v="3"/>
    <n v="0"/>
    <x v="1"/>
    <s v="John Carr"/>
    <x v="11"/>
    <x v="0"/>
    <x v="2"/>
    <n v="1216.3599999999999"/>
    <n v="3649.08"/>
  </r>
  <r>
    <s v="T00441"/>
    <d v="2025-08-28T00:00:00"/>
    <s v="C086"/>
    <s v="P012"/>
    <s v="S005"/>
    <n v="4"/>
    <n v="0.1"/>
    <x v="1"/>
    <s v="Lawrence Hunter"/>
    <x v="38"/>
    <x v="1"/>
    <x v="4"/>
    <n v="1193.0899999999999"/>
    <n v="4295.1239999999998"/>
  </r>
  <r>
    <s v="T00442"/>
    <d v="2024-08-17T00:00:00"/>
    <s v="C086"/>
    <s v="P027"/>
    <s v="S004"/>
    <n v="5"/>
    <n v="0.05"/>
    <x v="0"/>
    <s v="Lawrence Hunter"/>
    <x v="34"/>
    <x v="1"/>
    <x v="1"/>
    <n v="1272.23"/>
    <n v="6043.0924999999997"/>
  </r>
  <r>
    <s v="T00443"/>
    <d v="2025-04-06T00:00:00"/>
    <s v="C083"/>
    <s v="P028"/>
    <s v="S005"/>
    <n v="2"/>
    <n v="0.15"/>
    <x v="0"/>
    <s v="Jeremy Robles"/>
    <x v="25"/>
    <x v="1"/>
    <x v="4"/>
    <n v="673.78"/>
    <n v="1145.4259999999999"/>
  </r>
  <r>
    <s v="T00444"/>
    <d v="2024-04-01T00:00:00"/>
    <s v="C046"/>
    <s v="P018"/>
    <s v="S004"/>
    <n v="3"/>
    <n v="0.1"/>
    <x v="1"/>
    <s v="Dennis Poole"/>
    <x v="19"/>
    <x v="1"/>
    <x v="1"/>
    <n v="1079.8900000000001"/>
    <n v="2915.703"/>
  </r>
  <r>
    <s v="T00445"/>
    <d v="2025-01-17T00:00:00"/>
    <s v="C148"/>
    <s v="P002"/>
    <s v="S002"/>
    <n v="3"/>
    <n v="0.15"/>
    <x v="0"/>
    <s v="John Foster"/>
    <x v="2"/>
    <x v="1"/>
    <x v="2"/>
    <n v="818.76"/>
    <n v="2087.8379999999997"/>
  </r>
  <r>
    <s v="T00446"/>
    <d v="2024-10-12T00:00:00"/>
    <s v="C101"/>
    <s v="P016"/>
    <s v="S003"/>
    <n v="1"/>
    <n v="0.05"/>
    <x v="2"/>
    <s v="William Pope"/>
    <x v="13"/>
    <x v="0"/>
    <x v="0"/>
    <n v="1858.75"/>
    <n v="1765.8125"/>
  </r>
  <r>
    <s v="T00447"/>
    <d v="2025-05-02T00:00:00"/>
    <s v="C175"/>
    <s v="P015"/>
    <s v="S005"/>
    <n v="1"/>
    <n v="0.15"/>
    <x v="2"/>
    <s v="Stacey Thompson"/>
    <x v="40"/>
    <x v="0"/>
    <x v="4"/>
    <n v="270.45"/>
    <n v="229.88249999999999"/>
  </r>
  <r>
    <s v="T00448"/>
    <d v="2024-03-31T00:00:00"/>
    <s v="C113"/>
    <s v="P044"/>
    <s v="S003"/>
    <n v="1"/>
    <n v="0.15"/>
    <x v="1"/>
    <s v="Heidi Wilson"/>
    <x v="32"/>
    <x v="0"/>
    <x v="0"/>
    <n v="1286.55"/>
    <n v="1093.5674999999999"/>
  </r>
  <r>
    <s v="T00449"/>
    <d v="2025-01-02T00:00:00"/>
    <s v="C036"/>
    <s v="P038"/>
    <s v="S003"/>
    <n v="2"/>
    <n v="0.1"/>
    <x v="2"/>
    <s v="Michael Cervantes"/>
    <x v="41"/>
    <x v="0"/>
    <x v="0"/>
    <n v="366.93"/>
    <n v="660.47400000000005"/>
  </r>
  <r>
    <s v="T00450"/>
    <d v="2025-05-29T00:00:00"/>
    <s v="C184"/>
    <s v="P017"/>
    <s v="S004"/>
    <n v="4"/>
    <n v="0"/>
    <x v="1"/>
    <s v="Daniel Mcintyre"/>
    <x v="43"/>
    <x v="1"/>
    <x v="1"/>
    <n v="1246.1099999999999"/>
    <n v="4984.4399999999996"/>
  </r>
  <r>
    <s v="T00451"/>
    <d v="2024-10-24T00:00:00"/>
    <s v="C154"/>
    <s v="P041"/>
    <s v="S004"/>
    <n v="5"/>
    <n v="0.15"/>
    <x v="1"/>
    <s v="Lisa Martinez"/>
    <x v="30"/>
    <x v="1"/>
    <x v="1"/>
    <n v="1635.01"/>
    <n v="6948.7924999999996"/>
  </r>
  <r>
    <s v="T00452"/>
    <d v="2025-03-31T00:00:00"/>
    <s v="C140"/>
    <s v="P033"/>
    <s v="S001"/>
    <n v="3"/>
    <n v="0"/>
    <x v="3"/>
    <s v="Stacy Williams"/>
    <x v="16"/>
    <x v="0"/>
    <x v="3"/>
    <n v="1798.97"/>
    <n v="5396.91"/>
  </r>
  <r>
    <s v="T00453"/>
    <d v="2024-01-01T00:00:00"/>
    <s v="C197"/>
    <s v="P010"/>
    <s v="S002"/>
    <n v="3"/>
    <n v="0.05"/>
    <x v="3"/>
    <s v="Matthew Dixon"/>
    <x v="36"/>
    <x v="1"/>
    <x v="2"/>
    <n v="1194.1199999999999"/>
    <n v="3403.2419999999997"/>
  </r>
  <r>
    <s v="T00454"/>
    <d v="2025-07-01T00:00:00"/>
    <s v="C145"/>
    <s v="P036"/>
    <s v="S004"/>
    <n v="3"/>
    <n v="0.15"/>
    <x v="3"/>
    <s v="Paige Osborne"/>
    <x v="4"/>
    <x v="0"/>
    <x v="1"/>
    <n v="1501.46"/>
    <n v="3828.723"/>
  </r>
  <r>
    <s v="T00455"/>
    <d v="2025-07-15T00:00:00"/>
    <s v="C003"/>
    <s v="P030"/>
    <s v="S001"/>
    <n v="3"/>
    <n v="0.05"/>
    <x v="2"/>
    <s v="Carol Hays"/>
    <x v="1"/>
    <x v="0"/>
    <x v="3"/>
    <n v="29.24"/>
    <n v="83.333999999999989"/>
  </r>
  <r>
    <s v="T00456"/>
    <d v="2025-01-17T00:00:00"/>
    <s v="C115"/>
    <s v="P043"/>
    <s v="S003"/>
    <n v="4"/>
    <n v="0.15"/>
    <x v="2"/>
    <s v="Jose Smith"/>
    <x v="45"/>
    <x v="0"/>
    <x v="0"/>
    <n v="564.41999999999996"/>
    <n v="1919.0279999999998"/>
  </r>
  <r>
    <s v="T00457"/>
    <d v="2025-04-27T00:00:00"/>
    <s v="C089"/>
    <s v="P045"/>
    <s v="S001"/>
    <n v="4"/>
    <n v="0"/>
    <x v="0"/>
    <s v="William Warner"/>
    <x v="8"/>
    <x v="2"/>
    <x v="3"/>
    <n v="1879.08"/>
    <n v="7516.32"/>
  </r>
  <r>
    <s v="T00458"/>
    <d v="2025-07-04T00:00:00"/>
    <s v="C107"/>
    <s v="P035"/>
    <s v="S001"/>
    <n v="1"/>
    <n v="0.05"/>
    <x v="0"/>
    <s v="Victoria Hansen"/>
    <x v="7"/>
    <x v="1"/>
    <x v="3"/>
    <n v="1562.43"/>
    <n v="1484.3085000000001"/>
  </r>
  <r>
    <s v="T00459"/>
    <d v="2023-11-07T00:00:00"/>
    <s v="C080"/>
    <s v="P015"/>
    <s v="S003"/>
    <n v="4"/>
    <n v="0.05"/>
    <x v="1"/>
    <s v="Grace Garcia"/>
    <x v="40"/>
    <x v="0"/>
    <x v="0"/>
    <n v="270.45"/>
    <n v="1027.7099999999998"/>
  </r>
  <r>
    <s v="T00460"/>
    <d v="2025-03-10T00:00:00"/>
    <s v="C090"/>
    <s v="P028"/>
    <s v="S004"/>
    <n v="1"/>
    <n v="0.15"/>
    <x v="1"/>
    <s v="Carrie Peterson"/>
    <x v="25"/>
    <x v="1"/>
    <x v="1"/>
    <n v="673.78"/>
    <n v="572.71299999999997"/>
  </r>
  <r>
    <s v="T00461"/>
    <d v="2025-01-15T00:00:00"/>
    <s v="C082"/>
    <s v="P012"/>
    <s v="S001"/>
    <n v="3"/>
    <n v="0"/>
    <x v="3"/>
    <s v="Amy Haley"/>
    <x v="38"/>
    <x v="1"/>
    <x v="3"/>
    <n v="1193.0899999999999"/>
    <n v="3579.2699999999995"/>
  </r>
  <r>
    <s v="T00462"/>
    <d v="2023-12-06T00:00:00"/>
    <s v="C006"/>
    <s v="P043"/>
    <s v="S003"/>
    <n v="1"/>
    <n v="0.05"/>
    <x v="2"/>
    <s v="Danny Moore"/>
    <x v="45"/>
    <x v="0"/>
    <x v="0"/>
    <n v="564.41999999999996"/>
    <n v="536.19899999999996"/>
  </r>
  <r>
    <s v="T00463"/>
    <d v="2024-11-09T00:00:00"/>
    <s v="C133"/>
    <s v="P038"/>
    <s v="S002"/>
    <n v="5"/>
    <n v="0.05"/>
    <x v="0"/>
    <s v="Yvette Roth"/>
    <x v="41"/>
    <x v="0"/>
    <x v="2"/>
    <n v="366.93"/>
    <n v="1742.9175"/>
  </r>
  <r>
    <s v="T00464"/>
    <d v="2024-06-04T00:00:00"/>
    <s v="C144"/>
    <s v="P012"/>
    <s v="S004"/>
    <n v="4"/>
    <n v="0.05"/>
    <x v="1"/>
    <s v="Betty Johnson"/>
    <x v="38"/>
    <x v="1"/>
    <x v="1"/>
    <n v="1193.0899999999999"/>
    <n v="4533.7419999999993"/>
  </r>
  <r>
    <s v="T00465"/>
    <d v="2024-08-12T00:00:00"/>
    <s v="C162"/>
    <s v="P049"/>
    <s v="S002"/>
    <n v="2"/>
    <n v="0.15"/>
    <x v="1"/>
    <s v="Jill Roach"/>
    <x v="29"/>
    <x v="0"/>
    <x v="2"/>
    <n v="388.26"/>
    <n v="660.04199999999992"/>
  </r>
  <r>
    <s v="T00466"/>
    <d v="2024-10-03T00:00:00"/>
    <s v="C008"/>
    <s v="P007"/>
    <s v="S005"/>
    <n v="2"/>
    <n v="0.15"/>
    <x v="1"/>
    <s v="Isaiah Williams"/>
    <x v="18"/>
    <x v="1"/>
    <x v="4"/>
    <n v="1474.12"/>
    <n v="2506.0039999999999"/>
  </r>
  <r>
    <s v="T00467"/>
    <d v="2024-07-08T00:00:00"/>
    <s v="C100"/>
    <s v="P011"/>
    <s v="S001"/>
    <n v="2"/>
    <n v="0.05"/>
    <x v="0"/>
    <s v="Sean Hart"/>
    <x v="17"/>
    <x v="1"/>
    <x v="3"/>
    <n v="248.57"/>
    <n v="472.28299999999996"/>
  </r>
  <r>
    <s v="T00468"/>
    <d v="2024-06-11T00:00:00"/>
    <s v="C193"/>
    <s v="P028"/>
    <s v="S001"/>
    <n v="5"/>
    <n v="0"/>
    <x v="2"/>
    <s v="Donald Meza"/>
    <x v="25"/>
    <x v="1"/>
    <x v="3"/>
    <n v="673.78"/>
    <n v="3368.8999999999996"/>
  </r>
  <r>
    <s v="T00469"/>
    <d v="2024-10-30T00:00:00"/>
    <s v="C094"/>
    <s v="P030"/>
    <s v="S003"/>
    <n v="2"/>
    <n v="0.15"/>
    <x v="3"/>
    <s v="Kimberly Stokes"/>
    <x v="1"/>
    <x v="0"/>
    <x v="0"/>
    <n v="29.24"/>
    <n v="49.707999999999998"/>
  </r>
  <r>
    <s v="T00470"/>
    <d v="2025-06-04T00:00:00"/>
    <s v="C068"/>
    <s v="P048"/>
    <s v="S004"/>
    <n v="5"/>
    <n v="0.1"/>
    <x v="1"/>
    <s v="Alexandra Montoya"/>
    <x v="11"/>
    <x v="0"/>
    <x v="1"/>
    <n v="1216.3599999999999"/>
    <n v="5473.62"/>
  </r>
  <r>
    <s v="T00471"/>
    <d v="2023-11-04T00:00:00"/>
    <s v="C157"/>
    <s v="P049"/>
    <s v="S004"/>
    <n v="5"/>
    <n v="0"/>
    <x v="0"/>
    <s v="Connie Terry"/>
    <x v="29"/>
    <x v="0"/>
    <x v="1"/>
    <n v="388.26"/>
    <n v="1941.3"/>
  </r>
  <r>
    <s v="T00472"/>
    <d v="2024-12-09T00:00:00"/>
    <s v="C091"/>
    <s v="P019"/>
    <s v="S004"/>
    <n v="5"/>
    <n v="0.05"/>
    <x v="0"/>
    <s v="Brian Fowler"/>
    <x v="26"/>
    <x v="1"/>
    <x v="1"/>
    <n v="1762.92"/>
    <n v="8373.8700000000008"/>
  </r>
  <r>
    <s v="T00473"/>
    <d v="2024-09-26T00:00:00"/>
    <s v="C158"/>
    <s v="P013"/>
    <s v="S005"/>
    <n v="1"/>
    <n v="0.05"/>
    <x v="0"/>
    <s v="Crystal Aguirre"/>
    <x v="21"/>
    <x v="0"/>
    <x v="4"/>
    <n v="1134.8"/>
    <n v="1078.06"/>
  </r>
  <r>
    <s v="T00474"/>
    <d v="2024-01-06T00:00:00"/>
    <s v="C031"/>
    <s v="P026"/>
    <s v="S002"/>
    <n v="3"/>
    <n v="0"/>
    <x v="2"/>
    <s v="Ashley Gibson"/>
    <x v="15"/>
    <x v="2"/>
    <x v="2"/>
    <n v="1015.76"/>
    <n v="3047.2799999999997"/>
  </r>
  <r>
    <s v="T00475"/>
    <d v="2025-03-13T00:00:00"/>
    <s v="C096"/>
    <s v="P003"/>
    <s v="S002"/>
    <n v="5"/>
    <n v="0.15"/>
    <x v="1"/>
    <s v="Eric King"/>
    <x v="46"/>
    <x v="0"/>
    <x v="2"/>
    <n v="337.63"/>
    <n v="1434.9275"/>
  </r>
  <r>
    <s v="T00476"/>
    <d v="2024-05-29T00:00:00"/>
    <s v="C153"/>
    <s v="P016"/>
    <s v="S002"/>
    <n v="5"/>
    <n v="0.15"/>
    <x v="1"/>
    <s v="Nancy Gordon"/>
    <x v="13"/>
    <x v="0"/>
    <x v="2"/>
    <n v="1858.75"/>
    <n v="7899.6875"/>
  </r>
  <r>
    <s v="T00477"/>
    <d v="2025-03-27T00:00:00"/>
    <s v="C048"/>
    <s v="P029"/>
    <s v="S004"/>
    <n v="5"/>
    <n v="0.05"/>
    <x v="2"/>
    <s v="Alexis Crane"/>
    <x v="47"/>
    <x v="0"/>
    <x v="1"/>
    <n v="1485.05"/>
    <n v="7053.9874999999993"/>
  </r>
  <r>
    <s v="T00478"/>
    <d v="2024-06-23T00:00:00"/>
    <s v="C126"/>
    <s v="P013"/>
    <s v="S003"/>
    <n v="2"/>
    <n v="0.05"/>
    <x v="0"/>
    <s v="Monique Johnson"/>
    <x v="21"/>
    <x v="0"/>
    <x v="0"/>
    <n v="1134.8"/>
    <n v="2156.12"/>
  </r>
  <r>
    <s v="T00479"/>
    <d v="2024-11-09T00:00:00"/>
    <s v="C116"/>
    <s v="P025"/>
    <s v="S005"/>
    <n v="1"/>
    <n v="0.1"/>
    <x v="3"/>
    <s v="Jamie Webb"/>
    <x v="33"/>
    <x v="0"/>
    <x v="4"/>
    <n v="429.15"/>
    <n v="386.23500000000001"/>
  </r>
  <r>
    <s v="T00480"/>
    <d v="2024-12-08T00:00:00"/>
    <s v="C125"/>
    <s v="P004"/>
    <s v="S002"/>
    <n v="2"/>
    <n v="0.15"/>
    <x v="1"/>
    <s v="Kimberly Parker"/>
    <x v="49"/>
    <x v="0"/>
    <x v="2"/>
    <n v="1853.77"/>
    <n v="3151.4090000000001"/>
  </r>
  <r>
    <s v="T00481"/>
    <d v="2024-12-26T00:00:00"/>
    <s v="C105"/>
    <s v="P032"/>
    <s v="S004"/>
    <n v="4"/>
    <n v="0.15"/>
    <x v="1"/>
    <s v="Kenneth Berg"/>
    <x v="44"/>
    <x v="2"/>
    <x v="1"/>
    <n v="304.70999999999998"/>
    <n v="1036.0139999999999"/>
  </r>
  <r>
    <s v="T00482"/>
    <d v="2024-07-05T00:00:00"/>
    <s v="C043"/>
    <s v="P006"/>
    <s v="S001"/>
    <n v="5"/>
    <n v="0"/>
    <x v="2"/>
    <s v="Kenneth Allen"/>
    <x v="35"/>
    <x v="2"/>
    <x v="3"/>
    <n v="318.05"/>
    <n v="1590.25"/>
  </r>
  <r>
    <s v="T00483"/>
    <d v="2023-09-16T00:00:00"/>
    <s v="C075"/>
    <s v="P009"/>
    <s v="S001"/>
    <n v="3"/>
    <n v="0.05"/>
    <x v="0"/>
    <s v="Seth Moore"/>
    <x v="5"/>
    <x v="2"/>
    <x v="3"/>
    <n v="123.19"/>
    <n v="351.0915"/>
  </r>
  <r>
    <s v="T00484"/>
    <d v="2025-08-30T00:00:00"/>
    <s v="C044"/>
    <s v="P029"/>
    <s v="S004"/>
    <n v="5"/>
    <n v="0.15"/>
    <x v="3"/>
    <s v="Parker Sparks"/>
    <x v="47"/>
    <x v="0"/>
    <x v="1"/>
    <n v="1485.05"/>
    <n v="6311.4624999999996"/>
  </r>
  <r>
    <s v="T00485"/>
    <d v="2025-08-13T00:00:00"/>
    <s v="C147"/>
    <s v="P028"/>
    <s v="S001"/>
    <n v="3"/>
    <n v="0.1"/>
    <x v="3"/>
    <s v="Crystal Garrison"/>
    <x v="25"/>
    <x v="1"/>
    <x v="3"/>
    <n v="673.78"/>
    <n v="1819.2059999999999"/>
  </r>
  <r>
    <s v="T00486"/>
    <d v="2024-10-28T00:00:00"/>
    <s v="C195"/>
    <s v="P027"/>
    <s v="S004"/>
    <n v="5"/>
    <n v="0.05"/>
    <x v="1"/>
    <s v="James Mitchell"/>
    <x v="34"/>
    <x v="1"/>
    <x v="1"/>
    <n v="1272.23"/>
    <n v="6043.0924999999997"/>
  </r>
  <r>
    <s v="T00487"/>
    <d v="2024-04-13T00:00:00"/>
    <s v="C027"/>
    <s v="P013"/>
    <s v="S002"/>
    <n v="3"/>
    <n v="0"/>
    <x v="1"/>
    <s v="Jacqueline Martin"/>
    <x v="21"/>
    <x v="0"/>
    <x v="2"/>
    <n v="1134.8"/>
    <n v="3404.3999999999996"/>
  </r>
  <r>
    <s v="T00488"/>
    <d v="2024-04-23T00:00:00"/>
    <s v="C068"/>
    <s v="P012"/>
    <s v="S003"/>
    <n v="1"/>
    <n v="0.15"/>
    <x v="3"/>
    <s v="Alexandra Montoya"/>
    <x v="38"/>
    <x v="1"/>
    <x v="0"/>
    <n v="1193.0899999999999"/>
    <n v="1014.1264999999999"/>
  </r>
  <r>
    <s v="T00489"/>
    <d v="2025-03-19T00:00:00"/>
    <s v="C199"/>
    <s v="P009"/>
    <s v="S002"/>
    <n v="2"/>
    <n v="0.1"/>
    <x v="1"/>
    <s v="Juan Johnson"/>
    <x v="5"/>
    <x v="2"/>
    <x v="2"/>
    <n v="123.19"/>
    <n v="221.74199999999999"/>
  </r>
  <r>
    <s v="T00490"/>
    <d v="2025-05-29T00:00:00"/>
    <s v="C043"/>
    <s v="P043"/>
    <s v="S005"/>
    <n v="2"/>
    <n v="0.05"/>
    <x v="2"/>
    <s v="Kenneth Allen"/>
    <x v="45"/>
    <x v="0"/>
    <x v="4"/>
    <n v="564.41999999999996"/>
    <n v="1072.3979999999999"/>
  </r>
  <r>
    <s v="T00491"/>
    <d v="2024-10-13T00:00:00"/>
    <s v="C016"/>
    <s v="P028"/>
    <s v="S005"/>
    <n v="3"/>
    <n v="0.1"/>
    <x v="2"/>
    <s v="Miguel Johnson"/>
    <x v="25"/>
    <x v="1"/>
    <x v="4"/>
    <n v="673.78"/>
    <n v="1819.2059999999999"/>
  </r>
  <r>
    <s v="T00492"/>
    <d v="2025-04-29T00:00:00"/>
    <s v="C083"/>
    <s v="P004"/>
    <s v="S003"/>
    <n v="3"/>
    <n v="0.1"/>
    <x v="3"/>
    <s v="Jeremy Robles"/>
    <x v="49"/>
    <x v="0"/>
    <x v="0"/>
    <n v="1853.77"/>
    <n v="5005.1790000000001"/>
  </r>
  <r>
    <s v="T00493"/>
    <d v="2025-03-09T00:00:00"/>
    <s v="C035"/>
    <s v="P048"/>
    <s v="S004"/>
    <n v="1"/>
    <n v="0.1"/>
    <x v="2"/>
    <s v="Kimberly King"/>
    <x v="11"/>
    <x v="0"/>
    <x v="1"/>
    <n v="1216.3599999999999"/>
    <n v="1094.7239999999999"/>
  </r>
  <r>
    <s v="T00494"/>
    <d v="2024-01-06T00:00:00"/>
    <s v="C180"/>
    <s v="P034"/>
    <s v="S002"/>
    <n v="2"/>
    <n v="0.05"/>
    <x v="0"/>
    <s v="Nichole Calhoun"/>
    <x v="12"/>
    <x v="1"/>
    <x v="2"/>
    <n v="428.05"/>
    <n v="813.29499999999996"/>
  </r>
  <r>
    <s v="T00495"/>
    <d v="2024-07-18T00:00:00"/>
    <s v="C064"/>
    <s v="P019"/>
    <s v="S004"/>
    <n v="4"/>
    <n v="0.05"/>
    <x v="0"/>
    <s v="Amanda Hoover"/>
    <x v="26"/>
    <x v="1"/>
    <x v="1"/>
    <n v="1762.92"/>
    <n v="6699.0959999999995"/>
  </r>
  <r>
    <s v="T00496"/>
    <d v="2024-10-05T00:00:00"/>
    <s v="C161"/>
    <s v="P043"/>
    <s v="S004"/>
    <n v="4"/>
    <n v="0.15"/>
    <x v="3"/>
    <s v="Michael Perez"/>
    <x v="45"/>
    <x v="0"/>
    <x v="1"/>
    <n v="564.41999999999996"/>
    <n v="1919.0279999999998"/>
  </r>
  <r>
    <s v="T00497"/>
    <d v="2025-01-05T00:00:00"/>
    <s v="C163"/>
    <s v="P042"/>
    <s v="S001"/>
    <n v="4"/>
    <n v="0.1"/>
    <x v="0"/>
    <s v="Erin Rogers"/>
    <x v="10"/>
    <x v="0"/>
    <x v="3"/>
    <n v="453.62"/>
    <n v="1633.0320000000002"/>
  </r>
  <r>
    <s v="T00498"/>
    <d v="2024-06-19T00:00:00"/>
    <s v="C117"/>
    <s v="P029"/>
    <s v="S004"/>
    <n v="3"/>
    <n v="0"/>
    <x v="3"/>
    <s v="Timothy Beck"/>
    <x v="47"/>
    <x v="0"/>
    <x v="1"/>
    <n v="1485.05"/>
    <n v="4455.1499999999996"/>
  </r>
  <r>
    <s v="T00499"/>
    <d v="2025-08-13T00:00:00"/>
    <s v="C188"/>
    <s v="P030"/>
    <s v="S004"/>
    <n v="3"/>
    <n v="0"/>
    <x v="1"/>
    <s v="Ryan Flores"/>
    <x v="1"/>
    <x v="0"/>
    <x v="1"/>
    <n v="29.24"/>
    <n v="87.72"/>
  </r>
  <r>
    <s v="T00500"/>
    <d v="2024-04-25T00:00:00"/>
    <s v="C056"/>
    <s v="P050"/>
    <s v="S004"/>
    <n v="2"/>
    <n v="0.15"/>
    <x v="0"/>
    <s v="Carl Wyatt"/>
    <x v="3"/>
    <x v="0"/>
    <x v="1"/>
    <n v="1044.6400000000001"/>
    <n v="1775.8880000000001"/>
  </r>
  <r>
    <s v="T00501"/>
    <d v="2023-12-04T00:00:00"/>
    <s v="C083"/>
    <s v="P004"/>
    <s v="S003"/>
    <n v="3"/>
    <n v="0.05"/>
    <x v="1"/>
    <s v="Jeremy Robles"/>
    <x v="49"/>
    <x v="0"/>
    <x v="0"/>
    <n v="1853.77"/>
    <n v="5283.2444999999989"/>
  </r>
  <r>
    <s v="T00502"/>
    <d v="2025-07-18T00:00:00"/>
    <s v="C088"/>
    <s v="P035"/>
    <s v="S001"/>
    <n v="1"/>
    <n v="0"/>
    <x v="1"/>
    <s v="Brenda Costa"/>
    <x v="7"/>
    <x v="1"/>
    <x v="3"/>
    <n v="1562.43"/>
    <n v="1562.43"/>
  </r>
  <r>
    <s v="T00503"/>
    <d v="2024-11-26T00:00:00"/>
    <s v="C005"/>
    <s v="P015"/>
    <s v="S001"/>
    <n v="2"/>
    <n v="0.15"/>
    <x v="1"/>
    <s v="Jamie Salinas"/>
    <x v="40"/>
    <x v="0"/>
    <x v="3"/>
    <n v="270.45"/>
    <n v="459.76499999999999"/>
  </r>
  <r>
    <s v="T00504"/>
    <d v="2025-08-28T00:00:00"/>
    <s v="C001"/>
    <s v="P029"/>
    <s v="S004"/>
    <n v="2"/>
    <n v="0.05"/>
    <x v="0"/>
    <s v="Michael Davis"/>
    <x v="47"/>
    <x v="0"/>
    <x v="1"/>
    <n v="1485.05"/>
    <n v="2821.5949999999998"/>
  </r>
  <r>
    <s v="T00505"/>
    <d v="2025-04-25T00:00:00"/>
    <s v="C041"/>
    <s v="P045"/>
    <s v="S003"/>
    <n v="1"/>
    <n v="0.1"/>
    <x v="0"/>
    <s v="Melissa Rodgers"/>
    <x v="8"/>
    <x v="2"/>
    <x v="0"/>
    <n v="1879.08"/>
    <n v="1691.172"/>
  </r>
  <r>
    <s v="T00506"/>
    <d v="2023-12-12T00:00:00"/>
    <s v="C022"/>
    <s v="P033"/>
    <s v="S003"/>
    <n v="2"/>
    <n v="0"/>
    <x v="1"/>
    <s v="Megan Velasquez"/>
    <x v="16"/>
    <x v="0"/>
    <x v="0"/>
    <n v="1798.97"/>
    <n v="3597.94"/>
  </r>
  <r>
    <s v="T00507"/>
    <d v="2025-01-31T00:00:00"/>
    <s v="C161"/>
    <s v="P045"/>
    <s v="S003"/>
    <n v="2"/>
    <n v="0.15"/>
    <x v="3"/>
    <s v="Michael Perez"/>
    <x v="8"/>
    <x v="2"/>
    <x v="0"/>
    <n v="1879.08"/>
    <n v="3194.4359999999997"/>
  </r>
  <r>
    <s v="T00508"/>
    <d v="2024-08-28T00:00:00"/>
    <s v="C181"/>
    <s v="P018"/>
    <s v="S001"/>
    <n v="1"/>
    <n v="0.05"/>
    <x v="1"/>
    <s v="Brittany Oneal"/>
    <x v="19"/>
    <x v="1"/>
    <x v="3"/>
    <n v="1079.8900000000001"/>
    <n v="1025.8955000000001"/>
  </r>
  <r>
    <s v="T00509"/>
    <d v="2025-07-03T00:00:00"/>
    <s v="C020"/>
    <s v="P029"/>
    <s v="S002"/>
    <n v="5"/>
    <n v="0.05"/>
    <x v="1"/>
    <s v="Ryan Cole"/>
    <x v="47"/>
    <x v="0"/>
    <x v="2"/>
    <n v="1485.05"/>
    <n v="7053.9874999999993"/>
  </r>
  <r>
    <s v="T00510"/>
    <d v="2023-12-28T00:00:00"/>
    <s v="C003"/>
    <s v="P007"/>
    <s v="S001"/>
    <n v="3"/>
    <n v="0"/>
    <x v="1"/>
    <s v="Carol Hays"/>
    <x v="18"/>
    <x v="1"/>
    <x v="3"/>
    <n v="1474.12"/>
    <n v="4422.3599999999997"/>
  </r>
  <r>
    <s v="T00511"/>
    <d v="2024-02-16T00:00:00"/>
    <s v="C178"/>
    <s v="P011"/>
    <s v="S002"/>
    <n v="4"/>
    <n v="0"/>
    <x v="2"/>
    <s v="Mark Mcdonald"/>
    <x v="17"/>
    <x v="1"/>
    <x v="2"/>
    <n v="248.57"/>
    <n v="994.28"/>
  </r>
  <r>
    <s v="T00512"/>
    <d v="2024-01-03T00:00:00"/>
    <s v="C099"/>
    <s v="P019"/>
    <s v="S001"/>
    <n v="1"/>
    <n v="0"/>
    <x v="0"/>
    <s v="Kimberly Jones"/>
    <x v="26"/>
    <x v="1"/>
    <x v="3"/>
    <n v="1762.92"/>
    <n v="1762.92"/>
  </r>
  <r>
    <s v="T00513"/>
    <d v="2024-12-13T00:00:00"/>
    <s v="C095"/>
    <s v="P043"/>
    <s v="S003"/>
    <n v="2"/>
    <n v="0.15"/>
    <x v="2"/>
    <s v="Kevin Snyder"/>
    <x v="45"/>
    <x v="0"/>
    <x v="0"/>
    <n v="564.41999999999996"/>
    <n v="959.5139999999999"/>
  </r>
  <r>
    <s v="T00514"/>
    <d v="2025-08-15T00:00:00"/>
    <s v="C165"/>
    <s v="P004"/>
    <s v="S002"/>
    <n v="1"/>
    <n v="0"/>
    <x v="2"/>
    <s v="Tanya Mueller"/>
    <x v="49"/>
    <x v="0"/>
    <x v="2"/>
    <n v="1853.77"/>
    <n v="1853.77"/>
  </r>
  <r>
    <s v="T00515"/>
    <d v="2025-01-01T00:00:00"/>
    <s v="C113"/>
    <s v="P002"/>
    <s v="S003"/>
    <n v="2"/>
    <n v="0.05"/>
    <x v="1"/>
    <s v="Heidi Wilson"/>
    <x v="2"/>
    <x v="1"/>
    <x v="0"/>
    <n v="818.76"/>
    <n v="1555.644"/>
  </r>
  <r>
    <s v="T00516"/>
    <d v="2023-12-02T00:00:00"/>
    <s v="C158"/>
    <s v="P038"/>
    <s v="S004"/>
    <n v="2"/>
    <n v="0"/>
    <x v="3"/>
    <s v="Crystal Aguirre"/>
    <x v="41"/>
    <x v="0"/>
    <x v="1"/>
    <n v="366.93"/>
    <n v="733.86"/>
  </r>
  <r>
    <s v="T00517"/>
    <d v="2024-06-02T00:00:00"/>
    <s v="C036"/>
    <s v="P050"/>
    <s v="S001"/>
    <n v="5"/>
    <n v="0.15"/>
    <x v="0"/>
    <s v="Michael Cervantes"/>
    <x v="3"/>
    <x v="0"/>
    <x v="3"/>
    <n v="1044.6400000000001"/>
    <n v="4439.72"/>
  </r>
  <r>
    <s v="T00518"/>
    <d v="2024-07-13T00:00:00"/>
    <s v="C110"/>
    <s v="P023"/>
    <s v="S003"/>
    <n v="2"/>
    <n v="0.05"/>
    <x v="0"/>
    <s v="Travis Peters"/>
    <x v="20"/>
    <x v="0"/>
    <x v="0"/>
    <n v="1878.47"/>
    <n v="3569.0929999999998"/>
  </r>
  <r>
    <s v="T00519"/>
    <d v="2025-08-25T00:00:00"/>
    <s v="C166"/>
    <s v="P042"/>
    <s v="S001"/>
    <n v="2"/>
    <n v="0.1"/>
    <x v="3"/>
    <s v="Meagan Ali"/>
    <x v="10"/>
    <x v="0"/>
    <x v="3"/>
    <n v="453.62"/>
    <n v="816.51600000000008"/>
  </r>
  <r>
    <s v="T00520"/>
    <d v="2025-08-24T00:00:00"/>
    <s v="C169"/>
    <s v="P040"/>
    <s v="S003"/>
    <n v="2"/>
    <n v="0.05"/>
    <x v="1"/>
    <s v="Travis Watson"/>
    <x v="37"/>
    <x v="1"/>
    <x v="0"/>
    <n v="1745.61"/>
    <n v="3316.6589999999997"/>
  </r>
  <r>
    <s v="T00521"/>
    <d v="2024-09-01T00:00:00"/>
    <s v="C076"/>
    <s v="P028"/>
    <s v="S001"/>
    <n v="2"/>
    <n v="0.15"/>
    <x v="1"/>
    <s v="Phyllis Durham"/>
    <x v="25"/>
    <x v="1"/>
    <x v="3"/>
    <n v="673.78"/>
    <n v="1145.4259999999999"/>
  </r>
  <r>
    <s v="T00522"/>
    <d v="2023-12-23T00:00:00"/>
    <s v="C029"/>
    <s v="P001"/>
    <s v="S002"/>
    <n v="4"/>
    <n v="0"/>
    <x v="3"/>
    <s v="Tyler Levine"/>
    <x v="31"/>
    <x v="1"/>
    <x v="2"/>
    <n v="1673.69"/>
    <n v="6694.76"/>
  </r>
  <r>
    <s v="T00523"/>
    <d v="2025-08-12T00:00:00"/>
    <s v="C093"/>
    <s v="P046"/>
    <s v="S003"/>
    <n v="2"/>
    <n v="0.15"/>
    <x v="1"/>
    <s v="Stanley Brown"/>
    <x v="42"/>
    <x v="0"/>
    <x v="0"/>
    <n v="1165.3699999999999"/>
    <n v="1981.1289999999997"/>
  </r>
  <r>
    <s v="T00524"/>
    <d v="2024-01-25T00:00:00"/>
    <s v="C094"/>
    <s v="P049"/>
    <s v="S005"/>
    <n v="2"/>
    <n v="0.15"/>
    <x v="3"/>
    <s v="Kimberly Stokes"/>
    <x v="29"/>
    <x v="0"/>
    <x v="4"/>
    <n v="388.26"/>
    <n v="660.04199999999992"/>
  </r>
  <r>
    <s v="T00525"/>
    <d v="2024-08-18T00:00:00"/>
    <s v="C005"/>
    <s v="P016"/>
    <s v="S005"/>
    <n v="1"/>
    <n v="0"/>
    <x v="0"/>
    <s v="Jamie Salinas"/>
    <x v="13"/>
    <x v="0"/>
    <x v="4"/>
    <n v="1858.75"/>
    <n v="1858.75"/>
  </r>
  <r>
    <s v="T00526"/>
    <d v="2024-10-21T00:00:00"/>
    <s v="C056"/>
    <s v="P010"/>
    <s v="S001"/>
    <n v="1"/>
    <n v="0.15"/>
    <x v="0"/>
    <s v="Carl Wyatt"/>
    <x v="36"/>
    <x v="1"/>
    <x v="3"/>
    <n v="1194.1199999999999"/>
    <n v="1015.0019999999998"/>
  </r>
  <r>
    <s v="T00527"/>
    <d v="2024-11-26T00:00:00"/>
    <s v="C161"/>
    <s v="P047"/>
    <s v="S005"/>
    <n v="4"/>
    <n v="0.15"/>
    <x v="1"/>
    <s v="Michael Perez"/>
    <x v="28"/>
    <x v="1"/>
    <x v="4"/>
    <n v="1197.18"/>
    <n v="4070.4120000000003"/>
  </r>
  <r>
    <s v="T00528"/>
    <d v="2024-05-28T00:00:00"/>
    <s v="C022"/>
    <s v="P047"/>
    <s v="S005"/>
    <n v="5"/>
    <n v="0.05"/>
    <x v="0"/>
    <s v="Megan Velasquez"/>
    <x v="28"/>
    <x v="1"/>
    <x v="4"/>
    <n v="1197.18"/>
    <n v="5686.6050000000005"/>
  </r>
  <r>
    <s v="T00529"/>
    <d v="2025-04-30T00:00:00"/>
    <s v="C022"/>
    <s v="P031"/>
    <s v="S003"/>
    <n v="1"/>
    <n v="0.05"/>
    <x v="2"/>
    <s v="Megan Velasquez"/>
    <x v="39"/>
    <x v="2"/>
    <x v="0"/>
    <n v="1095.72"/>
    <n v="1040.934"/>
  </r>
  <r>
    <s v="T00530"/>
    <d v="2025-05-14T00:00:00"/>
    <s v="C138"/>
    <s v="P014"/>
    <s v="S003"/>
    <n v="4"/>
    <n v="0"/>
    <x v="0"/>
    <s v="Breanna Moore"/>
    <x v="0"/>
    <x v="0"/>
    <x v="0"/>
    <n v="1342.75"/>
    <n v="5371"/>
  </r>
  <r>
    <s v="T00531"/>
    <d v="2023-10-14T00:00:00"/>
    <s v="C179"/>
    <s v="P030"/>
    <s v="S004"/>
    <n v="2"/>
    <n v="0"/>
    <x v="2"/>
    <s v="Dennis Wallace"/>
    <x v="1"/>
    <x v="0"/>
    <x v="1"/>
    <n v="29.24"/>
    <n v="58.48"/>
  </r>
  <r>
    <s v="T00532"/>
    <d v="2025-04-23T00:00:00"/>
    <s v="C023"/>
    <s v="P031"/>
    <s v="S004"/>
    <n v="1"/>
    <n v="0.15"/>
    <x v="3"/>
    <s v="Mark Martinez"/>
    <x v="39"/>
    <x v="2"/>
    <x v="1"/>
    <n v="1095.72"/>
    <n v="931.36199999999997"/>
  </r>
  <r>
    <s v="T00533"/>
    <d v="2023-11-22T00:00:00"/>
    <s v="C080"/>
    <s v="P023"/>
    <s v="S002"/>
    <n v="1"/>
    <n v="0"/>
    <x v="2"/>
    <s v="Grace Garcia"/>
    <x v="20"/>
    <x v="0"/>
    <x v="2"/>
    <n v="1878.47"/>
    <n v="1878.47"/>
  </r>
  <r>
    <s v="T00534"/>
    <d v="2025-06-30T00:00:00"/>
    <s v="C180"/>
    <s v="P048"/>
    <s v="S001"/>
    <n v="2"/>
    <n v="0.15"/>
    <x v="0"/>
    <s v="Nichole Calhoun"/>
    <x v="11"/>
    <x v="0"/>
    <x v="3"/>
    <n v="1216.3599999999999"/>
    <n v="2067.8119999999999"/>
  </r>
  <r>
    <s v="T00535"/>
    <d v="2024-03-13T00:00:00"/>
    <s v="C134"/>
    <s v="P017"/>
    <s v="S005"/>
    <n v="3"/>
    <n v="0.05"/>
    <x v="0"/>
    <s v="Emily Hart"/>
    <x v="43"/>
    <x v="1"/>
    <x v="4"/>
    <n v="1246.1099999999999"/>
    <n v="3551.4134999999997"/>
  </r>
  <r>
    <s v="T00536"/>
    <d v="2023-09-16T00:00:00"/>
    <s v="C033"/>
    <s v="P047"/>
    <s v="S003"/>
    <n v="1"/>
    <n v="0"/>
    <x v="0"/>
    <s v="Jenny Beck"/>
    <x v="28"/>
    <x v="1"/>
    <x v="0"/>
    <n v="1197.18"/>
    <n v="1197.18"/>
  </r>
  <r>
    <s v="T00537"/>
    <d v="2024-11-18T00:00:00"/>
    <s v="C110"/>
    <s v="P032"/>
    <s v="S003"/>
    <n v="5"/>
    <n v="0"/>
    <x v="0"/>
    <s v="Travis Peters"/>
    <x v="44"/>
    <x v="2"/>
    <x v="0"/>
    <n v="304.70999999999998"/>
    <n v="1523.55"/>
  </r>
  <r>
    <s v="T00538"/>
    <d v="2025-05-24T00:00:00"/>
    <s v="C183"/>
    <s v="P026"/>
    <s v="S005"/>
    <n v="1"/>
    <n v="0.15"/>
    <x v="1"/>
    <s v="Mary Dawson"/>
    <x v="15"/>
    <x v="2"/>
    <x v="4"/>
    <n v="1015.76"/>
    <n v="863.39599999999996"/>
  </r>
  <r>
    <s v="T00539"/>
    <d v="2025-07-31T00:00:00"/>
    <s v="C131"/>
    <s v="P009"/>
    <s v="S003"/>
    <n v="1"/>
    <n v="0.15"/>
    <x v="2"/>
    <s v="Denise Jackson"/>
    <x v="5"/>
    <x v="2"/>
    <x v="0"/>
    <n v="123.19"/>
    <n v="104.7115"/>
  </r>
  <r>
    <s v="T00540"/>
    <d v="2024-09-18T00:00:00"/>
    <s v="C095"/>
    <s v="P021"/>
    <s v="S002"/>
    <n v="3"/>
    <n v="0"/>
    <x v="3"/>
    <s v="Kevin Snyder"/>
    <x v="23"/>
    <x v="2"/>
    <x v="2"/>
    <n v="1227.24"/>
    <n v="3681.7200000000003"/>
  </r>
  <r>
    <s v="T00541"/>
    <d v="2024-08-23T00:00:00"/>
    <s v="C059"/>
    <s v="P024"/>
    <s v="S005"/>
    <n v="1"/>
    <n v="0"/>
    <x v="3"/>
    <s v="Scott Wyatt"/>
    <x v="14"/>
    <x v="1"/>
    <x v="4"/>
    <n v="1487.41"/>
    <n v="1487.41"/>
  </r>
  <r>
    <s v="T00542"/>
    <d v="2025-08-28T00:00:00"/>
    <s v="C063"/>
    <s v="P004"/>
    <s v="S001"/>
    <n v="4"/>
    <n v="0.1"/>
    <x v="1"/>
    <s v="Michael Johnson"/>
    <x v="49"/>
    <x v="0"/>
    <x v="3"/>
    <n v="1853.77"/>
    <n v="6673.5720000000001"/>
  </r>
  <r>
    <s v="T00543"/>
    <d v="2024-03-08T00:00:00"/>
    <s v="C039"/>
    <s v="P008"/>
    <s v="S002"/>
    <n v="1"/>
    <n v="0.15"/>
    <x v="2"/>
    <s v="Nancy Savage"/>
    <x v="48"/>
    <x v="0"/>
    <x v="2"/>
    <n v="109.78"/>
    <n v="93.313000000000002"/>
  </r>
  <r>
    <s v="T00544"/>
    <d v="2023-10-29T00:00:00"/>
    <s v="C083"/>
    <s v="P039"/>
    <s v="S002"/>
    <n v="4"/>
    <n v="0.1"/>
    <x v="0"/>
    <s v="Jeremy Robles"/>
    <x v="22"/>
    <x v="0"/>
    <x v="2"/>
    <n v="540.94000000000005"/>
    <n v="1947.3840000000002"/>
  </r>
  <r>
    <s v="T00545"/>
    <d v="2025-01-09T00:00:00"/>
    <s v="C020"/>
    <s v="P040"/>
    <s v="S005"/>
    <n v="3"/>
    <n v="0"/>
    <x v="3"/>
    <s v="Ryan Cole"/>
    <x v="37"/>
    <x v="1"/>
    <x v="4"/>
    <n v="1745.61"/>
    <n v="5236.83"/>
  </r>
  <r>
    <s v="T00546"/>
    <d v="2025-06-15T00:00:00"/>
    <s v="C046"/>
    <s v="P006"/>
    <s v="S002"/>
    <n v="5"/>
    <n v="0"/>
    <x v="1"/>
    <s v="Dennis Poole"/>
    <x v="35"/>
    <x v="2"/>
    <x v="2"/>
    <n v="318.05"/>
    <n v="1590.25"/>
  </r>
  <r>
    <s v="T00547"/>
    <d v="2023-11-24T00:00:00"/>
    <s v="C018"/>
    <s v="P042"/>
    <s v="S004"/>
    <n v="3"/>
    <n v="0.1"/>
    <x v="0"/>
    <s v="Breanna Davis"/>
    <x v="10"/>
    <x v="0"/>
    <x v="1"/>
    <n v="453.62"/>
    <n v="1224.7740000000001"/>
  </r>
  <r>
    <s v="T00548"/>
    <d v="2023-09-18T00:00:00"/>
    <s v="C023"/>
    <s v="P047"/>
    <s v="S005"/>
    <n v="4"/>
    <n v="0"/>
    <x v="0"/>
    <s v="Mark Martinez"/>
    <x v="28"/>
    <x v="1"/>
    <x v="4"/>
    <n v="1197.18"/>
    <n v="4788.72"/>
  </r>
  <r>
    <s v="T00549"/>
    <d v="2023-12-26T00:00:00"/>
    <s v="C052"/>
    <s v="P031"/>
    <s v="S003"/>
    <n v="5"/>
    <n v="0.1"/>
    <x v="2"/>
    <s v="Billy Hernandez"/>
    <x v="39"/>
    <x v="2"/>
    <x v="0"/>
    <n v="1095.72"/>
    <n v="4930.7400000000007"/>
  </r>
  <r>
    <s v="T00550"/>
    <d v="2024-12-16T00:00:00"/>
    <s v="C119"/>
    <s v="P047"/>
    <s v="S003"/>
    <n v="5"/>
    <n v="0.15"/>
    <x v="2"/>
    <s v="Jason Lloyd"/>
    <x v="28"/>
    <x v="1"/>
    <x v="0"/>
    <n v="1197.18"/>
    <n v="5088.0150000000003"/>
  </r>
  <r>
    <s v="T00551"/>
    <d v="2023-12-25T00:00:00"/>
    <s v="C188"/>
    <s v="P050"/>
    <s v="S005"/>
    <n v="2"/>
    <n v="0.05"/>
    <x v="3"/>
    <s v="Ryan Flores"/>
    <x v="3"/>
    <x v="0"/>
    <x v="4"/>
    <n v="1044.6400000000001"/>
    <n v="1984.816"/>
  </r>
  <r>
    <s v="T00552"/>
    <d v="2025-02-14T00:00:00"/>
    <s v="C105"/>
    <s v="P009"/>
    <s v="S001"/>
    <n v="2"/>
    <n v="0.1"/>
    <x v="3"/>
    <s v="Kenneth Berg"/>
    <x v="5"/>
    <x v="2"/>
    <x v="3"/>
    <n v="123.19"/>
    <n v="221.74199999999999"/>
  </r>
  <r>
    <s v="T00553"/>
    <d v="2024-10-10T00:00:00"/>
    <s v="C086"/>
    <s v="P031"/>
    <s v="S001"/>
    <n v="4"/>
    <n v="0.1"/>
    <x v="3"/>
    <s v="Lawrence Hunter"/>
    <x v="39"/>
    <x v="2"/>
    <x v="3"/>
    <n v="1095.72"/>
    <n v="3944.5920000000001"/>
  </r>
  <r>
    <s v="T00554"/>
    <d v="2024-06-19T00:00:00"/>
    <s v="C053"/>
    <s v="P029"/>
    <s v="S005"/>
    <n v="2"/>
    <n v="0.15"/>
    <x v="1"/>
    <s v="Felicia Morgan"/>
    <x v="47"/>
    <x v="0"/>
    <x v="4"/>
    <n v="1485.05"/>
    <n v="2524.585"/>
  </r>
  <r>
    <s v="T00555"/>
    <d v="2025-02-18T00:00:00"/>
    <s v="C016"/>
    <s v="P046"/>
    <s v="S002"/>
    <n v="3"/>
    <n v="0"/>
    <x v="3"/>
    <s v="Miguel Johnson"/>
    <x v="42"/>
    <x v="0"/>
    <x v="2"/>
    <n v="1165.3699999999999"/>
    <n v="3496.1099999999997"/>
  </r>
  <r>
    <s v="T00556"/>
    <d v="2025-02-03T00:00:00"/>
    <s v="C060"/>
    <s v="P024"/>
    <s v="S005"/>
    <n v="4"/>
    <n v="0.1"/>
    <x v="1"/>
    <s v="Anthony Conway"/>
    <x v="14"/>
    <x v="1"/>
    <x v="4"/>
    <n v="1487.41"/>
    <n v="5354.6760000000004"/>
  </r>
  <r>
    <s v="T00557"/>
    <d v="2024-10-13T00:00:00"/>
    <s v="C192"/>
    <s v="P045"/>
    <s v="S001"/>
    <n v="5"/>
    <n v="0"/>
    <x v="2"/>
    <s v="James Wilson"/>
    <x v="8"/>
    <x v="2"/>
    <x v="3"/>
    <n v="1879.08"/>
    <n v="9395.4"/>
  </r>
  <r>
    <s v="T00558"/>
    <d v="2024-11-03T00:00:00"/>
    <s v="C164"/>
    <s v="P045"/>
    <s v="S004"/>
    <n v="1"/>
    <n v="0"/>
    <x v="1"/>
    <s v="Linda Vasquez"/>
    <x v="8"/>
    <x v="2"/>
    <x v="1"/>
    <n v="1879.08"/>
    <n v="1879.08"/>
  </r>
  <r>
    <s v="T00559"/>
    <d v="2024-01-25T00:00:00"/>
    <s v="C170"/>
    <s v="P004"/>
    <s v="S002"/>
    <n v="2"/>
    <n v="0.1"/>
    <x v="0"/>
    <s v="Amber Graham"/>
    <x v="49"/>
    <x v="0"/>
    <x v="2"/>
    <n v="1853.77"/>
    <n v="3336.7860000000001"/>
  </r>
  <r>
    <s v="T00560"/>
    <d v="2024-07-23T00:00:00"/>
    <s v="C081"/>
    <s v="P029"/>
    <s v="S004"/>
    <n v="3"/>
    <n v="0.1"/>
    <x v="1"/>
    <s v="Sarah Reynolds"/>
    <x v="47"/>
    <x v="0"/>
    <x v="1"/>
    <n v="1485.05"/>
    <n v="4009.6349999999998"/>
  </r>
  <r>
    <s v="T00561"/>
    <d v="2024-11-20T00:00:00"/>
    <s v="C070"/>
    <s v="P050"/>
    <s v="S002"/>
    <n v="1"/>
    <n v="0.05"/>
    <x v="2"/>
    <s v="Eric Bryan"/>
    <x v="3"/>
    <x v="0"/>
    <x v="2"/>
    <n v="1044.6400000000001"/>
    <n v="992.40800000000002"/>
  </r>
  <r>
    <s v="T00562"/>
    <d v="2023-09-14T00:00:00"/>
    <s v="C200"/>
    <s v="P036"/>
    <s v="S005"/>
    <n v="1"/>
    <n v="0.05"/>
    <x v="3"/>
    <s v="Ronald Haley"/>
    <x v="4"/>
    <x v="0"/>
    <x v="4"/>
    <n v="1501.46"/>
    <n v="1426.3869999999999"/>
  </r>
  <r>
    <s v="T00563"/>
    <d v="2024-05-07T00:00:00"/>
    <s v="C043"/>
    <s v="P039"/>
    <s v="S004"/>
    <n v="4"/>
    <n v="0.1"/>
    <x v="1"/>
    <s v="Kenneth Allen"/>
    <x v="22"/>
    <x v="0"/>
    <x v="1"/>
    <n v="540.94000000000005"/>
    <n v="1947.3840000000002"/>
  </r>
  <r>
    <s v="T00564"/>
    <d v="2024-04-07T00:00:00"/>
    <s v="C031"/>
    <s v="P049"/>
    <s v="S005"/>
    <n v="3"/>
    <n v="0.05"/>
    <x v="1"/>
    <s v="Ashley Gibson"/>
    <x v="29"/>
    <x v="0"/>
    <x v="4"/>
    <n v="388.26"/>
    <n v="1106.5409999999999"/>
  </r>
  <r>
    <s v="T00565"/>
    <d v="2025-07-17T00:00:00"/>
    <s v="C079"/>
    <s v="P036"/>
    <s v="S004"/>
    <n v="3"/>
    <n v="0"/>
    <x v="3"/>
    <s v="Donald Marsh"/>
    <x v="4"/>
    <x v="0"/>
    <x v="1"/>
    <n v="1501.46"/>
    <n v="4504.38"/>
  </r>
  <r>
    <s v="T00566"/>
    <d v="2024-03-16T00:00:00"/>
    <s v="C041"/>
    <s v="P006"/>
    <s v="S003"/>
    <n v="5"/>
    <n v="0"/>
    <x v="2"/>
    <s v="Melissa Rodgers"/>
    <x v="35"/>
    <x v="2"/>
    <x v="0"/>
    <n v="318.05"/>
    <n v="1590.25"/>
  </r>
  <r>
    <s v="T00567"/>
    <d v="2024-03-23T00:00:00"/>
    <s v="C084"/>
    <s v="P031"/>
    <s v="S002"/>
    <n v="1"/>
    <n v="0.05"/>
    <x v="0"/>
    <s v="Amanda Lee"/>
    <x v="39"/>
    <x v="2"/>
    <x v="2"/>
    <n v="1095.72"/>
    <n v="1040.934"/>
  </r>
  <r>
    <s v="T00568"/>
    <d v="2025-04-01T00:00:00"/>
    <s v="C102"/>
    <s v="P045"/>
    <s v="S005"/>
    <n v="1"/>
    <n v="0.1"/>
    <x v="0"/>
    <s v="Carolyn Perez"/>
    <x v="8"/>
    <x v="2"/>
    <x v="4"/>
    <n v="1879.08"/>
    <n v="1691.172"/>
  </r>
  <r>
    <s v="T00569"/>
    <d v="2024-07-27T00:00:00"/>
    <s v="C045"/>
    <s v="P037"/>
    <s v="S001"/>
    <n v="4"/>
    <n v="0.15"/>
    <x v="2"/>
    <s v="Kelly Shaw"/>
    <x v="27"/>
    <x v="1"/>
    <x v="3"/>
    <n v="1952.65"/>
    <n v="6639.01"/>
  </r>
  <r>
    <s v="T00570"/>
    <d v="2024-03-11T00:00:00"/>
    <s v="C025"/>
    <s v="P011"/>
    <s v="S004"/>
    <n v="1"/>
    <n v="0.05"/>
    <x v="3"/>
    <s v="Cheryl Gilbert"/>
    <x v="17"/>
    <x v="1"/>
    <x v="1"/>
    <n v="248.57"/>
    <n v="236.14149999999998"/>
  </r>
  <r>
    <s v="T00571"/>
    <d v="2023-12-16T00:00:00"/>
    <s v="C004"/>
    <s v="P003"/>
    <s v="S001"/>
    <n v="2"/>
    <n v="0.05"/>
    <x v="2"/>
    <s v="Joseph Ward"/>
    <x v="46"/>
    <x v="0"/>
    <x v="3"/>
    <n v="337.63"/>
    <n v="641.49699999999996"/>
  </r>
  <r>
    <s v="T00572"/>
    <d v="2025-07-30T00:00:00"/>
    <s v="C103"/>
    <s v="P050"/>
    <s v="S003"/>
    <n v="1"/>
    <n v="0.1"/>
    <x v="3"/>
    <s v="David Burns"/>
    <x v="3"/>
    <x v="0"/>
    <x v="0"/>
    <n v="1044.6400000000001"/>
    <n v="940.17600000000016"/>
  </r>
  <r>
    <s v="T00573"/>
    <d v="2025-07-12T00:00:00"/>
    <s v="C006"/>
    <s v="P012"/>
    <s v="S001"/>
    <n v="2"/>
    <n v="0.15"/>
    <x v="2"/>
    <s v="Danny Moore"/>
    <x v="38"/>
    <x v="1"/>
    <x v="3"/>
    <n v="1193.0899999999999"/>
    <n v="2028.2529999999997"/>
  </r>
  <r>
    <s v="T00574"/>
    <d v="2023-12-07T00:00:00"/>
    <s v="C024"/>
    <s v="P014"/>
    <s v="S003"/>
    <n v="1"/>
    <n v="0"/>
    <x v="1"/>
    <s v="Molly Murray"/>
    <x v="0"/>
    <x v="0"/>
    <x v="0"/>
    <n v="1342.75"/>
    <n v="1342.75"/>
  </r>
  <r>
    <s v="T00575"/>
    <d v="2025-03-29T00:00:00"/>
    <s v="C013"/>
    <s v="P020"/>
    <s v="S002"/>
    <n v="5"/>
    <n v="0.15"/>
    <x v="1"/>
    <s v="Robert Anderson"/>
    <x v="24"/>
    <x v="0"/>
    <x v="2"/>
    <n v="323.92"/>
    <n v="1376.66"/>
  </r>
  <r>
    <s v="T00576"/>
    <d v="2024-07-12T00:00:00"/>
    <s v="C128"/>
    <s v="P049"/>
    <s v="S001"/>
    <n v="4"/>
    <n v="0.15"/>
    <x v="2"/>
    <s v="Robert Collins"/>
    <x v="29"/>
    <x v="0"/>
    <x v="3"/>
    <n v="388.26"/>
    <n v="1320.0839999999998"/>
  </r>
  <r>
    <s v="T00577"/>
    <d v="2025-01-05T00:00:00"/>
    <s v="C091"/>
    <s v="P037"/>
    <s v="S002"/>
    <n v="2"/>
    <n v="0.1"/>
    <x v="0"/>
    <s v="Brian Fowler"/>
    <x v="27"/>
    <x v="1"/>
    <x v="2"/>
    <n v="1952.65"/>
    <n v="3514.7700000000004"/>
  </r>
  <r>
    <s v="T00578"/>
    <d v="2024-12-19T00:00:00"/>
    <s v="C115"/>
    <s v="P028"/>
    <s v="S002"/>
    <n v="1"/>
    <n v="0.05"/>
    <x v="0"/>
    <s v="Jose Smith"/>
    <x v="25"/>
    <x v="1"/>
    <x v="2"/>
    <n v="673.78"/>
    <n v="640.09099999999989"/>
  </r>
  <r>
    <s v="T00579"/>
    <d v="2024-01-09T00:00:00"/>
    <s v="C128"/>
    <s v="P018"/>
    <s v="S004"/>
    <n v="5"/>
    <n v="0.15"/>
    <x v="3"/>
    <s v="Robert Collins"/>
    <x v="19"/>
    <x v="1"/>
    <x v="1"/>
    <n v="1079.8900000000001"/>
    <n v="4589.5325000000003"/>
  </r>
  <r>
    <s v="T00580"/>
    <d v="2023-09-30T00:00:00"/>
    <s v="C023"/>
    <s v="P046"/>
    <s v="S003"/>
    <n v="4"/>
    <n v="0.05"/>
    <x v="1"/>
    <s v="Mark Martinez"/>
    <x v="42"/>
    <x v="0"/>
    <x v="0"/>
    <n v="1165.3699999999999"/>
    <n v="4428.405999999999"/>
  </r>
  <r>
    <s v="T00581"/>
    <d v="2025-01-01T00:00:00"/>
    <s v="C052"/>
    <s v="P025"/>
    <s v="S005"/>
    <n v="2"/>
    <n v="0"/>
    <x v="1"/>
    <s v="Billy Hernandez"/>
    <x v="33"/>
    <x v="0"/>
    <x v="4"/>
    <n v="429.15"/>
    <n v="858.3"/>
  </r>
  <r>
    <s v="T00582"/>
    <d v="2025-07-01T00:00:00"/>
    <s v="C183"/>
    <s v="P047"/>
    <s v="S003"/>
    <n v="4"/>
    <n v="0.15"/>
    <x v="0"/>
    <s v="Mary Dawson"/>
    <x v="28"/>
    <x v="1"/>
    <x v="0"/>
    <n v="1197.18"/>
    <n v="4070.4120000000003"/>
  </r>
  <r>
    <s v="T00583"/>
    <d v="2025-04-25T00:00:00"/>
    <s v="C145"/>
    <s v="P047"/>
    <s v="S005"/>
    <n v="3"/>
    <n v="0.15"/>
    <x v="0"/>
    <s v="Paige Osborne"/>
    <x v="28"/>
    <x v="1"/>
    <x v="4"/>
    <n v="1197.18"/>
    <n v="3052.8089999999997"/>
  </r>
  <r>
    <s v="T00584"/>
    <d v="2024-10-01T00:00:00"/>
    <s v="C047"/>
    <s v="P050"/>
    <s v="S001"/>
    <n v="3"/>
    <n v="0.05"/>
    <x v="3"/>
    <s v="Mary Decker"/>
    <x v="3"/>
    <x v="0"/>
    <x v="3"/>
    <n v="1044.6400000000001"/>
    <n v="2977.2239999999997"/>
  </r>
  <r>
    <s v="T00585"/>
    <d v="2024-03-21T00:00:00"/>
    <s v="C200"/>
    <s v="P027"/>
    <s v="S003"/>
    <n v="1"/>
    <n v="0.15"/>
    <x v="0"/>
    <s v="Ronald Haley"/>
    <x v="34"/>
    <x v="1"/>
    <x v="0"/>
    <n v="1272.23"/>
    <n v="1081.3955000000001"/>
  </r>
  <r>
    <s v="T00586"/>
    <d v="2024-02-02T00:00:00"/>
    <s v="C197"/>
    <s v="P039"/>
    <s v="S005"/>
    <n v="2"/>
    <n v="0.05"/>
    <x v="3"/>
    <s v="Matthew Dixon"/>
    <x v="22"/>
    <x v="0"/>
    <x v="4"/>
    <n v="540.94000000000005"/>
    <n v="1027.7860000000001"/>
  </r>
  <r>
    <s v="T00587"/>
    <d v="2024-05-14T00:00:00"/>
    <s v="C064"/>
    <s v="P017"/>
    <s v="S002"/>
    <n v="3"/>
    <n v="0"/>
    <x v="2"/>
    <s v="Amanda Hoover"/>
    <x v="43"/>
    <x v="1"/>
    <x v="2"/>
    <n v="1246.1099999999999"/>
    <n v="3738.33"/>
  </r>
  <r>
    <s v="T00588"/>
    <d v="2024-01-13T00:00:00"/>
    <s v="C148"/>
    <s v="P019"/>
    <s v="S004"/>
    <n v="3"/>
    <n v="0.05"/>
    <x v="2"/>
    <s v="John Foster"/>
    <x v="26"/>
    <x v="1"/>
    <x v="1"/>
    <n v="1762.92"/>
    <n v="5024.3220000000001"/>
  </r>
  <r>
    <s v="T00589"/>
    <d v="2025-04-02T00:00:00"/>
    <s v="C061"/>
    <s v="P025"/>
    <s v="S005"/>
    <n v="3"/>
    <n v="0.1"/>
    <x v="3"/>
    <s v="Heather Russell"/>
    <x v="33"/>
    <x v="0"/>
    <x v="4"/>
    <n v="429.15"/>
    <n v="1158.7049999999999"/>
  </r>
  <r>
    <s v="T00590"/>
    <d v="2024-12-09T00:00:00"/>
    <s v="C181"/>
    <s v="P047"/>
    <s v="S003"/>
    <n v="5"/>
    <n v="0.05"/>
    <x v="2"/>
    <s v="Brittany Oneal"/>
    <x v="28"/>
    <x v="1"/>
    <x v="0"/>
    <n v="1197.18"/>
    <n v="5686.6050000000005"/>
  </r>
  <r>
    <s v="T00591"/>
    <d v="2024-05-04T00:00:00"/>
    <s v="C127"/>
    <s v="P011"/>
    <s v="S005"/>
    <n v="3"/>
    <n v="0.05"/>
    <x v="1"/>
    <s v="John Allen"/>
    <x v="17"/>
    <x v="1"/>
    <x v="4"/>
    <n v="248.57"/>
    <n v="708.42449999999997"/>
  </r>
  <r>
    <s v="T00592"/>
    <d v="2024-02-03T00:00:00"/>
    <s v="C010"/>
    <s v="P005"/>
    <s v="S001"/>
    <n v="1"/>
    <n v="0.05"/>
    <x v="2"/>
    <s v="Catherine Rice"/>
    <x v="6"/>
    <x v="0"/>
    <x v="3"/>
    <n v="1396.22"/>
    <n v="1326.4089999999999"/>
  </r>
  <r>
    <s v="T00593"/>
    <d v="2025-03-31T00:00:00"/>
    <s v="C006"/>
    <s v="P015"/>
    <s v="S005"/>
    <n v="4"/>
    <n v="0"/>
    <x v="0"/>
    <s v="Danny Moore"/>
    <x v="40"/>
    <x v="0"/>
    <x v="4"/>
    <n v="270.45"/>
    <n v="1081.8"/>
  </r>
  <r>
    <s v="T00594"/>
    <d v="2025-07-16T00:00:00"/>
    <s v="C158"/>
    <s v="P024"/>
    <s v="S002"/>
    <n v="2"/>
    <n v="0.1"/>
    <x v="2"/>
    <s v="Crystal Aguirre"/>
    <x v="14"/>
    <x v="1"/>
    <x v="2"/>
    <n v="1487.41"/>
    <n v="2677.3380000000002"/>
  </r>
  <r>
    <s v="T00595"/>
    <d v="2023-09-12T00:00:00"/>
    <s v="C083"/>
    <s v="P028"/>
    <s v="S001"/>
    <n v="1"/>
    <n v="0.05"/>
    <x v="2"/>
    <s v="Jeremy Robles"/>
    <x v="25"/>
    <x v="1"/>
    <x v="3"/>
    <n v="673.78"/>
    <n v="640.09099999999989"/>
  </r>
  <r>
    <s v="T00596"/>
    <d v="2024-12-06T00:00:00"/>
    <s v="C199"/>
    <s v="P008"/>
    <s v="S001"/>
    <n v="5"/>
    <n v="0.1"/>
    <x v="3"/>
    <s v="Juan Johnson"/>
    <x v="48"/>
    <x v="0"/>
    <x v="3"/>
    <n v="109.78"/>
    <n v="494.01"/>
  </r>
  <r>
    <s v="T00597"/>
    <d v="2024-08-20T00:00:00"/>
    <s v="C096"/>
    <s v="P039"/>
    <s v="S004"/>
    <n v="5"/>
    <n v="0"/>
    <x v="0"/>
    <s v="Eric King"/>
    <x v="22"/>
    <x v="0"/>
    <x v="1"/>
    <n v="540.94000000000005"/>
    <n v="2704.7000000000003"/>
  </r>
  <r>
    <s v="T00598"/>
    <d v="2024-12-27T00:00:00"/>
    <s v="C078"/>
    <s v="P043"/>
    <s v="S003"/>
    <n v="2"/>
    <n v="0.05"/>
    <x v="1"/>
    <s v="Jeanne Young"/>
    <x v="45"/>
    <x v="0"/>
    <x v="0"/>
    <n v="564.41999999999996"/>
    <n v="1072.3979999999999"/>
  </r>
  <r>
    <s v="T00599"/>
    <d v="2024-03-29T00:00:00"/>
    <s v="C164"/>
    <s v="P040"/>
    <s v="S004"/>
    <n v="3"/>
    <n v="0.05"/>
    <x v="0"/>
    <s v="Linda Vasquez"/>
    <x v="37"/>
    <x v="1"/>
    <x v="1"/>
    <n v="1745.61"/>
    <n v="4974.9884999999995"/>
  </r>
  <r>
    <s v="T00600"/>
    <d v="2025-08-16T00:00:00"/>
    <s v="C058"/>
    <s v="P050"/>
    <s v="S005"/>
    <n v="2"/>
    <n v="0.15"/>
    <x v="0"/>
    <s v="Lawrence Stewart"/>
    <x v="3"/>
    <x v="0"/>
    <x v="4"/>
    <n v="1044.6400000000001"/>
    <n v="1775.8880000000001"/>
  </r>
  <r>
    <s v="T00601"/>
    <d v="2025-06-10T00:00:00"/>
    <s v="C188"/>
    <s v="P016"/>
    <s v="S003"/>
    <n v="2"/>
    <n v="0.05"/>
    <x v="3"/>
    <s v="Ryan Flores"/>
    <x v="13"/>
    <x v="0"/>
    <x v="0"/>
    <n v="1858.75"/>
    <n v="3531.625"/>
  </r>
  <r>
    <s v="T00602"/>
    <d v="2024-06-05T00:00:00"/>
    <s v="C180"/>
    <s v="P020"/>
    <s v="S005"/>
    <n v="4"/>
    <n v="0"/>
    <x v="2"/>
    <s v="Nichole Calhoun"/>
    <x v="24"/>
    <x v="0"/>
    <x v="4"/>
    <n v="323.92"/>
    <n v="1295.68"/>
  </r>
  <r>
    <s v="T00603"/>
    <d v="2024-06-25T00:00:00"/>
    <s v="C155"/>
    <s v="P009"/>
    <s v="S003"/>
    <n v="5"/>
    <n v="0.05"/>
    <x v="3"/>
    <s v="Jill Mcconnell"/>
    <x v="5"/>
    <x v="2"/>
    <x v="0"/>
    <n v="123.19"/>
    <n v="585.15250000000003"/>
  </r>
  <r>
    <s v="T00604"/>
    <d v="2023-11-26T00:00:00"/>
    <s v="C128"/>
    <s v="P032"/>
    <s v="S002"/>
    <n v="3"/>
    <n v="0"/>
    <x v="2"/>
    <s v="Robert Collins"/>
    <x v="44"/>
    <x v="2"/>
    <x v="2"/>
    <n v="304.70999999999998"/>
    <n v="914.12999999999988"/>
  </r>
  <r>
    <s v="T00605"/>
    <d v="2024-07-01T00:00:00"/>
    <s v="C089"/>
    <s v="P003"/>
    <s v="S003"/>
    <n v="2"/>
    <n v="0"/>
    <x v="0"/>
    <s v="William Warner"/>
    <x v="46"/>
    <x v="0"/>
    <x v="0"/>
    <n v="337.63"/>
    <n v="675.26"/>
  </r>
  <r>
    <s v="T00606"/>
    <d v="2024-03-04T00:00:00"/>
    <s v="C115"/>
    <s v="P036"/>
    <s v="S001"/>
    <n v="3"/>
    <n v="0.05"/>
    <x v="2"/>
    <s v="Jose Smith"/>
    <x v="4"/>
    <x v="0"/>
    <x v="3"/>
    <n v="1501.46"/>
    <n v="4279.1610000000001"/>
  </r>
  <r>
    <s v="T00607"/>
    <d v="2025-05-28T00:00:00"/>
    <s v="C178"/>
    <s v="P015"/>
    <s v="S001"/>
    <n v="3"/>
    <n v="0.1"/>
    <x v="3"/>
    <s v="Mark Mcdonald"/>
    <x v="40"/>
    <x v="0"/>
    <x v="3"/>
    <n v="270.45"/>
    <n v="730.21499999999992"/>
  </r>
  <r>
    <s v="T00608"/>
    <d v="2024-06-05T00:00:00"/>
    <s v="C185"/>
    <s v="P003"/>
    <s v="S001"/>
    <n v="1"/>
    <n v="0.15"/>
    <x v="1"/>
    <s v="Joe Vincent"/>
    <x v="46"/>
    <x v="0"/>
    <x v="3"/>
    <n v="337.63"/>
    <n v="286.9855"/>
  </r>
  <r>
    <s v="T00609"/>
    <d v="2023-09-25T00:00:00"/>
    <s v="C188"/>
    <s v="P044"/>
    <s v="S004"/>
    <n v="2"/>
    <n v="0.15"/>
    <x v="1"/>
    <s v="Ryan Flores"/>
    <x v="32"/>
    <x v="0"/>
    <x v="1"/>
    <n v="1286.55"/>
    <n v="2187.1349999999998"/>
  </r>
  <r>
    <s v="T00610"/>
    <d v="2024-04-05T00:00:00"/>
    <s v="C097"/>
    <s v="P026"/>
    <s v="S003"/>
    <n v="5"/>
    <n v="0.15"/>
    <x v="3"/>
    <s v="Evelyn Gray"/>
    <x v="15"/>
    <x v="2"/>
    <x v="0"/>
    <n v="1015.76"/>
    <n v="4316.9800000000005"/>
  </r>
  <r>
    <s v="T00611"/>
    <d v="2025-05-12T00:00:00"/>
    <s v="C123"/>
    <s v="P010"/>
    <s v="S005"/>
    <n v="2"/>
    <n v="0.05"/>
    <x v="1"/>
    <s v="Peter Edwards"/>
    <x v="36"/>
    <x v="1"/>
    <x v="4"/>
    <n v="1194.1199999999999"/>
    <n v="2268.8279999999995"/>
  </r>
  <r>
    <s v="T00612"/>
    <d v="2024-04-26T00:00:00"/>
    <s v="C019"/>
    <s v="P030"/>
    <s v="S001"/>
    <n v="3"/>
    <n v="0"/>
    <x v="0"/>
    <s v="John Smith"/>
    <x v="1"/>
    <x v="0"/>
    <x v="3"/>
    <n v="29.24"/>
    <n v="87.72"/>
  </r>
  <r>
    <s v="T00613"/>
    <d v="2025-08-31T00:00:00"/>
    <s v="C067"/>
    <s v="P013"/>
    <s v="S001"/>
    <n v="1"/>
    <n v="0.1"/>
    <x v="2"/>
    <s v="Daniel Maldonado"/>
    <x v="21"/>
    <x v="0"/>
    <x v="3"/>
    <n v="1134.8"/>
    <n v="1021.3199999999999"/>
  </r>
  <r>
    <s v="T00614"/>
    <d v="2025-07-29T00:00:00"/>
    <s v="C097"/>
    <s v="P025"/>
    <s v="S002"/>
    <n v="1"/>
    <n v="0"/>
    <x v="0"/>
    <s v="Evelyn Gray"/>
    <x v="33"/>
    <x v="0"/>
    <x v="2"/>
    <n v="429.15"/>
    <n v="429.15"/>
  </r>
  <r>
    <s v="T00615"/>
    <d v="2024-02-28T00:00:00"/>
    <s v="C153"/>
    <s v="P033"/>
    <s v="S005"/>
    <n v="4"/>
    <n v="0"/>
    <x v="1"/>
    <s v="Nancy Gordon"/>
    <x v="16"/>
    <x v="0"/>
    <x v="4"/>
    <n v="1798.97"/>
    <n v="7195.88"/>
  </r>
  <r>
    <s v="T00616"/>
    <d v="2025-01-10T00:00:00"/>
    <s v="C168"/>
    <s v="P023"/>
    <s v="S002"/>
    <n v="5"/>
    <n v="0.15"/>
    <x v="2"/>
    <s v="Richard Jones"/>
    <x v="20"/>
    <x v="0"/>
    <x v="2"/>
    <n v="1878.47"/>
    <n v="7983.4975000000004"/>
  </r>
  <r>
    <s v="T00617"/>
    <d v="2024-01-23T00:00:00"/>
    <s v="C014"/>
    <s v="P007"/>
    <s v="S001"/>
    <n v="3"/>
    <n v="0.05"/>
    <x v="2"/>
    <s v="Brittany Green"/>
    <x v="18"/>
    <x v="1"/>
    <x v="3"/>
    <n v="1474.12"/>
    <n v="4201.2419999999993"/>
  </r>
  <r>
    <s v="T00618"/>
    <d v="2025-08-08T00:00:00"/>
    <s v="C105"/>
    <s v="P036"/>
    <s v="S005"/>
    <n v="5"/>
    <n v="0.1"/>
    <x v="0"/>
    <s v="Kenneth Berg"/>
    <x v="4"/>
    <x v="0"/>
    <x v="4"/>
    <n v="1501.46"/>
    <n v="6756.5700000000006"/>
  </r>
  <r>
    <s v="T00619"/>
    <d v="2024-07-02T00:00:00"/>
    <s v="C077"/>
    <s v="P017"/>
    <s v="S002"/>
    <n v="1"/>
    <n v="0"/>
    <x v="1"/>
    <s v="Matthew Juarez"/>
    <x v="43"/>
    <x v="1"/>
    <x v="2"/>
    <n v="1246.1099999999999"/>
    <n v="1246.1099999999999"/>
  </r>
  <r>
    <s v="T00620"/>
    <d v="2024-08-21T00:00:00"/>
    <s v="C147"/>
    <s v="P034"/>
    <s v="S005"/>
    <n v="4"/>
    <n v="0.05"/>
    <x v="3"/>
    <s v="Crystal Garrison"/>
    <x v="12"/>
    <x v="1"/>
    <x v="4"/>
    <n v="428.05"/>
    <n v="1626.59"/>
  </r>
  <r>
    <s v="T00621"/>
    <d v="2024-08-27T00:00:00"/>
    <s v="C093"/>
    <s v="P040"/>
    <s v="S001"/>
    <n v="4"/>
    <n v="0"/>
    <x v="0"/>
    <s v="Stanley Brown"/>
    <x v="37"/>
    <x v="1"/>
    <x v="3"/>
    <n v="1745.61"/>
    <n v="6982.44"/>
  </r>
  <r>
    <s v="T00622"/>
    <d v="2024-03-06T00:00:00"/>
    <s v="C170"/>
    <s v="P016"/>
    <s v="S005"/>
    <n v="4"/>
    <n v="0.05"/>
    <x v="3"/>
    <s v="Amber Graham"/>
    <x v="13"/>
    <x v="0"/>
    <x v="4"/>
    <n v="1858.75"/>
    <n v="7063.25"/>
  </r>
  <r>
    <s v="T00623"/>
    <d v="2025-03-12T00:00:00"/>
    <s v="C007"/>
    <s v="P020"/>
    <s v="S002"/>
    <n v="2"/>
    <n v="0.1"/>
    <x v="3"/>
    <s v="Erin Walker"/>
    <x v="24"/>
    <x v="0"/>
    <x v="2"/>
    <n v="323.92"/>
    <n v="583.05600000000004"/>
  </r>
  <r>
    <s v="T00624"/>
    <d v="2024-09-21T00:00:00"/>
    <s v="C122"/>
    <s v="P020"/>
    <s v="S001"/>
    <n v="3"/>
    <n v="0.15"/>
    <x v="1"/>
    <s v="Amy Smith"/>
    <x v="24"/>
    <x v="0"/>
    <x v="3"/>
    <n v="323.92"/>
    <n v="825.99599999999998"/>
  </r>
  <r>
    <s v="T00625"/>
    <d v="2023-12-07T00:00:00"/>
    <s v="C126"/>
    <s v="P038"/>
    <s v="S003"/>
    <n v="1"/>
    <n v="0.15"/>
    <x v="2"/>
    <s v="Monique Johnson"/>
    <x v="41"/>
    <x v="0"/>
    <x v="0"/>
    <n v="366.93"/>
    <n v="311.89049999999997"/>
  </r>
  <r>
    <s v="T00626"/>
    <d v="2023-11-17T00:00:00"/>
    <s v="C095"/>
    <s v="P020"/>
    <s v="S004"/>
    <n v="3"/>
    <n v="0.05"/>
    <x v="1"/>
    <s v="Kevin Snyder"/>
    <x v="24"/>
    <x v="0"/>
    <x v="1"/>
    <n v="323.92"/>
    <n v="923.17199999999991"/>
  </r>
  <r>
    <s v="T00627"/>
    <d v="2025-06-24T00:00:00"/>
    <s v="C012"/>
    <s v="P016"/>
    <s v="S003"/>
    <n v="4"/>
    <n v="0.15"/>
    <x v="0"/>
    <s v="Dale Perry"/>
    <x v="13"/>
    <x v="0"/>
    <x v="0"/>
    <n v="1858.75"/>
    <n v="6319.75"/>
  </r>
  <r>
    <s v="T00628"/>
    <d v="2024-10-07T00:00:00"/>
    <s v="C058"/>
    <s v="P041"/>
    <s v="S003"/>
    <n v="5"/>
    <n v="0"/>
    <x v="2"/>
    <s v="Lawrence Stewart"/>
    <x v="30"/>
    <x v="1"/>
    <x v="0"/>
    <n v="1635.01"/>
    <n v="8175.05"/>
  </r>
  <r>
    <s v="T00629"/>
    <d v="2025-01-22T00:00:00"/>
    <s v="C193"/>
    <s v="P031"/>
    <s v="S001"/>
    <n v="1"/>
    <n v="0.1"/>
    <x v="1"/>
    <s v="Donald Meza"/>
    <x v="39"/>
    <x v="2"/>
    <x v="3"/>
    <n v="1095.72"/>
    <n v="986.14800000000002"/>
  </r>
  <r>
    <s v="T00630"/>
    <d v="2024-03-04T00:00:00"/>
    <s v="C194"/>
    <s v="P018"/>
    <s v="S005"/>
    <n v="2"/>
    <n v="0"/>
    <x v="1"/>
    <s v="Ann West"/>
    <x v="19"/>
    <x v="1"/>
    <x v="4"/>
    <n v="1079.8900000000001"/>
    <n v="2159.7800000000002"/>
  </r>
  <r>
    <s v="T00631"/>
    <d v="2023-11-12T00:00:00"/>
    <s v="C134"/>
    <s v="P008"/>
    <s v="S004"/>
    <n v="5"/>
    <n v="0.15"/>
    <x v="2"/>
    <s v="Emily Hart"/>
    <x v="48"/>
    <x v="0"/>
    <x v="1"/>
    <n v="109.78"/>
    <n v="466.56499999999994"/>
  </r>
  <r>
    <s v="T00632"/>
    <d v="2024-08-30T00:00:00"/>
    <s v="C122"/>
    <s v="P031"/>
    <s v="S003"/>
    <n v="1"/>
    <n v="0.15"/>
    <x v="3"/>
    <s v="Amy Smith"/>
    <x v="39"/>
    <x v="2"/>
    <x v="0"/>
    <n v="1095.72"/>
    <n v="931.36199999999997"/>
  </r>
  <r>
    <s v="T00633"/>
    <d v="2025-07-16T00:00:00"/>
    <s v="C129"/>
    <s v="P010"/>
    <s v="S005"/>
    <n v="5"/>
    <n v="0.05"/>
    <x v="3"/>
    <s v="Gary Taylor"/>
    <x v="36"/>
    <x v="1"/>
    <x v="4"/>
    <n v="1194.1199999999999"/>
    <n v="5672.0699999999988"/>
  </r>
  <r>
    <s v="T00634"/>
    <d v="2024-12-24T00:00:00"/>
    <s v="C194"/>
    <s v="P048"/>
    <s v="S004"/>
    <n v="2"/>
    <n v="0.05"/>
    <x v="2"/>
    <s v="Ann West"/>
    <x v="11"/>
    <x v="0"/>
    <x v="1"/>
    <n v="1216.3599999999999"/>
    <n v="2311.0839999999998"/>
  </r>
  <r>
    <s v="T00635"/>
    <d v="2024-01-18T00:00:00"/>
    <s v="C050"/>
    <s v="P044"/>
    <s v="S002"/>
    <n v="1"/>
    <n v="0.15"/>
    <x v="3"/>
    <s v="Kelly Mcmillan"/>
    <x v="32"/>
    <x v="0"/>
    <x v="2"/>
    <n v="1286.55"/>
    <n v="1093.5674999999999"/>
  </r>
  <r>
    <s v="T00636"/>
    <d v="2024-12-17T00:00:00"/>
    <s v="C175"/>
    <s v="P011"/>
    <s v="S004"/>
    <n v="2"/>
    <n v="0.05"/>
    <x v="0"/>
    <s v="Stacey Thompson"/>
    <x v="17"/>
    <x v="1"/>
    <x v="1"/>
    <n v="248.57"/>
    <n v="472.28299999999996"/>
  </r>
  <r>
    <s v="T00637"/>
    <d v="2023-09-10T00:00:00"/>
    <s v="C082"/>
    <s v="P008"/>
    <s v="S001"/>
    <n v="1"/>
    <n v="0.15"/>
    <x v="1"/>
    <s v="Amy Haley"/>
    <x v="48"/>
    <x v="0"/>
    <x v="3"/>
    <n v="109.78"/>
    <n v="93.313000000000002"/>
  </r>
  <r>
    <s v="T00638"/>
    <d v="2024-09-20T00:00:00"/>
    <s v="C142"/>
    <s v="P008"/>
    <s v="S003"/>
    <n v="3"/>
    <n v="0.15"/>
    <x v="3"/>
    <s v="Suzanne Fox"/>
    <x v="48"/>
    <x v="0"/>
    <x v="0"/>
    <n v="109.78"/>
    <n v="279.93900000000002"/>
  </r>
  <r>
    <s v="T00639"/>
    <d v="2024-04-03T00:00:00"/>
    <s v="C180"/>
    <s v="P018"/>
    <s v="S005"/>
    <n v="5"/>
    <n v="0.15"/>
    <x v="3"/>
    <s v="Nichole Calhoun"/>
    <x v="19"/>
    <x v="1"/>
    <x v="4"/>
    <n v="1079.8900000000001"/>
    <n v="4589.5325000000003"/>
  </r>
  <r>
    <s v="T00640"/>
    <d v="2023-12-23T00:00:00"/>
    <s v="C107"/>
    <s v="P039"/>
    <s v="S002"/>
    <n v="2"/>
    <n v="0"/>
    <x v="3"/>
    <s v="Victoria Hansen"/>
    <x v="22"/>
    <x v="0"/>
    <x v="2"/>
    <n v="540.94000000000005"/>
    <n v="1081.8800000000001"/>
  </r>
  <r>
    <s v="T00641"/>
    <d v="2024-02-14T00:00:00"/>
    <s v="C145"/>
    <s v="P038"/>
    <s v="S001"/>
    <n v="3"/>
    <n v="0.1"/>
    <x v="1"/>
    <s v="Paige Osborne"/>
    <x v="41"/>
    <x v="0"/>
    <x v="3"/>
    <n v="366.93"/>
    <n v="990.71100000000001"/>
  </r>
  <r>
    <s v="T00642"/>
    <d v="2024-04-01T00:00:00"/>
    <s v="C068"/>
    <s v="P037"/>
    <s v="S004"/>
    <n v="4"/>
    <n v="0.15"/>
    <x v="3"/>
    <s v="Alexandra Montoya"/>
    <x v="27"/>
    <x v="1"/>
    <x v="1"/>
    <n v="1952.65"/>
    <n v="6639.01"/>
  </r>
  <r>
    <s v="T00643"/>
    <d v="2024-02-12T00:00:00"/>
    <s v="C045"/>
    <s v="P043"/>
    <s v="S003"/>
    <n v="4"/>
    <n v="0.05"/>
    <x v="1"/>
    <s v="Kelly Shaw"/>
    <x v="45"/>
    <x v="0"/>
    <x v="0"/>
    <n v="564.41999999999996"/>
    <n v="2144.7959999999998"/>
  </r>
  <r>
    <s v="T00644"/>
    <d v="2024-04-26T00:00:00"/>
    <s v="C010"/>
    <s v="P014"/>
    <s v="S004"/>
    <n v="3"/>
    <n v="0.05"/>
    <x v="3"/>
    <s v="Catherine Rice"/>
    <x v="0"/>
    <x v="0"/>
    <x v="1"/>
    <n v="1342.75"/>
    <n v="3826.8374999999996"/>
  </r>
  <r>
    <s v="T00645"/>
    <d v="2024-02-20T00:00:00"/>
    <s v="C191"/>
    <s v="P041"/>
    <s v="S004"/>
    <n v="3"/>
    <n v="0.1"/>
    <x v="3"/>
    <s v="Karen Quinn"/>
    <x v="30"/>
    <x v="1"/>
    <x v="1"/>
    <n v="1635.01"/>
    <n v="4414.527"/>
  </r>
  <r>
    <s v="T00646"/>
    <d v="2025-03-18T00:00:00"/>
    <s v="C087"/>
    <s v="P037"/>
    <s v="S003"/>
    <n v="3"/>
    <n v="0.1"/>
    <x v="1"/>
    <s v="Laurie Mason"/>
    <x v="27"/>
    <x v="1"/>
    <x v="0"/>
    <n v="1952.65"/>
    <n v="5272.1550000000007"/>
  </r>
  <r>
    <s v="T00647"/>
    <d v="2023-12-04T00:00:00"/>
    <s v="C179"/>
    <s v="P041"/>
    <s v="S001"/>
    <n v="2"/>
    <n v="0.05"/>
    <x v="0"/>
    <s v="Dennis Wallace"/>
    <x v="30"/>
    <x v="1"/>
    <x v="3"/>
    <n v="1635.01"/>
    <n v="3106.5189999999998"/>
  </r>
  <r>
    <s v="T00648"/>
    <d v="2025-01-18T00:00:00"/>
    <s v="C191"/>
    <s v="P033"/>
    <s v="S004"/>
    <n v="3"/>
    <n v="0.1"/>
    <x v="1"/>
    <s v="Karen Quinn"/>
    <x v="16"/>
    <x v="0"/>
    <x v="1"/>
    <n v="1798.97"/>
    <n v="4857.2190000000001"/>
  </r>
  <r>
    <s v="T00649"/>
    <d v="2025-09-02T00:00:00"/>
    <s v="C155"/>
    <s v="P043"/>
    <s v="S001"/>
    <n v="2"/>
    <n v="0.15"/>
    <x v="2"/>
    <s v="Jill Mcconnell"/>
    <x v="45"/>
    <x v="0"/>
    <x v="3"/>
    <n v="564.41999999999996"/>
    <n v="959.5139999999999"/>
  </r>
  <r>
    <s v="T00650"/>
    <d v="2025-07-05T00:00:00"/>
    <s v="C105"/>
    <s v="P016"/>
    <s v="S004"/>
    <n v="5"/>
    <n v="0.1"/>
    <x v="3"/>
    <s v="Kenneth Berg"/>
    <x v="13"/>
    <x v="0"/>
    <x v="1"/>
    <n v="1858.75"/>
    <n v="8364.375"/>
  </r>
  <r>
    <s v="T00651"/>
    <d v="2023-11-08T00:00:00"/>
    <s v="C132"/>
    <s v="P045"/>
    <s v="S002"/>
    <n v="1"/>
    <n v="0.1"/>
    <x v="1"/>
    <s v="Jared Ochoa"/>
    <x v="8"/>
    <x v="2"/>
    <x v="2"/>
    <n v="1879.08"/>
    <n v="1691.172"/>
  </r>
  <r>
    <s v="T00652"/>
    <d v="2024-04-25T00:00:00"/>
    <s v="C035"/>
    <s v="P025"/>
    <s v="S005"/>
    <n v="5"/>
    <n v="0"/>
    <x v="2"/>
    <s v="Kimberly King"/>
    <x v="33"/>
    <x v="0"/>
    <x v="4"/>
    <n v="429.15"/>
    <n v="2145.75"/>
  </r>
  <r>
    <s v="T00653"/>
    <d v="2024-06-16T00:00:00"/>
    <s v="C050"/>
    <s v="P044"/>
    <s v="S002"/>
    <n v="1"/>
    <n v="0.05"/>
    <x v="3"/>
    <s v="Kelly Mcmillan"/>
    <x v="32"/>
    <x v="0"/>
    <x v="2"/>
    <n v="1286.55"/>
    <n v="1222.2224999999999"/>
  </r>
  <r>
    <s v="T00654"/>
    <d v="2024-03-23T00:00:00"/>
    <s v="C117"/>
    <s v="P045"/>
    <s v="S001"/>
    <n v="3"/>
    <n v="0.05"/>
    <x v="0"/>
    <s v="Timothy Beck"/>
    <x v="8"/>
    <x v="2"/>
    <x v="3"/>
    <n v="1879.08"/>
    <n v="5355.3779999999997"/>
  </r>
  <r>
    <s v="T00655"/>
    <d v="2025-01-09T00:00:00"/>
    <s v="C095"/>
    <s v="P021"/>
    <s v="S004"/>
    <n v="5"/>
    <n v="0.15"/>
    <x v="3"/>
    <s v="Kevin Snyder"/>
    <x v="23"/>
    <x v="2"/>
    <x v="1"/>
    <n v="1227.24"/>
    <n v="5215.7699999999995"/>
  </r>
  <r>
    <s v="T00656"/>
    <d v="2024-11-27T00:00:00"/>
    <s v="C175"/>
    <s v="P009"/>
    <s v="S001"/>
    <n v="2"/>
    <n v="0.1"/>
    <x v="1"/>
    <s v="Stacey Thompson"/>
    <x v="5"/>
    <x v="2"/>
    <x v="3"/>
    <n v="123.19"/>
    <n v="221.74199999999999"/>
  </r>
  <r>
    <s v="T00657"/>
    <d v="2024-10-28T00:00:00"/>
    <s v="C153"/>
    <s v="P015"/>
    <s v="S004"/>
    <n v="2"/>
    <n v="0.15"/>
    <x v="0"/>
    <s v="Nancy Gordon"/>
    <x v="40"/>
    <x v="0"/>
    <x v="1"/>
    <n v="270.45"/>
    <n v="459.76499999999999"/>
  </r>
  <r>
    <s v="T00658"/>
    <d v="2024-12-14T00:00:00"/>
    <s v="C089"/>
    <s v="P046"/>
    <s v="S002"/>
    <n v="3"/>
    <n v="0"/>
    <x v="0"/>
    <s v="William Warner"/>
    <x v="42"/>
    <x v="0"/>
    <x v="2"/>
    <n v="1165.3699999999999"/>
    <n v="3496.1099999999997"/>
  </r>
  <r>
    <s v="T00659"/>
    <d v="2024-08-12T00:00:00"/>
    <s v="C008"/>
    <s v="P036"/>
    <s v="S004"/>
    <n v="1"/>
    <n v="0.05"/>
    <x v="2"/>
    <s v="Isaiah Williams"/>
    <x v="4"/>
    <x v="0"/>
    <x v="1"/>
    <n v="1501.46"/>
    <n v="1426.3869999999999"/>
  </r>
  <r>
    <s v="T00660"/>
    <d v="2023-12-05T00:00:00"/>
    <s v="C057"/>
    <s v="P023"/>
    <s v="S002"/>
    <n v="2"/>
    <n v="0.1"/>
    <x v="1"/>
    <s v="Julie Gibson"/>
    <x v="20"/>
    <x v="0"/>
    <x v="2"/>
    <n v="1878.47"/>
    <n v="3381.2460000000001"/>
  </r>
  <r>
    <s v="T00661"/>
    <d v="2024-10-04T00:00:00"/>
    <s v="C132"/>
    <s v="P024"/>
    <s v="S001"/>
    <n v="1"/>
    <n v="0.15"/>
    <x v="2"/>
    <s v="Jared Ochoa"/>
    <x v="14"/>
    <x v="1"/>
    <x v="3"/>
    <n v="1487.41"/>
    <n v="1264.2985000000001"/>
  </r>
  <r>
    <s v="T00662"/>
    <d v="2024-06-06T00:00:00"/>
    <s v="C166"/>
    <s v="P014"/>
    <s v="S002"/>
    <n v="5"/>
    <n v="0"/>
    <x v="2"/>
    <s v="Meagan Ali"/>
    <x v="0"/>
    <x v="0"/>
    <x v="2"/>
    <n v="1342.75"/>
    <n v="6713.75"/>
  </r>
  <r>
    <s v="T00663"/>
    <d v="2024-02-21T00:00:00"/>
    <s v="C065"/>
    <s v="P004"/>
    <s v="S005"/>
    <n v="3"/>
    <n v="0.1"/>
    <x v="1"/>
    <s v="Scott Duke"/>
    <x v="49"/>
    <x v="0"/>
    <x v="4"/>
    <n v="1853.77"/>
    <n v="5005.1790000000001"/>
  </r>
  <r>
    <s v="T00664"/>
    <d v="2025-03-21T00:00:00"/>
    <s v="C097"/>
    <s v="P032"/>
    <s v="S003"/>
    <n v="4"/>
    <n v="0.1"/>
    <x v="2"/>
    <s v="Evelyn Gray"/>
    <x v="44"/>
    <x v="2"/>
    <x v="0"/>
    <n v="304.70999999999998"/>
    <n v="1096.9559999999999"/>
  </r>
  <r>
    <s v="T00665"/>
    <d v="2025-04-11T00:00:00"/>
    <s v="C120"/>
    <s v="P003"/>
    <s v="S003"/>
    <n v="5"/>
    <n v="0.15"/>
    <x v="3"/>
    <s v="Curtis Faulkner"/>
    <x v="46"/>
    <x v="0"/>
    <x v="0"/>
    <n v="337.63"/>
    <n v="1434.9275"/>
  </r>
  <r>
    <s v="T00666"/>
    <d v="2024-01-27T00:00:00"/>
    <s v="C002"/>
    <s v="P018"/>
    <s v="S005"/>
    <n v="3"/>
    <n v="0.1"/>
    <x v="0"/>
    <s v="Michael Miller"/>
    <x v="19"/>
    <x v="1"/>
    <x v="4"/>
    <n v="1079.8900000000001"/>
    <n v="2915.703"/>
  </r>
  <r>
    <s v="T00667"/>
    <d v="2025-07-12T00:00:00"/>
    <s v="C176"/>
    <s v="P021"/>
    <s v="S001"/>
    <n v="4"/>
    <n v="0"/>
    <x v="0"/>
    <s v="Peter Garcia"/>
    <x v="23"/>
    <x v="2"/>
    <x v="3"/>
    <n v="1227.24"/>
    <n v="4908.96"/>
  </r>
  <r>
    <s v="T00668"/>
    <d v="2023-11-23T00:00:00"/>
    <s v="C071"/>
    <s v="P048"/>
    <s v="S003"/>
    <n v="3"/>
    <n v="0.1"/>
    <x v="0"/>
    <s v="Denise Gutierrez"/>
    <x v="11"/>
    <x v="0"/>
    <x v="0"/>
    <n v="1216.3599999999999"/>
    <n v="3284.172"/>
  </r>
  <r>
    <s v="T00669"/>
    <d v="2023-12-01T00:00:00"/>
    <s v="C049"/>
    <s v="P032"/>
    <s v="S002"/>
    <n v="5"/>
    <n v="0.05"/>
    <x v="3"/>
    <s v="Antonio Hamilton"/>
    <x v="44"/>
    <x v="2"/>
    <x v="2"/>
    <n v="304.70999999999998"/>
    <n v="1447.3724999999999"/>
  </r>
  <r>
    <s v="T00670"/>
    <d v="2024-11-10T00:00:00"/>
    <s v="C154"/>
    <s v="P001"/>
    <s v="S004"/>
    <n v="3"/>
    <n v="0.05"/>
    <x v="3"/>
    <s v="Lisa Martinez"/>
    <x v="31"/>
    <x v="1"/>
    <x v="1"/>
    <n v="1673.69"/>
    <n v="4770.0164999999997"/>
  </r>
  <r>
    <s v="T00671"/>
    <d v="2024-08-05T00:00:00"/>
    <s v="C168"/>
    <s v="P010"/>
    <s v="S004"/>
    <n v="3"/>
    <n v="0.1"/>
    <x v="1"/>
    <s v="Richard Jones"/>
    <x v="36"/>
    <x v="1"/>
    <x v="1"/>
    <n v="1194.1199999999999"/>
    <n v="3224.1239999999998"/>
  </r>
  <r>
    <s v="T00672"/>
    <d v="2024-01-09T00:00:00"/>
    <s v="C104"/>
    <s v="P023"/>
    <s v="S004"/>
    <n v="1"/>
    <n v="0.05"/>
    <x v="0"/>
    <s v="Brenda Dean"/>
    <x v="20"/>
    <x v="0"/>
    <x v="1"/>
    <n v="1878.47"/>
    <n v="1784.5464999999999"/>
  </r>
  <r>
    <s v="T00673"/>
    <d v="2024-03-16T00:00:00"/>
    <s v="C186"/>
    <s v="P038"/>
    <s v="S002"/>
    <n v="5"/>
    <n v="0.15"/>
    <x v="0"/>
    <s v="Vicki Guzman"/>
    <x v="41"/>
    <x v="0"/>
    <x v="2"/>
    <n v="366.93"/>
    <n v="1559.4525000000001"/>
  </r>
  <r>
    <s v="T00674"/>
    <d v="2025-04-16T00:00:00"/>
    <s v="C130"/>
    <s v="P021"/>
    <s v="S003"/>
    <n v="2"/>
    <n v="0.05"/>
    <x v="0"/>
    <s v="Aaron Bailey"/>
    <x v="23"/>
    <x v="2"/>
    <x v="0"/>
    <n v="1227.24"/>
    <n v="2331.7559999999999"/>
  </r>
  <r>
    <s v="T00675"/>
    <d v="2024-11-14T00:00:00"/>
    <s v="C025"/>
    <s v="P036"/>
    <s v="S004"/>
    <n v="2"/>
    <n v="0.1"/>
    <x v="2"/>
    <s v="Cheryl Gilbert"/>
    <x v="4"/>
    <x v="0"/>
    <x v="1"/>
    <n v="1501.46"/>
    <n v="2702.6280000000002"/>
  </r>
  <r>
    <s v="T00676"/>
    <d v="2024-06-11T00:00:00"/>
    <s v="C175"/>
    <s v="P027"/>
    <s v="S003"/>
    <n v="1"/>
    <n v="0.05"/>
    <x v="0"/>
    <s v="Stacey Thompson"/>
    <x v="34"/>
    <x v="1"/>
    <x v="0"/>
    <n v="1272.23"/>
    <n v="1208.6185"/>
  </r>
  <r>
    <s v="T00677"/>
    <d v="2023-11-17T00:00:00"/>
    <s v="C058"/>
    <s v="P029"/>
    <s v="S003"/>
    <n v="4"/>
    <n v="0.1"/>
    <x v="0"/>
    <s v="Lawrence Stewart"/>
    <x v="47"/>
    <x v="0"/>
    <x v="0"/>
    <n v="1485.05"/>
    <n v="5346.18"/>
  </r>
  <r>
    <s v="T00678"/>
    <d v="2024-10-12T00:00:00"/>
    <s v="C067"/>
    <s v="P008"/>
    <s v="S005"/>
    <n v="3"/>
    <n v="0.15"/>
    <x v="3"/>
    <s v="Daniel Maldonado"/>
    <x v="48"/>
    <x v="0"/>
    <x v="4"/>
    <n v="109.78"/>
    <n v="279.93900000000002"/>
  </r>
  <r>
    <s v="T00679"/>
    <d v="2024-02-18T00:00:00"/>
    <s v="C121"/>
    <s v="P027"/>
    <s v="S001"/>
    <n v="5"/>
    <n v="0"/>
    <x v="1"/>
    <s v="John Bell"/>
    <x v="34"/>
    <x v="1"/>
    <x v="3"/>
    <n v="1272.23"/>
    <n v="6361.15"/>
  </r>
  <r>
    <s v="T00680"/>
    <d v="2025-08-07T00:00:00"/>
    <s v="C050"/>
    <s v="P039"/>
    <s v="S005"/>
    <n v="1"/>
    <n v="0.15"/>
    <x v="0"/>
    <s v="Kelly Mcmillan"/>
    <x v="22"/>
    <x v="0"/>
    <x v="4"/>
    <n v="540.94000000000005"/>
    <n v="459.79900000000004"/>
  </r>
  <r>
    <s v="T00681"/>
    <d v="2024-04-18T00:00:00"/>
    <s v="C106"/>
    <s v="P020"/>
    <s v="S001"/>
    <n v="2"/>
    <n v="0.05"/>
    <x v="2"/>
    <s v="Kevin Flores"/>
    <x v="24"/>
    <x v="0"/>
    <x v="3"/>
    <n v="323.92"/>
    <n v="615.44799999999998"/>
  </r>
  <r>
    <s v="T00682"/>
    <d v="2023-09-16T00:00:00"/>
    <s v="C088"/>
    <s v="P013"/>
    <s v="S004"/>
    <n v="5"/>
    <n v="0.15"/>
    <x v="2"/>
    <s v="Brenda Costa"/>
    <x v="21"/>
    <x v="0"/>
    <x v="1"/>
    <n v="1134.8"/>
    <n v="4822.8999999999996"/>
  </r>
  <r>
    <s v="T00683"/>
    <d v="2025-07-04T00:00:00"/>
    <s v="C081"/>
    <s v="P030"/>
    <s v="S002"/>
    <n v="1"/>
    <n v="0.15"/>
    <x v="0"/>
    <s v="Sarah Reynolds"/>
    <x v="1"/>
    <x v="0"/>
    <x v="2"/>
    <n v="29.24"/>
    <n v="24.853999999999999"/>
  </r>
  <r>
    <s v="T00684"/>
    <d v="2024-09-02T00:00:00"/>
    <s v="C162"/>
    <s v="P008"/>
    <s v="S002"/>
    <n v="3"/>
    <n v="0"/>
    <x v="3"/>
    <s v="Jill Roach"/>
    <x v="48"/>
    <x v="0"/>
    <x v="2"/>
    <n v="109.78"/>
    <n v="329.34000000000003"/>
  </r>
  <r>
    <s v="T00685"/>
    <d v="2024-09-14T00:00:00"/>
    <s v="C116"/>
    <s v="P050"/>
    <s v="S003"/>
    <n v="2"/>
    <n v="0.05"/>
    <x v="2"/>
    <s v="Jamie Webb"/>
    <x v="3"/>
    <x v="0"/>
    <x v="0"/>
    <n v="1044.6400000000001"/>
    <n v="1984.816"/>
  </r>
  <r>
    <s v="T00686"/>
    <d v="2023-09-29T00:00:00"/>
    <s v="C126"/>
    <s v="P014"/>
    <s v="S001"/>
    <n v="2"/>
    <n v="0.15"/>
    <x v="1"/>
    <s v="Monique Johnson"/>
    <x v="0"/>
    <x v="0"/>
    <x v="3"/>
    <n v="1342.75"/>
    <n v="2282.6749999999997"/>
  </r>
  <r>
    <s v="T00687"/>
    <d v="2025-07-29T00:00:00"/>
    <s v="C104"/>
    <s v="P032"/>
    <s v="S004"/>
    <n v="4"/>
    <n v="0.15"/>
    <x v="3"/>
    <s v="Brenda Dean"/>
    <x v="44"/>
    <x v="2"/>
    <x v="1"/>
    <n v="304.70999999999998"/>
    <n v="1036.0139999999999"/>
  </r>
  <r>
    <s v="T00688"/>
    <d v="2025-06-17T00:00:00"/>
    <s v="C010"/>
    <s v="P041"/>
    <s v="S005"/>
    <n v="2"/>
    <n v="0.1"/>
    <x v="3"/>
    <s v="Catherine Rice"/>
    <x v="30"/>
    <x v="1"/>
    <x v="4"/>
    <n v="1635.01"/>
    <n v="2943.018"/>
  </r>
  <r>
    <s v="T00689"/>
    <d v="2024-01-18T00:00:00"/>
    <s v="C083"/>
    <s v="P028"/>
    <s v="S005"/>
    <n v="2"/>
    <n v="0"/>
    <x v="3"/>
    <s v="Jeremy Robles"/>
    <x v="25"/>
    <x v="1"/>
    <x v="4"/>
    <n v="673.78"/>
    <n v="1347.56"/>
  </r>
  <r>
    <s v="T00690"/>
    <d v="2024-05-15T00:00:00"/>
    <s v="C161"/>
    <s v="P031"/>
    <s v="S002"/>
    <n v="2"/>
    <n v="0.1"/>
    <x v="0"/>
    <s v="Michael Perez"/>
    <x v="39"/>
    <x v="2"/>
    <x v="2"/>
    <n v="1095.72"/>
    <n v="1972.296"/>
  </r>
  <r>
    <s v="T00691"/>
    <d v="2024-12-06T00:00:00"/>
    <s v="C034"/>
    <s v="P016"/>
    <s v="S001"/>
    <n v="4"/>
    <n v="0.1"/>
    <x v="2"/>
    <s v="Kari Miller"/>
    <x v="13"/>
    <x v="0"/>
    <x v="3"/>
    <n v="1858.75"/>
    <n v="6691.5"/>
  </r>
  <r>
    <s v="T00692"/>
    <d v="2025-06-19T00:00:00"/>
    <s v="C017"/>
    <s v="P033"/>
    <s v="S001"/>
    <n v="3"/>
    <n v="0.1"/>
    <x v="1"/>
    <s v="Vanessa Anderson"/>
    <x v="16"/>
    <x v="0"/>
    <x v="3"/>
    <n v="1798.97"/>
    <n v="4857.2190000000001"/>
  </r>
  <r>
    <s v="T00693"/>
    <d v="2023-10-30T00:00:00"/>
    <s v="C187"/>
    <s v="P024"/>
    <s v="S005"/>
    <n v="5"/>
    <n v="0.1"/>
    <x v="1"/>
    <s v="Cynthia Cherry"/>
    <x v="14"/>
    <x v="1"/>
    <x v="4"/>
    <n v="1487.41"/>
    <n v="6693.3450000000003"/>
  </r>
  <r>
    <s v="T00694"/>
    <d v="2025-06-24T00:00:00"/>
    <s v="C176"/>
    <s v="P019"/>
    <s v="S002"/>
    <n v="3"/>
    <n v="0.15"/>
    <x v="0"/>
    <s v="Peter Garcia"/>
    <x v="26"/>
    <x v="1"/>
    <x v="2"/>
    <n v="1762.92"/>
    <n v="4495.4459999999999"/>
  </r>
  <r>
    <s v="T00695"/>
    <d v="2024-06-30T00:00:00"/>
    <s v="C193"/>
    <s v="P050"/>
    <s v="S002"/>
    <n v="2"/>
    <n v="0.15"/>
    <x v="3"/>
    <s v="Donald Meza"/>
    <x v="3"/>
    <x v="0"/>
    <x v="2"/>
    <n v="1044.6400000000001"/>
    <n v="1775.8880000000001"/>
  </r>
  <r>
    <s v="T00696"/>
    <d v="2023-09-28T00:00:00"/>
    <s v="C059"/>
    <s v="P050"/>
    <s v="S002"/>
    <n v="2"/>
    <n v="0.05"/>
    <x v="3"/>
    <s v="Scott Wyatt"/>
    <x v="3"/>
    <x v="0"/>
    <x v="2"/>
    <n v="1044.6400000000001"/>
    <n v="1984.816"/>
  </r>
  <r>
    <s v="T00697"/>
    <d v="2024-03-12T00:00:00"/>
    <s v="C151"/>
    <s v="P028"/>
    <s v="S005"/>
    <n v="2"/>
    <n v="0"/>
    <x v="0"/>
    <s v="Dawn Fletcher"/>
    <x v="25"/>
    <x v="1"/>
    <x v="4"/>
    <n v="673.78"/>
    <n v="1347.56"/>
  </r>
  <r>
    <s v="T00698"/>
    <d v="2023-09-30T00:00:00"/>
    <s v="C183"/>
    <s v="P035"/>
    <s v="S001"/>
    <n v="4"/>
    <n v="0.1"/>
    <x v="3"/>
    <s v="Mary Dawson"/>
    <x v="7"/>
    <x v="1"/>
    <x v="3"/>
    <n v="1562.43"/>
    <n v="5624.7480000000005"/>
  </r>
  <r>
    <s v="T00699"/>
    <d v="2024-02-19T00:00:00"/>
    <s v="C153"/>
    <s v="P031"/>
    <s v="S001"/>
    <n v="1"/>
    <n v="0"/>
    <x v="3"/>
    <s v="Nancy Gordon"/>
    <x v="39"/>
    <x v="2"/>
    <x v="3"/>
    <n v="1095.72"/>
    <n v="1095.72"/>
  </r>
  <r>
    <s v="T00700"/>
    <d v="2024-03-09T00:00:00"/>
    <s v="C177"/>
    <s v="P039"/>
    <s v="S001"/>
    <n v="4"/>
    <n v="0.15"/>
    <x v="1"/>
    <s v="Anthony Gould"/>
    <x v="22"/>
    <x v="0"/>
    <x v="3"/>
    <n v="540.94000000000005"/>
    <n v="1839.1960000000001"/>
  </r>
  <r>
    <s v="T00701"/>
    <d v="2023-10-01T00:00:00"/>
    <s v="C032"/>
    <s v="P001"/>
    <s v="S005"/>
    <n v="3"/>
    <n v="0.15"/>
    <x v="2"/>
    <s v="Valerie Macdonald"/>
    <x v="31"/>
    <x v="1"/>
    <x v="4"/>
    <n v="1673.69"/>
    <n v="4267.9094999999998"/>
  </r>
  <r>
    <s v="T00702"/>
    <d v="2024-03-30T00:00:00"/>
    <s v="C053"/>
    <s v="P039"/>
    <s v="S001"/>
    <n v="3"/>
    <n v="0.15"/>
    <x v="3"/>
    <s v="Felicia Morgan"/>
    <x v="22"/>
    <x v="0"/>
    <x v="3"/>
    <n v="540.94000000000005"/>
    <n v="1379.3970000000002"/>
  </r>
  <r>
    <s v="T00703"/>
    <d v="2025-06-13T00:00:00"/>
    <s v="C170"/>
    <s v="P025"/>
    <s v="S005"/>
    <n v="3"/>
    <n v="0.05"/>
    <x v="1"/>
    <s v="Amber Graham"/>
    <x v="33"/>
    <x v="0"/>
    <x v="4"/>
    <n v="429.15"/>
    <n v="1223.0774999999999"/>
  </r>
  <r>
    <s v="T00704"/>
    <d v="2023-10-08T00:00:00"/>
    <s v="C027"/>
    <s v="P008"/>
    <s v="S005"/>
    <n v="5"/>
    <n v="0"/>
    <x v="0"/>
    <s v="Jacqueline Martin"/>
    <x v="48"/>
    <x v="0"/>
    <x v="4"/>
    <n v="109.78"/>
    <n v="548.9"/>
  </r>
  <r>
    <s v="T00705"/>
    <d v="2024-05-23T00:00:00"/>
    <s v="C030"/>
    <s v="P007"/>
    <s v="S001"/>
    <n v="4"/>
    <n v="0.05"/>
    <x v="2"/>
    <s v="Lacey Hall"/>
    <x v="18"/>
    <x v="1"/>
    <x v="3"/>
    <n v="1474.12"/>
    <n v="5601.655999999999"/>
  </r>
  <r>
    <s v="T00706"/>
    <d v="2024-04-19T00:00:00"/>
    <s v="C200"/>
    <s v="P014"/>
    <s v="S003"/>
    <n v="5"/>
    <n v="0.05"/>
    <x v="0"/>
    <s v="Ronald Haley"/>
    <x v="0"/>
    <x v="0"/>
    <x v="0"/>
    <n v="1342.75"/>
    <n v="6378.0625"/>
  </r>
  <r>
    <s v="T00707"/>
    <d v="2024-02-14T00:00:00"/>
    <s v="C181"/>
    <s v="P005"/>
    <s v="S004"/>
    <n v="3"/>
    <n v="0.05"/>
    <x v="3"/>
    <s v="Brittany Oneal"/>
    <x v="6"/>
    <x v="0"/>
    <x v="1"/>
    <n v="1396.22"/>
    <n v="3979.2269999999999"/>
  </r>
  <r>
    <s v="T00708"/>
    <d v="2024-11-25T00:00:00"/>
    <s v="C141"/>
    <s v="P038"/>
    <s v="S004"/>
    <n v="2"/>
    <n v="0.15"/>
    <x v="0"/>
    <s v="Adam Lucas"/>
    <x v="41"/>
    <x v="0"/>
    <x v="1"/>
    <n v="366.93"/>
    <n v="623.78099999999995"/>
  </r>
  <r>
    <s v="T00709"/>
    <d v="2024-04-10T00:00:00"/>
    <s v="C061"/>
    <s v="P032"/>
    <s v="S001"/>
    <n v="1"/>
    <n v="0"/>
    <x v="3"/>
    <s v="Heather Russell"/>
    <x v="44"/>
    <x v="2"/>
    <x v="3"/>
    <n v="304.70999999999998"/>
    <n v="304.70999999999998"/>
  </r>
  <r>
    <s v="T00710"/>
    <d v="2024-06-03T00:00:00"/>
    <s v="C147"/>
    <s v="P006"/>
    <s v="S004"/>
    <n v="2"/>
    <n v="0"/>
    <x v="3"/>
    <s v="Crystal Garrison"/>
    <x v="35"/>
    <x v="2"/>
    <x v="1"/>
    <n v="318.05"/>
    <n v="636.1"/>
  </r>
  <r>
    <s v="T00711"/>
    <d v="2024-06-05T00:00:00"/>
    <s v="C186"/>
    <s v="P027"/>
    <s v="S001"/>
    <n v="3"/>
    <n v="0.05"/>
    <x v="1"/>
    <s v="Vicki Guzman"/>
    <x v="34"/>
    <x v="1"/>
    <x v="3"/>
    <n v="1272.23"/>
    <n v="3625.8554999999997"/>
  </r>
  <r>
    <s v="T00712"/>
    <d v="2024-02-03T00:00:00"/>
    <s v="C076"/>
    <s v="P001"/>
    <s v="S003"/>
    <n v="4"/>
    <n v="0"/>
    <x v="3"/>
    <s v="Phyllis Durham"/>
    <x v="31"/>
    <x v="1"/>
    <x v="0"/>
    <n v="1673.69"/>
    <n v="6694.76"/>
  </r>
  <r>
    <s v="T00713"/>
    <d v="2024-06-26T00:00:00"/>
    <s v="C045"/>
    <s v="P008"/>
    <s v="S001"/>
    <n v="3"/>
    <n v="0.1"/>
    <x v="0"/>
    <s v="Kelly Shaw"/>
    <x v="48"/>
    <x v="0"/>
    <x v="3"/>
    <n v="109.78"/>
    <n v="296.40600000000006"/>
  </r>
  <r>
    <s v="T00714"/>
    <d v="2023-12-20T00:00:00"/>
    <s v="C110"/>
    <s v="P021"/>
    <s v="S001"/>
    <n v="1"/>
    <n v="0"/>
    <x v="3"/>
    <s v="Travis Peters"/>
    <x v="23"/>
    <x v="2"/>
    <x v="3"/>
    <n v="1227.24"/>
    <n v="1227.24"/>
  </r>
  <r>
    <s v="T00715"/>
    <d v="2023-10-01T00:00:00"/>
    <s v="C036"/>
    <s v="P029"/>
    <s v="S002"/>
    <n v="3"/>
    <n v="0.1"/>
    <x v="1"/>
    <s v="Michael Cervantes"/>
    <x v="47"/>
    <x v="0"/>
    <x v="2"/>
    <n v="1485.05"/>
    <n v="4009.6349999999998"/>
  </r>
  <r>
    <s v="T00716"/>
    <d v="2025-08-21T00:00:00"/>
    <s v="C160"/>
    <s v="P044"/>
    <s v="S003"/>
    <n v="1"/>
    <n v="0.1"/>
    <x v="0"/>
    <s v="Meagan Macdonald"/>
    <x v="32"/>
    <x v="0"/>
    <x v="0"/>
    <n v="1286.55"/>
    <n v="1157.895"/>
  </r>
  <r>
    <s v="T00717"/>
    <d v="2024-05-08T00:00:00"/>
    <s v="C047"/>
    <s v="P049"/>
    <s v="S001"/>
    <n v="4"/>
    <n v="0.15"/>
    <x v="1"/>
    <s v="Mary Decker"/>
    <x v="29"/>
    <x v="0"/>
    <x v="3"/>
    <n v="388.26"/>
    <n v="1320.0839999999998"/>
  </r>
  <r>
    <s v="T00718"/>
    <d v="2025-07-25T00:00:00"/>
    <s v="C070"/>
    <s v="P050"/>
    <s v="S004"/>
    <n v="4"/>
    <n v="0.15"/>
    <x v="2"/>
    <s v="Eric Bryan"/>
    <x v="3"/>
    <x v="0"/>
    <x v="1"/>
    <n v="1044.6400000000001"/>
    <n v="3551.7760000000003"/>
  </r>
  <r>
    <s v="T00719"/>
    <d v="2025-07-24T00:00:00"/>
    <s v="C029"/>
    <s v="P038"/>
    <s v="S002"/>
    <n v="1"/>
    <n v="0.05"/>
    <x v="3"/>
    <s v="Tyler Levine"/>
    <x v="41"/>
    <x v="0"/>
    <x v="2"/>
    <n v="366.93"/>
    <n v="348.58350000000002"/>
  </r>
  <r>
    <s v="T00720"/>
    <d v="2025-04-13T00:00:00"/>
    <s v="C107"/>
    <s v="P017"/>
    <s v="S005"/>
    <n v="4"/>
    <n v="0.15"/>
    <x v="2"/>
    <s v="Victoria Hansen"/>
    <x v="43"/>
    <x v="1"/>
    <x v="4"/>
    <n v="1246.1099999999999"/>
    <n v="4236.7739999999994"/>
  </r>
  <r>
    <s v="T00721"/>
    <d v="2024-06-24T00:00:00"/>
    <s v="C157"/>
    <s v="P001"/>
    <s v="S004"/>
    <n v="3"/>
    <n v="0"/>
    <x v="2"/>
    <s v="Connie Terry"/>
    <x v="31"/>
    <x v="1"/>
    <x v="1"/>
    <n v="1673.69"/>
    <n v="5021.07"/>
  </r>
  <r>
    <s v="T00722"/>
    <d v="2025-05-12T00:00:00"/>
    <s v="C124"/>
    <s v="P018"/>
    <s v="S004"/>
    <n v="1"/>
    <n v="0.15"/>
    <x v="1"/>
    <s v="Chad Roberts"/>
    <x v="19"/>
    <x v="1"/>
    <x v="1"/>
    <n v="1079.8900000000001"/>
    <n v="917.90650000000005"/>
  </r>
  <r>
    <s v="T00723"/>
    <d v="2024-07-26T00:00:00"/>
    <s v="C012"/>
    <s v="P015"/>
    <s v="S001"/>
    <n v="3"/>
    <n v="0.1"/>
    <x v="3"/>
    <s v="Dale Perry"/>
    <x v="40"/>
    <x v="0"/>
    <x v="3"/>
    <n v="270.45"/>
    <n v="730.21499999999992"/>
  </r>
  <r>
    <s v="T00724"/>
    <d v="2025-06-14T00:00:00"/>
    <s v="C181"/>
    <s v="P015"/>
    <s v="S005"/>
    <n v="5"/>
    <n v="0.05"/>
    <x v="0"/>
    <s v="Brittany Oneal"/>
    <x v="40"/>
    <x v="0"/>
    <x v="4"/>
    <n v="270.45"/>
    <n v="1284.6375"/>
  </r>
  <r>
    <s v="T00725"/>
    <d v="2024-03-20T00:00:00"/>
    <s v="C133"/>
    <s v="P034"/>
    <s v="S005"/>
    <n v="5"/>
    <n v="0"/>
    <x v="1"/>
    <s v="Yvette Roth"/>
    <x v="12"/>
    <x v="1"/>
    <x v="4"/>
    <n v="428.05"/>
    <n v="2140.25"/>
  </r>
  <r>
    <s v="T00726"/>
    <d v="2024-05-26T00:00:00"/>
    <s v="C170"/>
    <s v="P037"/>
    <s v="S002"/>
    <n v="4"/>
    <n v="0.1"/>
    <x v="1"/>
    <s v="Amber Graham"/>
    <x v="27"/>
    <x v="1"/>
    <x v="2"/>
    <n v="1952.65"/>
    <n v="7029.5400000000009"/>
  </r>
  <r>
    <s v="T00727"/>
    <d v="2023-11-13T00:00:00"/>
    <s v="C039"/>
    <s v="P035"/>
    <s v="S005"/>
    <n v="5"/>
    <n v="0"/>
    <x v="3"/>
    <s v="Nancy Savage"/>
    <x v="7"/>
    <x v="1"/>
    <x v="4"/>
    <n v="1562.43"/>
    <n v="7812.1500000000005"/>
  </r>
  <r>
    <s v="T00728"/>
    <d v="2024-06-30T00:00:00"/>
    <s v="C165"/>
    <s v="P014"/>
    <s v="S002"/>
    <n v="5"/>
    <n v="0.15"/>
    <x v="1"/>
    <s v="Tanya Mueller"/>
    <x v="0"/>
    <x v="0"/>
    <x v="2"/>
    <n v="1342.75"/>
    <n v="5706.6875"/>
  </r>
  <r>
    <s v="T00729"/>
    <d v="2025-04-20T00:00:00"/>
    <s v="C043"/>
    <s v="P019"/>
    <s v="S001"/>
    <n v="4"/>
    <n v="0.1"/>
    <x v="2"/>
    <s v="Kenneth Allen"/>
    <x v="26"/>
    <x v="1"/>
    <x v="3"/>
    <n v="1762.92"/>
    <n v="6346.5120000000006"/>
  </r>
  <r>
    <s v="T00730"/>
    <d v="2024-10-01T00:00:00"/>
    <s v="C085"/>
    <s v="P026"/>
    <s v="S003"/>
    <n v="1"/>
    <n v="0.05"/>
    <x v="1"/>
    <s v="Juan Ramirez"/>
    <x v="15"/>
    <x v="2"/>
    <x v="0"/>
    <n v="1015.76"/>
    <n v="964.97199999999998"/>
  </r>
  <r>
    <s v="T00731"/>
    <d v="2025-04-05T00:00:00"/>
    <s v="C104"/>
    <s v="P019"/>
    <s v="S002"/>
    <n v="1"/>
    <n v="0.15"/>
    <x v="1"/>
    <s v="Brenda Dean"/>
    <x v="26"/>
    <x v="1"/>
    <x v="2"/>
    <n v="1762.92"/>
    <n v="1498.482"/>
  </r>
  <r>
    <s v="T00732"/>
    <d v="2025-07-30T00:00:00"/>
    <s v="C147"/>
    <s v="P004"/>
    <s v="S004"/>
    <n v="1"/>
    <n v="0.15"/>
    <x v="1"/>
    <s v="Crystal Garrison"/>
    <x v="49"/>
    <x v="0"/>
    <x v="1"/>
    <n v="1853.77"/>
    <n v="1575.7045000000001"/>
  </r>
  <r>
    <s v="T00733"/>
    <d v="2024-09-01T00:00:00"/>
    <s v="C081"/>
    <s v="P002"/>
    <s v="S001"/>
    <n v="4"/>
    <n v="0"/>
    <x v="3"/>
    <s v="Sarah Reynolds"/>
    <x v="2"/>
    <x v="1"/>
    <x v="3"/>
    <n v="818.76"/>
    <n v="3275.04"/>
  </r>
  <r>
    <s v="T00734"/>
    <d v="2023-11-19T00:00:00"/>
    <s v="C104"/>
    <s v="P040"/>
    <s v="S004"/>
    <n v="1"/>
    <n v="0"/>
    <x v="3"/>
    <s v="Brenda Dean"/>
    <x v="37"/>
    <x v="1"/>
    <x v="1"/>
    <n v="1745.61"/>
    <n v="1745.61"/>
  </r>
  <r>
    <s v="T00735"/>
    <d v="2025-03-02T00:00:00"/>
    <s v="C155"/>
    <s v="P005"/>
    <s v="S005"/>
    <n v="3"/>
    <n v="0.05"/>
    <x v="1"/>
    <s v="Jill Mcconnell"/>
    <x v="6"/>
    <x v="0"/>
    <x v="4"/>
    <n v="1396.22"/>
    <n v="3979.2269999999999"/>
  </r>
  <r>
    <s v="T00736"/>
    <d v="2025-08-16T00:00:00"/>
    <s v="C088"/>
    <s v="P047"/>
    <s v="S003"/>
    <n v="1"/>
    <n v="0.05"/>
    <x v="1"/>
    <s v="Brenda Costa"/>
    <x v="28"/>
    <x v="1"/>
    <x v="0"/>
    <n v="1197.18"/>
    <n v="1137.3209999999999"/>
  </r>
  <r>
    <s v="T00737"/>
    <d v="2024-01-08T00:00:00"/>
    <s v="C085"/>
    <s v="P016"/>
    <s v="S005"/>
    <n v="5"/>
    <n v="0.15"/>
    <x v="0"/>
    <s v="Juan Ramirez"/>
    <x v="13"/>
    <x v="0"/>
    <x v="4"/>
    <n v="1858.75"/>
    <n v="7899.6875"/>
  </r>
  <r>
    <s v="T00738"/>
    <d v="2024-08-13T00:00:00"/>
    <s v="C184"/>
    <s v="P040"/>
    <s v="S004"/>
    <n v="1"/>
    <n v="0"/>
    <x v="2"/>
    <s v="Daniel Mcintyre"/>
    <x v="37"/>
    <x v="1"/>
    <x v="1"/>
    <n v="1745.61"/>
    <n v="1745.61"/>
  </r>
  <r>
    <s v="T00739"/>
    <d v="2024-11-28T00:00:00"/>
    <s v="C001"/>
    <s v="P005"/>
    <s v="S003"/>
    <n v="3"/>
    <n v="0.1"/>
    <x v="0"/>
    <s v="Michael Davis"/>
    <x v="6"/>
    <x v="0"/>
    <x v="0"/>
    <n v="1396.22"/>
    <n v="3769.7939999999999"/>
  </r>
  <r>
    <s v="T00740"/>
    <d v="2023-10-08T00:00:00"/>
    <s v="C180"/>
    <s v="P037"/>
    <s v="S001"/>
    <n v="1"/>
    <n v="0.05"/>
    <x v="1"/>
    <s v="Nichole Calhoun"/>
    <x v="27"/>
    <x v="1"/>
    <x v="3"/>
    <n v="1952.65"/>
    <n v="1855.0174999999999"/>
  </r>
  <r>
    <s v="T00741"/>
    <d v="2023-10-12T00:00:00"/>
    <s v="C036"/>
    <s v="P049"/>
    <s v="S004"/>
    <n v="1"/>
    <n v="0.1"/>
    <x v="2"/>
    <s v="Michael Cervantes"/>
    <x v="29"/>
    <x v="0"/>
    <x v="1"/>
    <n v="388.26"/>
    <n v="349.43400000000003"/>
  </r>
  <r>
    <s v="T00742"/>
    <d v="2024-05-09T00:00:00"/>
    <s v="C049"/>
    <s v="P017"/>
    <s v="S001"/>
    <n v="4"/>
    <n v="0.05"/>
    <x v="1"/>
    <s v="Antonio Hamilton"/>
    <x v="43"/>
    <x v="1"/>
    <x v="3"/>
    <n v="1246.1099999999999"/>
    <n v="4735.2179999999998"/>
  </r>
  <r>
    <s v="T00743"/>
    <d v="2024-03-19T00:00:00"/>
    <s v="C049"/>
    <s v="P004"/>
    <s v="S003"/>
    <n v="1"/>
    <n v="0.15"/>
    <x v="3"/>
    <s v="Antonio Hamilton"/>
    <x v="49"/>
    <x v="0"/>
    <x v="0"/>
    <n v="1853.77"/>
    <n v="1575.7045000000001"/>
  </r>
  <r>
    <s v="T00744"/>
    <d v="2024-06-12T00:00:00"/>
    <s v="C163"/>
    <s v="P042"/>
    <s v="S005"/>
    <n v="1"/>
    <n v="0.15"/>
    <x v="1"/>
    <s v="Erin Rogers"/>
    <x v="10"/>
    <x v="0"/>
    <x v="4"/>
    <n v="453.62"/>
    <n v="385.577"/>
  </r>
  <r>
    <s v="T00745"/>
    <d v="2024-04-09T00:00:00"/>
    <s v="C169"/>
    <s v="P023"/>
    <s v="S005"/>
    <n v="5"/>
    <n v="0.05"/>
    <x v="1"/>
    <s v="Travis Watson"/>
    <x v="20"/>
    <x v="0"/>
    <x v="4"/>
    <n v="1878.47"/>
    <n v="8922.7325000000001"/>
  </r>
  <r>
    <s v="T00746"/>
    <d v="2025-03-01T00:00:00"/>
    <s v="C002"/>
    <s v="P037"/>
    <s v="S005"/>
    <n v="1"/>
    <n v="0.15"/>
    <x v="1"/>
    <s v="Michael Miller"/>
    <x v="27"/>
    <x v="1"/>
    <x v="4"/>
    <n v="1952.65"/>
    <n v="1659.7525000000001"/>
  </r>
  <r>
    <s v="T00747"/>
    <d v="2023-09-28T00:00:00"/>
    <s v="C131"/>
    <s v="P008"/>
    <s v="S002"/>
    <n v="5"/>
    <n v="0.05"/>
    <x v="2"/>
    <s v="Denise Jackson"/>
    <x v="48"/>
    <x v="0"/>
    <x v="2"/>
    <n v="109.78"/>
    <n v="521.45499999999993"/>
  </r>
  <r>
    <s v="T00748"/>
    <d v="2024-11-12T00:00:00"/>
    <s v="C027"/>
    <s v="P022"/>
    <s v="S004"/>
    <n v="5"/>
    <n v="0.1"/>
    <x v="1"/>
    <s v="Jacqueline Martin"/>
    <x v="9"/>
    <x v="2"/>
    <x v="1"/>
    <n v="25.57"/>
    <n v="115.065"/>
  </r>
  <r>
    <s v="T00749"/>
    <d v="2023-12-07T00:00:00"/>
    <s v="C108"/>
    <s v="P010"/>
    <s v="S005"/>
    <n v="2"/>
    <n v="0.1"/>
    <x v="1"/>
    <s v="Samantha Hill"/>
    <x v="36"/>
    <x v="1"/>
    <x v="4"/>
    <n v="1194.1199999999999"/>
    <n v="2149.4159999999997"/>
  </r>
  <r>
    <s v="T00750"/>
    <d v="2024-12-30T00:00:00"/>
    <s v="C088"/>
    <s v="P004"/>
    <s v="S003"/>
    <n v="4"/>
    <n v="0.05"/>
    <x v="2"/>
    <s v="Brenda Costa"/>
    <x v="49"/>
    <x v="0"/>
    <x v="0"/>
    <n v="1853.77"/>
    <n v="7044.326"/>
  </r>
  <r>
    <s v="T00751"/>
    <d v="2025-05-06T00:00:00"/>
    <s v="C106"/>
    <s v="P009"/>
    <s v="S005"/>
    <n v="5"/>
    <n v="0.1"/>
    <x v="0"/>
    <s v="Kevin Flores"/>
    <x v="5"/>
    <x v="2"/>
    <x v="4"/>
    <n v="123.19"/>
    <n v="554.35500000000002"/>
  </r>
  <r>
    <s v="T00752"/>
    <d v="2025-07-21T00:00:00"/>
    <s v="C183"/>
    <s v="P005"/>
    <s v="S005"/>
    <n v="2"/>
    <n v="0.05"/>
    <x v="2"/>
    <s v="Mary Dawson"/>
    <x v="6"/>
    <x v="0"/>
    <x v="4"/>
    <n v="1396.22"/>
    <n v="2652.8179999999998"/>
  </r>
  <r>
    <s v="T00753"/>
    <d v="2024-02-02T00:00:00"/>
    <s v="C160"/>
    <s v="P020"/>
    <s v="S003"/>
    <n v="3"/>
    <n v="0.05"/>
    <x v="2"/>
    <s v="Meagan Macdonald"/>
    <x v="24"/>
    <x v="0"/>
    <x v="0"/>
    <n v="323.92"/>
    <n v="923.17199999999991"/>
  </r>
  <r>
    <s v="T00754"/>
    <d v="2023-10-05T00:00:00"/>
    <s v="C129"/>
    <s v="P013"/>
    <s v="S005"/>
    <n v="3"/>
    <n v="0"/>
    <x v="0"/>
    <s v="Gary Taylor"/>
    <x v="21"/>
    <x v="0"/>
    <x v="4"/>
    <n v="1134.8"/>
    <n v="3404.3999999999996"/>
  </r>
  <r>
    <s v="T00755"/>
    <d v="2024-11-05T00:00:00"/>
    <s v="C144"/>
    <s v="P025"/>
    <s v="S004"/>
    <n v="5"/>
    <n v="0.15"/>
    <x v="0"/>
    <s v="Betty Johnson"/>
    <x v="33"/>
    <x v="0"/>
    <x v="1"/>
    <n v="429.15"/>
    <n v="1823.8875"/>
  </r>
  <r>
    <s v="T00756"/>
    <d v="2025-06-09T00:00:00"/>
    <s v="C109"/>
    <s v="P040"/>
    <s v="S001"/>
    <n v="5"/>
    <n v="0"/>
    <x v="3"/>
    <s v="Austin Hogan"/>
    <x v="37"/>
    <x v="1"/>
    <x v="3"/>
    <n v="1745.61"/>
    <n v="8728.0499999999993"/>
  </r>
  <r>
    <s v="T00757"/>
    <d v="2023-09-18T00:00:00"/>
    <s v="C098"/>
    <s v="P042"/>
    <s v="S002"/>
    <n v="1"/>
    <n v="0"/>
    <x v="2"/>
    <s v="Lisa Vega"/>
    <x v="10"/>
    <x v="0"/>
    <x v="2"/>
    <n v="453.62"/>
    <n v="453.62"/>
  </r>
  <r>
    <s v="T00758"/>
    <d v="2024-12-29T00:00:00"/>
    <s v="C069"/>
    <s v="P004"/>
    <s v="S002"/>
    <n v="3"/>
    <n v="0.1"/>
    <x v="2"/>
    <s v="Gabriel Daugherty"/>
    <x v="49"/>
    <x v="0"/>
    <x v="2"/>
    <n v="1853.77"/>
    <n v="5005.1790000000001"/>
  </r>
  <r>
    <s v="T00759"/>
    <d v="2023-09-19T00:00:00"/>
    <s v="C016"/>
    <s v="P006"/>
    <s v="S003"/>
    <n v="2"/>
    <n v="0"/>
    <x v="0"/>
    <s v="Miguel Johnson"/>
    <x v="35"/>
    <x v="2"/>
    <x v="0"/>
    <n v="318.05"/>
    <n v="636.1"/>
  </r>
  <r>
    <s v="T00760"/>
    <d v="2025-04-30T00:00:00"/>
    <s v="C116"/>
    <s v="P016"/>
    <s v="S001"/>
    <n v="5"/>
    <n v="0.05"/>
    <x v="1"/>
    <s v="Jamie Webb"/>
    <x v="13"/>
    <x v="0"/>
    <x v="3"/>
    <n v="1858.75"/>
    <n v="8829.0625"/>
  </r>
  <r>
    <s v="T00761"/>
    <d v="2025-04-24T00:00:00"/>
    <s v="C061"/>
    <s v="P008"/>
    <s v="S005"/>
    <n v="3"/>
    <n v="0"/>
    <x v="1"/>
    <s v="Heather Russell"/>
    <x v="48"/>
    <x v="0"/>
    <x v="4"/>
    <n v="109.78"/>
    <n v="329.34000000000003"/>
  </r>
  <r>
    <s v="T00762"/>
    <d v="2023-10-29T00:00:00"/>
    <s v="C100"/>
    <s v="P018"/>
    <s v="S004"/>
    <n v="3"/>
    <n v="0"/>
    <x v="3"/>
    <s v="Sean Hart"/>
    <x v="19"/>
    <x v="1"/>
    <x v="1"/>
    <n v="1079.8900000000001"/>
    <n v="3239.67"/>
  </r>
  <r>
    <s v="T00763"/>
    <d v="2023-09-23T00:00:00"/>
    <s v="C191"/>
    <s v="P022"/>
    <s v="S003"/>
    <n v="2"/>
    <n v="0.15"/>
    <x v="2"/>
    <s v="Karen Quinn"/>
    <x v="9"/>
    <x v="2"/>
    <x v="0"/>
    <n v="25.57"/>
    <n v="43.469000000000001"/>
  </r>
  <r>
    <s v="T00764"/>
    <d v="2025-08-24T00:00:00"/>
    <s v="C163"/>
    <s v="P029"/>
    <s v="S003"/>
    <n v="5"/>
    <n v="0.05"/>
    <x v="2"/>
    <s v="Erin Rogers"/>
    <x v="47"/>
    <x v="0"/>
    <x v="0"/>
    <n v="1485.05"/>
    <n v="7053.9874999999993"/>
  </r>
  <r>
    <s v="T00765"/>
    <d v="2025-04-03T00:00:00"/>
    <s v="C076"/>
    <s v="P046"/>
    <s v="S004"/>
    <n v="2"/>
    <n v="0"/>
    <x v="2"/>
    <s v="Phyllis Durham"/>
    <x v="42"/>
    <x v="0"/>
    <x v="1"/>
    <n v="1165.3699999999999"/>
    <n v="2330.7399999999998"/>
  </r>
  <r>
    <s v="T00766"/>
    <d v="2025-06-20T00:00:00"/>
    <s v="C045"/>
    <s v="P039"/>
    <s v="S005"/>
    <n v="1"/>
    <n v="0.15"/>
    <x v="3"/>
    <s v="Kelly Shaw"/>
    <x v="22"/>
    <x v="0"/>
    <x v="4"/>
    <n v="540.94000000000005"/>
    <n v="459.79900000000004"/>
  </r>
  <r>
    <s v="T00767"/>
    <d v="2025-03-31T00:00:00"/>
    <s v="C110"/>
    <s v="P021"/>
    <s v="S003"/>
    <n v="5"/>
    <n v="0.1"/>
    <x v="2"/>
    <s v="Travis Peters"/>
    <x v="23"/>
    <x v="2"/>
    <x v="0"/>
    <n v="1227.24"/>
    <n v="5522.58"/>
  </r>
  <r>
    <s v="T00768"/>
    <d v="2024-12-13T00:00:00"/>
    <s v="C042"/>
    <s v="P039"/>
    <s v="S005"/>
    <n v="3"/>
    <n v="0"/>
    <x v="0"/>
    <s v="Anna Andrews"/>
    <x v="22"/>
    <x v="0"/>
    <x v="4"/>
    <n v="540.94000000000005"/>
    <n v="1622.8200000000002"/>
  </r>
  <r>
    <s v="T00769"/>
    <d v="2025-07-20T00:00:00"/>
    <s v="C120"/>
    <s v="P007"/>
    <s v="S002"/>
    <n v="1"/>
    <n v="0.05"/>
    <x v="0"/>
    <s v="Curtis Faulkner"/>
    <x v="18"/>
    <x v="1"/>
    <x v="2"/>
    <n v="1474.12"/>
    <n v="1400.4139999999998"/>
  </r>
  <r>
    <s v="T00770"/>
    <d v="2023-12-13T00:00:00"/>
    <s v="C153"/>
    <s v="P050"/>
    <s v="S001"/>
    <n v="5"/>
    <n v="0.1"/>
    <x v="1"/>
    <s v="Nancy Gordon"/>
    <x v="3"/>
    <x v="0"/>
    <x v="3"/>
    <n v="1044.6400000000001"/>
    <n v="4700.880000000001"/>
  </r>
  <r>
    <s v="T00771"/>
    <d v="2024-07-01T00:00:00"/>
    <s v="C147"/>
    <s v="P046"/>
    <s v="S005"/>
    <n v="3"/>
    <n v="0"/>
    <x v="0"/>
    <s v="Crystal Garrison"/>
    <x v="42"/>
    <x v="0"/>
    <x v="4"/>
    <n v="1165.3699999999999"/>
    <n v="3496.1099999999997"/>
  </r>
  <r>
    <s v="T00772"/>
    <d v="2025-09-07T00:00:00"/>
    <s v="C135"/>
    <s v="P040"/>
    <s v="S002"/>
    <n v="2"/>
    <n v="0"/>
    <x v="2"/>
    <s v="Mario Cuevas"/>
    <x v="37"/>
    <x v="1"/>
    <x v="2"/>
    <n v="1745.61"/>
    <n v="3491.22"/>
  </r>
  <r>
    <s v="T00773"/>
    <d v="2023-10-28T00:00:00"/>
    <s v="C107"/>
    <s v="P028"/>
    <s v="S005"/>
    <n v="5"/>
    <n v="0.15"/>
    <x v="3"/>
    <s v="Victoria Hansen"/>
    <x v="25"/>
    <x v="1"/>
    <x v="4"/>
    <n v="673.78"/>
    <n v="2863.5649999999996"/>
  </r>
  <r>
    <s v="T00774"/>
    <d v="2024-02-16T00:00:00"/>
    <s v="C090"/>
    <s v="P013"/>
    <s v="S002"/>
    <n v="2"/>
    <n v="0.1"/>
    <x v="0"/>
    <s v="Carrie Peterson"/>
    <x v="21"/>
    <x v="0"/>
    <x v="2"/>
    <n v="1134.8"/>
    <n v="2042.6399999999999"/>
  </r>
  <r>
    <s v="T00775"/>
    <d v="2024-10-19T00:00:00"/>
    <s v="C093"/>
    <s v="P008"/>
    <s v="S003"/>
    <n v="2"/>
    <n v="0.15"/>
    <x v="3"/>
    <s v="Stanley Brown"/>
    <x v="48"/>
    <x v="0"/>
    <x v="0"/>
    <n v="109.78"/>
    <n v="186.626"/>
  </r>
  <r>
    <s v="T00776"/>
    <d v="2025-03-03T00:00:00"/>
    <s v="C030"/>
    <s v="P022"/>
    <s v="S003"/>
    <n v="4"/>
    <n v="0.05"/>
    <x v="2"/>
    <s v="Lacey Hall"/>
    <x v="9"/>
    <x v="2"/>
    <x v="0"/>
    <n v="25.57"/>
    <n v="97.165999999999997"/>
  </r>
  <r>
    <s v="T00777"/>
    <d v="2024-12-10T00:00:00"/>
    <s v="C011"/>
    <s v="P021"/>
    <s v="S003"/>
    <n v="4"/>
    <n v="0"/>
    <x v="1"/>
    <s v="Haley Williams"/>
    <x v="23"/>
    <x v="2"/>
    <x v="0"/>
    <n v="1227.24"/>
    <n v="4908.96"/>
  </r>
  <r>
    <s v="T00778"/>
    <d v="2024-11-27T00:00:00"/>
    <s v="C066"/>
    <s v="P015"/>
    <s v="S005"/>
    <n v="3"/>
    <n v="0"/>
    <x v="0"/>
    <s v="Jason Jenkins"/>
    <x v="40"/>
    <x v="0"/>
    <x v="4"/>
    <n v="270.45"/>
    <n v="811.34999999999991"/>
  </r>
  <r>
    <s v="T00779"/>
    <d v="2024-08-20T00:00:00"/>
    <s v="C132"/>
    <s v="P010"/>
    <s v="S005"/>
    <n v="4"/>
    <n v="0.15"/>
    <x v="3"/>
    <s v="Jared Ochoa"/>
    <x v="36"/>
    <x v="1"/>
    <x v="4"/>
    <n v="1194.1199999999999"/>
    <n v="4060.0079999999994"/>
  </r>
  <r>
    <s v="T00780"/>
    <d v="2024-12-11T00:00:00"/>
    <s v="C076"/>
    <s v="P022"/>
    <s v="S002"/>
    <n v="3"/>
    <n v="0"/>
    <x v="3"/>
    <s v="Phyllis Durham"/>
    <x v="9"/>
    <x v="2"/>
    <x v="2"/>
    <n v="25.57"/>
    <n v="76.710000000000008"/>
  </r>
  <r>
    <s v="T00781"/>
    <d v="2025-08-02T00:00:00"/>
    <s v="C043"/>
    <s v="P017"/>
    <s v="S005"/>
    <n v="5"/>
    <n v="0"/>
    <x v="3"/>
    <s v="Kenneth Allen"/>
    <x v="43"/>
    <x v="1"/>
    <x v="4"/>
    <n v="1246.1099999999999"/>
    <n v="6230.5499999999993"/>
  </r>
  <r>
    <s v="T00782"/>
    <d v="2025-02-23T00:00:00"/>
    <s v="C054"/>
    <s v="P044"/>
    <s v="S002"/>
    <n v="4"/>
    <n v="0"/>
    <x v="2"/>
    <s v="Crystal Johnson"/>
    <x v="32"/>
    <x v="0"/>
    <x v="2"/>
    <n v="1286.55"/>
    <n v="5146.2"/>
  </r>
  <r>
    <s v="T00783"/>
    <d v="2024-07-09T00:00:00"/>
    <s v="C138"/>
    <s v="P026"/>
    <s v="S004"/>
    <n v="1"/>
    <n v="0.05"/>
    <x v="3"/>
    <s v="Breanna Moore"/>
    <x v="15"/>
    <x v="2"/>
    <x v="1"/>
    <n v="1015.76"/>
    <n v="964.97199999999998"/>
  </r>
  <r>
    <s v="T00784"/>
    <d v="2025-06-27T00:00:00"/>
    <s v="C118"/>
    <s v="P038"/>
    <s v="S003"/>
    <n v="1"/>
    <n v="0"/>
    <x v="3"/>
    <s v="Gina Bradford"/>
    <x v="41"/>
    <x v="0"/>
    <x v="0"/>
    <n v="366.93"/>
    <n v="366.93"/>
  </r>
  <r>
    <s v="T00785"/>
    <d v="2024-05-19T00:00:00"/>
    <s v="C014"/>
    <s v="P008"/>
    <s v="S002"/>
    <n v="3"/>
    <n v="0"/>
    <x v="2"/>
    <s v="Brittany Green"/>
    <x v="48"/>
    <x v="0"/>
    <x v="2"/>
    <n v="109.78"/>
    <n v="329.34000000000003"/>
  </r>
  <r>
    <s v="T00786"/>
    <d v="2024-05-31T00:00:00"/>
    <s v="C067"/>
    <s v="P049"/>
    <s v="S004"/>
    <n v="4"/>
    <n v="0.15"/>
    <x v="1"/>
    <s v="Daniel Maldonado"/>
    <x v="29"/>
    <x v="0"/>
    <x v="1"/>
    <n v="388.26"/>
    <n v="1320.0839999999998"/>
  </r>
  <r>
    <s v="T00787"/>
    <d v="2025-07-08T00:00:00"/>
    <s v="C111"/>
    <s v="P007"/>
    <s v="S003"/>
    <n v="1"/>
    <n v="0.15"/>
    <x v="3"/>
    <s v="Dylan Booker"/>
    <x v="18"/>
    <x v="1"/>
    <x v="0"/>
    <n v="1474.12"/>
    <n v="1253.002"/>
  </r>
  <r>
    <s v="T00788"/>
    <d v="2024-01-30T00:00:00"/>
    <s v="C137"/>
    <s v="P022"/>
    <s v="S001"/>
    <n v="5"/>
    <n v="0"/>
    <x v="3"/>
    <s v="Gary Lopez"/>
    <x v="9"/>
    <x v="2"/>
    <x v="3"/>
    <n v="25.57"/>
    <n v="127.85"/>
  </r>
  <r>
    <s v="T00789"/>
    <d v="2023-12-03T00:00:00"/>
    <s v="C180"/>
    <s v="P030"/>
    <s v="S001"/>
    <n v="3"/>
    <n v="0"/>
    <x v="0"/>
    <s v="Nichole Calhoun"/>
    <x v="1"/>
    <x v="0"/>
    <x v="3"/>
    <n v="29.24"/>
    <n v="87.72"/>
  </r>
  <r>
    <s v="T00790"/>
    <d v="2025-03-28T00:00:00"/>
    <s v="C176"/>
    <s v="P008"/>
    <s v="S003"/>
    <n v="5"/>
    <n v="0"/>
    <x v="0"/>
    <s v="Peter Garcia"/>
    <x v="48"/>
    <x v="0"/>
    <x v="0"/>
    <n v="109.78"/>
    <n v="548.9"/>
  </r>
  <r>
    <s v="T00791"/>
    <d v="2025-03-23T00:00:00"/>
    <s v="C196"/>
    <s v="P050"/>
    <s v="S004"/>
    <n v="4"/>
    <n v="0.15"/>
    <x v="3"/>
    <s v="James Noble"/>
    <x v="3"/>
    <x v="0"/>
    <x v="1"/>
    <n v="1044.6400000000001"/>
    <n v="3551.7760000000003"/>
  </r>
  <r>
    <s v="T00792"/>
    <d v="2024-12-06T00:00:00"/>
    <s v="C122"/>
    <s v="P049"/>
    <s v="S002"/>
    <n v="5"/>
    <n v="0.05"/>
    <x v="2"/>
    <s v="Amy Smith"/>
    <x v="29"/>
    <x v="0"/>
    <x v="2"/>
    <n v="388.26"/>
    <n v="1844.2349999999999"/>
  </r>
  <r>
    <s v="T00793"/>
    <d v="2024-12-05T00:00:00"/>
    <s v="C192"/>
    <s v="P027"/>
    <s v="S004"/>
    <n v="5"/>
    <n v="0.1"/>
    <x v="2"/>
    <s v="James Wilson"/>
    <x v="34"/>
    <x v="1"/>
    <x v="1"/>
    <n v="1272.23"/>
    <n v="5725.0349999999999"/>
  </r>
  <r>
    <s v="T00794"/>
    <d v="2024-09-02T00:00:00"/>
    <s v="C077"/>
    <s v="P015"/>
    <s v="S003"/>
    <n v="1"/>
    <n v="0.05"/>
    <x v="3"/>
    <s v="Matthew Juarez"/>
    <x v="40"/>
    <x v="0"/>
    <x v="0"/>
    <n v="270.45"/>
    <n v="256.92749999999995"/>
  </r>
  <r>
    <s v="T00795"/>
    <d v="2024-03-26T00:00:00"/>
    <s v="C011"/>
    <s v="P049"/>
    <s v="S001"/>
    <n v="5"/>
    <n v="0.15"/>
    <x v="3"/>
    <s v="Haley Williams"/>
    <x v="29"/>
    <x v="0"/>
    <x v="3"/>
    <n v="388.26"/>
    <n v="1650.105"/>
  </r>
  <r>
    <s v="T00796"/>
    <d v="2023-10-03T00:00:00"/>
    <s v="C079"/>
    <s v="P014"/>
    <s v="S002"/>
    <n v="3"/>
    <n v="0.05"/>
    <x v="1"/>
    <s v="Donald Marsh"/>
    <x v="0"/>
    <x v="0"/>
    <x v="2"/>
    <n v="1342.75"/>
    <n v="3826.8374999999996"/>
  </r>
  <r>
    <s v="T00797"/>
    <d v="2023-09-20T00:00:00"/>
    <s v="C166"/>
    <s v="P037"/>
    <s v="S005"/>
    <n v="2"/>
    <n v="0.05"/>
    <x v="2"/>
    <s v="Meagan Ali"/>
    <x v="27"/>
    <x v="1"/>
    <x v="4"/>
    <n v="1952.65"/>
    <n v="3710.0349999999999"/>
  </r>
  <r>
    <s v="T00798"/>
    <d v="2025-07-30T00:00:00"/>
    <s v="C057"/>
    <s v="P005"/>
    <s v="S005"/>
    <n v="3"/>
    <n v="0.05"/>
    <x v="3"/>
    <s v="Julie Gibson"/>
    <x v="6"/>
    <x v="0"/>
    <x v="4"/>
    <n v="1396.22"/>
    <n v="3979.2269999999999"/>
  </r>
  <r>
    <s v="T00799"/>
    <d v="2025-02-04T00:00:00"/>
    <s v="C047"/>
    <s v="P002"/>
    <s v="S005"/>
    <n v="1"/>
    <n v="0.15"/>
    <x v="3"/>
    <s v="Mary Decker"/>
    <x v="2"/>
    <x v="1"/>
    <x v="4"/>
    <n v="818.76"/>
    <n v="695.94600000000003"/>
  </r>
  <r>
    <s v="T00800"/>
    <d v="2024-04-23T00:00:00"/>
    <s v="C075"/>
    <s v="P013"/>
    <s v="S001"/>
    <n v="3"/>
    <n v="0"/>
    <x v="2"/>
    <s v="Seth Moore"/>
    <x v="21"/>
    <x v="0"/>
    <x v="3"/>
    <n v="1134.8"/>
    <n v="3404.3999999999996"/>
  </r>
  <r>
    <s v="T00801"/>
    <d v="2024-02-05T00:00:00"/>
    <s v="C186"/>
    <s v="P029"/>
    <s v="S005"/>
    <n v="4"/>
    <n v="0.1"/>
    <x v="0"/>
    <s v="Vicki Guzman"/>
    <x v="47"/>
    <x v="0"/>
    <x v="4"/>
    <n v="1485.05"/>
    <n v="5346.18"/>
  </r>
  <r>
    <s v="T00802"/>
    <d v="2025-05-06T00:00:00"/>
    <s v="C033"/>
    <s v="P017"/>
    <s v="S002"/>
    <n v="1"/>
    <n v="0.1"/>
    <x v="3"/>
    <s v="Jenny Beck"/>
    <x v="43"/>
    <x v="1"/>
    <x v="2"/>
    <n v="1246.1099999999999"/>
    <n v="1121.499"/>
  </r>
  <r>
    <s v="T00803"/>
    <d v="2023-09-28T00:00:00"/>
    <s v="C050"/>
    <s v="P027"/>
    <s v="S003"/>
    <n v="4"/>
    <n v="0.15"/>
    <x v="0"/>
    <s v="Kelly Mcmillan"/>
    <x v="34"/>
    <x v="1"/>
    <x v="0"/>
    <n v="1272.23"/>
    <n v="4325.5820000000003"/>
  </r>
  <r>
    <s v="T00804"/>
    <d v="2025-06-29T00:00:00"/>
    <s v="C158"/>
    <s v="P027"/>
    <s v="S003"/>
    <n v="5"/>
    <n v="0.05"/>
    <x v="0"/>
    <s v="Crystal Aguirre"/>
    <x v="34"/>
    <x v="1"/>
    <x v="0"/>
    <n v="1272.23"/>
    <n v="6043.0924999999997"/>
  </r>
  <r>
    <s v="T00805"/>
    <d v="2023-10-06T00:00:00"/>
    <s v="C081"/>
    <s v="P048"/>
    <s v="S004"/>
    <n v="2"/>
    <n v="0"/>
    <x v="0"/>
    <s v="Sarah Reynolds"/>
    <x v="11"/>
    <x v="0"/>
    <x v="1"/>
    <n v="1216.3599999999999"/>
    <n v="2432.7199999999998"/>
  </r>
  <r>
    <s v="T00806"/>
    <d v="2025-06-27T00:00:00"/>
    <s v="C064"/>
    <s v="P041"/>
    <s v="S002"/>
    <n v="4"/>
    <n v="0.1"/>
    <x v="0"/>
    <s v="Amanda Hoover"/>
    <x v="30"/>
    <x v="1"/>
    <x v="2"/>
    <n v="1635.01"/>
    <n v="5886.0360000000001"/>
  </r>
  <r>
    <s v="T00807"/>
    <d v="2024-11-04T00:00:00"/>
    <s v="C035"/>
    <s v="P050"/>
    <s v="S003"/>
    <n v="4"/>
    <n v="0.15"/>
    <x v="1"/>
    <s v="Kimberly King"/>
    <x v="3"/>
    <x v="0"/>
    <x v="0"/>
    <n v="1044.6400000000001"/>
    <n v="3551.7760000000003"/>
  </r>
  <r>
    <s v="T00808"/>
    <d v="2024-03-18T00:00:00"/>
    <s v="C092"/>
    <s v="P006"/>
    <s v="S003"/>
    <n v="4"/>
    <n v="0"/>
    <x v="2"/>
    <s v="Lindsey Holder"/>
    <x v="35"/>
    <x v="2"/>
    <x v="0"/>
    <n v="318.05"/>
    <n v="1272.2"/>
  </r>
  <r>
    <s v="T00809"/>
    <d v="2025-06-11T00:00:00"/>
    <s v="C166"/>
    <s v="P041"/>
    <s v="S005"/>
    <n v="1"/>
    <n v="0.1"/>
    <x v="2"/>
    <s v="Meagan Ali"/>
    <x v="30"/>
    <x v="1"/>
    <x v="4"/>
    <n v="1635.01"/>
    <n v="1471.509"/>
  </r>
  <r>
    <s v="T00810"/>
    <d v="2025-04-02T00:00:00"/>
    <s v="C138"/>
    <s v="P008"/>
    <s v="S002"/>
    <n v="3"/>
    <n v="0"/>
    <x v="3"/>
    <s v="Breanna Moore"/>
    <x v="48"/>
    <x v="0"/>
    <x v="2"/>
    <n v="109.78"/>
    <n v="329.34000000000003"/>
  </r>
  <r>
    <s v="T00811"/>
    <d v="2024-10-06T00:00:00"/>
    <s v="C005"/>
    <s v="P032"/>
    <s v="S005"/>
    <n v="1"/>
    <n v="0.15"/>
    <x v="2"/>
    <s v="Jamie Salinas"/>
    <x v="44"/>
    <x v="2"/>
    <x v="4"/>
    <n v="304.70999999999998"/>
    <n v="259.00349999999997"/>
  </r>
  <r>
    <s v="T00812"/>
    <d v="2024-05-01T00:00:00"/>
    <s v="C010"/>
    <s v="P020"/>
    <s v="S005"/>
    <n v="3"/>
    <n v="0.15"/>
    <x v="2"/>
    <s v="Catherine Rice"/>
    <x v="24"/>
    <x v="0"/>
    <x v="4"/>
    <n v="323.92"/>
    <n v="825.99599999999998"/>
  </r>
  <r>
    <s v="T00813"/>
    <d v="2023-12-29T00:00:00"/>
    <s v="C094"/>
    <s v="P035"/>
    <s v="S004"/>
    <n v="2"/>
    <n v="0.1"/>
    <x v="2"/>
    <s v="Kimberly Stokes"/>
    <x v="7"/>
    <x v="1"/>
    <x v="1"/>
    <n v="1562.43"/>
    <n v="2812.3740000000003"/>
  </r>
  <r>
    <s v="T00814"/>
    <d v="2024-02-13T00:00:00"/>
    <s v="C119"/>
    <s v="P040"/>
    <s v="S005"/>
    <n v="5"/>
    <n v="0"/>
    <x v="1"/>
    <s v="Jason Lloyd"/>
    <x v="37"/>
    <x v="1"/>
    <x v="4"/>
    <n v="1745.61"/>
    <n v="8728.0499999999993"/>
  </r>
  <r>
    <s v="T00815"/>
    <d v="2025-01-16T00:00:00"/>
    <s v="C094"/>
    <s v="P004"/>
    <s v="S005"/>
    <n v="1"/>
    <n v="0.05"/>
    <x v="2"/>
    <s v="Kimberly Stokes"/>
    <x v="49"/>
    <x v="0"/>
    <x v="4"/>
    <n v="1853.77"/>
    <n v="1761.0815"/>
  </r>
  <r>
    <s v="T00816"/>
    <d v="2024-08-13T00:00:00"/>
    <s v="C194"/>
    <s v="P016"/>
    <s v="S005"/>
    <n v="2"/>
    <n v="0.15"/>
    <x v="2"/>
    <s v="Ann West"/>
    <x v="13"/>
    <x v="0"/>
    <x v="4"/>
    <n v="1858.75"/>
    <n v="3159.875"/>
  </r>
  <r>
    <s v="T00817"/>
    <d v="2025-05-12T00:00:00"/>
    <s v="C046"/>
    <s v="P005"/>
    <s v="S005"/>
    <n v="5"/>
    <n v="0.05"/>
    <x v="1"/>
    <s v="Dennis Poole"/>
    <x v="6"/>
    <x v="0"/>
    <x v="4"/>
    <n v="1396.22"/>
    <n v="6632.0450000000001"/>
  </r>
  <r>
    <s v="T00818"/>
    <d v="2024-11-08T00:00:00"/>
    <s v="C092"/>
    <s v="P001"/>
    <s v="S001"/>
    <n v="2"/>
    <n v="0.15"/>
    <x v="2"/>
    <s v="Lindsey Holder"/>
    <x v="31"/>
    <x v="1"/>
    <x v="3"/>
    <n v="1673.69"/>
    <n v="2845.2730000000001"/>
  </r>
  <r>
    <s v="T00819"/>
    <d v="2025-08-24T00:00:00"/>
    <s v="C017"/>
    <s v="P025"/>
    <s v="S003"/>
    <n v="3"/>
    <n v="0.05"/>
    <x v="3"/>
    <s v="Vanessa Anderson"/>
    <x v="33"/>
    <x v="0"/>
    <x v="0"/>
    <n v="429.15"/>
    <n v="1223.0774999999999"/>
  </r>
  <r>
    <s v="T00820"/>
    <d v="2025-03-01T00:00:00"/>
    <s v="C172"/>
    <s v="P046"/>
    <s v="S002"/>
    <n v="5"/>
    <n v="0.1"/>
    <x v="1"/>
    <s v="Michelle Smith"/>
    <x v="42"/>
    <x v="0"/>
    <x v="2"/>
    <n v="1165.3699999999999"/>
    <n v="5244.165"/>
  </r>
  <r>
    <s v="T00821"/>
    <d v="2024-07-07T00:00:00"/>
    <s v="C121"/>
    <s v="P006"/>
    <s v="S004"/>
    <n v="1"/>
    <n v="0"/>
    <x v="0"/>
    <s v="John Bell"/>
    <x v="35"/>
    <x v="2"/>
    <x v="1"/>
    <n v="318.05"/>
    <n v="318.05"/>
  </r>
  <r>
    <s v="T00822"/>
    <d v="2025-01-04T00:00:00"/>
    <s v="C027"/>
    <s v="P015"/>
    <s v="S005"/>
    <n v="3"/>
    <n v="0.1"/>
    <x v="2"/>
    <s v="Jacqueline Martin"/>
    <x v="40"/>
    <x v="0"/>
    <x v="4"/>
    <n v="270.45"/>
    <n v="730.21499999999992"/>
  </r>
  <r>
    <s v="T00823"/>
    <d v="2025-03-23T00:00:00"/>
    <s v="C097"/>
    <s v="P006"/>
    <s v="S004"/>
    <n v="3"/>
    <n v="0"/>
    <x v="0"/>
    <s v="Evelyn Gray"/>
    <x v="35"/>
    <x v="2"/>
    <x v="1"/>
    <n v="318.05"/>
    <n v="954.15000000000009"/>
  </r>
  <r>
    <s v="T00824"/>
    <d v="2025-06-01T00:00:00"/>
    <s v="C097"/>
    <s v="P001"/>
    <s v="S002"/>
    <n v="5"/>
    <n v="0.15"/>
    <x v="0"/>
    <s v="Evelyn Gray"/>
    <x v="31"/>
    <x v="1"/>
    <x v="2"/>
    <n v="1673.69"/>
    <n v="7113.1825000000008"/>
  </r>
  <r>
    <s v="T00825"/>
    <d v="2024-02-24T00:00:00"/>
    <s v="C089"/>
    <s v="P011"/>
    <s v="S004"/>
    <n v="4"/>
    <n v="0"/>
    <x v="2"/>
    <s v="William Warner"/>
    <x v="17"/>
    <x v="1"/>
    <x v="1"/>
    <n v="248.57"/>
    <n v="994.28"/>
  </r>
  <r>
    <s v="T00826"/>
    <d v="2023-11-15T00:00:00"/>
    <s v="C113"/>
    <s v="P038"/>
    <s v="S002"/>
    <n v="2"/>
    <n v="0"/>
    <x v="0"/>
    <s v="Heidi Wilson"/>
    <x v="41"/>
    <x v="0"/>
    <x v="2"/>
    <n v="366.93"/>
    <n v="733.86"/>
  </r>
  <r>
    <s v="T00827"/>
    <d v="2025-02-25T00:00:00"/>
    <s v="C055"/>
    <s v="P026"/>
    <s v="S002"/>
    <n v="2"/>
    <n v="0.05"/>
    <x v="0"/>
    <s v="Deborah Moody"/>
    <x v="15"/>
    <x v="2"/>
    <x v="2"/>
    <n v="1015.76"/>
    <n v="1929.944"/>
  </r>
  <r>
    <s v="T00828"/>
    <d v="2024-09-03T00:00:00"/>
    <s v="C155"/>
    <s v="P019"/>
    <s v="S001"/>
    <n v="2"/>
    <n v="0.15"/>
    <x v="0"/>
    <s v="Jill Mcconnell"/>
    <x v="26"/>
    <x v="1"/>
    <x v="3"/>
    <n v="1762.92"/>
    <n v="2996.9639999999999"/>
  </r>
  <r>
    <s v="T00829"/>
    <d v="2023-12-11T00:00:00"/>
    <s v="C185"/>
    <s v="P021"/>
    <s v="S001"/>
    <n v="4"/>
    <n v="0.15"/>
    <x v="1"/>
    <s v="Joe Vincent"/>
    <x v="23"/>
    <x v="2"/>
    <x v="3"/>
    <n v="1227.24"/>
    <n v="4172.616"/>
  </r>
  <r>
    <s v="T00830"/>
    <d v="2024-03-19T00:00:00"/>
    <s v="C054"/>
    <s v="P008"/>
    <s v="S005"/>
    <n v="2"/>
    <n v="0.15"/>
    <x v="3"/>
    <s v="Crystal Johnson"/>
    <x v="48"/>
    <x v="0"/>
    <x v="4"/>
    <n v="109.78"/>
    <n v="186.626"/>
  </r>
  <r>
    <s v="T00831"/>
    <d v="2023-11-07T00:00:00"/>
    <s v="C063"/>
    <s v="P005"/>
    <s v="S001"/>
    <n v="2"/>
    <n v="0.05"/>
    <x v="2"/>
    <s v="Michael Johnson"/>
    <x v="6"/>
    <x v="0"/>
    <x v="3"/>
    <n v="1396.22"/>
    <n v="2652.8179999999998"/>
  </r>
  <r>
    <s v="T00832"/>
    <d v="2025-04-26T00:00:00"/>
    <s v="C162"/>
    <s v="P049"/>
    <s v="S005"/>
    <n v="1"/>
    <n v="0.05"/>
    <x v="3"/>
    <s v="Jill Roach"/>
    <x v="29"/>
    <x v="0"/>
    <x v="4"/>
    <n v="388.26"/>
    <n v="368.84699999999998"/>
  </r>
  <r>
    <s v="T00833"/>
    <d v="2024-10-16T00:00:00"/>
    <s v="C043"/>
    <s v="P038"/>
    <s v="S003"/>
    <n v="2"/>
    <n v="0.15"/>
    <x v="3"/>
    <s v="Kenneth Allen"/>
    <x v="41"/>
    <x v="0"/>
    <x v="0"/>
    <n v="366.93"/>
    <n v="623.78099999999995"/>
  </r>
  <r>
    <s v="T00834"/>
    <d v="2025-07-06T00:00:00"/>
    <s v="C185"/>
    <s v="P010"/>
    <s v="S003"/>
    <n v="1"/>
    <n v="0.05"/>
    <x v="1"/>
    <s v="Joe Vincent"/>
    <x v="36"/>
    <x v="1"/>
    <x v="0"/>
    <n v="1194.1199999999999"/>
    <n v="1134.4139999999998"/>
  </r>
  <r>
    <s v="T00835"/>
    <d v="2025-01-09T00:00:00"/>
    <s v="C156"/>
    <s v="P044"/>
    <s v="S004"/>
    <n v="4"/>
    <n v="0.05"/>
    <x v="2"/>
    <s v="George Young"/>
    <x v="32"/>
    <x v="0"/>
    <x v="1"/>
    <n v="1286.55"/>
    <n v="4888.8899999999994"/>
  </r>
  <r>
    <s v="T00836"/>
    <d v="2025-07-22T00:00:00"/>
    <s v="C106"/>
    <s v="P044"/>
    <s v="S005"/>
    <n v="2"/>
    <n v="0.05"/>
    <x v="0"/>
    <s v="Kevin Flores"/>
    <x v="32"/>
    <x v="0"/>
    <x v="4"/>
    <n v="1286.55"/>
    <n v="2444.4449999999997"/>
  </r>
  <r>
    <s v="T00837"/>
    <d v="2024-08-30T00:00:00"/>
    <s v="C043"/>
    <s v="P025"/>
    <s v="S003"/>
    <n v="4"/>
    <n v="0"/>
    <x v="2"/>
    <s v="Kenneth Allen"/>
    <x v="33"/>
    <x v="0"/>
    <x v="0"/>
    <n v="429.15"/>
    <n v="1716.6"/>
  </r>
  <r>
    <s v="T00838"/>
    <d v="2024-08-05T00:00:00"/>
    <s v="C097"/>
    <s v="P025"/>
    <s v="S004"/>
    <n v="2"/>
    <n v="0"/>
    <x v="3"/>
    <s v="Evelyn Gray"/>
    <x v="33"/>
    <x v="0"/>
    <x v="1"/>
    <n v="429.15"/>
    <n v="858.3"/>
  </r>
  <r>
    <s v="T00839"/>
    <d v="2024-09-11T00:00:00"/>
    <s v="C052"/>
    <s v="P011"/>
    <s v="S005"/>
    <n v="5"/>
    <n v="0.15"/>
    <x v="2"/>
    <s v="Billy Hernandez"/>
    <x v="17"/>
    <x v="1"/>
    <x v="4"/>
    <n v="248.57"/>
    <n v="1056.4224999999999"/>
  </r>
  <r>
    <s v="T00840"/>
    <d v="2024-07-24T00:00:00"/>
    <s v="C156"/>
    <s v="P025"/>
    <s v="S001"/>
    <n v="2"/>
    <n v="0.15"/>
    <x v="3"/>
    <s v="George Young"/>
    <x v="33"/>
    <x v="0"/>
    <x v="3"/>
    <n v="429.15"/>
    <n v="729.55499999999995"/>
  </r>
  <r>
    <s v="T00841"/>
    <d v="2024-10-25T00:00:00"/>
    <s v="C137"/>
    <s v="P038"/>
    <s v="S005"/>
    <n v="1"/>
    <n v="0"/>
    <x v="1"/>
    <s v="Gary Lopez"/>
    <x v="41"/>
    <x v="0"/>
    <x v="4"/>
    <n v="366.93"/>
    <n v="366.93"/>
  </r>
  <r>
    <s v="T00842"/>
    <d v="2025-08-16T00:00:00"/>
    <s v="C169"/>
    <s v="P010"/>
    <s v="S002"/>
    <n v="5"/>
    <n v="0"/>
    <x v="1"/>
    <s v="Travis Watson"/>
    <x v="36"/>
    <x v="1"/>
    <x v="2"/>
    <n v="1194.1199999999999"/>
    <n v="5970.5999999999995"/>
  </r>
  <r>
    <s v="T00843"/>
    <d v="2025-08-06T00:00:00"/>
    <s v="C134"/>
    <s v="P023"/>
    <s v="S004"/>
    <n v="3"/>
    <n v="0"/>
    <x v="1"/>
    <s v="Emily Hart"/>
    <x v="20"/>
    <x v="0"/>
    <x v="1"/>
    <n v="1878.47"/>
    <n v="5635.41"/>
  </r>
  <r>
    <s v="T00844"/>
    <d v="2023-10-04T00:00:00"/>
    <s v="C059"/>
    <s v="P005"/>
    <s v="S004"/>
    <n v="4"/>
    <n v="0.1"/>
    <x v="3"/>
    <s v="Scott Wyatt"/>
    <x v="6"/>
    <x v="0"/>
    <x v="1"/>
    <n v="1396.22"/>
    <n v="5026.3919999999998"/>
  </r>
  <r>
    <s v="T00845"/>
    <d v="2024-08-17T00:00:00"/>
    <s v="C109"/>
    <s v="P033"/>
    <s v="S002"/>
    <n v="3"/>
    <n v="0.15"/>
    <x v="2"/>
    <s v="Austin Hogan"/>
    <x v="16"/>
    <x v="0"/>
    <x v="2"/>
    <n v="1798.97"/>
    <n v="4587.3734999999997"/>
  </r>
  <r>
    <s v="T00846"/>
    <d v="2024-08-11T00:00:00"/>
    <s v="C022"/>
    <s v="P036"/>
    <s v="S003"/>
    <n v="5"/>
    <n v="0.15"/>
    <x v="0"/>
    <s v="Megan Velasquez"/>
    <x v="4"/>
    <x v="0"/>
    <x v="0"/>
    <n v="1501.46"/>
    <n v="6381.2049999999999"/>
  </r>
  <r>
    <s v="T00847"/>
    <d v="2024-09-16T00:00:00"/>
    <s v="C049"/>
    <s v="P022"/>
    <s v="S001"/>
    <n v="1"/>
    <n v="0"/>
    <x v="3"/>
    <s v="Antonio Hamilton"/>
    <x v="9"/>
    <x v="2"/>
    <x v="3"/>
    <n v="25.57"/>
    <n v="25.57"/>
  </r>
  <r>
    <s v="T00848"/>
    <d v="2024-05-01T00:00:00"/>
    <s v="C097"/>
    <s v="P002"/>
    <s v="S002"/>
    <n v="3"/>
    <n v="0.15"/>
    <x v="0"/>
    <s v="Evelyn Gray"/>
    <x v="2"/>
    <x v="1"/>
    <x v="2"/>
    <n v="818.76"/>
    <n v="2087.8379999999997"/>
  </r>
  <r>
    <s v="T00849"/>
    <d v="2025-05-30T00:00:00"/>
    <s v="C028"/>
    <s v="P005"/>
    <s v="S002"/>
    <n v="4"/>
    <n v="0.1"/>
    <x v="0"/>
    <s v="John Carr"/>
    <x v="6"/>
    <x v="0"/>
    <x v="2"/>
    <n v="1396.22"/>
    <n v="5026.3919999999998"/>
  </r>
  <r>
    <s v="T00850"/>
    <d v="2025-08-03T00:00:00"/>
    <s v="C138"/>
    <s v="P045"/>
    <s v="S004"/>
    <n v="5"/>
    <n v="0.1"/>
    <x v="0"/>
    <s v="Breanna Moore"/>
    <x v="8"/>
    <x v="2"/>
    <x v="1"/>
    <n v="1879.08"/>
    <n v="8455.86"/>
  </r>
  <r>
    <s v="T00851"/>
    <d v="2024-07-16T00:00:00"/>
    <s v="C175"/>
    <s v="P040"/>
    <s v="S004"/>
    <n v="2"/>
    <n v="0.15"/>
    <x v="1"/>
    <s v="Stacey Thompson"/>
    <x v="37"/>
    <x v="1"/>
    <x v="1"/>
    <n v="1745.61"/>
    <n v="2967.5369999999998"/>
  </r>
  <r>
    <s v="T00852"/>
    <d v="2024-04-01T00:00:00"/>
    <s v="C046"/>
    <s v="P048"/>
    <s v="S003"/>
    <n v="5"/>
    <n v="0.15"/>
    <x v="0"/>
    <s v="Dennis Poole"/>
    <x v="11"/>
    <x v="0"/>
    <x v="0"/>
    <n v="1216.3599999999999"/>
    <n v="5169.5299999999988"/>
  </r>
  <r>
    <s v="T00853"/>
    <d v="2024-11-05T00:00:00"/>
    <s v="C079"/>
    <s v="P003"/>
    <s v="S005"/>
    <n v="3"/>
    <n v="0.15"/>
    <x v="2"/>
    <s v="Donald Marsh"/>
    <x v="46"/>
    <x v="0"/>
    <x v="4"/>
    <n v="337.63"/>
    <n v="860.95650000000001"/>
  </r>
  <r>
    <s v="T00854"/>
    <d v="2024-08-30T00:00:00"/>
    <s v="C169"/>
    <s v="P009"/>
    <s v="S001"/>
    <n v="2"/>
    <n v="0.15"/>
    <x v="2"/>
    <s v="Travis Watson"/>
    <x v="5"/>
    <x v="2"/>
    <x v="3"/>
    <n v="123.19"/>
    <n v="209.423"/>
  </r>
  <r>
    <s v="T00855"/>
    <d v="2023-11-14T00:00:00"/>
    <s v="C026"/>
    <s v="P012"/>
    <s v="S002"/>
    <n v="5"/>
    <n v="0.15"/>
    <x v="0"/>
    <s v="Justin Macdonald"/>
    <x v="38"/>
    <x v="1"/>
    <x v="2"/>
    <n v="1193.0899999999999"/>
    <n v="5070.6324999999997"/>
  </r>
  <r>
    <s v="T00856"/>
    <d v="2024-07-03T00:00:00"/>
    <s v="C141"/>
    <s v="P039"/>
    <s v="S005"/>
    <n v="1"/>
    <n v="0.05"/>
    <x v="1"/>
    <s v="Adam Lucas"/>
    <x v="22"/>
    <x v="0"/>
    <x v="4"/>
    <n v="540.94000000000005"/>
    <n v="513.89300000000003"/>
  </r>
  <r>
    <s v="T00857"/>
    <d v="2025-01-03T00:00:00"/>
    <s v="C163"/>
    <s v="P022"/>
    <s v="S001"/>
    <n v="1"/>
    <n v="0.05"/>
    <x v="1"/>
    <s v="Erin Rogers"/>
    <x v="9"/>
    <x v="2"/>
    <x v="3"/>
    <n v="25.57"/>
    <n v="24.291499999999999"/>
  </r>
  <r>
    <s v="T00858"/>
    <d v="2025-04-16T00:00:00"/>
    <s v="C154"/>
    <s v="P031"/>
    <s v="S004"/>
    <n v="1"/>
    <n v="0"/>
    <x v="0"/>
    <s v="Lisa Martinez"/>
    <x v="39"/>
    <x v="2"/>
    <x v="1"/>
    <n v="1095.72"/>
    <n v="1095.72"/>
  </r>
  <r>
    <s v="T00859"/>
    <d v="2024-03-06T00:00:00"/>
    <s v="C057"/>
    <s v="P004"/>
    <s v="S003"/>
    <n v="1"/>
    <n v="0"/>
    <x v="1"/>
    <s v="Julie Gibson"/>
    <x v="49"/>
    <x v="0"/>
    <x v="0"/>
    <n v="1853.77"/>
    <n v="1853.77"/>
  </r>
  <r>
    <s v="T00860"/>
    <d v="2024-08-23T00:00:00"/>
    <s v="C103"/>
    <s v="P013"/>
    <s v="S005"/>
    <n v="5"/>
    <n v="0.1"/>
    <x v="3"/>
    <s v="David Burns"/>
    <x v="21"/>
    <x v="0"/>
    <x v="4"/>
    <n v="1134.8"/>
    <n v="5106.6000000000004"/>
  </r>
  <r>
    <s v="T00861"/>
    <d v="2025-07-24T00:00:00"/>
    <s v="C199"/>
    <s v="P043"/>
    <s v="S002"/>
    <n v="4"/>
    <n v="0.15"/>
    <x v="3"/>
    <s v="Juan Johnson"/>
    <x v="45"/>
    <x v="0"/>
    <x v="2"/>
    <n v="564.41999999999996"/>
    <n v="1919.0279999999998"/>
  </r>
  <r>
    <s v="T00862"/>
    <d v="2024-10-28T00:00:00"/>
    <s v="C052"/>
    <s v="P003"/>
    <s v="S005"/>
    <n v="3"/>
    <n v="0.05"/>
    <x v="3"/>
    <s v="Billy Hernandez"/>
    <x v="46"/>
    <x v="0"/>
    <x v="4"/>
    <n v="337.63"/>
    <n v="962.24549999999999"/>
  </r>
  <r>
    <s v="T00863"/>
    <d v="2025-03-29T00:00:00"/>
    <s v="C154"/>
    <s v="P045"/>
    <s v="S005"/>
    <n v="5"/>
    <n v="0.05"/>
    <x v="2"/>
    <s v="Lisa Martinez"/>
    <x v="8"/>
    <x v="2"/>
    <x v="4"/>
    <n v="1879.08"/>
    <n v="8925.6299999999992"/>
  </r>
  <r>
    <s v="T00864"/>
    <d v="2024-02-12T00:00:00"/>
    <s v="C173"/>
    <s v="P005"/>
    <s v="S001"/>
    <n v="3"/>
    <n v="0.05"/>
    <x v="3"/>
    <s v="Lisa Ruiz"/>
    <x v="6"/>
    <x v="0"/>
    <x v="3"/>
    <n v="1396.22"/>
    <n v="3979.2269999999999"/>
  </r>
  <r>
    <s v="T00865"/>
    <d v="2023-11-19T00:00:00"/>
    <s v="C041"/>
    <s v="P037"/>
    <s v="S001"/>
    <n v="3"/>
    <n v="0.15"/>
    <x v="0"/>
    <s v="Melissa Rodgers"/>
    <x v="27"/>
    <x v="1"/>
    <x v="3"/>
    <n v="1952.65"/>
    <n v="4979.2575000000006"/>
  </r>
  <r>
    <s v="T00866"/>
    <d v="2025-04-11T00:00:00"/>
    <s v="C172"/>
    <s v="P002"/>
    <s v="S004"/>
    <n v="4"/>
    <n v="0.05"/>
    <x v="3"/>
    <s v="Michelle Smith"/>
    <x v="2"/>
    <x v="1"/>
    <x v="1"/>
    <n v="818.76"/>
    <n v="3111.288"/>
  </r>
  <r>
    <s v="T00867"/>
    <d v="2024-06-01T00:00:00"/>
    <s v="C189"/>
    <s v="P043"/>
    <s v="S001"/>
    <n v="1"/>
    <n v="0.1"/>
    <x v="0"/>
    <s v="Steve Flynn"/>
    <x v="45"/>
    <x v="0"/>
    <x v="3"/>
    <n v="564.41999999999996"/>
    <n v="507.97799999999995"/>
  </r>
  <r>
    <s v="T00868"/>
    <d v="2024-09-09T00:00:00"/>
    <s v="C089"/>
    <s v="P025"/>
    <s v="S003"/>
    <n v="2"/>
    <n v="0.05"/>
    <x v="1"/>
    <s v="William Warner"/>
    <x v="33"/>
    <x v="0"/>
    <x v="0"/>
    <n v="429.15"/>
    <n v="815.38499999999988"/>
  </r>
  <r>
    <s v="T00869"/>
    <d v="2024-12-08T00:00:00"/>
    <s v="C104"/>
    <s v="P011"/>
    <s v="S005"/>
    <n v="1"/>
    <n v="0.1"/>
    <x v="2"/>
    <s v="Brenda Dean"/>
    <x v="17"/>
    <x v="1"/>
    <x v="4"/>
    <n v="248.57"/>
    <n v="223.71299999999999"/>
  </r>
  <r>
    <s v="T00870"/>
    <d v="2023-10-07T00:00:00"/>
    <s v="C105"/>
    <s v="P012"/>
    <s v="S005"/>
    <n v="1"/>
    <n v="0"/>
    <x v="0"/>
    <s v="Kenneth Berg"/>
    <x v="38"/>
    <x v="1"/>
    <x v="4"/>
    <n v="1193.0899999999999"/>
    <n v="1193.0899999999999"/>
  </r>
  <r>
    <s v="T00871"/>
    <d v="2024-11-21T00:00:00"/>
    <s v="C088"/>
    <s v="P038"/>
    <s v="S001"/>
    <n v="5"/>
    <n v="0.1"/>
    <x v="0"/>
    <s v="Brenda Costa"/>
    <x v="41"/>
    <x v="0"/>
    <x v="3"/>
    <n v="366.93"/>
    <n v="1651.1850000000002"/>
  </r>
  <r>
    <s v="T00872"/>
    <d v="2025-07-20T00:00:00"/>
    <s v="C178"/>
    <s v="P041"/>
    <s v="S004"/>
    <n v="4"/>
    <n v="0.15"/>
    <x v="2"/>
    <s v="Mark Mcdonald"/>
    <x v="30"/>
    <x v="1"/>
    <x v="1"/>
    <n v="1635.01"/>
    <n v="5559.0339999999997"/>
  </r>
  <r>
    <s v="T00873"/>
    <d v="2024-09-28T00:00:00"/>
    <s v="C194"/>
    <s v="P047"/>
    <s v="S003"/>
    <n v="4"/>
    <n v="0.15"/>
    <x v="3"/>
    <s v="Ann West"/>
    <x v="28"/>
    <x v="1"/>
    <x v="0"/>
    <n v="1197.18"/>
    <n v="4070.4120000000003"/>
  </r>
  <r>
    <s v="T00874"/>
    <d v="2024-10-05T00:00:00"/>
    <s v="C124"/>
    <s v="P040"/>
    <s v="S001"/>
    <n v="3"/>
    <n v="0"/>
    <x v="1"/>
    <s v="Chad Roberts"/>
    <x v="37"/>
    <x v="1"/>
    <x v="3"/>
    <n v="1745.61"/>
    <n v="5236.83"/>
  </r>
  <r>
    <s v="T00875"/>
    <d v="2024-11-30T00:00:00"/>
    <s v="C163"/>
    <s v="P022"/>
    <s v="S002"/>
    <n v="2"/>
    <n v="0.1"/>
    <x v="1"/>
    <s v="Erin Rogers"/>
    <x v="9"/>
    <x v="2"/>
    <x v="2"/>
    <n v="25.57"/>
    <n v="46.026000000000003"/>
  </r>
  <r>
    <s v="T00876"/>
    <d v="2024-05-23T00:00:00"/>
    <s v="C091"/>
    <s v="P048"/>
    <s v="S005"/>
    <n v="5"/>
    <n v="0"/>
    <x v="0"/>
    <s v="Brian Fowler"/>
    <x v="11"/>
    <x v="0"/>
    <x v="4"/>
    <n v="1216.3599999999999"/>
    <n v="6081.7999999999993"/>
  </r>
  <r>
    <s v="T00877"/>
    <d v="2023-11-16T00:00:00"/>
    <s v="C064"/>
    <s v="P014"/>
    <s v="S003"/>
    <n v="1"/>
    <n v="0.15"/>
    <x v="0"/>
    <s v="Amanda Hoover"/>
    <x v="0"/>
    <x v="0"/>
    <x v="0"/>
    <n v="1342.75"/>
    <n v="1141.3374999999999"/>
  </r>
  <r>
    <s v="T00878"/>
    <d v="2023-12-27T00:00:00"/>
    <s v="C020"/>
    <s v="P018"/>
    <s v="S005"/>
    <n v="2"/>
    <n v="0.15"/>
    <x v="0"/>
    <s v="Ryan Cole"/>
    <x v="19"/>
    <x v="1"/>
    <x v="4"/>
    <n v="1079.8900000000001"/>
    <n v="1835.8130000000001"/>
  </r>
  <r>
    <s v="T00879"/>
    <d v="2024-09-05T00:00:00"/>
    <s v="C091"/>
    <s v="P049"/>
    <s v="S002"/>
    <n v="5"/>
    <n v="0.1"/>
    <x v="2"/>
    <s v="Brian Fowler"/>
    <x v="29"/>
    <x v="0"/>
    <x v="2"/>
    <n v="388.26"/>
    <n v="1747.17"/>
  </r>
  <r>
    <s v="T00880"/>
    <d v="2024-01-18T00:00:00"/>
    <s v="C192"/>
    <s v="P043"/>
    <s v="S002"/>
    <n v="4"/>
    <n v="0.05"/>
    <x v="2"/>
    <s v="James Wilson"/>
    <x v="45"/>
    <x v="0"/>
    <x v="2"/>
    <n v="564.41999999999996"/>
    <n v="2144.7959999999998"/>
  </r>
  <r>
    <s v="T00881"/>
    <d v="2024-08-16T00:00:00"/>
    <s v="C189"/>
    <s v="P030"/>
    <s v="S002"/>
    <n v="3"/>
    <n v="0.05"/>
    <x v="2"/>
    <s v="Steve Flynn"/>
    <x v="1"/>
    <x v="0"/>
    <x v="2"/>
    <n v="29.24"/>
    <n v="83.333999999999989"/>
  </r>
  <r>
    <s v="T00882"/>
    <d v="2024-12-08T00:00:00"/>
    <s v="C052"/>
    <s v="P038"/>
    <s v="S002"/>
    <n v="5"/>
    <n v="0.1"/>
    <x v="2"/>
    <s v="Billy Hernandez"/>
    <x v="41"/>
    <x v="0"/>
    <x v="2"/>
    <n v="366.93"/>
    <n v="1651.1850000000002"/>
  </r>
  <r>
    <s v="T00883"/>
    <d v="2025-04-29T00:00:00"/>
    <s v="C200"/>
    <s v="P013"/>
    <s v="S001"/>
    <n v="1"/>
    <n v="0"/>
    <x v="1"/>
    <s v="Ronald Haley"/>
    <x v="21"/>
    <x v="0"/>
    <x v="3"/>
    <n v="1134.8"/>
    <n v="1134.8"/>
  </r>
  <r>
    <s v="T00884"/>
    <d v="2025-05-03T00:00:00"/>
    <s v="C158"/>
    <s v="P044"/>
    <s v="S001"/>
    <n v="5"/>
    <n v="0"/>
    <x v="1"/>
    <s v="Crystal Aguirre"/>
    <x v="32"/>
    <x v="0"/>
    <x v="3"/>
    <n v="1286.55"/>
    <n v="6432.75"/>
  </r>
  <r>
    <s v="T00885"/>
    <d v="2024-09-27T00:00:00"/>
    <s v="C096"/>
    <s v="P001"/>
    <s v="S005"/>
    <n v="3"/>
    <n v="0.15"/>
    <x v="0"/>
    <s v="Eric King"/>
    <x v="31"/>
    <x v="1"/>
    <x v="4"/>
    <n v="1673.69"/>
    <n v="4267.9094999999998"/>
  </r>
  <r>
    <s v="T00886"/>
    <d v="2024-11-25T00:00:00"/>
    <s v="C126"/>
    <s v="P019"/>
    <s v="S002"/>
    <n v="5"/>
    <n v="0.1"/>
    <x v="1"/>
    <s v="Monique Johnson"/>
    <x v="26"/>
    <x v="1"/>
    <x v="2"/>
    <n v="1762.92"/>
    <n v="7933.14"/>
  </r>
  <r>
    <s v="T00887"/>
    <d v="2025-06-17T00:00:00"/>
    <s v="C057"/>
    <s v="P006"/>
    <s v="S005"/>
    <n v="2"/>
    <n v="0"/>
    <x v="1"/>
    <s v="Julie Gibson"/>
    <x v="35"/>
    <x v="2"/>
    <x v="4"/>
    <n v="318.05"/>
    <n v="636.1"/>
  </r>
  <r>
    <s v="T00888"/>
    <d v="2024-06-24T00:00:00"/>
    <s v="C123"/>
    <s v="P027"/>
    <s v="S005"/>
    <n v="1"/>
    <n v="0.1"/>
    <x v="1"/>
    <s v="Peter Edwards"/>
    <x v="34"/>
    <x v="1"/>
    <x v="4"/>
    <n v="1272.23"/>
    <n v="1145.0070000000001"/>
  </r>
  <r>
    <s v="T00889"/>
    <d v="2025-08-05T00:00:00"/>
    <s v="C176"/>
    <s v="P025"/>
    <s v="S002"/>
    <n v="4"/>
    <n v="0"/>
    <x v="1"/>
    <s v="Peter Garcia"/>
    <x v="33"/>
    <x v="0"/>
    <x v="2"/>
    <n v="429.15"/>
    <n v="1716.6"/>
  </r>
  <r>
    <s v="T00890"/>
    <d v="2025-01-21T00:00:00"/>
    <s v="C081"/>
    <s v="P021"/>
    <s v="S001"/>
    <n v="1"/>
    <n v="0.05"/>
    <x v="1"/>
    <s v="Sarah Reynolds"/>
    <x v="23"/>
    <x v="2"/>
    <x v="3"/>
    <n v="1227.24"/>
    <n v="1165.8779999999999"/>
  </r>
  <r>
    <s v="T00891"/>
    <d v="2025-02-17T00:00:00"/>
    <s v="C149"/>
    <s v="P017"/>
    <s v="S001"/>
    <n v="3"/>
    <n v="0.1"/>
    <x v="0"/>
    <s v="Melissa Torres"/>
    <x v="43"/>
    <x v="1"/>
    <x v="3"/>
    <n v="1246.1099999999999"/>
    <n v="3364.4969999999998"/>
  </r>
  <r>
    <s v="T00892"/>
    <d v="2025-07-11T00:00:00"/>
    <s v="C048"/>
    <s v="P023"/>
    <s v="S005"/>
    <n v="3"/>
    <n v="0.05"/>
    <x v="0"/>
    <s v="Alexis Crane"/>
    <x v="20"/>
    <x v="0"/>
    <x v="4"/>
    <n v="1878.47"/>
    <n v="5353.6394999999993"/>
  </r>
  <r>
    <s v="T00893"/>
    <d v="2023-11-01T00:00:00"/>
    <s v="C121"/>
    <s v="P023"/>
    <s v="S005"/>
    <n v="3"/>
    <n v="0.1"/>
    <x v="2"/>
    <s v="John Bell"/>
    <x v="20"/>
    <x v="0"/>
    <x v="4"/>
    <n v="1878.47"/>
    <n v="5071.8689999999997"/>
  </r>
  <r>
    <s v="T00894"/>
    <d v="2024-07-17T00:00:00"/>
    <s v="C128"/>
    <s v="P049"/>
    <s v="S004"/>
    <n v="2"/>
    <n v="0.15"/>
    <x v="0"/>
    <s v="Robert Collins"/>
    <x v="29"/>
    <x v="0"/>
    <x v="1"/>
    <n v="388.26"/>
    <n v="660.04199999999992"/>
  </r>
  <r>
    <s v="T00895"/>
    <d v="2024-11-11T00:00:00"/>
    <s v="C094"/>
    <s v="P039"/>
    <s v="S004"/>
    <n v="3"/>
    <n v="0.15"/>
    <x v="2"/>
    <s v="Kimberly Stokes"/>
    <x v="22"/>
    <x v="0"/>
    <x v="1"/>
    <n v="540.94000000000005"/>
    <n v="1379.3970000000002"/>
  </r>
  <r>
    <s v="T00896"/>
    <d v="2025-06-13T00:00:00"/>
    <s v="C147"/>
    <s v="P015"/>
    <s v="S002"/>
    <n v="5"/>
    <n v="0.05"/>
    <x v="3"/>
    <s v="Crystal Garrison"/>
    <x v="40"/>
    <x v="0"/>
    <x v="2"/>
    <n v="270.45"/>
    <n v="1284.6375"/>
  </r>
  <r>
    <s v="T00897"/>
    <d v="2024-02-17T00:00:00"/>
    <s v="C185"/>
    <s v="P020"/>
    <s v="S003"/>
    <n v="2"/>
    <n v="0.15"/>
    <x v="1"/>
    <s v="Joe Vincent"/>
    <x v="24"/>
    <x v="0"/>
    <x v="0"/>
    <n v="323.92"/>
    <n v="550.66399999999999"/>
  </r>
  <r>
    <s v="T00898"/>
    <d v="2025-01-10T00:00:00"/>
    <s v="C051"/>
    <s v="P035"/>
    <s v="S002"/>
    <n v="2"/>
    <n v="0.15"/>
    <x v="3"/>
    <s v="Madison Sellers"/>
    <x v="7"/>
    <x v="1"/>
    <x v="2"/>
    <n v="1562.43"/>
    <n v="2656.1309999999999"/>
  </r>
  <r>
    <s v="T00899"/>
    <d v="2024-07-28T00:00:00"/>
    <s v="C046"/>
    <s v="P031"/>
    <s v="S004"/>
    <n v="4"/>
    <n v="0.05"/>
    <x v="0"/>
    <s v="Dennis Poole"/>
    <x v="39"/>
    <x v="2"/>
    <x v="1"/>
    <n v="1095.72"/>
    <n v="4163.7359999999999"/>
  </r>
  <r>
    <s v="T00900"/>
    <d v="2024-08-13T00:00:00"/>
    <s v="C125"/>
    <s v="P042"/>
    <s v="S003"/>
    <n v="3"/>
    <n v="0"/>
    <x v="1"/>
    <s v="Kimberly Parker"/>
    <x v="10"/>
    <x v="0"/>
    <x v="0"/>
    <n v="453.62"/>
    <n v="1360.8600000000001"/>
  </r>
  <r>
    <s v="T00901"/>
    <d v="2024-11-30T00:00:00"/>
    <s v="C026"/>
    <s v="P018"/>
    <s v="S002"/>
    <n v="1"/>
    <n v="0.05"/>
    <x v="0"/>
    <s v="Justin Macdonald"/>
    <x v="19"/>
    <x v="1"/>
    <x v="2"/>
    <n v="1079.8900000000001"/>
    <n v="1025.8955000000001"/>
  </r>
  <r>
    <s v="T00902"/>
    <d v="2024-02-20T00:00:00"/>
    <s v="C122"/>
    <s v="P005"/>
    <s v="S001"/>
    <n v="4"/>
    <n v="0.1"/>
    <x v="0"/>
    <s v="Amy Smith"/>
    <x v="6"/>
    <x v="0"/>
    <x v="3"/>
    <n v="1396.22"/>
    <n v="5026.3919999999998"/>
  </r>
  <r>
    <s v="T00903"/>
    <d v="2024-08-03T00:00:00"/>
    <s v="C093"/>
    <s v="P027"/>
    <s v="S003"/>
    <n v="5"/>
    <n v="0.1"/>
    <x v="0"/>
    <s v="Stanley Brown"/>
    <x v="34"/>
    <x v="1"/>
    <x v="0"/>
    <n v="1272.23"/>
    <n v="5725.0349999999999"/>
  </r>
  <r>
    <s v="T00904"/>
    <d v="2024-08-10T00:00:00"/>
    <s v="C006"/>
    <s v="P018"/>
    <s v="S004"/>
    <n v="1"/>
    <n v="0.1"/>
    <x v="2"/>
    <s v="Danny Moore"/>
    <x v="19"/>
    <x v="1"/>
    <x v="1"/>
    <n v="1079.8900000000001"/>
    <n v="971.90100000000007"/>
  </r>
  <r>
    <s v="T00905"/>
    <d v="2025-04-28T00:00:00"/>
    <s v="C148"/>
    <s v="P001"/>
    <s v="S005"/>
    <n v="5"/>
    <n v="0.05"/>
    <x v="0"/>
    <s v="John Foster"/>
    <x v="31"/>
    <x v="1"/>
    <x v="4"/>
    <n v="1673.69"/>
    <n v="7950.0275000000001"/>
  </r>
  <r>
    <s v="T00906"/>
    <d v="2025-07-13T00:00:00"/>
    <s v="C091"/>
    <s v="P032"/>
    <s v="S003"/>
    <n v="5"/>
    <n v="0.15"/>
    <x v="1"/>
    <s v="Brian Fowler"/>
    <x v="44"/>
    <x v="2"/>
    <x v="0"/>
    <n v="304.70999999999998"/>
    <n v="1295.0174999999999"/>
  </r>
  <r>
    <s v="T00907"/>
    <d v="2025-01-26T00:00:00"/>
    <s v="C021"/>
    <s v="P045"/>
    <s v="S004"/>
    <n v="5"/>
    <n v="0.1"/>
    <x v="1"/>
    <s v="Debbie Martin"/>
    <x v="8"/>
    <x v="2"/>
    <x v="1"/>
    <n v="1879.08"/>
    <n v="8455.86"/>
  </r>
  <r>
    <s v="T00908"/>
    <d v="2023-11-08T00:00:00"/>
    <s v="C162"/>
    <s v="P038"/>
    <s v="S002"/>
    <n v="2"/>
    <n v="0.1"/>
    <x v="1"/>
    <s v="Jill Roach"/>
    <x v="41"/>
    <x v="0"/>
    <x v="2"/>
    <n v="366.93"/>
    <n v="660.47400000000005"/>
  </r>
  <r>
    <s v="T00909"/>
    <d v="2024-07-31T00:00:00"/>
    <s v="C162"/>
    <s v="P024"/>
    <s v="S005"/>
    <n v="5"/>
    <n v="0.15"/>
    <x v="3"/>
    <s v="Jill Roach"/>
    <x v="14"/>
    <x v="1"/>
    <x v="4"/>
    <n v="1487.41"/>
    <n v="6321.4925000000003"/>
  </r>
  <r>
    <s v="T00910"/>
    <d v="2024-03-10T00:00:00"/>
    <s v="C021"/>
    <s v="P007"/>
    <s v="S002"/>
    <n v="3"/>
    <n v="0.05"/>
    <x v="0"/>
    <s v="Debbie Martin"/>
    <x v="18"/>
    <x v="1"/>
    <x v="2"/>
    <n v="1474.12"/>
    <n v="4201.2419999999993"/>
  </r>
  <r>
    <s v="T00911"/>
    <d v="2024-08-03T00:00:00"/>
    <s v="C082"/>
    <s v="P018"/>
    <s v="S003"/>
    <n v="3"/>
    <n v="0.15"/>
    <x v="0"/>
    <s v="Amy Haley"/>
    <x v="19"/>
    <x v="1"/>
    <x v="0"/>
    <n v="1079.8900000000001"/>
    <n v="2753.7195000000002"/>
  </r>
  <r>
    <s v="T00912"/>
    <d v="2024-03-10T00:00:00"/>
    <s v="C114"/>
    <s v="P013"/>
    <s v="S003"/>
    <n v="5"/>
    <n v="0.15"/>
    <x v="1"/>
    <s v="Miranda Rodriguez"/>
    <x v="21"/>
    <x v="0"/>
    <x v="0"/>
    <n v="1134.8"/>
    <n v="4822.8999999999996"/>
  </r>
  <r>
    <s v="T00913"/>
    <d v="2025-03-17T00:00:00"/>
    <s v="C043"/>
    <s v="P001"/>
    <s v="S002"/>
    <n v="1"/>
    <n v="0.05"/>
    <x v="2"/>
    <s v="Kenneth Allen"/>
    <x v="31"/>
    <x v="1"/>
    <x v="2"/>
    <n v="1673.69"/>
    <n v="1590.0055"/>
  </r>
  <r>
    <s v="T00914"/>
    <d v="2025-03-10T00:00:00"/>
    <s v="C170"/>
    <s v="P008"/>
    <s v="S003"/>
    <n v="1"/>
    <n v="0.05"/>
    <x v="2"/>
    <s v="Amber Graham"/>
    <x v="48"/>
    <x v="0"/>
    <x v="0"/>
    <n v="109.78"/>
    <n v="104.291"/>
  </r>
  <r>
    <s v="T00915"/>
    <d v="2024-02-28T00:00:00"/>
    <s v="C102"/>
    <s v="P013"/>
    <s v="S001"/>
    <n v="1"/>
    <n v="0"/>
    <x v="1"/>
    <s v="Carolyn Perez"/>
    <x v="21"/>
    <x v="0"/>
    <x v="3"/>
    <n v="1134.8"/>
    <n v="1134.8"/>
  </r>
  <r>
    <s v="T00916"/>
    <d v="2025-06-30T00:00:00"/>
    <s v="C141"/>
    <s v="P041"/>
    <s v="S001"/>
    <n v="1"/>
    <n v="0.15"/>
    <x v="3"/>
    <s v="Adam Lucas"/>
    <x v="30"/>
    <x v="1"/>
    <x v="3"/>
    <n v="1635.01"/>
    <n v="1389.7584999999999"/>
  </r>
  <r>
    <s v="T00917"/>
    <d v="2024-03-03T00:00:00"/>
    <s v="C027"/>
    <s v="P043"/>
    <s v="S003"/>
    <n v="5"/>
    <n v="0.05"/>
    <x v="3"/>
    <s v="Jacqueline Martin"/>
    <x v="45"/>
    <x v="0"/>
    <x v="0"/>
    <n v="564.41999999999996"/>
    <n v="2680.9949999999999"/>
  </r>
  <r>
    <s v="T00918"/>
    <d v="2025-03-01T00:00:00"/>
    <s v="C168"/>
    <s v="P024"/>
    <s v="S004"/>
    <n v="3"/>
    <n v="0.05"/>
    <x v="2"/>
    <s v="Richard Jones"/>
    <x v="14"/>
    <x v="1"/>
    <x v="1"/>
    <n v="1487.41"/>
    <n v="4239.1185000000005"/>
  </r>
  <r>
    <s v="T00919"/>
    <d v="2024-12-10T00:00:00"/>
    <s v="C189"/>
    <s v="P026"/>
    <s v="S003"/>
    <n v="4"/>
    <n v="0.05"/>
    <x v="2"/>
    <s v="Steve Flynn"/>
    <x v="15"/>
    <x v="2"/>
    <x v="0"/>
    <n v="1015.76"/>
    <n v="3859.8879999999999"/>
  </r>
  <r>
    <s v="T00920"/>
    <d v="2025-03-10T00:00:00"/>
    <s v="C135"/>
    <s v="P039"/>
    <s v="S002"/>
    <n v="1"/>
    <n v="0"/>
    <x v="0"/>
    <s v="Mario Cuevas"/>
    <x v="22"/>
    <x v="0"/>
    <x v="2"/>
    <n v="540.94000000000005"/>
    <n v="540.94000000000005"/>
  </r>
  <r>
    <s v="T00921"/>
    <d v="2025-04-01T00:00:00"/>
    <s v="C084"/>
    <s v="P035"/>
    <s v="S004"/>
    <n v="4"/>
    <n v="0.1"/>
    <x v="1"/>
    <s v="Amanda Lee"/>
    <x v="7"/>
    <x v="1"/>
    <x v="1"/>
    <n v="1562.43"/>
    <n v="5624.7480000000005"/>
  </r>
  <r>
    <s v="T00922"/>
    <d v="2025-02-23T00:00:00"/>
    <s v="C035"/>
    <s v="P024"/>
    <s v="S005"/>
    <n v="2"/>
    <n v="0.15"/>
    <x v="1"/>
    <s v="Kimberly King"/>
    <x v="14"/>
    <x v="1"/>
    <x v="4"/>
    <n v="1487.41"/>
    <n v="2528.5970000000002"/>
  </r>
  <r>
    <s v="T00923"/>
    <d v="2024-11-04T00:00:00"/>
    <s v="C135"/>
    <s v="P013"/>
    <s v="S005"/>
    <n v="3"/>
    <n v="0.1"/>
    <x v="1"/>
    <s v="Mario Cuevas"/>
    <x v="21"/>
    <x v="0"/>
    <x v="4"/>
    <n v="1134.8"/>
    <n v="3063.9599999999996"/>
  </r>
  <r>
    <s v="T00924"/>
    <d v="2024-12-13T00:00:00"/>
    <s v="C139"/>
    <s v="P011"/>
    <s v="S002"/>
    <n v="1"/>
    <n v="0.15"/>
    <x v="0"/>
    <s v="Alexander Mcfarland"/>
    <x v="17"/>
    <x v="1"/>
    <x v="2"/>
    <n v="248.57"/>
    <n v="211.28449999999998"/>
  </r>
  <r>
    <s v="T00925"/>
    <d v="2025-01-22T00:00:00"/>
    <s v="C094"/>
    <s v="P027"/>
    <s v="S004"/>
    <n v="3"/>
    <n v="0.05"/>
    <x v="0"/>
    <s v="Kimberly Stokes"/>
    <x v="34"/>
    <x v="1"/>
    <x v="1"/>
    <n v="1272.23"/>
    <n v="3625.8554999999997"/>
  </r>
  <r>
    <s v="T00926"/>
    <d v="2024-11-10T00:00:00"/>
    <s v="C003"/>
    <s v="P001"/>
    <s v="S001"/>
    <n v="5"/>
    <n v="0.05"/>
    <x v="0"/>
    <s v="Carol Hays"/>
    <x v="31"/>
    <x v="1"/>
    <x v="3"/>
    <n v="1673.69"/>
    <n v="7950.0275000000001"/>
  </r>
  <r>
    <s v="T00927"/>
    <d v="2025-02-16T00:00:00"/>
    <s v="C074"/>
    <s v="P016"/>
    <s v="S004"/>
    <n v="5"/>
    <n v="0"/>
    <x v="1"/>
    <s v="Jesus Singh"/>
    <x v="13"/>
    <x v="0"/>
    <x v="1"/>
    <n v="1858.75"/>
    <n v="9293.75"/>
  </r>
  <r>
    <s v="T00928"/>
    <d v="2023-10-05T00:00:00"/>
    <s v="C194"/>
    <s v="P026"/>
    <s v="S004"/>
    <n v="3"/>
    <n v="0"/>
    <x v="1"/>
    <s v="Ann West"/>
    <x v="15"/>
    <x v="2"/>
    <x v="1"/>
    <n v="1015.76"/>
    <n v="3047.2799999999997"/>
  </r>
  <r>
    <s v="T00929"/>
    <d v="2024-07-20T00:00:00"/>
    <s v="C075"/>
    <s v="P001"/>
    <s v="S005"/>
    <n v="2"/>
    <n v="0"/>
    <x v="0"/>
    <s v="Seth Moore"/>
    <x v="31"/>
    <x v="1"/>
    <x v="4"/>
    <n v="1673.69"/>
    <n v="3347.38"/>
  </r>
  <r>
    <s v="T00930"/>
    <d v="2025-08-03T00:00:00"/>
    <s v="C049"/>
    <s v="P005"/>
    <s v="S004"/>
    <n v="5"/>
    <n v="0.15"/>
    <x v="1"/>
    <s v="Antonio Hamilton"/>
    <x v="6"/>
    <x v="0"/>
    <x v="1"/>
    <n v="1396.22"/>
    <n v="5933.9350000000004"/>
  </r>
  <r>
    <s v="T00931"/>
    <d v="2025-04-09T00:00:00"/>
    <s v="C064"/>
    <s v="P026"/>
    <s v="S002"/>
    <n v="4"/>
    <n v="0.15"/>
    <x v="2"/>
    <s v="Amanda Hoover"/>
    <x v="15"/>
    <x v="2"/>
    <x v="2"/>
    <n v="1015.76"/>
    <n v="3453.5839999999998"/>
  </r>
  <r>
    <s v="T00932"/>
    <d v="2025-08-25T00:00:00"/>
    <s v="C068"/>
    <s v="P003"/>
    <s v="S001"/>
    <n v="4"/>
    <n v="0.05"/>
    <x v="0"/>
    <s v="Alexandra Montoya"/>
    <x v="46"/>
    <x v="0"/>
    <x v="3"/>
    <n v="337.63"/>
    <n v="1282.9939999999999"/>
  </r>
  <r>
    <s v="T00933"/>
    <d v="2023-12-18T00:00:00"/>
    <s v="C073"/>
    <s v="P015"/>
    <s v="S005"/>
    <n v="3"/>
    <n v="0.15"/>
    <x v="2"/>
    <s v="Carl Armstrong"/>
    <x v="40"/>
    <x v="0"/>
    <x v="4"/>
    <n v="270.45"/>
    <n v="689.64749999999992"/>
  </r>
  <r>
    <s v="T00934"/>
    <d v="2025-02-03T00:00:00"/>
    <s v="C018"/>
    <s v="P042"/>
    <s v="S002"/>
    <n v="2"/>
    <n v="0.1"/>
    <x v="3"/>
    <s v="Breanna Davis"/>
    <x v="10"/>
    <x v="0"/>
    <x v="2"/>
    <n v="453.62"/>
    <n v="816.51600000000008"/>
  </r>
  <r>
    <s v="T00935"/>
    <d v="2024-05-11T00:00:00"/>
    <s v="C164"/>
    <s v="P048"/>
    <s v="S004"/>
    <n v="5"/>
    <n v="0.15"/>
    <x v="0"/>
    <s v="Linda Vasquez"/>
    <x v="11"/>
    <x v="0"/>
    <x v="1"/>
    <n v="1216.3599999999999"/>
    <n v="5169.5299999999988"/>
  </r>
  <r>
    <s v="T00936"/>
    <d v="2024-09-21T00:00:00"/>
    <s v="C180"/>
    <s v="P026"/>
    <s v="S005"/>
    <n v="4"/>
    <n v="0.05"/>
    <x v="0"/>
    <s v="Nichole Calhoun"/>
    <x v="15"/>
    <x v="2"/>
    <x v="4"/>
    <n v="1015.76"/>
    <n v="3859.8879999999999"/>
  </r>
  <r>
    <s v="T00937"/>
    <d v="2024-02-11T00:00:00"/>
    <s v="C005"/>
    <s v="P037"/>
    <s v="S002"/>
    <n v="1"/>
    <n v="0"/>
    <x v="2"/>
    <s v="Jamie Salinas"/>
    <x v="27"/>
    <x v="1"/>
    <x v="2"/>
    <n v="1952.65"/>
    <n v="1952.65"/>
  </r>
  <r>
    <s v="T00938"/>
    <d v="2024-05-12T00:00:00"/>
    <s v="C027"/>
    <s v="P022"/>
    <s v="S003"/>
    <n v="3"/>
    <n v="0.05"/>
    <x v="1"/>
    <s v="Jacqueline Martin"/>
    <x v="9"/>
    <x v="2"/>
    <x v="0"/>
    <n v="25.57"/>
    <n v="72.874499999999998"/>
  </r>
  <r>
    <s v="T00939"/>
    <d v="2025-04-17T00:00:00"/>
    <s v="C187"/>
    <s v="P033"/>
    <s v="S001"/>
    <n v="2"/>
    <n v="0"/>
    <x v="2"/>
    <s v="Cynthia Cherry"/>
    <x v="16"/>
    <x v="0"/>
    <x v="3"/>
    <n v="1798.97"/>
    <n v="3597.94"/>
  </r>
  <r>
    <s v="T00940"/>
    <d v="2024-07-18T00:00:00"/>
    <s v="C004"/>
    <s v="P016"/>
    <s v="S004"/>
    <n v="2"/>
    <n v="0.1"/>
    <x v="1"/>
    <s v="Joseph Ward"/>
    <x v="13"/>
    <x v="0"/>
    <x v="1"/>
    <n v="1858.75"/>
    <n v="3345.75"/>
  </r>
  <r>
    <s v="T00941"/>
    <d v="2024-01-24T00:00:00"/>
    <s v="C080"/>
    <s v="P032"/>
    <s v="S004"/>
    <n v="3"/>
    <n v="0.15"/>
    <x v="3"/>
    <s v="Grace Garcia"/>
    <x v="44"/>
    <x v="2"/>
    <x v="1"/>
    <n v="304.70999999999998"/>
    <n v="777.01049999999987"/>
  </r>
  <r>
    <s v="T00942"/>
    <d v="2025-05-02T00:00:00"/>
    <s v="C085"/>
    <s v="P014"/>
    <s v="S001"/>
    <n v="2"/>
    <n v="0"/>
    <x v="0"/>
    <s v="Juan Ramirez"/>
    <x v="0"/>
    <x v="0"/>
    <x v="3"/>
    <n v="1342.75"/>
    <n v="2685.5"/>
  </r>
  <r>
    <s v="T00943"/>
    <d v="2025-06-20T00:00:00"/>
    <s v="C199"/>
    <s v="P045"/>
    <s v="S004"/>
    <n v="1"/>
    <n v="0.15"/>
    <x v="2"/>
    <s v="Juan Johnson"/>
    <x v="8"/>
    <x v="2"/>
    <x v="1"/>
    <n v="1879.08"/>
    <n v="1597.2179999999998"/>
  </r>
  <r>
    <s v="T00944"/>
    <d v="2024-11-21T00:00:00"/>
    <s v="C050"/>
    <s v="P019"/>
    <s v="S003"/>
    <n v="4"/>
    <n v="0"/>
    <x v="3"/>
    <s v="Kelly Mcmillan"/>
    <x v="26"/>
    <x v="1"/>
    <x v="0"/>
    <n v="1762.92"/>
    <n v="7051.68"/>
  </r>
  <r>
    <s v="T00945"/>
    <d v="2025-08-06T00:00:00"/>
    <s v="C197"/>
    <s v="P010"/>
    <s v="S002"/>
    <n v="4"/>
    <n v="0.15"/>
    <x v="2"/>
    <s v="Matthew Dixon"/>
    <x v="36"/>
    <x v="1"/>
    <x v="2"/>
    <n v="1194.1199999999999"/>
    <n v="4060.0079999999994"/>
  </r>
  <r>
    <s v="T00946"/>
    <d v="2025-07-20T00:00:00"/>
    <s v="C189"/>
    <s v="P015"/>
    <s v="S001"/>
    <n v="2"/>
    <n v="0.15"/>
    <x v="3"/>
    <s v="Steve Flynn"/>
    <x v="40"/>
    <x v="0"/>
    <x v="3"/>
    <n v="270.45"/>
    <n v="459.76499999999999"/>
  </r>
  <r>
    <s v="T00947"/>
    <d v="2024-12-28T00:00:00"/>
    <s v="C134"/>
    <s v="P036"/>
    <s v="S002"/>
    <n v="4"/>
    <n v="0.15"/>
    <x v="0"/>
    <s v="Emily Hart"/>
    <x v="4"/>
    <x v="0"/>
    <x v="2"/>
    <n v="1501.46"/>
    <n v="5104.9639999999999"/>
  </r>
  <r>
    <s v="T00948"/>
    <d v="2024-09-17T00:00:00"/>
    <s v="C083"/>
    <s v="P011"/>
    <s v="S002"/>
    <n v="1"/>
    <n v="0"/>
    <x v="0"/>
    <s v="Jeremy Robles"/>
    <x v="17"/>
    <x v="1"/>
    <x v="2"/>
    <n v="248.57"/>
    <n v="248.57"/>
  </r>
  <r>
    <s v="T00949"/>
    <d v="2023-11-24T00:00:00"/>
    <s v="C124"/>
    <s v="P023"/>
    <s v="S003"/>
    <n v="2"/>
    <n v="0.1"/>
    <x v="3"/>
    <s v="Chad Roberts"/>
    <x v="20"/>
    <x v="0"/>
    <x v="0"/>
    <n v="1878.47"/>
    <n v="3381.2460000000001"/>
  </r>
  <r>
    <s v="T00950"/>
    <d v="2023-12-15T00:00:00"/>
    <s v="C171"/>
    <s v="P040"/>
    <s v="S002"/>
    <n v="1"/>
    <n v="0.05"/>
    <x v="1"/>
    <s v="Christina Dominguez"/>
    <x v="37"/>
    <x v="1"/>
    <x v="2"/>
    <n v="1745.61"/>
    <n v="1658.3294999999998"/>
  </r>
  <r>
    <s v="T00951"/>
    <d v="2025-07-18T00:00:00"/>
    <s v="C084"/>
    <s v="P025"/>
    <s v="S001"/>
    <n v="2"/>
    <n v="0.1"/>
    <x v="3"/>
    <s v="Amanda Lee"/>
    <x v="33"/>
    <x v="0"/>
    <x v="3"/>
    <n v="429.15"/>
    <n v="772.47"/>
  </r>
  <r>
    <s v="T00952"/>
    <d v="2024-07-30T00:00:00"/>
    <s v="C102"/>
    <s v="P039"/>
    <s v="S002"/>
    <n v="1"/>
    <n v="0"/>
    <x v="1"/>
    <s v="Carolyn Perez"/>
    <x v="22"/>
    <x v="0"/>
    <x v="2"/>
    <n v="540.94000000000005"/>
    <n v="540.94000000000005"/>
  </r>
  <r>
    <s v="T00953"/>
    <d v="2024-08-31T00:00:00"/>
    <s v="C177"/>
    <s v="P014"/>
    <s v="S005"/>
    <n v="2"/>
    <n v="0.1"/>
    <x v="3"/>
    <s v="Anthony Gould"/>
    <x v="0"/>
    <x v="0"/>
    <x v="4"/>
    <n v="1342.75"/>
    <n v="2416.9500000000003"/>
  </r>
  <r>
    <s v="T00954"/>
    <d v="2024-08-11T00:00:00"/>
    <s v="C064"/>
    <s v="P007"/>
    <s v="S002"/>
    <n v="4"/>
    <n v="0"/>
    <x v="0"/>
    <s v="Amanda Hoover"/>
    <x v="18"/>
    <x v="1"/>
    <x v="2"/>
    <n v="1474.12"/>
    <n v="5896.48"/>
  </r>
  <r>
    <s v="T00955"/>
    <d v="2024-05-08T00:00:00"/>
    <s v="C195"/>
    <s v="P038"/>
    <s v="S001"/>
    <n v="1"/>
    <n v="0.1"/>
    <x v="2"/>
    <s v="James Mitchell"/>
    <x v="41"/>
    <x v="0"/>
    <x v="3"/>
    <n v="366.93"/>
    <n v="330.23700000000002"/>
  </r>
  <r>
    <s v="T00956"/>
    <d v="2024-11-25T00:00:00"/>
    <s v="C180"/>
    <s v="P042"/>
    <s v="S005"/>
    <n v="1"/>
    <n v="0.05"/>
    <x v="1"/>
    <s v="Nichole Calhoun"/>
    <x v="10"/>
    <x v="0"/>
    <x v="4"/>
    <n v="453.62"/>
    <n v="430.93899999999996"/>
  </r>
  <r>
    <s v="T00957"/>
    <d v="2024-08-26T00:00:00"/>
    <s v="C060"/>
    <s v="P017"/>
    <s v="S003"/>
    <n v="5"/>
    <n v="0.1"/>
    <x v="1"/>
    <s v="Anthony Conway"/>
    <x v="43"/>
    <x v="1"/>
    <x v="0"/>
    <n v="1246.1099999999999"/>
    <n v="5607.4949999999999"/>
  </r>
  <r>
    <s v="T00958"/>
    <d v="2023-10-11T00:00:00"/>
    <s v="C188"/>
    <s v="P019"/>
    <s v="S002"/>
    <n v="1"/>
    <n v="0.15"/>
    <x v="0"/>
    <s v="Ryan Flores"/>
    <x v="26"/>
    <x v="1"/>
    <x v="2"/>
    <n v="1762.92"/>
    <n v="1498.482"/>
  </r>
  <r>
    <s v="T00959"/>
    <d v="2024-04-17T00:00:00"/>
    <s v="C186"/>
    <s v="P033"/>
    <s v="S002"/>
    <n v="3"/>
    <n v="0"/>
    <x v="1"/>
    <s v="Vicki Guzman"/>
    <x v="16"/>
    <x v="0"/>
    <x v="2"/>
    <n v="1798.97"/>
    <n v="5396.91"/>
  </r>
  <r>
    <s v="T00960"/>
    <d v="2025-07-18T00:00:00"/>
    <s v="C181"/>
    <s v="P020"/>
    <s v="S004"/>
    <n v="5"/>
    <n v="0.1"/>
    <x v="1"/>
    <s v="Brittany Oneal"/>
    <x v="24"/>
    <x v="0"/>
    <x v="1"/>
    <n v="323.92"/>
    <n v="1457.64"/>
  </r>
  <r>
    <s v="T00961"/>
    <d v="2025-05-30T00:00:00"/>
    <s v="C049"/>
    <s v="P015"/>
    <s v="S005"/>
    <n v="2"/>
    <n v="0.1"/>
    <x v="0"/>
    <s v="Antonio Hamilton"/>
    <x v="40"/>
    <x v="0"/>
    <x v="4"/>
    <n v="270.45"/>
    <n v="486.81"/>
  </r>
  <r>
    <s v="T00962"/>
    <d v="2025-06-14T00:00:00"/>
    <s v="C188"/>
    <s v="P031"/>
    <s v="S004"/>
    <n v="3"/>
    <n v="0.05"/>
    <x v="3"/>
    <s v="Ryan Flores"/>
    <x v="39"/>
    <x v="2"/>
    <x v="1"/>
    <n v="1095.72"/>
    <n v="3122.8019999999997"/>
  </r>
  <r>
    <s v="T00963"/>
    <d v="2023-09-20T00:00:00"/>
    <s v="C136"/>
    <s v="P047"/>
    <s v="S002"/>
    <n v="4"/>
    <n v="0.1"/>
    <x v="0"/>
    <s v="Amanda Garcia"/>
    <x v="28"/>
    <x v="1"/>
    <x v="2"/>
    <n v="1197.18"/>
    <n v="4309.848"/>
  </r>
  <r>
    <s v="T00964"/>
    <d v="2024-07-31T00:00:00"/>
    <s v="C139"/>
    <s v="P046"/>
    <s v="S003"/>
    <n v="4"/>
    <n v="0"/>
    <x v="1"/>
    <s v="Alexander Mcfarland"/>
    <x v="42"/>
    <x v="0"/>
    <x v="0"/>
    <n v="1165.3699999999999"/>
    <n v="4661.4799999999996"/>
  </r>
  <r>
    <s v="T00965"/>
    <d v="2025-03-23T00:00:00"/>
    <s v="C188"/>
    <s v="P030"/>
    <s v="S002"/>
    <n v="1"/>
    <n v="0.1"/>
    <x v="2"/>
    <s v="Ryan Flores"/>
    <x v="1"/>
    <x v="0"/>
    <x v="2"/>
    <n v="29.24"/>
    <n v="26.315999999999999"/>
  </r>
  <r>
    <s v="T00966"/>
    <d v="2024-02-02T00:00:00"/>
    <s v="C083"/>
    <s v="P003"/>
    <s v="S001"/>
    <n v="5"/>
    <n v="0.15"/>
    <x v="2"/>
    <s v="Jeremy Robles"/>
    <x v="46"/>
    <x v="0"/>
    <x v="3"/>
    <n v="337.63"/>
    <n v="1434.9275"/>
  </r>
  <r>
    <s v="T00967"/>
    <d v="2024-09-07T00:00:00"/>
    <s v="C135"/>
    <s v="P022"/>
    <s v="S004"/>
    <n v="5"/>
    <n v="0.05"/>
    <x v="0"/>
    <s v="Mario Cuevas"/>
    <x v="9"/>
    <x v="2"/>
    <x v="1"/>
    <n v="25.57"/>
    <n v="121.4575"/>
  </r>
  <r>
    <s v="T00968"/>
    <d v="2025-01-20T00:00:00"/>
    <s v="C083"/>
    <s v="P031"/>
    <s v="S004"/>
    <n v="3"/>
    <n v="0"/>
    <x v="3"/>
    <s v="Jeremy Robles"/>
    <x v="39"/>
    <x v="2"/>
    <x v="1"/>
    <n v="1095.72"/>
    <n v="3287.16"/>
  </r>
  <r>
    <s v="T00969"/>
    <d v="2024-01-05T00:00:00"/>
    <s v="C134"/>
    <s v="P011"/>
    <s v="S001"/>
    <n v="1"/>
    <n v="0.05"/>
    <x v="2"/>
    <s v="Emily Hart"/>
    <x v="17"/>
    <x v="1"/>
    <x v="3"/>
    <n v="248.57"/>
    <n v="236.14149999999998"/>
  </r>
  <r>
    <s v="T00970"/>
    <d v="2024-11-03T00:00:00"/>
    <s v="C009"/>
    <s v="P042"/>
    <s v="S002"/>
    <n v="1"/>
    <n v="0.15"/>
    <x v="2"/>
    <s v="Richard Pacheco"/>
    <x v="10"/>
    <x v="0"/>
    <x v="2"/>
    <n v="453.62"/>
    <n v="385.577"/>
  </r>
  <r>
    <s v="T00971"/>
    <d v="2025-07-18T00:00:00"/>
    <s v="C026"/>
    <s v="P016"/>
    <s v="S001"/>
    <n v="5"/>
    <n v="0.15"/>
    <x v="1"/>
    <s v="Justin Macdonald"/>
    <x v="13"/>
    <x v="0"/>
    <x v="3"/>
    <n v="1858.75"/>
    <n v="7899.6875"/>
  </r>
  <r>
    <s v="T00972"/>
    <d v="2025-03-17T00:00:00"/>
    <s v="C135"/>
    <s v="P037"/>
    <s v="S005"/>
    <n v="5"/>
    <n v="0.1"/>
    <x v="3"/>
    <s v="Mario Cuevas"/>
    <x v="27"/>
    <x v="1"/>
    <x v="4"/>
    <n v="1952.65"/>
    <n v="8786.9250000000011"/>
  </r>
  <r>
    <s v="T00973"/>
    <d v="2025-05-31T00:00:00"/>
    <s v="C094"/>
    <s v="P044"/>
    <s v="S002"/>
    <n v="5"/>
    <n v="0"/>
    <x v="3"/>
    <s v="Kimberly Stokes"/>
    <x v="32"/>
    <x v="0"/>
    <x v="2"/>
    <n v="1286.55"/>
    <n v="6432.75"/>
  </r>
  <r>
    <s v="T00974"/>
    <d v="2024-03-26T00:00:00"/>
    <s v="C054"/>
    <s v="P045"/>
    <s v="S004"/>
    <n v="1"/>
    <n v="0.15"/>
    <x v="3"/>
    <s v="Crystal Johnson"/>
    <x v="8"/>
    <x v="2"/>
    <x v="1"/>
    <n v="1879.08"/>
    <n v="1597.2179999999998"/>
  </r>
  <r>
    <s v="T00975"/>
    <d v="2024-03-21T00:00:00"/>
    <s v="C093"/>
    <s v="P045"/>
    <s v="S005"/>
    <n v="4"/>
    <n v="0.1"/>
    <x v="3"/>
    <s v="Stanley Brown"/>
    <x v="8"/>
    <x v="2"/>
    <x v="4"/>
    <n v="1879.08"/>
    <n v="6764.6880000000001"/>
  </r>
  <r>
    <s v="T00976"/>
    <d v="2025-04-13T00:00:00"/>
    <s v="C158"/>
    <s v="P045"/>
    <s v="S003"/>
    <n v="5"/>
    <n v="0"/>
    <x v="3"/>
    <s v="Crystal Aguirre"/>
    <x v="8"/>
    <x v="2"/>
    <x v="0"/>
    <n v="1879.08"/>
    <n v="9395.4"/>
  </r>
  <r>
    <s v="T00977"/>
    <d v="2024-08-09T00:00:00"/>
    <s v="C078"/>
    <s v="P045"/>
    <s v="S001"/>
    <n v="2"/>
    <n v="0"/>
    <x v="3"/>
    <s v="Jeanne Young"/>
    <x v="8"/>
    <x v="2"/>
    <x v="3"/>
    <n v="1879.08"/>
    <n v="3758.16"/>
  </r>
  <r>
    <s v="T00978"/>
    <d v="2025-01-02T00:00:00"/>
    <s v="C186"/>
    <s v="P033"/>
    <s v="S002"/>
    <n v="5"/>
    <n v="0.15"/>
    <x v="2"/>
    <s v="Vicki Guzman"/>
    <x v="16"/>
    <x v="0"/>
    <x v="2"/>
    <n v="1798.97"/>
    <n v="7645.6225000000004"/>
  </r>
  <r>
    <s v="T00979"/>
    <d v="2023-10-31T00:00:00"/>
    <s v="C050"/>
    <s v="P014"/>
    <s v="S005"/>
    <n v="2"/>
    <n v="0.05"/>
    <x v="1"/>
    <s v="Kelly Mcmillan"/>
    <x v="0"/>
    <x v="0"/>
    <x v="4"/>
    <n v="1342.75"/>
    <n v="2551.2249999999999"/>
  </r>
  <r>
    <s v="T00980"/>
    <d v="2024-12-12T00:00:00"/>
    <s v="C192"/>
    <s v="P001"/>
    <s v="S001"/>
    <n v="5"/>
    <n v="0.1"/>
    <x v="1"/>
    <s v="James Wilson"/>
    <x v="31"/>
    <x v="1"/>
    <x v="3"/>
    <n v="1673.69"/>
    <n v="7531.6050000000005"/>
  </r>
  <r>
    <s v="T00981"/>
    <d v="2024-06-29T00:00:00"/>
    <s v="C180"/>
    <s v="P031"/>
    <s v="S004"/>
    <n v="1"/>
    <n v="0.05"/>
    <x v="2"/>
    <s v="Nichole Calhoun"/>
    <x v="39"/>
    <x v="2"/>
    <x v="1"/>
    <n v="1095.72"/>
    <n v="1040.934"/>
  </r>
  <r>
    <s v="T00982"/>
    <d v="2025-07-29T00:00:00"/>
    <s v="C141"/>
    <s v="P002"/>
    <s v="S004"/>
    <n v="5"/>
    <n v="0.1"/>
    <x v="2"/>
    <s v="Adam Lucas"/>
    <x v="2"/>
    <x v="1"/>
    <x v="1"/>
    <n v="818.76"/>
    <n v="3684.42"/>
  </r>
  <r>
    <s v="T00983"/>
    <d v="2025-07-23T00:00:00"/>
    <s v="C137"/>
    <s v="P019"/>
    <s v="S005"/>
    <n v="4"/>
    <n v="0.1"/>
    <x v="0"/>
    <s v="Gary Lopez"/>
    <x v="26"/>
    <x v="1"/>
    <x v="4"/>
    <n v="1762.92"/>
    <n v="6346.5120000000006"/>
  </r>
  <r>
    <s v="T00984"/>
    <d v="2024-10-18T00:00:00"/>
    <s v="C141"/>
    <s v="P029"/>
    <s v="S003"/>
    <n v="3"/>
    <n v="0.15"/>
    <x v="1"/>
    <s v="Adam Lucas"/>
    <x v="47"/>
    <x v="0"/>
    <x v="0"/>
    <n v="1485.05"/>
    <n v="3786.8774999999996"/>
  </r>
  <r>
    <s v="T00985"/>
    <d v="2024-07-04T00:00:00"/>
    <s v="C186"/>
    <s v="P026"/>
    <s v="S003"/>
    <n v="5"/>
    <n v="0.05"/>
    <x v="2"/>
    <s v="Vicki Guzman"/>
    <x v="15"/>
    <x v="2"/>
    <x v="0"/>
    <n v="1015.76"/>
    <n v="4824.8599999999997"/>
  </r>
  <r>
    <s v="T00986"/>
    <d v="2024-08-21T00:00:00"/>
    <s v="C097"/>
    <s v="P024"/>
    <s v="S005"/>
    <n v="3"/>
    <n v="0.1"/>
    <x v="1"/>
    <s v="Evelyn Gray"/>
    <x v="14"/>
    <x v="1"/>
    <x v="4"/>
    <n v="1487.41"/>
    <n v="4016.0070000000005"/>
  </r>
  <r>
    <s v="T00987"/>
    <d v="2024-08-29T00:00:00"/>
    <s v="C115"/>
    <s v="P030"/>
    <s v="S004"/>
    <n v="1"/>
    <n v="0"/>
    <x v="0"/>
    <s v="Jose Smith"/>
    <x v="1"/>
    <x v="0"/>
    <x v="1"/>
    <n v="29.24"/>
    <n v="29.24"/>
  </r>
  <r>
    <s v="T00988"/>
    <d v="2024-09-24T00:00:00"/>
    <s v="C153"/>
    <s v="P030"/>
    <s v="S001"/>
    <n v="5"/>
    <n v="0.05"/>
    <x v="0"/>
    <s v="Nancy Gordon"/>
    <x v="1"/>
    <x v="0"/>
    <x v="3"/>
    <n v="29.24"/>
    <n v="138.88999999999999"/>
  </r>
  <r>
    <s v="T00989"/>
    <d v="2023-11-05T00:00:00"/>
    <s v="C002"/>
    <s v="P007"/>
    <s v="S003"/>
    <n v="2"/>
    <n v="0.05"/>
    <x v="0"/>
    <s v="Michael Miller"/>
    <x v="18"/>
    <x v="1"/>
    <x v="0"/>
    <n v="1474.12"/>
    <n v="2800.8279999999995"/>
  </r>
  <r>
    <s v="T00990"/>
    <d v="2025-05-26T00:00:00"/>
    <s v="C006"/>
    <s v="P020"/>
    <s v="S003"/>
    <n v="5"/>
    <n v="0.05"/>
    <x v="3"/>
    <s v="Danny Moore"/>
    <x v="24"/>
    <x v="0"/>
    <x v="0"/>
    <n v="323.92"/>
    <n v="1538.6200000000001"/>
  </r>
  <r>
    <s v="T00991"/>
    <d v="2024-07-02T00:00:00"/>
    <s v="C010"/>
    <s v="P046"/>
    <s v="S004"/>
    <n v="3"/>
    <n v="0.05"/>
    <x v="2"/>
    <s v="Catherine Rice"/>
    <x v="42"/>
    <x v="0"/>
    <x v="1"/>
    <n v="1165.3699999999999"/>
    <n v="3321.3044999999997"/>
  </r>
  <r>
    <s v="T00992"/>
    <d v="2023-12-13T00:00:00"/>
    <s v="C068"/>
    <s v="P011"/>
    <s v="S003"/>
    <n v="5"/>
    <n v="0.05"/>
    <x v="2"/>
    <s v="Alexandra Montoya"/>
    <x v="17"/>
    <x v="1"/>
    <x v="0"/>
    <n v="248.57"/>
    <n v="1180.7074999999998"/>
  </r>
  <r>
    <s v="T00993"/>
    <d v="2024-01-26T00:00:00"/>
    <s v="C066"/>
    <s v="P029"/>
    <s v="S003"/>
    <n v="1"/>
    <n v="0.15"/>
    <x v="2"/>
    <s v="Jason Jenkins"/>
    <x v="47"/>
    <x v="0"/>
    <x v="0"/>
    <n v="1485.05"/>
    <n v="1262.2925"/>
  </r>
  <r>
    <s v="T00994"/>
    <d v="2024-09-05T00:00:00"/>
    <s v="C188"/>
    <s v="P016"/>
    <s v="S001"/>
    <n v="3"/>
    <n v="0.15"/>
    <x v="2"/>
    <s v="Ryan Flores"/>
    <x v="13"/>
    <x v="0"/>
    <x v="3"/>
    <n v="1858.75"/>
    <n v="4739.8125"/>
  </r>
  <r>
    <s v="T00995"/>
    <d v="2024-09-04T00:00:00"/>
    <s v="C125"/>
    <s v="P021"/>
    <s v="S005"/>
    <n v="1"/>
    <n v="0.1"/>
    <x v="3"/>
    <s v="Kimberly Parker"/>
    <x v="23"/>
    <x v="2"/>
    <x v="4"/>
    <n v="1227.24"/>
    <n v="1104.5160000000001"/>
  </r>
  <r>
    <s v="T00996"/>
    <d v="2024-08-29T00:00:00"/>
    <s v="C188"/>
    <s v="P032"/>
    <s v="S005"/>
    <n v="4"/>
    <n v="0"/>
    <x v="3"/>
    <s v="Ryan Flores"/>
    <x v="44"/>
    <x v="2"/>
    <x v="4"/>
    <n v="304.70999999999998"/>
    <n v="1218.8399999999999"/>
  </r>
  <r>
    <s v="T00997"/>
    <d v="2024-05-24T00:00:00"/>
    <s v="C198"/>
    <s v="P050"/>
    <s v="S003"/>
    <n v="3"/>
    <n v="0.15"/>
    <x v="1"/>
    <s v="Jessica Mullins"/>
    <x v="3"/>
    <x v="0"/>
    <x v="0"/>
    <n v="1044.6400000000001"/>
    <n v="2663.8319999999999"/>
  </r>
  <r>
    <s v="T00998"/>
    <d v="2024-10-31T00:00:00"/>
    <s v="C031"/>
    <s v="P014"/>
    <s v="S002"/>
    <n v="5"/>
    <n v="0"/>
    <x v="1"/>
    <s v="Ashley Gibson"/>
    <x v="0"/>
    <x v="0"/>
    <x v="2"/>
    <n v="1342.75"/>
    <n v="6713.75"/>
  </r>
  <r>
    <s v="T00999"/>
    <d v="2024-01-12T00:00:00"/>
    <s v="C014"/>
    <s v="P024"/>
    <s v="S003"/>
    <n v="5"/>
    <n v="0"/>
    <x v="0"/>
    <s v="Brittany Green"/>
    <x v="14"/>
    <x v="1"/>
    <x v="0"/>
    <n v="1487.41"/>
    <n v="7437.05"/>
  </r>
  <r>
    <s v="T01000"/>
    <d v="2025-08-12T00:00:00"/>
    <s v="C139"/>
    <s v="P037"/>
    <s v="S005"/>
    <n v="2"/>
    <n v="0.1"/>
    <x v="2"/>
    <s v="Alexander Mcfarland"/>
    <x v="27"/>
    <x v="1"/>
    <x v="4"/>
    <n v="1952.65"/>
    <n v="3514.7700000000004"/>
  </r>
  <r>
    <s v="T01001"/>
    <d v="2024-12-28T00:00:00"/>
    <s v="C040"/>
    <s v="P047"/>
    <s v="S001"/>
    <n v="4"/>
    <n v="0.15"/>
    <x v="3"/>
    <s v="Scott Powell"/>
    <x v="28"/>
    <x v="1"/>
    <x v="3"/>
    <n v="1197.18"/>
    <n v="4070.4120000000003"/>
  </r>
  <r>
    <s v="T01002"/>
    <d v="2024-11-28T00:00:00"/>
    <s v="C057"/>
    <s v="P015"/>
    <s v="S004"/>
    <n v="3"/>
    <n v="0.15"/>
    <x v="2"/>
    <s v="Julie Gibson"/>
    <x v="40"/>
    <x v="0"/>
    <x v="1"/>
    <n v="270.45"/>
    <n v="689.64749999999992"/>
  </r>
  <r>
    <s v="T01003"/>
    <d v="2024-02-23T00:00:00"/>
    <s v="C034"/>
    <s v="P030"/>
    <s v="S003"/>
    <n v="1"/>
    <n v="0.15"/>
    <x v="3"/>
    <s v="Kari Miller"/>
    <x v="1"/>
    <x v="0"/>
    <x v="0"/>
    <n v="29.24"/>
    <n v="24.853999999999999"/>
  </r>
  <r>
    <s v="T01004"/>
    <d v="2024-12-08T00:00:00"/>
    <s v="C141"/>
    <s v="P019"/>
    <s v="S004"/>
    <n v="3"/>
    <n v="0"/>
    <x v="1"/>
    <s v="Adam Lucas"/>
    <x v="26"/>
    <x v="1"/>
    <x v="1"/>
    <n v="1762.92"/>
    <n v="5288.76"/>
  </r>
  <r>
    <s v="T01005"/>
    <d v="2024-05-30T00:00:00"/>
    <s v="C129"/>
    <s v="P014"/>
    <s v="S004"/>
    <n v="2"/>
    <n v="0.05"/>
    <x v="1"/>
    <s v="Gary Taylor"/>
    <x v="0"/>
    <x v="0"/>
    <x v="1"/>
    <n v="1342.75"/>
    <n v="2551.2249999999999"/>
  </r>
  <r>
    <s v="T01006"/>
    <d v="2024-12-11T00:00:00"/>
    <s v="C144"/>
    <s v="P002"/>
    <s v="S002"/>
    <n v="4"/>
    <n v="0.15"/>
    <x v="2"/>
    <s v="Betty Johnson"/>
    <x v="2"/>
    <x v="1"/>
    <x v="2"/>
    <n v="818.76"/>
    <n v="2783.7840000000001"/>
  </r>
  <r>
    <s v="T01007"/>
    <d v="2024-03-19T00:00:00"/>
    <s v="C144"/>
    <s v="P018"/>
    <s v="S005"/>
    <n v="5"/>
    <n v="0.05"/>
    <x v="2"/>
    <s v="Betty Johnson"/>
    <x v="19"/>
    <x v="1"/>
    <x v="4"/>
    <n v="1079.8900000000001"/>
    <n v="5129.4775000000009"/>
  </r>
  <r>
    <s v="T01008"/>
    <d v="2025-06-10T00:00:00"/>
    <s v="C019"/>
    <s v="P014"/>
    <s v="S003"/>
    <n v="4"/>
    <n v="0.1"/>
    <x v="3"/>
    <s v="John Smith"/>
    <x v="0"/>
    <x v="0"/>
    <x v="0"/>
    <n v="1342.75"/>
    <n v="4833.9000000000005"/>
  </r>
  <r>
    <s v="T01009"/>
    <d v="2023-11-01T00:00:00"/>
    <s v="C029"/>
    <s v="P047"/>
    <s v="S004"/>
    <n v="4"/>
    <n v="0.1"/>
    <x v="0"/>
    <s v="Tyler Levine"/>
    <x v="28"/>
    <x v="1"/>
    <x v="1"/>
    <n v="1197.18"/>
    <n v="4309.848"/>
  </r>
  <r>
    <s v="T01010"/>
    <d v="2024-05-09T00:00:00"/>
    <s v="C049"/>
    <s v="P036"/>
    <s v="S003"/>
    <n v="3"/>
    <n v="0"/>
    <x v="0"/>
    <s v="Antonio Hamilton"/>
    <x v="4"/>
    <x v="0"/>
    <x v="0"/>
    <n v="1501.46"/>
    <n v="4504.38"/>
  </r>
  <r>
    <s v="T01011"/>
    <d v="2024-04-21T00:00:00"/>
    <s v="C044"/>
    <s v="P001"/>
    <s v="S003"/>
    <n v="5"/>
    <n v="0.15"/>
    <x v="2"/>
    <s v="Parker Sparks"/>
    <x v="31"/>
    <x v="1"/>
    <x v="0"/>
    <n v="1673.69"/>
    <n v="7113.1825000000008"/>
  </r>
  <r>
    <s v="T01012"/>
    <d v="2024-02-21T00:00:00"/>
    <s v="C113"/>
    <s v="P028"/>
    <s v="S001"/>
    <n v="2"/>
    <n v="0.05"/>
    <x v="0"/>
    <s v="Heidi Wilson"/>
    <x v="25"/>
    <x v="1"/>
    <x v="3"/>
    <n v="673.78"/>
    <n v="1280.1819999999998"/>
  </r>
  <r>
    <s v="T01013"/>
    <d v="2024-02-19T00:00:00"/>
    <s v="C040"/>
    <s v="P020"/>
    <s v="S001"/>
    <n v="1"/>
    <n v="0"/>
    <x v="2"/>
    <s v="Scott Powell"/>
    <x v="24"/>
    <x v="0"/>
    <x v="3"/>
    <n v="323.92"/>
    <n v="323.92"/>
  </r>
  <r>
    <s v="T01014"/>
    <d v="2025-05-13T00:00:00"/>
    <s v="C159"/>
    <s v="P008"/>
    <s v="S002"/>
    <n v="3"/>
    <n v="0"/>
    <x v="0"/>
    <s v="Thomas Chung"/>
    <x v="48"/>
    <x v="0"/>
    <x v="2"/>
    <n v="109.78"/>
    <n v="329.34000000000003"/>
  </r>
  <r>
    <s v="T01015"/>
    <d v="2025-06-20T00:00:00"/>
    <s v="C178"/>
    <s v="P005"/>
    <s v="S001"/>
    <n v="3"/>
    <n v="0.15"/>
    <x v="1"/>
    <s v="Mark Mcdonald"/>
    <x v="6"/>
    <x v="0"/>
    <x v="3"/>
    <n v="1396.22"/>
    <n v="3560.3609999999999"/>
  </r>
  <r>
    <s v="T01016"/>
    <d v="2024-07-07T00:00:00"/>
    <s v="C006"/>
    <s v="P026"/>
    <s v="S003"/>
    <n v="2"/>
    <n v="0.05"/>
    <x v="2"/>
    <s v="Danny Moore"/>
    <x v="15"/>
    <x v="2"/>
    <x v="0"/>
    <n v="1015.76"/>
    <n v="1929.944"/>
  </r>
  <r>
    <s v="T01017"/>
    <d v="2023-11-13T00:00:00"/>
    <s v="C140"/>
    <s v="P046"/>
    <s v="S005"/>
    <n v="3"/>
    <n v="0.15"/>
    <x v="2"/>
    <s v="Stacy Williams"/>
    <x v="42"/>
    <x v="0"/>
    <x v="4"/>
    <n v="1165.3699999999999"/>
    <n v="2971.6934999999999"/>
  </r>
  <r>
    <s v="T01018"/>
    <d v="2024-06-08T00:00:00"/>
    <s v="C178"/>
    <s v="P032"/>
    <s v="S001"/>
    <n v="4"/>
    <n v="0"/>
    <x v="0"/>
    <s v="Mark Mcdonald"/>
    <x v="44"/>
    <x v="2"/>
    <x v="3"/>
    <n v="304.70999999999998"/>
    <n v="1218.8399999999999"/>
  </r>
  <r>
    <s v="T01019"/>
    <d v="2024-06-27T00:00:00"/>
    <s v="C044"/>
    <s v="P039"/>
    <s v="S001"/>
    <n v="3"/>
    <n v="0.05"/>
    <x v="0"/>
    <s v="Parker Sparks"/>
    <x v="22"/>
    <x v="0"/>
    <x v="3"/>
    <n v="540.94000000000005"/>
    <n v="1541.6790000000001"/>
  </r>
  <r>
    <s v="T01020"/>
    <d v="2025-08-21T00:00:00"/>
    <s v="C014"/>
    <s v="P010"/>
    <s v="S004"/>
    <n v="1"/>
    <n v="0"/>
    <x v="1"/>
    <s v="Brittany Green"/>
    <x v="36"/>
    <x v="1"/>
    <x v="1"/>
    <n v="1194.1199999999999"/>
    <n v="1194.1199999999999"/>
  </r>
  <r>
    <s v="T01021"/>
    <d v="2024-02-11T00:00:00"/>
    <s v="C170"/>
    <s v="P006"/>
    <s v="S003"/>
    <n v="3"/>
    <n v="0"/>
    <x v="3"/>
    <s v="Amber Graham"/>
    <x v="35"/>
    <x v="2"/>
    <x v="0"/>
    <n v="318.05"/>
    <n v="954.15000000000009"/>
  </r>
  <r>
    <s v="T01022"/>
    <d v="2024-03-08T00:00:00"/>
    <s v="C075"/>
    <s v="P026"/>
    <s v="S004"/>
    <n v="2"/>
    <n v="0.15"/>
    <x v="3"/>
    <s v="Seth Moore"/>
    <x v="15"/>
    <x v="2"/>
    <x v="1"/>
    <n v="1015.76"/>
    <n v="1726.7919999999999"/>
  </r>
  <r>
    <s v="T01023"/>
    <d v="2024-07-10T00:00:00"/>
    <s v="C081"/>
    <s v="P001"/>
    <s v="S004"/>
    <n v="5"/>
    <n v="0"/>
    <x v="2"/>
    <s v="Sarah Reynolds"/>
    <x v="31"/>
    <x v="1"/>
    <x v="1"/>
    <n v="1673.69"/>
    <n v="8368.4500000000007"/>
  </r>
  <r>
    <s v="T01024"/>
    <d v="2024-12-04T00:00:00"/>
    <s v="C051"/>
    <s v="P039"/>
    <s v="S005"/>
    <n v="4"/>
    <n v="0"/>
    <x v="3"/>
    <s v="Madison Sellers"/>
    <x v="22"/>
    <x v="0"/>
    <x v="4"/>
    <n v="540.94000000000005"/>
    <n v="2163.7600000000002"/>
  </r>
  <r>
    <s v="T01025"/>
    <d v="2023-12-27T00:00:00"/>
    <s v="C064"/>
    <s v="P023"/>
    <s v="S005"/>
    <n v="3"/>
    <n v="0.1"/>
    <x v="1"/>
    <s v="Amanda Hoover"/>
    <x v="20"/>
    <x v="0"/>
    <x v="4"/>
    <n v="1878.47"/>
    <n v="5071.8689999999997"/>
  </r>
  <r>
    <s v="T01026"/>
    <d v="2023-09-26T00:00:00"/>
    <s v="C101"/>
    <s v="P044"/>
    <s v="S002"/>
    <n v="1"/>
    <n v="0.1"/>
    <x v="0"/>
    <s v="William Pope"/>
    <x v="32"/>
    <x v="0"/>
    <x v="2"/>
    <n v="1286.55"/>
    <n v="1157.895"/>
  </r>
  <r>
    <s v="T01027"/>
    <d v="2024-10-31T00:00:00"/>
    <s v="C091"/>
    <s v="P040"/>
    <s v="S003"/>
    <n v="2"/>
    <n v="0.1"/>
    <x v="3"/>
    <s v="Brian Fowler"/>
    <x v="37"/>
    <x v="1"/>
    <x v="0"/>
    <n v="1745.61"/>
    <n v="3142.098"/>
  </r>
  <r>
    <s v="T01028"/>
    <d v="2025-03-10T00:00:00"/>
    <s v="C161"/>
    <s v="P002"/>
    <s v="S003"/>
    <n v="4"/>
    <n v="0"/>
    <x v="0"/>
    <s v="Michael Perez"/>
    <x v="2"/>
    <x v="1"/>
    <x v="0"/>
    <n v="818.76"/>
    <n v="3275.04"/>
  </r>
  <r>
    <s v="T01029"/>
    <d v="2024-02-20T00:00:00"/>
    <s v="C058"/>
    <s v="P031"/>
    <s v="S002"/>
    <n v="3"/>
    <n v="0.15"/>
    <x v="2"/>
    <s v="Lawrence Stewart"/>
    <x v="39"/>
    <x v="2"/>
    <x v="2"/>
    <n v="1095.72"/>
    <n v="2794.0859999999998"/>
  </r>
  <r>
    <s v="T01030"/>
    <d v="2023-12-10T00:00:00"/>
    <s v="C023"/>
    <s v="P001"/>
    <s v="S004"/>
    <n v="5"/>
    <n v="0.05"/>
    <x v="1"/>
    <s v="Mark Martinez"/>
    <x v="31"/>
    <x v="1"/>
    <x v="1"/>
    <n v="1673.69"/>
    <n v="7950.0275000000001"/>
  </r>
  <r>
    <s v="T01031"/>
    <d v="2024-03-27T00:00:00"/>
    <s v="C062"/>
    <s v="P037"/>
    <s v="S005"/>
    <n v="2"/>
    <n v="0.15"/>
    <x v="0"/>
    <s v="Susan Salinas"/>
    <x v="27"/>
    <x v="1"/>
    <x v="4"/>
    <n v="1952.65"/>
    <n v="3319.5050000000001"/>
  </r>
  <r>
    <s v="T01032"/>
    <d v="2024-06-10T00:00:00"/>
    <s v="C155"/>
    <s v="P019"/>
    <s v="S003"/>
    <n v="4"/>
    <n v="0.05"/>
    <x v="2"/>
    <s v="Jill Mcconnell"/>
    <x v="26"/>
    <x v="1"/>
    <x v="0"/>
    <n v="1762.92"/>
    <n v="6699.0959999999995"/>
  </r>
  <r>
    <s v="T01033"/>
    <d v="2025-01-14T00:00:00"/>
    <s v="C168"/>
    <s v="P027"/>
    <s v="S002"/>
    <n v="5"/>
    <n v="0.05"/>
    <x v="2"/>
    <s v="Richard Jones"/>
    <x v="34"/>
    <x v="1"/>
    <x v="2"/>
    <n v="1272.23"/>
    <n v="6043.0924999999997"/>
  </r>
  <r>
    <s v="T01034"/>
    <d v="2023-10-12T00:00:00"/>
    <s v="C080"/>
    <s v="P010"/>
    <s v="S005"/>
    <n v="2"/>
    <n v="0.15"/>
    <x v="2"/>
    <s v="Grace Garcia"/>
    <x v="36"/>
    <x v="1"/>
    <x v="4"/>
    <n v="1194.1199999999999"/>
    <n v="2030.0039999999997"/>
  </r>
  <r>
    <s v="T01035"/>
    <d v="2025-02-06T00:00:00"/>
    <s v="C168"/>
    <s v="P023"/>
    <s v="S005"/>
    <n v="2"/>
    <n v="0.1"/>
    <x v="3"/>
    <s v="Richard Jones"/>
    <x v="20"/>
    <x v="0"/>
    <x v="4"/>
    <n v="1878.47"/>
    <n v="3381.2460000000001"/>
  </r>
  <r>
    <s v="T01036"/>
    <d v="2024-08-04T00:00:00"/>
    <s v="C143"/>
    <s v="P002"/>
    <s v="S005"/>
    <n v="1"/>
    <n v="0.05"/>
    <x v="0"/>
    <s v="Cynthia Carlson"/>
    <x v="2"/>
    <x v="1"/>
    <x v="4"/>
    <n v="818.76"/>
    <n v="777.822"/>
  </r>
  <r>
    <s v="T01037"/>
    <d v="2024-10-23T00:00:00"/>
    <s v="C038"/>
    <s v="P050"/>
    <s v="S001"/>
    <n v="3"/>
    <n v="0.15"/>
    <x v="1"/>
    <s v="Tracey Davis"/>
    <x v="3"/>
    <x v="0"/>
    <x v="3"/>
    <n v="1044.6400000000001"/>
    <n v="2663.8319999999999"/>
  </r>
  <r>
    <s v="T01038"/>
    <d v="2024-01-08T00:00:00"/>
    <s v="C078"/>
    <s v="P019"/>
    <s v="S004"/>
    <n v="3"/>
    <n v="0.05"/>
    <x v="2"/>
    <s v="Jeanne Young"/>
    <x v="26"/>
    <x v="1"/>
    <x v="1"/>
    <n v="1762.92"/>
    <n v="5024.3220000000001"/>
  </r>
  <r>
    <s v="T01039"/>
    <d v="2025-06-13T00:00:00"/>
    <s v="C028"/>
    <s v="P030"/>
    <s v="S002"/>
    <n v="2"/>
    <n v="0"/>
    <x v="0"/>
    <s v="John Carr"/>
    <x v="1"/>
    <x v="0"/>
    <x v="2"/>
    <n v="29.24"/>
    <n v="58.48"/>
  </r>
  <r>
    <s v="T01040"/>
    <d v="2024-03-26T00:00:00"/>
    <s v="C156"/>
    <s v="P044"/>
    <s v="S005"/>
    <n v="5"/>
    <n v="0.05"/>
    <x v="2"/>
    <s v="George Young"/>
    <x v="32"/>
    <x v="0"/>
    <x v="4"/>
    <n v="1286.55"/>
    <n v="6111.1124999999993"/>
  </r>
  <r>
    <s v="T01041"/>
    <d v="2025-05-22T00:00:00"/>
    <s v="C060"/>
    <s v="P002"/>
    <s v="S001"/>
    <n v="3"/>
    <n v="0"/>
    <x v="1"/>
    <s v="Anthony Conway"/>
    <x v="2"/>
    <x v="1"/>
    <x v="3"/>
    <n v="818.76"/>
    <n v="2456.2799999999997"/>
  </r>
  <r>
    <s v="T01042"/>
    <d v="2024-10-19T00:00:00"/>
    <s v="C035"/>
    <s v="P001"/>
    <s v="S005"/>
    <n v="5"/>
    <n v="0.15"/>
    <x v="0"/>
    <s v="Kimberly King"/>
    <x v="31"/>
    <x v="1"/>
    <x v="4"/>
    <n v="1673.69"/>
    <n v="7113.1825000000008"/>
  </r>
  <r>
    <s v="T01043"/>
    <d v="2024-05-01T00:00:00"/>
    <s v="C048"/>
    <s v="P001"/>
    <s v="S004"/>
    <n v="4"/>
    <n v="0.15"/>
    <x v="2"/>
    <s v="Alexis Crane"/>
    <x v="31"/>
    <x v="1"/>
    <x v="1"/>
    <n v="1673.69"/>
    <n v="5690.5460000000003"/>
  </r>
  <r>
    <s v="T01044"/>
    <d v="2024-07-12T00:00:00"/>
    <s v="C042"/>
    <s v="P028"/>
    <s v="S002"/>
    <n v="2"/>
    <n v="0"/>
    <x v="1"/>
    <s v="Anna Andrews"/>
    <x v="25"/>
    <x v="1"/>
    <x v="2"/>
    <n v="673.78"/>
    <n v="1347.56"/>
  </r>
  <r>
    <s v="T01045"/>
    <d v="2024-11-04T00:00:00"/>
    <s v="C196"/>
    <s v="P049"/>
    <s v="S001"/>
    <n v="3"/>
    <n v="0.15"/>
    <x v="2"/>
    <s v="James Noble"/>
    <x v="29"/>
    <x v="0"/>
    <x v="3"/>
    <n v="388.26"/>
    <n v="990.06299999999999"/>
  </r>
  <r>
    <s v="T01046"/>
    <d v="2025-03-03T00:00:00"/>
    <s v="C191"/>
    <s v="P019"/>
    <s v="S002"/>
    <n v="2"/>
    <n v="0"/>
    <x v="2"/>
    <s v="Karen Quinn"/>
    <x v="26"/>
    <x v="1"/>
    <x v="2"/>
    <n v="1762.92"/>
    <n v="3525.84"/>
  </r>
  <r>
    <s v="T01047"/>
    <d v="2023-09-15T00:00:00"/>
    <s v="C113"/>
    <s v="P036"/>
    <s v="S005"/>
    <n v="4"/>
    <n v="0.1"/>
    <x v="1"/>
    <s v="Heidi Wilson"/>
    <x v="4"/>
    <x v="0"/>
    <x v="4"/>
    <n v="1501.46"/>
    <n v="5405.2560000000003"/>
  </r>
  <r>
    <s v="T01048"/>
    <d v="2024-01-17T00:00:00"/>
    <s v="C064"/>
    <s v="P024"/>
    <s v="S004"/>
    <n v="4"/>
    <n v="0"/>
    <x v="1"/>
    <s v="Amanda Hoover"/>
    <x v="14"/>
    <x v="1"/>
    <x v="1"/>
    <n v="1487.41"/>
    <n v="5949.64"/>
  </r>
  <r>
    <s v="T01049"/>
    <d v="2023-12-22T00:00:00"/>
    <s v="C185"/>
    <s v="P020"/>
    <s v="S003"/>
    <n v="4"/>
    <n v="0"/>
    <x v="3"/>
    <s v="Joe Vincent"/>
    <x v="24"/>
    <x v="0"/>
    <x v="0"/>
    <n v="323.92"/>
    <n v="1295.68"/>
  </r>
  <r>
    <s v="T01050"/>
    <d v="2024-06-11T00:00:00"/>
    <s v="C116"/>
    <s v="P048"/>
    <s v="S004"/>
    <n v="1"/>
    <n v="0.05"/>
    <x v="1"/>
    <s v="Jamie Webb"/>
    <x v="11"/>
    <x v="0"/>
    <x v="1"/>
    <n v="1216.3599999999999"/>
    <n v="1155.5419999999999"/>
  </r>
  <r>
    <s v="T01051"/>
    <d v="2024-08-26T00:00:00"/>
    <s v="C189"/>
    <s v="P016"/>
    <s v="S001"/>
    <n v="5"/>
    <n v="0.15"/>
    <x v="3"/>
    <s v="Steve Flynn"/>
    <x v="13"/>
    <x v="0"/>
    <x v="3"/>
    <n v="1858.75"/>
    <n v="7899.6875"/>
  </r>
  <r>
    <s v="T01052"/>
    <d v="2024-12-17T00:00:00"/>
    <s v="C049"/>
    <s v="P032"/>
    <s v="S003"/>
    <n v="4"/>
    <n v="0.15"/>
    <x v="0"/>
    <s v="Antonio Hamilton"/>
    <x v="44"/>
    <x v="2"/>
    <x v="0"/>
    <n v="304.70999999999998"/>
    <n v="1036.0139999999999"/>
  </r>
  <r>
    <s v="T01053"/>
    <d v="2024-06-05T00:00:00"/>
    <s v="C199"/>
    <s v="P049"/>
    <s v="S003"/>
    <n v="4"/>
    <n v="0.05"/>
    <x v="1"/>
    <s v="Juan Johnson"/>
    <x v="29"/>
    <x v="0"/>
    <x v="0"/>
    <n v="388.26"/>
    <n v="1475.3879999999999"/>
  </r>
  <r>
    <s v="T01054"/>
    <d v="2025-02-22T00:00:00"/>
    <s v="C076"/>
    <s v="P012"/>
    <s v="S005"/>
    <n v="1"/>
    <n v="0.05"/>
    <x v="1"/>
    <s v="Phyllis Durham"/>
    <x v="38"/>
    <x v="1"/>
    <x v="4"/>
    <n v="1193.0899999999999"/>
    <n v="1133.4354999999998"/>
  </r>
  <r>
    <s v="T01055"/>
    <d v="2023-11-28T00:00:00"/>
    <s v="C166"/>
    <s v="P013"/>
    <s v="S004"/>
    <n v="1"/>
    <n v="0"/>
    <x v="2"/>
    <s v="Meagan Ali"/>
    <x v="21"/>
    <x v="0"/>
    <x v="1"/>
    <n v="1134.8"/>
    <n v="1134.8"/>
  </r>
  <r>
    <s v="T01056"/>
    <d v="2023-12-15T00:00:00"/>
    <s v="C200"/>
    <s v="P014"/>
    <s v="S005"/>
    <n v="5"/>
    <n v="0.05"/>
    <x v="1"/>
    <s v="Ronald Haley"/>
    <x v="0"/>
    <x v="0"/>
    <x v="4"/>
    <n v="1342.75"/>
    <n v="6378.0625"/>
  </r>
  <r>
    <s v="T01057"/>
    <d v="2023-12-25T00:00:00"/>
    <s v="C106"/>
    <s v="P002"/>
    <s v="S003"/>
    <n v="4"/>
    <n v="0"/>
    <x v="2"/>
    <s v="Kevin Flores"/>
    <x v="2"/>
    <x v="1"/>
    <x v="0"/>
    <n v="818.76"/>
    <n v="3275.04"/>
  </r>
  <r>
    <s v="T01058"/>
    <d v="2024-03-12T00:00:00"/>
    <s v="C117"/>
    <s v="P042"/>
    <s v="S005"/>
    <n v="2"/>
    <n v="0.15"/>
    <x v="3"/>
    <s v="Timothy Beck"/>
    <x v="10"/>
    <x v="0"/>
    <x v="4"/>
    <n v="453.62"/>
    <n v="771.154"/>
  </r>
  <r>
    <s v="T01059"/>
    <d v="2025-07-22T00:00:00"/>
    <s v="C065"/>
    <s v="P015"/>
    <s v="S003"/>
    <n v="2"/>
    <n v="0"/>
    <x v="3"/>
    <s v="Scott Duke"/>
    <x v="40"/>
    <x v="0"/>
    <x v="0"/>
    <n v="270.45"/>
    <n v="540.9"/>
  </r>
  <r>
    <s v="T01060"/>
    <d v="2025-01-08T00:00:00"/>
    <s v="C030"/>
    <s v="P034"/>
    <s v="S004"/>
    <n v="3"/>
    <n v="0"/>
    <x v="1"/>
    <s v="Lacey Hall"/>
    <x v="12"/>
    <x v="1"/>
    <x v="1"/>
    <n v="428.05"/>
    <n v="1284.1500000000001"/>
  </r>
  <r>
    <s v="T01061"/>
    <d v="2024-09-28T00:00:00"/>
    <s v="C187"/>
    <s v="P038"/>
    <s v="S005"/>
    <n v="5"/>
    <n v="0.05"/>
    <x v="1"/>
    <s v="Cynthia Cherry"/>
    <x v="41"/>
    <x v="0"/>
    <x v="4"/>
    <n v="366.93"/>
    <n v="1742.9175"/>
  </r>
  <r>
    <s v="T01062"/>
    <d v="2024-04-06T00:00:00"/>
    <s v="C141"/>
    <s v="P033"/>
    <s v="S004"/>
    <n v="1"/>
    <n v="0.05"/>
    <x v="0"/>
    <s v="Adam Lucas"/>
    <x v="16"/>
    <x v="0"/>
    <x v="1"/>
    <n v="1798.97"/>
    <n v="1709.0214999999998"/>
  </r>
  <r>
    <s v="T01063"/>
    <d v="2024-05-31T00:00:00"/>
    <s v="C145"/>
    <s v="P045"/>
    <s v="S002"/>
    <n v="2"/>
    <n v="0.05"/>
    <x v="2"/>
    <s v="Paige Osborne"/>
    <x v="8"/>
    <x v="2"/>
    <x v="2"/>
    <n v="1879.08"/>
    <n v="3570.2519999999995"/>
  </r>
  <r>
    <s v="T01064"/>
    <d v="2023-11-26T00:00:00"/>
    <s v="C197"/>
    <s v="P040"/>
    <s v="S001"/>
    <n v="4"/>
    <n v="0.1"/>
    <x v="0"/>
    <s v="Matthew Dixon"/>
    <x v="37"/>
    <x v="1"/>
    <x v="3"/>
    <n v="1745.61"/>
    <n v="6284.1959999999999"/>
  </r>
  <r>
    <s v="T01065"/>
    <d v="2024-06-18T00:00:00"/>
    <s v="C187"/>
    <s v="P048"/>
    <s v="S004"/>
    <n v="3"/>
    <n v="0.05"/>
    <x v="3"/>
    <s v="Cynthia Cherry"/>
    <x v="11"/>
    <x v="0"/>
    <x v="1"/>
    <n v="1216.3599999999999"/>
    <n v="3466.6259999999997"/>
  </r>
  <r>
    <s v="T01066"/>
    <d v="2025-03-08T00:00:00"/>
    <s v="C034"/>
    <s v="P037"/>
    <s v="S002"/>
    <n v="1"/>
    <n v="0.1"/>
    <x v="3"/>
    <s v="Kari Miller"/>
    <x v="27"/>
    <x v="1"/>
    <x v="2"/>
    <n v="1952.65"/>
    <n v="1757.3850000000002"/>
  </r>
  <r>
    <s v="T01067"/>
    <d v="2025-01-03T00:00:00"/>
    <s v="C118"/>
    <s v="P013"/>
    <s v="S004"/>
    <n v="4"/>
    <n v="0"/>
    <x v="1"/>
    <s v="Gina Bradford"/>
    <x v="21"/>
    <x v="0"/>
    <x v="1"/>
    <n v="1134.8"/>
    <n v="4539.2"/>
  </r>
  <r>
    <s v="T01068"/>
    <d v="2024-10-29T00:00:00"/>
    <s v="C061"/>
    <s v="P049"/>
    <s v="S002"/>
    <n v="5"/>
    <n v="0.15"/>
    <x v="1"/>
    <s v="Heather Russell"/>
    <x v="29"/>
    <x v="0"/>
    <x v="2"/>
    <n v="388.26"/>
    <n v="1650.105"/>
  </r>
  <r>
    <s v="T01069"/>
    <d v="2024-11-27T00:00:00"/>
    <s v="C105"/>
    <s v="P022"/>
    <s v="S004"/>
    <n v="1"/>
    <n v="0"/>
    <x v="2"/>
    <s v="Kenneth Berg"/>
    <x v="9"/>
    <x v="2"/>
    <x v="1"/>
    <n v="25.57"/>
    <n v="25.57"/>
  </r>
  <r>
    <s v="T01070"/>
    <d v="2024-07-05T00:00:00"/>
    <s v="C141"/>
    <s v="P003"/>
    <s v="S003"/>
    <n v="5"/>
    <n v="0.05"/>
    <x v="3"/>
    <s v="Adam Lucas"/>
    <x v="46"/>
    <x v="0"/>
    <x v="0"/>
    <n v="337.63"/>
    <n v="1603.7425000000001"/>
  </r>
  <r>
    <s v="T01071"/>
    <d v="2025-03-06T00:00:00"/>
    <s v="C048"/>
    <s v="P039"/>
    <s v="S002"/>
    <n v="1"/>
    <n v="0.1"/>
    <x v="3"/>
    <s v="Alexis Crane"/>
    <x v="22"/>
    <x v="0"/>
    <x v="2"/>
    <n v="540.94000000000005"/>
    <n v="486.84600000000006"/>
  </r>
  <r>
    <s v="T01072"/>
    <d v="2024-02-26T00:00:00"/>
    <s v="C038"/>
    <s v="P013"/>
    <s v="S001"/>
    <n v="5"/>
    <n v="0.1"/>
    <x v="0"/>
    <s v="Tracey Davis"/>
    <x v="21"/>
    <x v="0"/>
    <x v="3"/>
    <n v="1134.8"/>
    <n v="5106.6000000000004"/>
  </r>
  <r>
    <s v="T01073"/>
    <d v="2025-02-20T00:00:00"/>
    <s v="C023"/>
    <s v="P041"/>
    <s v="S001"/>
    <n v="1"/>
    <n v="0.15"/>
    <x v="2"/>
    <s v="Mark Martinez"/>
    <x v="30"/>
    <x v="1"/>
    <x v="3"/>
    <n v="1635.01"/>
    <n v="1389.7584999999999"/>
  </r>
  <r>
    <s v="T01074"/>
    <d v="2024-07-07T00:00:00"/>
    <s v="C042"/>
    <s v="P045"/>
    <s v="S003"/>
    <n v="5"/>
    <n v="0.05"/>
    <x v="1"/>
    <s v="Anna Andrews"/>
    <x v="8"/>
    <x v="2"/>
    <x v="0"/>
    <n v="1879.08"/>
    <n v="8925.6299999999992"/>
  </r>
  <r>
    <s v="T01075"/>
    <d v="2025-01-28T00:00:00"/>
    <s v="C192"/>
    <s v="P006"/>
    <s v="S005"/>
    <n v="3"/>
    <n v="0"/>
    <x v="3"/>
    <s v="James Wilson"/>
    <x v="35"/>
    <x v="2"/>
    <x v="4"/>
    <n v="318.05"/>
    <n v="954.15000000000009"/>
  </r>
  <r>
    <s v="T01076"/>
    <d v="2025-06-28T00:00:00"/>
    <s v="C197"/>
    <s v="P028"/>
    <s v="S003"/>
    <n v="3"/>
    <n v="0.1"/>
    <x v="1"/>
    <s v="Matthew Dixon"/>
    <x v="25"/>
    <x v="1"/>
    <x v="0"/>
    <n v="673.78"/>
    <n v="1819.2059999999999"/>
  </r>
  <r>
    <s v="T01077"/>
    <d v="2025-05-23T00:00:00"/>
    <s v="C018"/>
    <s v="P017"/>
    <s v="S004"/>
    <n v="5"/>
    <n v="0"/>
    <x v="0"/>
    <s v="Breanna Davis"/>
    <x v="43"/>
    <x v="1"/>
    <x v="1"/>
    <n v="1246.1099999999999"/>
    <n v="6230.5499999999993"/>
  </r>
  <r>
    <s v="T01078"/>
    <d v="2024-12-24T00:00:00"/>
    <s v="C121"/>
    <s v="P009"/>
    <s v="S002"/>
    <n v="1"/>
    <n v="0.1"/>
    <x v="0"/>
    <s v="John Bell"/>
    <x v="5"/>
    <x v="2"/>
    <x v="2"/>
    <n v="123.19"/>
    <n v="110.871"/>
  </r>
  <r>
    <s v="T01079"/>
    <d v="2024-12-24T00:00:00"/>
    <s v="C135"/>
    <s v="P047"/>
    <s v="S004"/>
    <n v="5"/>
    <n v="0.05"/>
    <x v="2"/>
    <s v="Mario Cuevas"/>
    <x v="28"/>
    <x v="1"/>
    <x v="1"/>
    <n v="1197.18"/>
    <n v="5686.6050000000005"/>
  </r>
  <r>
    <s v="T01080"/>
    <d v="2024-09-05T00:00:00"/>
    <s v="C157"/>
    <s v="P004"/>
    <s v="S001"/>
    <n v="1"/>
    <n v="0"/>
    <x v="1"/>
    <s v="Connie Terry"/>
    <x v="49"/>
    <x v="0"/>
    <x v="3"/>
    <n v="1853.77"/>
    <n v="1853.77"/>
  </r>
  <r>
    <s v="T01081"/>
    <d v="2023-12-26T00:00:00"/>
    <s v="C186"/>
    <s v="P002"/>
    <s v="S005"/>
    <n v="3"/>
    <n v="0.15"/>
    <x v="0"/>
    <s v="Vicki Guzman"/>
    <x v="2"/>
    <x v="1"/>
    <x v="4"/>
    <n v="818.76"/>
    <n v="2087.8379999999997"/>
  </r>
  <r>
    <s v="T01082"/>
    <d v="2023-12-10T00:00:00"/>
    <s v="C067"/>
    <s v="P019"/>
    <s v="S005"/>
    <n v="5"/>
    <n v="0.1"/>
    <x v="2"/>
    <s v="Daniel Maldonado"/>
    <x v="26"/>
    <x v="1"/>
    <x v="4"/>
    <n v="1762.92"/>
    <n v="7933.14"/>
  </r>
  <r>
    <s v="T01083"/>
    <d v="2024-04-17T00:00:00"/>
    <s v="C158"/>
    <s v="P025"/>
    <s v="S005"/>
    <n v="4"/>
    <n v="0.15"/>
    <x v="1"/>
    <s v="Crystal Aguirre"/>
    <x v="33"/>
    <x v="0"/>
    <x v="4"/>
    <n v="429.15"/>
    <n v="1459.11"/>
  </r>
  <r>
    <s v="T01084"/>
    <d v="2025-03-29T00:00:00"/>
    <s v="C047"/>
    <s v="P009"/>
    <s v="S005"/>
    <n v="2"/>
    <n v="0.1"/>
    <x v="2"/>
    <s v="Mary Decker"/>
    <x v="5"/>
    <x v="2"/>
    <x v="4"/>
    <n v="123.19"/>
    <n v="221.74199999999999"/>
  </r>
  <r>
    <s v="T01085"/>
    <d v="2024-11-25T00:00:00"/>
    <s v="C001"/>
    <s v="P015"/>
    <s v="S001"/>
    <n v="1"/>
    <n v="0.15"/>
    <x v="3"/>
    <s v="Michael Davis"/>
    <x v="40"/>
    <x v="0"/>
    <x v="3"/>
    <n v="270.45"/>
    <n v="229.88249999999999"/>
  </r>
  <r>
    <s v="T01086"/>
    <d v="2025-04-04T00:00:00"/>
    <s v="C189"/>
    <s v="P038"/>
    <s v="S002"/>
    <n v="5"/>
    <n v="0.15"/>
    <x v="1"/>
    <s v="Steve Flynn"/>
    <x v="41"/>
    <x v="0"/>
    <x v="2"/>
    <n v="366.93"/>
    <n v="1559.4525000000001"/>
  </r>
  <r>
    <s v="T01087"/>
    <d v="2025-01-06T00:00:00"/>
    <s v="C012"/>
    <s v="P046"/>
    <s v="S003"/>
    <n v="3"/>
    <n v="0.05"/>
    <x v="3"/>
    <s v="Dale Perry"/>
    <x v="42"/>
    <x v="0"/>
    <x v="0"/>
    <n v="1165.3699999999999"/>
    <n v="3321.3044999999997"/>
  </r>
  <r>
    <s v="T01088"/>
    <d v="2024-03-02T00:00:00"/>
    <s v="C164"/>
    <s v="P005"/>
    <s v="S002"/>
    <n v="3"/>
    <n v="0.1"/>
    <x v="3"/>
    <s v="Linda Vasquez"/>
    <x v="6"/>
    <x v="0"/>
    <x v="2"/>
    <n v="1396.22"/>
    <n v="3769.7939999999999"/>
  </r>
  <r>
    <s v="T01089"/>
    <d v="2024-04-03T00:00:00"/>
    <s v="C079"/>
    <s v="P026"/>
    <s v="S003"/>
    <n v="5"/>
    <n v="0.1"/>
    <x v="3"/>
    <s v="Donald Marsh"/>
    <x v="15"/>
    <x v="2"/>
    <x v="0"/>
    <n v="1015.76"/>
    <n v="4570.92"/>
  </r>
  <r>
    <s v="T01090"/>
    <d v="2024-03-20T00:00:00"/>
    <s v="C030"/>
    <s v="P009"/>
    <s v="S003"/>
    <n v="3"/>
    <n v="0.15"/>
    <x v="3"/>
    <s v="Lacey Hall"/>
    <x v="5"/>
    <x v="2"/>
    <x v="0"/>
    <n v="123.19"/>
    <n v="314.1345"/>
  </r>
  <r>
    <s v="T01091"/>
    <d v="2025-01-23T00:00:00"/>
    <s v="C045"/>
    <s v="P040"/>
    <s v="S002"/>
    <n v="3"/>
    <n v="0.1"/>
    <x v="1"/>
    <s v="Kelly Shaw"/>
    <x v="37"/>
    <x v="1"/>
    <x v="2"/>
    <n v="1745.61"/>
    <n v="4713.1469999999999"/>
  </r>
  <r>
    <s v="T01092"/>
    <d v="2025-07-12T00:00:00"/>
    <s v="C122"/>
    <s v="P041"/>
    <s v="S001"/>
    <n v="2"/>
    <n v="0.15"/>
    <x v="2"/>
    <s v="Amy Smith"/>
    <x v="30"/>
    <x v="1"/>
    <x v="3"/>
    <n v="1635.01"/>
    <n v="2779.5169999999998"/>
  </r>
  <r>
    <s v="T01093"/>
    <d v="2024-07-29T00:00:00"/>
    <s v="C161"/>
    <s v="P033"/>
    <s v="S004"/>
    <n v="5"/>
    <n v="0.1"/>
    <x v="1"/>
    <s v="Michael Perez"/>
    <x v="16"/>
    <x v="0"/>
    <x v="1"/>
    <n v="1798.97"/>
    <n v="8095.3650000000007"/>
  </r>
  <r>
    <s v="T01094"/>
    <d v="2024-05-29T00:00:00"/>
    <s v="C106"/>
    <s v="P020"/>
    <s v="S001"/>
    <n v="5"/>
    <n v="0.1"/>
    <x v="0"/>
    <s v="Kevin Flores"/>
    <x v="24"/>
    <x v="0"/>
    <x v="3"/>
    <n v="323.92"/>
    <n v="1457.64"/>
  </r>
  <r>
    <s v="T01095"/>
    <d v="2025-06-14T00:00:00"/>
    <s v="C143"/>
    <s v="P034"/>
    <s v="S005"/>
    <n v="1"/>
    <n v="0.05"/>
    <x v="0"/>
    <s v="Cynthia Carlson"/>
    <x v="12"/>
    <x v="1"/>
    <x v="4"/>
    <n v="428.05"/>
    <n v="406.64749999999998"/>
  </r>
  <r>
    <s v="T01096"/>
    <d v="2025-03-30T00:00:00"/>
    <s v="C091"/>
    <s v="P031"/>
    <s v="S001"/>
    <n v="2"/>
    <n v="0.1"/>
    <x v="3"/>
    <s v="Brian Fowler"/>
    <x v="39"/>
    <x v="2"/>
    <x v="3"/>
    <n v="1095.72"/>
    <n v="1972.296"/>
  </r>
  <r>
    <s v="T01097"/>
    <d v="2024-09-15T00:00:00"/>
    <s v="C087"/>
    <s v="P002"/>
    <s v="S004"/>
    <n v="5"/>
    <n v="0.05"/>
    <x v="1"/>
    <s v="Laurie Mason"/>
    <x v="2"/>
    <x v="1"/>
    <x v="1"/>
    <n v="818.76"/>
    <n v="3889.11"/>
  </r>
  <r>
    <s v="T01098"/>
    <d v="2024-11-12T00:00:00"/>
    <s v="C048"/>
    <s v="P023"/>
    <s v="S005"/>
    <n v="1"/>
    <n v="0.1"/>
    <x v="0"/>
    <s v="Alexis Crane"/>
    <x v="20"/>
    <x v="0"/>
    <x v="4"/>
    <n v="1878.47"/>
    <n v="1690.623"/>
  </r>
  <r>
    <s v="T01099"/>
    <d v="2025-07-06T00:00:00"/>
    <s v="C182"/>
    <s v="P012"/>
    <s v="S001"/>
    <n v="3"/>
    <n v="0.15"/>
    <x v="3"/>
    <s v="Meghan Wright"/>
    <x v="38"/>
    <x v="1"/>
    <x v="3"/>
    <n v="1193.0899999999999"/>
    <n v="3042.3794999999996"/>
  </r>
  <r>
    <s v="T01100"/>
    <d v="2024-11-19T00:00:00"/>
    <s v="C128"/>
    <s v="P035"/>
    <s v="S002"/>
    <n v="3"/>
    <n v="0.15"/>
    <x v="0"/>
    <s v="Robert Collins"/>
    <x v="7"/>
    <x v="1"/>
    <x v="2"/>
    <n v="1562.43"/>
    <n v="3984.1965"/>
  </r>
  <r>
    <s v="T01101"/>
    <d v="2025-04-30T00:00:00"/>
    <s v="C056"/>
    <s v="P017"/>
    <s v="S005"/>
    <n v="3"/>
    <n v="0.05"/>
    <x v="3"/>
    <s v="Carl Wyatt"/>
    <x v="43"/>
    <x v="1"/>
    <x v="4"/>
    <n v="1246.1099999999999"/>
    <n v="3551.4134999999997"/>
  </r>
  <r>
    <s v="T01102"/>
    <d v="2025-06-27T00:00:00"/>
    <s v="C096"/>
    <s v="P034"/>
    <s v="S001"/>
    <n v="2"/>
    <n v="0"/>
    <x v="1"/>
    <s v="Eric King"/>
    <x v="12"/>
    <x v="1"/>
    <x v="3"/>
    <n v="428.05"/>
    <n v="856.1"/>
  </r>
  <r>
    <s v="T01103"/>
    <d v="2025-06-07T00:00:00"/>
    <s v="C130"/>
    <s v="P018"/>
    <s v="S001"/>
    <n v="4"/>
    <n v="0.05"/>
    <x v="2"/>
    <s v="Aaron Bailey"/>
    <x v="19"/>
    <x v="1"/>
    <x v="3"/>
    <n v="1079.8900000000001"/>
    <n v="4103.5820000000003"/>
  </r>
  <r>
    <s v="T01104"/>
    <d v="2024-01-09T00:00:00"/>
    <s v="C088"/>
    <s v="P013"/>
    <s v="S004"/>
    <n v="5"/>
    <n v="0.1"/>
    <x v="0"/>
    <s v="Brenda Costa"/>
    <x v="21"/>
    <x v="0"/>
    <x v="1"/>
    <n v="1134.8"/>
    <n v="5106.6000000000004"/>
  </r>
  <r>
    <s v="T01105"/>
    <d v="2025-05-02T00:00:00"/>
    <s v="C037"/>
    <s v="P011"/>
    <s v="S001"/>
    <n v="5"/>
    <n v="0.05"/>
    <x v="2"/>
    <s v="Miranda Nelson"/>
    <x v="17"/>
    <x v="1"/>
    <x v="3"/>
    <n v="248.57"/>
    <n v="1180.7074999999998"/>
  </r>
  <r>
    <s v="T01106"/>
    <d v="2024-04-06T00:00:00"/>
    <s v="C186"/>
    <s v="P027"/>
    <s v="S001"/>
    <n v="4"/>
    <n v="0.15"/>
    <x v="3"/>
    <s v="Vicki Guzman"/>
    <x v="34"/>
    <x v="1"/>
    <x v="3"/>
    <n v="1272.23"/>
    <n v="4325.5820000000003"/>
  </r>
  <r>
    <s v="T01107"/>
    <d v="2025-05-31T00:00:00"/>
    <s v="C002"/>
    <s v="P009"/>
    <s v="S003"/>
    <n v="1"/>
    <n v="0"/>
    <x v="0"/>
    <s v="Michael Miller"/>
    <x v="5"/>
    <x v="2"/>
    <x v="0"/>
    <n v="123.19"/>
    <n v="123.19"/>
  </r>
  <r>
    <s v="T01108"/>
    <d v="2025-08-19T00:00:00"/>
    <s v="C120"/>
    <s v="P016"/>
    <s v="S001"/>
    <n v="1"/>
    <n v="0.1"/>
    <x v="3"/>
    <s v="Curtis Faulkner"/>
    <x v="13"/>
    <x v="0"/>
    <x v="3"/>
    <n v="1858.75"/>
    <n v="1672.875"/>
  </r>
  <r>
    <s v="T01109"/>
    <d v="2025-05-08T00:00:00"/>
    <s v="C148"/>
    <s v="P004"/>
    <s v="S003"/>
    <n v="2"/>
    <n v="0.1"/>
    <x v="2"/>
    <s v="John Foster"/>
    <x v="49"/>
    <x v="0"/>
    <x v="0"/>
    <n v="1853.77"/>
    <n v="3336.7860000000001"/>
  </r>
  <r>
    <s v="T01110"/>
    <d v="2024-02-08T00:00:00"/>
    <s v="C050"/>
    <s v="P006"/>
    <s v="S003"/>
    <n v="3"/>
    <n v="0.1"/>
    <x v="1"/>
    <s v="Kelly Mcmillan"/>
    <x v="35"/>
    <x v="2"/>
    <x v="0"/>
    <n v="318.05"/>
    <n v="858.73500000000013"/>
  </r>
  <r>
    <s v="T01111"/>
    <d v="2024-08-29T00:00:00"/>
    <s v="C172"/>
    <s v="P021"/>
    <s v="S001"/>
    <n v="3"/>
    <n v="0.05"/>
    <x v="2"/>
    <s v="Michelle Smith"/>
    <x v="23"/>
    <x v="2"/>
    <x v="3"/>
    <n v="1227.24"/>
    <n v="3497.634"/>
  </r>
  <r>
    <s v="T01112"/>
    <d v="2025-01-13T00:00:00"/>
    <s v="C071"/>
    <s v="P045"/>
    <s v="S001"/>
    <n v="1"/>
    <n v="0"/>
    <x v="2"/>
    <s v="Denise Gutierrez"/>
    <x v="8"/>
    <x v="2"/>
    <x v="3"/>
    <n v="1879.08"/>
    <n v="1879.08"/>
  </r>
  <r>
    <s v="T01113"/>
    <d v="2023-11-25T00:00:00"/>
    <s v="C139"/>
    <s v="P025"/>
    <s v="S003"/>
    <n v="5"/>
    <n v="0.1"/>
    <x v="0"/>
    <s v="Alexander Mcfarland"/>
    <x v="33"/>
    <x v="0"/>
    <x v="0"/>
    <n v="429.15"/>
    <n v="1931.175"/>
  </r>
  <r>
    <s v="T01114"/>
    <d v="2025-05-11T00:00:00"/>
    <s v="C037"/>
    <s v="P029"/>
    <s v="S003"/>
    <n v="5"/>
    <n v="0.05"/>
    <x v="2"/>
    <s v="Miranda Nelson"/>
    <x v="47"/>
    <x v="0"/>
    <x v="0"/>
    <n v="1485.05"/>
    <n v="7053.9874999999993"/>
  </r>
  <r>
    <s v="T01115"/>
    <d v="2023-12-28T00:00:00"/>
    <s v="C019"/>
    <s v="P042"/>
    <s v="S003"/>
    <n v="5"/>
    <n v="0.1"/>
    <x v="1"/>
    <s v="John Smith"/>
    <x v="10"/>
    <x v="0"/>
    <x v="0"/>
    <n v="453.62"/>
    <n v="2041.29"/>
  </r>
  <r>
    <s v="T01116"/>
    <d v="2023-10-13T00:00:00"/>
    <s v="C013"/>
    <s v="P020"/>
    <s v="S002"/>
    <n v="1"/>
    <n v="0.15"/>
    <x v="3"/>
    <s v="Robert Anderson"/>
    <x v="24"/>
    <x v="0"/>
    <x v="2"/>
    <n v="323.92"/>
    <n v="275.33199999999999"/>
  </r>
  <r>
    <s v="T01117"/>
    <d v="2023-12-23T00:00:00"/>
    <s v="C028"/>
    <s v="P012"/>
    <s v="S004"/>
    <n v="1"/>
    <n v="0"/>
    <x v="1"/>
    <s v="John Carr"/>
    <x v="38"/>
    <x v="1"/>
    <x v="1"/>
    <n v="1193.0899999999999"/>
    <n v="1193.0899999999999"/>
  </r>
  <r>
    <s v="T01118"/>
    <d v="2024-07-14T00:00:00"/>
    <s v="C101"/>
    <s v="P002"/>
    <s v="S002"/>
    <n v="5"/>
    <n v="0.15"/>
    <x v="0"/>
    <s v="William Pope"/>
    <x v="2"/>
    <x v="1"/>
    <x v="2"/>
    <n v="818.76"/>
    <n v="3479.73"/>
  </r>
  <r>
    <s v="T01119"/>
    <d v="2024-04-26T00:00:00"/>
    <s v="C080"/>
    <s v="P022"/>
    <s v="S003"/>
    <n v="2"/>
    <n v="0"/>
    <x v="1"/>
    <s v="Grace Garcia"/>
    <x v="9"/>
    <x v="2"/>
    <x v="0"/>
    <n v="25.57"/>
    <n v="51.14"/>
  </r>
  <r>
    <s v="T01120"/>
    <d v="2025-06-09T00:00:00"/>
    <s v="C146"/>
    <s v="P021"/>
    <s v="S002"/>
    <n v="1"/>
    <n v="0.15"/>
    <x v="3"/>
    <s v="John Johnson"/>
    <x v="23"/>
    <x v="2"/>
    <x v="2"/>
    <n v="1227.24"/>
    <n v="1043.154"/>
  </r>
  <r>
    <s v="T01121"/>
    <d v="2023-11-04T00:00:00"/>
    <s v="C117"/>
    <s v="P026"/>
    <s v="S003"/>
    <n v="4"/>
    <n v="0.15"/>
    <x v="2"/>
    <s v="Timothy Beck"/>
    <x v="15"/>
    <x v="2"/>
    <x v="0"/>
    <n v="1015.76"/>
    <n v="3453.5839999999998"/>
  </r>
  <r>
    <s v="T01122"/>
    <d v="2024-06-29T00:00:00"/>
    <s v="C058"/>
    <s v="P040"/>
    <s v="S002"/>
    <n v="5"/>
    <n v="0.1"/>
    <x v="0"/>
    <s v="Lawrence Stewart"/>
    <x v="37"/>
    <x v="1"/>
    <x v="2"/>
    <n v="1745.61"/>
    <n v="7855.2449999999999"/>
  </r>
  <r>
    <s v="T01123"/>
    <d v="2025-07-24T00:00:00"/>
    <s v="C101"/>
    <s v="P021"/>
    <s v="S002"/>
    <n v="3"/>
    <n v="0.1"/>
    <x v="1"/>
    <s v="William Pope"/>
    <x v="23"/>
    <x v="2"/>
    <x v="2"/>
    <n v="1227.24"/>
    <n v="3313.5480000000002"/>
  </r>
  <r>
    <s v="T01124"/>
    <d v="2024-10-16T00:00:00"/>
    <s v="C125"/>
    <s v="P021"/>
    <s v="S001"/>
    <n v="1"/>
    <n v="0.15"/>
    <x v="3"/>
    <s v="Kimberly Parker"/>
    <x v="23"/>
    <x v="2"/>
    <x v="3"/>
    <n v="1227.24"/>
    <n v="1043.154"/>
  </r>
  <r>
    <s v="T01125"/>
    <d v="2025-03-19T00:00:00"/>
    <s v="C090"/>
    <s v="P032"/>
    <s v="S004"/>
    <n v="4"/>
    <n v="0.05"/>
    <x v="0"/>
    <s v="Carrie Peterson"/>
    <x v="44"/>
    <x v="2"/>
    <x v="1"/>
    <n v="304.70999999999998"/>
    <n v="1157.8979999999999"/>
  </r>
  <r>
    <s v="T01126"/>
    <d v="2025-03-01T00:00:00"/>
    <s v="C197"/>
    <s v="P035"/>
    <s v="S003"/>
    <n v="5"/>
    <n v="0.05"/>
    <x v="3"/>
    <s v="Matthew Dixon"/>
    <x v="7"/>
    <x v="1"/>
    <x v="0"/>
    <n v="1562.43"/>
    <n v="7421.5425000000005"/>
  </r>
  <r>
    <s v="T01127"/>
    <d v="2025-06-27T00:00:00"/>
    <s v="C104"/>
    <s v="P026"/>
    <s v="S001"/>
    <n v="3"/>
    <n v="0"/>
    <x v="0"/>
    <s v="Brenda Dean"/>
    <x v="15"/>
    <x v="2"/>
    <x v="3"/>
    <n v="1015.76"/>
    <n v="3047.2799999999997"/>
  </r>
  <r>
    <s v="T01128"/>
    <d v="2023-11-21T00:00:00"/>
    <s v="C137"/>
    <s v="P031"/>
    <s v="S004"/>
    <n v="4"/>
    <n v="0.15"/>
    <x v="2"/>
    <s v="Gary Lopez"/>
    <x v="39"/>
    <x v="2"/>
    <x v="1"/>
    <n v="1095.72"/>
    <n v="3725.4479999999999"/>
  </r>
  <r>
    <s v="T01129"/>
    <d v="2024-01-29T00:00:00"/>
    <s v="C159"/>
    <s v="P036"/>
    <s v="S002"/>
    <n v="5"/>
    <n v="0.05"/>
    <x v="1"/>
    <s v="Thomas Chung"/>
    <x v="4"/>
    <x v="0"/>
    <x v="2"/>
    <n v="1501.46"/>
    <n v="7131.9349999999995"/>
  </r>
  <r>
    <s v="T01130"/>
    <d v="2024-02-26T00:00:00"/>
    <s v="C099"/>
    <s v="P012"/>
    <s v="S001"/>
    <n v="3"/>
    <n v="0.05"/>
    <x v="1"/>
    <s v="Kimberly Jones"/>
    <x v="38"/>
    <x v="1"/>
    <x v="3"/>
    <n v="1193.0899999999999"/>
    <n v="3400.3064999999992"/>
  </r>
  <r>
    <s v="T01131"/>
    <d v="2023-12-13T00:00:00"/>
    <s v="C112"/>
    <s v="P006"/>
    <s v="S005"/>
    <n v="3"/>
    <n v="0.05"/>
    <x v="2"/>
    <s v="Jeffrey Smith"/>
    <x v="35"/>
    <x v="2"/>
    <x v="4"/>
    <n v="318.05"/>
    <n v="906.4425"/>
  </r>
  <r>
    <s v="T01132"/>
    <d v="2023-10-02T00:00:00"/>
    <s v="C170"/>
    <s v="P024"/>
    <s v="S001"/>
    <n v="5"/>
    <n v="0.15"/>
    <x v="3"/>
    <s v="Amber Graham"/>
    <x v="14"/>
    <x v="1"/>
    <x v="3"/>
    <n v="1487.41"/>
    <n v="6321.4925000000003"/>
  </r>
  <r>
    <s v="T01133"/>
    <d v="2024-09-21T00:00:00"/>
    <s v="C152"/>
    <s v="P013"/>
    <s v="S005"/>
    <n v="4"/>
    <n v="0.1"/>
    <x v="3"/>
    <s v="Brittany Green"/>
    <x v="21"/>
    <x v="0"/>
    <x v="4"/>
    <n v="1134.8"/>
    <n v="4085.2799999999997"/>
  </r>
  <r>
    <s v="T01134"/>
    <d v="2025-01-14T00:00:00"/>
    <s v="C114"/>
    <s v="P017"/>
    <s v="S002"/>
    <n v="3"/>
    <n v="0.15"/>
    <x v="3"/>
    <s v="Miranda Rodriguez"/>
    <x v="43"/>
    <x v="1"/>
    <x v="2"/>
    <n v="1246.1099999999999"/>
    <n v="3177.5805"/>
  </r>
  <r>
    <s v="T01135"/>
    <d v="2025-01-06T00:00:00"/>
    <s v="C154"/>
    <s v="P023"/>
    <s v="S001"/>
    <n v="5"/>
    <n v="0.15"/>
    <x v="0"/>
    <s v="Lisa Martinez"/>
    <x v="20"/>
    <x v="0"/>
    <x v="3"/>
    <n v="1878.47"/>
    <n v="7983.4975000000004"/>
  </r>
  <r>
    <s v="T01136"/>
    <d v="2025-03-13T00:00:00"/>
    <s v="C127"/>
    <s v="P037"/>
    <s v="S001"/>
    <n v="1"/>
    <n v="0.05"/>
    <x v="2"/>
    <s v="John Allen"/>
    <x v="27"/>
    <x v="1"/>
    <x v="3"/>
    <n v="1952.65"/>
    <n v="1855.0174999999999"/>
  </r>
  <r>
    <s v="T01137"/>
    <d v="2025-08-13T00:00:00"/>
    <s v="C149"/>
    <s v="P034"/>
    <s v="S001"/>
    <n v="2"/>
    <n v="0.05"/>
    <x v="1"/>
    <s v="Melissa Torres"/>
    <x v="12"/>
    <x v="1"/>
    <x v="3"/>
    <n v="428.05"/>
    <n v="813.29499999999996"/>
  </r>
  <r>
    <s v="T01138"/>
    <d v="2024-07-12T00:00:00"/>
    <s v="C137"/>
    <s v="P042"/>
    <s v="S003"/>
    <n v="4"/>
    <n v="0.15"/>
    <x v="2"/>
    <s v="Gary Lopez"/>
    <x v="10"/>
    <x v="0"/>
    <x v="0"/>
    <n v="453.62"/>
    <n v="1542.308"/>
  </r>
  <r>
    <s v="T01139"/>
    <d v="2025-05-16T00:00:00"/>
    <s v="C053"/>
    <s v="P047"/>
    <s v="S003"/>
    <n v="3"/>
    <n v="0.1"/>
    <x v="1"/>
    <s v="Felicia Morgan"/>
    <x v="28"/>
    <x v="1"/>
    <x v="0"/>
    <n v="1197.18"/>
    <n v="3232.386"/>
  </r>
  <r>
    <s v="T01140"/>
    <d v="2025-08-14T00:00:00"/>
    <s v="C184"/>
    <s v="P017"/>
    <s v="S003"/>
    <n v="1"/>
    <n v="0"/>
    <x v="1"/>
    <s v="Daniel Mcintyre"/>
    <x v="43"/>
    <x v="1"/>
    <x v="0"/>
    <n v="1246.1099999999999"/>
    <n v="1246.1099999999999"/>
  </r>
  <r>
    <s v="T01141"/>
    <d v="2025-02-13T00:00:00"/>
    <s v="C033"/>
    <s v="P019"/>
    <s v="S003"/>
    <n v="1"/>
    <n v="0.1"/>
    <x v="3"/>
    <s v="Jenny Beck"/>
    <x v="26"/>
    <x v="1"/>
    <x v="0"/>
    <n v="1762.92"/>
    <n v="1586.6280000000002"/>
  </r>
  <r>
    <s v="T01142"/>
    <d v="2024-03-01T00:00:00"/>
    <s v="C001"/>
    <s v="P046"/>
    <s v="S005"/>
    <n v="3"/>
    <n v="0"/>
    <x v="0"/>
    <s v="Michael Davis"/>
    <x v="42"/>
    <x v="0"/>
    <x v="4"/>
    <n v="1165.3699999999999"/>
    <n v="3496.1099999999997"/>
  </r>
  <r>
    <s v="T01143"/>
    <d v="2025-02-05T00:00:00"/>
    <s v="C008"/>
    <s v="P023"/>
    <s v="S002"/>
    <n v="4"/>
    <n v="0.15"/>
    <x v="0"/>
    <s v="Isaiah Williams"/>
    <x v="20"/>
    <x v="0"/>
    <x v="2"/>
    <n v="1878.47"/>
    <n v="6386.7979999999998"/>
  </r>
  <r>
    <s v="T01144"/>
    <d v="2024-04-12T00:00:00"/>
    <s v="C183"/>
    <s v="P021"/>
    <s v="S004"/>
    <n v="4"/>
    <n v="0.15"/>
    <x v="1"/>
    <s v="Mary Dawson"/>
    <x v="23"/>
    <x v="2"/>
    <x v="1"/>
    <n v="1227.24"/>
    <n v="4172.616"/>
  </r>
  <r>
    <s v="T01145"/>
    <d v="2025-08-01T00:00:00"/>
    <s v="C140"/>
    <s v="P020"/>
    <s v="S002"/>
    <n v="2"/>
    <n v="0.15"/>
    <x v="2"/>
    <s v="Stacy Williams"/>
    <x v="24"/>
    <x v="0"/>
    <x v="2"/>
    <n v="323.92"/>
    <n v="550.66399999999999"/>
  </r>
  <r>
    <s v="T01146"/>
    <d v="2024-09-09T00:00:00"/>
    <s v="C049"/>
    <s v="P042"/>
    <s v="S005"/>
    <n v="4"/>
    <n v="0.1"/>
    <x v="1"/>
    <s v="Antonio Hamilton"/>
    <x v="10"/>
    <x v="0"/>
    <x v="4"/>
    <n v="453.62"/>
    <n v="1633.0320000000002"/>
  </r>
  <r>
    <s v="T01147"/>
    <d v="2023-12-02T00:00:00"/>
    <s v="C040"/>
    <s v="P041"/>
    <s v="S003"/>
    <n v="2"/>
    <n v="0.05"/>
    <x v="3"/>
    <s v="Scott Powell"/>
    <x v="30"/>
    <x v="1"/>
    <x v="0"/>
    <n v="1635.01"/>
    <n v="3106.5189999999998"/>
  </r>
  <r>
    <s v="T01148"/>
    <d v="2024-09-29T00:00:00"/>
    <s v="C019"/>
    <s v="P002"/>
    <s v="S001"/>
    <n v="2"/>
    <n v="0.15"/>
    <x v="1"/>
    <s v="John Smith"/>
    <x v="2"/>
    <x v="1"/>
    <x v="3"/>
    <n v="818.76"/>
    <n v="1391.8920000000001"/>
  </r>
  <r>
    <s v="T01149"/>
    <d v="2025-07-20T00:00:00"/>
    <s v="C035"/>
    <s v="P034"/>
    <s v="S001"/>
    <n v="2"/>
    <n v="0.15"/>
    <x v="1"/>
    <s v="Kimberly King"/>
    <x v="12"/>
    <x v="1"/>
    <x v="3"/>
    <n v="428.05"/>
    <n v="727.68499999999995"/>
  </r>
  <r>
    <s v="T01150"/>
    <d v="2024-04-20T00:00:00"/>
    <s v="C179"/>
    <s v="P029"/>
    <s v="S005"/>
    <n v="4"/>
    <n v="0.05"/>
    <x v="1"/>
    <s v="Dennis Wallace"/>
    <x v="47"/>
    <x v="0"/>
    <x v="4"/>
    <n v="1485.05"/>
    <n v="5643.19"/>
  </r>
  <r>
    <s v="T01151"/>
    <d v="2024-11-01T00:00:00"/>
    <s v="C131"/>
    <s v="P029"/>
    <s v="S004"/>
    <n v="5"/>
    <n v="0.15"/>
    <x v="1"/>
    <s v="Denise Jackson"/>
    <x v="47"/>
    <x v="0"/>
    <x v="1"/>
    <n v="1485.05"/>
    <n v="6311.4624999999996"/>
  </r>
  <r>
    <s v="T01152"/>
    <d v="2024-02-01T00:00:00"/>
    <s v="C091"/>
    <s v="P009"/>
    <s v="S002"/>
    <n v="2"/>
    <n v="0.15"/>
    <x v="3"/>
    <s v="Brian Fowler"/>
    <x v="5"/>
    <x v="2"/>
    <x v="2"/>
    <n v="123.19"/>
    <n v="209.423"/>
  </r>
  <r>
    <s v="T01153"/>
    <d v="2023-12-23T00:00:00"/>
    <s v="C148"/>
    <s v="P046"/>
    <s v="S004"/>
    <n v="2"/>
    <n v="0.1"/>
    <x v="1"/>
    <s v="John Foster"/>
    <x v="42"/>
    <x v="0"/>
    <x v="1"/>
    <n v="1165.3699999999999"/>
    <n v="2097.6659999999997"/>
  </r>
  <r>
    <s v="T01154"/>
    <d v="2024-12-25T00:00:00"/>
    <s v="C140"/>
    <s v="P031"/>
    <s v="S005"/>
    <n v="3"/>
    <n v="0"/>
    <x v="3"/>
    <s v="Stacy Williams"/>
    <x v="39"/>
    <x v="2"/>
    <x v="4"/>
    <n v="1095.72"/>
    <n v="3287.16"/>
  </r>
  <r>
    <s v="T01155"/>
    <d v="2025-05-15T00:00:00"/>
    <s v="C146"/>
    <s v="P045"/>
    <s v="S004"/>
    <n v="3"/>
    <n v="0"/>
    <x v="1"/>
    <s v="John Johnson"/>
    <x v="8"/>
    <x v="2"/>
    <x v="1"/>
    <n v="1879.08"/>
    <n v="5637.24"/>
  </r>
  <r>
    <s v="T01156"/>
    <d v="2024-01-28T00:00:00"/>
    <s v="C177"/>
    <s v="P038"/>
    <s v="S001"/>
    <n v="2"/>
    <n v="0.1"/>
    <x v="1"/>
    <s v="Anthony Gould"/>
    <x v="41"/>
    <x v="0"/>
    <x v="3"/>
    <n v="366.93"/>
    <n v="660.47400000000005"/>
  </r>
  <r>
    <s v="T01157"/>
    <d v="2024-10-13T00:00:00"/>
    <s v="C133"/>
    <s v="P034"/>
    <s v="S001"/>
    <n v="5"/>
    <n v="0"/>
    <x v="2"/>
    <s v="Yvette Roth"/>
    <x v="12"/>
    <x v="1"/>
    <x v="3"/>
    <n v="428.05"/>
    <n v="2140.25"/>
  </r>
  <r>
    <s v="T01158"/>
    <d v="2025-05-26T00:00:00"/>
    <s v="C121"/>
    <s v="P031"/>
    <s v="S001"/>
    <n v="5"/>
    <n v="0.1"/>
    <x v="3"/>
    <s v="John Bell"/>
    <x v="39"/>
    <x v="2"/>
    <x v="3"/>
    <n v="1095.72"/>
    <n v="4930.7400000000007"/>
  </r>
  <r>
    <s v="T01159"/>
    <d v="2024-11-07T00:00:00"/>
    <s v="C088"/>
    <s v="P011"/>
    <s v="S005"/>
    <n v="1"/>
    <n v="0.15"/>
    <x v="1"/>
    <s v="Brenda Costa"/>
    <x v="17"/>
    <x v="1"/>
    <x v="4"/>
    <n v="248.57"/>
    <n v="211.28449999999998"/>
  </r>
  <r>
    <s v="T01160"/>
    <d v="2025-01-26T00:00:00"/>
    <s v="C132"/>
    <s v="P045"/>
    <s v="S004"/>
    <n v="5"/>
    <n v="0.1"/>
    <x v="1"/>
    <s v="Jared Ochoa"/>
    <x v="8"/>
    <x v="2"/>
    <x v="1"/>
    <n v="1879.08"/>
    <n v="8455.86"/>
  </r>
  <r>
    <s v="T01161"/>
    <d v="2025-08-24T00:00:00"/>
    <s v="C091"/>
    <s v="P009"/>
    <s v="S003"/>
    <n v="3"/>
    <n v="0.05"/>
    <x v="3"/>
    <s v="Brian Fowler"/>
    <x v="5"/>
    <x v="2"/>
    <x v="0"/>
    <n v="123.19"/>
    <n v="351.0915"/>
  </r>
  <r>
    <s v="T01162"/>
    <d v="2024-10-02T00:00:00"/>
    <s v="C178"/>
    <s v="P041"/>
    <s v="S005"/>
    <n v="3"/>
    <n v="0.1"/>
    <x v="3"/>
    <s v="Mark Mcdonald"/>
    <x v="30"/>
    <x v="1"/>
    <x v="4"/>
    <n v="1635.01"/>
    <n v="4414.527"/>
  </r>
  <r>
    <s v="T01163"/>
    <d v="2023-10-07T00:00:00"/>
    <s v="C162"/>
    <s v="P033"/>
    <s v="S004"/>
    <n v="5"/>
    <n v="0.05"/>
    <x v="3"/>
    <s v="Jill Roach"/>
    <x v="16"/>
    <x v="0"/>
    <x v="1"/>
    <n v="1798.97"/>
    <n v="8545.1075000000001"/>
  </r>
  <r>
    <s v="T01164"/>
    <d v="2023-12-27T00:00:00"/>
    <s v="C169"/>
    <s v="P033"/>
    <s v="S003"/>
    <n v="5"/>
    <n v="0"/>
    <x v="0"/>
    <s v="Travis Watson"/>
    <x v="16"/>
    <x v="0"/>
    <x v="0"/>
    <n v="1798.97"/>
    <n v="8994.85"/>
  </r>
  <r>
    <s v="T01165"/>
    <d v="2025-03-07T00:00:00"/>
    <s v="C125"/>
    <s v="P023"/>
    <s v="S001"/>
    <n v="2"/>
    <n v="0"/>
    <x v="0"/>
    <s v="Kimberly Parker"/>
    <x v="20"/>
    <x v="0"/>
    <x v="3"/>
    <n v="1878.47"/>
    <n v="3756.94"/>
  </r>
  <r>
    <s v="T01166"/>
    <d v="2025-03-27T00:00:00"/>
    <s v="C065"/>
    <s v="P003"/>
    <s v="S002"/>
    <n v="5"/>
    <n v="0.1"/>
    <x v="0"/>
    <s v="Scott Duke"/>
    <x v="46"/>
    <x v="0"/>
    <x v="2"/>
    <n v="337.63"/>
    <n v="1519.335"/>
  </r>
  <r>
    <s v="T01167"/>
    <d v="2025-07-03T00:00:00"/>
    <s v="C066"/>
    <s v="P002"/>
    <s v="S001"/>
    <n v="1"/>
    <n v="0.05"/>
    <x v="2"/>
    <s v="Jason Jenkins"/>
    <x v="2"/>
    <x v="1"/>
    <x v="3"/>
    <n v="818.76"/>
    <n v="777.822"/>
  </r>
  <r>
    <s v="T01168"/>
    <d v="2023-12-23T00:00:00"/>
    <s v="C169"/>
    <s v="P042"/>
    <s v="S004"/>
    <n v="3"/>
    <n v="0.05"/>
    <x v="0"/>
    <s v="Travis Watson"/>
    <x v="10"/>
    <x v="0"/>
    <x v="1"/>
    <n v="453.62"/>
    <n v="1292.817"/>
  </r>
  <r>
    <s v="T01169"/>
    <d v="2025-01-13T00:00:00"/>
    <s v="C180"/>
    <s v="P016"/>
    <s v="S002"/>
    <n v="4"/>
    <n v="0.05"/>
    <x v="3"/>
    <s v="Nichole Calhoun"/>
    <x v="13"/>
    <x v="0"/>
    <x v="2"/>
    <n v="1858.75"/>
    <n v="7063.25"/>
  </r>
  <r>
    <s v="T01170"/>
    <d v="2025-05-02T00:00:00"/>
    <s v="C088"/>
    <s v="P050"/>
    <s v="S001"/>
    <n v="2"/>
    <n v="0.05"/>
    <x v="1"/>
    <s v="Brenda Costa"/>
    <x v="3"/>
    <x v="0"/>
    <x v="3"/>
    <n v="1044.6400000000001"/>
    <n v="1984.816"/>
  </r>
  <r>
    <s v="T01171"/>
    <d v="2024-09-05T00:00:00"/>
    <s v="C193"/>
    <s v="P004"/>
    <s v="S004"/>
    <n v="4"/>
    <n v="0.05"/>
    <x v="1"/>
    <s v="Donald Meza"/>
    <x v="49"/>
    <x v="0"/>
    <x v="1"/>
    <n v="1853.77"/>
    <n v="7044.326"/>
  </r>
  <r>
    <s v="T01172"/>
    <d v="2025-06-22T00:00:00"/>
    <s v="C186"/>
    <s v="P045"/>
    <s v="S002"/>
    <n v="2"/>
    <n v="0.1"/>
    <x v="3"/>
    <s v="Vicki Guzman"/>
    <x v="8"/>
    <x v="2"/>
    <x v="2"/>
    <n v="1879.08"/>
    <n v="3382.3440000000001"/>
  </r>
  <r>
    <s v="T01173"/>
    <d v="2025-05-29T00:00:00"/>
    <s v="C165"/>
    <s v="P031"/>
    <s v="S003"/>
    <n v="1"/>
    <n v="0"/>
    <x v="2"/>
    <s v="Tanya Mueller"/>
    <x v="39"/>
    <x v="2"/>
    <x v="0"/>
    <n v="1095.72"/>
    <n v="1095.72"/>
  </r>
  <r>
    <s v="T01174"/>
    <d v="2024-04-14T00:00:00"/>
    <s v="C119"/>
    <s v="P041"/>
    <s v="S004"/>
    <n v="4"/>
    <n v="0.1"/>
    <x v="1"/>
    <s v="Jason Lloyd"/>
    <x v="30"/>
    <x v="1"/>
    <x v="1"/>
    <n v="1635.01"/>
    <n v="5886.0360000000001"/>
  </r>
  <r>
    <s v="T01175"/>
    <d v="2024-10-02T00:00:00"/>
    <s v="C192"/>
    <s v="P034"/>
    <s v="S005"/>
    <n v="2"/>
    <n v="0.15"/>
    <x v="1"/>
    <s v="James Wilson"/>
    <x v="12"/>
    <x v="1"/>
    <x v="4"/>
    <n v="428.05"/>
    <n v="727.68499999999995"/>
  </r>
  <r>
    <s v="T01176"/>
    <d v="2025-08-15T00:00:00"/>
    <s v="C122"/>
    <s v="P036"/>
    <s v="S003"/>
    <n v="2"/>
    <n v="0.15"/>
    <x v="3"/>
    <s v="Amy Smith"/>
    <x v="4"/>
    <x v="0"/>
    <x v="0"/>
    <n v="1501.46"/>
    <n v="2552.482"/>
  </r>
  <r>
    <s v="T01177"/>
    <d v="2023-10-21T00:00:00"/>
    <s v="C074"/>
    <s v="P021"/>
    <s v="S004"/>
    <n v="4"/>
    <n v="0.1"/>
    <x v="3"/>
    <s v="Jesus Singh"/>
    <x v="23"/>
    <x v="2"/>
    <x v="1"/>
    <n v="1227.24"/>
    <n v="4418.0640000000003"/>
  </r>
  <r>
    <s v="T01178"/>
    <d v="2024-04-17T00:00:00"/>
    <s v="C025"/>
    <s v="P011"/>
    <s v="S005"/>
    <n v="3"/>
    <n v="0.15"/>
    <x v="0"/>
    <s v="Cheryl Gilbert"/>
    <x v="17"/>
    <x v="1"/>
    <x v="4"/>
    <n v="248.57"/>
    <n v="633.85350000000005"/>
  </r>
  <r>
    <s v="T01179"/>
    <d v="2025-01-12T00:00:00"/>
    <s v="C086"/>
    <s v="P026"/>
    <s v="S003"/>
    <n v="3"/>
    <n v="0"/>
    <x v="0"/>
    <s v="Lawrence Hunter"/>
    <x v="15"/>
    <x v="2"/>
    <x v="0"/>
    <n v="1015.76"/>
    <n v="3047.2799999999997"/>
  </r>
  <r>
    <s v="T01180"/>
    <d v="2023-11-23T00:00:00"/>
    <s v="C168"/>
    <s v="P028"/>
    <s v="S005"/>
    <n v="4"/>
    <n v="0.15"/>
    <x v="2"/>
    <s v="Richard Jones"/>
    <x v="25"/>
    <x v="1"/>
    <x v="4"/>
    <n v="673.78"/>
    <n v="2290.8519999999999"/>
  </r>
  <r>
    <s v="T01181"/>
    <d v="2023-12-17T00:00:00"/>
    <s v="C188"/>
    <s v="P001"/>
    <s v="S005"/>
    <n v="2"/>
    <n v="0.1"/>
    <x v="2"/>
    <s v="Ryan Flores"/>
    <x v="31"/>
    <x v="1"/>
    <x v="4"/>
    <n v="1673.69"/>
    <n v="3012.6420000000003"/>
  </r>
  <r>
    <s v="T01182"/>
    <d v="2025-07-10T00:00:00"/>
    <s v="C081"/>
    <s v="P026"/>
    <s v="S005"/>
    <n v="1"/>
    <n v="0"/>
    <x v="3"/>
    <s v="Sarah Reynolds"/>
    <x v="15"/>
    <x v="2"/>
    <x v="4"/>
    <n v="1015.76"/>
    <n v="1015.76"/>
  </r>
  <r>
    <s v="T01183"/>
    <d v="2025-05-18T00:00:00"/>
    <s v="C004"/>
    <s v="P050"/>
    <s v="S004"/>
    <n v="1"/>
    <n v="0"/>
    <x v="1"/>
    <s v="Joseph Ward"/>
    <x v="3"/>
    <x v="0"/>
    <x v="1"/>
    <n v="1044.6400000000001"/>
    <n v="1044.6400000000001"/>
  </r>
  <r>
    <s v="T01184"/>
    <d v="2024-02-09T00:00:00"/>
    <s v="C090"/>
    <s v="P015"/>
    <s v="S002"/>
    <n v="3"/>
    <n v="0.1"/>
    <x v="2"/>
    <s v="Carrie Peterson"/>
    <x v="40"/>
    <x v="0"/>
    <x v="2"/>
    <n v="270.45"/>
    <n v="730.21499999999992"/>
  </r>
  <r>
    <s v="T01185"/>
    <d v="2024-11-29T00:00:00"/>
    <s v="C009"/>
    <s v="P035"/>
    <s v="S001"/>
    <n v="5"/>
    <n v="0"/>
    <x v="3"/>
    <s v="Richard Pacheco"/>
    <x v="7"/>
    <x v="1"/>
    <x v="3"/>
    <n v="1562.43"/>
    <n v="7812.1500000000005"/>
  </r>
  <r>
    <s v="T01186"/>
    <d v="2024-12-22T00:00:00"/>
    <s v="C153"/>
    <s v="P037"/>
    <s v="S002"/>
    <n v="5"/>
    <n v="0"/>
    <x v="3"/>
    <s v="Nancy Gordon"/>
    <x v="27"/>
    <x v="1"/>
    <x v="2"/>
    <n v="1952.65"/>
    <n v="9763.25"/>
  </r>
  <r>
    <s v="T01187"/>
    <d v="2024-12-16T00:00:00"/>
    <s v="C023"/>
    <s v="P008"/>
    <s v="S005"/>
    <n v="2"/>
    <n v="0.15"/>
    <x v="2"/>
    <s v="Mark Martinez"/>
    <x v="48"/>
    <x v="0"/>
    <x v="4"/>
    <n v="109.78"/>
    <n v="186.626"/>
  </r>
  <r>
    <s v="T01188"/>
    <d v="2025-03-05T00:00:00"/>
    <s v="C029"/>
    <s v="P024"/>
    <s v="S002"/>
    <n v="3"/>
    <n v="0.1"/>
    <x v="1"/>
    <s v="Tyler Levine"/>
    <x v="14"/>
    <x v="1"/>
    <x v="2"/>
    <n v="1487.41"/>
    <n v="4016.0070000000005"/>
  </r>
  <r>
    <s v="T01189"/>
    <d v="2025-02-18T00:00:00"/>
    <s v="C170"/>
    <s v="P035"/>
    <s v="S001"/>
    <n v="4"/>
    <n v="0.1"/>
    <x v="1"/>
    <s v="Amber Graham"/>
    <x v="7"/>
    <x v="1"/>
    <x v="3"/>
    <n v="1562.43"/>
    <n v="5624.7480000000005"/>
  </r>
  <r>
    <s v="T01190"/>
    <d v="2025-08-31T00:00:00"/>
    <s v="C178"/>
    <s v="P017"/>
    <s v="S003"/>
    <n v="3"/>
    <n v="0.05"/>
    <x v="3"/>
    <s v="Mark Mcdonald"/>
    <x v="43"/>
    <x v="1"/>
    <x v="0"/>
    <n v="1246.1099999999999"/>
    <n v="3551.4134999999997"/>
  </r>
  <r>
    <s v="T01191"/>
    <d v="2024-03-31T00:00:00"/>
    <s v="C071"/>
    <s v="P023"/>
    <s v="S001"/>
    <n v="4"/>
    <n v="0.15"/>
    <x v="0"/>
    <s v="Denise Gutierrez"/>
    <x v="20"/>
    <x v="0"/>
    <x v="3"/>
    <n v="1878.47"/>
    <n v="6386.7979999999998"/>
  </r>
  <r>
    <s v="T01192"/>
    <d v="2023-12-14T00:00:00"/>
    <s v="C016"/>
    <s v="P016"/>
    <s v="S003"/>
    <n v="3"/>
    <n v="0.05"/>
    <x v="1"/>
    <s v="Miguel Johnson"/>
    <x v="13"/>
    <x v="0"/>
    <x v="0"/>
    <n v="1858.75"/>
    <n v="5297.4375"/>
  </r>
  <r>
    <s v="T01193"/>
    <d v="2024-08-07T00:00:00"/>
    <s v="C018"/>
    <s v="P010"/>
    <s v="S004"/>
    <n v="2"/>
    <n v="0.15"/>
    <x v="2"/>
    <s v="Breanna Davis"/>
    <x v="36"/>
    <x v="1"/>
    <x v="1"/>
    <n v="1194.1199999999999"/>
    <n v="2030.0039999999997"/>
  </r>
  <r>
    <s v="T01194"/>
    <d v="2024-07-13T00:00:00"/>
    <s v="C166"/>
    <s v="P025"/>
    <s v="S004"/>
    <n v="1"/>
    <n v="0.05"/>
    <x v="1"/>
    <s v="Meagan Ali"/>
    <x v="33"/>
    <x v="0"/>
    <x v="1"/>
    <n v="429.15"/>
    <n v="407.69249999999994"/>
  </r>
  <r>
    <s v="T01195"/>
    <d v="2025-08-26T00:00:00"/>
    <s v="C056"/>
    <s v="P032"/>
    <s v="S005"/>
    <n v="1"/>
    <n v="0.15"/>
    <x v="0"/>
    <s v="Carl Wyatt"/>
    <x v="44"/>
    <x v="2"/>
    <x v="4"/>
    <n v="304.70999999999998"/>
    <n v="259.00349999999997"/>
  </r>
  <r>
    <s v="T01196"/>
    <d v="2025-03-11T00:00:00"/>
    <s v="C027"/>
    <s v="P031"/>
    <s v="S001"/>
    <n v="1"/>
    <n v="0"/>
    <x v="0"/>
    <s v="Jacqueline Martin"/>
    <x v="39"/>
    <x v="2"/>
    <x v="3"/>
    <n v="1095.72"/>
    <n v="1095.72"/>
  </r>
  <r>
    <s v="T01197"/>
    <d v="2024-02-26T00:00:00"/>
    <s v="C199"/>
    <s v="P019"/>
    <s v="S004"/>
    <n v="1"/>
    <n v="0.15"/>
    <x v="2"/>
    <s v="Juan Johnson"/>
    <x v="26"/>
    <x v="1"/>
    <x v="1"/>
    <n v="1762.92"/>
    <n v="1498.482"/>
  </r>
  <r>
    <s v="T01198"/>
    <d v="2025-07-11T00:00:00"/>
    <s v="C168"/>
    <s v="P037"/>
    <s v="S001"/>
    <n v="1"/>
    <n v="0.15"/>
    <x v="0"/>
    <s v="Richard Jones"/>
    <x v="27"/>
    <x v="1"/>
    <x v="3"/>
    <n v="1952.65"/>
    <n v="1659.7525000000001"/>
  </r>
  <r>
    <s v="T01199"/>
    <d v="2025-09-06T00:00:00"/>
    <s v="C039"/>
    <s v="P018"/>
    <s v="S003"/>
    <n v="4"/>
    <n v="0"/>
    <x v="1"/>
    <s v="Nancy Savage"/>
    <x v="19"/>
    <x v="1"/>
    <x v="0"/>
    <n v="1079.8900000000001"/>
    <n v="4319.5600000000004"/>
  </r>
  <r>
    <s v="T01200"/>
    <d v="2023-11-18T00:00:00"/>
    <s v="C123"/>
    <s v="P007"/>
    <s v="S004"/>
    <n v="4"/>
    <n v="0"/>
    <x v="2"/>
    <s v="Peter Edwards"/>
    <x v="18"/>
    <x v="1"/>
    <x v="1"/>
    <n v="1474.12"/>
    <n v="5896.48"/>
  </r>
  <r>
    <s v="T01201"/>
    <d v="2023-12-11T00:00:00"/>
    <s v="C001"/>
    <s v="P048"/>
    <s v="S004"/>
    <n v="4"/>
    <n v="0"/>
    <x v="0"/>
    <s v="Michael Davis"/>
    <x v="11"/>
    <x v="0"/>
    <x v="1"/>
    <n v="1216.3599999999999"/>
    <n v="4865.4399999999996"/>
  </r>
  <r>
    <s v="T01202"/>
    <d v="2025-02-07T00:00:00"/>
    <s v="C086"/>
    <s v="P046"/>
    <s v="S003"/>
    <n v="4"/>
    <n v="0"/>
    <x v="3"/>
    <s v="Lawrence Hunter"/>
    <x v="42"/>
    <x v="0"/>
    <x v="0"/>
    <n v="1165.3699999999999"/>
    <n v="4661.4799999999996"/>
  </r>
  <r>
    <s v="T01203"/>
    <d v="2025-01-09T00:00:00"/>
    <s v="C094"/>
    <s v="P042"/>
    <s v="S005"/>
    <n v="3"/>
    <n v="0"/>
    <x v="1"/>
    <s v="Kimberly Stokes"/>
    <x v="10"/>
    <x v="0"/>
    <x v="4"/>
    <n v="453.62"/>
    <n v="1360.8600000000001"/>
  </r>
  <r>
    <s v="T01204"/>
    <d v="2024-01-16T00:00:00"/>
    <s v="C195"/>
    <s v="P018"/>
    <s v="S003"/>
    <n v="2"/>
    <n v="0.05"/>
    <x v="3"/>
    <s v="James Mitchell"/>
    <x v="19"/>
    <x v="1"/>
    <x v="0"/>
    <n v="1079.8900000000001"/>
    <n v="2051.7910000000002"/>
  </r>
  <r>
    <s v="T01205"/>
    <d v="2025-09-02T00:00:00"/>
    <s v="C099"/>
    <s v="P004"/>
    <s v="S002"/>
    <n v="3"/>
    <n v="0.15"/>
    <x v="3"/>
    <s v="Kimberly Jones"/>
    <x v="49"/>
    <x v="0"/>
    <x v="2"/>
    <n v="1853.77"/>
    <n v="4727.1134999999995"/>
  </r>
  <r>
    <s v="T01206"/>
    <d v="2024-06-12T00:00:00"/>
    <s v="C162"/>
    <s v="P047"/>
    <s v="S003"/>
    <n v="4"/>
    <n v="0"/>
    <x v="1"/>
    <s v="Jill Roach"/>
    <x v="28"/>
    <x v="1"/>
    <x v="0"/>
    <n v="1197.18"/>
    <n v="4788.72"/>
  </r>
  <r>
    <s v="T01207"/>
    <d v="2024-02-04T00:00:00"/>
    <s v="C189"/>
    <s v="P016"/>
    <s v="S002"/>
    <n v="2"/>
    <n v="0"/>
    <x v="2"/>
    <s v="Steve Flynn"/>
    <x v="13"/>
    <x v="0"/>
    <x v="2"/>
    <n v="1858.75"/>
    <n v="3717.5"/>
  </r>
  <r>
    <s v="T01208"/>
    <d v="2025-05-04T00:00:00"/>
    <s v="C007"/>
    <s v="P009"/>
    <s v="S005"/>
    <n v="2"/>
    <n v="0.15"/>
    <x v="1"/>
    <s v="Erin Walker"/>
    <x v="5"/>
    <x v="2"/>
    <x v="4"/>
    <n v="123.19"/>
    <n v="209.423"/>
  </r>
  <r>
    <s v="T01209"/>
    <d v="2025-06-21T00:00:00"/>
    <s v="C017"/>
    <s v="P032"/>
    <s v="S005"/>
    <n v="3"/>
    <n v="0.15"/>
    <x v="1"/>
    <s v="Vanessa Anderson"/>
    <x v="44"/>
    <x v="2"/>
    <x v="4"/>
    <n v="304.70999999999998"/>
    <n v="777.01049999999987"/>
  </r>
  <r>
    <s v="T01210"/>
    <d v="2024-02-03T00:00:00"/>
    <s v="C005"/>
    <s v="P028"/>
    <s v="S001"/>
    <n v="3"/>
    <n v="0"/>
    <x v="0"/>
    <s v="Jamie Salinas"/>
    <x v="25"/>
    <x v="1"/>
    <x v="3"/>
    <n v="673.78"/>
    <n v="2021.34"/>
  </r>
  <r>
    <s v="T01211"/>
    <d v="2024-12-22T00:00:00"/>
    <s v="C185"/>
    <s v="P029"/>
    <s v="S001"/>
    <n v="4"/>
    <n v="0"/>
    <x v="2"/>
    <s v="Joe Vincent"/>
    <x v="47"/>
    <x v="0"/>
    <x v="3"/>
    <n v="1485.05"/>
    <n v="5940.2"/>
  </r>
  <r>
    <s v="T01212"/>
    <d v="2024-11-25T00:00:00"/>
    <s v="C168"/>
    <s v="P020"/>
    <s v="S005"/>
    <n v="4"/>
    <n v="0.05"/>
    <x v="2"/>
    <s v="Richard Jones"/>
    <x v="24"/>
    <x v="0"/>
    <x v="4"/>
    <n v="323.92"/>
    <n v="1230.896"/>
  </r>
  <r>
    <s v="T01213"/>
    <d v="2023-12-05T00:00:00"/>
    <s v="C019"/>
    <s v="P023"/>
    <s v="S001"/>
    <n v="2"/>
    <n v="0.15"/>
    <x v="3"/>
    <s v="John Smith"/>
    <x v="20"/>
    <x v="0"/>
    <x v="3"/>
    <n v="1878.47"/>
    <n v="3193.3989999999999"/>
  </r>
  <r>
    <s v="T01214"/>
    <d v="2024-12-04T00:00:00"/>
    <s v="C121"/>
    <s v="P015"/>
    <s v="S005"/>
    <n v="1"/>
    <n v="0.05"/>
    <x v="2"/>
    <s v="John Bell"/>
    <x v="40"/>
    <x v="0"/>
    <x v="4"/>
    <n v="270.45"/>
    <n v="256.92749999999995"/>
  </r>
  <r>
    <s v="T01215"/>
    <d v="2025-04-17T00:00:00"/>
    <s v="C004"/>
    <s v="P045"/>
    <s v="S002"/>
    <n v="1"/>
    <n v="0.1"/>
    <x v="3"/>
    <s v="Joseph Ward"/>
    <x v="8"/>
    <x v="2"/>
    <x v="2"/>
    <n v="1879.08"/>
    <n v="1691.172"/>
  </r>
  <r>
    <s v="T01216"/>
    <d v="2025-09-06T00:00:00"/>
    <s v="C117"/>
    <s v="P046"/>
    <s v="S005"/>
    <n v="2"/>
    <n v="0"/>
    <x v="3"/>
    <s v="Timothy Beck"/>
    <x v="42"/>
    <x v="0"/>
    <x v="4"/>
    <n v="1165.3699999999999"/>
    <n v="2330.7399999999998"/>
  </r>
  <r>
    <s v="T01217"/>
    <d v="2024-12-16T00:00:00"/>
    <s v="C030"/>
    <s v="P021"/>
    <s v="S004"/>
    <n v="5"/>
    <n v="0.05"/>
    <x v="3"/>
    <s v="Lacey Hall"/>
    <x v="23"/>
    <x v="2"/>
    <x v="1"/>
    <n v="1227.24"/>
    <n v="5829.3899999999994"/>
  </r>
  <r>
    <s v="T01218"/>
    <d v="2025-05-21T00:00:00"/>
    <s v="C052"/>
    <s v="P001"/>
    <s v="S004"/>
    <n v="3"/>
    <n v="0.15"/>
    <x v="0"/>
    <s v="Billy Hernandez"/>
    <x v="31"/>
    <x v="1"/>
    <x v="1"/>
    <n v="1673.69"/>
    <n v="4267.9094999999998"/>
  </r>
  <r>
    <s v="T01219"/>
    <d v="2025-07-15T00:00:00"/>
    <s v="C031"/>
    <s v="P034"/>
    <s v="S005"/>
    <n v="5"/>
    <n v="0.05"/>
    <x v="0"/>
    <s v="Ashley Gibson"/>
    <x v="12"/>
    <x v="1"/>
    <x v="4"/>
    <n v="428.05"/>
    <n v="2033.2375"/>
  </r>
  <r>
    <s v="T01220"/>
    <d v="2024-10-16T00:00:00"/>
    <s v="C055"/>
    <s v="P048"/>
    <s v="S001"/>
    <n v="5"/>
    <n v="0.05"/>
    <x v="0"/>
    <s v="Deborah Moody"/>
    <x v="11"/>
    <x v="0"/>
    <x v="3"/>
    <n v="1216.3599999999999"/>
    <n v="5777.7099999999991"/>
  </r>
  <r>
    <s v="T01221"/>
    <d v="2025-05-05T00:00:00"/>
    <s v="C017"/>
    <s v="P041"/>
    <s v="S001"/>
    <n v="3"/>
    <n v="0.05"/>
    <x v="1"/>
    <s v="Vanessa Anderson"/>
    <x v="30"/>
    <x v="1"/>
    <x v="3"/>
    <n v="1635.01"/>
    <n v="4659.7784999999994"/>
  </r>
  <r>
    <s v="T01222"/>
    <d v="2025-07-31T00:00:00"/>
    <s v="C044"/>
    <s v="P046"/>
    <s v="S003"/>
    <n v="5"/>
    <n v="0.05"/>
    <x v="1"/>
    <s v="Parker Sparks"/>
    <x v="42"/>
    <x v="0"/>
    <x v="0"/>
    <n v="1165.3699999999999"/>
    <n v="5535.5074999999988"/>
  </r>
  <r>
    <s v="T01223"/>
    <d v="2024-06-30T00:00:00"/>
    <s v="C063"/>
    <s v="P029"/>
    <s v="S005"/>
    <n v="1"/>
    <n v="0.05"/>
    <x v="3"/>
    <s v="Michael Johnson"/>
    <x v="47"/>
    <x v="0"/>
    <x v="4"/>
    <n v="1485.05"/>
    <n v="1410.7974999999999"/>
  </r>
  <r>
    <s v="T01224"/>
    <d v="2024-01-26T00:00:00"/>
    <s v="C162"/>
    <s v="P002"/>
    <s v="S005"/>
    <n v="4"/>
    <n v="0.05"/>
    <x v="3"/>
    <s v="Jill Roach"/>
    <x v="2"/>
    <x v="1"/>
    <x v="4"/>
    <n v="818.76"/>
    <n v="3111.288"/>
  </r>
  <r>
    <s v="T01225"/>
    <d v="2024-04-07T00:00:00"/>
    <s v="C125"/>
    <s v="P006"/>
    <s v="S001"/>
    <n v="1"/>
    <n v="0"/>
    <x v="2"/>
    <s v="Kimberly Parker"/>
    <x v="35"/>
    <x v="2"/>
    <x v="3"/>
    <n v="318.05"/>
    <n v="318.05"/>
  </r>
  <r>
    <s v="T01226"/>
    <d v="2023-10-15T00:00:00"/>
    <s v="C023"/>
    <s v="P029"/>
    <s v="S005"/>
    <n v="3"/>
    <n v="0.15"/>
    <x v="1"/>
    <s v="Mark Martinez"/>
    <x v="47"/>
    <x v="0"/>
    <x v="4"/>
    <n v="1485.05"/>
    <n v="3786.8774999999996"/>
  </r>
  <r>
    <s v="T01227"/>
    <d v="2024-01-19T00:00:00"/>
    <s v="C178"/>
    <s v="P023"/>
    <s v="S002"/>
    <n v="2"/>
    <n v="0.05"/>
    <x v="0"/>
    <s v="Mark Mcdonald"/>
    <x v="20"/>
    <x v="0"/>
    <x v="2"/>
    <n v="1878.47"/>
    <n v="3569.0929999999998"/>
  </r>
  <r>
    <s v="T01228"/>
    <d v="2024-06-16T00:00:00"/>
    <s v="C134"/>
    <s v="P029"/>
    <s v="S004"/>
    <n v="4"/>
    <n v="0.05"/>
    <x v="2"/>
    <s v="Emily Hart"/>
    <x v="47"/>
    <x v="0"/>
    <x v="1"/>
    <n v="1485.05"/>
    <n v="5643.19"/>
  </r>
  <r>
    <s v="T01229"/>
    <d v="2023-10-11T00:00:00"/>
    <s v="C157"/>
    <s v="P004"/>
    <s v="S001"/>
    <n v="5"/>
    <n v="0.05"/>
    <x v="1"/>
    <s v="Connie Terry"/>
    <x v="49"/>
    <x v="0"/>
    <x v="3"/>
    <n v="1853.77"/>
    <n v="8805.4074999999993"/>
  </r>
  <r>
    <s v="T01230"/>
    <d v="2024-06-25T00:00:00"/>
    <s v="C157"/>
    <s v="P031"/>
    <s v="S001"/>
    <n v="3"/>
    <n v="0.1"/>
    <x v="1"/>
    <s v="Connie Terry"/>
    <x v="39"/>
    <x v="2"/>
    <x v="3"/>
    <n v="1095.72"/>
    <n v="2958.444"/>
  </r>
  <r>
    <s v="T01231"/>
    <d v="2024-05-23T00:00:00"/>
    <s v="C002"/>
    <s v="P037"/>
    <s v="S005"/>
    <n v="2"/>
    <n v="0.05"/>
    <x v="3"/>
    <s v="Michael Miller"/>
    <x v="27"/>
    <x v="1"/>
    <x v="4"/>
    <n v="1952.65"/>
    <n v="3710.0349999999999"/>
  </r>
  <r>
    <s v="T01232"/>
    <d v="2025-07-27T00:00:00"/>
    <s v="C136"/>
    <s v="P038"/>
    <s v="S001"/>
    <n v="5"/>
    <n v="0.1"/>
    <x v="2"/>
    <s v="Amanda Garcia"/>
    <x v="41"/>
    <x v="0"/>
    <x v="3"/>
    <n v="366.93"/>
    <n v="1651.1850000000002"/>
  </r>
  <r>
    <s v="T01233"/>
    <d v="2025-02-03T00:00:00"/>
    <s v="C119"/>
    <s v="P013"/>
    <s v="S002"/>
    <n v="3"/>
    <n v="0"/>
    <x v="2"/>
    <s v="Jason Lloyd"/>
    <x v="21"/>
    <x v="0"/>
    <x v="2"/>
    <n v="1134.8"/>
    <n v="3404.3999999999996"/>
  </r>
  <r>
    <s v="T01234"/>
    <d v="2024-02-21T00:00:00"/>
    <s v="C029"/>
    <s v="P015"/>
    <s v="S002"/>
    <n v="4"/>
    <n v="0.15"/>
    <x v="2"/>
    <s v="Tyler Levine"/>
    <x v="40"/>
    <x v="0"/>
    <x v="2"/>
    <n v="270.45"/>
    <n v="919.53"/>
  </r>
  <r>
    <s v="T01235"/>
    <d v="2024-05-13T00:00:00"/>
    <s v="C041"/>
    <s v="P029"/>
    <s v="S001"/>
    <n v="1"/>
    <n v="0.1"/>
    <x v="0"/>
    <s v="Melissa Rodgers"/>
    <x v="47"/>
    <x v="0"/>
    <x v="3"/>
    <n v="1485.05"/>
    <n v="1336.5450000000001"/>
  </r>
  <r>
    <s v="T01236"/>
    <d v="2024-07-02T00:00:00"/>
    <s v="C054"/>
    <s v="P004"/>
    <s v="S004"/>
    <n v="3"/>
    <n v="0.1"/>
    <x v="1"/>
    <s v="Crystal Johnson"/>
    <x v="49"/>
    <x v="0"/>
    <x v="1"/>
    <n v="1853.77"/>
    <n v="5005.1790000000001"/>
  </r>
  <r>
    <s v="T01237"/>
    <d v="2024-07-17T00:00:00"/>
    <s v="C012"/>
    <s v="P023"/>
    <s v="S001"/>
    <n v="1"/>
    <n v="0.05"/>
    <x v="2"/>
    <s v="Dale Perry"/>
    <x v="20"/>
    <x v="0"/>
    <x v="3"/>
    <n v="1878.47"/>
    <n v="1784.5464999999999"/>
  </r>
  <r>
    <s v="T01238"/>
    <d v="2025-01-28T00:00:00"/>
    <s v="C008"/>
    <s v="P014"/>
    <s v="S004"/>
    <n v="5"/>
    <n v="0"/>
    <x v="3"/>
    <s v="Isaiah Williams"/>
    <x v="0"/>
    <x v="0"/>
    <x v="1"/>
    <n v="1342.75"/>
    <n v="6713.75"/>
  </r>
  <r>
    <s v="T01239"/>
    <d v="2024-11-30T00:00:00"/>
    <s v="C061"/>
    <s v="P021"/>
    <s v="S004"/>
    <n v="5"/>
    <n v="0.1"/>
    <x v="1"/>
    <s v="Heather Russell"/>
    <x v="23"/>
    <x v="2"/>
    <x v="1"/>
    <n v="1227.24"/>
    <n v="5522.58"/>
  </r>
  <r>
    <s v="T01240"/>
    <d v="2024-10-13T00:00:00"/>
    <s v="C051"/>
    <s v="P039"/>
    <s v="S003"/>
    <n v="2"/>
    <n v="0"/>
    <x v="0"/>
    <s v="Madison Sellers"/>
    <x v="22"/>
    <x v="0"/>
    <x v="0"/>
    <n v="540.94000000000005"/>
    <n v="1081.8800000000001"/>
  </r>
  <r>
    <s v="T01241"/>
    <d v="2023-10-27T00:00:00"/>
    <s v="C059"/>
    <s v="P050"/>
    <s v="S001"/>
    <n v="2"/>
    <n v="0.15"/>
    <x v="2"/>
    <s v="Scott Wyatt"/>
    <x v="3"/>
    <x v="0"/>
    <x v="3"/>
    <n v="1044.6400000000001"/>
    <n v="1775.8880000000001"/>
  </r>
  <r>
    <s v="T01242"/>
    <d v="2023-11-08T00:00:00"/>
    <s v="C097"/>
    <s v="P009"/>
    <s v="S002"/>
    <n v="1"/>
    <n v="0.15"/>
    <x v="1"/>
    <s v="Evelyn Gray"/>
    <x v="5"/>
    <x v="2"/>
    <x v="2"/>
    <n v="123.19"/>
    <n v="104.7115"/>
  </r>
  <r>
    <s v="T01243"/>
    <d v="2023-09-22T00:00:00"/>
    <s v="C014"/>
    <s v="P043"/>
    <s v="S004"/>
    <n v="2"/>
    <n v="0.05"/>
    <x v="1"/>
    <s v="Brittany Green"/>
    <x v="45"/>
    <x v="0"/>
    <x v="1"/>
    <n v="564.41999999999996"/>
    <n v="1072.3979999999999"/>
  </r>
  <r>
    <s v="T01244"/>
    <d v="2024-08-14T00:00:00"/>
    <s v="C046"/>
    <s v="P043"/>
    <s v="S004"/>
    <n v="3"/>
    <n v="0.05"/>
    <x v="1"/>
    <s v="Dennis Poole"/>
    <x v="45"/>
    <x v="0"/>
    <x v="1"/>
    <n v="564.41999999999996"/>
    <n v="1608.5969999999998"/>
  </r>
  <r>
    <s v="T01245"/>
    <d v="2024-02-14T00:00:00"/>
    <s v="C185"/>
    <s v="P044"/>
    <s v="S002"/>
    <n v="3"/>
    <n v="0.1"/>
    <x v="2"/>
    <s v="Joe Vincent"/>
    <x v="32"/>
    <x v="0"/>
    <x v="2"/>
    <n v="1286.55"/>
    <n v="3473.6849999999999"/>
  </r>
  <r>
    <s v="T01246"/>
    <d v="2024-10-21T00:00:00"/>
    <s v="C086"/>
    <s v="P028"/>
    <s v="S002"/>
    <n v="1"/>
    <n v="0"/>
    <x v="0"/>
    <s v="Lawrence Hunter"/>
    <x v="25"/>
    <x v="1"/>
    <x v="2"/>
    <n v="673.78"/>
    <n v="673.78"/>
  </r>
  <r>
    <s v="T01247"/>
    <d v="2025-02-21T00:00:00"/>
    <s v="C035"/>
    <s v="P015"/>
    <s v="S001"/>
    <n v="4"/>
    <n v="0.15"/>
    <x v="1"/>
    <s v="Kimberly King"/>
    <x v="40"/>
    <x v="0"/>
    <x v="3"/>
    <n v="270.45"/>
    <n v="919.53"/>
  </r>
  <r>
    <s v="T01248"/>
    <d v="2024-10-03T00:00:00"/>
    <s v="C044"/>
    <s v="P013"/>
    <s v="S003"/>
    <n v="2"/>
    <n v="0.1"/>
    <x v="2"/>
    <s v="Parker Sparks"/>
    <x v="21"/>
    <x v="0"/>
    <x v="0"/>
    <n v="1134.8"/>
    <n v="2042.6399999999999"/>
  </r>
  <r>
    <s v="T01249"/>
    <d v="2024-08-27T00:00:00"/>
    <s v="C164"/>
    <s v="P050"/>
    <s v="S005"/>
    <n v="2"/>
    <n v="0.05"/>
    <x v="3"/>
    <s v="Linda Vasquez"/>
    <x v="3"/>
    <x v="0"/>
    <x v="4"/>
    <n v="1044.6400000000001"/>
    <n v="1984.816"/>
  </r>
  <r>
    <s v="T01250"/>
    <d v="2025-05-11T00:00:00"/>
    <s v="C106"/>
    <s v="P029"/>
    <s v="S005"/>
    <n v="4"/>
    <n v="0.05"/>
    <x v="1"/>
    <s v="Kevin Flores"/>
    <x v="47"/>
    <x v="0"/>
    <x v="4"/>
    <n v="1485.05"/>
    <n v="5643.19"/>
  </r>
  <r>
    <s v="T01251"/>
    <d v="2024-02-03T00:00:00"/>
    <s v="C119"/>
    <s v="P026"/>
    <s v="S003"/>
    <n v="1"/>
    <n v="0.15"/>
    <x v="2"/>
    <s v="Jason Lloyd"/>
    <x v="15"/>
    <x v="2"/>
    <x v="0"/>
    <n v="1015.76"/>
    <n v="863.39599999999996"/>
  </r>
  <r>
    <s v="T01252"/>
    <d v="2025-02-23T00:00:00"/>
    <s v="C064"/>
    <s v="P041"/>
    <s v="S003"/>
    <n v="4"/>
    <n v="0.05"/>
    <x v="2"/>
    <s v="Amanda Hoover"/>
    <x v="30"/>
    <x v="1"/>
    <x v="0"/>
    <n v="1635.01"/>
    <n v="6213.0379999999996"/>
  </r>
  <r>
    <s v="T01253"/>
    <d v="2024-03-24T00:00:00"/>
    <s v="C147"/>
    <s v="P017"/>
    <s v="S001"/>
    <n v="4"/>
    <n v="0"/>
    <x v="3"/>
    <s v="Crystal Garrison"/>
    <x v="43"/>
    <x v="1"/>
    <x v="3"/>
    <n v="1246.1099999999999"/>
    <n v="4984.4399999999996"/>
  </r>
  <r>
    <s v="T01254"/>
    <d v="2025-05-04T00:00:00"/>
    <s v="C121"/>
    <s v="P050"/>
    <s v="S005"/>
    <n v="1"/>
    <n v="0.15"/>
    <x v="1"/>
    <s v="John Bell"/>
    <x v="3"/>
    <x v="0"/>
    <x v="4"/>
    <n v="1044.6400000000001"/>
    <n v="887.94400000000007"/>
  </r>
  <r>
    <s v="T01255"/>
    <d v="2025-04-17T00:00:00"/>
    <s v="C123"/>
    <s v="P043"/>
    <s v="S001"/>
    <n v="4"/>
    <n v="0.15"/>
    <x v="2"/>
    <s v="Peter Edwards"/>
    <x v="45"/>
    <x v="0"/>
    <x v="3"/>
    <n v="564.41999999999996"/>
    <n v="1919.0279999999998"/>
  </r>
  <r>
    <s v="T01256"/>
    <d v="2024-12-28T00:00:00"/>
    <s v="C022"/>
    <s v="P026"/>
    <s v="S005"/>
    <n v="1"/>
    <n v="0.15"/>
    <x v="2"/>
    <s v="Megan Velasquez"/>
    <x v="15"/>
    <x v="2"/>
    <x v="4"/>
    <n v="1015.76"/>
    <n v="863.39599999999996"/>
  </r>
  <r>
    <s v="T01257"/>
    <d v="2025-05-09T00:00:00"/>
    <s v="C034"/>
    <s v="P020"/>
    <s v="S003"/>
    <n v="3"/>
    <n v="0.05"/>
    <x v="3"/>
    <s v="Kari Miller"/>
    <x v="24"/>
    <x v="0"/>
    <x v="0"/>
    <n v="323.92"/>
    <n v="923.17199999999991"/>
  </r>
  <r>
    <s v="T01258"/>
    <d v="2025-07-22T00:00:00"/>
    <s v="C005"/>
    <s v="P012"/>
    <s v="S004"/>
    <n v="3"/>
    <n v="0.05"/>
    <x v="1"/>
    <s v="Jamie Salinas"/>
    <x v="38"/>
    <x v="1"/>
    <x v="1"/>
    <n v="1193.0899999999999"/>
    <n v="3400.3064999999992"/>
  </r>
  <r>
    <s v="T01259"/>
    <d v="2024-03-15T00:00:00"/>
    <s v="C147"/>
    <s v="P045"/>
    <s v="S005"/>
    <n v="1"/>
    <n v="0.15"/>
    <x v="1"/>
    <s v="Crystal Garrison"/>
    <x v="8"/>
    <x v="2"/>
    <x v="4"/>
    <n v="1879.08"/>
    <n v="1597.2179999999998"/>
  </r>
  <r>
    <s v="T01260"/>
    <d v="2024-08-22T00:00:00"/>
    <s v="C198"/>
    <s v="P031"/>
    <s v="S002"/>
    <n v="4"/>
    <n v="0.05"/>
    <x v="0"/>
    <s v="Jessica Mullins"/>
    <x v="39"/>
    <x v="2"/>
    <x v="2"/>
    <n v="1095.72"/>
    <n v="4163.7359999999999"/>
  </r>
  <r>
    <s v="T01261"/>
    <d v="2023-11-12T00:00:00"/>
    <s v="C161"/>
    <s v="P011"/>
    <s v="S004"/>
    <n v="1"/>
    <n v="0"/>
    <x v="1"/>
    <s v="Michael Perez"/>
    <x v="17"/>
    <x v="1"/>
    <x v="1"/>
    <n v="248.57"/>
    <n v="248.57"/>
  </r>
  <r>
    <s v="T01262"/>
    <d v="2024-05-10T00:00:00"/>
    <s v="C177"/>
    <s v="P030"/>
    <s v="S003"/>
    <n v="5"/>
    <n v="0"/>
    <x v="0"/>
    <s v="Anthony Gould"/>
    <x v="1"/>
    <x v="0"/>
    <x v="0"/>
    <n v="29.24"/>
    <n v="146.19999999999999"/>
  </r>
  <r>
    <s v="T01263"/>
    <d v="2025-05-06T00:00:00"/>
    <s v="C110"/>
    <s v="P033"/>
    <s v="S003"/>
    <n v="5"/>
    <n v="0.05"/>
    <x v="3"/>
    <s v="Travis Peters"/>
    <x v="16"/>
    <x v="0"/>
    <x v="0"/>
    <n v="1798.97"/>
    <n v="8545.1075000000001"/>
  </r>
  <r>
    <s v="T01264"/>
    <d v="2024-02-17T00:00:00"/>
    <s v="C159"/>
    <s v="P007"/>
    <s v="S003"/>
    <n v="1"/>
    <n v="0.1"/>
    <x v="3"/>
    <s v="Thomas Chung"/>
    <x v="18"/>
    <x v="1"/>
    <x v="0"/>
    <n v="1474.12"/>
    <n v="1326.7079999999999"/>
  </r>
  <r>
    <s v="T01265"/>
    <d v="2024-06-28T00:00:00"/>
    <s v="C029"/>
    <s v="P013"/>
    <s v="S004"/>
    <n v="3"/>
    <n v="0.15"/>
    <x v="3"/>
    <s v="Tyler Levine"/>
    <x v="21"/>
    <x v="0"/>
    <x v="1"/>
    <n v="1134.8"/>
    <n v="2893.74"/>
  </r>
  <r>
    <s v="T01266"/>
    <d v="2024-05-27T00:00:00"/>
    <s v="C094"/>
    <s v="P046"/>
    <s v="S003"/>
    <n v="2"/>
    <n v="0"/>
    <x v="2"/>
    <s v="Kimberly Stokes"/>
    <x v="42"/>
    <x v="0"/>
    <x v="0"/>
    <n v="1165.3699999999999"/>
    <n v="2330.7399999999998"/>
  </r>
  <r>
    <s v="T01267"/>
    <d v="2024-11-01T00:00:00"/>
    <s v="C036"/>
    <s v="P020"/>
    <s v="S003"/>
    <n v="2"/>
    <n v="0"/>
    <x v="1"/>
    <s v="Michael Cervantes"/>
    <x v="24"/>
    <x v="0"/>
    <x v="0"/>
    <n v="323.92"/>
    <n v="647.84"/>
  </r>
  <r>
    <s v="T01268"/>
    <d v="2025-07-29T00:00:00"/>
    <s v="C189"/>
    <s v="P027"/>
    <s v="S005"/>
    <n v="2"/>
    <n v="0.05"/>
    <x v="0"/>
    <s v="Steve Flynn"/>
    <x v="34"/>
    <x v="1"/>
    <x v="4"/>
    <n v="1272.23"/>
    <n v="2417.2370000000001"/>
  </r>
  <r>
    <s v="T01269"/>
    <d v="2025-04-21T00:00:00"/>
    <s v="C091"/>
    <s v="P050"/>
    <s v="S003"/>
    <n v="5"/>
    <n v="0.15"/>
    <x v="0"/>
    <s v="Brian Fowler"/>
    <x v="3"/>
    <x v="0"/>
    <x v="0"/>
    <n v="1044.6400000000001"/>
    <n v="4439.72"/>
  </r>
  <r>
    <s v="T01270"/>
    <d v="2024-12-03T00:00:00"/>
    <s v="C014"/>
    <s v="P010"/>
    <s v="S001"/>
    <n v="3"/>
    <n v="0.1"/>
    <x v="1"/>
    <s v="Brittany Green"/>
    <x v="36"/>
    <x v="1"/>
    <x v="3"/>
    <n v="1194.1199999999999"/>
    <n v="3224.1239999999998"/>
  </r>
  <r>
    <s v="T01271"/>
    <d v="2024-03-27T00:00:00"/>
    <s v="C125"/>
    <s v="P023"/>
    <s v="S005"/>
    <n v="5"/>
    <n v="0"/>
    <x v="1"/>
    <s v="Kimberly Parker"/>
    <x v="20"/>
    <x v="0"/>
    <x v="4"/>
    <n v="1878.47"/>
    <n v="9392.35"/>
  </r>
  <r>
    <s v="T01272"/>
    <d v="2024-04-04T00:00:00"/>
    <s v="C182"/>
    <s v="P016"/>
    <s v="S005"/>
    <n v="5"/>
    <n v="0.1"/>
    <x v="1"/>
    <s v="Meghan Wright"/>
    <x v="13"/>
    <x v="0"/>
    <x v="4"/>
    <n v="1858.75"/>
    <n v="8364.375"/>
  </r>
  <r>
    <s v="T01273"/>
    <d v="2023-12-03T00:00:00"/>
    <s v="C159"/>
    <s v="P027"/>
    <s v="S003"/>
    <n v="1"/>
    <n v="0.05"/>
    <x v="1"/>
    <s v="Thomas Chung"/>
    <x v="34"/>
    <x v="1"/>
    <x v="0"/>
    <n v="1272.23"/>
    <n v="1208.6185"/>
  </r>
  <r>
    <s v="T01274"/>
    <d v="2024-09-04T00:00:00"/>
    <s v="C023"/>
    <s v="P032"/>
    <s v="S001"/>
    <n v="4"/>
    <n v="0.05"/>
    <x v="0"/>
    <s v="Mark Martinez"/>
    <x v="44"/>
    <x v="2"/>
    <x v="3"/>
    <n v="304.70999999999998"/>
    <n v="1157.8979999999999"/>
  </r>
  <r>
    <s v="T01275"/>
    <d v="2024-01-08T00:00:00"/>
    <s v="C020"/>
    <s v="P016"/>
    <s v="S001"/>
    <n v="2"/>
    <n v="0.1"/>
    <x v="3"/>
    <s v="Ryan Cole"/>
    <x v="13"/>
    <x v="0"/>
    <x v="3"/>
    <n v="1858.75"/>
    <n v="3345.75"/>
  </r>
  <r>
    <s v="T01276"/>
    <d v="2025-03-16T00:00:00"/>
    <s v="C179"/>
    <s v="P023"/>
    <s v="S002"/>
    <n v="4"/>
    <n v="0.05"/>
    <x v="2"/>
    <s v="Dennis Wallace"/>
    <x v="20"/>
    <x v="0"/>
    <x v="2"/>
    <n v="1878.47"/>
    <n v="7138.1859999999997"/>
  </r>
  <r>
    <s v="T01277"/>
    <d v="2024-09-19T00:00:00"/>
    <s v="C134"/>
    <s v="P041"/>
    <s v="S001"/>
    <n v="3"/>
    <n v="0.15"/>
    <x v="2"/>
    <s v="Emily Hart"/>
    <x v="30"/>
    <x v="1"/>
    <x v="3"/>
    <n v="1635.01"/>
    <n v="4169.2754999999997"/>
  </r>
  <r>
    <s v="T01278"/>
    <d v="2023-10-04T00:00:00"/>
    <s v="C122"/>
    <s v="P023"/>
    <s v="S003"/>
    <n v="4"/>
    <n v="0.15"/>
    <x v="3"/>
    <s v="Amy Smith"/>
    <x v="20"/>
    <x v="0"/>
    <x v="0"/>
    <n v="1878.47"/>
    <n v="6386.7979999999998"/>
  </r>
  <r>
    <s v="T01279"/>
    <d v="2024-06-24T00:00:00"/>
    <s v="C075"/>
    <s v="P041"/>
    <s v="S002"/>
    <n v="1"/>
    <n v="0"/>
    <x v="2"/>
    <s v="Seth Moore"/>
    <x v="30"/>
    <x v="1"/>
    <x v="2"/>
    <n v="1635.01"/>
    <n v="1635.01"/>
  </r>
  <r>
    <s v="T01280"/>
    <d v="2024-02-12T00:00:00"/>
    <s v="C134"/>
    <s v="P014"/>
    <s v="S003"/>
    <n v="4"/>
    <n v="0.1"/>
    <x v="0"/>
    <s v="Emily Hart"/>
    <x v="0"/>
    <x v="0"/>
    <x v="0"/>
    <n v="1342.75"/>
    <n v="4833.9000000000005"/>
  </r>
  <r>
    <s v="T01281"/>
    <d v="2025-06-20T00:00:00"/>
    <s v="C125"/>
    <s v="P014"/>
    <s v="S005"/>
    <n v="5"/>
    <n v="0.15"/>
    <x v="1"/>
    <s v="Kimberly Parker"/>
    <x v="0"/>
    <x v="0"/>
    <x v="4"/>
    <n v="1342.75"/>
    <n v="5706.6875"/>
  </r>
  <r>
    <s v="T01282"/>
    <d v="2025-08-29T00:00:00"/>
    <s v="C078"/>
    <s v="P038"/>
    <s v="S005"/>
    <n v="2"/>
    <n v="0.1"/>
    <x v="2"/>
    <s v="Jeanne Young"/>
    <x v="41"/>
    <x v="0"/>
    <x v="4"/>
    <n v="366.93"/>
    <n v="660.47400000000005"/>
  </r>
  <r>
    <s v="T01283"/>
    <d v="2023-12-14T00:00:00"/>
    <s v="C067"/>
    <s v="P001"/>
    <s v="S002"/>
    <n v="4"/>
    <n v="0.1"/>
    <x v="0"/>
    <s v="Daniel Maldonado"/>
    <x v="31"/>
    <x v="1"/>
    <x v="2"/>
    <n v="1673.69"/>
    <n v="6025.2840000000006"/>
  </r>
  <r>
    <s v="T01284"/>
    <d v="2024-06-27T00:00:00"/>
    <s v="C198"/>
    <s v="P042"/>
    <s v="S001"/>
    <n v="2"/>
    <n v="0.1"/>
    <x v="0"/>
    <s v="Jessica Mullins"/>
    <x v="10"/>
    <x v="0"/>
    <x v="3"/>
    <n v="453.62"/>
    <n v="816.51600000000008"/>
  </r>
  <r>
    <s v="T01285"/>
    <d v="2024-08-29T00:00:00"/>
    <s v="C117"/>
    <s v="P020"/>
    <s v="S002"/>
    <n v="5"/>
    <n v="0.05"/>
    <x v="0"/>
    <s v="Timothy Beck"/>
    <x v="24"/>
    <x v="0"/>
    <x v="2"/>
    <n v="323.92"/>
    <n v="1538.6200000000001"/>
  </r>
  <r>
    <s v="T01286"/>
    <d v="2024-02-17T00:00:00"/>
    <s v="C047"/>
    <s v="P019"/>
    <s v="S002"/>
    <n v="2"/>
    <n v="0.05"/>
    <x v="2"/>
    <s v="Mary Decker"/>
    <x v="26"/>
    <x v="1"/>
    <x v="2"/>
    <n v="1762.92"/>
    <n v="3349.5479999999998"/>
  </r>
  <r>
    <s v="T01287"/>
    <d v="2025-08-24T00:00:00"/>
    <s v="C030"/>
    <s v="P014"/>
    <s v="S001"/>
    <n v="3"/>
    <n v="0.05"/>
    <x v="1"/>
    <s v="Lacey Hall"/>
    <x v="0"/>
    <x v="0"/>
    <x v="3"/>
    <n v="1342.75"/>
    <n v="3826.8374999999996"/>
  </r>
  <r>
    <s v="T01288"/>
    <d v="2023-10-14T00:00:00"/>
    <s v="C067"/>
    <s v="P001"/>
    <s v="S003"/>
    <n v="2"/>
    <n v="0.05"/>
    <x v="3"/>
    <s v="Daniel Maldonado"/>
    <x v="31"/>
    <x v="1"/>
    <x v="0"/>
    <n v="1673.69"/>
    <n v="3180.011"/>
  </r>
  <r>
    <s v="T01289"/>
    <d v="2024-09-05T00:00:00"/>
    <s v="C171"/>
    <s v="P041"/>
    <s v="S003"/>
    <n v="3"/>
    <n v="0.05"/>
    <x v="0"/>
    <s v="Christina Dominguez"/>
    <x v="30"/>
    <x v="1"/>
    <x v="0"/>
    <n v="1635.01"/>
    <n v="4659.7784999999994"/>
  </r>
  <r>
    <s v="T01290"/>
    <d v="2024-08-09T00:00:00"/>
    <s v="C115"/>
    <s v="P022"/>
    <s v="S005"/>
    <n v="2"/>
    <n v="0.1"/>
    <x v="3"/>
    <s v="Jose Smith"/>
    <x v="9"/>
    <x v="2"/>
    <x v="4"/>
    <n v="25.57"/>
    <n v="46.026000000000003"/>
  </r>
  <r>
    <s v="T01291"/>
    <d v="2025-09-05T00:00:00"/>
    <s v="C007"/>
    <s v="P032"/>
    <s v="S004"/>
    <n v="4"/>
    <n v="0.05"/>
    <x v="1"/>
    <s v="Erin Walker"/>
    <x v="44"/>
    <x v="2"/>
    <x v="1"/>
    <n v="304.70999999999998"/>
    <n v="1157.8979999999999"/>
  </r>
  <r>
    <s v="T01292"/>
    <d v="2024-12-01T00:00:00"/>
    <s v="C082"/>
    <s v="P036"/>
    <s v="S002"/>
    <n v="1"/>
    <n v="0.1"/>
    <x v="0"/>
    <s v="Amy Haley"/>
    <x v="4"/>
    <x v="0"/>
    <x v="2"/>
    <n v="1501.46"/>
    <n v="1351.3140000000001"/>
  </r>
  <r>
    <s v="T01293"/>
    <d v="2025-04-06T00:00:00"/>
    <s v="C122"/>
    <s v="P010"/>
    <s v="S003"/>
    <n v="5"/>
    <n v="0.05"/>
    <x v="1"/>
    <s v="Amy Smith"/>
    <x v="36"/>
    <x v="1"/>
    <x v="0"/>
    <n v="1194.1199999999999"/>
    <n v="5672.0699999999988"/>
  </r>
  <r>
    <s v="T01294"/>
    <d v="2025-07-18T00:00:00"/>
    <s v="C087"/>
    <s v="P028"/>
    <s v="S001"/>
    <n v="4"/>
    <n v="0"/>
    <x v="2"/>
    <s v="Laurie Mason"/>
    <x v="25"/>
    <x v="1"/>
    <x v="3"/>
    <n v="673.78"/>
    <n v="2695.12"/>
  </r>
  <r>
    <s v="T01295"/>
    <d v="2024-01-04T00:00:00"/>
    <s v="C174"/>
    <s v="P025"/>
    <s v="S005"/>
    <n v="1"/>
    <n v="0.1"/>
    <x v="3"/>
    <s v="Scott Howell"/>
    <x v="33"/>
    <x v="0"/>
    <x v="4"/>
    <n v="429.15"/>
    <n v="386.23500000000001"/>
  </r>
  <r>
    <s v="T01296"/>
    <d v="2024-12-06T00:00:00"/>
    <s v="C103"/>
    <s v="P007"/>
    <s v="S005"/>
    <n v="2"/>
    <n v="0.15"/>
    <x v="0"/>
    <s v="David Burns"/>
    <x v="18"/>
    <x v="1"/>
    <x v="4"/>
    <n v="1474.12"/>
    <n v="2506.0039999999999"/>
  </r>
  <r>
    <s v="T01297"/>
    <d v="2025-04-10T00:00:00"/>
    <s v="C024"/>
    <s v="P047"/>
    <s v="S003"/>
    <n v="1"/>
    <n v="0.05"/>
    <x v="2"/>
    <s v="Molly Murray"/>
    <x v="28"/>
    <x v="1"/>
    <x v="0"/>
    <n v="1197.18"/>
    <n v="1137.3209999999999"/>
  </r>
  <r>
    <s v="T01298"/>
    <d v="2025-06-27T00:00:00"/>
    <s v="C197"/>
    <s v="P037"/>
    <s v="S003"/>
    <n v="2"/>
    <n v="0"/>
    <x v="3"/>
    <s v="Matthew Dixon"/>
    <x v="27"/>
    <x v="1"/>
    <x v="0"/>
    <n v="1952.65"/>
    <n v="3905.3"/>
  </r>
  <r>
    <s v="T01299"/>
    <d v="2023-12-06T00:00:00"/>
    <s v="C138"/>
    <s v="P031"/>
    <s v="S004"/>
    <n v="1"/>
    <n v="0.15"/>
    <x v="2"/>
    <s v="Breanna Moore"/>
    <x v="39"/>
    <x v="2"/>
    <x v="1"/>
    <n v="1095.72"/>
    <n v="931.36199999999997"/>
  </r>
  <r>
    <s v="T01300"/>
    <d v="2023-12-31T00:00:00"/>
    <s v="C126"/>
    <s v="P003"/>
    <s v="S003"/>
    <n v="5"/>
    <n v="0"/>
    <x v="0"/>
    <s v="Monique Johnson"/>
    <x v="46"/>
    <x v="0"/>
    <x v="0"/>
    <n v="337.63"/>
    <n v="1688.15"/>
  </r>
  <r>
    <s v="T01301"/>
    <d v="2025-04-28T00:00:00"/>
    <s v="C102"/>
    <s v="P022"/>
    <s v="S002"/>
    <n v="4"/>
    <n v="0.1"/>
    <x v="1"/>
    <s v="Carolyn Perez"/>
    <x v="9"/>
    <x v="2"/>
    <x v="2"/>
    <n v="25.57"/>
    <n v="92.052000000000007"/>
  </r>
  <r>
    <s v="T01302"/>
    <d v="2024-10-19T00:00:00"/>
    <s v="C096"/>
    <s v="P012"/>
    <s v="S001"/>
    <n v="3"/>
    <n v="0.1"/>
    <x v="0"/>
    <s v="Eric King"/>
    <x v="38"/>
    <x v="1"/>
    <x v="3"/>
    <n v="1193.0899999999999"/>
    <n v="3221.3429999999998"/>
  </r>
  <r>
    <s v="T01303"/>
    <d v="2024-07-18T00:00:00"/>
    <s v="C079"/>
    <s v="P003"/>
    <s v="S004"/>
    <n v="5"/>
    <n v="0"/>
    <x v="2"/>
    <s v="Donald Marsh"/>
    <x v="46"/>
    <x v="0"/>
    <x v="1"/>
    <n v="337.63"/>
    <n v="1688.15"/>
  </r>
  <r>
    <s v="T01304"/>
    <d v="2025-04-30T00:00:00"/>
    <s v="C187"/>
    <s v="P041"/>
    <s v="S004"/>
    <n v="4"/>
    <n v="0.15"/>
    <x v="0"/>
    <s v="Cynthia Cherry"/>
    <x v="30"/>
    <x v="1"/>
    <x v="1"/>
    <n v="1635.01"/>
    <n v="5559.0339999999997"/>
  </r>
  <r>
    <s v="T01305"/>
    <d v="2025-05-14T00:00:00"/>
    <s v="C042"/>
    <s v="P002"/>
    <s v="S004"/>
    <n v="4"/>
    <n v="0.05"/>
    <x v="3"/>
    <s v="Anna Andrews"/>
    <x v="2"/>
    <x v="1"/>
    <x v="1"/>
    <n v="818.76"/>
    <n v="3111.288"/>
  </r>
  <r>
    <s v="T01306"/>
    <d v="2025-08-21T00:00:00"/>
    <s v="C037"/>
    <s v="P042"/>
    <s v="S002"/>
    <n v="3"/>
    <n v="0.15"/>
    <x v="0"/>
    <s v="Miranda Nelson"/>
    <x v="10"/>
    <x v="0"/>
    <x v="2"/>
    <n v="453.62"/>
    <n v="1156.731"/>
  </r>
  <r>
    <s v="T01307"/>
    <d v="2024-12-22T00:00:00"/>
    <s v="C017"/>
    <s v="P026"/>
    <s v="S005"/>
    <n v="4"/>
    <n v="0"/>
    <x v="3"/>
    <s v="Vanessa Anderson"/>
    <x v="15"/>
    <x v="2"/>
    <x v="4"/>
    <n v="1015.76"/>
    <n v="4063.04"/>
  </r>
  <r>
    <s v="T01308"/>
    <d v="2024-02-29T00:00:00"/>
    <s v="C105"/>
    <s v="P030"/>
    <s v="S003"/>
    <n v="4"/>
    <n v="0.05"/>
    <x v="1"/>
    <s v="Kenneth Berg"/>
    <x v="1"/>
    <x v="0"/>
    <x v="0"/>
    <n v="29.24"/>
    <n v="111.11199999999999"/>
  </r>
  <r>
    <s v="T01309"/>
    <d v="2024-11-20T00:00:00"/>
    <s v="C182"/>
    <s v="P027"/>
    <s v="S005"/>
    <n v="2"/>
    <n v="0.05"/>
    <x v="2"/>
    <s v="Meghan Wright"/>
    <x v="34"/>
    <x v="1"/>
    <x v="4"/>
    <n v="1272.23"/>
    <n v="2417.2370000000001"/>
  </r>
  <r>
    <s v="T01310"/>
    <d v="2023-11-10T00:00:00"/>
    <s v="C098"/>
    <s v="P017"/>
    <s v="S003"/>
    <n v="5"/>
    <n v="0.15"/>
    <x v="3"/>
    <s v="Lisa Vega"/>
    <x v="43"/>
    <x v="1"/>
    <x v="0"/>
    <n v="1246.1099999999999"/>
    <n v="5295.9674999999988"/>
  </r>
  <r>
    <s v="T01311"/>
    <d v="2025-03-29T00:00:00"/>
    <s v="C078"/>
    <s v="P042"/>
    <s v="S005"/>
    <n v="3"/>
    <n v="0.15"/>
    <x v="1"/>
    <s v="Jeanne Young"/>
    <x v="10"/>
    <x v="0"/>
    <x v="4"/>
    <n v="453.62"/>
    <n v="1156.731"/>
  </r>
  <r>
    <s v="T01312"/>
    <d v="2025-06-18T00:00:00"/>
    <s v="C058"/>
    <s v="P032"/>
    <s v="S001"/>
    <n v="1"/>
    <n v="0.05"/>
    <x v="0"/>
    <s v="Lawrence Stewart"/>
    <x v="44"/>
    <x v="2"/>
    <x v="3"/>
    <n v="304.70999999999998"/>
    <n v="289.47449999999998"/>
  </r>
  <r>
    <s v="T01313"/>
    <d v="2025-07-26T00:00:00"/>
    <s v="C077"/>
    <s v="P009"/>
    <s v="S004"/>
    <n v="1"/>
    <n v="0.1"/>
    <x v="1"/>
    <s v="Matthew Juarez"/>
    <x v="5"/>
    <x v="2"/>
    <x v="1"/>
    <n v="123.19"/>
    <n v="110.871"/>
  </r>
  <r>
    <s v="T01314"/>
    <d v="2025-05-02T00:00:00"/>
    <s v="C046"/>
    <s v="P012"/>
    <s v="S004"/>
    <n v="2"/>
    <n v="0"/>
    <x v="3"/>
    <s v="Dennis Poole"/>
    <x v="38"/>
    <x v="1"/>
    <x v="1"/>
    <n v="1193.0899999999999"/>
    <n v="2386.1799999999998"/>
  </r>
  <r>
    <s v="T01315"/>
    <d v="2025-01-21T00:00:00"/>
    <s v="C196"/>
    <s v="P022"/>
    <s v="S003"/>
    <n v="4"/>
    <n v="0"/>
    <x v="0"/>
    <s v="James Noble"/>
    <x v="9"/>
    <x v="2"/>
    <x v="0"/>
    <n v="25.57"/>
    <n v="102.28"/>
  </r>
  <r>
    <s v="T01316"/>
    <d v="2023-11-20T00:00:00"/>
    <s v="C149"/>
    <s v="P049"/>
    <s v="S004"/>
    <n v="5"/>
    <n v="0.15"/>
    <x v="0"/>
    <s v="Melissa Torres"/>
    <x v="29"/>
    <x v="0"/>
    <x v="1"/>
    <n v="388.26"/>
    <n v="1650.105"/>
  </r>
  <r>
    <s v="T01317"/>
    <d v="2024-05-11T00:00:00"/>
    <s v="C161"/>
    <s v="P001"/>
    <s v="S004"/>
    <n v="1"/>
    <n v="0.1"/>
    <x v="3"/>
    <s v="Michael Perez"/>
    <x v="31"/>
    <x v="1"/>
    <x v="1"/>
    <n v="1673.69"/>
    <n v="1506.3210000000001"/>
  </r>
  <r>
    <s v="T01318"/>
    <d v="2024-01-22T00:00:00"/>
    <s v="C067"/>
    <s v="P047"/>
    <s v="S002"/>
    <n v="5"/>
    <n v="0"/>
    <x v="2"/>
    <s v="Daniel Maldonado"/>
    <x v="28"/>
    <x v="1"/>
    <x v="2"/>
    <n v="1197.18"/>
    <n v="5985.9000000000005"/>
  </r>
  <r>
    <s v="T01319"/>
    <d v="2024-05-28T00:00:00"/>
    <s v="C082"/>
    <s v="P004"/>
    <s v="S004"/>
    <n v="2"/>
    <n v="0.1"/>
    <x v="2"/>
    <s v="Amy Haley"/>
    <x v="49"/>
    <x v="0"/>
    <x v="1"/>
    <n v="1853.77"/>
    <n v="3336.7860000000001"/>
  </r>
  <r>
    <s v="T01320"/>
    <d v="2024-12-16T00:00:00"/>
    <s v="C014"/>
    <s v="P049"/>
    <s v="S003"/>
    <n v="3"/>
    <n v="0.15"/>
    <x v="0"/>
    <s v="Brittany Green"/>
    <x v="29"/>
    <x v="0"/>
    <x v="0"/>
    <n v="388.26"/>
    <n v="990.06299999999999"/>
  </r>
  <r>
    <s v="T01321"/>
    <d v="2024-07-08T00:00:00"/>
    <s v="C013"/>
    <s v="P002"/>
    <s v="S003"/>
    <n v="3"/>
    <n v="0"/>
    <x v="2"/>
    <s v="Robert Anderson"/>
    <x v="2"/>
    <x v="1"/>
    <x v="0"/>
    <n v="818.76"/>
    <n v="2456.2799999999997"/>
  </r>
  <r>
    <s v="T01322"/>
    <d v="2024-09-14T00:00:00"/>
    <s v="C197"/>
    <s v="P021"/>
    <s v="S002"/>
    <n v="1"/>
    <n v="0.05"/>
    <x v="0"/>
    <s v="Matthew Dixon"/>
    <x v="23"/>
    <x v="2"/>
    <x v="2"/>
    <n v="1227.24"/>
    <n v="1165.8779999999999"/>
  </r>
  <r>
    <s v="T01323"/>
    <d v="2025-08-02T00:00:00"/>
    <s v="C081"/>
    <s v="P019"/>
    <s v="S003"/>
    <n v="3"/>
    <n v="0.1"/>
    <x v="3"/>
    <s v="Sarah Reynolds"/>
    <x v="26"/>
    <x v="1"/>
    <x v="0"/>
    <n v="1762.92"/>
    <n v="4759.884"/>
  </r>
  <r>
    <s v="T01324"/>
    <d v="2024-04-20T00:00:00"/>
    <s v="C137"/>
    <s v="P043"/>
    <s v="S005"/>
    <n v="3"/>
    <n v="0.05"/>
    <x v="3"/>
    <s v="Gary Lopez"/>
    <x v="45"/>
    <x v="0"/>
    <x v="4"/>
    <n v="564.41999999999996"/>
    <n v="1608.5969999999998"/>
  </r>
  <r>
    <s v="T01325"/>
    <d v="2025-01-24T00:00:00"/>
    <s v="C036"/>
    <s v="P042"/>
    <s v="S005"/>
    <n v="3"/>
    <n v="0.1"/>
    <x v="1"/>
    <s v="Michael Cervantes"/>
    <x v="10"/>
    <x v="0"/>
    <x v="4"/>
    <n v="453.62"/>
    <n v="1224.7740000000001"/>
  </r>
  <r>
    <s v="T01326"/>
    <d v="2023-12-28T00:00:00"/>
    <s v="C106"/>
    <s v="P019"/>
    <s v="S003"/>
    <n v="2"/>
    <n v="0"/>
    <x v="2"/>
    <s v="Kevin Flores"/>
    <x v="26"/>
    <x v="1"/>
    <x v="0"/>
    <n v="1762.92"/>
    <n v="3525.84"/>
  </r>
  <r>
    <s v="T01327"/>
    <d v="2025-04-02T00:00:00"/>
    <s v="C040"/>
    <s v="P031"/>
    <s v="S005"/>
    <n v="2"/>
    <n v="0.05"/>
    <x v="3"/>
    <s v="Scott Powell"/>
    <x v="39"/>
    <x v="2"/>
    <x v="4"/>
    <n v="1095.72"/>
    <n v="2081.8679999999999"/>
  </r>
  <r>
    <s v="T01328"/>
    <d v="2025-05-14T00:00:00"/>
    <s v="C107"/>
    <s v="P011"/>
    <s v="S004"/>
    <n v="1"/>
    <n v="0"/>
    <x v="2"/>
    <s v="Victoria Hansen"/>
    <x v="17"/>
    <x v="1"/>
    <x v="1"/>
    <n v="248.57"/>
    <n v="248.57"/>
  </r>
  <r>
    <s v="T01329"/>
    <d v="2024-05-25T00:00:00"/>
    <s v="C005"/>
    <s v="P014"/>
    <s v="S004"/>
    <n v="3"/>
    <n v="0.1"/>
    <x v="0"/>
    <s v="Jamie Salinas"/>
    <x v="0"/>
    <x v="0"/>
    <x v="1"/>
    <n v="1342.75"/>
    <n v="3625.4250000000002"/>
  </r>
  <r>
    <s v="T01330"/>
    <d v="2024-06-10T00:00:00"/>
    <s v="C036"/>
    <s v="P033"/>
    <s v="S004"/>
    <n v="5"/>
    <n v="0.1"/>
    <x v="2"/>
    <s v="Michael Cervantes"/>
    <x v="16"/>
    <x v="0"/>
    <x v="1"/>
    <n v="1798.97"/>
    <n v="8095.3650000000007"/>
  </r>
  <r>
    <s v="T01331"/>
    <d v="2024-09-15T00:00:00"/>
    <s v="C182"/>
    <s v="P044"/>
    <s v="S003"/>
    <n v="1"/>
    <n v="0"/>
    <x v="2"/>
    <s v="Meghan Wright"/>
    <x v="32"/>
    <x v="0"/>
    <x v="0"/>
    <n v="1286.55"/>
    <n v="1286.55"/>
  </r>
  <r>
    <s v="T01332"/>
    <d v="2025-04-17T00:00:00"/>
    <s v="C033"/>
    <s v="P029"/>
    <s v="S002"/>
    <n v="2"/>
    <n v="0.1"/>
    <x v="2"/>
    <s v="Jenny Beck"/>
    <x v="47"/>
    <x v="0"/>
    <x v="2"/>
    <n v="1485.05"/>
    <n v="2673.09"/>
  </r>
  <r>
    <s v="T01333"/>
    <d v="2024-07-31T00:00:00"/>
    <s v="C054"/>
    <s v="P044"/>
    <s v="S002"/>
    <n v="1"/>
    <n v="0.15"/>
    <x v="3"/>
    <s v="Crystal Johnson"/>
    <x v="32"/>
    <x v="0"/>
    <x v="2"/>
    <n v="1286.55"/>
    <n v="1093.5674999999999"/>
  </r>
  <r>
    <s v="T01334"/>
    <d v="2024-11-15T00:00:00"/>
    <s v="C020"/>
    <s v="P018"/>
    <s v="S001"/>
    <n v="4"/>
    <n v="0.15"/>
    <x v="3"/>
    <s v="Ryan Cole"/>
    <x v="19"/>
    <x v="1"/>
    <x v="3"/>
    <n v="1079.8900000000001"/>
    <n v="3671.6260000000002"/>
  </r>
  <r>
    <s v="T01335"/>
    <d v="2024-07-05T00:00:00"/>
    <s v="C051"/>
    <s v="P001"/>
    <s v="S001"/>
    <n v="1"/>
    <n v="0"/>
    <x v="1"/>
    <s v="Madison Sellers"/>
    <x v="31"/>
    <x v="1"/>
    <x v="3"/>
    <n v="1673.69"/>
    <n v="1673.69"/>
  </r>
  <r>
    <s v="T01336"/>
    <d v="2025-08-22T00:00:00"/>
    <s v="C031"/>
    <s v="P011"/>
    <s v="S003"/>
    <n v="1"/>
    <n v="0"/>
    <x v="0"/>
    <s v="Ashley Gibson"/>
    <x v="17"/>
    <x v="1"/>
    <x v="0"/>
    <n v="248.57"/>
    <n v="248.57"/>
  </r>
  <r>
    <s v="T01337"/>
    <d v="2023-09-20T00:00:00"/>
    <s v="C171"/>
    <s v="P045"/>
    <s v="S001"/>
    <n v="1"/>
    <n v="0"/>
    <x v="2"/>
    <s v="Christina Dominguez"/>
    <x v="8"/>
    <x v="2"/>
    <x v="3"/>
    <n v="1879.08"/>
    <n v="1879.08"/>
  </r>
  <r>
    <s v="T01338"/>
    <d v="2024-08-22T00:00:00"/>
    <s v="C151"/>
    <s v="P045"/>
    <s v="S002"/>
    <n v="2"/>
    <n v="0.1"/>
    <x v="3"/>
    <s v="Dawn Fletcher"/>
    <x v="8"/>
    <x v="2"/>
    <x v="2"/>
    <n v="1879.08"/>
    <n v="3382.3440000000001"/>
  </r>
  <r>
    <s v="T01339"/>
    <d v="2024-03-07T00:00:00"/>
    <s v="C024"/>
    <s v="P006"/>
    <s v="S002"/>
    <n v="3"/>
    <n v="0.1"/>
    <x v="0"/>
    <s v="Molly Murray"/>
    <x v="35"/>
    <x v="2"/>
    <x v="2"/>
    <n v="318.05"/>
    <n v="858.73500000000013"/>
  </r>
  <r>
    <s v="T01340"/>
    <d v="2025-01-24T00:00:00"/>
    <s v="C042"/>
    <s v="P001"/>
    <s v="S005"/>
    <n v="5"/>
    <n v="0.05"/>
    <x v="3"/>
    <s v="Anna Andrews"/>
    <x v="31"/>
    <x v="1"/>
    <x v="4"/>
    <n v="1673.69"/>
    <n v="7950.0275000000001"/>
  </r>
  <r>
    <s v="T01341"/>
    <d v="2025-03-22T00:00:00"/>
    <s v="C026"/>
    <s v="P017"/>
    <s v="S005"/>
    <n v="1"/>
    <n v="0.05"/>
    <x v="2"/>
    <s v="Justin Macdonald"/>
    <x v="43"/>
    <x v="1"/>
    <x v="4"/>
    <n v="1246.1099999999999"/>
    <n v="1183.8045"/>
  </r>
  <r>
    <s v="T01342"/>
    <d v="2025-04-07T00:00:00"/>
    <s v="C073"/>
    <s v="P004"/>
    <s v="S002"/>
    <n v="5"/>
    <n v="0"/>
    <x v="3"/>
    <s v="Carl Armstrong"/>
    <x v="49"/>
    <x v="0"/>
    <x v="2"/>
    <n v="1853.77"/>
    <n v="9268.85"/>
  </r>
  <r>
    <s v="T01343"/>
    <d v="2025-01-04T00:00:00"/>
    <s v="C055"/>
    <s v="P032"/>
    <s v="S005"/>
    <n v="4"/>
    <n v="0.1"/>
    <x v="2"/>
    <s v="Deborah Moody"/>
    <x v="44"/>
    <x v="2"/>
    <x v="4"/>
    <n v="304.70999999999998"/>
    <n v="1096.9559999999999"/>
  </r>
  <r>
    <s v="T01344"/>
    <d v="2023-11-25T00:00:00"/>
    <s v="C113"/>
    <s v="P027"/>
    <s v="S001"/>
    <n v="2"/>
    <n v="0.1"/>
    <x v="1"/>
    <s v="Heidi Wilson"/>
    <x v="34"/>
    <x v="1"/>
    <x v="3"/>
    <n v="1272.23"/>
    <n v="2290.0140000000001"/>
  </r>
  <r>
    <s v="T01345"/>
    <d v="2025-08-26T00:00:00"/>
    <s v="C109"/>
    <s v="P005"/>
    <s v="S002"/>
    <n v="5"/>
    <n v="0.05"/>
    <x v="1"/>
    <s v="Austin Hogan"/>
    <x v="6"/>
    <x v="0"/>
    <x v="2"/>
    <n v="1396.22"/>
    <n v="6632.0450000000001"/>
  </r>
  <r>
    <s v="T01346"/>
    <d v="2024-01-24T00:00:00"/>
    <s v="C029"/>
    <s v="P004"/>
    <s v="S003"/>
    <n v="1"/>
    <n v="0.15"/>
    <x v="3"/>
    <s v="Tyler Levine"/>
    <x v="49"/>
    <x v="0"/>
    <x v="0"/>
    <n v="1853.77"/>
    <n v="1575.7045000000001"/>
  </r>
  <r>
    <s v="T01347"/>
    <d v="2024-02-09T00:00:00"/>
    <s v="C134"/>
    <s v="P013"/>
    <s v="S002"/>
    <n v="4"/>
    <n v="0.1"/>
    <x v="0"/>
    <s v="Emily Hart"/>
    <x v="21"/>
    <x v="0"/>
    <x v="2"/>
    <n v="1134.8"/>
    <n v="4085.2799999999997"/>
  </r>
  <r>
    <s v="T01348"/>
    <d v="2024-08-31T00:00:00"/>
    <s v="C143"/>
    <s v="P025"/>
    <s v="S001"/>
    <n v="1"/>
    <n v="0.1"/>
    <x v="1"/>
    <s v="Cynthia Carlson"/>
    <x v="33"/>
    <x v="0"/>
    <x v="3"/>
    <n v="429.15"/>
    <n v="386.23500000000001"/>
  </r>
  <r>
    <s v="T01349"/>
    <d v="2024-11-15T00:00:00"/>
    <s v="C030"/>
    <s v="P036"/>
    <s v="S004"/>
    <n v="3"/>
    <n v="0.15"/>
    <x v="0"/>
    <s v="Lacey Hall"/>
    <x v="4"/>
    <x v="0"/>
    <x v="1"/>
    <n v="1501.46"/>
    <n v="3828.723"/>
  </r>
  <r>
    <s v="T01350"/>
    <d v="2023-11-06T00:00:00"/>
    <s v="C176"/>
    <s v="P013"/>
    <s v="S004"/>
    <n v="2"/>
    <n v="0.15"/>
    <x v="0"/>
    <s v="Peter Garcia"/>
    <x v="21"/>
    <x v="0"/>
    <x v="1"/>
    <n v="1134.8"/>
    <n v="1929.1599999999999"/>
  </r>
  <r>
    <s v="T01351"/>
    <d v="2023-10-13T00:00:00"/>
    <s v="C110"/>
    <s v="P050"/>
    <s v="S002"/>
    <n v="1"/>
    <n v="0.15"/>
    <x v="0"/>
    <s v="Travis Peters"/>
    <x v="3"/>
    <x v="0"/>
    <x v="2"/>
    <n v="1044.6400000000001"/>
    <n v="887.94400000000007"/>
  </r>
  <r>
    <s v="T01352"/>
    <d v="2024-12-22T00:00:00"/>
    <s v="C046"/>
    <s v="P030"/>
    <s v="S001"/>
    <n v="4"/>
    <n v="0"/>
    <x v="1"/>
    <s v="Dennis Poole"/>
    <x v="1"/>
    <x v="0"/>
    <x v="3"/>
    <n v="29.24"/>
    <n v="116.96"/>
  </r>
  <r>
    <s v="T01353"/>
    <d v="2024-04-17T00:00:00"/>
    <s v="C113"/>
    <s v="P050"/>
    <s v="S005"/>
    <n v="1"/>
    <n v="0"/>
    <x v="2"/>
    <s v="Heidi Wilson"/>
    <x v="3"/>
    <x v="0"/>
    <x v="4"/>
    <n v="1044.6400000000001"/>
    <n v="1044.6400000000001"/>
  </r>
  <r>
    <s v="T01354"/>
    <d v="2023-10-28T00:00:00"/>
    <s v="C102"/>
    <s v="P003"/>
    <s v="S004"/>
    <n v="5"/>
    <n v="0"/>
    <x v="2"/>
    <s v="Carolyn Perez"/>
    <x v="46"/>
    <x v="0"/>
    <x v="1"/>
    <n v="337.63"/>
    <n v="1688.15"/>
  </r>
  <r>
    <s v="T01355"/>
    <d v="2023-12-22T00:00:00"/>
    <s v="C017"/>
    <s v="P006"/>
    <s v="S003"/>
    <n v="2"/>
    <n v="0.1"/>
    <x v="2"/>
    <s v="Vanessa Anderson"/>
    <x v="35"/>
    <x v="2"/>
    <x v="0"/>
    <n v="318.05"/>
    <n v="572.49"/>
  </r>
  <r>
    <s v="T01356"/>
    <d v="2025-06-05T00:00:00"/>
    <s v="C153"/>
    <s v="P018"/>
    <s v="S004"/>
    <n v="1"/>
    <n v="0.05"/>
    <x v="1"/>
    <s v="Nancy Gordon"/>
    <x v="19"/>
    <x v="1"/>
    <x v="1"/>
    <n v="1079.8900000000001"/>
    <n v="1025.8955000000001"/>
  </r>
  <r>
    <s v="T01357"/>
    <d v="2025-07-26T00:00:00"/>
    <s v="C186"/>
    <s v="P050"/>
    <s v="S004"/>
    <n v="3"/>
    <n v="0.1"/>
    <x v="1"/>
    <s v="Vicki Guzman"/>
    <x v="3"/>
    <x v="0"/>
    <x v="1"/>
    <n v="1044.6400000000001"/>
    <n v="2820.5280000000002"/>
  </r>
  <r>
    <s v="T01358"/>
    <d v="2024-06-29T00:00:00"/>
    <s v="C092"/>
    <s v="P046"/>
    <s v="S004"/>
    <n v="5"/>
    <n v="0.15"/>
    <x v="1"/>
    <s v="Lindsey Holder"/>
    <x v="42"/>
    <x v="0"/>
    <x v="1"/>
    <n v="1165.3699999999999"/>
    <n v="4952.8224999999993"/>
  </r>
  <r>
    <s v="T01359"/>
    <d v="2025-08-14T00:00:00"/>
    <s v="C131"/>
    <s v="P023"/>
    <s v="S003"/>
    <n v="2"/>
    <n v="0.15"/>
    <x v="3"/>
    <s v="Denise Jackson"/>
    <x v="20"/>
    <x v="0"/>
    <x v="0"/>
    <n v="1878.47"/>
    <n v="3193.3989999999999"/>
  </r>
  <r>
    <s v="T01360"/>
    <d v="2025-06-06T00:00:00"/>
    <s v="C032"/>
    <s v="P044"/>
    <s v="S003"/>
    <n v="4"/>
    <n v="0.15"/>
    <x v="2"/>
    <s v="Valerie Macdonald"/>
    <x v="32"/>
    <x v="0"/>
    <x v="0"/>
    <n v="1286.55"/>
    <n v="4374.2699999999995"/>
  </r>
  <r>
    <s v="T01361"/>
    <d v="2023-11-09T00:00:00"/>
    <s v="C161"/>
    <s v="P050"/>
    <s v="S002"/>
    <n v="1"/>
    <n v="0"/>
    <x v="3"/>
    <s v="Michael Perez"/>
    <x v="3"/>
    <x v="0"/>
    <x v="2"/>
    <n v="1044.6400000000001"/>
    <n v="1044.6400000000001"/>
  </r>
  <r>
    <s v="T01362"/>
    <d v="2024-02-13T00:00:00"/>
    <s v="C018"/>
    <s v="P019"/>
    <s v="S004"/>
    <n v="1"/>
    <n v="0.05"/>
    <x v="1"/>
    <s v="Breanna Davis"/>
    <x v="26"/>
    <x v="1"/>
    <x v="1"/>
    <n v="1762.92"/>
    <n v="1674.7739999999999"/>
  </r>
  <r>
    <s v="T01363"/>
    <d v="2024-04-24T00:00:00"/>
    <s v="C155"/>
    <s v="P015"/>
    <s v="S003"/>
    <n v="2"/>
    <n v="0.1"/>
    <x v="3"/>
    <s v="Jill Mcconnell"/>
    <x v="40"/>
    <x v="0"/>
    <x v="0"/>
    <n v="270.45"/>
    <n v="486.81"/>
  </r>
  <r>
    <s v="T01364"/>
    <d v="2025-07-06T00:00:00"/>
    <s v="C195"/>
    <s v="P008"/>
    <s v="S001"/>
    <n v="5"/>
    <n v="0.15"/>
    <x v="1"/>
    <s v="James Mitchell"/>
    <x v="48"/>
    <x v="0"/>
    <x v="3"/>
    <n v="109.78"/>
    <n v="466.56499999999994"/>
  </r>
  <r>
    <s v="T01365"/>
    <d v="2024-09-02T00:00:00"/>
    <s v="C052"/>
    <s v="P006"/>
    <s v="S003"/>
    <n v="4"/>
    <n v="0.15"/>
    <x v="0"/>
    <s v="Billy Hernandez"/>
    <x v="35"/>
    <x v="2"/>
    <x v="0"/>
    <n v="318.05"/>
    <n v="1081.3700000000001"/>
  </r>
  <r>
    <s v="T01366"/>
    <d v="2024-06-08T00:00:00"/>
    <s v="C139"/>
    <s v="P050"/>
    <s v="S003"/>
    <n v="5"/>
    <n v="0"/>
    <x v="3"/>
    <s v="Alexander Mcfarland"/>
    <x v="3"/>
    <x v="0"/>
    <x v="0"/>
    <n v="1044.6400000000001"/>
    <n v="5223.2000000000007"/>
  </r>
  <r>
    <s v="T01367"/>
    <d v="2024-03-29T00:00:00"/>
    <s v="C111"/>
    <s v="P048"/>
    <s v="S001"/>
    <n v="4"/>
    <n v="0.15"/>
    <x v="0"/>
    <s v="Dylan Booker"/>
    <x v="11"/>
    <x v="0"/>
    <x v="3"/>
    <n v="1216.3599999999999"/>
    <n v="4135.6239999999998"/>
  </r>
  <r>
    <s v="T01368"/>
    <d v="2024-06-03T00:00:00"/>
    <s v="C097"/>
    <s v="P004"/>
    <s v="S004"/>
    <n v="4"/>
    <n v="0"/>
    <x v="3"/>
    <s v="Evelyn Gray"/>
    <x v="49"/>
    <x v="0"/>
    <x v="1"/>
    <n v="1853.77"/>
    <n v="7415.08"/>
  </r>
  <r>
    <s v="T01369"/>
    <d v="2025-01-02T00:00:00"/>
    <s v="C046"/>
    <s v="P042"/>
    <s v="S005"/>
    <n v="3"/>
    <n v="0.05"/>
    <x v="1"/>
    <s v="Dennis Poole"/>
    <x v="10"/>
    <x v="0"/>
    <x v="4"/>
    <n v="453.62"/>
    <n v="1292.817"/>
  </r>
  <r>
    <s v="T01370"/>
    <d v="2024-04-24T00:00:00"/>
    <s v="C111"/>
    <s v="P010"/>
    <s v="S002"/>
    <n v="3"/>
    <n v="0.15"/>
    <x v="1"/>
    <s v="Dylan Booker"/>
    <x v="36"/>
    <x v="1"/>
    <x v="2"/>
    <n v="1194.1199999999999"/>
    <n v="3045.0059999999999"/>
  </r>
  <r>
    <s v="T01371"/>
    <d v="2023-10-19T00:00:00"/>
    <s v="C196"/>
    <s v="P019"/>
    <s v="S001"/>
    <n v="5"/>
    <n v="0.15"/>
    <x v="1"/>
    <s v="James Noble"/>
    <x v="26"/>
    <x v="1"/>
    <x v="3"/>
    <n v="1762.92"/>
    <n v="7492.41"/>
  </r>
  <r>
    <s v="T01372"/>
    <d v="2025-08-30T00:00:00"/>
    <s v="C122"/>
    <s v="P005"/>
    <s v="S005"/>
    <n v="2"/>
    <n v="0"/>
    <x v="1"/>
    <s v="Amy Smith"/>
    <x v="6"/>
    <x v="0"/>
    <x v="4"/>
    <n v="1396.22"/>
    <n v="2792.44"/>
  </r>
  <r>
    <s v="T01373"/>
    <d v="2024-04-01T00:00:00"/>
    <s v="C068"/>
    <s v="P040"/>
    <s v="S004"/>
    <n v="5"/>
    <n v="0.15"/>
    <x v="0"/>
    <s v="Alexandra Montoya"/>
    <x v="37"/>
    <x v="1"/>
    <x v="1"/>
    <n v="1745.61"/>
    <n v="7418.8424999999988"/>
  </r>
  <r>
    <s v="T01374"/>
    <d v="2024-05-26T00:00:00"/>
    <s v="C197"/>
    <s v="P021"/>
    <s v="S003"/>
    <n v="3"/>
    <n v="0"/>
    <x v="3"/>
    <s v="Matthew Dixon"/>
    <x v="23"/>
    <x v="2"/>
    <x v="0"/>
    <n v="1227.24"/>
    <n v="3681.7200000000003"/>
  </r>
  <r>
    <s v="T01375"/>
    <d v="2023-11-19T00:00:00"/>
    <s v="C152"/>
    <s v="P042"/>
    <s v="S001"/>
    <n v="2"/>
    <n v="0.1"/>
    <x v="0"/>
    <s v="Brittany Green"/>
    <x v="10"/>
    <x v="0"/>
    <x v="3"/>
    <n v="453.62"/>
    <n v="816.51600000000008"/>
  </r>
  <r>
    <s v="T01376"/>
    <d v="2024-06-05T00:00:00"/>
    <s v="C190"/>
    <s v="P050"/>
    <s v="S005"/>
    <n v="1"/>
    <n v="0.1"/>
    <x v="1"/>
    <s v="Daniel Lawson"/>
    <x v="3"/>
    <x v="0"/>
    <x v="4"/>
    <n v="1044.6400000000001"/>
    <n v="940.17600000000016"/>
  </r>
  <r>
    <s v="T01377"/>
    <d v="2025-01-09T00:00:00"/>
    <s v="C025"/>
    <s v="P040"/>
    <s v="S004"/>
    <n v="3"/>
    <n v="0.1"/>
    <x v="1"/>
    <s v="Cheryl Gilbert"/>
    <x v="37"/>
    <x v="1"/>
    <x v="1"/>
    <n v="1745.61"/>
    <n v="4713.1469999999999"/>
  </r>
  <r>
    <s v="T01378"/>
    <d v="2024-04-26T00:00:00"/>
    <s v="C090"/>
    <s v="P049"/>
    <s v="S001"/>
    <n v="2"/>
    <n v="0.05"/>
    <x v="2"/>
    <s v="Carrie Peterson"/>
    <x v="29"/>
    <x v="0"/>
    <x v="3"/>
    <n v="388.26"/>
    <n v="737.69399999999996"/>
  </r>
  <r>
    <s v="T01379"/>
    <d v="2024-01-30T00:00:00"/>
    <s v="C166"/>
    <s v="P003"/>
    <s v="S003"/>
    <n v="5"/>
    <n v="0"/>
    <x v="3"/>
    <s v="Meagan Ali"/>
    <x v="46"/>
    <x v="0"/>
    <x v="0"/>
    <n v="337.63"/>
    <n v="1688.15"/>
  </r>
  <r>
    <s v="T01380"/>
    <d v="2024-02-05T00:00:00"/>
    <s v="C079"/>
    <s v="P020"/>
    <s v="S001"/>
    <n v="3"/>
    <n v="0.05"/>
    <x v="3"/>
    <s v="Donald Marsh"/>
    <x v="24"/>
    <x v="0"/>
    <x v="3"/>
    <n v="323.92"/>
    <n v="923.17199999999991"/>
  </r>
  <r>
    <s v="T01381"/>
    <d v="2023-10-17T00:00:00"/>
    <s v="C138"/>
    <s v="P042"/>
    <s v="S003"/>
    <n v="1"/>
    <n v="0.15"/>
    <x v="1"/>
    <s v="Breanna Moore"/>
    <x v="10"/>
    <x v="0"/>
    <x v="0"/>
    <n v="453.62"/>
    <n v="385.577"/>
  </r>
  <r>
    <s v="T01382"/>
    <d v="2024-05-28T00:00:00"/>
    <s v="C146"/>
    <s v="P025"/>
    <s v="S005"/>
    <n v="4"/>
    <n v="0.1"/>
    <x v="3"/>
    <s v="John Johnson"/>
    <x v="33"/>
    <x v="0"/>
    <x v="4"/>
    <n v="429.15"/>
    <n v="1544.94"/>
  </r>
  <r>
    <s v="T01383"/>
    <d v="2024-11-01T00:00:00"/>
    <s v="C179"/>
    <s v="P021"/>
    <s v="S004"/>
    <n v="5"/>
    <n v="0"/>
    <x v="0"/>
    <s v="Dennis Wallace"/>
    <x v="23"/>
    <x v="2"/>
    <x v="1"/>
    <n v="1227.24"/>
    <n v="6136.2"/>
  </r>
  <r>
    <s v="T01384"/>
    <d v="2025-07-28T00:00:00"/>
    <s v="C097"/>
    <s v="P036"/>
    <s v="S005"/>
    <n v="4"/>
    <n v="0.1"/>
    <x v="3"/>
    <s v="Evelyn Gray"/>
    <x v="4"/>
    <x v="0"/>
    <x v="4"/>
    <n v="1501.46"/>
    <n v="5405.2560000000003"/>
  </r>
  <r>
    <s v="T01385"/>
    <d v="2024-02-15T00:00:00"/>
    <s v="C126"/>
    <s v="P037"/>
    <s v="S001"/>
    <n v="2"/>
    <n v="0.1"/>
    <x v="1"/>
    <s v="Monique Johnson"/>
    <x v="27"/>
    <x v="1"/>
    <x v="3"/>
    <n v="1952.65"/>
    <n v="3514.7700000000004"/>
  </r>
  <r>
    <s v="T01386"/>
    <d v="2024-01-28T00:00:00"/>
    <s v="C129"/>
    <s v="P017"/>
    <s v="S003"/>
    <n v="2"/>
    <n v="0.1"/>
    <x v="0"/>
    <s v="Gary Taylor"/>
    <x v="43"/>
    <x v="1"/>
    <x v="0"/>
    <n v="1246.1099999999999"/>
    <n v="2242.998"/>
  </r>
  <r>
    <s v="T01387"/>
    <d v="2024-03-09T00:00:00"/>
    <s v="C112"/>
    <s v="P040"/>
    <s v="S002"/>
    <n v="4"/>
    <n v="0"/>
    <x v="2"/>
    <s v="Jeffrey Smith"/>
    <x v="37"/>
    <x v="1"/>
    <x v="2"/>
    <n v="1745.61"/>
    <n v="6982.44"/>
  </r>
  <r>
    <s v="T01388"/>
    <d v="2025-05-08T00:00:00"/>
    <s v="C074"/>
    <s v="P045"/>
    <s v="S003"/>
    <n v="1"/>
    <n v="0.1"/>
    <x v="1"/>
    <s v="Jesus Singh"/>
    <x v="8"/>
    <x v="2"/>
    <x v="0"/>
    <n v="1879.08"/>
    <n v="1691.172"/>
  </r>
  <r>
    <s v="T01389"/>
    <d v="2025-03-18T00:00:00"/>
    <s v="C058"/>
    <s v="P016"/>
    <s v="S005"/>
    <n v="1"/>
    <n v="0"/>
    <x v="0"/>
    <s v="Lawrence Stewart"/>
    <x v="13"/>
    <x v="0"/>
    <x v="4"/>
    <n v="1858.75"/>
    <n v="1858.75"/>
  </r>
  <r>
    <s v="T01390"/>
    <d v="2024-04-14T00:00:00"/>
    <s v="C070"/>
    <s v="P026"/>
    <s v="S001"/>
    <n v="5"/>
    <n v="0.15"/>
    <x v="1"/>
    <s v="Eric Bryan"/>
    <x v="15"/>
    <x v="2"/>
    <x v="3"/>
    <n v="1015.76"/>
    <n v="4316.9800000000005"/>
  </r>
  <r>
    <s v="T01391"/>
    <d v="2023-12-10T00:00:00"/>
    <s v="C054"/>
    <s v="P007"/>
    <s v="S003"/>
    <n v="1"/>
    <n v="0.1"/>
    <x v="0"/>
    <s v="Crystal Johnson"/>
    <x v="18"/>
    <x v="1"/>
    <x v="0"/>
    <n v="1474.12"/>
    <n v="1326.7079999999999"/>
  </r>
  <r>
    <s v="T01392"/>
    <d v="2025-05-23T00:00:00"/>
    <s v="C111"/>
    <s v="P008"/>
    <s v="S005"/>
    <n v="3"/>
    <n v="0.05"/>
    <x v="1"/>
    <s v="Dylan Booker"/>
    <x v="48"/>
    <x v="0"/>
    <x v="4"/>
    <n v="109.78"/>
    <n v="312.87299999999999"/>
  </r>
  <r>
    <s v="T01393"/>
    <d v="2024-11-24T00:00:00"/>
    <s v="C103"/>
    <s v="P031"/>
    <s v="S003"/>
    <n v="5"/>
    <n v="0.15"/>
    <x v="2"/>
    <s v="David Burns"/>
    <x v="39"/>
    <x v="2"/>
    <x v="0"/>
    <n v="1095.72"/>
    <n v="4656.8100000000004"/>
  </r>
  <r>
    <s v="T01394"/>
    <d v="2024-09-18T00:00:00"/>
    <s v="C005"/>
    <s v="P050"/>
    <s v="S005"/>
    <n v="2"/>
    <n v="0.15"/>
    <x v="2"/>
    <s v="Jamie Salinas"/>
    <x v="3"/>
    <x v="0"/>
    <x v="4"/>
    <n v="1044.6400000000001"/>
    <n v="1775.8880000000001"/>
  </r>
  <r>
    <s v="T01395"/>
    <d v="2025-04-08T00:00:00"/>
    <s v="C170"/>
    <s v="P016"/>
    <s v="S004"/>
    <n v="3"/>
    <n v="0.15"/>
    <x v="3"/>
    <s v="Amber Graham"/>
    <x v="13"/>
    <x v="0"/>
    <x v="1"/>
    <n v="1858.75"/>
    <n v="4739.8125"/>
  </r>
  <r>
    <s v="T01396"/>
    <d v="2025-03-31T00:00:00"/>
    <s v="C134"/>
    <s v="P017"/>
    <s v="S002"/>
    <n v="3"/>
    <n v="0.15"/>
    <x v="2"/>
    <s v="Emily Hart"/>
    <x v="43"/>
    <x v="1"/>
    <x v="2"/>
    <n v="1246.1099999999999"/>
    <n v="3177.5805"/>
  </r>
  <r>
    <s v="T01397"/>
    <d v="2024-04-09T00:00:00"/>
    <s v="C062"/>
    <s v="P028"/>
    <s v="S002"/>
    <n v="3"/>
    <n v="0.15"/>
    <x v="1"/>
    <s v="Susan Salinas"/>
    <x v="25"/>
    <x v="1"/>
    <x v="2"/>
    <n v="673.78"/>
    <n v="1718.1389999999999"/>
  </r>
  <r>
    <s v="T01398"/>
    <d v="2025-01-28T00:00:00"/>
    <s v="C082"/>
    <s v="P020"/>
    <s v="S001"/>
    <n v="2"/>
    <n v="0.15"/>
    <x v="0"/>
    <s v="Amy Haley"/>
    <x v="24"/>
    <x v="0"/>
    <x v="3"/>
    <n v="323.92"/>
    <n v="550.66399999999999"/>
  </r>
  <r>
    <s v="T01399"/>
    <d v="2025-06-23T00:00:00"/>
    <s v="C074"/>
    <s v="P003"/>
    <s v="S002"/>
    <n v="3"/>
    <n v="0.05"/>
    <x v="1"/>
    <s v="Jesus Singh"/>
    <x v="46"/>
    <x v="0"/>
    <x v="2"/>
    <n v="337.63"/>
    <n v="962.24549999999999"/>
  </r>
  <r>
    <s v="T01400"/>
    <d v="2025-04-19T00:00:00"/>
    <s v="C062"/>
    <s v="P024"/>
    <s v="S001"/>
    <n v="2"/>
    <n v="0.05"/>
    <x v="3"/>
    <s v="Susan Salinas"/>
    <x v="14"/>
    <x v="1"/>
    <x v="3"/>
    <n v="1487.41"/>
    <n v="2826.0790000000002"/>
  </r>
  <r>
    <s v="T01401"/>
    <d v="2025-07-21T00:00:00"/>
    <s v="C063"/>
    <s v="P013"/>
    <s v="S003"/>
    <n v="4"/>
    <n v="0.15"/>
    <x v="1"/>
    <s v="Michael Johnson"/>
    <x v="21"/>
    <x v="0"/>
    <x v="0"/>
    <n v="1134.8"/>
    <n v="3858.3199999999997"/>
  </r>
  <r>
    <s v="T01402"/>
    <d v="2024-03-31T00:00:00"/>
    <s v="C109"/>
    <s v="P018"/>
    <s v="S001"/>
    <n v="2"/>
    <n v="0.05"/>
    <x v="0"/>
    <s v="Austin Hogan"/>
    <x v="19"/>
    <x v="1"/>
    <x v="3"/>
    <n v="1079.8900000000001"/>
    <n v="2051.7910000000002"/>
  </r>
  <r>
    <s v="T01403"/>
    <d v="2023-12-02T00:00:00"/>
    <s v="C035"/>
    <s v="P026"/>
    <s v="S001"/>
    <n v="3"/>
    <n v="0.1"/>
    <x v="2"/>
    <s v="Kimberly King"/>
    <x v="15"/>
    <x v="2"/>
    <x v="3"/>
    <n v="1015.76"/>
    <n v="2742.5519999999997"/>
  </r>
  <r>
    <s v="T01404"/>
    <d v="2024-08-04T00:00:00"/>
    <s v="C165"/>
    <s v="P031"/>
    <s v="S001"/>
    <n v="4"/>
    <n v="0"/>
    <x v="3"/>
    <s v="Tanya Mueller"/>
    <x v="39"/>
    <x v="2"/>
    <x v="3"/>
    <n v="1095.72"/>
    <n v="4382.88"/>
  </r>
  <r>
    <s v="T01405"/>
    <d v="2025-02-17T00:00:00"/>
    <s v="C022"/>
    <s v="P048"/>
    <s v="S003"/>
    <n v="5"/>
    <n v="0.1"/>
    <x v="3"/>
    <s v="Megan Velasquez"/>
    <x v="11"/>
    <x v="0"/>
    <x v="0"/>
    <n v="1216.3599999999999"/>
    <n v="5473.62"/>
  </r>
  <r>
    <s v="T01406"/>
    <d v="2024-08-27T00:00:00"/>
    <s v="C105"/>
    <s v="P036"/>
    <s v="S003"/>
    <n v="1"/>
    <n v="0.15"/>
    <x v="2"/>
    <s v="Kenneth Berg"/>
    <x v="4"/>
    <x v="0"/>
    <x v="0"/>
    <n v="1501.46"/>
    <n v="1276.241"/>
  </r>
  <r>
    <s v="T01407"/>
    <d v="2024-10-09T00:00:00"/>
    <s v="C061"/>
    <s v="P019"/>
    <s v="S001"/>
    <n v="5"/>
    <n v="0"/>
    <x v="0"/>
    <s v="Heather Russell"/>
    <x v="26"/>
    <x v="1"/>
    <x v="3"/>
    <n v="1762.92"/>
    <n v="8814.6"/>
  </r>
  <r>
    <s v="T01408"/>
    <d v="2024-09-25T00:00:00"/>
    <s v="C128"/>
    <s v="P029"/>
    <s v="S001"/>
    <n v="2"/>
    <n v="0"/>
    <x v="0"/>
    <s v="Robert Collins"/>
    <x v="47"/>
    <x v="0"/>
    <x v="3"/>
    <n v="1485.05"/>
    <n v="2970.1"/>
  </r>
  <r>
    <s v="T01409"/>
    <d v="2025-08-25T00:00:00"/>
    <s v="C085"/>
    <s v="P001"/>
    <s v="S005"/>
    <n v="4"/>
    <n v="0.05"/>
    <x v="1"/>
    <s v="Juan Ramirez"/>
    <x v="31"/>
    <x v="1"/>
    <x v="4"/>
    <n v="1673.69"/>
    <n v="6360.0219999999999"/>
  </r>
  <r>
    <s v="T01410"/>
    <d v="2025-05-21T00:00:00"/>
    <s v="C056"/>
    <s v="P026"/>
    <s v="S002"/>
    <n v="1"/>
    <n v="0.05"/>
    <x v="2"/>
    <s v="Carl Wyatt"/>
    <x v="15"/>
    <x v="2"/>
    <x v="2"/>
    <n v="1015.76"/>
    <n v="964.97199999999998"/>
  </r>
  <r>
    <s v="T01411"/>
    <d v="2024-02-08T00:00:00"/>
    <s v="C071"/>
    <s v="P008"/>
    <s v="S004"/>
    <n v="4"/>
    <n v="0.1"/>
    <x v="3"/>
    <s v="Denise Gutierrez"/>
    <x v="48"/>
    <x v="0"/>
    <x v="1"/>
    <n v="109.78"/>
    <n v="395.20800000000003"/>
  </r>
  <r>
    <s v="T01412"/>
    <d v="2023-12-18T00:00:00"/>
    <s v="C126"/>
    <s v="P043"/>
    <s v="S005"/>
    <n v="3"/>
    <n v="0"/>
    <x v="0"/>
    <s v="Monique Johnson"/>
    <x v="45"/>
    <x v="0"/>
    <x v="4"/>
    <n v="564.41999999999996"/>
    <n v="1693.2599999999998"/>
  </r>
  <r>
    <s v="T01413"/>
    <d v="2024-06-06T00:00:00"/>
    <s v="C140"/>
    <s v="P005"/>
    <s v="S004"/>
    <n v="4"/>
    <n v="0.05"/>
    <x v="0"/>
    <s v="Stacy Williams"/>
    <x v="6"/>
    <x v="0"/>
    <x v="1"/>
    <n v="1396.22"/>
    <n v="5305.6359999999995"/>
  </r>
  <r>
    <s v="T01414"/>
    <d v="2024-08-12T00:00:00"/>
    <s v="C038"/>
    <s v="P050"/>
    <s v="S003"/>
    <n v="4"/>
    <n v="0.1"/>
    <x v="0"/>
    <s v="Tracey Davis"/>
    <x v="3"/>
    <x v="0"/>
    <x v="0"/>
    <n v="1044.6400000000001"/>
    <n v="3760.7040000000006"/>
  </r>
  <r>
    <s v="T01415"/>
    <d v="2024-04-21T00:00:00"/>
    <s v="C006"/>
    <s v="P050"/>
    <s v="S005"/>
    <n v="1"/>
    <n v="0"/>
    <x v="2"/>
    <s v="Danny Moore"/>
    <x v="3"/>
    <x v="0"/>
    <x v="4"/>
    <n v="1044.6400000000001"/>
    <n v="1044.6400000000001"/>
  </r>
  <r>
    <s v="T01416"/>
    <d v="2025-03-03T00:00:00"/>
    <s v="C065"/>
    <s v="P026"/>
    <s v="S005"/>
    <n v="4"/>
    <n v="0.1"/>
    <x v="0"/>
    <s v="Scott Duke"/>
    <x v="15"/>
    <x v="2"/>
    <x v="4"/>
    <n v="1015.76"/>
    <n v="3656.7359999999999"/>
  </r>
  <r>
    <s v="T01417"/>
    <d v="2025-05-27T00:00:00"/>
    <s v="C176"/>
    <s v="P050"/>
    <s v="S001"/>
    <n v="5"/>
    <n v="0.05"/>
    <x v="1"/>
    <s v="Peter Garcia"/>
    <x v="3"/>
    <x v="0"/>
    <x v="3"/>
    <n v="1044.6400000000001"/>
    <n v="4962.0400000000009"/>
  </r>
  <r>
    <s v="T01418"/>
    <d v="2024-05-13T00:00:00"/>
    <s v="C100"/>
    <s v="P005"/>
    <s v="S001"/>
    <n v="4"/>
    <n v="0.1"/>
    <x v="0"/>
    <s v="Sean Hart"/>
    <x v="6"/>
    <x v="0"/>
    <x v="3"/>
    <n v="1396.22"/>
    <n v="5026.3919999999998"/>
  </r>
  <r>
    <s v="T01419"/>
    <d v="2024-09-24T00:00:00"/>
    <s v="C024"/>
    <s v="P034"/>
    <s v="S002"/>
    <n v="3"/>
    <n v="0.05"/>
    <x v="2"/>
    <s v="Molly Murray"/>
    <x v="12"/>
    <x v="1"/>
    <x v="2"/>
    <n v="428.05"/>
    <n v="1219.9425000000001"/>
  </r>
  <r>
    <s v="T01420"/>
    <d v="2024-03-28T00:00:00"/>
    <s v="C113"/>
    <s v="P026"/>
    <s v="S003"/>
    <n v="4"/>
    <n v="0"/>
    <x v="0"/>
    <s v="Heidi Wilson"/>
    <x v="15"/>
    <x v="2"/>
    <x v="0"/>
    <n v="1015.76"/>
    <n v="4063.04"/>
  </r>
  <r>
    <s v="T01421"/>
    <d v="2024-07-01T00:00:00"/>
    <s v="C021"/>
    <s v="P002"/>
    <s v="S004"/>
    <n v="4"/>
    <n v="0.15"/>
    <x v="0"/>
    <s v="Debbie Martin"/>
    <x v="2"/>
    <x v="1"/>
    <x v="1"/>
    <n v="818.76"/>
    <n v="2783.7840000000001"/>
  </r>
  <r>
    <s v="T01422"/>
    <d v="2023-09-10T00:00:00"/>
    <s v="C184"/>
    <s v="P016"/>
    <s v="S004"/>
    <n v="1"/>
    <n v="0.05"/>
    <x v="0"/>
    <s v="Daniel Mcintyre"/>
    <x v="13"/>
    <x v="0"/>
    <x v="1"/>
    <n v="1858.75"/>
    <n v="1765.8125"/>
  </r>
  <r>
    <s v="T01423"/>
    <d v="2025-05-11T00:00:00"/>
    <s v="C130"/>
    <s v="P039"/>
    <s v="S001"/>
    <n v="3"/>
    <n v="0.15"/>
    <x v="0"/>
    <s v="Aaron Bailey"/>
    <x v="22"/>
    <x v="0"/>
    <x v="3"/>
    <n v="540.94000000000005"/>
    <n v="1379.3970000000002"/>
  </r>
  <r>
    <s v="T01424"/>
    <d v="2024-06-05T00:00:00"/>
    <s v="C117"/>
    <s v="P038"/>
    <s v="S001"/>
    <n v="1"/>
    <n v="0.05"/>
    <x v="1"/>
    <s v="Timothy Beck"/>
    <x v="41"/>
    <x v="0"/>
    <x v="3"/>
    <n v="366.93"/>
    <n v="348.58350000000002"/>
  </r>
  <r>
    <s v="T01425"/>
    <d v="2024-04-08T00:00:00"/>
    <s v="C165"/>
    <s v="P031"/>
    <s v="S002"/>
    <n v="1"/>
    <n v="0.15"/>
    <x v="2"/>
    <s v="Tanya Mueller"/>
    <x v="39"/>
    <x v="2"/>
    <x v="2"/>
    <n v="1095.72"/>
    <n v="931.36199999999997"/>
  </r>
  <r>
    <s v="T01426"/>
    <d v="2023-11-06T00:00:00"/>
    <s v="C161"/>
    <s v="P023"/>
    <s v="S003"/>
    <n v="3"/>
    <n v="0"/>
    <x v="3"/>
    <s v="Michael Perez"/>
    <x v="20"/>
    <x v="0"/>
    <x v="0"/>
    <n v="1878.47"/>
    <n v="5635.41"/>
  </r>
  <r>
    <s v="T01427"/>
    <d v="2025-04-05T00:00:00"/>
    <s v="C041"/>
    <s v="P023"/>
    <s v="S002"/>
    <n v="5"/>
    <n v="0.05"/>
    <x v="1"/>
    <s v="Melissa Rodgers"/>
    <x v="20"/>
    <x v="0"/>
    <x v="2"/>
    <n v="1878.47"/>
    <n v="8922.7325000000001"/>
  </r>
  <r>
    <s v="T01428"/>
    <d v="2024-03-07T00:00:00"/>
    <s v="C082"/>
    <s v="P039"/>
    <s v="S004"/>
    <n v="4"/>
    <n v="0.05"/>
    <x v="0"/>
    <s v="Amy Haley"/>
    <x v="22"/>
    <x v="0"/>
    <x v="1"/>
    <n v="540.94000000000005"/>
    <n v="2055.5720000000001"/>
  </r>
  <r>
    <s v="T01429"/>
    <d v="2024-05-17T00:00:00"/>
    <s v="C045"/>
    <s v="P030"/>
    <s v="S005"/>
    <n v="3"/>
    <n v="0.1"/>
    <x v="2"/>
    <s v="Kelly Shaw"/>
    <x v="1"/>
    <x v="0"/>
    <x v="4"/>
    <n v="29.24"/>
    <n v="78.948000000000008"/>
  </r>
  <r>
    <s v="T01430"/>
    <d v="2024-07-18T00:00:00"/>
    <s v="C022"/>
    <s v="P010"/>
    <s v="S004"/>
    <n v="3"/>
    <n v="0.05"/>
    <x v="1"/>
    <s v="Megan Velasquez"/>
    <x v="36"/>
    <x v="1"/>
    <x v="1"/>
    <n v="1194.1199999999999"/>
    <n v="3403.2419999999997"/>
  </r>
  <r>
    <s v="T01431"/>
    <d v="2024-12-25T00:00:00"/>
    <s v="C097"/>
    <s v="P040"/>
    <s v="S005"/>
    <n v="2"/>
    <n v="0"/>
    <x v="3"/>
    <s v="Evelyn Gray"/>
    <x v="37"/>
    <x v="1"/>
    <x v="4"/>
    <n v="1745.61"/>
    <n v="3491.22"/>
  </r>
  <r>
    <s v="T01432"/>
    <d v="2023-11-29T00:00:00"/>
    <s v="C143"/>
    <s v="P020"/>
    <s v="S005"/>
    <n v="2"/>
    <n v="0"/>
    <x v="1"/>
    <s v="Cynthia Carlson"/>
    <x v="24"/>
    <x v="0"/>
    <x v="4"/>
    <n v="323.92"/>
    <n v="647.84"/>
  </r>
  <r>
    <s v="T01433"/>
    <d v="2024-07-10T00:00:00"/>
    <s v="C051"/>
    <s v="P044"/>
    <s v="S003"/>
    <n v="2"/>
    <n v="0"/>
    <x v="1"/>
    <s v="Madison Sellers"/>
    <x v="32"/>
    <x v="0"/>
    <x v="0"/>
    <n v="1286.55"/>
    <n v="2573.1"/>
  </r>
  <r>
    <s v="T01434"/>
    <d v="2024-02-21T00:00:00"/>
    <s v="C159"/>
    <s v="P048"/>
    <s v="S004"/>
    <n v="5"/>
    <n v="0.1"/>
    <x v="2"/>
    <s v="Thomas Chung"/>
    <x v="11"/>
    <x v="0"/>
    <x v="1"/>
    <n v="1216.3599999999999"/>
    <n v="5473.62"/>
  </r>
  <r>
    <s v="T01435"/>
    <d v="2025-03-31T00:00:00"/>
    <s v="C023"/>
    <s v="P003"/>
    <s v="S003"/>
    <n v="2"/>
    <n v="0"/>
    <x v="3"/>
    <s v="Mark Martinez"/>
    <x v="46"/>
    <x v="0"/>
    <x v="0"/>
    <n v="337.63"/>
    <n v="675.26"/>
  </r>
  <r>
    <s v="T01436"/>
    <d v="2025-05-16T00:00:00"/>
    <s v="C184"/>
    <s v="P043"/>
    <s v="S005"/>
    <n v="4"/>
    <n v="0.15"/>
    <x v="1"/>
    <s v="Daniel Mcintyre"/>
    <x v="45"/>
    <x v="0"/>
    <x v="4"/>
    <n v="564.41999999999996"/>
    <n v="1919.0279999999998"/>
  </r>
  <r>
    <s v="T01437"/>
    <d v="2024-04-02T00:00:00"/>
    <s v="C031"/>
    <s v="P041"/>
    <s v="S002"/>
    <n v="2"/>
    <n v="0.05"/>
    <x v="0"/>
    <s v="Ashley Gibson"/>
    <x v="30"/>
    <x v="1"/>
    <x v="2"/>
    <n v="1635.01"/>
    <n v="3106.5189999999998"/>
  </r>
  <r>
    <s v="T01438"/>
    <d v="2025-02-06T00:00:00"/>
    <s v="C074"/>
    <s v="P029"/>
    <s v="S004"/>
    <n v="4"/>
    <n v="0.05"/>
    <x v="1"/>
    <s v="Jesus Singh"/>
    <x v="47"/>
    <x v="0"/>
    <x v="1"/>
    <n v="1485.05"/>
    <n v="5643.19"/>
  </r>
  <r>
    <s v="T01439"/>
    <d v="2023-09-28T00:00:00"/>
    <s v="C053"/>
    <s v="P017"/>
    <s v="S005"/>
    <n v="2"/>
    <n v="0.1"/>
    <x v="2"/>
    <s v="Felicia Morgan"/>
    <x v="43"/>
    <x v="1"/>
    <x v="4"/>
    <n v="1246.1099999999999"/>
    <n v="2242.998"/>
  </r>
  <r>
    <s v="T01440"/>
    <d v="2024-11-13T00:00:00"/>
    <s v="C108"/>
    <s v="P015"/>
    <s v="S002"/>
    <n v="4"/>
    <n v="0.05"/>
    <x v="3"/>
    <s v="Samantha Hill"/>
    <x v="40"/>
    <x v="0"/>
    <x v="2"/>
    <n v="270.45"/>
    <n v="1027.7099999999998"/>
  </r>
  <r>
    <s v="T01441"/>
    <d v="2025-04-01T00:00:00"/>
    <s v="C075"/>
    <s v="P036"/>
    <s v="S003"/>
    <n v="2"/>
    <n v="0.15"/>
    <x v="2"/>
    <s v="Seth Moore"/>
    <x v="4"/>
    <x v="0"/>
    <x v="0"/>
    <n v="1501.46"/>
    <n v="2552.482"/>
  </r>
  <r>
    <s v="T01442"/>
    <d v="2024-01-18T00:00:00"/>
    <s v="C095"/>
    <s v="P015"/>
    <s v="S005"/>
    <n v="4"/>
    <n v="0"/>
    <x v="3"/>
    <s v="Kevin Snyder"/>
    <x v="40"/>
    <x v="0"/>
    <x v="4"/>
    <n v="270.45"/>
    <n v="1081.8"/>
  </r>
  <r>
    <s v="T01443"/>
    <d v="2025-07-28T00:00:00"/>
    <s v="C121"/>
    <s v="P020"/>
    <s v="S002"/>
    <n v="3"/>
    <n v="0.15"/>
    <x v="2"/>
    <s v="John Bell"/>
    <x v="24"/>
    <x v="0"/>
    <x v="2"/>
    <n v="323.92"/>
    <n v="825.99599999999998"/>
  </r>
  <r>
    <s v="T01444"/>
    <d v="2024-08-20T00:00:00"/>
    <s v="C183"/>
    <s v="P041"/>
    <s v="S004"/>
    <n v="4"/>
    <n v="0.1"/>
    <x v="3"/>
    <s v="Mary Dawson"/>
    <x v="30"/>
    <x v="1"/>
    <x v="1"/>
    <n v="1635.01"/>
    <n v="5886.0360000000001"/>
  </r>
  <r>
    <s v="T01445"/>
    <d v="2024-07-20T00:00:00"/>
    <s v="C025"/>
    <s v="P019"/>
    <s v="S005"/>
    <n v="1"/>
    <n v="0"/>
    <x v="0"/>
    <s v="Cheryl Gilbert"/>
    <x v="26"/>
    <x v="1"/>
    <x v="4"/>
    <n v="1762.92"/>
    <n v="1762.92"/>
  </r>
  <r>
    <s v="T01446"/>
    <d v="2025-04-15T00:00:00"/>
    <s v="C061"/>
    <s v="P022"/>
    <s v="S004"/>
    <n v="3"/>
    <n v="0"/>
    <x v="3"/>
    <s v="Heather Russell"/>
    <x v="9"/>
    <x v="2"/>
    <x v="1"/>
    <n v="25.57"/>
    <n v="76.710000000000008"/>
  </r>
  <r>
    <s v="T01447"/>
    <d v="2024-02-08T00:00:00"/>
    <s v="C065"/>
    <s v="P011"/>
    <s v="S005"/>
    <n v="5"/>
    <n v="0.15"/>
    <x v="0"/>
    <s v="Scott Duke"/>
    <x v="17"/>
    <x v="1"/>
    <x v="4"/>
    <n v="248.57"/>
    <n v="1056.4224999999999"/>
  </r>
  <r>
    <s v="T01448"/>
    <d v="2024-07-31T00:00:00"/>
    <s v="C102"/>
    <s v="P003"/>
    <s v="S003"/>
    <n v="2"/>
    <n v="0"/>
    <x v="2"/>
    <s v="Carolyn Perez"/>
    <x v="46"/>
    <x v="0"/>
    <x v="0"/>
    <n v="337.63"/>
    <n v="675.26"/>
  </r>
  <r>
    <s v="T01449"/>
    <d v="2024-10-03T00:00:00"/>
    <s v="C067"/>
    <s v="P006"/>
    <s v="S002"/>
    <n v="5"/>
    <n v="0.15"/>
    <x v="0"/>
    <s v="Daniel Maldonado"/>
    <x v="35"/>
    <x v="2"/>
    <x v="2"/>
    <n v="318.05"/>
    <n v="1351.7124999999999"/>
  </r>
  <r>
    <s v="T01450"/>
    <d v="2024-11-25T00:00:00"/>
    <s v="C120"/>
    <s v="P035"/>
    <s v="S002"/>
    <n v="1"/>
    <n v="0.1"/>
    <x v="1"/>
    <s v="Curtis Faulkner"/>
    <x v="7"/>
    <x v="1"/>
    <x v="2"/>
    <n v="1562.43"/>
    <n v="1406.1870000000001"/>
  </r>
  <r>
    <s v="T01451"/>
    <d v="2023-10-19T00:00:00"/>
    <s v="C037"/>
    <s v="P031"/>
    <s v="S003"/>
    <n v="1"/>
    <n v="0.1"/>
    <x v="3"/>
    <s v="Miranda Nelson"/>
    <x v="39"/>
    <x v="2"/>
    <x v="0"/>
    <n v="1095.72"/>
    <n v="986.14800000000002"/>
  </r>
  <r>
    <s v="T01452"/>
    <d v="2023-11-21T00:00:00"/>
    <s v="C033"/>
    <s v="P019"/>
    <s v="S004"/>
    <n v="3"/>
    <n v="0.1"/>
    <x v="1"/>
    <s v="Jenny Beck"/>
    <x v="26"/>
    <x v="1"/>
    <x v="1"/>
    <n v="1762.92"/>
    <n v="4759.884"/>
  </r>
  <r>
    <s v="T01453"/>
    <d v="2023-09-21T00:00:00"/>
    <s v="C073"/>
    <s v="P030"/>
    <s v="S003"/>
    <n v="5"/>
    <n v="0.1"/>
    <x v="0"/>
    <s v="Carl Armstrong"/>
    <x v="1"/>
    <x v="0"/>
    <x v="0"/>
    <n v="29.24"/>
    <n v="131.57999999999998"/>
  </r>
  <r>
    <s v="T01454"/>
    <d v="2025-01-19T00:00:00"/>
    <s v="C112"/>
    <s v="P016"/>
    <s v="S002"/>
    <n v="3"/>
    <n v="0.15"/>
    <x v="2"/>
    <s v="Jeffrey Smith"/>
    <x v="13"/>
    <x v="0"/>
    <x v="2"/>
    <n v="1858.75"/>
    <n v="4739.8125"/>
  </r>
  <r>
    <s v="T01455"/>
    <d v="2025-07-24T00:00:00"/>
    <s v="C143"/>
    <s v="P020"/>
    <s v="S004"/>
    <n v="1"/>
    <n v="0.05"/>
    <x v="2"/>
    <s v="Cynthia Carlson"/>
    <x v="24"/>
    <x v="0"/>
    <x v="1"/>
    <n v="323.92"/>
    <n v="307.72399999999999"/>
  </r>
  <r>
    <s v="T01456"/>
    <d v="2024-01-09T00:00:00"/>
    <s v="C014"/>
    <s v="P017"/>
    <s v="S002"/>
    <n v="2"/>
    <n v="0"/>
    <x v="1"/>
    <s v="Brittany Green"/>
    <x v="43"/>
    <x v="1"/>
    <x v="2"/>
    <n v="1246.1099999999999"/>
    <n v="2492.2199999999998"/>
  </r>
  <r>
    <s v="T01457"/>
    <d v="2024-09-27T00:00:00"/>
    <s v="C067"/>
    <s v="P048"/>
    <s v="S002"/>
    <n v="4"/>
    <n v="0.15"/>
    <x v="3"/>
    <s v="Daniel Maldonado"/>
    <x v="11"/>
    <x v="0"/>
    <x v="2"/>
    <n v="1216.3599999999999"/>
    <n v="4135.6239999999998"/>
  </r>
  <r>
    <s v="T01458"/>
    <d v="2024-12-05T00:00:00"/>
    <s v="C127"/>
    <s v="P033"/>
    <s v="S001"/>
    <n v="4"/>
    <n v="0.1"/>
    <x v="1"/>
    <s v="John Allen"/>
    <x v="16"/>
    <x v="0"/>
    <x v="3"/>
    <n v="1798.97"/>
    <n v="6476.2920000000004"/>
  </r>
  <r>
    <s v="T01459"/>
    <d v="2025-04-11T00:00:00"/>
    <s v="C118"/>
    <s v="P019"/>
    <s v="S004"/>
    <n v="1"/>
    <n v="0.05"/>
    <x v="3"/>
    <s v="Gina Bradford"/>
    <x v="26"/>
    <x v="1"/>
    <x v="1"/>
    <n v="1762.92"/>
    <n v="1674.7739999999999"/>
  </r>
  <r>
    <s v="T01460"/>
    <d v="2024-02-07T00:00:00"/>
    <s v="C090"/>
    <s v="P031"/>
    <s v="S001"/>
    <n v="2"/>
    <n v="0.1"/>
    <x v="2"/>
    <s v="Carrie Peterson"/>
    <x v="39"/>
    <x v="2"/>
    <x v="3"/>
    <n v="1095.72"/>
    <n v="1972.296"/>
  </r>
  <r>
    <s v="T01461"/>
    <d v="2025-05-28T00:00:00"/>
    <s v="C044"/>
    <s v="P045"/>
    <s v="S005"/>
    <n v="3"/>
    <n v="0.05"/>
    <x v="3"/>
    <s v="Parker Sparks"/>
    <x v="8"/>
    <x v="2"/>
    <x v="4"/>
    <n v="1879.08"/>
    <n v="5355.3779999999997"/>
  </r>
  <r>
    <s v="T01462"/>
    <d v="2025-03-20T00:00:00"/>
    <s v="C135"/>
    <s v="P033"/>
    <s v="S005"/>
    <n v="2"/>
    <n v="0.15"/>
    <x v="3"/>
    <s v="Mario Cuevas"/>
    <x v="16"/>
    <x v="0"/>
    <x v="4"/>
    <n v="1798.97"/>
    <n v="3058.2489999999998"/>
  </r>
  <r>
    <s v="T01463"/>
    <d v="2024-02-10T00:00:00"/>
    <s v="C064"/>
    <s v="P012"/>
    <s v="S004"/>
    <n v="1"/>
    <n v="0.1"/>
    <x v="3"/>
    <s v="Amanda Hoover"/>
    <x v="38"/>
    <x v="1"/>
    <x v="1"/>
    <n v="1193.0899999999999"/>
    <n v="1073.7809999999999"/>
  </r>
  <r>
    <s v="T01464"/>
    <d v="2025-05-03T00:00:00"/>
    <s v="C073"/>
    <s v="P035"/>
    <s v="S001"/>
    <n v="4"/>
    <n v="0.1"/>
    <x v="3"/>
    <s v="Carl Armstrong"/>
    <x v="7"/>
    <x v="1"/>
    <x v="3"/>
    <n v="1562.43"/>
    <n v="5624.7480000000005"/>
  </r>
  <r>
    <s v="T01465"/>
    <d v="2025-06-11T00:00:00"/>
    <s v="C083"/>
    <s v="P049"/>
    <s v="S002"/>
    <n v="1"/>
    <n v="0"/>
    <x v="1"/>
    <s v="Jeremy Robles"/>
    <x v="29"/>
    <x v="0"/>
    <x v="2"/>
    <n v="388.26"/>
    <n v="388.26"/>
  </r>
  <r>
    <s v="T01466"/>
    <d v="2024-03-10T00:00:00"/>
    <s v="C182"/>
    <s v="P038"/>
    <s v="S004"/>
    <n v="4"/>
    <n v="0.1"/>
    <x v="3"/>
    <s v="Meghan Wright"/>
    <x v="41"/>
    <x v="0"/>
    <x v="1"/>
    <n v="366.93"/>
    <n v="1320.9480000000001"/>
  </r>
  <r>
    <s v="T01467"/>
    <d v="2025-03-19T00:00:00"/>
    <s v="C085"/>
    <s v="P035"/>
    <s v="S001"/>
    <n v="5"/>
    <n v="0.15"/>
    <x v="0"/>
    <s v="Juan Ramirez"/>
    <x v="7"/>
    <x v="1"/>
    <x v="3"/>
    <n v="1562.43"/>
    <n v="6640.3275000000003"/>
  </r>
  <r>
    <s v="T01468"/>
    <d v="2024-01-17T00:00:00"/>
    <s v="C188"/>
    <s v="P006"/>
    <s v="S005"/>
    <n v="2"/>
    <n v="0.05"/>
    <x v="3"/>
    <s v="Ryan Flores"/>
    <x v="35"/>
    <x v="2"/>
    <x v="4"/>
    <n v="318.05"/>
    <n v="604.29499999999996"/>
  </r>
  <r>
    <s v="T01469"/>
    <d v="2024-07-17T00:00:00"/>
    <s v="C165"/>
    <s v="P029"/>
    <s v="S003"/>
    <n v="3"/>
    <n v="0"/>
    <x v="3"/>
    <s v="Tanya Mueller"/>
    <x v="47"/>
    <x v="0"/>
    <x v="0"/>
    <n v="1485.05"/>
    <n v="4455.1499999999996"/>
  </r>
  <r>
    <s v="T01470"/>
    <d v="2025-05-09T00:00:00"/>
    <s v="C141"/>
    <s v="P028"/>
    <s v="S005"/>
    <n v="4"/>
    <n v="0"/>
    <x v="1"/>
    <s v="Adam Lucas"/>
    <x v="25"/>
    <x v="1"/>
    <x v="4"/>
    <n v="673.78"/>
    <n v="2695.12"/>
  </r>
  <r>
    <s v="T01471"/>
    <d v="2024-12-29T00:00:00"/>
    <s v="C066"/>
    <s v="P031"/>
    <s v="S002"/>
    <n v="2"/>
    <n v="0.15"/>
    <x v="3"/>
    <s v="Jason Jenkins"/>
    <x v="39"/>
    <x v="2"/>
    <x v="2"/>
    <n v="1095.72"/>
    <n v="1862.7239999999999"/>
  </r>
  <r>
    <s v="T01472"/>
    <d v="2025-03-09T00:00:00"/>
    <s v="C006"/>
    <s v="P003"/>
    <s v="S002"/>
    <n v="2"/>
    <n v="0.15"/>
    <x v="1"/>
    <s v="Danny Moore"/>
    <x v="46"/>
    <x v="0"/>
    <x v="2"/>
    <n v="337.63"/>
    <n v="573.971"/>
  </r>
  <r>
    <s v="T01473"/>
    <d v="2024-05-08T00:00:00"/>
    <s v="C073"/>
    <s v="P011"/>
    <s v="S002"/>
    <n v="1"/>
    <n v="0.1"/>
    <x v="1"/>
    <s v="Carl Armstrong"/>
    <x v="17"/>
    <x v="1"/>
    <x v="2"/>
    <n v="248.57"/>
    <n v="223.71299999999999"/>
  </r>
  <r>
    <s v="T01474"/>
    <d v="2024-12-18T00:00:00"/>
    <s v="C111"/>
    <s v="P016"/>
    <s v="S003"/>
    <n v="5"/>
    <n v="0.05"/>
    <x v="0"/>
    <s v="Dylan Booker"/>
    <x v="13"/>
    <x v="0"/>
    <x v="0"/>
    <n v="1858.75"/>
    <n v="8829.0625"/>
  </r>
  <r>
    <s v="T01475"/>
    <d v="2024-05-30T00:00:00"/>
    <s v="C171"/>
    <s v="P021"/>
    <s v="S001"/>
    <n v="3"/>
    <n v="0.05"/>
    <x v="1"/>
    <s v="Christina Dominguez"/>
    <x v="23"/>
    <x v="2"/>
    <x v="3"/>
    <n v="1227.24"/>
    <n v="3497.634"/>
  </r>
  <r>
    <s v="T01476"/>
    <d v="2024-12-09T00:00:00"/>
    <s v="C115"/>
    <s v="P008"/>
    <s v="S004"/>
    <n v="4"/>
    <n v="0.1"/>
    <x v="1"/>
    <s v="Jose Smith"/>
    <x v="48"/>
    <x v="0"/>
    <x v="1"/>
    <n v="109.78"/>
    <n v="395.20800000000003"/>
  </r>
  <r>
    <s v="T01477"/>
    <d v="2024-10-20T00:00:00"/>
    <s v="C024"/>
    <s v="P042"/>
    <s v="S004"/>
    <n v="3"/>
    <n v="0.05"/>
    <x v="1"/>
    <s v="Molly Murray"/>
    <x v="10"/>
    <x v="0"/>
    <x v="1"/>
    <n v="453.62"/>
    <n v="1292.817"/>
  </r>
  <r>
    <s v="T01478"/>
    <d v="2024-04-05T00:00:00"/>
    <s v="C162"/>
    <s v="P049"/>
    <s v="S004"/>
    <n v="1"/>
    <n v="0"/>
    <x v="0"/>
    <s v="Jill Roach"/>
    <x v="29"/>
    <x v="0"/>
    <x v="1"/>
    <n v="388.26"/>
    <n v="388.26"/>
  </r>
  <r>
    <s v="T01479"/>
    <d v="2025-03-24T00:00:00"/>
    <s v="C119"/>
    <s v="P022"/>
    <s v="S002"/>
    <n v="2"/>
    <n v="0.15"/>
    <x v="3"/>
    <s v="Jason Lloyd"/>
    <x v="9"/>
    <x v="2"/>
    <x v="2"/>
    <n v="25.57"/>
    <n v="43.469000000000001"/>
  </r>
  <r>
    <s v="T01480"/>
    <d v="2025-06-23T00:00:00"/>
    <s v="C075"/>
    <s v="P005"/>
    <s v="S004"/>
    <n v="4"/>
    <n v="0"/>
    <x v="1"/>
    <s v="Seth Moore"/>
    <x v="6"/>
    <x v="0"/>
    <x v="1"/>
    <n v="1396.22"/>
    <n v="5584.88"/>
  </r>
  <r>
    <s v="T01481"/>
    <d v="2024-10-11T00:00:00"/>
    <s v="C077"/>
    <s v="P010"/>
    <s v="S002"/>
    <n v="2"/>
    <n v="0.1"/>
    <x v="2"/>
    <s v="Matthew Juarez"/>
    <x v="36"/>
    <x v="1"/>
    <x v="2"/>
    <n v="1194.1199999999999"/>
    <n v="2149.4159999999997"/>
  </r>
  <r>
    <s v="T01482"/>
    <d v="2025-07-15T00:00:00"/>
    <s v="C134"/>
    <s v="P044"/>
    <s v="S004"/>
    <n v="3"/>
    <n v="0"/>
    <x v="3"/>
    <s v="Emily Hart"/>
    <x v="32"/>
    <x v="0"/>
    <x v="1"/>
    <n v="1286.55"/>
    <n v="3859.6499999999996"/>
  </r>
  <r>
    <s v="T01483"/>
    <d v="2024-04-09T00:00:00"/>
    <s v="C012"/>
    <s v="P008"/>
    <s v="S005"/>
    <n v="1"/>
    <n v="0.15"/>
    <x v="1"/>
    <s v="Dale Perry"/>
    <x v="48"/>
    <x v="0"/>
    <x v="4"/>
    <n v="109.78"/>
    <n v="93.313000000000002"/>
  </r>
  <r>
    <s v="T01484"/>
    <d v="2024-06-07T00:00:00"/>
    <s v="C025"/>
    <s v="P034"/>
    <s v="S004"/>
    <n v="5"/>
    <n v="0.1"/>
    <x v="0"/>
    <s v="Cheryl Gilbert"/>
    <x v="12"/>
    <x v="1"/>
    <x v="1"/>
    <n v="428.05"/>
    <n v="1926.2250000000001"/>
  </r>
  <r>
    <s v="T01485"/>
    <d v="2024-11-04T00:00:00"/>
    <s v="C066"/>
    <s v="P042"/>
    <s v="S005"/>
    <n v="1"/>
    <n v="0"/>
    <x v="3"/>
    <s v="Jason Jenkins"/>
    <x v="10"/>
    <x v="0"/>
    <x v="4"/>
    <n v="453.62"/>
    <n v="453.62"/>
  </r>
  <r>
    <s v="T01486"/>
    <d v="2023-10-05T00:00:00"/>
    <s v="C190"/>
    <s v="P041"/>
    <s v="S004"/>
    <n v="2"/>
    <n v="0.05"/>
    <x v="1"/>
    <s v="Daniel Lawson"/>
    <x v="30"/>
    <x v="1"/>
    <x v="1"/>
    <n v="1635.01"/>
    <n v="3106.5189999999998"/>
  </r>
  <r>
    <s v="T01487"/>
    <d v="2025-04-14T00:00:00"/>
    <s v="C012"/>
    <s v="P004"/>
    <s v="S001"/>
    <n v="4"/>
    <n v="0.1"/>
    <x v="0"/>
    <s v="Dale Perry"/>
    <x v="49"/>
    <x v="0"/>
    <x v="3"/>
    <n v="1853.77"/>
    <n v="6673.5720000000001"/>
  </r>
  <r>
    <s v="T01488"/>
    <d v="2024-07-10T00:00:00"/>
    <s v="C151"/>
    <s v="P037"/>
    <s v="S004"/>
    <n v="4"/>
    <n v="0.1"/>
    <x v="0"/>
    <s v="Dawn Fletcher"/>
    <x v="27"/>
    <x v="1"/>
    <x v="1"/>
    <n v="1952.65"/>
    <n v="7029.5400000000009"/>
  </r>
  <r>
    <s v="T01489"/>
    <d v="2023-12-04T00:00:00"/>
    <s v="C048"/>
    <s v="P006"/>
    <s v="S002"/>
    <n v="2"/>
    <n v="0"/>
    <x v="0"/>
    <s v="Alexis Crane"/>
    <x v="35"/>
    <x v="2"/>
    <x v="2"/>
    <n v="318.05"/>
    <n v="636.1"/>
  </r>
  <r>
    <s v="T01490"/>
    <d v="2023-11-09T00:00:00"/>
    <s v="C173"/>
    <s v="P010"/>
    <s v="S001"/>
    <n v="4"/>
    <n v="0"/>
    <x v="3"/>
    <s v="Lisa Ruiz"/>
    <x v="36"/>
    <x v="1"/>
    <x v="3"/>
    <n v="1194.1199999999999"/>
    <n v="4776.4799999999996"/>
  </r>
  <r>
    <s v="T01491"/>
    <d v="2024-11-19T00:00:00"/>
    <s v="C102"/>
    <s v="P036"/>
    <s v="S001"/>
    <n v="1"/>
    <n v="0.05"/>
    <x v="1"/>
    <s v="Carolyn Perez"/>
    <x v="4"/>
    <x v="0"/>
    <x v="3"/>
    <n v="1501.46"/>
    <n v="1426.3869999999999"/>
  </r>
  <r>
    <s v="T01492"/>
    <d v="2024-07-23T00:00:00"/>
    <s v="C118"/>
    <s v="P048"/>
    <s v="S004"/>
    <n v="5"/>
    <n v="0.15"/>
    <x v="0"/>
    <s v="Gina Bradford"/>
    <x v="11"/>
    <x v="0"/>
    <x v="1"/>
    <n v="1216.3599999999999"/>
    <n v="5169.5299999999988"/>
  </r>
  <r>
    <s v="T01493"/>
    <d v="2024-12-09T00:00:00"/>
    <s v="C159"/>
    <s v="P009"/>
    <s v="S005"/>
    <n v="3"/>
    <n v="0.15"/>
    <x v="0"/>
    <s v="Thomas Chung"/>
    <x v="5"/>
    <x v="2"/>
    <x v="4"/>
    <n v="123.19"/>
    <n v="314.1345"/>
  </r>
  <r>
    <s v="T01494"/>
    <d v="2024-05-25T00:00:00"/>
    <s v="C023"/>
    <s v="P049"/>
    <s v="S002"/>
    <n v="2"/>
    <n v="0"/>
    <x v="2"/>
    <s v="Mark Martinez"/>
    <x v="29"/>
    <x v="0"/>
    <x v="2"/>
    <n v="388.26"/>
    <n v="776.52"/>
  </r>
  <r>
    <s v="T01495"/>
    <d v="2023-11-24T00:00:00"/>
    <s v="C029"/>
    <s v="P021"/>
    <s v="S001"/>
    <n v="2"/>
    <n v="0"/>
    <x v="2"/>
    <s v="Tyler Levine"/>
    <x v="23"/>
    <x v="2"/>
    <x v="3"/>
    <n v="1227.24"/>
    <n v="2454.48"/>
  </r>
  <r>
    <s v="T01496"/>
    <d v="2025-07-30T00:00:00"/>
    <s v="C124"/>
    <s v="P027"/>
    <s v="S002"/>
    <n v="2"/>
    <n v="0.15"/>
    <x v="2"/>
    <s v="Chad Roberts"/>
    <x v="34"/>
    <x v="1"/>
    <x v="2"/>
    <n v="1272.23"/>
    <n v="2162.7910000000002"/>
  </r>
  <r>
    <s v="T01497"/>
    <d v="2024-10-25T00:00:00"/>
    <s v="C023"/>
    <s v="P046"/>
    <s v="S003"/>
    <n v="4"/>
    <n v="0.05"/>
    <x v="1"/>
    <s v="Mark Martinez"/>
    <x v="42"/>
    <x v="0"/>
    <x v="0"/>
    <n v="1165.3699999999999"/>
    <n v="4428.405999999999"/>
  </r>
  <r>
    <s v="T01498"/>
    <d v="2024-11-03T00:00:00"/>
    <s v="C109"/>
    <s v="P030"/>
    <s v="S001"/>
    <n v="1"/>
    <n v="0.05"/>
    <x v="2"/>
    <s v="Austin Hogan"/>
    <x v="1"/>
    <x v="0"/>
    <x v="3"/>
    <n v="29.24"/>
    <n v="27.777999999999999"/>
  </r>
  <r>
    <s v="T01499"/>
    <d v="2024-06-19T00:00:00"/>
    <s v="C190"/>
    <s v="P007"/>
    <s v="S004"/>
    <n v="4"/>
    <n v="0.15"/>
    <x v="3"/>
    <s v="Daniel Lawson"/>
    <x v="18"/>
    <x v="1"/>
    <x v="1"/>
    <n v="1474.12"/>
    <n v="5012.0079999999998"/>
  </r>
  <r>
    <s v="T01500"/>
    <d v="2025-03-25T00:00:00"/>
    <s v="C116"/>
    <s v="P046"/>
    <s v="S005"/>
    <n v="2"/>
    <n v="0.05"/>
    <x v="0"/>
    <s v="Jamie Webb"/>
    <x v="42"/>
    <x v="0"/>
    <x v="4"/>
    <n v="1165.3699999999999"/>
    <n v="2214.2029999999995"/>
  </r>
  <r>
    <s v="T01501"/>
    <d v="2023-11-29T00:00:00"/>
    <s v="C146"/>
    <s v="P018"/>
    <s v="S004"/>
    <n v="1"/>
    <n v="0.1"/>
    <x v="3"/>
    <s v="John Johnson"/>
    <x v="19"/>
    <x v="1"/>
    <x v="1"/>
    <n v="1079.8900000000001"/>
    <n v="971.90100000000007"/>
  </r>
  <r>
    <s v="T01502"/>
    <d v="2024-01-29T00:00:00"/>
    <s v="C027"/>
    <s v="P036"/>
    <s v="S004"/>
    <n v="4"/>
    <n v="0.15"/>
    <x v="0"/>
    <s v="Jacqueline Martin"/>
    <x v="4"/>
    <x v="0"/>
    <x v="1"/>
    <n v="1501.46"/>
    <n v="5104.9639999999999"/>
  </r>
  <r>
    <s v="T01503"/>
    <d v="2024-03-07T00:00:00"/>
    <s v="C010"/>
    <s v="P031"/>
    <s v="S004"/>
    <n v="4"/>
    <n v="0.15"/>
    <x v="1"/>
    <s v="Catherine Rice"/>
    <x v="39"/>
    <x v="2"/>
    <x v="1"/>
    <n v="1095.72"/>
    <n v="3725.4479999999999"/>
  </r>
  <r>
    <s v="T01504"/>
    <d v="2025-01-13T00:00:00"/>
    <s v="C060"/>
    <s v="P022"/>
    <s v="S001"/>
    <n v="5"/>
    <n v="0"/>
    <x v="1"/>
    <s v="Anthony Conway"/>
    <x v="9"/>
    <x v="2"/>
    <x v="3"/>
    <n v="25.57"/>
    <n v="127.85"/>
  </r>
  <r>
    <s v="T01505"/>
    <d v="2024-05-27T00:00:00"/>
    <s v="C148"/>
    <s v="P010"/>
    <s v="S003"/>
    <n v="5"/>
    <n v="0"/>
    <x v="0"/>
    <s v="John Foster"/>
    <x v="36"/>
    <x v="1"/>
    <x v="0"/>
    <n v="1194.1199999999999"/>
    <n v="5970.5999999999995"/>
  </r>
  <r>
    <s v="T01506"/>
    <d v="2025-03-21T00:00:00"/>
    <s v="C166"/>
    <s v="P044"/>
    <s v="S004"/>
    <n v="4"/>
    <n v="0"/>
    <x v="1"/>
    <s v="Meagan Ali"/>
    <x v="32"/>
    <x v="0"/>
    <x v="1"/>
    <n v="1286.55"/>
    <n v="5146.2"/>
  </r>
  <r>
    <s v="T01507"/>
    <d v="2024-04-10T00:00:00"/>
    <s v="C160"/>
    <s v="P044"/>
    <s v="S003"/>
    <n v="4"/>
    <n v="0.15"/>
    <x v="3"/>
    <s v="Meagan Macdonald"/>
    <x v="32"/>
    <x v="0"/>
    <x v="0"/>
    <n v="1286.55"/>
    <n v="4374.2699999999995"/>
  </r>
  <r>
    <s v="T01508"/>
    <d v="2024-07-22T00:00:00"/>
    <s v="C042"/>
    <s v="P032"/>
    <s v="S003"/>
    <n v="2"/>
    <n v="0.15"/>
    <x v="0"/>
    <s v="Anna Andrews"/>
    <x v="44"/>
    <x v="2"/>
    <x v="0"/>
    <n v="304.70999999999998"/>
    <n v="518.00699999999995"/>
  </r>
  <r>
    <s v="T01509"/>
    <d v="2024-04-19T00:00:00"/>
    <s v="C113"/>
    <s v="P045"/>
    <s v="S002"/>
    <n v="5"/>
    <n v="0.05"/>
    <x v="0"/>
    <s v="Heidi Wilson"/>
    <x v="8"/>
    <x v="2"/>
    <x v="2"/>
    <n v="1879.08"/>
    <n v="8925.6299999999992"/>
  </r>
  <r>
    <s v="T01510"/>
    <d v="2025-08-02T00:00:00"/>
    <s v="C155"/>
    <s v="P023"/>
    <s v="S004"/>
    <n v="2"/>
    <n v="0.1"/>
    <x v="1"/>
    <s v="Jill Mcconnell"/>
    <x v="20"/>
    <x v="0"/>
    <x v="1"/>
    <n v="1878.47"/>
    <n v="3381.2460000000001"/>
  </r>
  <r>
    <s v="T01511"/>
    <d v="2024-07-08T00:00:00"/>
    <s v="C107"/>
    <s v="P005"/>
    <s v="S003"/>
    <n v="4"/>
    <n v="0.05"/>
    <x v="2"/>
    <s v="Victoria Hansen"/>
    <x v="6"/>
    <x v="0"/>
    <x v="0"/>
    <n v="1396.22"/>
    <n v="5305.6359999999995"/>
  </r>
  <r>
    <s v="T01512"/>
    <d v="2024-02-20T00:00:00"/>
    <s v="C073"/>
    <s v="P030"/>
    <s v="S001"/>
    <n v="4"/>
    <n v="0.05"/>
    <x v="2"/>
    <s v="Carl Armstrong"/>
    <x v="1"/>
    <x v="0"/>
    <x v="3"/>
    <n v="29.24"/>
    <n v="111.11199999999999"/>
  </r>
  <r>
    <s v="T01513"/>
    <d v="2025-05-23T00:00:00"/>
    <s v="C052"/>
    <s v="P015"/>
    <s v="S002"/>
    <n v="5"/>
    <n v="0.15"/>
    <x v="3"/>
    <s v="Billy Hernandez"/>
    <x v="40"/>
    <x v="0"/>
    <x v="2"/>
    <n v="270.45"/>
    <n v="1149.4124999999999"/>
  </r>
  <r>
    <s v="T01514"/>
    <d v="2024-01-24T00:00:00"/>
    <s v="C107"/>
    <s v="P040"/>
    <s v="S004"/>
    <n v="3"/>
    <n v="0.05"/>
    <x v="2"/>
    <s v="Victoria Hansen"/>
    <x v="37"/>
    <x v="1"/>
    <x v="1"/>
    <n v="1745.61"/>
    <n v="4974.9884999999995"/>
  </r>
  <r>
    <s v="T01515"/>
    <d v="2025-06-08T00:00:00"/>
    <s v="C143"/>
    <s v="P043"/>
    <s v="S001"/>
    <n v="1"/>
    <n v="0.1"/>
    <x v="0"/>
    <s v="Cynthia Carlson"/>
    <x v="45"/>
    <x v="0"/>
    <x v="3"/>
    <n v="564.41999999999996"/>
    <n v="507.97799999999995"/>
  </r>
  <r>
    <s v="T01516"/>
    <d v="2025-04-30T00:00:00"/>
    <s v="C092"/>
    <s v="P005"/>
    <s v="S002"/>
    <n v="2"/>
    <n v="0"/>
    <x v="3"/>
    <s v="Lindsey Holder"/>
    <x v="6"/>
    <x v="0"/>
    <x v="2"/>
    <n v="1396.22"/>
    <n v="2792.44"/>
  </r>
  <r>
    <s v="T01517"/>
    <d v="2023-10-16T00:00:00"/>
    <s v="C087"/>
    <s v="P016"/>
    <s v="S004"/>
    <n v="1"/>
    <n v="0.05"/>
    <x v="3"/>
    <s v="Laurie Mason"/>
    <x v="13"/>
    <x v="0"/>
    <x v="1"/>
    <n v="1858.75"/>
    <n v="1765.8125"/>
  </r>
  <r>
    <s v="T01518"/>
    <d v="2023-12-31T00:00:00"/>
    <s v="C144"/>
    <s v="P007"/>
    <s v="S002"/>
    <n v="4"/>
    <n v="0.1"/>
    <x v="0"/>
    <s v="Betty Johnson"/>
    <x v="18"/>
    <x v="1"/>
    <x v="2"/>
    <n v="1474.12"/>
    <n v="5306.8319999999994"/>
  </r>
  <r>
    <s v="T01519"/>
    <d v="2023-11-27T00:00:00"/>
    <s v="C091"/>
    <s v="P003"/>
    <s v="S001"/>
    <n v="5"/>
    <n v="0.1"/>
    <x v="2"/>
    <s v="Brian Fowler"/>
    <x v="46"/>
    <x v="0"/>
    <x v="3"/>
    <n v="337.63"/>
    <n v="1519.335"/>
  </r>
  <r>
    <s v="T01520"/>
    <d v="2023-12-11T00:00:00"/>
    <s v="C177"/>
    <s v="P027"/>
    <s v="S005"/>
    <n v="5"/>
    <n v="0"/>
    <x v="3"/>
    <s v="Anthony Gould"/>
    <x v="34"/>
    <x v="1"/>
    <x v="4"/>
    <n v="1272.23"/>
    <n v="6361.15"/>
  </r>
  <r>
    <s v="T01521"/>
    <d v="2024-12-17T00:00:00"/>
    <s v="C113"/>
    <s v="P018"/>
    <s v="S004"/>
    <n v="1"/>
    <n v="0"/>
    <x v="3"/>
    <s v="Heidi Wilson"/>
    <x v="19"/>
    <x v="1"/>
    <x v="1"/>
    <n v="1079.8900000000001"/>
    <n v="1079.8900000000001"/>
  </r>
  <r>
    <s v="T01522"/>
    <d v="2025-06-21T00:00:00"/>
    <s v="C144"/>
    <s v="P011"/>
    <s v="S001"/>
    <n v="5"/>
    <n v="0"/>
    <x v="2"/>
    <s v="Betty Johnson"/>
    <x v="17"/>
    <x v="1"/>
    <x v="3"/>
    <n v="248.57"/>
    <n v="1242.8499999999999"/>
  </r>
  <r>
    <s v="T01523"/>
    <d v="2024-10-27T00:00:00"/>
    <s v="C162"/>
    <s v="P031"/>
    <s v="S001"/>
    <n v="2"/>
    <n v="0.1"/>
    <x v="2"/>
    <s v="Jill Roach"/>
    <x v="39"/>
    <x v="2"/>
    <x v="3"/>
    <n v="1095.72"/>
    <n v="1972.296"/>
  </r>
  <r>
    <s v="T01524"/>
    <d v="2025-01-24T00:00:00"/>
    <s v="C187"/>
    <s v="P013"/>
    <s v="S003"/>
    <n v="4"/>
    <n v="0.15"/>
    <x v="3"/>
    <s v="Cynthia Cherry"/>
    <x v="21"/>
    <x v="0"/>
    <x v="0"/>
    <n v="1134.8"/>
    <n v="3858.3199999999997"/>
  </r>
  <r>
    <s v="T01525"/>
    <d v="2024-06-25T00:00:00"/>
    <s v="C040"/>
    <s v="P012"/>
    <s v="S003"/>
    <n v="3"/>
    <n v="0.05"/>
    <x v="3"/>
    <s v="Scott Powell"/>
    <x v="38"/>
    <x v="1"/>
    <x v="0"/>
    <n v="1193.0899999999999"/>
    <n v="3400.3064999999992"/>
  </r>
  <r>
    <s v="T01526"/>
    <d v="2024-07-05T00:00:00"/>
    <s v="C052"/>
    <s v="P009"/>
    <s v="S004"/>
    <n v="4"/>
    <n v="0"/>
    <x v="2"/>
    <s v="Billy Hernandez"/>
    <x v="5"/>
    <x v="2"/>
    <x v="1"/>
    <n v="123.19"/>
    <n v="492.76"/>
  </r>
  <r>
    <s v="T01527"/>
    <d v="2024-09-05T00:00:00"/>
    <s v="C122"/>
    <s v="P012"/>
    <s v="S003"/>
    <n v="3"/>
    <n v="0.05"/>
    <x v="3"/>
    <s v="Amy Smith"/>
    <x v="38"/>
    <x v="1"/>
    <x v="0"/>
    <n v="1193.0899999999999"/>
    <n v="3400.3064999999992"/>
  </r>
  <r>
    <s v="T01528"/>
    <d v="2025-01-29T00:00:00"/>
    <s v="C069"/>
    <s v="P018"/>
    <s v="S003"/>
    <n v="4"/>
    <n v="0.1"/>
    <x v="2"/>
    <s v="Gabriel Daugherty"/>
    <x v="19"/>
    <x v="1"/>
    <x v="0"/>
    <n v="1079.8900000000001"/>
    <n v="3887.6040000000003"/>
  </r>
  <r>
    <s v="T01529"/>
    <d v="2024-04-28T00:00:00"/>
    <s v="C039"/>
    <s v="P015"/>
    <s v="S005"/>
    <n v="4"/>
    <n v="0.05"/>
    <x v="2"/>
    <s v="Nancy Savage"/>
    <x v="40"/>
    <x v="0"/>
    <x v="4"/>
    <n v="270.45"/>
    <n v="1027.7099999999998"/>
  </r>
  <r>
    <s v="T01530"/>
    <d v="2023-11-14T00:00:00"/>
    <s v="C110"/>
    <s v="P010"/>
    <s v="S004"/>
    <n v="4"/>
    <n v="0.15"/>
    <x v="0"/>
    <s v="Travis Peters"/>
    <x v="36"/>
    <x v="1"/>
    <x v="1"/>
    <n v="1194.1199999999999"/>
    <n v="4060.0079999999994"/>
  </r>
  <r>
    <s v="T01531"/>
    <d v="2025-03-18T00:00:00"/>
    <s v="C008"/>
    <s v="P032"/>
    <s v="S004"/>
    <n v="2"/>
    <n v="0"/>
    <x v="3"/>
    <s v="Isaiah Williams"/>
    <x v="44"/>
    <x v="2"/>
    <x v="1"/>
    <n v="304.70999999999998"/>
    <n v="609.41999999999996"/>
  </r>
  <r>
    <s v="T01532"/>
    <d v="2024-10-12T00:00:00"/>
    <s v="C022"/>
    <s v="P039"/>
    <s v="S003"/>
    <n v="3"/>
    <n v="0.15"/>
    <x v="2"/>
    <s v="Megan Velasquez"/>
    <x v="22"/>
    <x v="0"/>
    <x v="0"/>
    <n v="540.94000000000005"/>
    <n v="1379.3970000000002"/>
  </r>
  <r>
    <s v="T01533"/>
    <d v="2024-09-22T00:00:00"/>
    <s v="C112"/>
    <s v="P030"/>
    <s v="S001"/>
    <n v="4"/>
    <n v="0"/>
    <x v="2"/>
    <s v="Jeffrey Smith"/>
    <x v="1"/>
    <x v="0"/>
    <x v="3"/>
    <n v="29.24"/>
    <n v="116.96"/>
  </r>
  <r>
    <s v="T01534"/>
    <d v="2024-12-31T00:00:00"/>
    <s v="C148"/>
    <s v="P040"/>
    <s v="S001"/>
    <n v="5"/>
    <n v="0.1"/>
    <x v="1"/>
    <s v="John Foster"/>
    <x v="37"/>
    <x v="1"/>
    <x v="3"/>
    <n v="1745.61"/>
    <n v="7855.2449999999999"/>
  </r>
  <r>
    <s v="T01535"/>
    <d v="2025-07-04T00:00:00"/>
    <s v="C103"/>
    <s v="P042"/>
    <s v="S005"/>
    <n v="3"/>
    <n v="0.1"/>
    <x v="0"/>
    <s v="David Burns"/>
    <x v="10"/>
    <x v="0"/>
    <x v="4"/>
    <n v="453.62"/>
    <n v="1224.7740000000001"/>
  </r>
  <r>
    <s v="T01536"/>
    <d v="2025-06-06T00:00:00"/>
    <s v="C003"/>
    <s v="P045"/>
    <s v="S003"/>
    <n v="5"/>
    <n v="0.05"/>
    <x v="1"/>
    <s v="Carol Hays"/>
    <x v="8"/>
    <x v="2"/>
    <x v="0"/>
    <n v="1879.08"/>
    <n v="8925.6299999999992"/>
  </r>
  <r>
    <s v="T01537"/>
    <d v="2025-04-30T00:00:00"/>
    <s v="C115"/>
    <s v="P017"/>
    <s v="S002"/>
    <n v="5"/>
    <n v="0.15"/>
    <x v="0"/>
    <s v="Jose Smith"/>
    <x v="43"/>
    <x v="1"/>
    <x v="2"/>
    <n v="1246.1099999999999"/>
    <n v="5295.9674999999988"/>
  </r>
  <r>
    <s v="T01538"/>
    <d v="2023-12-02T00:00:00"/>
    <s v="C167"/>
    <s v="P035"/>
    <s v="S004"/>
    <n v="2"/>
    <n v="0.1"/>
    <x v="3"/>
    <s v="Kimberly Lin"/>
    <x v="7"/>
    <x v="1"/>
    <x v="1"/>
    <n v="1562.43"/>
    <n v="2812.3740000000003"/>
  </r>
  <r>
    <s v="T01539"/>
    <d v="2025-03-08T00:00:00"/>
    <s v="C010"/>
    <s v="P036"/>
    <s v="S005"/>
    <n v="3"/>
    <n v="0.15"/>
    <x v="2"/>
    <s v="Catherine Rice"/>
    <x v="4"/>
    <x v="0"/>
    <x v="4"/>
    <n v="1501.46"/>
    <n v="3828.723"/>
  </r>
  <r>
    <s v="T01540"/>
    <d v="2023-09-20T00:00:00"/>
    <s v="C134"/>
    <s v="P005"/>
    <s v="S005"/>
    <n v="3"/>
    <n v="0.05"/>
    <x v="3"/>
    <s v="Emily Hart"/>
    <x v="6"/>
    <x v="0"/>
    <x v="4"/>
    <n v="1396.22"/>
    <n v="3979.2269999999999"/>
  </r>
  <r>
    <s v="T01541"/>
    <d v="2024-10-11T00:00:00"/>
    <s v="C131"/>
    <s v="P026"/>
    <s v="S005"/>
    <n v="3"/>
    <n v="0.1"/>
    <x v="2"/>
    <s v="Denise Jackson"/>
    <x v="15"/>
    <x v="2"/>
    <x v="4"/>
    <n v="1015.76"/>
    <n v="2742.5519999999997"/>
  </r>
  <r>
    <s v="T01542"/>
    <d v="2025-05-19T00:00:00"/>
    <s v="C006"/>
    <s v="P027"/>
    <s v="S001"/>
    <n v="5"/>
    <n v="0.1"/>
    <x v="2"/>
    <s v="Danny Moore"/>
    <x v="34"/>
    <x v="1"/>
    <x v="3"/>
    <n v="1272.23"/>
    <n v="5725.0349999999999"/>
  </r>
  <r>
    <s v="T01543"/>
    <d v="2025-02-09T00:00:00"/>
    <s v="C199"/>
    <s v="P037"/>
    <s v="S003"/>
    <n v="4"/>
    <n v="0"/>
    <x v="3"/>
    <s v="Juan Johnson"/>
    <x v="27"/>
    <x v="1"/>
    <x v="0"/>
    <n v="1952.65"/>
    <n v="7810.6"/>
  </r>
  <r>
    <s v="T01544"/>
    <d v="2024-12-01T00:00:00"/>
    <s v="C096"/>
    <s v="P040"/>
    <s v="S003"/>
    <n v="5"/>
    <n v="0.1"/>
    <x v="3"/>
    <s v="Eric King"/>
    <x v="37"/>
    <x v="1"/>
    <x v="0"/>
    <n v="1745.61"/>
    <n v="7855.2449999999999"/>
  </r>
  <r>
    <s v="T01545"/>
    <d v="2024-09-30T00:00:00"/>
    <s v="C013"/>
    <s v="P005"/>
    <s v="S001"/>
    <n v="4"/>
    <n v="0.1"/>
    <x v="3"/>
    <s v="Robert Anderson"/>
    <x v="6"/>
    <x v="0"/>
    <x v="3"/>
    <n v="1396.22"/>
    <n v="5026.3919999999998"/>
  </r>
  <r>
    <s v="T01546"/>
    <d v="2024-03-19T00:00:00"/>
    <s v="C117"/>
    <s v="P008"/>
    <s v="S003"/>
    <n v="2"/>
    <n v="0.05"/>
    <x v="0"/>
    <s v="Timothy Beck"/>
    <x v="48"/>
    <x v="0"/>
    <x v="0"/>
    <n v="109.78"/>
    <n v="208.58199999999999"/>
  </r>
  <r>
    <s v="T01547"/>
    <d v="2024-03-01T00:00:00"/>
    <s v="C077"/>
    <s v="P019"/>
    <s v="S003"/>
    <n v="5"/>
    <n v="0.05"/>
    <x v="1"/>
    <s v="Matthew Juarez"/>
    <x v="26"/>
    <x v="1"/>
    <x v="0"/>
    <n v="1762.92"/>
    <n v="8373.8700000000008"/>
  </r>
  <r>
    <s v="T01548"/>
    <d v="2024-07-04T00:00:00"/>
    <s v="C134"/>
    <s v="P036"/>
    <s v="S002"/>
    <n v="1"/>
    <n v="0.1"/>
    <x v="2"/>
    <s v="Emily Hart"/>
    <x v="4"/>
    <x v="0"/>
    <x v="2"/>
    <n v="1501.46"/>
    <n v="1351.3140000000001"/>
  </r>
  <r>
    <s v="T01549"/>
    <d v="2025-07-24T00:00:00"/>
    <s v="C200"/>
    <s v="P038"/>
    <s v="S003"/>
    <n v="4"/>
    <n v="0"/>
    <x v="2"/>
    <s v="Ronald Haley"/>
    <x v="41"/>
    <x v="0"/>
    <x v="0"/>
    <n v="366.93"/>
    <n v="1467.72"/>
  </r>
  <r>
    <s v="T01550"/>
    <d v="2025-05-08T00:00:00"/>
    <s v="C183"/>
    <s v="P007"/>
    <s v="S004"/>
    <n v="4"/>
    <n v="0"/>
    <x v="3"/>
    <s v="Mary Dawson"/>
    <x v="18"/>
    <x v="1"/>
    <x v="1"/>
    <n v="1474.12"/>
    <n v="5896.48"/>
  </r>
  <r>
    <s v="T01551"/>
    <d v="2024-12-04T00:00:00"/>
    <s v="C016"/>
    <s v="P038"/>
    <s v="S004"/>
    <n v="2"/>
    <n v="0.15"/>
    <x v="2"/>
    <s v="Miguel Johnson"/>
    <x v="41"/>
    <x v="0"/>
    <x v="1"/>
    <n v="366.93"/>
    <n v="623.78099999999995"/>
  </r>
  <r>
    <s v="T01552"/>
    <d v="2024-08-06T00:00:00"/>
    <s v="C115"/>
    <s v="P007"/>
    <s v="S001"/>
    <n v="3"/>
    <n v="0.15"/>
    <x v="1"/>
    <s v="Jose Smith"/>
    <x v="18"/>
    <x v="1"/>
    <x v="3"/>
    <n v="1474.12"/>
    <n v="3759.0059999999994"/>
  </r>
  <r>
    <s v="T01553"/>
    <d v="2025-04-11T00:00:00"/>
    <s v="C068"/>
    <s v="P009"/>
    <s v="S005"/>
    <n v="4"/>
    <n v="0.15"/>
    <x v="1"/>
    <s v="Alexandra Montoya"/>
    <x v="5"/>
    <x v="2"/>
    <x v="4"/>
    <n v="123.19"/>
    <n v="418.846"/>
  </r>
  <r>
    <s v="T01554"/>
    <d v="2025-01-22T00:00:00"/>
    <s v="C177"/>
    <s v="P031"/>
    <s v="S004"/>
    <n v="4"/>
    <n v="0.05"/>
    <x v="2"/>
    <s v="Anthony Gould"/>
    <x v="39"/>
    <x v="2"/>
    <x v="1"/>
    <n v="1095.72"/>
    <n v="4163.7359999999999"/>
  </r>
  <r>
    <s v="T01555"/>
    <d v="2023-10-18T00:00:00"/>
    <s v="C130"/>
    <s v="P030"/>
    <s v="S002"/>
    <n v="4"/>
    <n v="0.15"/>
    <x v="2"/>
    <s v="Aaron Bailey"/>
    <x v="1"/>
    <x v="0"/>
    <x v="2"/>
    <n v="29.24"/>
    <n v="99.415999999999997"/>
  </r>
  <r>
    <s v="T01556"/>
    <d v="2025-02-26T00:00:00"/>
    <s v="C181"/>
    <s v="P041"/>
    <s v="S005"/>
    <n v="5"/>
    <n v="0"/>
    <x v="2"/>
    <s v="Brittany Oneal"/>
    <x v="30"/>
    <x v="1"/>
    <x v="4"/>
    <n v="1635.01"/>
    <n v="8175.05"/>
  </r>
  <r>
    <s v="T01557"/>
    <d v="2024-09-14T00:00:00"/>
    <s v="C117"/>
    <s v="P003"/>
    <s v="S004"/>
    <n v="1"/>
    <n v="0.05"/>
    <x v="0"/>
    <s v="Timothy Beck"/>
    <x v="46"/>
    <x v="0"/>
    <x v="1"/>
    <n v="337.63"/>
    <n v="320.74849999999998"/>
  </r>
  <r>
    <s v="T01558"/>
    <d v="2024-08-22T00:00:00"/>
    <s v="C031"/>
    <s v="P042"/>
    <s v="S005"/>
    <n v="4"/>
    <n v="0"/>
    <x v="3"/>
    <s v="Ashley Gibson"/>
    <x v="10"/>
    <x v="0"/>
    <x v="4"/>
    <n v="453.62"/>
    <n v="1814.48"/>
  </r>
  <r>
    <s v="T01559"/>
    <d v="2024-10-30T00:00:00"/>
    <s v="C095"/>
    <s v="P007"/>
    <s v="S005"/>
    <n v="3"/>
    <n v="0"/>
    <x v="2"/>
    <s v="Kevin Snyder"/>
    <x v="18"/>
    <x v="1"/>
    <x v="4"/>
    <n v="1474.12"/>
    <n v="4422.3599999999997"/>
  </r>
  <r>
    <s v="T01560"/>
    <d v="2025-04-30T00:00:00"/>
    <s v="C031"/>
    <s v="P037"/>
    <s v="S003"/>
    <n v="3"/>
    <n v="0.1"/>
    <x v="0"/>
    <s v="Ashley Gibson"/>
    <x v="27"/>
    <x v="1"/>
    <x v="0"/>
    <n v="1952.65"/>
    <n v="5272.1550000000007"/>
  </r>
  <r>
    <s v="T01561"/>
    <d v="2023-11-16T00:00:00"/>
    <s v="C076"/>
    <s v="P016"/>
    <s v="S004"/>
    <n v="1"/>
    <n v="0.05"/>
    <x v="2"/>
    <s v="Phyllis Durham"/>
    <x v="13"/>
    <x v="0"/>
    <x v="1"/>
    <n v="1858.75"/>
    <n v="1765.8125"/>
  </r>
  <r>
    <s v="T01562"/>
    <d v="2024-09-17T00:00:00"/>
    <s v="C151"/>
    <s v="P041"/>
    <s v="S004"/>
    <n v="1"/>
    <n v="0.1"/>
    <x v="0"/>
    <s v="Dawn Fletcher"/>
    <x v="30"/>
    <x v="1"/>
    <x v="1"/>
    <n v="1635.01"/>
    <n v="1471.509"/>
  </r>
  <r>
    <s v="T01563"/>
    <d v="2023-12-10T00:00:00"/>
    <s v="C056"/>
    <s v="P029"/>
    <s v="S002"/>
    <n v="4"/>
    <n v="0"/>
    <x v="3"/>
    <s v="Carl Wyatt"/>
    <x v="47"/>
    <x v="0"/>
    <x v="2"/>
    <n v="1485.05"/>
    <n v="5940.2"/>
  </r>
  <r>
    <s v="T01564"/>
    <d v="2025-03-02T00:00:00"/>
    <s v="C141"/>
    <s v="P030"/>
    <s v="S003"/>
    <n v="1"/>
    <n v="0"/>
    <x v="1"/>
    <s v="Adam Lucas"/>
    <x v="1"/>
    <x v="0"/>
    <x v="0"/>
    <n v="29.24"/>
    <n v="29.24"/>
  </r>
  <r>
    <s v="T01565"/>
    <d v="2024-10-13T00:00:00"/>
    <s v="C124"/>
    <s v="P022"/>
    <s v="S005"/>
    <n v="3"/>
    <n v="0.15"/>
    <x v="0"/>
    <s v="Chad Roberts"/>
    <x v="9"/>
    <x v="2"/>
    <x v="4"/>
    <n v="25.57"/>
    <n v="65.203500000000005"/>
  </r>
  <r>
    <s v="T01566"/>
    <d v="2025-02-26T00:00:00"/>
    <s v="C097"/>
    <s v="P029"/>
    <s v="S004"/>
    <n v="5"/>
    <n v="0.05"/>
    <x v="2"/>
    <s v="Evelyn Gray"/>
    <x v="47"/>
    <x v="0"/>
    <x v="1"/>
    <n v="1485.05"/>
    <n v="7053.9874999999993"/>
  </r>
  <r>
    <s v="T01567"/>
    <d v="2024-11-26T00:00:00"/>
    <s v="C130"/>
    <s v="P041"/>
    <s v="S004"/>
    <n v="4"/>
    <n v="0.15"/>
    <x v="2"/>
    <s v="Aaron Bailey"/>
    <x v="30"/>
    <x v="1"/>
    <x v="1"/>
    <n v="1635.01"/>
    <n v="5559.0339999999997"/>
  </r>
  <r>
    <s v="T01568"/>
    <d v="2024-02-02T00:00:00"/>
    <s v="C187"/>
    <s v="P017"/>
    <s v="S003"/>
    <n v="1"/>
    <n v="0.15"/>
    <x v="1"/>
    <s v="Cynthia Cherry"/>
    <x v="43"/>
    <x v="1"/>
    <x v="0"/>
    <n v="1246.1099999999999"/>
    <n v="1059.1934999999999"/>
  </r>
  <r>
    <s v="T01569"/>
    <d v="2024-02-15T00:00:00"/>
    <s v="C060"/>
    <s v="P039"/>
    <s v="S004"/>
    <n v="3"/>
    <n v="0"/>
    <x v="1"/>
    <s v="Anthony Conway"/>
    <x v="22"/>
    <x v="0"/>
    <x v="1"/>
    <n v="540.94000000000005"/>
    <n v="1622.8200000000002"/>
  </r>
  <r>
    <s v="T01570"/>
    <d v="2025-07-19T00:00:00"/>
    <s v="C189"/>
    <s v="P022"/>
    <s v="S003"/>
    <n v="1"/>
    <n v="0.05"/>
    <x v="3"/>
    <s v="Steve Flynn"/>
    <x v="9"/>
    <x v="2"/>
    <x v="0"/>
    <n v="25.57"/>
    <n v="24.291499999999999"/>
  </r>
  <r>
    <s v="T01571"/>
    <d v="2025-02-16T00:00:00"/>
    <s v="C147"/>
    <s v="P008"/>
    <s v="S003"/>
    <n v="5"/>
    <n v="0"/>
    <x v="3"/>
    <s v="Crystal Garrison"/>
    <x v="48"/>
    <x v="0"/>
    <x v="0"/>
    <n v="109.78"/>
    <n v="548.9"/>
  </r>
  <r>
    <s v="T01572"/>
    <d v="2024-11-12T00:00:00"/>
    <s v="C050"/>
    <s v="P014"/>
    <s v="S005"/>
    <n v="5"/>
    <n v="0"/>
    <x v="2"/>
    <s v="Kelly Mcmillan"/>
    <x v="0"/>
    <x v="0"/>
    <x v="4"/>
    <n v="1342.75"/>
    <n v="6713.75"/>
  </r>
  <r>
    <s v="T01573"/>
    <d v="2024-01-07T00:00:00"/>
    <s v="C193"/>
    <s v="P023"/>
    <s v="S004"/>
    <n v="5"/>
    <n v="0"/>
    <x v="3"/>
    <s v="Donald Meza"/>
    <x v="20"/>
    <x v="0"/>
    <x v="1"/>
    <n v="1878.47"/>
    <n v="9392.35"/>
  </r>
  <r>
    <s v="T01574"/>
    <d v="2024-09-14T00:00:00"/>
    <s v="C169"/>
    <s v="P012"/>
    <s v="S005"/>
    <n v="2"/>
    <n v="0"/>
    <x v="0"/>
    <s v="Travis Watson"/>
    <x v="38"/>
    <x v="1"/>
    <x v="4"/>
    <n v="1193.0899999999999"/>
    <n v="2386.1799999999998"/>
  </r>
  <r>
    <s v="T01575"/>
    <d v="2025-06-23T00:00:00"/>
    <s v="C053"/>
    <s v="P046"/>
    <s v="S002"/>
    <n v="5"/>
    <n v="0.15"/>
    <x v="3"/>
    <s v="Felicia Morgan"/>
    <x v="42"/>
    <x v="0"/>
    <x v="2"/>
    <n v="1165.3699999999999"/>
    <n v="4952.8224999999993"/>
  </r>
  <r>
    <s v="T01576"/>
    <d v="2023-11-01T00:00:00"/>
    <s v="C137"/>
    <s v="P027"/>
    <s v="S005"/>
    <n v="3"/>
    <n v="0.15"/>
    <x v="3"/>
    <s v="Gary Lopez"/>
    <x v="34"/>
    <x v="1"/>
    <x v="4"/>
    <n v="1272.23"/>
    <n v="3244.1864999999998"/>
  </r>
  <r>
    <s v="T01577"/>
    <d v="2025-01-17T00:00:00"/>
    <s v="C126"/>
    <s v="P022"/>
    <s v="S001"/>
    <n v="3"/>
    <n v="0.15"/>
    <x v="2"/>
    <s v="Monique Johnson"/>
    <x v="9"/>
    <x v="2"/>
    <x v="3"/>
    <n v="25.57"/>
    <n v="65.203500000000005"/>
  </r>
  <r>
    <s v="T01578"/>
    <d v="2024-09-11T00:00:00"/>
    <s v="C107"/>
    <s v="P039"/>
    <s v="S001"/>
    <n v="5"/>
    <n v="0.1"/>
    <x v="1"/>
    <s v="Victoria Hansen"/>
    <x v="22"/>
    <x v="0"/>
    <x v="3"/>
    <n v="540.94000000000005"/>
    <n v="2434.2300000000005"/>
  </r>
  <r>
    <s v="T01579"/>
    <d v="2024-07-08T00:00:00"/>
    <s v="C066"/>
    <s v="P022"/>
    <s v="S001"/>
    <n v="1"/>
    <n v="0"/>
    <x v="2"/>
    <s v="Jason Jenkins"/>
    <x v="9"/>
    <x v="2"/>
    <x v="3"/>
    <n v="25.57"/>
    <n v="25.57"/>
  </r>
  <r>
    <s v="T01580"/>
    <d v="2025-09-07T00:00:00"/>
    <s v="C074"/>
    <s v="P003"/>
    <s v="S002"/>
    <n v="2"/>
    <n v="0.1"/>
    <x v="3"/>
    <s v="Jesus Singh"/>
    <x v="46"/>
    <x v="0"/>
    <x v="2"/>
    <n v="337.63"/>
    <n v="607.73400000000004"/>
  </r>
  <r>
    <s v="T01581"/>
    <d v="2025-03-09T00:00:00"/>
    <s v="C040"/>
    <s v="P014"/>
    <s v="S003"/>
    <n v="4"/>
    <n v="0.05"/>
    <x v="3"/>
    <s v="Scott Powell"/>
    <x v="0"/>
    <x v="0"/>
    <x v="0"/>
    <n v="1342.75"/>
    <n v="5102.45"/>
  </r>
  <r>
    <s v="T01582"/>
    <d v="2025-02-22T00:00:00"/>
    <s v="C158"/>
    <s v="P048"/>
    <s v="S003"/>
    <n v="2"/>
    <n v="0"/>
    <x v="3"/>
    <s v="Crystal Aguirre"/>
    <x v="11"/>
    <x v="0"/>
    <x v="0"/>
    <n v="1216.3599999999999"/>
    <n v="2432.7199999999998"/>
  </r>
  <r>
    <s v="T01583"/>
    <d v="2024-09-13T00:00:00"/>
    <s v="C077"/>
    <s v="P017"/>
    <s v="S004"/>
    <n v="1"/>
    <n v="0.1"/>
    <x v="2"/>
    <s v="Matthew Juarez"/>
    <x v="43"/>
    <x v="1"/>
    <x v="1"/>
    <n v="1246.1099999999999"/>
    <n v="1121.499"/>
  </r>
  <r>
    <s v="T01584"/>
    <d v="2025-05-25T00:00:00"/>
    <s v="C106"/>
    <s v="P033"/>
    <s v="S003"/>
    <n v="3"/>
    <n v="0.15"/>
    <x v="3"/>
    <s v="Kevin Flores"/>
    <x v="16"/>
    <x v="0"/>
    <x v="0"/>
    <n v="1798.97"/>
    <n v="4587.3734999999997"/>
  </r>
  <r>
    <s v="T01585"/>
    <d v="2025-05-12T00:00:00"/>
    <s v="C014"/>
    <s v="P028"/>
    <s v="S002"/>
    <n v="2"/>
    <n v="0.05"/>
    <x v="1"/>
    <s v="Brittany Green"/>
    <x v="25"/>
    <x v="1"/>
    <x v="2"/>
    <n v="673.78"/>
    <n v="1280.1819999999998"/>
  </r>
  <r>
    <s v="T01586"/>
    <d v="2024-10-08T00:00:00"/>
    <s v="C131"/>
    <s v="P028"/>
    <s v="S005"/>
    <n v="4"/>
    <n v="0"/>
    <x v="0"/>
    <s v="Denise Jackson"/>
    <x v="25"/>
    <x v="1"/>
    <x v="4"/>
    <n v="673.78"/>
    <n v="2695.12"/>
  </r>
  <r>
    <s v="T01587"/>
    <d v="2024-10-20T00:00:00"/>
    <s v="C016"/>
    <s v="P041"/>
    <s v="S003"/>
    <n v="4"/>
    <n v="0.15"/>
    <x v="3"/>
    <s v="Miguel Johnson"/>
    <x v="30"/>
    <x v="1"/>
    <x v="0"/>
    <n v="1635.01"/>
    <n v="5559.0339999999997"/>
  </r>
  <r>
    <s v="T01588"/>
    <d v="2023-12-28T00:00:00"/>
    <s v="C124"/>
    <s v="P041"/>
    <s v="S001"/>
    <n v="4"/>
    <n v="0.05"/>
    <x v="3"/>
    <s v="Chad Roberts"/>
    <x v="30"/>
    <x v="1"/>
    <x v="3"/>
    <n v="1635.01"/>
    <n v="6213.0379999999996"/>
  </r>
  <r>
    <s v="T01589"/>
    <d v="2024-11-19T00:00:00"/>
    <s v="C069"/>
    <s v="P020"/>
    <s v="S005"/>
    <n v="5"/>
    <n v="0"/>
    <x v="2"/>
    <s v="Gabriel Daugherty"/>
    <x v="24"/>
    <x v="0"/>
    <x v="4"/>
    <n v="323.92"/>
    <n v="1619.6000000000001"/>
  </r>
  <r>
    <s v="T01590"/>
    <d v="2024-09-07T00:00:00"/>
    <s v="C196"/>
    <s v="P004"/>
    <s v="S005"/>
    <n v="2"/>
    <n v="0.1"/>
    <x v="1"/>
    <s v="James Noble"/>
    <x v="49"/>
    <x v="0"/>
    <x v="4"/>
    <n v="1853.77"/>
    <n v="3336.7860000000001"/>
  </r>
  <r>
    <s v="T01591"/>
    <d v="2023-10-27T00:00:00"/>
    <s v="C115"/>
    <s v="P002"/>
    <s v="S001"/>
    <n v="5"/>
    <n v="0.05"/>
    <x v="2"/>
    <s v="Jose Smith"/>
    <x v="2"/>
    <x v="1"/>
    <x v="3"/>
    <n v="818.76"/>
    <n v="3889.11"/>
  </r>
  <r>
    <s v="T01592"/>
    <d v="2024-09-05T00:00:00"/>
    <s v="C096"/>
    <s v="P049"/>
    <s v="S005"/>
    <n v="2"/>
    <n v="0.05"/>
    <x v="1"/>
    <s v="Eric King"/>
    <x v="29"/>
    <x v="0"/>
    <x v="4"/>
    <n v="388.26"/>
    <n v="737.69399999999996"/>
  </r>
  <r>
    <s v="T01593"/>
    <d v="2024-03-12T00:00:00"/>
    <s v="C143"/>
    <s v="P030"/>
    <s v="S004"/>
    <n v="1"/>
    <n v="0"/>
    <x v="1"/>
    <s v="Cynthia Carlson"/>
    <x v="1"/>
    <x v="0"/>
    <x v="1"/>
    <n v="29.24"/>
    <n v="29.24"/>
  </r>
  <r>
    <s v="T01594"/>
    <d v="2024-07-10T00:00:00"/>
    <s v="C159"/>
    <s v="P047"/>
    <s v="S003"/>
    <n v="2"/>
    <n v="0"/>
    <x v="3"/>
    <s v="Thomas Chung"/>
    <x v="28"/>
    <x v="1"/>
    <x v="0"/>
    <n v="1197.18"/>
    <n v="2394.36"/>
  </r>
  <r>
    <s v="T01595"/>
    <d v="2023-12-06T00:00:00"/>
    <s v="C124"/>
    <s v="P011"/>
    <s v="S003"/>
    <n v="5"/>
    <n v="0.1"/>
    <x v="1"/>
    <s v="Chad Roberts"/>
    <x v="17"/>
    <x v="1"/>
    <x v="0"/>
    <n v="248.57"/>
    <n v="1118.5650000000001"/>
  </r>
  <r>
    <s v="T01596"/>
    <d v="2025-06-11T00:00:00"/>
    <s v="C090"/>
    <s v="P015"/>
    <s v="S002"/>
    <n v="5"/>
    <n v="0.1"/>
    <x v="3"/>
    <s v="Carrie Peterson"/>
    <x v="40"/>
    <x v="0"/>
    <x v="2"/>
    <n v="270.45"/>
    <n v="1217.0250000000001"/>
  </r>
  <r>
    <s v="T01597"/>
    <d v="2024-09-12T00:00:00"/>
    <s v="C042"/>
    <s v="P045"/>
    <s v="S005"/>
    <n v="5"/>
    <n v="0"/>
    <x v="0"/>
    <s v="Anna Andrews"/>
    <x v="8"/>
    <x v="2"/>
    <x v="4"/>
    <n v="1879.08"/>
    <n v="9395.4"/>
  </r>
  <r>
    <s v="T01598"/>
    <d v="2023-10-01T00:00:00"/>
    <s v="C023"/>
    <s v="P019"/>
    <s v="S004"/>
    <n v="1"/>
    <n v="0.05"/>
    <x v="0"/>
    <s v="Mark Martinez"/>
    <x v="26"/>
    <x v="1"/>
    <x v="1"/>
    <n v="1762.92"/>
    <n v="1674.7739999999999"/>
  </r>
  <r>
    <s v="T01599"/>
    <d v="2024-07-24T00:00:00"/>
    <s v="C111"/>
    <s v="P043"/>
    <s v="S002"/>
    <n v="5"/>
    <n v="0.1"/>
    <x v="0"/>
    <s v="Dylan Booker"/>
    <x v="45"/>
    <x v="0"/>
    <x v="2"/>
    <n v="564.41999999999996"/>
    <n v="2539.89"/>
  </r>
  <r>
    <s v="T01600"/>
    <d v="2024-10-30T00:00:00"/>
    <s v="C163"/>
    <s v="P003"/>
    <s v="S003"/>
    <n v="4"/>
    <n v="0.1"/>
    <x v="2"/>
    <s v="Erin Rogers"/>
    <x v="46"/>
    <x v="0"/>
    <x v="0"/>
    <n v="337.63"/>
    <n v="1215.4680000000001"/>
  </r>
  <r>
    <s v="T01601"/>
    <d v="2025-08-25T00:00:00"/>
    <s v="C170"/>
    <s v="P033"/>
    <s v="S003"/>
    <n v="3"/>
    <n v="0.05"/>
    <x v="1"/>
    <s v="Amber Graham"/>
    <x v="16"/>
    <x v="0"/>
    <x v="0"/>
    <n v="1798.97"/>
    <n v="5127.0644999999995"/>
  </r>
  <r>
    <s v="T01602"/>
    <d v="2024-02-03T00:00:00"/>
    <s v="C154"/>
    <s v="P037"/>
    <s v="S003"/>
    <n v="1"/>
    <n v="0.05"/>
    <x v="3"/>
    <s v="Lisa Martinez"/>
    <x v="27"/>
    <x v="1"/>
    <x v="0"/>
    <n v="1952.65"/>
    <n v="1855.0174999999999"/>
  </r>
  <r>
    <s v="T01603"/>
    <d v="2024-03-26T00:00:00"/>
    <s v="C156"/>
    <s v="P014"/>
    <s v="S004"/>
    <n v="1"/>
    <n v="0"/>
    <x v="2"/>
    <s v="George Young"/>
    <x v="0"/>
    <x v="0"/>
    <x v="1"/>
    <n v="1342.75"/>
    <n v="1342.75"/>
  </r>
  <r>
    <s v="T01604"/>
    <d v="2025-06-04T00:00:00"/>
    <s v="C106"/>
    <s v="P011"/>
    <s v="S005"/>
    <n v="4"/>
    <n v="0.15"/>
    <x v="3"/>
    <s v="Kevin Flores"/>
    <x v="17"/>
    <x v="1"/>
    <x v="4"/>
    <n v="248.57"/>
    <n v="845.13799999999992"/>
  </r>
  <r>
    <s v="T01605"/>
    <d v="2025-05-13T00:00:00"/>
    <s v="C167"/>
    <s v="P030"/>
    <s v="S001"/>
    <n v="5"/>
    <n v="0"/>
    <x v="1"/>
    <s v="Kimberly Lin"/>
    <x v="1"/>
    <x v="0"/>
    <x v="3"/>
    <n v="29.24"/>
    <n v="146.19999999999999"/>
  </r>
  <r>
    <s v="T01606"/>
    <d v="2024-11-08T00:00:00"/>
    <s v="C173"/>
    <s v="P023"/>
    <s v="S001"/>
    <n v="3"/>
    <n v="0.15"/>
    <x v="0"/>
    <s v="Lisa Ruiz"/>
    <x v="20"/>
    <x v="0"/>
    <x v="3"/>
    <n v="1878.47"/>
    <n v="4790.0985000000001"/>
  </r>
  <r>
    <s v="T01607"/>
    <d v="2024-09-02T00:00:00"/>
    <s v="C100"/>
    <s v="P006"/>
    <s v="S002"/>
    <n v="1"/>
    <n v="0"/>
    <x v="1"/>
    <s v="Sean Hart"/>
    <x v="35"/>
    <x v="2"/>
    <x v="2"/>
    <n v="318.05"/>
    <n v="318.05"/>
  </r>
  <r>
    <s v="T01608"/>
    <d v="2025-04-02T00:00:00"/>
    <s v="C095"/>
    <s v="P035"/>
    <s v="S002"/>
    <n v="4"/>
    <n v="0"/>
    <x v="2"/>
    <s v="Kevin Snyder"/>
    <x v="7"/>
    <x v="1"/>
    <x v="2"/>
    <n v="1562.43"/>
    <n v="6249.72"/>
  </r>
  <r>
    <s v="T01609"/>
    <d v="2023-10-07T00:00:00"/>
    <s v="C191"/>
    <s v="P049"/>
    <s v="S001"/>
    <n v="3"/>
    <n v="0.1"/>
    <x v="2"/>
    <s v="Karen Quinn"/>
    <x v="29"/>
    <x v="0"/>
    <x v="3"/>
    <n v="388.26"/>
    <n v="1048.3019999999999"/>
  </r>
  <r>
    <s v="T01610"/>
    <d v="2025-01-14T00:00:00"/>
    <s v="C024"/>
    <s v="P027"/>
    <s v="S005"/>
    <n v="3"/>
    <n v="0.05"/>
    <x v="2"/>
    <s v="Molly Murray"/>
    <x v="34"/>
    <x v="1"/>
    <x v="4"/>
    <n v="1272.23"/>
    <n v="3625.8554999999997"/>
  </r>
  <r>
    <s v="T01611"/>
    <d v="2024-12-04T00:00:00"/>
    <s v="C127"/>
    <s v="P026"/>
    <s v="S003"/>
    <n v="1"/>
    <n v="0.1"/>
    <x v="1"/>
    <s v="John Allen"/>
    <x v="15"/>
    <x v="2"/>
    <x v="0"/>
    <n v="1015.76"/>
    <n v="914.18399999999997"/>
  </r>
  <r>
    <s v="T01612"/>
    <d v="2025-02-23T00:00:00"/>
    <s v="C181"/>
    <s v="P039"/>
    <s v="S005"/>
    <n v="2"/>
    <n v="0"/>
    <x v="2"/>
    <s v="Brittany Oneal"/>
    <x v="22"/>
    <x v="0"/>
    <x v="4"/>
    <n v="540.94000000000005"/>
    <n v="1081.8800000000001"/>
  </r>
  <r>
    <s v="T01613"/>
    <d v="2024-01-10T00:00:00"/>
    <s v="C164"/>
    <s v="P006"/>
    <s v="S004"/>
    <n v="1"/>
    <n v="0.1"/>
    <x v="1"/>
    <s v="Linda Vasquez"/>
    <x v="35"/>
    <x v="2"/>
    <x v="1"/>
    <n v="318.05"/>
    <n v="286.245"/>
  </r>
  <r>
    <s v="T01614"/>
    <d v="2023-09-20T00:00:00"/>
    <s v="C044"/>
    <s v="P033"/>
    <s v="S005"/>
    <n v="2"/>
    <n v="0.05"/>
    <x v="3"/>
    <s v="Parker Sparks"/>
    <x v="16"/>
    <x v="0"/>
    <x v="4"/>
    <n v="1798.97"/>
    <n v="3418.0429999999997"/>
  </r>
  <r>
    <s v="T01615"/>
    <d v="2023-11-20T00:00:00"/>
    <s v="C151"/>
    <s v="P032"/>
    <s v="S002"/>
    <n v="1"/>
    <n v="0.05"/>
    <x v="0"/>
    <s v="Dawn Fletcher"/>
    <x v="44"/>
    <x v="2"/>
    <x v="2"/>
    <n v="304.70999999999998"/>
    <n v="289.47449999999998"/>
  </r>
  <r>
    <s v="T01616"/>
    <d v="2025-05-30T00:00:00"/>
    <s v="C146"/>
    <s v="P002"/>
    <s v="S002"/>
    <n v="5"/>
    <n v="0.1"/>
    <x v="2"/>
    <s v="John Johnson"/>
    <x v="2"/>
    <x v="1"/>
    <x v="2"/>
    <n v="818.76"/>
    <n v="3684.42"/>
  </r>
  <r>
    <s v="T01617"/>
    <d v="2025-08-23T00:00:00"/>
    <s v="C174"/>
    <s v="P003"/>
    <s v="S001"/>
    <n v="5"/>
    <n v="0.1"/>
    <x v="1"/>
    <s v="Scott Howell"/>
    <x v="46"/>
    <x v="0"/>
    <x v="3"/>
    <n v="337.63"/>
    <n v="1519.335"/>
  </r>
  <r>
    <s v="T01618"/>
    <d v="2025-03-02T00:00:00"/>
    <s v="C001"/>
    <s v="P003"/>
    <s v="S004"/>
    <n v="1"/>
    <n v="0.1"/>
    <x v="1"/>
    <s v="Michael Davis"/>
    <x v="46"/>
    <x v="0"/>
    <x v="1"/>
    <n v="337.63"/>
    <n v="303.86700000000002"/>
  </r>
  <r>
    <s v="T01619"/>
    <d v="2024-01-21T00:00:00"/>
    <s v="C105"/>
    <s v="P033"/>
    <s v="S003"/>
    <n v="1"/>
    <n v="0.15"/>
    <x v="1"/>
    <s v="Kenneth Berg"/>
    <x v="16"/>
    <x v="0"/>
    <x v="0"/>
    <n v="1798.97"/>
    <n v="1529.1244999999999"/>
  </r>
  <r>
    <s v="T01620"/>
    <d v="2025-03-30T00:00:00"/>
    <s v="C093"/>
    <s v="P026"/>
    <s v="S005"/>
    <n v="1"/>
    <n v="0.05"/>
    <x v="3"/>
    <s v="Stanley Brown"/>
    <x v="15"/>
    <x v="2"/>
    <x v="4"/>
    <n v="1015.76"/>
    <n v="964.97199999999998"/>
  </r>
  <r>
    <s v="T01621"/>
    <d v="2025-08-11T00:00:00"/>
    <s v="C072"/>
    <s v="P025"/>
    <s v="S004"/>
    <n v="5"/>
    <n v="0.15"/>
    <x v="0"/>
    <s v="Eric Watkins"/>
    <x v="33"/>
    <x v="0"/>
    <x v="1"/>
    <n v="429.15"/>
    <n v="1823.8875"/>
  </r>
  <r>
    <s v="T01622"/>
    <d v="2025-03-03T00:00:00"/>
    <s v="C002"/>
    <s v="P035"/>
    <s v="S004"/>
    <n v="2"/>
    <n v="0.1"/>
    <x v="3"/>
    <s v="Michael Miller"/>
    <x v="7"/>
    <x v="1"/>
    <x v="1"/>
    <n v="1562.43"/>
    <n v="2812.3740000000003"/>
  </r>
  <r>
    <s v="T01623"/>
    <d v="2024-09-03T00:00:00"/>
    <s v="C147"/>
    <s v="P032"/>
    <s v="S001"/>
    <n v="2"/>
    <n v="0.15"/>
    <x v="3"/>
    <s v="Crystal Garrison"/>
    <x v="44"/>
    <x v="2"/>
    <x v="3"/>
    <n v="304.70999999999998"/>
    <n v="518.00699999999995"/>
  </r>
  <r>
    <s v="T01624"/>
    <d v="2025-08-05T00:00:00"/>
    <s v="C064"/>
    <s v="P011"/>
    <s v="S002"/>
    <n v="2"/>
    <n v="0.1"/>
    <x v="0"/>
    <s v="Amanda Hoover"/>
    <x v="17"/>
    <x v="1"/>
    <x v="2"/>
    <n v="248.57"/>
    <n v="447.42599999999999"/>
  </r>
  <r>
    <s v="T01625"/>
    <d v="2024-01-07T00:00:00"/>
    <s v="C017"/>
    <s v="P027"/>
    <s v="S001"/>
    <n v="1"/>
    <n v="0.15"/>
    <x v="1"/>
    <s v="Vanessa Anderson"/>
    <x v="34"/>
    <x v="1"/>
    <x v="3"/>
    <n v="1272.23"/>
    <n v="1081.3955000000001"/>
  </r>
  <r>
    <s v="T01626"/>
    <d v="2024-06-22T00:00:00"/>
    <s v="C007"/>
    <s v="P040"/>
    <s v="S005"/>
    <n v="3"/>
    <n v="0.1"/>
    <x v="2"/>
    <s v="Erin Walker"/>
    <x v="37"/>
    <x v="1"/>
    <x v="4"/>
    <n v="1745.61"/>
    <n v="4713.1469999999999"/>
  </r>
  <r>
    <s v="T01627"/>
    <d v="2024-04-10T00:00:00"/>
    <s v="C028"/>
    <s v="P029"/>
    <s v="S004"/>
    <n v="2"/>
    <n v="0.1"/>
    <x v="3"/>
    <s v="John Carr"/>
    <x v="47"/>
    <x v="0"/>
    <x v="1"/>
    <n v="1485.05"/>
    <n v="2673.09"/>
  </r>
  <r>
    <s v="T01628"/>
    <d v="2024-12-31T00:00:00"/>
    <s v="C086"/>
    <s v="P027"/>
    <s v="S005"/>
    <n v="2"/>
    <n v="0"/>
    <x v="1"/>
    <s v="Lawrence Hunter"/>
    <x v="34"/>
    <x v="1"/>
    <x v="4"/>
    <n v="1272.23"/>
    <n v="2544.46"/>
  </r>
  <r>
    <s v="T01629"/>
    <d v="2024-10-28T00:00:00"/>
    <s v="C196"/>
    <s v="P044"/>
    <s v="S001"/>
    <n v="4"/>
    <n v="0"/>
    <x v="3"/>
    <s v="James Noble"/>
    <x v="32"/>
    <x v="0"/>
    <x v="3"/>
    <n v="1286.55"/>
    <n v="5146.2"/>
  </r>
  <r>
    <s v="T01630"/>
    <d v="2025-05-08T00:00:00"/>
    <s v="C016"/>
    <s v="P042"/>
    <s v="S001"/>
    <n v="4"/>
    <n v="0.1"/>
    <x v="3"/>
    <s v="Miguel Johnson"/>
    <x v="10"/>
    <x v="0"/>
    <x v="3"/>
    <n v="453.62"/>
    <n v="1633.0320000000002"/>
  </r>
  <r>
    <s v="T01631"/>
    <d v="2025-07-31T00:00:00"/>
    <s v="C033"/>
    <s v="P007"/>
    <s v="S001"/>
    <n v="4"/>
    <n v="0"/>
    <x v="0"/>
    <s v="Jenny Beck"/>
    <x v="18"/>
    <x v="1"/>
    <x v="3"/>
    <n v="1474.12"/>
    <n v="5896.48"/>
  </r>
  <r>
    <s v="T01632"/>
    <d v="2024-08-10T00:00:00"/>
    <s v="C157"/>
    <s v="P008"/>
    <s v="S004"/>
    <n v="1"/>
    <n v="0"/>
    <x v="3"/>
    <s v="Connie Terry"/>
    <x v="48"/>
    <x v="0"/>
    <x v="1"/>
    <n v="109.78"/>
    <n v="109.78"/>
  </r>
  <r>
    <s v="T01633"/>
    <d v="2024-06-25T00:00:00"/>
    <s v="C144"/>
    <s v="P006"/>
    <s v="S001"/>
    <n v="3"/>
    <n v="0.15"/>
    <x v="1"/>
    <s v="Betty Johnson"/>
    <x v="35"/>
    <x v="2"/>
    <x v="3"/>
    <n v="318.05"/>
    <n v="811.02750000000003"/>
  </r>
  <r>
    <s v="T01634"/>
    <d v="2024-10-14T00:00:00"/>
    <s v="C025"/>
    <s v="P047"/>
    <s v="S005"/>
    <n v="4"/>
    <n v="0.05"/>
    <x v="3"/>
    <s v="Cheryl Gilbert"/>
    <x v="28"/>
    <x v="1"/>
    <x v="4"/>
    <n v="1197.18"/>
    <n v="4549.2839999999997"/>
  </r>
  <r>
    <s v="T01635"/>
    <d v="2024-07-27T00:00:00"/>
    <s v="C117"/>
    <s v="P024"/>
    <s v="S004"/>
    <n v="4"/>
    <n v="0.15"/>
    <x v="3"/>
    <s v="Timothy Beck"/>
    <x v="14"/>
    <x v="1"/>
    <x v="1"/>
    <n v="1487.41"/>
    <n v="5057.1940000000004"/>
  </r>
  <r>
    <s v="T01636"/>
    <d v="2024-09-09T00:00:00"/>
    <s v="C087"/>
    <s v="P033"/>
    <s v="S001"/>
    <n v="4"/>
    <n v="0.1"/>
    <x v="2"/>
    <s v="Laurie Mason"/>
    <x v="16"/>
    <x v="0"/>
    <x v="3"/>
    <n v="1798.97"/>
    <n v="6476.2920000000004"/>
  </r>
  <r>
    <s v="T01637"/>
    <d v="2024-05-26T00:00:00"/>
    <s v="C028"/>
    <s v="P016"/>
    <s v="S001"/>
    <n v="1"/>
    <n v="0"/>
    <x v="2"/>
    <s v="John Carr"/>
    <x v="13"/>
    <x v="0"/>
    <x v="3"/>
    <n v="1858.75"/>
    <n v="1858.75"/>
  </r>
  <r>
    <s v="T01638"/>
    <d v="2025-08-05T00:00:00"/>
    <s v="C147"/>
    <s v="P014"/>
    <s v="S002"/>
    <n v="5"/>
    <n v="0.1"/>
    <x v="0"/>
    <s v="Crystal Garrison"/>
    <x v="0"/>
    <x v="0"/>
    <x v="2"/>
    <n v="1342.75"/>
    <n v="6042.375"/>
  </r>
  <r>
    <s v="T01639"/>
    <d v="2024-07-25T00:00:00"/>
    <s v="C108"/>
    <s v="P005"/>
    <s v="S004"/>
    <n v="5"/>
    <n v="0.15"/>
    <x v="2"/>
    <s v="Samantha Hill"/>
    <x v="6"/>
    <x v="0"/>
    <x v="1"/>
    <n v="1396.22"/>
    <n v="5933.9350000000004"/>
  </r>
  <r>
    <s v="T01640"/>
    <d v="2025-09-07T00:00:00"/>
    <s v="C063"/>
    <s v="P011"/>
    <s v="S002"/>
    <n v="1"/>
    <n v="0"/>
    <x v="2"/>
    <s v="Michael Johnson"/>
    <x v="17"/>
    <x v="1"/>
    <x v="2"/>
    <n v="248.57"/>
    <n v="248.57"/>
  </r>
  <r>
    <s v="T01641"/>
    <d v="2023-09-18T00:00:00"/>
    <s v="C080"/>
    <s v="P046"/>
    <s v="S005"/>
    <n v="4"/>
    <n v="0.1"/>
    <x v="0"/>
    <s v="Grace Garcia"/>
    <x v="42"/>
    <x v="0"/>
    <x v="4"/>
    <n v="1165.3699999999999"/>
    <n v="4195.3319999999994"/>
  </r>
  <r>
    <s v="T01642"/>
    <d v="2025-08-22T00:00:00"/>
    <s v="C150"/>
    <s v="P047"/>
    <s v="S005"/>
    <n v="2"/>
    <n v="0.05"/>
    <x v="1"/>
    <s v="Francis Hernandez"/>
    <x v="28"/>
    <x v="1"/>
    <x v="4"/>
    <n v="1197.18"/>
    <n v="2274.6419999999998"/>
  </r>
  <r>
    <s v="T01643"/>
    <d v="2024-01-21T00:00:00"/>
    <s v="C080"/>
    <s v="P001"/>
    <s v="S005"/>
    <n v="3"/>
    <n v="0.1"/>
    <x v="0"/>
    <s v="Grace Garcia"/>
    <x v="31"/>
    <x v="1"/>
    <x v="4"/>
    <n v="1673.69"/>
    <n v="4518.9629999999997"/>
  </r>
  <r>
    <s v="T01644"/>
    <d v="2024-03-01T00:00:00"/>
    <s v="C003"/>
    <s v="P018"/>
    <s v="S005"/>
    <n v="5"/>
    <n v="0.05"/>
    <x v="3"/>
    <s v="Carol Hays"/>
    <x v="19"/>
    <x v="1"/>
    <x v="4"/>
    <n v="1079.8900000000001"/>
    <n v="5129.4775000000009"/>
  </r>
  <r>
    <s v="T01645"/>
    <d v="2023-10-22T00:00:00"/>
    <s v="C061"/>
    <s v="P037"/>
    <s v="S005"/>
    <n v="5"/>
    <n v="0"/>
    <x v="1"/>
    <s v="Heather Russell"/>
    <x v="27"/>
    <x v="1"/>
    <x v="4"/>
    <n v="1952.65"/>
    <n v="9763.25"/>
  </r>
  <r>
    <s v="T01646"/>
    <d v="2023-12-27T00:00:00"/>
    <s v="C089"/>
    <s v="P038"/>
    <s v="S002"/>
    <n v="2"/>
    <n v="0.05"/>
    <x v="3"/>
    <s v="William Warner"/>
    <x v="41"/>
    <x v="0"/>
    <x v="2"/>
    <n v="366.93"/>
    <n v="697.16700000000003"/>
  </r>
  <r>
    <s v="T01647"/>
    <d v="2023-11-20T00:00:00"/>
    <s v="C088"/>
    <s v="P026"/>
    <s v="S002"/>
    <n v="4"/>
    <n v="0.15"/>
    <x v="0"/>
    <s v="Brenda Costa"/>
    <x v="15"/>
    <x v="2"/>
    <x v="2"/>
    <n v="1015.76"/>
    <n v="3453.5839999999998"/>
  </r>
  <r>
    <s v="T01648"/>
    <d v="2025-05-22T00:00:00"/>
    <s v="C149"/>
    <s v="P019"/>
    <s v="S005"/>
    <n v="3"/>
    <n v="0.1"/>
    <x v="1"/>
    <s v="Melissa Torres"/>
    <x v="26"/>
    <x v="1"/>
    <x v="4"/>
    <n v="1762.92"/>
    <n v="4759.884"/>
  </r>
  <r>
    <s v="T01649"/>
    <d v="2025-02-12T00:00:00"/>
    <s v="C085"/>
    <s v="P040"/>
    <s v="S002"/>
    <n v="1"/>
    <n v="0.15"/>
    <x v="3"/>
    <s v="Juan Ramirez"/>
    <x v="37"/>
    <x v="1"/>
    <x v="2"/>
    <n v="1745.61"/>
    <n v="1483.7684999999999"/>
  </r>
  <r>
    <s v="T01650"/>
    <d v="2024-12-10T00:00:00"/>
    <s v="C127"/>
    <s v="P033"/>
    <s v="S002"/>
    <n v="1"/>
    <n v="0.05"/>
    <x v="2"/>
    <s v="John Allen"/>
    <x v="16"/>
    <x v="0"/>
    <x v="2"/>
    <n v="1798.97"/>
    <n v="1709.0214999999998"/>
  </r>
  <r>
    <s v="T01651"/>
    <d v="2024-08-18T00:00:00"/>
    <s v="C120"/>
    <s v="P021"/>
    <s v="S005"/>
    <n v="2"/>
    <n v="0.05"/>
    <x v="1"/>
    <s v="Curtis Faulkner"/>
    <x v="23"/>
    <x v="2"/>
    <x v="4"/>
    <n v="1227.24"/>
    <n v="2331.7559999999999"/>
  </r>
  <r>
    <s v="T01652"/>
    <d v="2024-03-30T00:00:00"/>
    <s v="C189"/>
    <s v="P004"/>
    <s v="S003"/>
    <n v="4"/>
    <n v="0.05"/>
    <x v="1"/>
    <s v="Steve Flynn"/>
    <x v="49"/>
    <x v="0"/>
    <x v="0"/>
    <n v="1853.77"/>
    <n v="7044.326"/>
  </r>
  <r>
    <s v="T01653"/>
    <d v="2025-08-08T00:00:00"/>
    <s v="C048"/>
    <s v="P036"/>
    <s v="S001"/>
    <n v="3"/>
    <n v="0"/>
    <x v="3"/>
    <s v="Alexis Crane"/>
    <x v="4"/>
    <x v="0"/>
    <x v="3"/>
    <n v="1501.46"/>
    <n v="4504.38"/>
  </r>
  <r>
    <s v="T01654"/>
    <d v="2024-06-05T00:00:00"/>
    <s v="C092"/>
    <s v="P006"/>
    <s v="S001"/>
    <n v="5"/>
    <n v="0"/>
    <x v="2"/>
    <s v="Lindsey Holder"/>
    <x v="35"/>
    <x v="2"/>
    <x v="3"/>
    <n v="318.05"/>
    <n v="1590.25"/>
  </r>
  <r>
    <s v="T01655"/>
    <d v="2025-01-08T00:00:00"/>
    <s v="C075"/>
    <s v="P003"/>
    <s v="S004"/>
    <n v="2"/>
    <n v="0.1"/>
    <x v="3"/>
    <s v="Seth Moore"/>
    <x v="46"/>
    <x v="0"/>
    <x v="1"/>
    <n v="337.63"/>
    <n v="607.73400000000004"/>
  </r>
  <r>
    <s v="T01656"/>
    <d v="2025-05-01T00:00:00"/>
    <s v="C008"/>
    <s v="P009"/>
    <s v="S002"/>
    <n v="2"/>
    <n v="0.1"/>
    <x v="2"/>
    <s v="Isaiah Williams"/>
    <x v="5"/>
    <x v="2"/>
    <x v="2"/>
    <n v="123.19"/>
    <n v="221.74199999999999"/>
  </r>
  <r>
    <s v="T01657"/>
    <d v="2023-12-01T00:00:00"/>
    <s v="C057"/>
    <s v="P048"/>
    <s v="S003"/>
    <n v="2"/>
    <n v="0.1"/>
    <x v="2"/>
    <s v="Julie Gibson"/>
    <x v="11"/>
    <x v="0"/>
    <x v="0"/>
    <n v="1216.3599999999999"/>
    <n v="2189.4479999999999"/>
  </r>
  <r>
    <s v="T01658"/>
    <d v="2025-01-03T00:00:00"/>
    <s v="C046"/>
    <s v="P018"/>
    <s v="S002"/>
    <n v="1"/>
    <n v="0.05"/>
    <x v="0"/>
    <s v="Dennis Poole"/>
    <x v="19"/>
    <x v="1"/>
    <x v="2"/>
    <n v="1079.8900000000001"/>
    <n v="1025.8955000000001"/>
  </r>
  <r>
    <s v="T01659"/>
    <d v="2024-02-09T00:00:00"/>
    <s v="C026"/>
    <s v="P001"/>
    <s v="S001"/>
    <n v="2"/>
    <n v="0.15"/>
    <x v="3"/>
    <s v="Justin Macdonald"/>
    <x v="31"/>
    <x v="1"/>
    <x v="3"/>
    <n v="1673.69"/>
    <n v="2845.2730000000001"/>
  </r>
  <r>
    <s v="T01660"/>
    <d v="2024-02-10T00:00:00"/>
    <s v="C087"/>
    <s v="P003"/>
    <s v="S002"/>
    <n v="3"/>
    <n v="0.15"/>
    <x v="2"/>
    <s v="Laurie Mason"/>
    <x v="46"/>
    <x v="0"/>
    <x v="2"/>
    <n v="337.63"/>
    <n v="860.95650000000001"/>
  </r>
  <r>
    <s v="T01661"/>
    <d v="2023-10-26T00:00:00"/>
    <s v="C095"/>
    <s v="P015"/>
    <s v="S003"/>
    <n v="2"/>
    <n v="0.15"/>
    <x v="3"/>
    <s v="Kevin Snyder"/>
    <x v="40"/>
    <x v="0"/>
    <x v="0"/>
    <n v="270.45"/>
    <n v="459.76499999999999"/>
  </r>
  <r>
    <s v="T01662"/>
    <d v="2024-11-07T00:00:00"/>
    <s v="C031"/>
    <s v="P031"/>
    <s v="S002"/>
    <n v="2"/>
    <n v="0.05"/>
    <x v="2"/>
    <s v="Ashley Gibson"/>
    <x v="39"/>
    <x v="2"/>
    <x v="2"/>
    <n v="1095.72"/>
    <n v="2081.8679999999999"/>
  </r>
  <r>
    <s v="T01663"/>
    <d v="2025-07-19T00:00:00"/>
    <s v="C137"/>
    <s v="P047"/>
    <s v="S004"/>
    <n v="3"/>
    <n v="0.1"/>
    <x v="1"/>
    <s v="Gary Lopez"/>
    <x v="28"/>
    <x v="1"/>
    <x v="1"/>
    <n v="1197.18"/>
    <n v="3232.386"/>
  </r>
  <r>
    <s v="T01664"/>
    <d v="2025-01-25T00:00:00"/>
    <s v="C163"/>
    <s v="P020"/>
    <s v="S002"/>
    <n v="1"/>
    <n v="0.05"/>
    <x v="0"/>
    <s v="Erin Rogers"/>
    <x v="24"/>
    <x v="0"/>
    <x v="2"/>
    <n v="323.92"/>
    <n v="307.72399999999999"/>
  </r>
  <r>
    <s v="T01665"/>
    <d v="2024-01-17T00:00:00"/>
    <s v="C039"/>
    <s v="P036"/>
    <s v="S003"/>
    <n v="2"/>
    <n v="0"/>
    <x v="0"/>
    <s v="Nancy Savage"/>
    <x v="4"/>
    <x v="0"/>
    <x v="0"/>
    <n v="1501.46"/>
    <n v="3002.92"/>
  </r>
  <r>
    <s v="T01666"/>
    <d v="2024-01-03T00:00:00"/>
    <s v="C033"/>
    <s v="P048"/>
    <s v="S005"/>
    <n v="5"/>
    <n v="0.15"/>
    <x v="2"/>
    <s v="Jenny Beck"/>
    <x v="11"/>
    <x v="0"/>
    <x v="4"/>
    <n v="1216.3599999999999"/>
    <n v="5169.5299999999988"/>
  </r>
  <r>
    <s v="T01667"/>
    <d v="2025-02-18T00:00:00"/>
    <s v="C187"/>
    <s v="P022"/>
    <s v="S001"/>
    <n v="4"/>
    <n v="0"/>
    <x v="2"/>
    <s v="Cynthia Cherry"/>
    <x v="9"/>
    <x v="2"/>
    <x v="3"/>
    <n v="25.57"/>
    <n v="102.28"/>
  </r>
  <r>
    <s v="T01668"/>
    <d v="2025-08-30T00:00:00"/>
    <s v="C131"/>
    <s v="P042"/>
    <s v="S004"/>
    <n v="5"/>
    <n v="0.1"/>
    <x v="1"/>
    <s v="Denise Jackson"/>
    <x v="10"/>
    <x v="0"/>
    <x v="1"/>
    <n v="453.62"/>
    <n v="2041.29"/>
  </r>
  <r>
    <s v="T01669"/>
    <d v="2025-01-26T00:00:00"/>
    <s v="C133"/>
    <s v="P002"/>
    <s v="S004"/>
    <n v="2"/>
    <n v="0.1"/>
    <x v="0"/>
    <s v="Yvette Roth"/>
    <x v="2"/>
    <x v="1"/>
    <x v="1"/>
    <n v="818.76"/>
    <n v="1473.768"/>
  </r>
  <r>
    <s v="T01670"/>
    <d v="2024-06-21T00:00:00"/>
    <s v="C135"/>
    <s v="P026"/>
    <s v="S004"/>
    <n v="4"/>
    <n v="0.15"/>
    <x v="0"/>
    <s v="Mario Cuevas"/>
    <x v="15"/>
    <x v="2"/>
    <x v="1"/>
    <n v="1015.76"/>
    <n v="3453.5839999999998"/>
  </r>
  <r>
    <s v="T01671"/>
    <d v="2023-12-13T00:00:00"/>
    <s v="C149"/>
    <s v="P043"/>
    <s v="S004"/>
    <n v="5"/>
    <n v="0"/>
    <x v="2"/>
    <s v="Melissa Torres"/>
    <x v="45"/>
    <x v="0"/>
    <x v="1"/>
    <n v="564.41999999999996"/>
    <n v="2822.1"/>
  </r>
  <r>
    <s v="T01672"/>
    <d v="2024-07-18T00:00:00"/>
    <s v="C057"/>
    <s v="P003"/>
    <s v="S002"/>
    <n v="4"/>
    <n v="0.05"/>
    <x v="1"/>
    <s v="Julie Gibson"/>
    <x v="46"/>
    <x v="0"/>
    <x v="2"/>
    <n v="337.63"/>
    <n v="1282.9939999999999"/>
  </r>
  <r>
    <s v="T01673"/>
    <d v="2024-05-04T00:00:00"/>
    <s v="C056"/>
    <s v="P009"/>
    <s v="S003"/>
    <n v="4"/>
    <n v="0.15"/>
    <x v="2"/>
    <s v="Carl Wyatt"/>
    <x v="5"/>
    <x v="2"/>
    <x v="0"/>
    <n v="123.19"/>
    <n v="418.846"/>
  </r>
  <r>
    <s v="T01674"/>
    <d v="2024-12-05T00:00:00"/>
    <s v="C096"/>
    <s v="P021"/>
    <s v="S003"/>
    <n v="5"/>
    <n v="0"/>
    <x v="2"/>
    <s v="Eric King"/>
    <x v="23"/>
    <x v="2"/>
    <x v="0"/>
    <n v="1227.24"/>
    <n v="6136.2"/>
  </r>
  <r>
    <s v="T01675"/>
    <d v="2024-05-19T00:00:00"/>
    <s v="C193"/>
    <s v="P021"/>
    <s v="S001"/>
    <n v="3"/>
    <n v="0.15"/>
    <x v="0"/>
    <s v="Donald Meza"/>
    <x v="23"/>
    <x v="2"/>
    <x v="3"/>
    <n v="1227.24"/>
    <n v="3129.462"/>
  </r>
  <r>
    <s v="T01676"/>
    <d v="2025-01-28T00:00:00"/>
    <s v="C059"/>
    <s v="P038"/>
    <s v="S005"/>
    <n v="1"/>
    <n v="0.15"/>
    <x v="0"/>
    <s v="Scott Wyatt"/>
    <x v="41"/>
    <x v="0"/>
    <x v="4"/>
    <n v="366.93"/>
    <n v="311.89049999999997"/>
  </r>
  <r>
    <s v="T01677"/>
    <d v="2023-11-15T00:00:00"/>
    <s v="C110"/>
    <s v="P037"/>
    <s v="S004"/>
    <n v="4"/>
    <n v="0.15"/>
    <x v="1"/>
    <s v="Travis Peters"/>
    <x v="27"/>
    <x v="1"/>
    <x v="1"/>
    <n v="1952.65"/>
    <n v="6639.01"/>
  </r>
  <r>
    <s v="T01678"/>
    <d v="2024-02-06T00:00:00"/>
    <s v="C095"/>
    <s v="P050"/>
    <s v="S004"/>
    <n v="3"/>
    <n v="0.1"/>
    <x v="1"/>
    <s v="Kevin Snyder"/>
    <x v="3"/>
    <x v="0"/>
    <x v="1"/>
    <n v="1044.6400000000001"/>
    <n v="2820.5280000000002"/>
  </r>
  <r>
    <s v="T01679"/>
    <d v="2024-08-09T00:00:00"/>
    <s v="C007"/>
    <s v="P050"/>
    <s v="S002"/>
    <n v="4"/>
    <n v="0.05"/>
    <x v="0"/>
    <s v="Erin Walker"/>
    <x v="3"/>
    <x v="0"/>
    <x v="2"/>
    <n v="1044.6400000000001"/>
    <n v="3969.6320000000001"/>
  </r>
  <r>
    <s v="T01680"/>
    <d v="2023-09-15T00:00:00"/>
    <s v="C166"/>
    <s v="P044"/>
    <s v="S001"/>
    <n v="3"/>
    <n v="0"/>
    <x v="0"/>
    <s v="Meagan Ali"/>
    <x v="32"/>
    <x v="0"/>
    <x v="3"/>
    <n v="1286.55"/>
    <n v="3859.6499999999996"/>
  </r>
  <r>
    <s v="T01681"/>
    <d v="2024-06-22T00:00:00"/>
    <s v="C129"/>
    <s v="P029"/>
    <s v="S005"/>
    <n v="5"/>
    <n v="0"/>
    <x v="0"/>
    <s v="Gary Taylor"/>
    <x v="47"/>
    <x v="0"/>
    <x v="4"/>
    <n v="1485.05"/>
    <n v="7425.25"/>
  </r>
  <r>
    <s v="T01682"/>
    <d v="2024-09-27T00:00:00"/>
    <s v="C059"/>
    <s v="P005"/>
    <s v="S001"/>
    <n v="1"/>
    <n v="0"/>
    <x v="0"/>
    <s v="Scott Wyatt"/>
    <x v="6"/>
    <x v="0"/>
    <x v="3"/>
    <n v="1396.22"/>
    <n v="1396.22"/>
  </r>
  <r>
    <s v="T01683"/>
    <d v="2023-11-22T00:00:00"/>
    <s v="C010"/>
    <s v="P039"/>
    <s v="S005"/>
    <n v="2"/>
    <n v="0.1"/>
    <x v="2"/>
    <s v="Catherine Rice"/>
    <x v="22"/>
    <x v="0"/>
    <x v="4"/>
    <n v="540.94000000000005"/>
    <n v="973.69200000000012"/>
  </r>
  <r>
    <s v="T01684"/>
    <d v="2024-11-07T00:00:00"/>
    <s v="C173"/>
    <s v="P012"/>
    <s v="S003"/>
    <n v="3"/>
    <n v="0.1"/>
    <x v="0"/>
    <s v="Lisa Ruiz"/>
    <x v="38"/>
    <x v="1"/>
    <x v="0"/>
    <n v="1193.0899999999999"/>
    <n v="3221.3429999999998"/>
  </r>
  <r>
    <s v="T01685"/>
    <d v="2024-08-11T00:00:00"/>
    <s v="C049"/>
    <s v="P035"/>
    <s v="S005"/>
    <n v="2"/>
    <n v="0.1"/>
    <x v="3"/>
    <s v="Antonio Hamilton"/>
    <x v="7"/>
    <x v="1"/>
    <x v="4"/>
    <n v="1562.43"/>
    <n v="2812.3740000000003"/>
  </r>
  <r>
    <s v="T01686"/>
    <d v="2023-10-01T00:00:00"/>
    <s v="C198"/>
    <s v="P036"/>
    <s v="S003"/>
    <n v="3"/>
    <n v="0.1"/>
    <x v="1"/>
    <s v="Jessica Mullins"/>
    <x v="4"/>
    <x v="0"/>
    <x v="0"/>
    <n v="1501.46"/>
    <n v="4053.942"/>
  </r>
  <r>
    <s v="T01687"/>
    <d v="2024-06-20T00:00:00"/>
    <s v="C104"/>
    <s v="P036"/>
    <s v="S005"/>
    <n v="1"/>
    <n v="0.15"/>
    <x v="2"/>
    <s v="Brenda Dean"/>
    <x v="4"/>
    <x v="0"/>
    <x v="4"/>
    <n v="1501.46"/>
    <n v="1276.241"/>
  </r>
  <r>
    <s v="T01688"/>
    <d v="2023-10-05T00:00:00"/>
    <s v="C102"/>
    <s v="P027"/>
    <s v="S002"/>
    <n v="2"/>
    <n v="0.05"/>
    <x v="1"/>
    <s v="Carolyn Perez"/>
    <x v="34"/>
    <x v="1"/>
    <x v="2"/>
    <n v="1272.23"/>
    <n v="2417.2370000000001"/>
  </r>
  <r>
    <s v="T01689"/>
    <d v="2025-05-04T00:00:00"/>
    <s v="C060"/>
    <s v="P009"/>
    <s v="S005"/>
    <n v="5"/>
    <n v="0.15"/>
    <x v="1"/>
    <s v="Anthony Conway"/>
    <x v="5"/>
    <x v="2"/>
    <x v="4"/>
    <n v="123.19"/>
    <n v="523.5575"/>
  </r>
  <r>
    <s v="T01690"/>
    <d v="2025-03-05T00:00:00"/>
    <s v="C088"/>
    <s v="P008"/>
    <s v="S001"/>
    <n v="3"/>
    <n v="0.05"/>
    <x v="1"/>
    <s v="Brenda Costa"/>
    <x v="48"/>
    <x v="0"/>
    <x v="3"/>
    <n v="109.78"/>
    <n v="312.87299999999999"/>
  </r>
  <r>
    <s v="T01691"/>
    <d v="2024-04-26T00:00:00"/>
    <s v="C198"/>
    <s v="P022"/>
    <s v="S004"/>
    <n v="2"/>
    <n v="0.15"/>
    <x v="1"/>
    <s v="Jessica Mullins"/>
    <x v="9"/>
    <x v="2"/>
    <x v="1"/>
    <n v="25.57"/>
    <n v="43.469000000000001"/>
  </r>
  <r>
    <s v="T01692"/>
    <d v="2023-12-05T00:00:00"/>
    <s v="C143"/>
    <s v="P046"/>
    <s v="S001"/>
    <n v="3"/>
    <n v="0.05"/>
    <x v="2"/>
    <s v="Cynthia Carlson"/>
    <x v="42"/>
    <x v="0"/>
    <x v="3"/>
    <n v="1165.3699999999999"/>
    <n v="3321.3044999999997"/>
  </r>
  <r>
    <s v="T01693"/>
    <d v="2024-10-03T00:00:00"/>
    <s v="C079"/>
    <s v="P040"/>
    <s v="S001"/>
    <n v="4"/>
    <n v="0.1"/>
    <x v="0"/>
    <s v="Donald Marsh"/>
    <x v="37"/>
    <x v="1"/>
    <x v="3"/>
    <n v="1745.61"/>
    <n v="6284.1959999999999"/>
  </r>
  <r>
    <s v="T01694"/>
    <d v="2024-07-03T00:00:00"/>
    <s v="C058"/>
    <s v="P033"/>
    <s v="S004"/>
    <n v="4"/>
    <n v="0.15"/>
    <x v="0"/>
    <s v="Lawrence Stewart"/>
    <x v="16"/>
    <x v="0"/>
    <x v="1"/>
    <n v="1798.97"/>
    <n v="6116.4979999999996"/>
  </r>
  <r>
    <s v="T01695"/>
    <d v="2024-07-06T00:00:00"/>
    <s v="C084"/>
    <s v="P010"/>
    <s v="S005"/>
    <n v="1"/>
    <n v="0"/>
    <x v="2"/>
    <s v="Amanda Lee"/>
    <x v="36"/>
    <x v="1"/>
    <x v="4"/>
    <n v="1194.1199999999999"/>
    <n v="1194.1199999999999"/>
  </r>
  <r>
    <s v="T01696"/>
    <d v="2024-10-09T00:00:00"/>
    <s v="C040"/>
    <s v="P024"/>
    <s v="S003"/>
    <n v="5"/>
    <n v="0.15"/>
    <x v="1"/>
    <s v="Scott Powell"/>
    <x v="14"/>
    <x v="1"/>
    <x v="0"/>
    <n v="1487.41"/>
    <n v="6321.4925000000003"/>
  </r>
  <r>
    <s v="T01697"/>
    <d v="2024-03-09T00:00:00"/>
    <s v="C053"/>
    <s v="P003"/>
    <s v="S004"/>
    <n v="1"/>
    <n v="0.15"/>
    <x v="2"/>
    <s v="Felicia Morgan"/>
    <x v="46"/>
    <x v="0"/>
    <x v="1"/>
    <n v="337.63"/>
    <n v="286.9855"/>
  </r>
  <r>
    <s v="T01698"/>
    <d v="2024-08-17T00:00:00"/>
    <s v="C122"/>
    <s v="P036"/>
    <s v="S001"/>
    <n v="3"/>
    <n v="0.15"/>
    <x v="0"/>
    <s v="Amy Smith"/>
    <x v="4"/>
    <x v="0"/>
    <x v="3"/>
    <n v="1501.46"/>
    <n v="3828.723"/>
  </r>
  <r>
    <s v="T01699"/>
    <d v="2025-01-19T00:00:00"/>
    <s v="C024"/>
    <s v="P034"/>
    <s v="S002"/>
    <n v="1"/>
    <n v="0.05"/>
    <x v="3"/>
    <s v="Molly Murray"/>
    <x v="12"/>
    <x v="1"/>
    <x v="2"/>
    <n v="428.05"/>
    <n v="406.64749999999998"/>
  </r>
  <r>
    <s v="T01700"/>
    <d v="2024-05-09T00:00:00"/>
    <s v="C177"/>
    <s v="P047"/>
    <s v="S005"/>
    <n v="4"/>
    <n v="0"/>
    <x v="2"/>
    <s v="Anthony Gould"/>
    <x v="28"/>
    <x v="1"/>
    <x v="4"/>
    <n v="1197.18"/>
    <n v="4788.72"/>
  </r>
  <r>
    <s v="T01701"/>
    <d v="2025-03-25T00:00:00"/>
    <s v="C051"/>
    <s v="P032"/>
    <s v="S001"/>
    <n v="4"/>
    <n v="0.1"/>
    <x v="2"/>
    <s v="Madison Sellers"/>
    <x v="44"/>
    <x v="2"/>
    <x v="3"/>
    <n v="304.70999999999998"/>
    <n v="1096.9559999999999"/>
  </r>
  <r>
    <s v="T01702"/>
    <d v="2024-05-23T00:00:00"/>
    <s v="C060"/>
    <s v="P041"/>
    <s v="S003"/>
    <n v="5"/>
    <n v="0"/>
    <x v="1"/>
    <s v="Anthony Conway"/>
    <x v="30"/>
    <x v="1"/>
    <x v="0"/>
    <n v="1635.01"/>
    <n v="8175.05"/>
  </r>
  <r>
    <s v="T01703"/>
    <d v="2025-01-22T00:00:00"/>
    <s v="C015"/>
    <s v="P036"/>
    <s v="S003"/>
    <n v="5"/>
    <n v="0"/>
    <x v="2"/>
    <s v="Matthew Molina"/>
    <x v="4"/>
    <x v="0"/>
    <x v="0"/>
    <n v="1501.46"/>
    <n v="7507.3"/>
  </r>
  <r>
    <s v="T01704"/>
    <d v="2023-11-05T00:00:00"/>
    <s v="C084"/>
    <s v="P046"/>
    <s v="S004"/>
    <n v="4"/>
    <n v="0.05"/>
    <x v="3"/>
    <s v="Amanda Lee"/>
    <x v="42"/>
    <x v="0"/>
    <x v="1"/>
    <n v="1165.3699999999999"/>
    <n v="4428.405999999999"/>
  </r>
  <r>
    <s v="T01705"/>
    <d v="2023-12-09T00:00:00"/>
    <s v="C034"/>
    <s v="P032"/>
    <s v="S005"/>
    <n v="4"/>
    <n v="0.15"/>
    <x v="3"/>
    <s v="Kari Miller"/>
    <x v="44"/>
    <x v="2"/>
    <x v="4"/>
    <n v="304.70999999999998"/>
    <n v="1036.0139999999999"/>
  </r>
  <r>
    <s v="T01706"/>
    <d v="2025-05-28T00:00:00"/>
    <s v="C100"/>
    <s v="P001"/>
    <s v="S002"/>
    <n v="2"/>
    <n v="0.05"/>
    <x v="0"/>
    <s v="Sean Hart"/>
    <x v="31"/>
    <x v="1"/>
    <x v="2"/>
    <n v="1673.69"/>
    <n v="3180.011"/>
  </r>
  <r>
    <s v="T01707"/>
    <d v="2025-03-05T00:00:00"/>
    <s v="C111"/>
    <s v="P048"/>
    <s v="S004"/>
    <n v="2"/>
    <n v="0.1"/>
    <x v="2"/>
    <s v="Dylan Booker"/>
    <x v="11"/>
    <x v="0"/>
    <x v="1"/>
    <n v="1216.3599999999999"/>
    <n v="2189.4479999999999"/>
  </r>
  <r>
    <s v="T01708"/>
    <d v="2025-07-08T00:00:00"/>
    <s v="C129"/>
    <s v="P041"/>
    <s v="S004"/>
    <n v="3"/>
    <n v="0.05"/>
    <x v="3"/>
    <s v="Gary Taylor"/>
    <x v="30"/>
    <x v="1"/>
    <x v="1"/>
    <n v="1635.01"/>
    <n v="4659.7784999999994"/>
  </r>
  <r>
    <s v="T01709"/>
    <d v="2024-10-10T00:00:00"/>
    <s v="C037"/>
    <s v="P016"/>
    <s v="S004"/>
    <n v="1"/>
    <n v="0.15"/>
    <x v="2"/>
    <s v="Miranda Nelson"/>
    <x v="13"/>
    <x v="0"/>
    <x v="1"/>
    <n v="1858.75"/>
    <n v="1579.9375"/>
  </r>
  <r>
    <s v="T01710"/>
    <d v="2025-02-12T00:00:00"/>
    <s v="C135"/>
    <s v="P025"/>
    <s v="S003"/>
    <n v="5"/>
    <n v="0.15"/>
    <x v="1"/>
    <s v="Mario Cuevas"/>
    <x v="33"/>
    <x v="0"/>
    <x v="0"/>
    <n v="429.15"/>
    <n v="1823.8875"/>
  </r>
  <r>
    <s v="T01711"/>
    <d v="2023-09-17T00:00:00"/>
    <s v="C119"/>
    <s v="P028"/>
    <s v="S005"/>
    <n v="1"/>
    <n v="0"/>
    <x v="0"/>
    <s v="Jason Lloyd"/>
    <x v="25"/>
    <x v="1"/>
    <x v="4"/>
    <n v="673.78"/>
    <n v="673.78"/>
  </r>
  <r>
    <s v="T01712"/>
    <d v="2024-11-15T00:00:00"/>
    <s v="C166"/>
    <s v="P006"/>
    <s v="S004"/>
    <n v="3"/>
    <n v="0.1"/>
    <x v="1"/>
    <s v="Meagan Ali"/>
    <x v="35"/>
    <x v="2"/>
    <x v="1"/>
    <n v="318.05"/>
    <n v="858.73500000000013"/>
  </r>
  <r>
    <s v="T01713"/>
    <d v="2024-10-04T00:00:00"/>
    <s v="C157"/>
    <s v="P027"/>
    <s v="S002"/>
    <n v="4"/>
    <n v="0.05"/>
    <x v="2"/>
    <s v="Connie Terry"/>
    <x v="34"/>
    <x v="1"/>
    <x v="2"/>
    <n v="1272.23"/>
    <n v="4834.4740000000002"/>
  </r>
  <r>
    <s v="T01714"/>
    <d v="2023-10-11T00:00:00"/>
    <s v="C159"/>
    <s v="P008"/>
    <s v="S004"/>
    <n v="4"/>
    <n v="0.15"/>
    <x v="2"/>
    <s v="Thomas Chung"/>
    <x v="48"/>
    <x v="0"/>
    <x v="1"/>
    <n v="109.78"/>
    <n v="373.25200000000001"/>
  </r>
  <r>
    <s v="T01715"/>
    <d v="2025-08-09T00:00:00"/>
    <s v="C179"/>
    <s v="P023"/>
    <s v="S005"/>
    <n v="1"/>
    <n v="0.15"/>
    <x v="3"/>
    <s v="Dennis Wallace"/>
    <x v="20"/>
    <x v="0"/>
    <x v="4"/>
    <n v="1878.47"/>
    <n v="1596.6994999999999"/>
  </r>
  <r>
    <s v="T01716"/>
    <d v="2024-07-04T00:00:00"/>
    <s v="C062"/>
    <s v="P009"/>
    <s v="S002"/>
    <n v="3"/>
    <n v="0.1"/>
    <x v="3"/>
    <s v="Susan Salinas"/>
    <x v="5"/>
    <x v="2"/>
    <x v="2"/>
    <n v="123.19"/>
    <n v="332.613"/>
  </r>
  <r>
    <s v="T01717"/>
    <d v="2024-01-19T00:00:00"/>
    <s v="C179"/>
    <s v="P003"/>
    <s v="S002"/>
    <n v="4"/>
    <n v="0.15"/>
    <x v="3"/>
    <s v="Dennis Wallace"/>
    <x v="46"/>
    <x v="0"/>
    <x v="2"/>
    <n v="337.63"/>
    <n v="1147.942"/>
  </r>
  <r>
    <s v="T01718"/>
    <d v="2023-09-20T00:00:00"/>
    <s v="C095"/>
    <s v="P050"/>
    <s v="S001"/>
    <n v="1"/>
    <n v="0.1"/>
    <x v="1"/>
    <s v="Kevin Snyder"/>
    <x v="3"/>
    <x v="0"/>
    <x v="3"/>
    <n v="1044.6400000000001"/>
    <n v="940.17600000000016"/>
  </r>
  <r>
    <s v="T01719"/>
    <d v="2024-09-20T00:00:00"/>
    <s v="C116"/>
    <s v="P022"/>
    <s v="S002"/>
    <n v="3"/>
    <n v="0.05"/>
    <x v="3"/>
    <s v="Jamie Webb"/>
    <x v="9"/>
    <x v="2"/>
    <x v="2"/>
    <n v="25.57"/>
    <n v="72.874499999999998"/>
  </r>
  <r>
    <s v="T01720"/>
    <d v="2025-08-24T00:00:00"/>
    <s v="C119"/>
    <s v="P037"/>
    <s v="S001"/>
    <n v="1"/>
    <n v="0.15"/>
    <x v="1"/>
    <s v="Jason Lloyd"/>
    <x v="27"/>
    <x v="1"/>
    <x v="3"/>
    <n v="1952.65"/>
    <n v="1659.7525000000001"/>
  </r>
  <r>
    <s v="T01721"/>
    <d v="2024-02-15T00:00:00"/>
    <s v="C088"/>
    <s v="P042"/>
    <s v="S004"/>
    <n v="2"/>
    <n v="0.15"/>
    <x v="3"/>
    <s v="Brenda Costa"/>
    <x v="10"/>
    <x v="0"/>
    <x v="1"/>
    <n v="453.62"/>
    <n v="771.154"/>
  </r>
  <r>
    <s v="T01722"/>
    <d v="2024-09-27T00:00:00"/>
    <s v="C003"/>
    <s v="P045"/>
    <s v="S003"/>
    <n v="1"/>
    <n v="0.05"/>
    <x v="0"/>
    <s v="Carol Hays"/>
    <x v="8"/>
    <x v="2"/>
    <x v="0"/>
    <n v="1879.08"/>
    <n v="1785.1259999999997"/>
  </r>
  <r>
    <s v="T01723"/>
    <d v="2024-05-26T00:00:00"/>
    <s v="C172"/>
    <s v="P025"/>
    <s v="S004"/>
    <n v="4"/>
    <n v="0.15"/>
    <x v="3"/>
    <s v="Michelle Smith"/>
    <x v="33"/>
    <x v="0"/>
    <x v="1"/>
    <n v="429.15"/>
    <n v="1459.11"/>
  </r>
  <r>
    <s v="T01724"/>
    <d v="2025-08-10T00:00:00"/>
    <s v="C022"/>
    <s v="P013"/>
    <s v="S005"/>
    <n v="2"/>
    <n v="0.15"/>
    <x v="2"/>
    <s v="Megan Velasquez"/>
    <x v="21"/>
    <x v="0"/>
    <x v="4"/>
    <n v="1134.8"/>
    <n v="1929.1599999999999"/>
  </r>
  <r>
    <s v="T01725"/>
    <d v="2024-06-26T00:00:00"/>
    <s v="C121"/>
    <s v="P015"/>
    <s v="S003"/>
    <n v="2"/>
    <n v="0.05"/>
    <x v="3"/>
    <s v="John Bell"/>
    <x v="40"/>
    <x v="0"/>
    <x v="0"/>
    <n v="270.45"/>
    <n v="513.8549999999999"/>
  </r>
  <r>
    <s v="T01726"/>
    <d v="2023-09-13T00:00:00"/>
    <s v="C156"/>
    <s v="P040"/>
    <s v="S001"/>
    <n v="2"/>
    <n v="0.1"/>
    <x v="3"/>
    <s v="George Young"/>
    <x v="37"/>
    <x v="1"/>
    <x v="3"/>
    <n v="1745.61"/>
    <n v="3142.098"/>
  </r>
  <r>
    <s v="T01727"/>
    <d v="2025-05-18T00:00:00"/>
    <s v="C137"/>
    <s v="P036"/>
    <s v="S004"/>
    <n v="2"/>
    <n v="0"/>
    <x v="3"/>
    <s v="Gary Lopez"/>
    <x v="4"/>
    <x v="0"/>
    <x v="1"/>
    <n v="1501.46"/>
    <n v="3002.92"/>
  </r>
  <r>
    <s v="T01728"/>
    <d v="2024-05-19T00:00:00"/>
    <s v="C174"/>
    <s v="P018"/>
    <s v="S003"/>
    <n v="2"/>
    <n v="0.15"/>
    <x v="0"/>
    <s v="Scott Howell"/>
    <x v="19"/>
    <x v="1"/>
    <x v="0"/>
    <n v="1079.8900000000001"/>
    <n v="1835.8130000000001"/>
  </r>
  <r>
    <s v="T01729"/>
    <d v="2025-08-24T00:00:00"/>
    <s v="C046"/>
    <s v="P033"/>
    <s v="S002"/>
    <n v="1"/>
    <n v="0.05"/>
    <x v="1"/>
    <s v="Dennis Poole"/>
    <x v="16"/>
    <x v="0"/>
    <x v="2"/>
    <n v="1798.97"/>
    <n v="1709.0214999999998"/>
  </r>
  <r>
    <s v="T01730"/>
    <d v="2025-08-22T00:00:00"/>
    <s v="C179"/>
    <s v="P002"/>
    <s v="S001"/>
    <n v="5"/>
    <n v="0"/>
    <x v="1"/>
    <s v="Dennis Wallace"/>
    <x v="2"/>
    <x v="1"/>
    <x v="3"/>
    <n v="818.76"/>
    <n v="4093.8"/>
  </r>
  <r>
    <s v="T01731"/>
    <d v="2025-06-08T00:00:00"/>
    <s v="C177"/>
    <s v="P011"/>
    <s v="S003"/>
    <n v="4"/>
    <n v="0"/>
    <x v="3"/>
    <s v="Anthony Gould"/>
    <x v="17"/>
    <x v="1"/>
    <x v="0"/>
    <n v="248.57"/>
    <n v="994.28"/>
  </r>
  <r>
    <s v="T01732"/>
    <d v="2024-12-28T00:00:00"/>
    <s v="C013"/>
    <s v="P034"/>
    <s v="S004"/>
    <n v="2"/>
    <n v="0.05"/>
    <x v="0"/>
    <s v="Robert Anderson"/>
    <x v="12"/>
    <x v="1"/>
    <x v="1"/>
    <n v="428.05"/>
    <n v="813.29499999999996"/>
  </r>
  <r>
    <s v="T01733"/>
    <d v="2024-09-15T00:00:00"/>
    <s v="C062"/>
    <s v="P046"/>
    <s v="S002"/>
    <n v="1"/>
    <n v="0"/>
    <x v="1"/>
    <s v="Susan Salinas"/>
    <x v="42"/>
    <x v="0"/>
    <x v="2"/>
    <n v="1165.3699999999999"/>
    <n v="1165.3699999999999"/>
  </r>
  <r>
    <s v="T01734"/>
    <d v="2024-04-02T00:00:00"/>
    <s v="C008"/>
    <s v="P032"/>
    <s v="S001"/>
    <n v="3"/>
    <n v="0.05"/>
    <x v="3"/>
    <s v="Isaiah Williams"/>
    <x v="44"/>
    <x v="2"/>
    <x v="3"/>
    <n v="304.70999999999998"/>
    <n v="868.42349999999988"/>
  </r>
  <r>
    <s v="T01735"/>
    <d v="2025-08-11T00:00:00"/>
    <s v="C057"/>
    <s v="P018"/>
    <s v="S001"/>
    <n v="2"/>
    <n v="0.05"/>
    <x v="3"/>
    <s v="Julie Gibson"/>
    <x v="19"/>
    <x v="1"/>
    <x v="3"/>
    <n v="1079.8900000000001"/>
    <n v="2051.7910000000002"/>
  </r>
  <r>
    <s v="T01736"/>
    <d v="2024-08-05T00:00:00"/>
    <s v="C107"/>
    <s v="P050"/>
    <s v="S005"/>
    <n v="1"/>
    <n v="0.1"/>
    <x v="0"/>
    <s v="Victoria Hansen"/>
    <x v="3"/>
    <x v="0"/>
    <x v="4"/>
    <n v="1044.6400000000001"/>
    <n v="940.17600000000016"/>
  </r>
  <r>
    <s v="T01737"/>
    <d v="2024-07-29T00:00:00"/>
    <s v="C144"/>
    <s v="P006"/>
    <s v="S002"/>
    <n v="5"/>
    <n v="0.05"/>
    <x v="1"/>
    <s v="Betty Johnson"/>
    <x v="35"/>
    <x v="2"/>
    <x v="2"/>
    <n v="318.05"/>
    <n v="1510.7375"/>
  </r>
  <r>
    <s v="T01738"/>
    <d v="2025-07-28T00:00:00"/>
    <s v="C110"/>
    <s v="P010"/>
    <s v="S001"/>
    <n v="2"/>
    <n v="0.05"/>
    <x v="3"/>
    <s v="Travis Peters"/>
    <x v="36"/>
    <x v="1"/>
    <x v="3"/>
    <n v="1194.1199999999999"/>
    <n v="2268.8279999999995"/>
  </r>
  <r>
    <s v="T01739"/>
    <d v="2023-09-21T00:00:00"/>
    <s v="C092"/>
    <s v="P033"/>
    <s v="S003"/>
    <n v="2"/>
    <n v="0"/>
    <x v="1"/>
    <s v="Lindsey Holder"/>
    <x v="16"/>
    <x v="0"/>
    <x v="0"/>
    <n v="1798.97"/>
    <n v="3597.94"/>
  </r>
  <r>
    <s v="T01740"/>
    <d v="2025-09-08T00:00:00"/>
    <s v="C168"/>
    <s v="P050"/>
    <s v="S003"/>
    <n v="1"/>
    <n v="0.15"/>
    <x v="2"/>
    <s v="Richard Jones"/>
    <x v="3"/>
    <x v="0"/>
    <x v="0"/>
    <n v="1044.6400000000001"/>
    <n v="887.94400000000007"/>
  </r>
  <r>
    <s v="T01741"/>
    <d v="2024-06-29T00:00:00"/>
    <s v="C118"/>
    <s v="P013"/>
    <s v="S002"/>
    <n v="1"/>
    <n v="0.1"/>
    <x v="0"/>
    <s v="Gina Bradford"/>
    <x v="21"/>
    <x v="0"/>
    <x v="2"/>
    <n v="1134.8"/>
    <n v="1021.3199999999999"/>
  </r>
  <r>
    <s v="T01742"/>
    <d v="2024-04-24T00:00:00"/>
    <s v="C012"/>
    <s v="P004"/>
    <s v="S001"/>
    <n v="2"/>
    <n v="0.15"/>
    <x v="0"/>
    <s v="Dale Perry"/>
    <x v="49"/>
    <x v="0"/>
    <x v="3"/>
    <n v="1853.77"/>
    <n v="3151.4090000000001"/>
  </r>
  <r>
    <s v="T01743"/>
    <d v="2024-07-08T00:00:00"/>
    <s v="C197"/>
    <s v="P024"/>
    <s v="S005"/>
    <n v="4"/>
    <n v="0"/>
    <x v="2"/>
    <s v="Matthew Dixon"/>
    <x v="14"/>
    <x v="1"/>
    <x v="4"/>
    <n v="1487.41"/>
    <n v="5949.64"/>
  </r>
  <r>
    <s v="T01744"/>
    <d v="2024-08-19T00:00:00"/>
    <s v="C065"/>
    <s v="P019"/>
    <s v="S001"/>
    <n v="5"/>
    <n v="0.1"/>
    <x v="1"/>
    <s v="Scott Duke"/>
    <x v="26"/>
    <x v="1"/>
    <x v="3"/>
    <n v="1762.92"/>
    <n v="7933.14"/>
  </r>
  <r>
    <s v="T01745"/>
    <d v="2024-02-20T00:00:00"/>
    <s v="C174"/>
    <s v="P040"/>
    <s v="S002"/>
    <n v="3"/>
    <n v="0.05"/>
    <x v="0"/>
    <s v="Scott Howell"/>
    <x v="37"/>
    <x v="1"/>
    <x v="2"/>
    <n v="1745.61"/>
    <n v="4974.9884999999995"/>
  </r>
  <r>
    <s v="T01746"/>
    <d v="2025-03-22T00:00:00"/>
    <s v="C171"/>
    <s v="P001"/>
    <s v="S004"/>
    <n v="1"/>
    <n v="0.1"/>
    <x v="3"/>
    <s v="Christina Dominguez"/>
    <x v="31"/>
    <x v="1"/>
    <x v="1"/>
    <n v="1673.69"/>
    <n v="1506.3210000000001"/>
  </r>
  <r>
    <s v="T01747"/>
    <d v="2024-05-01T00:00:00"/>
    <s v="C156"/>
    <s v="P007"/>
    <s v="S005"/>
    <n v="4"/>
    <n v="0.15"/>
    <x v="2"/>
    <s v="George Young"/>
    <x v="18"/>
    <x v="1"/>
    <x v="4"/>
    <n v="1474.12"/>
    <n v="5012.0079999999998"/>
  </r>
  <r>
    <s v="T01748"/>
    <d v="2024-06-24T00:00:00"/>
    <s v="C129"/>
    <s v="P047"/>
    <s v="S005"/>
    <n v="1"/>
    <n v="0.05"/>
    <x v="3"/>
    <s v="Gary Taylor"/>
    <x v="28"/>
    <x v="1"/>
    <x v="4"/>
    <n v="1197.18"/>
    <n v="1137.3209999999999"/>
  </r>
  <r>
    <s v="T01749"/>
    <d v="2025-04-01T00:00:00"/>
    <s v="C158"/>
    <s v="P014"/>
    <s v="S001"/>
    <n v="3"/>
    <n v="0.05"/>
    <x v="1"/>
    <s v="Crystal Aguirre"/>
    <x v="0"/>
    <x v="0"/>
    <x v="3"/>
    <n v="1342.75"/>
    <n v="3826.8374999999996"/>
  </r>
  <r>
    <s v="T01750"/>
    <d v="2024-06-25T00:00:00"/>
    <s v="C194"/>
    <s v="P050"/>
    <s v="S002"/>
    <n v="5"/>
    <n v="0"/>
    <x v="3"/>
    <s v="Ann West"/>
    <x v="3"/>
    <x v="0"/>
    <x v="2"/>
    <n v="1044.6400000000001"/>
    <n v="5223.2000000000007"/>
  </r>
  <r>
    <s v="T01751"/>
    <d v="2025-05-26T00:00:00"/>
    <s v="C036"/>
    <s v="P013"/>
    <s v="S003"/>
    <n v="4"/>
    <n v="0.1"/>
    <x v="2"/>
    <s v="Michael Cervantes"/>
    <x v="21"/>
    <x v="0"/>
    <x v="0"/>
    <n v="1134.8"/>
    <n v="4085.2799999999997"/>
  </r>
  <r>
    <s v="T01752"/>
    <d v="2024-10-02T00:00:00"/>
    <s v="C039"/>
    <s v="P010"/>
    <s v="S004"/>
    <n v="2"/>
    <n v="0"/>
    <x v="2"/>
    <s v="Nancy Savage"/>
    <x v="36"/>
    <x v="1"/>
    <x v="1"/>
    <n v="1194.1199999999999"/>
    <n v="2388.2399999999998"/>
  </r>
  <r>
    <s v="T01753"/>
    <d v="2024-12-11T00:00:00"/>
    <s v="C186"/>
    <s v="P027"/>
    <s v="S005"/>
    <n v="4"/>
    <n v="0.1"/>
    <x v="2"/>
    <s v="Vicki Guzman"/>
    <x v="34"/>
    <x v="1"/>
    <x v="4"/>
    <n v="1272.23"/>
    <n v="4580.0280000000002"/>
  </r>
  <r>
    <s v="T01754"/>
    <d v="2024-09-21T00:00:00"/>
    <s v="C072"/>
    <s v="P049"/>
    <s v="S003"/>
    <n v="1"/>
    <n v="0.15"/>
    <x v="0"/>
    <s v="Eric Watkins"/>
    <x v="29"/>
    <x v="0"/>
    <x v="0"/>
    <n v="388.26"/>
    <n v="330.02099999999996"/>
  </r>
  <r>
    <s v="T01755"/>
    <d v="2023-10-10T00:00:00"/>
    <s v="C193"/>
    <s v="P017"/>
    <s v="S001"/>
    <n v="2"/>
    <n v="0.1"/>
    <x v="0"/>
    <s v="Donald Meza"/>
    <x v="43"/>
    <x v="1"/>
    <x v="3"/>
    <n v="1246.1099999999999"/>
    <n v="2242.998"/>
  </r>
  <r>
    <s v="T01756"/>
    <d v="2024-10-04T00:00:00"/>
    <s v="C063"/>
    <s v="P048"/>
    <s v="S002"/>
    <n v="5"/>
    <n v="0"/>
    <x v="2"/>
    <s v="Michael Johnson"/>
    <x v="11"/>
    <x v="0"/>
    <x v="2"/>
    <n v="1216.3599999999999"/>
    <n v="6081.7999999999993"/>
  </r>
  <r>
    <s v="T01757"/>
    <d v="2024-12-24T00:00:00"/>
    <s v="C176"/>
    <s v="P003"/>
    <s v="S002"/>
    <n v="5"/>
    <n v="0.15"/>
    <x v="0"/>
    <s v="Peter Garcia"/>
    <x v="46"/>
    <x v="0"/>
    <x v="2"/>
    <n v="337.63"/>
    <n v="1434.9275"/>
  </r>
  <r>
    <s v="T01758"/>
    <d v="2025-03-23T00:00:00"/>
    <s v="C047"/>
    <s v="P047"/>
    <s v="S004"/>
    <n v="1"/>
    <n v="0"/>
    <x v="1"/>
    <s v="Mary Decker"/>
    <x v="28"/>
    <x v="1"/>
    <x v="1"/>
    <n v="1197.18"/>
    <n v="1197.18"/>
  </r>
  <r>
    <s v="T01759"/>
    <d v="2023-10-31T00:00:00"/>
    <s v="C018"/>
    <s v="P026"/>
    <s v="S002"/>
    <n v="1"/>
    <n v="0.05"/>
    <x v="2"/>
    <s v="Breanna Davis"/>
    <x v="15"/>
    <x v="2"/>
    <x v="2"/>
    <n v="1015.76"/>
    <n v="964.97199999999998"/>
  </r>
  <r>
    <s v="T01760"/>
    <d v="2024-07-03T00:00:00"/>
    <s v="C033"/>
    <s v="P001"/>
    <s v="S001"/>
    <n v="2"/>
    <n v="0.05"/>
    <x v="2"/>
    <s v="Jenny Beck"/>
    <x v="31"/>
    <x v="1"/>
    <x v="3"/>
    <n v="1673.69"/>
    <n v="3180.011"/>
  </r>
  <r>
    <s v="T01761"/>
    <d v="2025-04-30T00:00:00"/>
    <s v="C130"/>
    <s v="P011"/>
    <s v="S001"/>
    <n v="4"/>
    <n v="0.15"/>
    <x v="0"/>
    <s v="Aaron Bailey"/>
    <x v="17"/>
    <x v="1"/>
    <x v="3"/>
    <n v="248.57"/>
    <n v="845.13799999999992"/>
  </r>
  <r>
    <s v="T01762"/>
    <d v="2024-09-21T00:00:00"/>
    <s v="C043"/>
    <s v="P013"/>
    <s v="S002"/>
    <n v="2"/>
    <n v="0.15"/>
    <x v="2"/>
    <s v="Kenneth Allen"/>
    <x v="21"/>
    <x v="0"/>
    <x v="2"/>
    <n v="1134.8"/>
    <n v="1929.1599999999999"/>
  </r>
  <r>
    <s v="T01763"/>
    <d v="2024-10-27T00:00:00"/>
    <s v="C156"/>
    <s v="P027"/>
    <s v="S002"/>
    <n v="3"/>
    <n v="0.1"/>
    <x v="1"/>
    <s v="George Young"/>
    <x v="34"/>
    <x v="1"/>
    <x v="2"/>
    <n v="1272.23"/>
    <n v="3435.0210000000002"/>
  </r>
  <r>
    <s v="T01764"/>
    <d v="2025-05-27T00:00:00"/>
    <s v="C163"/>
    <s v="P008"/>
    <s v="S002"/>
    <n v="3"/>
    <n v="0.15"/>
    <x v="3"/>
    <s v="Erin Rogers"/>
    <x v="48"/>
    <x v="0"/>
    <x v="2"/>
    <n v="109.78"/>
    <n v="279.93900000000002"/>
  </r>
  <r>
    <s v="T01765"/>
    <d v="2025-05-13T00:00:00"/>
    <s v="C093"/>
    <s v="P033"/>
    <s v="S004"/>
    <n v="4"/>
    <n v="0.05"/>
    <x v="1"/>
    <s v="Stanley Brown"/>
    <x v="16"/>
    <x v="0"/>
    <x v="1"/>
    <n v="1798.97"/>
    <n v="6836.0859999999993"/>
  </r>
  <r>
    <s v="T01766"/>
    <d v="2024-03-18T00:00:00"/>
    <s v="C113"/>
    <s v="P014"/>
    <s v="S004"/>
    <n v="5"/>
    <n v="0.15"/>
    <x v="2"/>
    <s v="Heidi Wilson"/>
    <x v="0"/>
    <x v="0"/>
    <x v="1"/>
    <n v="1342.75"/>
    <n v="5706.6875"/>
  </r>
  <r>
    <s v="T01767"/>
    <d v="2024-05-07T00:00:00"/>
    <s v="C124"/>
    <s v="P034"/>
    <s v="S001"/>
    <n v="4"/>
    <n v="0.15"/>
    <x v="3"/>
    <s v="Chad Roberts"/>
    <x v="12"/>
    <x v="1"/>
    <x v="3"/>
    <n v="428.05"/>
    <n v="1455.37"/>
  </r>
  <r>
    <s v="T01768"/>
    <d v="2023-10-13T00:00:00"/>
    <s v="C195"/>
    <s v="P019"/>
    <s v="S003"/>
    <n v="5"/>
    <n v="0.05"/>
    <x v="2"/>
    <s v="James Mitchell"/>
    <x v="26"/>
    <x v="1"/>
    <x v="0"/>
    <n v="1762.92"/>
    <n v="8373.8700000000008"/>
  </r>
  <r>
    <s v="T01769"/>
    <d v="2025-09-09T00:00:00"/>
    <s v="C066"/>
    <s v="P022"/>
    <s v="S004"/>
    <n v="4"/>
    <n v="0.1"/>
    <x v="1"/>
    <s v="Jason Jenkins"/>
    <x v="9"/>
    <x v="2"/>
    <x v="1"/>
    <n v="25.57"/>
    <n v="92.052000000000007"/>
  </r>
  <r>
    <s v="T01770"/>
    <d v="2025-06-18T00:00:00"/>
    <s v="C073"/>
    <s v="P028"/>
    <s v="S004"/>
    <n v="5"/>
    <n v="0.15"/>
    <x v="3"/>
    <s v="Carl Armstrong"/>
    <x v="25"/>
    <x v="1"/>
    <x v="1"/>
    <n v="673.78"/>
    <n v="2863.5649999999996"/>
  </r>
  <r>
    <s v="T01771"/>
    <d v="2024-01-13T00:00:00"/>
    <s v="C086"/>
    <s v="P016"/>
    <s v="S002"/>
    <n v="4"/>
    <n v="0.05"/>
    <x v="2"/>
    <s v="Lawrence Hunter"/>
    <x v="13"/>
    <x v="0"/>
    <x v="2"/>
    <n v="1858.75"/>
    <n v="7063.25"/>
  </r>
  <r>
    <s v="T01772"/>
    <d v="2023-10-10T00:00:00"/>
    <s v="C049"/>
    <s v="P035"/>
    <s v="S001"/>
    <n v="1"/>
    <n v="0.1"/>
    <x v="1"/>
    <s v="Antonio Hamilton"/>
    <x v="7"/>
    <x v="1"/>
    <x v="3"/>
    <n v="1562.43"/>
    <n v="1406.1870000000001"/>
  </r>
  <r>
    <s v="T01773"/>
    <d v="2025-08-17T00:00:00"/>
    <s v="C104"/>
    <s v="P043"/>
    <s v="S004"/>
    <n v="4"/>
    <n v="0.1"/>
    <x v="1"/>
    <s v="Brenda Dean"/>
    <x v="45"/>
    <x v="0"/>
    <x v="1"/>
    <n v="564.41999999999996"/>
    <n v="2031.9119999999998"/>
  </r>
  <r>
    <s v="T01774"/>
    <d v="2024-08-30T00:00:00"/>
    <s v="C126"/>
    <s v="P029"/>
    <s v="S003"/>
    <n v="5"/>
    <n v="0"/>
    <x v="1"/>
    <s v="Monique Johnson"/>
    <x v="47"/>
    <x v="0"/>
    <x v="0"/>
    <n v="1485.05"/>
    <n v="7425.25"/>
  </r>
  <r>
    <s v="T01775"/>
    <d v="2025-03-09T00:00:00"/>
    <s v="C010"/>
    <s v="P030"/>
    <s v="S001"/>
    <n v="4"/>
    <n v="0.05"/>
    <x v="2"/>
    <s v="Catherine Rice"/>
    <x v="1"/>
    <x v="0"/>
    <x v="3"/>
    <n v="29.24"/>
    <n v="111.11199999999999"/>
  </r>
  <r>
    <s v="T01776"/>
    <d v="2025-04-22T00:00:00"/>
    <s v="C196"/>
    <s v="P026"/>
    <s v="S004"/>
    <n v="3"/>
    <n v="0.1"/>
    <x v="1"/>
    <s v="James Noble"/>
    <x v="15"/>
    <x v="2"/>
    <x v="1"/>
    <n v="1015.76"/>
    <n v="2742.5519999999997"/>
  </r>
  <r>
    <s v="T01777"/>
    <d v="2025-05-05T00:00:00"/>
    <s v="C163"/>
    <s v="P010"/>
    <s v="S003"/>
    <n v="1"/>
    <n v="0.15"/>
    <x v="1"/>
    <s v="Erin Rogers"/>
    <x v="36"/>
    <x v="1"/>
    <x v="0"/>
    <n v="1194.1199999999999"/>
    <n v="1015.0019999999998"/>
  </r>
  <r>
    <s v="T01778"/>
    <d v="2025-08-04T00:00:00"/>
    <s v="C189"/>
    <s v="P033"/>
    <s v="S002"/>
    <n v="2"/>
    <n v="0.15"/>
    <x v="3"/>
    <s v="Steve Flynn"/>
    <x v="16"/>
    <x v="0"/>
    <x v="2"/>
    <n v="1798.97"/>
    <n v="3058.2489999999998"/>
  </r>
  <r>
    <s v="T01779"/>
    <d v="2024-04-20T00:00:00"/>
    <s v="C093"/>
    <s v="P022"/>
    <s v="S001"/>
    <n v="2"/>
    <n v="0.1"/>
    <x v="1"/>
    <s v="Stanley Brown"/>
    <x v="9"/>
    <x v="2"/>
    <x v="3"/>
    <n v="25.57"/>
    <n v="46.026000000000003"/>
  </r>
  <r>
    <s v="T01780"/>
    <d v="2025-02-02T00:00:00"/>
    <s v="C175"/>
    <s v="P038"/>
    <s v="S002"/>
    <n v="3"/>
    <n v="0.05"/>
    <x v="2"/>
    <s v="Stacey Thompson"/>
    <x v="41"/>
    <x v="0"/>
    <x v="2"/>
    <n v="366.93"/>
    <n v="1045.7504999999999"/>
  </r>
  <r>
    <s v="T01781"/>
    <d v="2025-07-22T00:00:00"/>
    <s v="C004"/>
    <s v="P035"/>
    <s v="S001"/>
    <n v="1"/>
    <n v="0.15"/>
    <x v="1"/>
    <s v="Joseph Ward"/>
    <x v="7"/>
    <x v="1"/>
    <x v="3"/>
    <n v="1562.43"/>
    <n v="1328.0654999999999"/>
  </r>
  <r>
    <s v="T01782"/>
    <d v="2023-09-22T00:00:00"/>
    <s v="C181"/>
    <s v="P028"/>
    <s v="S005"/>
    <n v="1"/>
    <n v="0.05"/>
    <x v="1"/>
    <s v="Brittany Oneal"/>
    <x v="25"/>
    <x v="1"/>
    <x v="4"/>
    <n v="673.78"/>
    <n v="640.09099999999989"/>
  </r>
  <r>
    <s v="T01783"/>
    <d v="2024-03-19T00:00:00"/>
    <s v="C043"/>
    <s v="P026"/>
    <s v="S004"/>
    <n v="3"/>
    <n v="0.1"/>
    <x v="1"/>
    <s v="Kenneth Allen"/>
    <x v="15"/>
    <x v="2"/>
    <x v="1"/>
    <n v="1015.76"/>
    <n v="2742.5519999999997"/>
  </r>
  <r>
    <s v="T01784"/>
    <d v="2024-10-12T00:00:00"/>
    <s v="C151"/>
    <s v="P026"/>
    <s v="S003"/>
    <n v="4"/>
    <n v="0"/>
    <x v="3"/>
    <s v="Dawn Fletcher"/>
    <x v="15"/>
    <x v="2"/>
    <x v="0"/>
    <n v="1015.76"/>
    <n v="4063.04"/>
  </r>
  <r>
    <s v="T01785"/>
    <d v="2023-11-04T00:00:00"/>
    <s v="C163"/>
    <s v="P022"/>
    <s v="S005"/>
    <n v="3"/>
    <n v="0.05"/>
    <x v="0"/>
    <s v="Erin Rogers"/>
    <x v="9"/>
    <x v="2"/>
    <x v="4"/>
    <n v="25.57"/>
    <n v="72.874499999999998"/>
  </r>
  <r>
    <s v="T01786"/>
    <d v="2025-07-27T00:00:00"/>
    <s v="C192"/>
    <s v="P008"/>
    <s v="S002"/>
    <n v="4"/>
    <n v="0.1"/>
    <x v="3"/>
    <s v="James Wilson"/>
    <x v="48"/>
    <x v="0"/>
    <x v="2"/>
    <n v="109.78"/>
    <n v="395.20800000000003"/>
  </r>
  <r>
    <s v="T01787"/>
    <d v="2023-10-02T00:00:00"/>
    <s v="C044"/>
    <s v="P021"/>
    <s v="S004"/>
    <n v="1"/>
    <n v="0"/>
    <x v="3"/>
    <s v="Parker Sparks"/>
    <x v="23"/>
    <x v="2"/>
    <x v="1"/>
    <n v="1227.24"/>
    <n v="1227.24"/>
  </r>
  <r>
    <s v="T01788"/>
    <d v="2024-04-08T00:00:00"/>
    <s v="C199"/>
    <s v="P038"/>
    <s v="S004"/>
    <n v="5"/>
    <n v="0.15"/>
    <x v="0"/>
    <s v="Juan Johnson"/>
    <x v="41"/>
    <x v="0"/>
    <x v="1"/>
    <n v="366.93"/>
    <n v="1559.4525000000001"/>
  </r>
  <r>
    <s v="T01789"/>
    <d v="2024-06-03T00:00:00"/>
    <s v="C188"/>
    <s v="P049"/>
    <s v="S004"/>
    <n v="2"/>
    <n v="0.05"/>
    <x v="0"/>
    <s v="Ryan Flores"/>
    <x v="29"/>
    <x v="0"/>
    <x v="1"/>
    <n v="388.26"/>
    <n v="737.69399999999996"/>
  </r>
  <r>
    <s v="T01790"/>
    <d v="2023-09-27T00:00:00"/>
    <s v="C048"/>
    <s v="P048"/>
    <s v="S002"/>
    <n v="2"/>
    <n v="0.15"/>
    <x v="2"/>
    <s v="Alexis Crane"/>
    <x v="11"/>
    <x v="0"/>
    <x v="2"/>
    <n v="1216.3599999999999"/>
    <n v="2067.8119999999999"/>
  </r>
  <r>
    <s v="T01791"/>
    <d v="2025-06-18T00:00:00"/>
    <s v="C129"/>
    <s v="P040"/>
    <s v="S001"/>
    <n v="4"/>
    <n v="0.05"/>
    <x v="2"/>
    <s v="Gary Taylor"/>
    <x v="37"/>
    <x v="1"/>
    <x v="3"/>
    <n v="1745.61"/>
    <n v="6633.3179999999993"/>
  </r>
  <r>
    <s v="T01792"/>
    <d v="2025-01-11T00:00:00"/>
    <s v="C052"/>
    <s v="P007"/>
    <s v="S001"/>
    <n v="2"/>
    <n v="0.05"/>
    <x v="0"/>
    <s v="Billy Hernandez"/>
    <x v="18"/>
    <x v="1"/>
    <x v="3"/>
    <n v="1474.12"/>
    <n v="2800.8279999999995"/>
  </r>
  <r>
    <s v="T01793"/>
    <d v="2024-11-21T00:00:00"/>
    <s v="C105"/>
    <s v="P004"/>
    <s v="S004"/>
    <n v="5"/>
    <n v="0"/>
    <x v="2"/>
    <s v="Kenneth Berg"/>
    <x v="49"/>
    <x v="0"/>
    <x v="1"/>
    <n v="1853.77"/>
    <n v="9268.85"/>
  </r>
  <r>
    <s v="T01794"/>
    <d v="2024-10-05T00:00:00"/>
    <s v="C021"/>
    <s v="P024"/>
    <s v="S003"/>
    <n v="1"/>
    <n v="0.15"/>
    <x v="3"/>
    <s v="Debbie Martin"/>
    <x v="14"/>
    <x v="1"/>
    <x v="0"/>
    <n v="1487.41"/>
    <n v="1264.2985000000001"/>
  </r>
  <r>
    <s v="T01795"/>
    <d v="2024-04-20T00:00:00"/>
    <s v="C071"/>
    <s v="P021"/>
    <s v="S001"/>
    <n v="3"/>
    <n v="0"/>
    <x v="2"/>
    <s v="Denise Gutierrez"/>
    <x v="23"/>
    <x v="2"/>
    <x v="3"/>
    <n v="1227.24"/>
    <n v="3681.7200000000003"/>
  </r>
  <r>
    <s v="T01796"/>
    <d v="2025-05-12T00:00:00"/>
    <s v="C123"/>
    <s v="P034"/>
    <s v="S004"/>
    <n v="1"/>
    <n v="0"/>
    <x v="3"/>
    <s v="Peter Edwards"/>
    <x v="12"/>
    <x v="1"/>
    <x v="1"/>
    <n v="428.05"/>
    <n v="428.05"/>
  </r>
  <r>
    <s v="T01797"/>
    <d v="2024-04-22T00:00:00"/>
    <s v="C069"/>
    <s v="P014"/>
    <s v="S001"/>
    <n v="5"/>
    <n v="0"/>
    <x v="3"/>
    <s v="Gabriel Daugherty"/>
    <x v="0"/>
    <x v="0"/>
    <x v="3"/>
    <n v="1342.75"/>
    <n v="6713.75"/>
  </r>
  <r>
    <s v="T01798"/>
    <d v="2024-02-03T00:00:00"/>
    <s v="C055"/>
    <s v="P043"/>
    <s v="S005"/>
    <n v="1"/>
    <n v="0.15"/>
    <x v="0"/>
    <s v="Deborah Moody"/>
    <x v="45"/>
    <x v="0"/>
    <x v="4"/>
    <n v="564.41999999999996"/>
    <n v="479.75699999999995"/>
  </r>
  <r>
    <s v="T01799"/>
    <d v="2024-07-16T00:00:00"/>
    <s v="C125"/>
    <s v="P028"/>
    <s v="S004"/>
    <n v="3"/>
    <n v="0.15"/>
    <x v="0"/>
    <s v="Kimberly Parker"/>
    <x v="25"/>
    <x v="1"/>
    <x v="1"/>
    <n v="673.78"/>
    <n v="1718.1389999999999"/>
  </r>
  <r>
    <s v="T01800"/>
    <d v="2023-11-10T00:00:00"/>
    <s v="C095"/>
    <s v="P006"/>
    <s v="S003"/>
    <n v="3"/>
    <n v="0.05"/>
    <x v="0"/>
    <s v="Kevin Snyder"/>
    <x v="35"/>
    <x v="2"/>
    <x v="0"/>
    <n v="318.05"/>
    <n v="906.4425"/>
  </r>
  <r>
    <s v="T01801"/>
    <d v="2025-01-06T00:00:00"/>
    <s v="C171"/>
    <s v="P026"/>
    <s v="S004"/>
    <n v="4"/>
    <n v="0"/>
    <x v="0"/>
    <s v="Christina Dominguez"/>
    <x v="15"/>
    <x v="2"/>
    <x v="1"/>
    <n v="1015.76"/>
    <n v="4063.04"/>
  </r>
  <r>
    <s v="T01802"/>
    <d v="2024-06-22T00:00:00"/>
    <s v="C085"/>
    <s v="P037"/>
    <s v="S001"/>
    <n v="1"/>
    <n v="0.15"/>
    <x v="1"/>
    <s v="Juan Ramirez"/>
    <x v="27"/>
    <x v="1"/>
    <x v="3"/>
    <n v="1952.65"/>
    <n v="1659.7525000000001"/>
  </r>
  <r>
    <s v="T01803"/>
    <d v="2024-02-03T00:00:00"/>
    <s v="C186"/>
    <s v="P009"/>
    <s v="S002"/>
    <n v="1"/>
    <n v="0"/>
    <x v="0"/>
    <s v="Vicki Guzman"/>
    <x v="5"/>
    <x v="2"/>
    <x v="2"/>
    <n v="123.19"/>
    <n v="123.19"/>
  </r>
  <r>
    <s v="T01804"/>
    <d v="2025-01-05T00:00:00"/>
    <s v="C180"/>
    <s v="P039"/>
    <s v="S002"/>
    <n v="3"/>
    <n v="0.15"/>
    <x v="1"/>
    <s v="Nichole Calhoun"/>
    <x v="22"/>
    <x v="0"/>
    <x v="2"/>
    <n v="540.94000000000005"/>
    <n v="1379.3970000000002"/>
  </r>
  <r>
    <s v="T01805"/>
    <d v="2024-01-07T00:00:00"/>
    <s v="C132"/>
    <s v="P005"/>
    <s v="S004"/>
    <n v="2"/>
    <n v="0"/>
    <x v="0"/>
    <s v="Jared Ochoa"/>
    <x v="6"/>
    <x v="0"/>
    <x v="1"/>
    <n v="1396.22"/>
    <n v="2792.44"/>
  </r>
  <r>
    <s v="T01806"/>
    <d v="2025-05-09T00:00:00"/>
    <s v="C005"/>
    <s v="P033"/>
    <s v="S003"/>
    <n v="1"/>
    <n v="0.1"/>
    <x v="1"/>
    <s v="Jamie Salinas"/>
    <x v="16"/>
    <x v="0"/>
    <x v="0"/>
    <n v="1798.97"/>
    <n v="1619.0730000000001"/>
  </r>
  <r>
    <s v="T01807"/>
    <d v="2025-07-25T00:00:00"/>
    <s v="C060"/>
    <s v="P045"/>
    <s v="S005"/>
    <n v="4"/>
    <n v="0.15"/>
    <x v="3"/>
    <s v="Anthony Conway"/>
    <x v="8"/>
    <x v="2"/>
    <x v="4"/>
    <n v="1879.08"/>
    <n v="6388.8719999999994"/>
  </r>
  <r>
    <s v="T01808"/>
    <d v="2024-06-03T00:00:00"/>
    <s v="C090"/>
    <s v="P023"/>
    <s v="S004"/>
    <n v="4"/>
    <n v="0"/>
    <x v="1"/>
    <s v="Carrie Peterson"/>
    <x v="20"/>
    <x v="0"/>
    <x v="1"/>
    <n v="1878.47"/>
    <n v="7513.88"/>
  </r>
  <r>
    <s v="T01809"/>
    <d v="2024-07-22T00:00:00"/>
    <s v="C076"/>
    <s v="P015"/>
    <s v="S005"/>
    <n v="2"/>
    <n v="0.05"/>
    <x v="3"/>
    <s v="Phyllis Durham"/>
    <x v="40"/>
    <x v="0"/>
    <x v="4"/>
    <n v="270.45"/>
    <n v="513.8549999999999"/>
  </r>
  <r>
    <s v="T01810"/>
    <d v="2023-10-18T00:00:00"/>
    <s v="C033"/>
    <s v="P019"/>
    <s v="S004"/>
    <n v="1"/>
    <n v="0.1"/>
    <x v="1"/>
    <s v="Jenny Beck"/>
    <x v="26"/>
    <x v="1"/>
    <x v="1"/>
    <n v="1762.92"/>
    <n v="1586.6280000000002"/>
  </r>
  <r>
    <s v="T01811"/>
    <d v="2024-09-21T00:00:00"/>
    <s v="C044"/>
    <s v="P024"/>
    <s v="S004"/>
    <n v="1"/>
    <n v="0.15"/>
    <x v="2"/>
    <s v="Parker Sparks"/>
    <x v="14"/>
    <x v="1"/>
    <x v="1"/>
    <n v="1487.41"/>
    <n v="1264.2985000000001"/>
  </r>
  <r>
    <s v="T01812"/>
    <d v="2024-10-08T00:00:00"/>
    <s v="C063"/>
    <s v="P021"/>
    <s v="S002"/>
    <n v="2"/>
    <n v="0"/>
    <x v="3"/>
    <s v="Michael Johnson"/>
    <x v="23"/>
    <x v="2"/>
    <x v="2"/>
    <n v="1227.24"/>
    <n v="2454.48"/>
  </r>
  <r>
    <s v="T01813"/>
    <d v="2024-08-06T00:00:00"/>
    <s v="C112"/>
    <s v="P046"/>
    <s v="S001"/>
    <n v="2"/>
    <n v="0.1"/>
    <x v="1"/>
    <s v="Jeffrey Smith"/>
    <x v="42"/>
    <x v="0"/>
    <x v="3"/>
    <n v="1165.3699999999999"/>
    <n v="2097.6659999999997"/>
  </r>
  <r>
    <s v="T01814"/>
    <d v="2025-06-21T00:00:00"/>
    <s v="C197"/>
    <s v="P035"/>
    <s v="S003"/>
    <n v="2"/>
    <n v="0.1"/>
    <x v="1"/>
    <s v="Matthew Dixon"/>
    <x v="7"/>
    <x v="1"/>
    <x v="0"/>
    <n v="1562.43"/>
    <n v="2812.3740000000003"/>
  </r>
  <r>
    <s v="T01815"/>
    <d v="2023-12-31T00:00:00"/>
    <s v="C172"/>
    <s v="P039"/>
    <s v="S001"/>
    <n v="2"/>
    <n v="0.15"/>
    <x v="3"/>
    <s v="Michelle Smith"/>
    <x v="22"/>
    <x v="0"/>
    <x v="3"/>
    <n v="540.94000000000005"/>
    <n v="919.59800000000007"/>
  </r>
  <r>
    <s v="T01816"/>
    <d v="2025-03-13T00:00:00"/>
    <s v="C178"/>
    <s v="P043"/>
    <s v="S003"/>
    <n v="2"/>
    <n v="0"/>
    <x v="0"/>
    <s v="Mark Mcdonald"/>
    <x v="45"/>
    <x v="0"/>
    <x v="0"/>
    <n v="564.41999999999996"/>
    <n v="1128.8399999999999"/>
  </r>
  <r>
    <s v="T01817"/>
    <d v="2024-09-13T00:00:00"/>
    <s v="C097"/>
    <s v="P004"/>
    <s v="S004"/>
    <n v="5"/>
    <n v="0.15"/>
    <x v="2"/>
    <s v="Evelyn Gray"/>
    <x v="49"/>
    <x v="0"/>
    <x v="1"/>
    <n v="1853.77"/>
    <n v="7878.5225"/>
  </r>
  <r>
    <s v="T01818"/>
    <d v="2024-08-27T00:00:00"/>
    <s v="C058"/>
    <s v="P019"/>
    <s v="S003"/>
    <n v="1"/>
    <n v="0.1"/>
    <x v="3"/>
    <s v="Lawrence Stewart"/>
    <x v="26"/>
    <x v="1"/>
    <x v="0"/>
    <n v="1762.92"/>
    <n v="1586.6280000000002"/>
  </r>
  <r>
    <s v="T01819"/>
    <d v="2024-11-11T00:00:00"/>
    <s v="C029"/>
    <s v="P037"/>
    <s v="S001"/>
    <n v="3"/>
    <n v="0.05"/>
    <x v="3"/>
    <s v="Tyler Levine"/>
    <x v="27"/>
    <x v="1"/>
    <x v="3"/>
    <n v="1952.65"/>
    <n v="5565.0525000000007"/>
  </r>
  <r>
    <s v="T01820"/>
    <d v="2024-01-25T00:00:00"/>
    <s v="C147"/>
    <s v="P013"/>
    <s v="S003"/>
    <n v="2"/>
    <n v="0.1"/>
    <x v="1"/>
    <s v="Crystal Garrison"/>
    <x v="21"/>
    <x v="0"/>
    <x v="0"/>
    <n v="1134.8"/>
    <n v="2042.6399999999999"/>
  </r>
  <r>
    <s v="T01821"/>
    <d v="2024-10-23T00:00:00"/>
    <s v="C148"/>
    <s v="P040"/>
    <s v="S001"/>
    <n v="3"/>
    <n v="0"/>
    <x v="2"/>
    <s v="John Foster"/>
    <x v="37"/>
    <x v="1"/>
    <x v="3"/>
    <n v="1745.61"/>
    <n v="5236.83"/>
  </r>
  <r>
    <s v="T01822"/>
    <d v="2024-10-08T00:00:00"/>
    <s v="C100"/>
    <s v="P008"/>
    <s v="S004"/>
    <n v="3"/>
    <n v="0.1"/>
    <x v="2"/>
    <s v="Sean Hart"/>
    <x v="48"/>
    <x v="0"/>
    <x v="1"/>
    <n v="109.78"/>
    <n v="296.40600000000006"/>
  </r>
  <r>
    <s v="T01823"/>
    <d v="2024-09-09T00:00:00"/>
    <s v="C134"/>
    <s v="P039"/>
    <s v="S005"/>
    <n v="5"/>
    <n v="0.05"/>
    <x v="3"/>
    <s v="Emily Hart"/>
    <x v="22"/>
    <x v="0"/>
    <x v="4"/>
    <n v="540.94000000000005"/>
    <n v="2569.4650000000001"/>
  </r>
  <r>
    <s v="T01824"/>
    <d v="2025-02-23T00:00:00"/>
    <s v="C102"/>
    <s v="P026"/>
    <s v="S001"/>
    <n v="5"/>
    <n v="0.15"/>
    <x v="0"/>
    <s v="Carolyn Perez"/>
    <x v="15"/>
    <x v="2"/>
    <x v="3"/>
    <n v="1015.76"/>
    <n v="4316.9800000000005"/>
  </r>
  <r>
    <s v="T01825"/>
    <d v="2023-12-15T00:00:00"/>
    <s v="C038"/>
    <s v="P009"/>
    <s v="S003"/>
    <n v="2"/>
    <n v="0.15"/>
    <x v="1"/>
    <s v="Tracey Davis"/>
    <x v="5"/>
    <x v="2"/>
    <x v="0"/>
    <n v="123.19"/>
    <n v="209.423"/>
  </r>
  <r>
    <s v="T01826"/>
    <d v="2025-01-19T00:00:00"/>
    <s v="C038"/>
    <s v="P002"/>
    <s v="S005"/>
    <n v="3"/>
    <n v="0.05"/>
    <x v="3"/>
    <s v="Tracey Davis"/>
    <x v="2"/>
    <x v="1"/>
    <x v="4"/>
    <n v="818.76"/>
    <n v="2333.4659999999994"/>
  </r>
  <r>
    <s v="T01827"/>
    <d v="2023-09-18T00:00:00"/>
    <s v="C154"/>
    <s v="P022"/>
    <s v="S003"/>
    <n v="3"/>
    <n v="0"/>
    <x v="0"/>
    <s v="Lisa Martinez"/>
    <x v="9"/>
    <x v="2"/>
    <x v="0"/>
    <n v="25.57"/>
    <n v="76.710000000000008"/>
  </r>
  <r>
    <s v="T01828"/>
    <d v="2024-04-15T00:00:00"/>
    <s v="C181"/>
    <s v="P049"/>
    <s v="S005"/>
    <n v="4"/>
    <n v="0.05"/>
    <x v="1"/>
    <s v="Brittany Oneal"/>
    <x v="29"/>
    <x v="0"/>
    <x v="4"/>
    <n v="388.26"/>
    <n v="1475.3879999999999"/>
  </r>
  <r>
    <s v="T01829"/>
    <d v="2024-01-02T00:00:00"/>
    <s v="C075"/>
    <s v="P041"/>
    <s v="S004"/>
    <n v="1"/>
    <n v="0.1"/>
    <x v="2"/>
    <s v="Seth Moore"/>
    <x v="30"/>
    <x v="1"/>
    <x v="1"/>
    <n v="1635.01"/>
    <n v="1471.509"/>
  </r>
  <r>
    <s v="T01830"/>
    <d v="2024-02-25T00:00:00"/>
    <s v="C184"/>
    <s v="P034"/>
    <s v="S002"/>
    <n v="2"/>
    <n v="0"/>
    <x v="2"/>
    <s v="Daniel Mcintyre"/>
    <x v="12"/>
    <x v="1"/>
    <x v="2"/>
    <n v="428.05"/>
    <n v="856.1"/>
  </r>
  <r>
    <s v="T01831"/>
    <d v="2024-10-08T00:00:00"/>
    <s v="C125"/>
    <s v="P047"/>
    <s v="S004"/>
    <n v="3"/>
    <n v="0.05"/>
    <x v="3"/>
    <s v="Kimberly Parker"/>
    <x v="28"/>
    <x v="1"/>
    <x v="1"/>
    <n v="1197.18"/>
    <n v="3411.9629999999997"/>
  </r>
  <r>
    <s v="T01832"/>
    <d v="2024-08-09T00:00:00"/>
    <s v="C141"/>
    <s v="P049"/>
    <s v="S004"/>
    <n v="3"/>
    <n v="0.15"/>
    <x v="1"/>
    <s v="Adam Lucas"/>
    <x v="29"/>
    <x v="0"/>
    <x v="1"/>
    <n v="388.26"/>
    <n v="990.06299999999999"/>
  </r>
  <r>
    <s v="T01833"/>
    <d v="2025-02-20T00:00:00"/>
    <s v="C090"/>
    <s v="P004"/>
    <s v="S004"/>
    <n v="4"/>
    <n v="0"/>
    <x v="0"/>
    <s v="Carrie Peterson"/>
    <x v="49"/>
    <x v="0"/>
    <x v="1"/>
    <n v="1853.77"/>
    <n v="7415.08"/>
  </r>
  <r>
    <s v="T01834"/>
    <d v="2025-05-09T00:00:00"/>
    <s v="C073"/>
    <s v="P020"/>
    <s v="S002"/>
    <n v="5"/>
    <n v="0.15"/>
    <x v="3"/>
    <s v="Carl Armstrong"/>
    <x v="24"/>
    <x v="0"/>
    <x v="2"/>
    <n v="323.92"/>
    <n v="1376.66"/>
  </r>
  <r>
    <s v="T01835"/>
    <d v="2025-07-23T00:00:00"/>
    <s v="C034"/>
    <s v="P046"/>
    <s v="S003"/>
    <n v="5"/>
    <n v="0"/>
    <x v="0"/>
    <s v="Kari Miller"/>
    <x v="42"/>
    <x v="0"/>
    <x v="0"/>
    <n v="1165.3699999999999"/>
    <n v="5826.8499999999995"/>
  </r>
  <r>
    <s v="T01836"/>
    <d v="2025-08-25T00:00:00"/>
    <s v="C118"/>
    <s v="P025"/>
    <s v="S002"/>
    <n v="5"/>
    <n v="0.05"/>
    <x v="1"/>
    <s v="Gina Bradford"/>
    <x v="33"/>
    <x v="0"/>
    <x v="2"/>
    <n v="429.15"/>
    <n v="2038.4624999999999"/>
  </r>
  <r>
    <s v="T01837"/>
    <d v="2025-01-22T00:00:00"/>
    <s v="C179"/>
    <s v="P049"/>
    <s v="S004"/>
    <n v="3"/>
    <n v="0.05"/>
    <x v="2"/>
    <s v="Dennis Wallace"/>
    <x v="29"/>
    <x v="0"/>
    <x v="1"/>
    <n v="388.26"/>
    <n v="1106.5409999999999"/>
  </r>
  <r>
    <s v="T01838"/>
    <d v="2024-08-24T00:00:00"/>
    <s v="C056"/>
    <s v="P046"/>
    <s v="S002"/>
    <n v="1"/>
    <n v="0.1"/>
    <x v="3"/>
    <s v="Carl Wyatt"/>
    <x v="42"/>
    <x v="0"/>
    <x v="2"/>
    <n v="1165.3699999999999"/>
    <n v="1048.8329999999999"/>
  </r>
  <r>
    <s v="T01839"/>
    <d v="2025-06-22T00:00:00"/>
    <s v="C174"/>
    <s v="P020"/>
    <s v="S002"/>
    <n v="4"/>
    <n v="0.15"/>
    <x v="2"/>
    <s v="Scott Howell"/>
    <x v="24"/>
    <x v="0"/>
    <x v="2"/>
    <n v="323.92"/>
    <n v="1101.328"/>
  </r>
  <r>
    <s v="T01840"/>
    <d v="2023-11-18T00:00:00"/>
    <s v="C015"/>
    <s v="P026"/>
    <s v="S001"/>
    <n v="3"/>
    <n v="0.15"/>
    <x v="2"/>
    <s v="Matthew Molina"/>
    <x v="15"/>
    <x v="2"/>
    <x v="3"/>
    <n v="1015.76"/>
    <n v="2590.1879999999996"/>
  </r>
  <r>
    <s v="T01841"/>
    <d v="2024-03-09T00:00:00"/>
    <s v="C014"/>
    <s v="P029"/>
    <s v="S001"/>
    <n v="5"/>
    <n v="0.1"/>
    <x v="1"/>
    <s v="Brittany Green"/>
    <x v="47"/>
    <x v="0"/>
    <x v="3"/>
    <n v="1485.05"/>
    <n v="6682.7250000000004"/>
  </r>
  <r>
    <s v="T01842"/>
    <d v="2024-04-05T00:00:00"/>
    <s v="C039"/>
    <s v="P030"/>
    <s v="S004"/>
    <n v="2"/>
    <n v="0"/>
    <x v="3"/>
    <s v="Nancy Savage"/>
    <x v="1"/>
    <x v="0"/>
    <x v="1"/>
    <n v="29.24"/>
    <n v="58.48"/>
  </r>
  <r>
    <s v="T01843"/>
    <d v="2023-10-21T00:00:00"/>
    <s v="C062"/>
    <s v="P009"/>
    <s v="S004"/>
    <n v="4"/>
    <n v="0.1"/>
    <x v="2"/>
    <s v="Susan Salinas"/>
    <x v="5"/>
    <x v="2"/>
    <x v="1"/>
    <n v="123.19"/>
    <n v="443.48399999999998"/>
  </r>
  <r>
    <s v="T01844"/>
    <d v="2024-11-20T00:00:00"/>
    <s v="C168"/>
    <s v="P038"/>
    <s v="S004"/>
    <n v="1"/>
    <n v="0.15"/>
    <x v="1"/>
    <s v="Richard Jones"/>
    <x v="41"/>
    <x v="0"/>
    <x v="1"/>
    <n v="366.93"/>
    <n v="311.89049999999997"/>
  </r>
  <r>
    <s v="T01845"/>
    <d v="2024-12-16T00:00:00"/>
    <s v="C071"/>
    <s v="P017"/>
    <s v="S004"/>
    <n v="3"/>
    <n v="0"/>
    <x v="3"/>
    <s v="Denise Gutierrez"/>
    <x v="43"/>
    <x v="1"/>
    <x v="1"/>
    <n v="1246.1099999999999"/>
    <n v="3738.33"/>
  </r>
  <r>
    <s v="T01846"/>
    <d v="2023-11-06T00:00:00"/>
    <s v="C030"/>
    <s v="P003"/>
    <s v="S001"/>
    <n v="1"/>
    <n v="0.15"/>
    <x v="2"/>
    <s v="Lacey Hall"/>
    <x v="46"/>
    <x v="0"/>
    <x v="3"/>
    <n v="337.63"/>
    <n v="286.9855"/>
  </r>
  <r>
    <s v="T01847"/>
    <d v="2025-03-28T00:00:00"/>
    <s v="C006"/>
    <s v="P041"/>
    <s v="S005"/>
    <n v="5"/>
    <n v="0.15"/>
    <x v="0"/>
    <s v="Danny Moore"/>
    <x v="30"/>
    <x v="1"/>
    <x v="4"/>
    <n v="1635.01"/>
    <n v="6948.7924999999996"/>
  </r>
  <r>
    <s v="T01848"/>
    <d v="2024-03-23T00:00:00"/>
    <s v="C178"/>
    <s v="P003"/>
    <s v="S001"/>
    <n v="5"/>
    <n v="0.05"/>
    <x v="1"/>
    <s v="Mark Mcdonald"/>
    <x v="46"/>
    <x v="0"/>
    <x v="3"/>
    <n v="337.63"/>
    <n v="1603.7425000000001"/>
  </r>
  <r>
    <s v="T01849"/>
    <d v="2024-06-17T00:00:00"/>
    <s v="C124"/>
    <s v="P040"/>
    <s v="S004"/>
    <n v="3"/>
    <n v="0.05"/>
    <x v="3"/>
    <s v="Chad Roberts"/>
    <x v="37"/>
    <x v="1"/>
    <x v="1"/>
    <n v="1745.61"/>
    <n v="4974.9884999999995"/>
  </r>
  <r>
    <s v="T01850"/>
    <d v="2025-02-28T00:00:00"/>
    <s v="C084"/>
    <s v="P041"/>
    <s v="S001"/>
    <n v="5"/>
    <n v="0.05"/>
    <x v="1"/>
    <s v="Amanda Lee"/>
    <x v="30"/>
    <x v="1"/>
    <x v="3"/>
    <n v="1635.01"/>
    <n v="7766.2974999999997"/>
  </r>
  <r>
    <s v="T01851"/>
    <d v="2025-05-02T00:00:00"/>
    <s v="C180"/>
    <s v="P037"/>
    <s v="S001"/>
    <n v="4"/>
    <n v="0.15"/>
    <x v="3"/>
    <s v="Nichole Calhoun"/>
    <x v="27"/>
    <x v="1"/>
    <x v="3"/>
    <n v="1952.65"/>
    <n v="6639.01"/>
  </r>
  <r>
    <s v="T01852"/>
    <d v="2024-12-15T00:00:00"/>
    <s v="C133"/>
    <s v="P013"/>
    <s v="S005"/>
    <n v="5"/>
    <n v="0"/>
    <x v="2"/>
    <s v="Yvette Roth"/>
    <x v="21"/>
    <x v="0"/>
    <x v="4"/>
    <n v="1134.8"/>
    <n v="5674"/>
  </r>
  <r>
    <s v="T01853"/>
    <d v="2024-12-25T00:00:00"/>
    <s v="C169"/>
    <s v="P002"/>
    <s v="S001"/>
    <n v="2"/>
    <n v="0.05"/>
    <x v="3"/>
    <s v="Travis Watson"/>
    <x v="2"/>
    <x v="1"/>
    <x v="3"/>
    <n v="818.76"/>
    <n v="1555.644"/>
  </r>
  <r>
    <s v="T01854"/>
    <d v="2024-11-03T00:00:00"/>
    <s v="C143"/>
    <s v="P005"/>
    <s v="S004"/>
    <n v="3"/>
    <n v="0"/>
    <x v="3"/>
    <s v="Cynthia Carlson"/>
    <x v="6"/>
    <x v="0"/>
    <x v="1"/>
    <n v="1396.22"/>
    <n v="4188.66"/>
  </r>
  <r>
    <s v="T01855"/>
    <d v="2024-11-01T00:00:00"/>
    <s v="C033"/>
    <s v="P004"/>
    <s v="S005"/>
    <n v="2"/>
    <n v="0.05"/>
    <x v="3"/>
    <s v="Jenny Beck"/>
    <x v="49"/>
    <x v="0"/>
    <x v="4"/>
    <n v="1853.77"/>
    <n v="3522.163"/>
  </r>
  <r>
    <s v="T01856"/>
    <d v="2024-11-28T00:00:00"/>
    <s v="C144"/>
    <s v="P035"/>
    <s v="S003"/>
    <n v="1"/>
    <n v="0"/>
    <x v="3"/>
    <s v="Betty Johnson"/>
    <x v="7"/>
    <x v="1"/>
    <x v="0"/>
    <n v="1562.43"/>
    <n v="1562.43"/>
  </r>
  <r>
    <s v="T01857"/>
    <d v="2025-06-16T00:00:00"/>
    <s v="C130"/>
    <s v="P039"/>
    <s v="S003"/>
    <n v="3"/>
    <n v="0.05"/>
    <x v="1"/>
    <s v="Aaron Bailey"/>
    <x v="22"/>
    <x v="0"/>
    <x v="0"/>
    <n v="540.94000000000005"/>
    <n v="1541.6790000000001"/>
  </r>
  <r>
    <s v="T01858"/>
    <d v="2024-04-03T00:00:00"/>
    <s v="C169"/>
    <s v="P017"/>
    <s v="S001"/>
    <n v="2"/>
    <n v="0.1"/>
    <x v="3"/>
    <s v="Travis Watson"/>
    <x v="43"/>
    <x v="1"/>
    <x v="3"/>
    <n v="1246.1099999999999"/>
    <n v="2242.998"/>
  </r>
  <r>
    <s v="T01859"/>
    <d v="2025-06-13T00:00:00"/>
    <s v="C133"/>
    <s v="P011"/>
    <s v="S003"/>
    <n v="5"/>
    <n v="0.15"/>
    <x v="2"/>
    <s v="Yvette Roth"/>
    <x v="17"/>
    <x v="1"/>
    <x v="0"/>
    <n v="248.57"/>
    <n v="1056.4224999999999"/>
  </r>
  <r>
    <s v="T01860"/>
    <d v="2024-06-05T00:00:00"/>
    <s v="C148"/>
    <s v="P009"/>
    <s v="S004"/>
    <n v="3"/>
    <n v="0.1"/>
    <x v="2"/>
    <s v="John Foster"/>
    <x v="5"/>
    <x v="2"/>
    <x v="1"/>
    <n v="123.19"/>
    <n v="332.613"/>
  </r>
  <r>
    <s v="T01861"/>
    <d v="2024-03-06T00:00:00"/>
    <s v="C177"/>
    <s v="P022"/>
    <s v="S001"/>
    <n v="1"/>
    <n v="0.05"/>
    <x v="3"/>
    <s v="Anthony Gould"/>
    <x v="9"/>
    <x v="2"/>
    <x v="3"/>
    <n v="25.57"/>
    <n v="24.291499999999999"/>
  </r>
  <r>
    <s v="T01862"/>
    <d v="2023-09-19T00:00:00"/>
    <s v="C049"/>
    <s v="P041"/>
    <s v="S002"/>
    <n v="3"/>
    <n v="0.05"/>
    <x v="2"/>
    <s v="Antonio Hamilton"/>
    <x v="30"/>
    <x v="1"/>
    <x v="2"/>
    <n v="1635.01"/>
    <n v="4659.7784999999994"/>
  </r>
  <r>
    <s v="T01863"/>
    <d v="2025-05-11T00:00:00"/>
    <s v="C155"/>
    <s v="P040"/>
    <s v="S005"/>
    <n v="2"/>
    <n v="0.1"/>
    <x v="0"/>
    <s v="Jill Mcconnell"/>
    <x v="37"/>
    <x v="1"/>
    <x v="4"/>
    <n v="1745.61"/>
    <n v="3142.098"/>
  </r>
  <r>
    <s v="T01864"/>
    <d v="2025-01-27T00:00:00"/>
    <s v="C033"/>
    <s v="P040"/>
    <s v="S005"/>
    <n v="4"/>
    <n v="0"/>
    <x v="0"/>
    <s v="Jenny Beck"/>
    <x v="37"/>
    <x v="1"/>
    <x v="4"/>
    <n v="1745.61"/>
    <n v="6982.44"/>
  </r>
  <r>
    <s v="T01865"/>
    <d v="2025-01-01T00:00:00"/>
    <s v="C067"/>
    <s v="P017"/>
    <s v="S004"/>
    <n v="2"/>
    <n v="0.15"/>
    <x v="1"/>
    <s v="Daniel Maldonado"/>
    <x v="43"/>
    <x v="1"/>
    <x v="1"/>
    <n v="1246.1099999999999"/>
    <n v="2118.3869999999997"/>
  </r>
  <r>
    <s v="T01866"/>
    <d v="2025-04-24T00:00:00"/>
    <s v="C022"/>
    <s v="P024"/>
    <s v="S003"/>
    <n v="4"/>
    <n v="0.05"/>
    <x v="2"/>
    <s v="Megan Velasquez"/>
    <x v="14"/>
    <x v="1"/>
    <x v="0"/>
    <n v="1487.41"/>
    <n v="5652.1580000000004"/>
  </r>
  <r>
    <s v="T01867"/>
    <d v="2025-02-26T00:00:00"/>
    <s v="C019"/>
    <s v="P033"/>
    <s v="S003"/>
    <n v="2"/>
    <n v="0.1"/>
    <x v="2"/>
    <s v="John Smith"/>
    <x v="16"/>
    <x v="0"/>
    <x v="0"/>
    <n v="1798.97"/>
    <n v="3238.1460000000002"/>
  </r>
  <r>
    <s v="T01868"/>
    <d v="2025-03-28T00:00:00"/>
    <s v="C108"/>
    <s v="P041"/>
    <s v="S002"/>
    <n v="3"/>
    <n v="0.15"/>
    <x v="1"/>
    <s v="Samantha Hill"/>
    <x v="30"/>
    <x v="1"/>
    <x v="2"/>
    <n v="1635.01"/>
    <n v="4169.2754999999997"/>
  </r>
  <r>
    <s v="T01869"/>
    <d v="2025-03-13T00:00:00"/>
    <s v="C007"/>
    <s v="P011"/>
    <s v="S005"/>
    <n v="2"/>
    <n v="0"/>
    <x v="0"/>
    <s v="Erin Walker"/>
    <x v="17"/>
    <x v="1"/>
    <x v="4"/>
    <n v="248.57"/>
    <n v="497.14"/>
  </r>
  <r>
    <s v="T01870"/>
    <d v="2025-07-24T00:00:00"/>
    <s v="C032"/>
    <s v="P026"/>
    <s v="S005"/>
    <n v="1"/>
    <n v="0.15"/>
    <x v="3"/>
    <s v="Valerie Macdonald"/>
    <x v="15"/>
    <x v="2"/>
    <x v="4"/>
    <n v="1015.76"/>
    <n v="863.39599999999996"/>
  </r>
  <r>
    <s v="T01871"/>
    <d v="2024-09-23T00:00:00"/>
    <s v="C085"/>
    <s v="P042"/>
    <s v="S001"/>
    <n v="3"/>
    <n v="0.1"/>
    <x v="0"/>
    <s v="Juan Ramirez"/>
    <x v="10"/>
    <x v="0"/>
    <x v="3"/>
    <n v="453.62"/>
    <n v="1224.7740000000001"/>
  </r>
  <r>
    <s v="T01872"/>
    <d v="2025-03-28T00:00:00"/>
    <s v="C038"/>
    <s v="P008"/>
    <s v="S002"/>
    <n v="3"/>
    <n v="0"/>
    <x v="3"/>
    <s v="Tracey Davis"/>
    <x v="48"/>
    <x v="0"/>
    <x v="2"/>
    <n v="109.78"/>
    <n v="329.34000000000003"/>
  </r>
  <r>
    <s v="T01873"/>
    <d v="2025-04-20T00:00:00"/>
    <s v="C097"/>
    <s v="P004"/>
    <s v="S002"/>
    <n v="4"/>
    <n v="0"/>
    <x v="3"/>
    <s v="Evelyn Gray"/>
    <x v="49"/>
    <x v="0"/>
    <x v="2"/>
    <n v="1853.77"/>
    <n v="7415.08"/>
  </r>
  <r>
    <s v="T01874"/>
    <d v="2024-01-12T00:00:00"/>
    <s v="C045"/>
    <s v="P037"/>
    <s v="S005"/>
    <n v="3"/>
    <n v="0.15"/>
    <x v="3"/>
    <s v="Kelly Shaw"/>
    <x v="27"/>
    <x v="1"/>
    <x v="4"/>
    <n v="1952.65"/>
    <n v="4979.2575000000006"/>
  </r>
  <r>
    <s v="T01875"/>
    <d v="2025-07-26T00:00:00"/>
    <s v="C136"/>
    <s v="P023"/>
    <s v="S003"/>
    <n v="5"/>
    <n v="0.1"/>
    <x v="0"/>
    <s v="Amanda Garcia"/>
    <x v="20"/>
    <x v="0"/>
    <x v="0"/>
    <n v="1878.47"/>
    <n v="8453.1149999999998"/>
  </r>
  <r>
    <s v="T01876"/>
    <d v="2024-11-25T00:00:00"/>
    <s v="C156"/>
    <s v="P003"/>
    <s v="S001"/>
    <n v="1"/>
    <n v="0.05"/>
    <x v="0"/>
    <s v="George Young"/>
    <x v="46"/>
    <x v="0"/>
    <x v="3"/>
    <n v="337.63"/>
    <n v="320.74849999999998"/>
  </r>
  <r>
    <s v="T01877"/>
    <d v="2024-01-14T00:00:00"/>
    <s v="C193"/>
    <s v="P002"/>
    <s v="S004"/>
    <n v="2"/>
    <n v="0.1"/>
    <x v="1"/>
    <s v="Donald Meza"/>
    <x v="2"/>
    <x v="1"/>
    <x v="1"/>
    <n v="818.76"/>
    <n v="1473.768"/>
  </r>
  <r>
    <s v="T01878"/>
    <d v="2024-11-24T00:00:00"/>
    <s v="C123"/>
    <s v="P011"/>
    <s v="S005"/>
    <n v="2"/>
    <n v="0.1"/>
    <x v="3"/>
    <s v="Peter Edwards"/>
    <x v="17"/>
    <x v="1"/>
    <x v="4"/>
    <n v="248.57"/>
    <n v="447.42599999999999"/>
  </r>
  <r>
    <s v="T01879"/>
    <d v="2025-09-02T00:00:00"/>
    <s v="C176"/>
    <s v="P003"/>
    <s v="S005"/>
    <n v="2"/>
    <n v="0.05"/>
    <x v="2"/>
    <s v="Peter Garcia"/>
    <x v="46"/>
    <x v="0"/>
    <x v="4"/>
    <n v="337.63"/>
    <n v="641.49699999999996"/>
  </r>
  <r>
    <s v="T01880"/>
    <d v="2024-03-25T00:00:00"/>
    <s v="C097"/>
    <s v="P020"/>
    <s v="S005"/>
    <n v="3"/>
    <n v="0"/>
    <x v="0"/>
    <s v="Evelyn Gray"/>
    <x v="24"/>
    <x v="0"/>
    <x v="4"/>
    <n v="323.92"/>
    <n v="971.76"/>
  </r>
  <r>
    <s v="T01881"/>
    <d v="2023-12-20T00:00:00"/>
    <s v="C182"/>
    <s v="P032"/>
    <s v="S002"/>
    <n v="5"/>
    <n v="0.15"/>
    <x v="1"/>
    <s v="Meghan Wright"/>
    <x v="44"/>
    <x v="2"/>
    <x v="2"/>
    <n v="304.70999999999998"/>
    <n v="1295.0174999999999"/>
  </r>
  <r>
    <s v="T01882"/>
    <d v="2025-05-26T00:00:00"/>
    <s v="C047"/>
    <s v="P004"/>
    <s v="S004"/>
    <n v="3"/>
    <n v="0.15"/>
    <x v="0"/>
    <s v="Mary Decker"/>
    <x v="49"/>
    <x v="0"/>
    <x v="1"/>
    <n v="1853.77"/>
    <n v="4727.1134999999995"/>
  </r>
  <r>
    <s v="T01883"/>
    <d v="2025-07-27T00:00:00"/>
    <s v="C071"/>
    <s v="P033"/>
    <s v="S004"/>
    <n v="5"/>
    <n v="0.05"/>
    <x v="0"/>
    <s v="Denise Gutierrez"/>
    <x v="16"/>
    <x v="0"/>
    <x v="1"/>
    <n v="1798.97"/>
    <n v="8545.1075000000001"/>
  </r>
  <r>
    <s v="T01884"/>
    <d v="2025-03-12T00:00:00"/>
    <s v="C163"/>
    <s v="P027"/>
    <s v="S001"/>
    <n v="3"/>
    <n v="0.15"/>
    <x v="0"/>
    <s v="Erin Rogers"/>
    <x v="34"/>
    <x v="1"/>
    <x v="3"/>
    <n v="1272.23"/>
    <n v="3244.1864999999998"/>
  </r>
  <r>
    <s v="T01885"/>
    <d v="2023-11-09T00:00:00"/>
    <s v="C024"/>
    <s v="P021"/>
    <s v="S001"/>
    <n v="1"/>
    <n v="0.05"/>
    <x v="3"/>
    <s v="Molly Murray"/>
    <x v="23"/>
    <x v="2"/>
    <x v="3"/>
    <n v="1227.24"/>
    <n v="1165.8779999999999"/>
  </r>
  <r>
    <s v="T01886"/>
    <d v="2025-08-21T00:00:00"/>
    <s v="C043"/>
    <s v="P046"/>
    <s v="S005"/>
    <n v="1"/>
    <n v="0"/>
    <x v="0"/>
    <s v="Kenneth Allen"/>
    <x v="42"/>
    <x v="0"/>
    <x v="4"/>
    <n v="1165.3699999999999"/>
    <n v="1165.3699999999999"/>
  </r>
  <r>
    <s v="T01887"/>
    <d v="2024-12-09T00:00:00"/>
    <s v="C142"/>
    <s v="P033"/>
    <s v="S004"/>
    <n v="1"/>
    <n v="0.15"/>
    <x v="2"/>
    <s v="Suzanne Fox"/>
    <x v="16"/>
    <x v="0"/>
    <x v="1"/>
    <n v="1798.97"/>
    <n v="1529.1244999999999"/>
  </r>
  <r>
    <s v="T01888"/>
    <d v="2024-09-20T00:00:00"/>
    <s v="C123"/>
    <s v="P014"/>
    <s v="S004"/>
    <n v="5"/>
    <n v="0"/>
    <x v="1"/>
    <s v="Peter Edwards"/>
    <x v="0"/>
    <x v="0"/>
    <x v="1"/>
    <n v="1342.75"/>
    <n v="6713.75"/>
  </r>
  <r>
    <s v="T01889"/>
    <d v="2023-09-12T00:00:00"/>
    <s v="C004"/>
    <s v="P030"/>
    <s v="S005"/>
    <n v="2"/>
    <n v="0"/>
    <x v="1"/>
    <s v="Joseph Ward"/>
    <x v="1"/>
    <x v="0"/>
    <x v="4"/>
    <n v="29.24"/>
    <n v="58.48"/>
  </r>
  <r>
    <s v="T01890"/>
    <d v="2024-09-23T00:00:00"/>
    <s v="C180"/>
    <s v="P043"/>
    <s v="S005"/>
    <n v="3"/>
    <n v="0.05"/>
    <x v="3"/>
    <s v="Nichole Calhoun"/>
    <x v="45"/>
    <x v="0"/>
    <x v="4"/>
    <n v="564.41999999999996"/>
    <n v="1608.5969999999998"/>
  </r>
  <r>
    <s v="T01891"/>
    <d v="2025-03-09T00:00:00"/>
    <s v="C156"/>
    <s v="P009"/>
    <s v="S004"/>
    <n v="2"/>
    <n v="0.05"/>
    <x v="2"/>
    <s v="George Young"/>
    <x v="5"/>
    <x v="2"/>
    <x v="1"/>
    <n v="123.19"/>
    <n v="234.06099999999998"/>
  </r>
  <r>
    <s v="T01892"/>
    <d v="2024-04-21T00:00:00"/>
    <s v="C020"/>
    <s v="P010"/>
    <s v="S003"/>
    <n v="2"/>
    <n v="0.1"/>
    <x v="3"/>
    <s v="Ryan Cole"/>
    <x v="36"/>
    <x v="1"/>
    <x v="0"/>
    <n v="1194.1199999999999"/>
    <n v="2149.4159999999997"/>
  </r>
  <r>
    <s v="T01893"/>
    <d v="2024-06-02T00:00:00"/>
    <s v="C109"/>
    <s v="P002"/>
    <s v="S004"/>
    <n v="4"/>
    <n v="0.05"/>
    <x v="0"/>
    <s v="Austin Hogan"/>
    <x v="2"/>
    <x v="1"/>
    <x v="1"/>
    <n v="818.76"/>
    <n v="3111.288"/>
  </r>
  <r>
    <s v="T01894"/>
    <d v="2025-08-28T00:00:00"/>
    <s v="C029"/>
    <s v="P040"/>
    <s v="S003"/>
    <n v="2"/>
    <n v="0"/>
    <x v="0"/>
    <s v="Tyler Levine"/>
    <x v="37"/>
    <x v="1"/>
    <x v="0"/>
    <n v="1745.61"/>
    <n v="3491.22"/>
  </r>
  <r>
    <s v="T01895"/>
    <d v="2025-02-23T00:00:00"/>
    <s v="C077"/>
    <s v="P028"/>
    <s v="S004"/>
    <n v="3"/>
    <n v="0.1"/>
    <x v="2"/>
    <s v="Matthew Juarez"/>
    <x v="25"/>
    <x v="1"/>
    <x v="1"/>
    <n v="673.78"/>
    <n v="1819.2059999999999"/>
  </r>
  <r>
    <s v="T01896"/>
    <d v="2025-05-30T00:00:00"/>
    <s v="C001"/>
    <s v="P009"/>
    <s v="S005"/>
    <n v="4"/>
    <n v="0.05"/>
    <x v="0"/>
    <s v="Michael Davis"/>
    <x v="5"/>
    <x v="2"/>
    <x v="4"/>
    <n v="123.19"/>
    <n v="468.12199999999996"/>
  </r>
  <r>
    <s v="T01897"/>
    <d v="2024-01-03T00:00:00"/>
    <s v="C165"/>
    <s v="P047"/>
    <s v="S005"/>
    <n v="1"/>
    <n v="0.15"/>
    <x v="1"/>
    <s v="Tanya Mueller"/>
    <x v="28"/>
    <x v="1"/>
    <x v="4"/>
    <n v="1197.18"/>
    <n v="1017.6030000000001"/>
  </r>
  <r>
    <s v="T01898"/>
    <d v="2025-02-05T00:00:00"/>
    <s v="C015"/>
    <s v="P018"/>
    <s v="S003"/>
    <n v="1"/>
    <n v="0.15"/>
    <x v="0"/>
    <s v="Matthew Molina"/>
    <x v="19"/>
    <x v="1"/>
    <x v="0"/>
    <n v="1079.8900000000001"/>
    <n v="917.90650000000005"/>
  </r>
  <r>
    <s v="T01899"/>
    <d v="2024-11-11T00:00:00"/>
    <s v="C077"/>
    <s v="P016"/>
    <s v="S003"/>
    <n v="1"/>
    <n v="0"/>
    <x v="0"/>
    <s v="Matthew Juarez"/>
    <x v="13"/>
    <x v="0"/>
    <x v="0"/>
    <n v="1858.75"/>
    <n v="1858.75"/>
  </r>
  <r>
    <s v="T01900"/>
    <d v="2025-06-03T00:00:00"/>
    <s v="C185"/>
    <s v="P050"/>
    <s v="S002"/>
    <n v="4"/>
    <n v="0.1"/>
    <x v="3"/>
    <s v="Joe Vincent"/>
    <x v="3"/>
    <x v="0"/>
    <x v="2"/>
    <n v="1044.6400000000001"/>
    <n v="3760.7040000000006"/>
  </r>
  <r>
    <s v="T01901"/>
    <d v="2024-10-21T00:00:00"/>
    <s v="C026"/>
    <s v="P041"/>
    <s v="S004"/>
    <n v="4"/>
    <n v="0.05"/>
    <x v="3"/>
    <s v="Justin Macdonald"/>
    <x v="30"/>
    <x v="1"/>
    <x v="1"/>
    <n v="1635.01"/>
    <n v="6213.0379999999996"/>
  </r>
  <r>
    <s v="T01902"/>
    <d v="2024-01-14T00:00:00"/>
    <s v="C136"/>
    <s v="P025"/>
    <s v="S005"/>
    <n v="2"/>
    <n v="0.15"/>
    <x v="3"/>
    <s v="Amanda Garcia"/>
    <x v="33"/>
    <x v="0"/>
    <x v="4"/>
    <n v="429.15"/>
    <n v="729.55499999999995"/>
  </r>
  <r>
    <s v="T01903"/>
    <d v="2023-09-30T00:00:00"/>
    <s v="C125"/>
    <s v="P049"/>
    <s v="S001"/>
    <n v="2"/>
    <n v="0.1"/>
    <x v="2"/>
    <s v="Kimberly Parker"/>
    <x v="29"/>
    <x v="0"/>
    <x v="3"/>
    <n v="388.26"/>
    <n v="698.86800000000005"/>
  </r>
  <r>
    <s v="T01904"/>
    <d v="2024-08-06T00:00:00"/>
    <s v="C121"/>
    <s v="P013"/>
    <s v="S004"/>
    <n v="3"/>
    <n v="0.1"/>
    <x v="0"/>
    <s v="John Bell"/>
    <x v="21"/>
    <x v="0"/>
    <x v="1"/>
    <n v="1134.8"/>
    <n v="3063.9599999999996"/>
  </r>
  <r>
    <s v="T01905"/>
    <d v="2025-09-09T00:00:00"/>
    <s v="C110"/>
    <s v="P023"/>
    <s v="S002"/>
    <n v="5"/>
    <n v="0.1"/>
    <x v="3"/>
    <s v="Travis Peters"/>
    <x v="20"/>
    <x v="0"/>
    <x v="2"/>
    <n v="1878.47"/>
    <n v="8453.1149999999998"/>
  </r>
  <r>
    <s v="T01906"/>
    <d v="2024-02-10T00:00:00"/>
    <s v="C113"/>
    <s v="P024"/>
    <s v="S004"/>
    <n v="2"/>
    <n v="0.05"/>
    <x v="0"/>
    <s v="Heidi Wilson"/>
    <x v="14"/>
    <x v="1"/>
    <x v="1"/>
    <n v="1487.41"/>
    <n v="2826.0790000000002"/>
  </r>
  <r>
    <s v="T01907"/>
    <d v="2024-05-01T00:00:00"/>
    <s v="C192"/>
    <s v="P027"/>
    <s v="S004"/>
    <n v="1"/>
    <n v="0.1"/>
    <x v="2"/>
    <s v="James Wilson"/>
    <x v="34"/>
    <x v="1"/>
    <x v="1"/>
    <n v="1272.23"/>
    <n v="1145.0070000000001"/>
  </r>
  <r>
    <s v="T01908"/>
    <d v="2024-09-01T00:00:00"/>
    <s v="C029"/>
    <s v="P046"/>
    <s v="S002"/>
    <n v="3"/>
    <n v="0"/>
    <x v="2"/>
    <s v="Tyler Levine"/>
    <x v="42"/>
    <x v="0"/>
    <x v="2"/>
    <n v="1165.3699999999999"/>
    <n v="3496.1099999999997"/>
  </r>
  <r>
    <s v="T01909"/>
    <d v="2024-09-30T00:00:00"/>
    <s v="C102"/>
    <s v="P048"/>
    <s v="S004"/>
    <n v="3"/>
    <n v="0"/>
    <x v="2"/>
    <s v="Carolyn Perez"/>
    <x v="11"/>
    <x v="0"/>
    <x v="1"/>
    <n v="1216.3599999999999"/>
    <n v="3649.08"/>
  </r>
  <r>
    <s v="T01910"/>
    <d v="2023-09-14T00:00:00"/>
    <s v="C171"/>
    <s v="P041"/>
    <s v="S002"/>
    <n v="4"/>
    <n v="0.1"/>
    <x v="3"/>
    <s v="Christina Dominguez"/>
    <x v="30"/>
    <x v="1"/>
    <x v="2"/>
    <n v="1635.01"/>
    <n v="5886.0360000000001"/>
  </r>
  <r>
    <s v="T01911"/>
    <d v="2025-08-28T00:00:00"/>
    <s v="C108"/>
    <s v="P050"/>
    <s v="S004"/>
    <n v="5"/>
    <n v="0.15"/>
    <x v="2"/>
    <s v="Samantha Hill"/>
    <x v="3"/>
    <x v="0"/>
    <x v="1"/>
    <n v="1044.6400000000001"/>
    <n v="4439.72"/>
  </r>
  <r>
    <s v="T01912"/>
    <d v="2023-09-21T00:00:00"/>
    <s v="C084"/>
    <s v="P036"/>
    <s v="S004"/>
    <n v="5"/>
    <n v="0.15"/>
    <x v="2"/>
    <s v="Amanda Lee"/>
    <x v="4"/>
    <x v="0"/>
    <x v="1"/>
    <n v="1501.46"/>
    <n v="6381.2049999999999"/>
  </r>
  <r>
    <s v="T01913"/>
    <d v="2024-02-29T00:00:00"/>
    <s v="C029"/>
    <s v="P047"/>
    <s v="S001"/>
    <n v="1"/>
    <n v="0.05"/>
    <x v="2"/>
    <s v="Tyler Levine"/>
    <x v="28"/>
    <x v="1"/>
    <x v="3"/>
    <n v="1197.18"/>
    <n v="1137.3209999999999"/>
  </r>
  <r>
    <s v="T01914"/>
    <d v="2025-02-09T00:00:00"/>
    <s v="C089"/>
    <s v="P032"/>
    <s v="S005"/>
    <n v="1"/>
    <n v="0.05"/>
    <x v="3"/>
    <s v="William Warner"/>
    <x v="44"/>
    <x v="2"/>
    <x v="4"/>
    <n v="304.70999999999998"/>
    <n v="289.47449999999998"/>
  </r>
  <r>
    <s v="T01915"/>
    <d v="2023-09-17T00:00:00"/>
    <s v="C174"/>
    <s v="P034"/>
    <s v="S003"/>
    <n v="4"/>
    <n v="0"/>
    <x v="1"/>
    <s v="Scott Howell"/>
    <x v="12"/>
    <x v="1"/>
    <x v="0"/>
    <n v="428.05"/>
    <n v="1712.2"/>
  </r>
  <r>
    <s v="T01916"/>
    <d v="2023-12-30T00:00:00"/>
    <s v="C123"/>
    <s v="P021"/>
    <s v="S003"/>
    <n v="3"/>
    <n v="0.15"/>
    <x v="3"/>
    <s v="Peter Edwards"/>
    <x v="23"/>
    <x v="2"/>
    <x v="0"/>
    <n v="1227.24"/>
    <n v="3129.462"/>
  </r>
  <r>
    <s v="T01917"/>
    <d v="2025-06-09T00:00:00"/>
    <s v="C195"/>
    <s v="P001"/>
    <s v="S004"/>
    <n v="2"/>
    <n v="0.05"/>
    <x v="2"/>
    <s v="James Mitchell"/>
    <x v="31"/>
    <x v="1"/>
    <x v="1"/>
    <n v="1673.69"/>
    <n v="3180.011"/>
  </r>
  <r>
    <s v="T01918"/>
    <d v="2025-08-13T00:00:00"/>
    <s v="C064"/>
    <s v="P004"/>
    <s v="S003"/>
    <n v="1"/>
    <n v="0.1"/>
    <x v="2"/>
    <s v="Amanda Hoover"/>
    <x v="49"/>
    <x v="0"/>
    <x v="0"/>
    <n v="1853.77"/>
    <n v="1668.393"/>
  </r>
  <r>
    <s v="T01919"/>
    <d v="2024-10-29T00:00:00"/>
    <s v="C171"/>
    <s v="P017"/>
    <s v="S004"/>
    <n v="2"/>
    <n v="0.15"/>
    <x v="3"/>
    <s v="Christina Dominguez"/>
    <x v="43"/>
    <x v="1"/>
    <x v="1"/>
    <n v="1246.1099999999999"/>
    <n v="2118.3869999999997"/>
  </r>
  <r>
    <s v="T01920"/>
    <d v="2024-04-25T00:00:00"/>
    <s v="C180"/>
    <s v="P048"/>
    <s v="S005"/>
    <n v="5"/>
    <n v="0.05"/>
    <x v="2"/>
    <s v="Nichole Calhoun"/>
    <x v="11"/>
    <x v="0"/>
    <x v="4"/>
    <n v="1216.3599999999999"/>
    <n v="5777.7099999999991"/>
  </r>
  <r>
    <s v="T01921"/>
    <d v="2024-11-05T00:00:00"/>
    <s v="C152"/>
    <s v="P017"/>
    <s v="S002"/>
    <n v="2"/>
    <n v="0"/>
    <x v="2"/>
    <s v="Brittany Green"/>
    <x v="43"/>
    <x v="1"/>
    <x v="2"/>
    <n v="1246.1099999999999"/>
    <n v="2492.2199999999998"/>
  </r>
  <r>
    <s v="T01922"/>
    <d v="2025-03-18T00:00:00"/>
    <s v="C103"/>
    <s v="P040"/>
    <s v="S001"/>
    <n v="3"/>
    <n v="0.05"/>
    <x v="2"/>
    <s v="David Burns"/>
    <x v="37"/>
    <x v="1"/>
    <x v="3"/>
    <n v="1745.61"/>
    <n v="4974.9884999999995"/>
  </r>
  <r>
    <s v="T01923"/>
    <d v="2025-08-06T00:00:00"/>
    <s v="C110"/>
    <s v="P035"/>
    <s v="S001"/>
    <n v="5"/>
    <n v="0.05"/>
    <x v="3"/>
    <s v="Travis Peters"/>
    <x v="7"/>
    <x v="1"/>
    <x v="3"/>
    <n v="1562.43"/>
    <n v="7421.5425000000005"/>
  </r>
  <r>
    <s v="T01924"/>
    <d v="2024-08-21T00:00:00"/>
    <s v="C014"/>
    <s v="P035"/>
    <s v="S004"/>
    <n v="4"/>
    <n v="0.1"/>
    <x v="2"/>
    <s v="Brittany Green"/>
    <x v="7"/>
    <x v="1"/>
    <x v="1"/>
    <n v="1562.43"/>
    <n v="5624.7480000000005"/>
  </r>
  <r>
    <s v="T01925"/>
    <d v="2024-07-27T00:00:00"/>
    <s v="C057"/>
    <s v="P014"/>
    <s v="S003"/>
    <n v="4"/>
    <n v="0.15"/>
    <x v="3"/>
    <s v="Julie Gibson"/>
    <x v="0"/>
    <x v="0"/>
    <x v="0"/>
    <n v="1342.75"/>
    <n v="4565.3499999999995"/>
  </r>
  <r>
    <s v="T01926"/>
    <d v="2025-02-24T00:00:00"/>
    <s v="C131"/>
    <s v="P013"/>
    <s v="S004"/>
    <n v="1"/>
    <n v="0.1"/>
    <x v="3"/>
    <s v="Denise Jackson"/>
    <x v="21"/>
    <x v="0"/>
    <x v="1"/>
    <n v="1134.8"/>
    <n v="1021.3199999999999"/>
  </r>
  <r>
    <s v="T01927"/>
    <d v="2024-04-13T00:00:00"/>
    <s v="C069"/>
    <s v="P049"/>
    <s v="S003"/>
    <n v="3"/>
    <n v="0.1"/>
    <x v="1"/>
    <s v="Gabriel Daugherty"/>
    <x v="29"/>
    <x v="0"/>
    <x v="0"/>
    <n v="388.26"/>
    <n v="1048.3019999999999"/>
  </r>
  <r>
    <s v="T01928"/>
    <d v="2024-03-25T00:00:00"/>
    <s v="C064"/>
    <s v="P033"/>
    <s v="S003"/>
    <n v="1"/>
    <n v="0.05"/>
    <x v="3"/>
    <s v="Amanda Hoover"/>
    <x v="16"/>
    <x v="0"/>
    <x v="0"/>
    <n v="1798.97"/>
    <n v="1709.0214999999998"/>
  </r>
  <r>
    <s v="T01929"/>
    <d v="2025-06-28T00:00:00"/>
    <s v="C001"/>
    <s v="P002"/>
    <s v="S001"/>
    <n v="3"/>
    <n v="0.05"/>
    <x v="0"/>
    <s v="Michael Davis"/>
    <x v="2"/>
    <x v="1"/>
    <x v="3"/>
    <n v="818.76"/>
    <n v="2333.4659999999994"/>
  </r>
  <r>
    <s v="T01930"/>
    <d v="2024-06-18T00:00:00"/>
    <s v="C121"/>
    <s v="P050"/>
    <s v="S003"/>
    <n v="5"/>
    <n v="0"/>
    <x v="1"/>
    <s v="John Bell"/>
    <x v="3"/>
    <x v="0"/>
    <x v="0"/>
    <n v="1044.6400000000001"/>
    <n v="5223.2000000000007"/>
  </r>
  <r>
    <s v="T01931"/>
    <d v="2024-01-23T00:00:00"/>
    <s v="C048"/>
    <s v="P016"/>
    <s v="S003"/>
    <n v="4"/>
    <n v="0.1"/>
    <x v="0"/>
    <s v="Alexis Crane"/>
    <x v="13"/>
    <x v="0"/>
    <x v="0"/>
    <n v="1858.75"/>
    <n v="6691.5"/>
  </r>
  <r>
    <s v="T01932"/>
    <d v="2023-10-24T00:00:00"/>
    <s v="C078"/>
    <s v="P049"/>
    <s v="S001"/>
    <n v="1"/>
    <n v="0"/>
    <x v="2"/>
    <s v="Jeanne Young"/>
    <x v="29"/>
    <x v="0"/>
    <x v="3"/>
    <n v="388.26"/>
    <n v="388.26"/>
  </r>
  <r>
    <s v="T01933"/>
    <d v="2025-06-24T00:00:00"/>
    <s v="C085"/>
    <s v="P037"/>
    <s v="S003"/>
    <n v="3"/>
    <n v="0.1"/>
    <x v="2"/>
    <s v="Juan Ramirez"/>
    <x v="27"/>
    <x v="1"/>
    <x v="0"/>
    <n v="1952.65"/>
    <n v="5272.1550000000007"/>
  </r>
  <r>
    <s v="T01934"/>
    <d v="2024-06-23T00:00:00"/>
    <s v="C167"/>
    <s v="P038"/>
    <s v="S003"/>
    <n v="2"/>
    <n v="0.15"/>
    <x v="3"/>
    <s v="Kimberly Lin"/>
    <x v="41"/>
    <x v="0"/>
    <x v="0"/>
    <n v="366.93"/>
    <n v="623.78099999999995"/>
  </r>
  <r>
    <s v="T01935"/>
    <d v="2024-09-24T00:00:00"/>
    <s v="C028"/>
    <s v="P009"/>
    <s v="S002"/>
    <n v="5"/>
    <n v="0"/>
    <x v="3"/>
    <s v="John Carr"/>
    <x v="5"/>
    <x v="2"/>
    <x v="2"/>
    <n v="123.19"/>
    <n v="615.95000000000005"/>
  </r>
  <r>
    <s v="T01936"/>
    <d v="2025-09-09T00:00:00"/>
    <s v="C151"/>
    <s v="P004"/>
    <s v="S002"/>
    <n v="2"/>
    <n v="0.15"/>
    <x v="3"/>
    <s v="Dawn Fletcher"/>
    <x v="49"/>
    <x v="0"/>
    <x v="2"/>
    <n v="1853.77"/>
    <n v="3151.4090000000001"/>
  </r>
  <r>
    <s v="T01937"/>
    <d v="2023-11-12T00:00:00"/>
    <s v="C020"/>
    <s v="P041"/>
    <s v="S005"/>
    <n v="5"/>
    <n v="0.1"/>
    <x v="0"/>
    <s v="Ryan Cole"/>
    <x v="30"/>
    <x v="1"/>
    <x v="4"/>
    <n v="1635.01"/>
    <n v="7357.5450000000001"/>
  </r>
  <r>
    <s v="T01938"/>
    <d v="2024-08-02T00:00:00"/>
    <s v="C186"/>
    <s v="P017"/>
    <s v="S004"/>
    <n v="2"/>
    <n v="0.05"/>
    <x v="3"/>
    <s v="Vicki Guzman"/>
    <x v="43"/>
    <x v="1"/>
    <x v="1"/>
    <n v="1246.1099999999999"/>
    <n v="2367.6089999999999"/>
  </r>
  <r>
    <s v="T01939"/>
    <d v="2025-02-25T00:00:00"/>
    <s v="C033"/>
    <s v="P034"/>
    <s v="S002"/>
    <n v="4"/>
    <n v="0.1"/>
    <x v="0"/>
    <s v="Jenny Beck"/>
    <x v="12"/>
    <x v="1"/>
    <x v="2"/>
    <n v="428.05"/>
    <n v="1540.98"/>
  </r>
  <r>
    <s v="T01940"/>
    <d v="2025-06-28T00:00:00"/>
    <s v="C094"/>
    <s v="P025"/>
    <s v="S004"/>
    <n v="1"/>
    <n v="0.15"/>
    <x v="3"/>
    <s v="Kimberly Stokes"/>
    <x v="33"/>
    <x v="0"/>
    <x v="1"/>
    <n v="429.15"/>
    <n v="364.77749999999997"/>
  </r>
  <r>
    <s v="T01941"/>
    <d v="2025-06-07T00:00:00"/>
    <s v="C124"/>
    <s v="P039"/>
    <s v="S004"/>
    <n v="5"/>
    <n v="0"/>
    <x v="2"/>
    <s v="Chad Roberts"/>
    <x v="22"/>
    <x v="0"/>
    <x v="1"/>
    <n v="540.94000000000005"/>
    <n v="2704.7000000000003"/>
  </r>
  <r>
    <s v="T01942"/>
    <d v="2025-06-04T00:00:00"/>
    <s v="C154"/>
    <s v="P026"/>
    <s v="S003"/>
    <n v="2"/>
    <n v="0.1"/>
    <x v="3"/>
    <s v="Lisa Martinez"/>
    <x v="15"/>
    <x v="2"/>
    <x v="0"/>
    <n v="1015.76"/>
    <n v="1828.3679999999999"/>
  </r>
  <r>
    <s v="T01943"/>
    <d v="2024-10-20T00:00:00"/>
    <s v="C145"/>
    <s v="P013"/>
    <s v="S001"/>
    <n v="2"/>
    <n v="0.15"/>
    <x v="1"/>
    <s v="Paige Osborne"/>
    <x v="21"/>
    <x v="0"/>
    <x v="3"/>
    <n v="1134.8"/>
    <n v="1929.1599999999999"/>
  </r>
  <r>
    <s v="T01944"/>
    <d v="2024-03-04T00:00:00"/>
    <s v="C176"/>
    <s v="P045"/>
    <s v="S005"/>
    <n v="5"/>
    <n v="0"/>
    <x v="2"/>
    <s v="Peter Garcia"/>
    <x v="8"/>
    <x v="2"/>
    <x v="4"/>
    <n v="1879.08"/>
    <n v="9395.4"/>
  </r>
  <r>
    <s v="T01945"/>
    <d v="2024-05-21T00:00:00"/>
    <s v="C113"/>
    <s v="P025"/>
    <s v="S005"/>
    <n v="4"/>
    <n v="0.15"/>
    <x v="1"/>
    <s v="Heidi Wilson"/>
    <x v="33"/>
    <x v="0"/>
    <x v="4"/>
    <n v="429.15"/>
    <n v="1459.11"/>
  </r>
  <r>
    <s v="T01946"/>
    <d v="2025-06-23T00:00:00"/>
    <s v="C156"/>
    <s v="P042"/>
    <s v="S003"/>
    <n v="2"/>
    <n v="0.05"/>
    <x v="3"/>
    <s v="George Young"/>
    <x v="10"/>
    <x v="0"/>
    <x v="0"/>
    <n v="453.62"/>
    <n v="861.87799999999993"/>
  </r>
  <r>
    <s v="T01947"/>
    <d v="2025-06-02T00:00:00"/>
    <s v="C041"/>
    <s v="P039"/>
    <s v="S005"/>
    <n v="2"/>
    <n v="0"/>
    <x v="1"/>
    <s v="Melissa Rodgers"/>
    <x v="22"/>
    <x v="0"/>
    <x v="4"/>
    <n v="540.94000000000005"/>
    <n v="1081.8800000000001"/>
  </r>
  <r>
    <s v="T01948"/>
    <d v="2024-07-05T00:00:00"/>
    <s v="C129"/>
    <s v="P047"/>
    <s v="S005"/>
    <n v="3"/>
    <n v="0.1"/>
    <x v="2"/>
    <s v="Gary Taylor"/>
    <x v="28"/>
    <x v="1"/>
    <x v="4"/>
    <n v="1197.18"/>
    <n v="3232.386"/>
  </r>
  <r>
    <s v="T01949"/>
    <d v="2024-07-09T00:00:00"/>
    <s v="C076"/>
    <s v="P002"/>
    <s v="S003"/>
    <n v="5"/>
    <n v="0"/>
    <x v="2"/>
    <s v="Phyllis Durham"/>
    <x v="2"/>
    <x v="1"/>
    <x v="0"/>
    <n v="818.76"/>
    <n v="4093.8"/>
  </r>
  <r>
    <s v="T01950"/>
    <d v="2025-03-02T00:00:00"/>
    <s v="C058"/>
    <s v="P011"/>
    <s v="S001"/>
    <n v="5"/>
    <n v="0.05"/>
    <x v="0"/>
    <s v="Lawrence Stewart"/>
    <x v="17"/>
    <x v="1"/>
    <x v="3"/>
    <n v="248.57"/>
    <n v="1180.7074999999998"/>
  </r>
  <r>
    <s v="T01951"/>
    <d v="2025-06-15T00:00:00"/>
    <s v="C011"/>
    <s v="P036"/>
    <s v="S002"/>
    <n v="3"/>
    <n v="0.05"/>
    <x v="0"/>
    <s v="Haley Williams"/>
    <x v="4"/>
    <x v="0"/>
    <x v="2"/>
    <n v="1501.46"/>
    <n v="4279.1610000000001"/>
  </r>
  <r>
    <s v="T01952"/>
    <d v="2025-04-11T00:00:00"/>
    <s v="C014"/>
    <s v="P002"/>
    <s v="S002"/>
    <n v="2"/>
    <n v="0"/>
    <x v="3"/>
    <s v="Brittany Green"/>
    <x v="2"/>
    <x v="1"/>
    <x v="2"/>
    <n v="818.76"/>
    <n v="1637.52"/>
  </r>
  <r>
    <s v="T01953"/>
    <d v="2023-11-10T00:00:00"/>
    <s v="C167"/>
    <s v="P018"/>
    <s v="S003"/>
    <n v="5"/>
    <n v="0.1"/>
    <x v="0"/>
    <s v="Kimberly Lin"/>
    <x v="19"/>
    <x v="1"/>
    <x v="0"/>
    <n v="1079.8900000000001"/>
    <n v="4859.505000000001"/>
  </r>
  <r>
    <s v="T01954"/>
    <d v="2025-06-30T00:00:00"/>
    <s v="C022"/>
    <s v="P011"/>
    <s v="S005"/>
    <n v="3"/>
    <n v="0.05"/>
    <x v="1"/>
    <s v="Megan Velasquez"/>
    <x v="17"/>
    <x v="1"/>
    <x v="4"/>
    <n v="248.57"/>
    <n v="708.42449999999997"/>
  </r>
  <r>
    <s v="T01955"/>
    <d v="2024-09-02T00:00:00"/>
    <s v="C157"/>
    <s v="P002"/>
    <s v="S003"/>
    <n v="3"/>
    <n v="0"/>
    <x v="3"/>
    <s v="Connie Terry"/>
    <x v="2"/>
    <x v="1"/>
    <x v="0"/>
    <n v="818.76"/>
    <n v="2456.2799999999997"/>
  </r>
  <r>
    <s v="T01956"/>
    <d v="2025-03-01T00:00:00"/>
    <s v="C092"/>
    <s v="P038"/>
    <s v="S002"/>
    <n v="3"/>
    <n v="0.05"/>
    <x v="0"/>
    <s v="Lindsey Holder"/>
    <x v="41"/>
    <x v="0"/>
    <x v="2"/>
    <n v="366.93"/>
    <n v="1045.7504999999999"/>
  </r>
  <r>
    <s v="T01957"/>
    <d v="2025-01-17T00:00:00"/>
    <s v="C005"/>
    <s v="P024"/>
    <s v="S005"/>
    <n v="5"/>
    <n v="0"/>
    <x v="1"/>
    <s v="Jamie Salinas"/>
    <x v="14"/>
    <x v="1"/>
    <x v="4"/>
    <n v="1487.41"/>
    <n v="7437.05"/>
  </r>
  <r>
    <s v="T01958"/>
    <d v="2024-03-24T00:00:00"/>
    <s v="C168"/>
    <s v="P035"/>
    <s v="S003"/>
    <n v="5"/>
    <n v="0.05"/>
    <x v="1"/>
    <s v="Richard Jones"/>
    <x v="7"/>
    <x v="1"/>
    <x v="0"/>
    <n v="1562.43"/>
    <n v="7421.5425000000005"/>
  </r>
  <r>
    <s v="T01959"/>
    <d v="2023-12-22T00:00:00"/>
    <s v="C057"/>
    <s v="P030"/>
    <s v="S003"/>
    <n v="3"/>
    <n v="0.05"/>
    <x v="1"/>
    <s v="Julie Gibson"/>
    <x v="1"/>
    <x v="0"/>
    <x v="0"/>
    <n v="29.24"/>
    <n v="83.333999999999989"/>
  </r>
  <r>
    <s v="T01960"/>
    <d v="2024-08-05T00:00:00"/>
    <s v="C040"/>
    <s v="P024"/>
    <s v="S004"/>
    <n v="2"/>
    <n v="0.15"/>
    <x v="0"/>
    <s v="Scott Powell"/>
    <x v="14"/>
    <x v="1"/>
    <x v="1"/>
    <n v="1487.41"/>
    <n v="2528.5970000000002"/>
  </r>
  <r>
    <s v="T01961"/>
    <d v="2024-11-09T00:00:00"/>
    <s v="C038"/>
    <s v="P021"/>
    <s v="S004"/>
    <n v="1"/>
    <n v="0.15"/>
    <x v="2"/>
    <s v="Tracey Davis"/>
    <x v="23"/>
    <x v="2"/>
    <x v="1"/>
    <n v="1227.24"/>
    <n v="1043.154"/>
  </r>
  <r>
    <s v="T01962"/>
    <d v="2024-01-01T00:00:00"/>
    <s v="C118"/>
    <s v="P036"/>
    <s v="S002"/>
    <n v="2"/>
    <n v="0.05"/>
    <x v="1"/>
    <s v="Gina Bradford"/>
    <x v="4"/>
    <x v="0"/>
    <x v="2"/>
    <n v="1501.46"/>
    <n v="2852.7739999999999"/>
  </r>
  <r>
    <s v="T01963"/>
    <d v="2024-09-18T00:00:00"/>
    <s v="C187"/>
    <s v="P045"/>
    <s v="S002"/>
    <n v="3"/>
    <n v="0"/>
    <x v="0"/>
    <s v="Cynthia Cherry"/>
    <x v="8"/>
    <x v="2"/>
    <x v="2"/>
    <n v="1879.08"/>
    <n v="5637.24"/>
  </r>
  <r>
    <s v="T01964"/>
    <d v="2024-08-14T00:00:00"/>
    <s v="C042"/>
    <s v="P049"/>
    <s v="S002"/>
    <n v="4"/>
    <n v="0.05"/>
    <x v="3"/>
    <s v="Anna Andrews"/>
    <x v="29"/>
    <x v="0"/>
    <x v="2"/>
    <n v="388.26"/>
    <n v="1475.3879999999999"/>
  </r>
  <r>
    <s v="T01965"/>
    <d v="2024-06-10T00:00:00"/>
    <s v="C037"/>
    <s v="P021"/>
    <s v="S001"/>
    <n v="4"/>
    <n v="0.05"/>
    <x v="1"/>
    <s v="Miranda Nelson"/>
    <x v="23"/>
    <x v="2"/>
    <x v="3"/>
    <n v="1227.24"/>
    <n v="4663.5119999999997"/>
  </r>
  <r>
    <s v="T01966"/>
    <d v="2024-02-20T00:00:00"/>
    <s v="C166"/>
    <s v="P002"/>
    <s v="S004"/>
    <n v="1"/>
    <n v="0.05"/>
    <x v="3"/>
    <s v="Meagan Ali"/>
    <x v="2"/>
    <x v="1"/>
    <x v="1"/>
    <n v="818.76"/>
    <n v="777.822"/>
  </r>
  <r>
    <s v="T01967"/>
    <d v="2023-10-09T00:00:00"/>
    <s v="C155"/>
    <s v="P030"/>
    <s v="S001"/>
    <n v="4"/>
    <n v="0.15"/>
    <x v="3"/>
    <s v="Jill Mcconnell"/>
    <x v="1"/>
    <x v="0"/>
    <x v="3"/>
    <n v="29.24"/>
    <n v="99.415999999999997"/>
  </r>
  <r>
    <s v="T01968"/>
    <d v="2024-03-19T00:00:00"/>
    <s v="C029"/>
    <s v="P030"/>
    <s v="S001"/>
    <n v="1"/>
    <n v="0.05"/>
    <x v="2"/>
    <s v="Tyler Levine"/>
    <x v="1"/>
    <x v="0"/>
    <x v="3"/>
    <n v="29.24"/>
    <n v="27.777999999999999"/>
  </r>
  <r>
    <s v="T01969"/>
    <d v="2025-02-21T00:00:00"/>
    <s v="C198"/>
    <s v="P009"/>
    <s v="S001"/>
    <n v="3"/>
    <n v="0.05"/>
    <x v="3"/>
    <s v="Jessica Mullins"/>
    <x v="5"/>
    <x v="2"/>
    <x v="3"/>
    <n v="123.19"/>
    <n v="351.0915"/>
  </r>
  <r>
    <s v="T01970"/>
    <d v="2023-12-02T00:00:00"/>
    <s v="C003"/>
    <s v="P041"/>
    <s v="S001"/>
    <n v="5"/>
    <n v="0.1"/>
    <x v="3"/>
    <s v="Carol Hays"/>
    <x v="30"/>
    <x v="1"/>
    <x v="3"/>
    <n v="1635.01"/>
    <n v="7357.5450000000001"/>
  </r>
  <r>
    <s v="T01971"/>
    <d v="2024-08-21T00:00:00"/>
    <s v="C052"/>
    <s v="P011"/>
    <s v="S002"/>
    <n v="4"/>
    <n v="0.15"/>
    <x v="2"/>
    <s v="Billy Hernandez"/>
    <x v="17"/>
    <x v="1"/>
    <x v="2"/>
    <n v="248.57"/>
    <n v="845.13799999999992"/>
  </r>
  <r>
    <s v="T01972"/>
    <d v="2025-05-15T00:00:00"/>
    <s v="C079"/>
    <s v="P046"/>
    <s v="S003"/>
    <n v="4"/>
    <n v="0.05"/>
    <x v="2"/>
    <s v="Donald Marsh"/>
    <x v="42"/>
    <x v="0"/>
    <x v="0"/>
    <n v="1165.3699999999999"/>
    <n v="4428.405999999999"/>
  </r>
  <r>
    <s v="T01973"/>
    <d v="2024-07-22T00:00:00"/>
    <s v="C015"/>
    <s v="P001"/>
    <s v="S005"/>
    <n v="3"/>
    <n v="0"/>
    <x v="3"/>
    <s v="Matthew Molina"/>
    <x v="31"/>
    <x v="1"/>
    <x v="4"/>
    <n v="1673.69"/>
    <n v="5021.07"/>
  </r>
  <r>
    <s v="T01974"/>
    <d v="2024-05-18T00:00:00"/>
    <s v="C012"/>
    <s v="P024"/>
    <s v="S001"/>
    <n v="5"/>
    <n v="0.1"/>
    <x v="3"/>
    <s v="Dale Perry"/>
    <x v="14"/>
    <x v="1"/>
    <x v="3"/>
    <n v="1487.41"/>
    <n v="6693.3450000000003"/>
  </r>
  <r>
    <s v="T01975"/>
    <d v="2023-11-16T00:00:00"/>
    <s v="C131"/>
    <s v="P032"/>
    <s v="S004"/>
    <n v="2"/>
    <n v="0"/>
    <x v="2"/>
    <s v="Denise Jackson"/>
    <x v="44"/>
    <x v="2"/>
    <x v="1"/>
    <n v="304.70999999999998"/>
    <n v="609.41999999999996"/>
  </r>
  <r>
    <s v="T01976"/>
    <d v="2024-10-02T00:00:00"/>
    <s v="C007"/>
    <s v="P013"/>
    <s v="S002"/>
    <n v="4"/>
    <n v="0.15"/>
    <x v="2"/>
    <s v="Erin Walker"/>
    <x v="21"/>
    <x v="0"/>
    <x v="2"/>
    <n v="1134.8"/>
    <n v="3858.3199999999997"/>
  </r>
  <r>
    <s v="T01977"/>
    <d v="2024-10-24T00:00:00"/>
    <s v="C091"/>
    <s v="P021"/>
    <s v="S003"/>
    <n v="2"/>
    <n v="0.15"/>
    <x v="3"/>
    <s v="Brian Fowler"/>
    <x v="23"/>
    <x v="2"/>
    <x v="0"/>
    <n v="1227.24"/>
    <n v="2086.308"/>
  </r>
  <r>
    <s v="T01978"/>
    <d v="2023-09-21T00:00:00"/>
    <s v="C126"/>
    <s v="P012"/>
    <s v="S002"/>
    <n v="1"/>
    <n v="0.05"/>
    <x v="3"/>
    <s v="Monique Johnson"/>
    <x v="38"/>
    <x v="1"/>
    <x v="2"/>
    <n v="1193.0899999999999"/>
    <n v="1133.4354999999998"/>
  </r>
  <r>
    <s v="T01979"/>
    <d v="2024-11-08T00:00:00"/>
    <s v="C073"/>
    <s v="P024"/>
    <s v="S003"/>
    <n v="1"/>
    <n v="0.1"/>
    <x v="3"/>
    <s v="Carl Armstrong"/>
    <x v="14"/>
    <x v="1"/>
    <x v="0"/>
    <n v="1487.41"/>
    <n v="1338.6690000000001"/>
  </r>
  <r>
    <s v="T01980"/>
    <d v="2025-01-28T00:00:00"/>
    <s v="C093"/>
    <s v="P018"/>
    <s v="S001"/>
    <n v="1"/>
    <n v="0.05"/>
    <x v="2"/>
    <s v="Stanley Brown"/>
    <x v="19"/>
    <x v="1"/>
    <x v="3"/>
    <n v="1079.8900000000001"/>
    <n v="1025.8955000000001"/>
  </r>
  <r>
    <s v="T01981"/>
    <d v="2025-05-06T00:00:00"/>
    <s v="C110"/>
    <s v="P019"/>
    <s v="S005"/>
    <n v="3"/>
    <n v="0.05"/>
    <x v="1"/>
    <s v="Travis Peters"/>
    <x v="26"/>
    <x v="1"/>
    <x v="4"/>
    <n v="1762.92"/>
    <n v="5024.3220000000001"/>
  </r>
  <r>
    <s v="T01982"/>
    <d v="2023-10-18T00:00:00"/>
    <s v="C039"/>
    <s v="P028"/>
    <s v="S003"/>
    <n v="5"/>
    <n v="0.1"/>
    <x v="0"/>
    <s v="Nancy Savage"/>
    <x v="25"/>
    <x v="1"/>
    <x v="0"/>
    <n v="673.78"/>
    <n v="3032.0099999999998"/>
  </r>
  <r>
    <s v="T01983"/>
    <d v="2025-01-16T00:00:00"/>
    <s v="C027"/>
    <s v="P019"/>
    <s v="S003"/>
    <n v="4"/>
    <n v="0.1"/>
    <x v="0"/>
    <s v="Jacqueline Martin"/>
    <x v="26"/>
    <x v="1"/>
    <x v="0"/>
    <n v="1762.92"/>
    <n v="6346.5120000000006"/>
  </r>
  <r>
    <s v="T01984"/>
    <d v="2025-03-03T00:00:00"/>
    <s v="C183"/>
    <s v="P024"/>
    <s v="S001"/>
    <n v="1"/>
    <n v="0.05"/>
    <x v="2"/>
    <s v="Mary Dawson"/>
    <x v="14"/>
    <x v="1"/>
    <x v="3"/>
    <n v="1487.41"/>
    <n v="1413.0395000000001"/>
  </r>
  <r>
    <s v="T01985"/>
    <d v="2025-01-04T00:00:00"/>
    <s v="C082"/>
    <s v="P024"/>
    <s v="S002"/>
    <n v="4"/>
    <n v="0.15"/>
    <x v="1"/>
    <s v="Amy Haley"/>
    <x v="14"/>
    <x v="1"/>
    <x v="2"/>
    <n v="1487.41"/>
    <n v="5057.1940000000004"/>
  </r>
  <r>
    <s v="T01986"/>
    <d v="2025-02-02T00:00:00"/>
    <s v="C018"/>
    <s v="P032"/>
    <s v="S001"/>
    <n v="5"/>
    <n v="0.15"/>
    <x v="0"/>
    <s v="Breanna Davis"/>
    <x v="44"/>
    <x v="2"/>
    <x v="3"/>
    <n v="304.70999999999998"/>
    <n v="1295.0174999999999"/>
  </r>
  <r>
    <s v="T01987"/>
    <d v="2025-01-08T00:00:00"/>
    <s v="C038"/>
    <s v="P021"/>
    <s v="S001"/>
    <n v="3"/>
    <n v="0.05"/>
    <x v="2"/>
    <s v="Tracey Davis"/>
    <x v="23"/>
    <x v="2"/>
    <x v="3"/>
    <n v="1227.24"/>
    <n v="3497.634"/>
  </r>
  <r>
    <s v="T01988"/>
    <d v="2024-04-04T00:00:00"/>
    <s v="C197"/>
    <s v="P049"/>
    <s v="S004"/>
    <n v="3"/>
    <n v="0.1"/>
    <x v="1"/>
    <s v="Matthew Dixon"/>
    <x v="29"/>
    <x v="0"/>
    <x v="1"/>
    <n v="388.26"/>
    <n v="1048.3019999999999"/>
  </r>
  <r>
    <s v="T01989"/>
    <d v="2023-12-25T00:00:00"/>
    <s v="C109"/>
    <s v="P042"/>
    <s v="S004"/>
    <n v="4"/>
    <n v="0.1"/>
    <x v="2"/>
    <s v="Austin Hogan"/>
    <x v="10"/>
    <x v="0"/>
    <x v="1"/>
    <n v="453.62"/>
    <n v="1633.0320000000002"/>
  </r>
  <r>
    <s v="T01990"/>
    <d v="2025-01-10T00:00:00"/>
    <s v="C168"/>
    <s v="P036"/>
    <s v="S002"/>
    <n v="4"/>
    <n v="0.15"/>
    <x v="1"/>
    <s v="Richard Jones"/>
    <x v="4"/>
    <x v="0"/>
    <x v="2"/>
    <n v="1501.46"/>
    <n v="5104.9639999999999"/>
  </r>
  <r>
    <s v="T01991"/>
    <d v="2024-05-17T00:00:00"/>
    <s v="C138"/>
    <s v="P010"/>
    <s v="S005"/>
    <n v="4"/>
    <n v="0.05"/>
    <x v="1"/>
    <s v="Breanna Moore"/>
    <x v="36"/>
    <x v="1"/>
    <x v="4"/>
    <n v="1194.1199999999999"/>
    <n v="4537.655999999999"/>
  </r>
  <r>
    <s v="T01992"/>
    <d v="2024-11-07T00:00:00"/>
    <s v="C022"/>
    <s v="P037"/>
    <s v="S005"/>
    <n v="4"/>
    <n v="0.05"/>
    <x v="3"/>
    <s v="Megan Velasquez"/>
    <x v="27"/>
    <x v="1"/>
    <x v="4"/>
    <n v="1952.65"/>
    <n v="7420.07"/>
  </r>
  <r>
    <s v="T01993"/>
    <d v="2023-09-15T00:00:00"/>
    <s v="C061"/>
    <s v="P013"/>
    <s v="S003"/>
    <n v="1"/>
    <n v="0.05"/>
    <x v="3"/>
    <s v="Heather Russell"/>
    <x v="21"/>
    <x v="0"/>
    <x v="0"/>
    <n v="1134.8"/>
    <n v="1078.06"/>
  </r>
  <r>
    <s v="T01994"/>
    <d v="2025-09-07T00:00:00"/>
    <s v="C093"/>
    <s v="P029"/>
    <s v="S005"/>
    <n v="4"/>
    <n v="0.05"/>
    <x v="3"/>
    <s v="Stanley Brown"/>
    <x v="47"/>
    <x v="0"/>
    <x v="4"/>
    <n v="1485.05"/>
    <n v="5643.19"/>
  </r>
  <r>
    <s v="T01995"/>
    <d v="2024-04-04T00:00:00"/>
    <s v="C016"/>
    <s v="P043"/>
    <s v="S003"/>
    <n v="3"/>
    <n v="0.05"/>
    <x v="0"/>
    <s v="Miguel Johnson"/>
    <x v="45"/>
    <x v="0"/>
    <x v="0"/>
    <n v="564.41999999999996"/>
    <n v="1608.5969999999998"/>
  </r>
  <r>
    <s v="T01996"/>
    <d v="2023-10-24T00:00:00"/>
    <s v="C118"/>
    <s v="P034"/>
    <s v="S002"/>
    <n v="5"/>
    <n v="0.15"/>
    <x v="2"/>
    <s v="Gina Bradford"/>
    <x v="12"/>
    <x v="1"/>
    <x v="2"/>
    <n v="428.05"/>
    <n v="1819.2124999999999"/>
  </r>
  <r>
    <s v="T01997"/>
    <d v="2023-12-29T00:00:00"/>
    <s v="C054"/>
    <s v="P027"/>
    <s v="S002"/>
    <n v="1"/>
    <n v="0.05"/>
    <x v="3"/>
    <s v="Crystal Johnson"/>
    <x v="34"/>
    <x v="1"/>
    <x v="2"/>
    <n v="1272.23"/>
    <n v="1208.6185"/>
  </r>
  <r>
    <s v="T01998"/>
    <d v="2024-01-05T00:00:00"/>
    <s v="C179"/>
    <s v="P009"/>
    <s v="S002"/>
    <n v="4"/>
    <n v="0"/>
    <x v="1"/>
    <s v="Dennis Wallace"/>
    <x v="5"/>
    <x v="2"/>
    <x v="2"/>
    <n v="123.19"/>
    <n v="492.76"/>
  </r>
  <r>
    <s v="T01999"/>
    <d v="2024-04-24T00:00:00"/>
    <s v="C096"/>
    <s v="P020"/>
    <s v="S001"/>
    <n v="1"/>
    <n v="0"/>
    <x v="1"/>
    <s v="Eric King"/>
    <x v="24"/>
    <x v="0"/>
    <x v="3"/>
    <n v="323.92"/>
    <n v="323.92"/>
  </r>
  <r>
    <s v="T02000"/>
    <d v="2025-01-06T00:00:00"/>
    <s v="C153"/>
    <s v="P010"/>
    <s v="S002"/>
    <n v="1"/>
    <n v="0.05"/>
    <x v="0"/>
    <s v="Nancy Gordon"/>
    <x v="36"/>
    <x v="1"/>
    <x v="2"/>
    <n v="1194.1199999999999"/>
    <n v="1134.4139999999998"/>
  </r>
  <r>
    <s v="T02001"/>
    <d v="2024-08-07T00:00:00"/>
    <s v="C037"/>
    <s v="P001"/>
    <s v="S001"/>
    <n v="2"/>
    <n v="0"/>
    <x v="3"/>
    <s v="Miranda Nelson"/>
    <x v="31"/>
    <x v="1"/>
    <x v="3"/>
    <n v="1673.69"/>
    <n v="3347.38"/>
  </r>
  <r>
    <s v="T02002"/>
    <d v="2024-12-29T00:00:00"/>
    <s v="C146"/>
    <s v="P038"/>
    <s v="S004"/>
    <n v="2"/>
    <n v="0.05"/>
    <x v="1"/>
    <s v="John Johnson"/>
    <x v="41"/>
    <x v="0"/>
    <x v="1"/>
    <n v="366.93"/>
    <n v="697.16700000000003"/>
  </r>
  <r>
    <s v="T02003"/>
    <d v="2023-09-17T00:00:00"/>
    <s v="C191"/>
    <s v="P048"/>
    <s v="S002"/>
    <n v="5"/>
    <n v="0.1"/>
    <x v="1"/>
    <s v="Karen Quinn"/>
    <x v="11"/>
    <x v="0"/>
    <x v="2"/>
    <n v="1216.3599999999999"/>
    <n v="5473.62"/>
  </r>
  <r>
    <s v="T02004"/>
    <d v="2025-06-25T00:00:00"/>
    <s v="C106"/>
    <s v="P039"/>
    <s v="S003"/>
    <n v="4"/>
    <n v="0"/>
    <x v="0"/>
    <s v="Kevin Flores"/>
    <x v="22"/>
    <x v="0"/>
    <x v="0"/>
    <n v="540.94000000000005"/>
    <n v="2163.7600000000002"/>
  </r>
  <r>
    <s v="T02005"/>
    <d v="2025-08-06T00:00:00"/>
    <s v="C029"/>
    <s v="P047"/>
    <s v="S002"/>
    <n v="1"/>
    <n v="0"/>
    <x v="2"/>
    <s v="Tyler Levine"/>
    <x v="28"/>
    <x v="1"/>
    <x v="2"/>
    <n v="1197.18"/>
    <n v="1197.18"/>
  </r>
  <r>
    <s v="T02006"/>
    <d v="2024-03-13T00:00:00"/>
    <s v="C129"/>
    <s v="P040"/>
    <s v="S002"/>
    <n v="1"/>
    <n v="0.15"/>
    <x v="1"/>
    <s v="Gary Taylor"/>
    <x v="37"/>
    <x v="1"/>
    <x v="2"/>
    <n v="1745.61"/>
    <n v="1483.7684999999999"/>
  </r>
  <r>
    <s v="T02007"/>
    <d v="2024-10-13T00:00:00"/>
    <s v="C175"/>
    <s v="P011"/>
    <s v="S004"/>
    <n v="5"/>
    <n v="0.1"/>
    <x v="0"/>
    <s v="Stacey Thompson"/>
    <x v="17"/>
    <x v="1"/>
    <x v="1"/>
    <n v="248.57"/>
    <n v="1118.5650000000001"/>
  </r>
  <r>
    <s v="T02008"/>
    <d v="2024-03-26T00:00:00"/>
    <s v="C182"/>
    <s v="P024"/>
    <s v="S002"/>
    <n v="4"/>
    <n v="0.05"/>
    <x v="0"/>
    <s v="Meghan Wright"/>
    <x v="14"/>
    <x v="1"/>
    <x v="2"/>
    <n v="1487.41"/>
    <n v="5652.1580000000004"/>
  </r>
  <r>
    <s v="T02009"/>
    <d v="2024-03-28T00:00:00"/>
    <s v="C024"/>
    <s v="P008"/>
    <s v="S005"/>
    <n v="4"/>
    <n v="0.05"/>
    <x v="2"/>
    <s v="Molly Murray"/>
    <x v="48"/>
    <x v="0"/>
    <x v="4"/>
    <n v="109.78"/>
    <n v="417.16399999999999"/>
  </r>
  <r>
    <s v="T02010"/>
    <d v="2025-04-04T00:00:00"/>
    <s v="C103"/>
    <s v="P025"/>
    <s v="S005"/>
    <n v="1"/>
    <n v="0.05"/>
    <x v="1"/>
    <s v="David Burns"/>
    <x v="33"/>
    <x v="0"/>
    <x v="4"/>
    <n v="429.15"/>
    <n v="407.69249999999994"/>
  </r>
  <r>
    <s v="T02011"/>
    <d v="2024-10-03T00:00:00"/>
    <s v="C048"/>
    <s v="P003"/>
    <s v="S005"/>
    <n v="5"/>
    <n v="0"/>
    <x v="1"/>
    <s v="Alexis Crane"/>
    <x v="46"/>
    <x v="0"/>
    <x v="4"/>
    <n v="337.63"/>
    <n v="1688.15"/>
  </r>
  <r>
    <s v="T02012"/>
    <d v="2023-12-15T00:00:00"/>
    <s v="C123"/>
    <s v="P047"/>
    <s v="S003"/>
    <n v="4"/>
    <n v="0.15"/>
    <x v="2"/>
    <s v="Peter Edwards"/>
    <x v="28"/>
    <x v="1"/>
    <x v="0"/>
    <n v="1197.18"/>
    <n v="4070.4120000000003"/>
  </r>
  <r>
    <s v="T02013"/>
    <d v="2024-04-07T00:00:00"/>
    <s v="C014"/>
    <s v="P016"/>
    <s v="S003"/>
    <n v="4"/>
    <n v="0.05"/>
    <x v="0"/>
    <s v="Brittany Green"/>
    <x v="13"/>
    <x v="0"/>
    <x v="0"/>
    <n v="1858.75"/>
    <n v="7063.25"/>
  </r>
  <r>
    <s v="T02014"/>
    <d v="2023-12-19T00:00:00"/>
    <s v="C028"/>
    <s v="P050"/>
    <s v="S001"/>
    <n v="1"/>
    <n v="0.1"/>
    <x v="0"/>
    <s v="John Carr"/>
    <x v="3"/>
    <x v="0"/>
    <x v="3"/>
    <n v="1044.6400000000001"/>
    <n v="940.17600000000016"/>
  </r>
  <r>
    <s v="T02015"/>
    <d v="2025-02-11T00:00:00"/>
    <s v="C008"/>
    <s v="P025"/>
    <s v="S002"/>
    <n v="3"/>
    <n v="0.05"/>
    <x v="3"/>
    <s v="Isaiah Williams"/>
    <x v="33"/>
    <x v="0"/>
    <x v="2"/>
    <n v="429.15"/>
    <n v="1223.0774999999999"/>
  </r>
  <r>
    <s v="T02016"/>
    <d v="2024-02-20T00:00:00"/>
    <s v="C017"/>
    <s v="P036"/>
    <s v="S002"/>
    <n v="5"/>
    <n v="0"/>
    <x v="0"/>
    <s v="Vanessa Anderson"/>
    <x v="4"/>
    <x v="0"/>
    <x v="2"/>
    <n v="1501.46"/>
    <n v="7507.3"/>
  </r>
  <r>
    <s v="T02017"/>
    <d v="2023-09-30T00:00:00"/>
    <s v="C049"/>
    <s v="P005"/>
    <s v="S005"/>
    <n v="2"/>
    <n v="0"/>
    <x v="2"/>
    <s v="Antonio Hamilton"/>
    <x v="6"/>
    <x v="0"/>
    <x v="4"/>
    <n v="1396.22"/>
    <n v="2792.44"/>
  </r>
  <r>
    <s v="T02018"/>
    <d v="2024-12-15T00:00:00"/>
    <s v="C069"/>
    <s v="P046"/>
    <s v="S001"/>
    <n v="5"/>
    <n v="0"/>
    <x v="1"/>
    <s v="Gabriel Daugherty"/>
    <x v="42"/>
    <x v="0"/>
    <x v="3"/>
    <n v="1165.3699999999999"/>
    <n v="5826.8499999999995"/>
  </r>
  <r>
    <s v="T02019"/>
    <d v="2023-12-08T00:00:00"/>
    <s v="C012"/>
    <s v="P029"/>
    <s v="S001"/>
    <n v="3"/>
    <n v="0"/>
    <x v="0"/>
    <s v="Dale Perry"/>
    <x v="47"/>
    <x v="0"/>
    <x v="3"/>
    <n v="1485.05"/>
    <n v="4455.1499999999996"/>
  </r>
  <r>
    <s v="T02020"/>
    <d v="2025-03-20T00:00:00"/>
    <s v="C003"/>
    <s v="P045"/>
    <s v="S003"/>
    <n v="3"/>
    <n v="0.15"/>
    <x v="2"/>
    <s v="Carol Hays"/>
    <x v="8"/>
    <x v="2"/>
    <x v="0"/>
    <n v="1879.08"/>
    <n v="4791.6539999999995"/>
  </r>
  <r>
    <s v="T02021"/>
    <d v="2023-11-15T00:00:00"/>
    <s v="C081"/>
    <s v="P017"/>
    <s v="S004"/>
    <n v="3"/>
    <n v="0.05"/>
    <x v="3"/>
    <s v="Sarah Reynolds"/>
    <x v="43"/>
    <x v="1"/>
    <x v="1"/>
    <n v="1246.1099999999999"/>
    <n v="3551.4134999999997"/>
  </r>
  <r>
    <s v="T02022"/>
    <d v="2024-02-25T00:00:00"/>
    <s v="C085"/>
    <s v="P047"/>
    <s v="S004"/>
    <n v="5"/>
    <n v="0"/>
    <x v="2"/>
    <s v="Juan Ramirez"/>
    <x v="28"/>
    <x v="1"/>
    <x v="1"/>
    <n v="1197.18"/>
    <n v="5985.9000000000005"/>
  </r>
  <r>
    <s v="T02023"/>
    <d v="2024-07-05T00:00:00"/>
    <s v="C007"/>
    <s v="P005"/>
    <s v="S005"/>
    <n v="4"/>
    <n v="0.15"/>
    <x v="3"/>
    <s v="Erin Walker"/>
    <x v="6"/>
    <x v="0"/>
    <x v="4"/>
    <n v="1396.22"/>
    <n v="4747.1480000000001"/>
  </r>
  <r>
    <s v="T02024"/>
    <d v="2023-12-01T00:00:00"/>
    <s v="C075"/>
    <s v="P028"/>
    <s v="S002"/>
    <n v="2"/>
    <n v="0.15"/>
    <x v="3"/>
    <s v="Seth Moore"/>
    <x v="25"/>
    <x v="1"/>
    <x v="2"/>
    <n v="673.78"/>
    <n v="1145.4259999999999"/>
  </r>
  <r>
    <s v="T02025"/>
    <d v="2024-10-06T00:00:00"/>
    <s v="C161"/>
    <s v="P021"/>
    <s v="S001"/>
    <n v="2"/>
    <n v="0.05"/>
    <x v="2"/>
    <s v="Michael Perez"/>
    <x v="23"/>
    <x v="2"/>
    <x v="3"/>
    <n v="1227.24"/>
    <n v="2331.7559999999999"/>
  </r>
  <r>
    <s v="T02026"/>
    <d v="2023-12-08T00:00:00"/>
    <s v="C197"/>
    <s v="P008"/>
    <s v="S002"/>
    <n v="5"/>
    <n v="0.1"/>
    <x v="1"/>
    <s v="Matthew Dixon"/>
    <x v="48"/>
    <x v="0"/>
    <x v="2"/>
    <n v="109.78"/>
    <n v="494.01"/>
  </r>
  <r>
    <s v="T02027"/>
    <d v="2024-12-12T00:00:00"/>
    <s v="C034"/>
    <s v="P024"/>
    <s v="S003"/>
    <n v="3"/>
    <n v="0.1"/>
    <x v="1"/>
    <s v="Kari Miller"/>
    <x v="14"/>
    <x v="1"/>
    <x v="0"/>
    <n v="1487.41"/>
    <n v="4016.0070000000005"/>
  </r>
  <r>
    <s v="T02028"/>
    <d v="2024-07-01T00:00:00"/>
    <s v="C011"/>
    <s v="P011"/>
    <s v="S004"/>
    <n v="2"/>
    <n v="0.05"/>
    <x v="3"/>
    <s v="Haley Williams"/>
    <x v="17"/>
    <x v="1"/>
    <x v="1"/>
    <n v="248.57"/>
    <n v="472.28299999999996"/>
  </r>
  <r>
    <s v="T02029"/>
    <d v="2025-01-30T00:00:00"/>
    <s v="C040"/>
    <s v="P032"/>
    <s v="S005"/>
    <n v="4"/>
    <n v="0"/>
    <x v="3"/>
    <s v="Scott Powell"/>
    <x v="44"/>
    <x v="2"/>
    <x v="4"/>
    <n v="304.70999999999998"/>
    <n v="1218.8399999999999"/>
  </r>
  <r>
    <s v="T02030"/>
    <d v="2025-02-16T00:00:00"/>
    <s v="C037"/>
    <s v="P025"/>
    <s v="S003"/>
    <n v="5"/>
    <n v="0"/>
    <x v="1"/>
    <s v="Miranda Nelson"/>
    <x v="33"/>
    <x v="0"/>
    <x v="0"/>
    <n v="429.15"/>
    <n v="2145.75"/>
  </r>
  <r>
    <s v="T02031"/>
    <d v="2024-03-29T00:00:00"/>
    <s v="C025"/>
    <s v="P036"/>
    <s v="S004"/>
    <n v="3"/>
    <n v="0.05"/>
    <x v="0"/>
    <s v="Cheryl Gilbert"/>
    <x v="4"/>
    <x v="0"/>
    <x v="1"/>
    <n v="1501.46"/>
    <n v="4279.1610000000001"/>
  </r>
  <r>
    <s v="T02032"/>
    <d v="2023-12-31T00:00:00"/>
    <s v="C042"/>
    <s v="P010"/>
    <s v="S001"/>
    <n v="3"/>
    <n v="0.1"/>
    <x v="0"/>
    <s v="Anna Andrews"/>
    <x v="36"/>
    <x v="1"/>
    <x v="3"/>
    <n v="1194.1199999999999"/>
    <n v="3224.1239999999998"/>
  </r>
  <r>
    <s v="T02033"/>
    <d v="2024-03-28T00:00:00"/>
    <s v="C023"/>
    <s v="P025"/>
    <s v="S001"/>
    <n v="2"/>
    <n v="0.15"/>
    <x v="0"/>
    <s v="Mark Martinez"/>
    <x v="33"/>
    <x v="0"/>
    <x v="3"/>
    <n v="429.15"/>
    <n v="729.55499999999995"/>
  </r>
  <r>
    <s v="T02034"/>
    <d v="2025-05-18T00:00:00"/>
    <s v="C122"/>
    <s v="P041"/>
    <s v="S003"/>
    <n v="4"/>
    <n v="0.05"/>
    <x v="3"/>
    <s v="Amy Smith"/>
    <x v="30"/>
    <x v="1"/>
    <x v="0"/>
    <n v="1635.01"/>
    <n v="6213.0379999999996"/>
  </r>
  <r>
    <s v="T02035"/>
    <d v="2024-02-12T00:00:00"/>
    <s v="C146"/>
    <s v="P048"/>
    <s v="S004"/>
    <n v="1"/>
    <n v="0.1"/>
    <x v="0"/>
    <s v="John Johnson"/>
    <x v="11"/>
    <x v="0"/>
    <x v="1"/>
    <n v="1216.3599999999999"/>
    <n v="1094.7239999999999"/>
  </r>
  <r>
    <s v="T02036"/>
    <d v="2024-07-20T00:00:00"/>
    <s v="C103"/>
    <s v="P022"/>
    <s v="S004"/>
    <n v="5"/>
    <n v="0.05"/>
    <x v="1"/>
    <s v="David Burns"/>
    <x v="9"/>
    <x v="2"/>
    <x v="1"/>
    <n v="25.57"/>
    <n v="121.4575"/>
  </r>
  <r>
    <s v="T02037"/>
    <d v="2025-03-23T00:00:00"/>
    <s v="C094"/>
    <s v="P027"/>
    <s v="S005"/>
    <n v="5"/>
    <n v="0.1"/>
    <x v="0"/>
    <s v="Kimberly Stokes"/>
    <x v="34"/>
    <x v="1"/>
    <x v="4"/>
    <n v="1272.23"/>
    <n v="5725.0349999999999"/>
  </r>
  <r>
    <s v="T02038"/>
    <d v="2025-05-06T00:00:00"/>
    <s v="C022"/>
    <s v="P022"/>
    <s v="S004"/>
    <n v="5"/>
    <n v="0.15"/>
    <x v="0"/>
    <s v="Megan Velasquez"/>
    <x v="9"/>
    <x v="2"/>
    <x v="1"/>
    <n v="25.57"/>
    <n v="108.67249999999999"/>
  </r>
  <r>
    <s v="T02039"/>
    <d v="2023-10-08T00:00:00"/>
    <s v="C175"/>
    <s v="P022"/>
    <s v="S001"/>
    <n v="5"/>
    <n v="0"/>
    <x v="2"/>
    <s v="Stacey Thompson"/>
    <x v="9"/>
    <x v="2"/>
    <x v="3"/>
    <n v="25.57"/>
    <n v="127.85"/>
  </r>
  <r>
    <s v="T02040"/>
    <d v="2025-07-07T00:00:00"/>
    <s v="C180"/>
    <s v="P018"/>
    <s v="S005"/>
    <n v="1"/>
    <n v="0.05"/>
    <x v="3"/>
    <s v="Nichole Calhoun"/>
    <x v="19"/>
    <x v="1"/>
    <x v="4"/>
    <n v="1079.8900000000001"/>
    <n v="1025.8955000000001"/>
  </r>
  <r>
    <s v="T02041"/>
    <d v="2023-11-21T00:00:00"/>
    <s v="C075"/>
    <s v="P024"/>
    <s v="S004"/>
    <n v="2"/>
    <n v="0.15"/>
    <x v="3"/>
    <s v="Seth Moore"/>
    <x v="14"/>
    <x v="1"/>
    <x v="1"/>
    <n v="1487.41"/>
    <n v="2528.5970000000002"/>
  </r>
  <r>
    <s v="T02042"/>
    <d v="2024-08-07T00:00:00"/>
    <s v="C058"/>
    <s v="P046"/>
    <s v="S004"/>
    <n v="4"/>
    <n v="0"/>
    <x v="0"/>
    <s v="Lawrence Stewart"/>
    <x v="42"/>
    <x v="0"/>
    <x v="1"/>
    <n v="1165.3699999999999"/>
    <n v="4661.4799999999996"/>
  </r>
  <r>
    <s v="T02043"/>
    <d v="2024-09-29T00:00:00"/>
    <s v="C120"/>
    <s v="P015"/>
    <s v="S004"/>
    <n v="5"/>
    <n v="0.15"/>
    <x v="3"/>
    <s v="Curtis Faulkner"/>
    <x v="40"/>
    <x v="0"/>
    <x v="1"/>
    <n v="270.45"/>
    <n v="1149.4124999999999"/>
  </r>
  <r>
    <s v="T02044"/>
    <d v="2025-03-27T00:00:00"/>
    <s v="C022"/>
    <s v="P013"/>
    <s v="S002"/>
    <n v="1"/>
    <n v="0.15"/>
    <x v="1"/>
    <s v="Megan Velasquez"/>
    <x v="21"/>
    <x v="0"/>
    <x v="2"/>
    <n v="1134.8"/>
    <n v="964.57999999999993"/>
  </r>
  <r>
    <s v="T02045"/>
    <d v="2024-09-20T00:00:00"/>
    <s v="C052"/>
    <s v="P044"/>
    <s v="S004"/>
    <n v="3"/>
    <n v="0"/>
    <x v="0"/>
    <s v="Billy Hernandez"/>
    <x v="32"/>
    <x v="0"/>
    <x v="1"/>
    <n v="1286.55"/>
    <n v="3859.6499999999996"/>
  </r>
  <r>
    <s v="T02046"/>
    <d v="2024-07-11T00:00:00"/>
    <s v="C088"/>
    <s v="P033"/>
    <s v="S005"/>
    <n v="4"/>
    <n v="0.05"/>
    <x v="1"/>
    <s v="Brenda Costa"/>
    <x v="16"/>
    <x v="0"/>
    <x v="4"/>
    <n v="1798.97"/>
    <n v="6836.0859999999993"/>
  </r>
  <r>
    <s v="T02047"/>
    <d v="2025-07-13T00:00:00"/>
    <s v="C030"/>
    <s v="P022"/>
    <s v="S003"/>
    <n v="4"/>
    <n v="0"/>
    <x v="2"/>
    <s v="Lacey Hall"/>
    <x v="9"/>
    <x v="2"/>
    <x v="0"/>
    <n v="25.57"/>
    <n v="102.28"/>
  </r>
  <r>
    <s v="T02048"/>
    <d v="2024-04-03T00:00:00"/>
    <s v="C121"/>
    <s v="P050"/>
    <s v="S002"/>
    <n v="2"/>
    <n v="0.1"/>
    <x v="3"/>
    <s v="John Bell"/>
    <x v="3"/>
    <x v="0"/>
    <x v="2"/>
    <n v="1044.6400000000001"/>
    <n v="1880.3520000000003"/>
  </r>
  <r>
    <s v="T02049"/>
    <d v="2024-06-24T00:00:00"/>
    <s v="C154"/>
    <s v="P048"/>
    <s v="S004"/>
    <n v="1"/>
    <n v="0.1"/>
    <x v="1"/>
    <s v="Lisa Martinez"/>
    <x v="11"/>
    <x v="0"/>
    <x v="1"/>
    <n v="1216.3599999999999"/>
    <n v="1094.7239999999999"/>
  </r>
  <r>
    <s v="T02050"/>
    <d v="2025-01-02T00:00:00"/>
    <s v="C122"/>
    <s v="P006"/>
    <s v="S002"/>
    <n v="1"/>
    <n v="0.05"/>
    <x v="3"/>
    <s v="Amy Smith"/>
    <x v="35"/>
    <x v="2"/>
    <x v="2"/>
    <n v="318.05"/>
    <n v="302.14749999999998"/>
  </r>
  <r>
    <s v="T02051"/>
    <d v="2024-01-05T00:00:00"/>
    <s v="C195"/>
    <s v="P043"/>
    <s v="S004"/>
    <n v="3"/>
    <n v="0.1"/>
    <x v="2"/>
    <s v="James Mitchell"/>
    <x v="45"/>
    <x v="0"/>
    <x v="1"/>
    <n v="564.41999999999996"/>
    <n v="1523.9339999999997"/>
  </r>
  <r>
    <s v="T02052"/>
    <d v="2025-05-26T00:00:00"/>
    <s v="C022"/>
    <s v="P036"/>
    <s v="S002"/>
    <n v="1"/>
    <n v="0.1"/>
    <x v="1"/>
    <s v="Megan Velasquez"/>
    <x v="4"/>
    <x v="0"/>
    <x v="2"/>
    <n v="1501.46"/>
    <n v="1351.3140000000001"/>
  </r>
  <r>
    <s v="T02053"/>
    <d v="2025-01-24T00:00:00"/>
    <s v="C021"/>
    <s v="P019"/>
    <s v="S003"/>
    <n v="4"/>
    <n v="0.15"/>
    <x v="2"/>
    <s v="Debbie Martin"/>
    <x v="26"/>
    <x v="1"/>
    <x v="0"/>
    <n v="1762.92"/>
    <n v="5993.9279999999999"/>
  </r>
  <r>
    <s v="T02054"/>
    <d v="2024-12-01T00:00:00"/>
    <s v="C172"/>
    <s v="P035"/>
    <s v="S003"/>
    <n v="2"/>
    <n v="0"/>
    <x v="3"/>
    <s v="Michelle Smith"/>
    <x v="7"/>
    <x v="1"/>
    <x v="0"/>
    <n v="1562.43"/>
    <n v="3124.86"/>
  </r>
  <r>
    <s v="T02055"/>
    <d v="2024-08-18T00:00:00"/>
    <s v="C110"/>
    <s v="P042"/>
    <s v="S003"/>
    <n v="3"/>
    <n v="0.05"/>
    <x v="2"/>
    <s v="Travis Peters"/>
    <x v="10"/>
    <x v="0"/>
    <x v="0"/>
    <n v="453.62"/>
    <n v="1292.817"/>
  </r>
  <r>
    <s v="T02056"/>
    <d v="2024-12-10T00:00:00"/>
    <s v="C090"/>
    <s v="P026"/>
    <s v="S004"/>
    <n v="4"/>
    <n v="0.15"/>
    <x v="2"/>
    <s v="Carrie Peterson"/>
    <x v="15"/>
    <x v="2"/>
    <x v="1"/>
    <n v="1015.76"/>
    <n v="3453.5839999999998"/>
  </r>
  <r>
    <s v="T02057"/>
    <d v="2024-12-09T00:00:00"/>
    <s v="C179"/>
    <s v="P032"/>
    <s v="S004"/>
    <n v="3"/>
    <n v="0.15"/>
    <x v="3"/>
    <s v="Dennis Wallace"/>
    <x v="44"/>
    <x v="2"/>
    <x v="1"/>
    <n v="304.70999999999998"/>
    <n v="777.01049999999987"/>
  </r>
  <r>
    <s v="T02058"/>
    <d v="2025-07-03T00:00:00"/>
    <s v="C144"/>
    <s v="P013"/>
    <s v="S005"/>
    <n v="2"/>
    <n v="0"/>
    <x v="2"/>
    <s v="Betty Johnson"/>
    <x v="21"/>
    <x v="0"/>
    <x v="4"/>
    <n v="1134.8"/>
    <n v="2269.6"/>
  </r>
  <r>
    <s v="T02059"/>
    <d v="2025-05-10T00:00:00"/>
    <s v="C083"/>
    <s v="P019"/>
    <s v="S003"/>
    <n v="1"/>
    <n v="0.05"/>
    <x v="1"/>
    <s v="Jeremy Robles"/>
    <x v="26"/>
    <x v="1"/>
    <x v="0"/>
    <n v="1762.92"/>
    <n v="1674.7739999999999"/>
  </r>
  <r>
    <s v="T02060"/>
    <d v="2024-07-05T00:00:00"/>
    <s v="C038"/>
    <s v="P027"/>
    <s v="S004"/>
    <n v="3"/>
    <n v="0"/>
    <x v="1"/>
    <s v="Tracey Davis"/>
    <x v="34"/>
    <x v="1"/>
    <x v="1"/>
    <n v="1272.23"/>
    <n v="3816.69"/>
  </r>
  <r>
    <s v="T02061"/>
    <d v="2023-12-23T00:00:00"/>
    <s v="C068"/>
    <s v="P040"/>
    <s v="S005"/>
    <n v="1"/>
    <n v="0.15"/>
    <x v="2"/>
    <s v="Alexandra Montoya"/>
    <x v="37"/>
    <x v="1"/>
    <x v="4"/>
    <n v="1745.61"/>
    <n v="1483.7684999999999"/>
  </r>
  <r>
    <s v="T02062"/>
    <d v="2024-12-03T00:00:00"/>
    <s v="C163"/>
    <s v="P028"/>
    <s v="S004"/>
    <n v="5"/>
    <n v="0"/>
    <x v="3"/>
    <s v="Erin Rogers"/>
    <x v="25"/>
    <x v="1"/>
    <x v="1"/>
    <n v="673.78"/>
    <n v="3368.8999999999996"/>
  </r>
  <r>
    <s v="T02063"/>
    <d v="2024-08-07T00:00:00"/>
    <s v="C056"/>
    <s v="P042"/>
    <s v="S002"/>
    <n v="4"/>
    <n v="0.05"/>
    <x v="1"/>
    <s v="Carl Wyatt"/>
    <x v="10"/>
    <x v="0"/>
    <x v="2"/>
    <n v="453.62"/>
    <n v="1723.7559999999999"/>
  </r>
  <r>
    <s v="T02064"/>
    <d v="2024-02-11T00:00:00"/>
    <s v="C056"/>
    <s v="P045"/>
    <s v="S003"/>
    <n v="2"/>
    <n v="0.05"/>
    <x v="3"/>
    <s v="Carl Wyatt"/>
    <x v="8"/>
    <x v="2"/>
    <x v="0"/>
    <n v="1879.08"/>
    <n v="3570.2519999999995"/>
  </r>
  <r>
    <s v="T02065"/>
    <d v="2025-06-26T00:00:00"/>
    <s v="C095"/>
    <s v="P007"/>
    <s v="S003"/>
    <n v="1"/>
    <n v="0.1"/>
    <x v="0"/>
    <s v="Kevin Snyder"/>
    <x v="18"/>
    <x v="1"/>
    <x v="0"/>
    <n v="1474.12"/>
    <n v="1326.7079999999999"/>
  </r>
  <r>
    <s v="T02066"/>
    <d v="2024-02-23T00:00:00"/>
    <s v="C129"/>
    <s v="P010"/>
    <s v="S001"/>
    <n v="4"/>
    <n v="0.15"/>
    <x v="1"/>
    <s v="Gary Taylor"/>
    <x v="36"/>
    <x v="1"/>
    <x v="3"/>
    <n v="1194.1199999999999"/>
    <n v="4060.0079999999994"/>
  </r>
  <r>
    <s v="T02067"/>
    <d v="2023-12-28T00:00:00"/>
    <s v="C106"/>
    <s v="P006"/>
    <s v="S003"/>
    <n v="3"/>
    <n v="0.15"/>
    <x v="0"/>
    <s v="Kevin Flores"/>
    <x v="35"/>
    <x v="2"/>
    <x v="0"/>
    <n v="318.05"/>
    <n v="811.02750000000003"/>
  </r>
  <r>
    <s v="T02068"/>
    <d v="2024-11-14T00:00:00"/>
    <s v="C030"/>
    <s v="P002"/>
    <s v="S002"/>
    <n v="4"/>
    <n v="0.15"/>
    <x v="0"/>
    <s v="Lacey Hall"/>
    <x v="2"/>
    <x v="1"/>
    <x v="2"/>
    <n v="818.76"/>
    <n v="2783.7840000000001"/>
  </r>
  <r>
    <s v="T02069"/>
    <d v="2025-07-22T00:00:00"/>
    <s v="C046"/>
    <s v="P041"/>
    <s v="S005"/>
    <n v="5"/>
    <n v="0.05"/>
    <x v="1"/>
    <s v="Dennis Poole"/>
    <x v="30"/>
    <x v="1"/>
    <x v="4"/>
    <n v="1635.01"/>
    <n v="7766.2974999999997"/>
  </r>
  <r>
    <s v="T02070"/>
    <d v="2025-03-30T00:00:00"/>
    <s v="C098"/>
    <s v="P013"/>
    <s v="S003"/>
    <n v="4"/>
    <n v="0.1"/>
    <x v="3"/>
    <s v="Lisa Vega"/>
    <x v="21"/>
    <x v="0"/>
    <x v="0"/>
    <n v="1134.8"/>
    <n v="4085.2799999999997"/>
  </r>
  <r>
    <s v="T02071"/>
    <d v="2024-04-13T00:00:00"/>
    <s v="C023"/>
    <s v="P004"/>
    <s v="S001"/>
    <n v="1"/>
    <n v="0"/>
    <x v="1"/>
    <s v="Mark Martinez"/>
    <x v="49"/>
    <x v="0"/>
    <x v="3"/>
    <n v="1853.77"/>
    <n v="1853.77"/>
  </r>
  <r>
    <s v="T02072"/>
    <d v="2025-06-29T00:00:00"/>
    <s v="C027"/>
    <s v="P038"/>
    <s v="S004"/>
    <n v="5"/>
    <n v="0"/>
    <x v="1"/>
    <s v="Jacqueline Martin"/>
    <x v="41"/>
    <x v="0"/>
    <x v="1"/>
    <n v="366.93"/>
    <n v="1834.65"/>
  </r>
  <r>
    <s v="T02073"/>
    <d v="2023-12-11T00:00:00"/>
    <s v="C129"/>
    <s v="P029"/>
    <s v="S005"/>
    <n v="1"/>
    <n v="0.1"/>
    <x v="1"/>
    <s v="Gary Taylor"/>
    <x v="47"/>
    <x v="0"/>
    <x v="4"/>
    <n v="1485.05"/>
    <n v="1336.5450000000001"/>
  </r>
  <r>
    <s v="T02074"/>
    <d v="2024-02-23T00:00:00"/>
    <s v="C055"/>
    <s v="P018"/>
    <s v="S002"/>
    <n v="4"/>
    <n v="0.15"/>
    <x v="3"/>
    <s v="Deborah Moody"/>
    <x v="19"/>
    <x v="1"/>
    <x v="2"/>
    <n v="1079.8900000000001"/>
    <n v="3671.6260000000002"/>
  </r>
  <r>
    <s v="T02075"/>
    <d v="2024-02-06T00:00:00"/>
    <s v="C051"/>
    <s v="P008"/>
    <s v="S004"/>
    <n v="1"/>
    <n v="0.1"/>
    <x v="1"/>
    <s v="Madison Sellers"/>
    <x v="48"/>
    <x v="0"/>
    <x v="1"/>
    <n v="109.78"/>
    <n v="98.802000000000007"/>
  </r>
  <r>
    <s v="T02076"/>
    <d v="2024-01-04T00:00:00"/>
    <s v="C106"/>
    <s v="P010"/>
    <s v="S004"/>
    <n v="1"/>
    <n v="0.1"/>
    <x v="2"/>
    <s v="Kevin Flores"/>
    <x v="36"/>
    <x v="1"/>
    <x v="1"/>
    <n v="1194.1199999999999"/>
    <n v="1074.7079999999999"/>
  </r>
  <r>
    <s v="T02077"/>
    <d v="2024-10-26T00:00:00"/>
    <s v="C130"/>
    <s v="P024"/>
    <s v="S003"/>
    <n v="3"/>
    <n v="0.1"/>
    <x v="0"/>
    <s v="Aaron Bailey"/>
    <x v="14"/>
    <x v="1"/>
    <x v="0"/>
    <n v="1487.41"/>
    <n v="4016.0070000000005"/>
  </r>
  <r>
    <s v="T02078"/>
    <d v="2024-06-15T00:00:00"/>
    <s v="C107"/>
    <s v="P009"/>
    <s v="S002"/>
    <n v="1"/>
    <n v="0.15"/>
    <x v="3"/>
    <s v="Victoria Hansen"/>
    <x v="5"/>
    <x v="2"/>
    <x v="2"/>
    <n v="123.19"/>
    <n v="104.7115"/>
  </r>
  <r>
    <s v="T02079"/>
    <d v="2025-08-03T00:00:00"/>
    <s v="C004"/>
    <s v="P020"/>
    <s v="S001"/>
    <n v="2"/>
    <n v="0.1"/>
    <x v="0"/>
    <s v="Joseph Ward"/>
    <x v="24"/>
    <x v="0"/>
    <x v="3"/>
    <n v="323.92"/>
    <n v="583.05600000000004"/>
  </r>
  <r>
    <s v="T02080"/>
    <d v="2025-05-13T00:00:00"/>
    <s v="C086"/>
    <s v="P012"/>
    <s v="S002"/>
    <n v="5"/>
    <n v="0.15"/>
    <x v="2"/>
    <s v="Lawrence Hunter"/>
    <x v="38"/>
    <x v="1"/>
    <x v="2"/>
    <n v="1193.0899999999999"/>
    <n v="5070.6324999999997"/>
  </r>
  <r>
    <s v="T02081"/>
    <d v="2024-10-26T00:00:00"/>
    <s v="C143"/>
    <s v="P050"/>
    <s v="S004"/>
    <n v="2"/>
    <n v="0.15"/>
    <x v="3"/>
    <s v="Cynthia Carlson"/>
    <x v="3"/>
    <x v="0"/>
    <x v="1"/>
    <n v="1044.6400000000001"/>
    <n v="1775.8880000000001"/>
  </r>
  <r>
    <s v="T02082"/>
    <d v="2023-09-16T00:00:00"/>
    <s v="C148"/>
    <s v="P013"/>
    <s v="S004"/>
    <n v="2"/>
    <n v="0.15"/>
    <x v="2"/>
    <s v="John Foster"/>
    <x v="21"/>
    <x v="0"/>
    <x v="1"/>
    <n v="1134.8"/>
    <n v="1929.1599999999999"/>
  </r>
  <r>
    <s v="T02083"/>
    <d v="2025-06-08T00:00:00"/>
    <s v="C104"/>
    <s v="P028"/>
    <s v="S003"/>
    <n v="5"/>
    <n v="0.05"/>
    <x v="1"/>
    <s v="Brenda Dean"/>
    <x v="25"/>
    <x v="1"/>
    <x v="0"/>
    <n v="673.78"/>
    <n v="3200.4549999999995"/>
  </r>
  <r>
    <s v="T02084"/>
    <d v="2024-01-22T00:00:00"/>
    <s v="C060"/>
    <s v="P016"/>
    <s v="S001"/>
    <n v="2"/>
    <n v="0"/>
    <x v="1"/>
    <s v="Anthony Conway"/>
    <x v="13"/>
    <x v="0"/>
    <x v="3"/>
    <n v="1858.75"/>
    <n v="3717.5"/>
  </r>
  <r>
    <s v="T02085"/>
    <d v="2025-03-07T00:00:00"/>
    <s v="C196"/>
    <s v="P049"/>
    <s v="S003"/>
    <n v="5"/>
    <n v="0.05"/>
    <x v="0"/>
    <s v="James Noble"/>
    <x v="29"/>
    <x v="0"/>
    <x v="0"/>
    <n v="388.26"/>
    <n v="1844.2349999999999"/>
  </r>
  <r>
    <s v="T02086"/>
    <d v="2024-02-15T00:00:00"/>
    <s v="C053"/>
    <s v="P042"/>
    <s v="S001"/>
    <n v="1"/>
    <n v="0"/>
    <x v="1"/>
    <s v="Felicia Morgan"/>
    <x v="10"/>
    <x v="0"/>
    <x v="3"/>
    <n v="453.62"/>
    <n v="453.62"/>
  </r>
  <r>
    <s v="T02087"/>
    <d v="2024-08-03T00:00:00"/>
    <s v="C003"/>
    <s v="P015"/>
    <s v="S005"/>
    <n v="2"/>
    <n v="0"/>
    <x v="3"/>
    <s v="Carol Hays"/>
    <x v="40"/>
    <x v="0"/>
    <x v="4"/>
    <n v="270.45"/>
    <n v="540.9"/>
  </r>
  <r>
    <s v="T02088"/>
    <d v="2024-08-18T00:00:00"/>
    <s v="C147"/>
    <s v="P019"/>
    <s v="S004"/>
    <n v="1"/>
    <n v="0.05"/>
    <x v="1"/>
    <s v="Crystal Garrison"/>
    <x v="26"/>
    <x v="1"/>
    <x v="1"/>
    <n v="1762.92"/>
    <n v="1674.7739999999999"/>
  </r>
  <r>
    <s v="T02089"/>
    <d v="2024-10-31T00:00:00"/>
    <s v="C163"/>
    <s v="P031"/>
    <s v="S003"/>
    <n v="2"/>
    <n v="0.05"/>
    <x v="2"/>
    <s v="Erin Rogers"/>
    <x v="39"/>
    <x v="2"/>
    <x v="0"/>
    <n v="1095.72"/>
    <n v="2081.8679999999999"/>
  </r>
  <r>
    <s v="T02090"/>
    <d v="2025-02-07T00:00:00"/>
    <s v="C077"/>
    <s v="P045"/>
    <s v="S002"/>
    <n v="5"/>
    <n v="0.05"/>
    <x v="1"/>
    <s v="Matthew Juarez"/>
    <x v="8"/>
    <x v="2"/>
    <x v="2"/>
    <n v="1879.08"/>
    <n v="8925.6299999999992"/>
  </r>
  <r>
    <s v="T02091"/>
    <d v="2025-05-10T00:00:00"/>
    <s v="C198"/>
    <s v="P038"/>
    <s v="S003"/>
    <n v="1"/>
    <n v="0.1"/>
    <x v="3"/>
    <s v="Jessica Mullins"/>
    <x v="41"/>
    <x v="0"/>
    <x v="0"/>
    <n v="366.93"/>
    <n v="330.23700000000002"/>
  </r>
  <r>
    <s v="T02092"/>
    <d v="2025-08-08T00:00:00"/>
    <s v="C037"/>
    <s v="P050"/>
    <s v="S001"/>
    <n v="5"/>
    <n v="0"/>
    <x v="3"/>
    <s v="Miranda Nelson"/>
    <x v="3"/>
    <x v="0"/>
    <x v="3"/>
    <n v="1044.6400000000001"/>
    <n v="5223.2000000000007"/>
  </r>
  <r>
    <s v="T02093"/>
    <d v="2025-07-20T00:00:00"/>
    <s v="C118"/>
    <s v="P049"/>
    <s v="S005"/>
    <n v="1"/>
    <n v="0"/>
    <x v="2"/>
    <s v="Gina Bradford"/>
    <x v="29"/>
    <x v="0"/>
    <x v="4"/>
    <n v="388.26"/>
    <n v="388.26"/>
  </r>
  <r>
    <s v="T02094"/>
    <d v="2024-02-17T00:00:00"/>
    <s v="C073"/>
    <s v="P003"/>
    <s v="S003"/>
    <n v="2"/>
    <n v="0"/>
    <x v="3"/>
    <s v="Carl Armstrong"/>
    <x v="46"/>
    <x v="0"/>
    <x v="0"/>
    <n v="337.63"/>
    <n v="675.26"/>
  </r>
  <r>
    <s v="T02095"/>
    <d v="2024-07-15T00:00:00"/>
    <s v="C127"/>
    <s v="P011"/>
    <s v="S003"/>
    <n v="2"/>
    <n v="0.15"/>
    <x v="3"/>
    <s v="John Allen"/>
    <x v="17"/>
    <x v="1"/>
    <x v="0"/>
    <n v="248.57"/>
    <n v="422.56899999999996"/>
  </r>
  <r>
    <s v="T02096"/>
    <d v="2025-05-21T00:00:00"/>
    <s v="C126"/>
    <s v="P030"/>
    <s v="S001"/>
    <n v="4"/>
    <n v="0"/>
    <x v="1"/>
    <s v="Monique Johnson"/>
    <x v="1"/>
    <x v="0"/>
    <x v="3"/>
    <n v="29.24"/>
    <n v="116.96"/>
  </r>
  <r>
    <s v="T02097"/>
    <d v="2023-09-20T00:00:00"/>
    <s v="C161"/>
    <s v="P041"/>
    <s v="S001"/>
    <n v="2"/>
    <n v="0.15"/>
    <x v="1"/>
    <s v="Michael Perez"/>
    <x v="30"/>
    <x v="1"/>
    <x v="3"/>
    <n v="1635.01"/>
    <n v="2779.5169999999998"/>
  </r>
  <r>
    <s v="T02098"/>
    <d v="2023-11-10T00:00:00"/>
    <s v="C081"/>
    <s v="P022"/>
    <s v="S004"/>
    <n v="2"/>
    <n v="0.05"/>
    <x v="0"/>
    <s v="Sarah Reynolds"/>
    <x v="9"/>
    <x v="2"/>
    <x v="1"/>
    <n v="25.57"/>
    <n v="48.582999999999998"/>
  </r>
  <r>
    <s v="T02099"/>
    <d v="2024-09-11T00:00:00"/>
    <s v="C003"/>
    <s v="P046"/>
    <s v="S002"/>
    <n v="5"/>
    <n v="0"/>
    <x v="3"/>
    <s v="Carol Hays"/>
    <x v="42"/>
    <x v="0"/>
    <x v="2"/>
    <n v="1165.3699999999999"/>
    <n v="5826.8499999999995"/>
  </r>
  <r>
    <s v="T02100"/>
    <d v="2024-12-11T00:00:00"/>
    <s v="C088"/>
    <s v="P008"/>
    <s v="S003"/>
    <n v="4"/>
    <n v="0"/>
    <x v="2"/>
    <s v="Brenda Costa"/>
    <x v="48"/>
    <x v="0"/>
    <x v="0"/>
    <n v="109.78"/>
    <n v="439.12"/>
  </r>
  <r>
    <s v="T02101"/>
    <d v="2025-03-28T00:00:00"/>
    <s v="C134"/>
    <s v="P015"/>
    <s v="S003"/>
    <n v="1"/>
    <n v="0.05"/>
    <x v="3"/>
    <s v="Emily Hart"/>
    <x v="40"/>
    <x v="0"/>
    <x v="0"/>
    <n v="270.45"/>
    <n v="256.92749999999995"/>
  </r>
  <r>
    <s v="T02102"/>
    <d v="2024-01-09T00:00:00"/>
    <s v="C138"/>
    <s v="P009"/>
    <s v="S001"/>
    <n v="5"/>
    <n v="0.05"/>
    <x v="2"/>
    <s v="Breanna Moore"/>
    <x v="5"/>
    <x v="2"/>
    <x v="3"/>
    <n v="123.19"/>
    <n v="585.15250000000003"/>
  </r>
  <r>
    <s v="T02103"/>
    <d v="2024-11-09T00:00:00"/>
    <s v="C094"/>
    <s v="P003"/>
    <s v="S001"/>
    <n v="2"/>
    <n v="0"/>
    <x v="0"/>
    <s v="Kimberly Stokes"/>
    <x v="46"/>
    <x v="0"/>
    <x v="3"/>
    <n v="337.63"/>
    <n v="675.26"/>
  </r>
  <r>
    <s v="T02104"/>
    <d v="2024-08-26T00:00:00"/>
    <s v="C036"/>
    <s v="P021"/>
    <s v="S002"/>
    <n v="1"/>
    <n v="0.05"/>
    <x v="0"/>
    <s v="Michael Cervantes"/>
    <x v="23"/>
    <x v="2"/>
    <x v="2"/>
    <n v="1227.24"/>
    <n v="1165.8779999999999"/>
  </r>
  <r>
    <s v="T02105"/>
    <d v="2025-04-14T00:00:00"/>
    <s v="C071"/>
    <s v="P040"/>
    <s v="S004"/>
    <n v="2"/>
    <n v="0"/>
    <x v="0"/>
    <s v="Denise Gutierrez"/>
    <x v="37"/>
    <x v="1"/>
    <x v="1"/>
    <n v="1745.61"/>
    <n v="3491.22"/>
  </r>
  <r>
    <s v="T02106"/>
    <d v="2024-05-17T00:00:00"/>
    <s v="C182"/>
    <s v="P045"/>
    <s v="S005"/>
    <n v="3"/>
    <n v="0.15"/>
    <x v="1"/>
    <s v="Meghan Wright"/>
    <x v="8"/>
    <x v="2"/>
    <x v="4"/>
    <n v="1879.08"/>
    <n v="4791.6539999999995"/>
  </r>
  <r>
    <s v="T02107"/>
    <d v="2024-12-16T00:00:00"/>
    <s v="C112"/>
    <s v="P022"/>
    <s v="S005"/>
    <n v="4"/>
    <n v="0.05"/>
    <x v="0"/>
    <s v="Jeffrey Smith"/>
    <x v="9"/>
    <x v="2"/>
    <x v="4"/>
    <n v="25.57"/>
    <n v="97.165999999999997"/>
  </r>
  <r>
    <s v="T02108"/>
    <d v="2025-06-24T00:00:00"/>
    <s v="C045"/>
    <s v="P032"/>
    <s v="S002"/>
    <n v="3"/>
    <n v="0.15"/>
    <x v="3"/>
    <s v="Kelly Shaw"/>
    <x v="44"/>
    <x v="2"/>
    <x v="2"/>
    <n v="304.70999999999998"/>
    <n v="777.01049999999987"/>
  </r>
  <r>
    <s v="T02109"/>
    <d v="2024-11-29T00:00:00"/>
    <s v="C150"/>
    <s v="P022"/>
    <s v="S005"/>
    <n v="3"/>
    <n v="0.05"/>
    <x v="2"/>
    <s v="Francis Hernandez"/>
    <x v="9"/>
    <x v="2"/>
    <x v="4"/>
    <n v="25.57"/>
    <n v="72.874499999999998"/>
  </r>
  <r>
    <s v="T02110"/>
    <d v="2025-04-18T00:00:00"/>
    <s v="C185"/>
    <s v="P009"/>
    <s v="S004"/>
    <n v="4"/>
    <n v="0.15"/>
    <x v="1"/>
    <s v="Joe Vincent"/>
    <x v="5"/>
    <x v="2"/>
    <x v="1"/>
    <n v="123.19"/>
    <n v="418.846"/>
  </r>
  <r>
    <s v="T02111"/>
    <d v="2025-01-12T00:00:00"/>
    <s v="C153"/>
    <s v="P012"/>
    <s v="S003"/>
    <n v="3"/>
    <n v="0"/>
    <x v="1"/>
    <s v="Nancy Gordon"/>
    <x v="38"/>
    <x v="1"/>
    <x v="0"/>
    <n v="1193.0899999999999"/>
    <n v="3579.2699999999995"/>
  </r>
  <r>
    <s v="T02112"/>
    <d v="2024-03-22T00:00:00"/>
    <s v="C110"/>
    <s v="P031"/>
    <s v="S002"/>
    <n v="5"/>
    <n v="0.1"/>
    <x v="0"/>
    <s v="Travis Peters"/>
    <x v="39"/>
    <x v="2"/>
    <x v="2"/>
    <n v="1095.72"/>
    <n v="4930.7400000000007"/>
  </r>
  <r>
    <s v="T02113"/>
    <d v="2025-04-12T00:00:00"/>
    <s v="C162"/>
    <s v="P008"/>
    <s v="S001"/>
    <n v="4"/>
    <n v="0.05"/>
    <x v="3"/>
    <s v="Jill Roach"/>
    <x v="48"/>
    <x v="0"/>
    <x v="3"/>
    <n v="109.78"/>
    <n v="417.16399999999999"/>
  </r>
  <r>
    <s v="T02114"/>
    <d v="2023-11-19T00:00:00"/>
    <s v="C131"/>
    <s v="P034"/>
    <s v="S003"/>
    <n v="5"/>
    <n v="0.15"/>
    <x v="0"/>
    <s v="Denise Jackson"/>
    <x v="12"/>
    <x v="1"/>
    <x v="0"/>
    <n v="428.05"/>
    <n v="1819.2124999999999"/>
  </r>
  <r>
    <s v="T02115"/>
    <d v="2025-05-27T00:00:00"/>
    <s v="C155"/>
    <s v="P046"/>
    <s v="S005"/>
    <n v="3"/>
    <n v="0.15"/>
    <x v="3"/>
    <s v="Jill Mcconnell"/>
    <x v="42"/>
    <x v="0"/>
    <x v="4"/>
    <n v="1165.3699999999999"/>
    <n v="2971.6934999999999"/>
  </r>
  <r>
    <s v="T02116"/>
    <d v="2024-05-29T00:00:00"/>
    <s v="C030"/>
    <s v="P012"/>
    <s v="S002"/>
    <n v="3"/>
    <n v="0.15"/>
    <x v="2"/>
    <s v="Lacey Hall"/>
    <x v="38"/>
    <x v="1"/>
    <x v="2"/>
    <n v="1193.0899999999999"/>
    <n v="3042.3794999999996"/>
  </r>
  <r>
    <s v="T02117"/>
    <d v="2025-05-04T00:00:00"/>
    <s v="C092"/>
    <s v="P008"/>
    <s v="S002"/>
    <n v="1"/>
    <n v="0.05"/>
    <x v="0"/>
    <s v="Lindsey Holder"/>
    <x v="48"/>
    <x v="0"/>
    <x v="2"/>
    <n v="109.78"/>
    <n v="104.291"/>
  </r>
  <r>
    <s v="T02118"/>
    <d v="2024-01-15T00:00:00"/>
    <s v="C096"/>
    <s v="P015"/>
    <s v="S002"/>
    <n v="3"/>
    <n v="0"/>
    <x v="3"/>
    <s v="Eric King"/>
    <x v="40"/>
    <x v="0"/>
    <x v="2"/>
    <n v="270.45"/>
    <n v="811.34999999999991"/>
  </r>
  <r>
    <s v="T02119"/>
    <d v="2024-08-07T00:00:00"/>
    <s v="C082"/>
    <s v="P030"/>
    <s v="S001"/>
    <n v="3"/>
    <n v="0.05"/>
    <x v="1"/>
    <s v="Amy Haley"/>
    <x v="1"/>
    <x v="0"/>
    <x v="3"/>
    <n v="29.24"/>
    <n v="83.333999999999989"/>
  </r>
  <r>
    <s v="T02120"/>
    <d v="2023-09-17T00:00:00"/>
    <s v="C146"/>
    <s v="P050"/>
    <s v="S003"/>
    <n v="2"/>
    <n v="0"/>
    <x v="1"/>
    <s v="John Johnson"/>
    <x v="3"/>
    <x v="0"/>
    <x v="0"/>
    <n v="1044.6400000000001"/>
    <n v="2089.2800000000002"/>
  </r>
  <r>
    <s v="T02121"/>
    <d v="2023-10-23T00:00:00"/>
    <s v="C073"/>
    <s v="P042"/>
    <s v="S005"/>
    <n v="2"/>
    <n v="0.05"/>
    <x v="3"/>
    <s v="Carl Armstrong"/>
    <x v="10"/>
    <x v="0"/>
    <x v="4"/>
    <n v="453.62"/>
    <n v="861.87799999999993"/>
  </r>
  <r>
    <s v="T02122"/>
    <d v="2024-04-14T00:00:00"/>
    <s v="C144"/>
    <s v="P038"/>
    <s v="S003"/>
    <n v="5"/>
    <n v="0"/>
    <x v="1"/>
    <s v="Betty Johnson"/>
    <x v="41"/>
    <x v="0"/>
    <x v="0"/>
    <n v="366.93"/>
    <n v="1834.65"/>
  </r>
  <r>
    <s v="T02123"/>
    <d v="2025-07-08T00:00:00"/>
    <s v="C175"/>
    <s v="P004"/>
    <s v="S004"/>
    <n v="3"/>
    <n v="0.1"/>
    <x v="2"/>
    <s v="Stacey Thompson"/>
    <x v="49"/>
    <x v="0"/>
    <x v="1"/>
    <n v="1853.77"/>
    <n v="5005.1790000000001"/>
  </r>
  <r>
    <s v="T02124"/>
    <d v="2024-10-27T00:00:00"/>
    <s v="C051"/>
    <s v="P015"/>
    <s v="S001"/>
    <n v="4"/>
    <n v="0.15"/>
    <x v="3"/>
    <s v="Madison Sellers"/>
    <x v="40"/>
    <x v="0"/>
    <x v="3"/>
    <n v="270.45"/>
    <n v="919.53"/>
  </r>
  <r>
    <s v="T02125"/>
    <d v="2024-02-03T00:00:00"/>
    <s v="C071"/>
    <s v="P018"/>
    <s v="S004"/>
    <n v="1"/>
    <n v="0"/>
    <x v="1"/>
    <s v="Denise Gutierrez"/>
    <x v="19"/>
    <x v="1"/>
    <x v="1"/>
    <n v="1079.8900000000001"/>
    <n v="1079.8900000000001"/>
  </r>
  <r>
    <s v="T02126"/>
    <d v="2025-05-17T00:00:00"/>
    <s v="C044"/>
    <s v="P006"/>
    <s v="S005"/>
    <n v="3"/>
    <n v="0.15"/>
    <x v="2"/>
    <s v="Parker Sparks"/>
    <x v="35"/>
    <x v="2"/>
    <x v="4"/>
    <n v="318.05"/>
    <n v="811.02750000000003"/>
  </r>
  <r>
    <s v="T02127"/>
    <d v="2025-04-19T00:00:00"/>
    <s v="C148"/>
    <s v="P015"/>
    <s v="S001"/>
    <n v="3"/>
    <n v="0"/>
    <x v="3"/>
    <s v="John Foster"/>
    <x v="40"/>
    <x v="0"/>
    <x v="3"/>
    <n v="270.45"/>
    <n v="811.34999999999991"/>
  </r>
  <r>
    <s v="T02128"/>
    <d v="2024-12-20T00:00:00"/>
    <s v="C119"/>
    <s v="P037"/>
    <s v="S003"/>
    <n v="2"/>
    <n v="0.15"/>
    <x v="3"/>
    <s v="Jason Lloyd"/>
    <x v="27"/>
    <x v="1"/>
    <x v="0"/>
    <n v="1952.65"/>
    <n v="3319.5050000000001"/>
  </r>
  <r>
    <s v="T02129"/>
    <d v="2025-05-01T00:00:00"/>
    <s v="C137"/>
    <s v="P006"/>
    <s v="S005"/>
    <n v="1"/>
    <n v="0.1"/>
    <x v="3"/>
    <s v="Gary Lopez"/>
    <x v="35"/>
    <x v="2"/>
    <x v="4"/>
    <n v="318.05"/>
    <n v="286.245"/>
  </r>
  <r>
    <s v="T02130"/>
    <d v="2025-03-25T00:00:00"/>
    <s v="C018"/>
    <s v="P019"/>
    <s v="S004"/>
    <n v="1"/>
    <n v="0.15"/>
    <x v="0"/>
    <s v="Breanna Davis"/>
    <x v="26"/>
    <x v="1"/>
    <x v="1"/>
    <n v="1762.92"/>
    <n v="1498.482"/>
  </r>
  <r>
    <s v="T02131"/>
    <d v="2025-08-26T00:00:00"/>
    <s v="C071"/>
    <s v="P046"/>
    <s v="S003"/>
    <n v="3"/>
    <n v="0.15"/>
    <x v="3"/>
    <s v="Denise Gutierrez"/>
    <x v="42"/>
    <x v="0"/>
    <x v="0"/>
    <n v="1165.3699999999999"/>
    <n v="2971.6934999999999"/>
  </r>
  <r>
    <s v="T02132"/>
    <d v="2024-06-15T00:00:00"/>
    <s v="C143"/>
    <s v="P035"/>
    <s v="S003"/>
    <n v="4"/>
    <n v="0"/>
    <x v="1"/>
    <s v="Cynthia Carlson"/>
    <x v="7"/>
    <x v="1"/>
    <x v="0"/>
    <n v="1562.43"/>
    <n v="6249.72"/>
  </r>
  <r>
    <s v="T02133"/>
    <d v="2024-10-31T00:00:00"/>
    <s v="C077"/>
    <s v="P036"/>
    <s v="S004"/>
    <n v="4"/>
    <n v="0"/>
    <x v="0"/>
    <s v="Matthew Juarez"/>
    <x v="4"/>
    <x v="0"/>
    <x v="1"/>
    <n v="1501.46"/>
    <n v="6005.84"/>
  </r>
  <r>
    <s v="T02134"/>
    <d v="2024-05-07T00:00:00"/>
    <s v="C159"/>
    <s v="P049"/>
    <s v="S001"/>
    <n v="1"/>
    <n v="0.05"/>
    <x v="3"/>
    <s v="Thomas Chung"/>
    <x v="29"/>
    <x v="0"/>
    <x v="3"/>
    <n v="388.26"/>
    <n v="368.84699999999998"/>
  </r>
  <r>
    <s v="T02135"/>
    <d v="2024-10-29T00:00:00"/>
    <s v="C003"/>
    <s v="P032"/>
    <s v="S002"/>
    <n v="1"/>
    <n v="0.1"/>
    <x v="1"/>
    <s v="Carol Hays"/>
    <x v="44"/>
    <x v="2"/>
    <x v="2"/>
    <n v="304.70999999999998"/>
    <n v="274.23899999999998"/>
  </r>
  <r>
    <s v="T02136"/>
    <d v="2024-02-07T00:00:00"/>
    <s v="C058"/>
    <s v="P018"/>
    <s v="S002"/>
    <n v="1"/>
    <n v="0.05"/>
    <x v="0"/>
    <s v="Lawrence Stewart"/>
    <x v="19"/>
    <x v="1"/>
    <x v="2"/>
    <n v="1079.8900000000001"/>
    <n v="1025.8955000000001"/>
  </r>
  <r>
    <s v="T02137"/>
    <d v="2024-06-28T00:00:00"/>
    <s v="C138"/>
    <s v="P020"/>
    <s v="S001"/>
    <n v="1"/>
    <n v="0.1"/>
    <x v="3"/>
    <s v="Breanna Moore"/>
    <x v="24"/>
    <x v="0"/>
    <x v="3"/>
    <n v="323.92"/>
    <n v="291.52800000000002"/>
  </r>
  <r>
    <s v="T02138"/>
    <d v="2024-01-20T00:00:00"/>
    <s v="C029"/>
    <s v="P037"/>
    <s v="S001"/>
    <n v="3"/>
    <n v="0"/>
    <x v="0"/>
    <s v="Tyler Levine"/>
    <x v="27"/>
    <x v="1"/>
    <x v="3"/>
    <n v="1952.65"/>
    <n v="5857.9500000000007"/>
  </r>
  <r>
    <s v="T02139"/>
    <d v="2025-04-25T00:00:00"/>
    <s v="C085"/>
    <s v="P022"/>
    <s v="S005"/>
    <n v="4"/>
    <n v="0.1"/>
    <x v="2"/>
    <s v="Juan Ramirez"/>
    <x v="9"/>
    <x v="2"/>
    <x v="4"/>
    <n v="25.57"/>
    <n v="92.052000000000007"/>
  </r>
  <r>
    <s v="T02140"/>
    <d v="2025-07-28T00:00:00"/>
    <s v="C036"/>
    <s v="P004"/>
    <s v="S005"/>
    <n v="4"/>
    <n v="0"/>
    <x v="2"/>
    <s v="Michael Cervantes"/>
    <x v="49"/>
    <x v="0"/>
    <x v="4"/>
    <n v="1853.77"/>
    <n v="7415.08"/>
  </r>
  <r>
    <s v="T02141"/>
    <d v="2023-12-05T00:00:00"/>
    <s v="C082"/>
    <s v="P034"/>
    <s v="S002"/>
    <n v="5"/>
    <n v="0.15"/>
    <x v="1"/>
    <s v="Amy Haley"/>
    <x v="12"/>
    <x v="1"/>
    <x v="2"/>
    <n v="428.05"/>
    <n v="1819.2124999999999"/>
  </r>
  <r>
    <s v="T02142"/>
    <d v="2025-03-10T00:00:00"/>
    <s v="C172"/>
    <s v="P042"/>
    <s v="S001"/>
    <n v="5"/>
    <n v="0.05"/>
    <x v="1"/>
    <s v="Michelle Smith"/>
    <x v="10"/>
    <x v="0"/>
    <x v="3"/>
    <n v="453.62"/>
    <n v="2154.6949999999997"/>
  </r>
  <r>
    <s v="T02143"/>
    <d v="2025-06-30T00:00:00"/>
    <s v="C170"/>
    <s v="P035"/>
    <s v="S004"/>
    <n v="3"/>
    <n v="0.1"/>
    <x v="1"/>
    <s v="Amber Graham"/>
    <x v="7"/>
    <x v="1"/>
    <x v="1"/>
    <n v="1562.43"/>
    <n v="4218.5609999999997"/>
  </r>
  <r>
    <s v="T02144"/>
    <d v="2025-07-05T00:00:00"/>
    <s v="C058"/>
    <s v="P012"/>
    <s v="S001"/>
    <n v="3"/>
    <n v="0.1"/>
    <x v="3"/>
    <s v="Lawrence Stewart"/>
    <x v="38"/>
    <x v="1"/>
    <x v="3"/>
    <n v="1193.0899999999999"/>
    <n v="3221.3429999999998"/>
  </r>
  <r>
    <s v="T02145"/>
    <d v="2025-03-27T00:00:00"/>
    <s v="C091"/>
    <s v="P011"/>
    <s v="S005"/>
    <n v="2"/>
    <n v="0.05"/>
    <x v="3"/>
    <s v="Brian Fowler"/>
    <x v="17"/>
    <x v="1"/>
    <x v="4"/>
    <n v="248.57"/>
    <n v="472.28299999999996"/>
  </r>
  <r>
    <s v="T02146"/>
    <d v="2024-07-16T00:00:00"/>
    <s v="C020"/>
    <s v="P041"/>
    <s v="S004"/>
    <n v="1"/>
    <n v="0.05"/>
    <x v="3"/>
    <s v="Ryan Cole"/>
    <x v="30"/>
    <x v="1"/>
    <x v="1"/>
    <n v="1635.01"/>
    <n v="1553.2594999999999"/>
  </r>
  <r>
    <s v="T02147"/>
    <d v="2023-10-06T00:00:00"/>
    <s v="C172"/>
    <s v="P050"/>
    <s v="S002"/>
    <n v="4"/>
    <n v="0.15"/>
    <x v="2"/>
    <s v="Michelle Smith"/>
    <x v="3"/>
    <x v="0"/>
    <x v="2"/>
    <n v="1044.6400000000001"/>
    <n v="3551.7760000000003"/>
  </r>
  <r>
    <s v="T02148"/>
    <d v="2025-06-22T00:00:00"/>
    <s v="C125"/>
    <s v="P017"/>
    <s v="S001"/>
    <n v="3"/>
    <n v="0.05"/>
    <x v="0"/>
    <s v="Kimberly Parker"/>
    <x v="43"/>
    <x v="1"/>
    <x v="3"/>
    <n v="1246.1099999999999"/>
    <n v="3551.4134999999997"/>
  </r>
  <r>
    <s v="T02149"/>
    <d v="2024-01-24T00:00:00"/>
    <s v="C195"/>
    <s v="P012"/>
    <s v="S003"/>
    <n v="4"/>
    <n v="0.05"/>
    <x v="3"/>
    <s v="James Mitchell"/>
    <x v="38"/>
    <x v="1"/>
    <x v="0"/>
    <n v="1193.0899999999999"/>
    <n v="4533.7419999999993"/>
  </r>
  <r>
    <s v="T02150"/>
    <d v="2024-05-04T00:00:00"/>
    <s v="C034"/>
    <s v="P036"/>
    <s v="S002"/>
    <n v="3"/>
    <n v="0.15"/>
    <x v="1"/>
    <s v="Kari Miller"/>
    <x v="4"/>
    <x v="0"/>
    <x v="2"/>
    <n v="1501.46"/>
    <n v="3828.723"/>
  </r>
  <r>
    <s v="T02151"/>
    <d v="2025-02-18T00:00:00"/>
    <s v="C159"/>
    <s v="P008"/>
    <s v="S005"/>
    <n v="2"/>
    <n v="0.15"/>
    <x v="2"/>
    <s v="Thomas Chung"/>
    <x v="48"/>
    <x v="0"/>
    <x v="4"/>
    <n v="109.78"/>
    <n v="186.626"/>
  </r>
  <r>
    <s v="T02152"/>
    <d v="2024-11-17T00:00:00"/>
    <s v="C018"/>
    <s v="P016"/>
    <s v="S003"/>
    <n v="4"/>
    <n v="0.05"/>
    <x v="0"/>
    <s v="Breanna Davis"/>
    <x v="13"/>
    <x v="0"/>
    <x v="0"/>
    <n v="1858.75"/>
    <n v="7063.25"/>
  </r>
  <r>
    <s v="T02153"/>
    <d v="2023-09-23T00:00:00"/>
    <s v="C148"/>
    <s v="P036"/>
    <s v="S001"/>
    <n v="2"/>
    <n v="0.15"/>
    <x v="3"/>
    <s v="John Foster"/>
    <x v="4"/>
    <x v="0"/>
    <x v="3"/>
    <n v="1501.46"/>
    <n v="2552.482"/>
  </r>
  <r>
    <s v="T02154"/>
    <d v="2025-02-23T00:00:00"/>
    <s v="C191"/>
    <s v="P039"/>
    <s v="S001"/>
    <n v="2"/>
    <n v="0"/>
    <x v="1"/>
    <s v="Karen Quinn"/>
    <x v="22"/>
    <x v="0"/>
    <x v="3"/>
    <n v="540.94000000000005"/>
    <n v="1081.8800000000001"/>
  </r>
  <r>
    <s v="T02155"/>
    <d v="2025-08-27T00:00:00"/>
    <s v="C048"/>
    <s v="P025"/>
    <s v="S003"/>
    <n v="1"/>
    <n v="0.15"/>
    <x v="1"/>
    <s v="Alexis Crane"/>
    <x v="33"/>
    <x v="0"/>
    <x v="0"/>
    <n v="429.15"/>
    <n v="364.77749999999997"/>
  </r>
  <r>
    <s v="T02156"/>
    <d v="2025-01-18T00:00:00"/>
    <s v="C091"/>
    <s v="P015"/>
    <s v="S003"/>
    <n v="1"/>
    <n v="0"/>
    <x v="0"/>
    <s v="Brian Fowler"/>
    <x v="40"/>
    <x v="0"/>
    <x v="0"/>
    <n v="270.45"/>
    <n v="270.45"/>
  </r>
  <r>
    <s v="T02157"/>
    <d v="2025-03-22T00:00:00"/>
    <s v="C111"/>
    <s v="P047"/>
    <s v="S002"/>
    <n v="2"/>
    <n v="0.15"/>
    <x v="1"/>
    <s v="Dylan Booker"/>
    <x v="28"/>
    <x v="1"/>
    <x v="2"/>
    <n v="1197.18"/>
    <n v="2035.2060000000001"/>
  </r>
  <r>
    <s v="T02158"/>
    <d v="2024-12-21T00:00:00"/>
    <s v="C131"/>
    <s v="P049"/>
    <s v="S003"/>
    <n v="1"/>
    <n v="0.15"/>
    <x v="0"/>
    <s v="Denise Jackson"/>
    <x v="29"/>
    <x v="0"/>
    <x v="0"/>
    <n v="388.26"/>
    <n v="330.02099999999996"/>
  </r>
  <r>
    <s v="T02159"/>
    <d v="2025-06-15T00:00:00"/>
    <s v="C095"/>
    <s v="P048"/>
    <s v="S001"/>
    <n v="1"/>
    <n v="0.15"/>
    <x v="1"/>
    <s v="Kevin Snyder"/>
    <x v="11"/>
    <x v="0"/>
    <x v="3"/>
    <n v="1216.3599999999999"/>
    <n v="1033.9059999999999"/>
  </r>
  <r>
    <s v="T02160"/>
    <d v="2023-11-27T00:00:00"/>
    <s v="C050"/>
    <s v="P050"/>
    <s v="S003"/>
    <n v="2"/>
    <n v="0.15"/>
    <x v="2"/>
    <s v="Kelly Mcmillan"/>
    <x v="3"/>
    <x v="0"/>
    <x v="0"/>
    <n v="1044.6400000000001"/>
    <n v="1775.8880000000001"/>
  </r>
  <r>
    <s v="T02161"/>
    <d v="2024-10-16T00:00:00"/>
    <s v="C153"/>
    <s v="P024"/>
    <s v="S003"/>
    <n v="5"/>
    <n v="0.15"/>
    <x v="1"/>
    <s v="Nancy Gordon"/>
    <x v="14"/>
    <x v="1"/>
    <x v="0"/>
    <n v="1487.41"/>
    <n v="6321.4925000000003"/>
  </r>
  <r>
    <s v="T02162"/>
    <d v="2025-08-20T00:00:00"/>
    <s v="C028"/>
    <s v="P025"/>
    <s v="S001"/>
    <n v="2"/>
    <n v="0"/>
    <x v="2"/>
    <s v="John Carr"/>
    <x v="33"/>
    <x v="0"/>
    <x v="3"/>
    <n v="429.15"/>
    <n v="858.3"/>
  </r>
  <r>
    <s v="T02163"/>
    <d v="2024-12-03T00:00:00"/>
    <s v="C030"/>
    <s v="P017"/>
    <s v="S001"/>
    <n v="1"/>
    <n v="0.1"/>
    <x v="2"/>
    <s v="Lacey Hall"/>
    <x v="43"/>
    <x v="1"/>
    <x v="3"/>
    <n v="1246.1099999999999"/>
    <n v="1121.499"/>
  </r>
  <r>
    <s v="T02164"/>
    <d v="2024-01-04T00:00:00"/>
    <s v="C017"/>
    <s v="P001"/>
    <s v="S005"/>
    <n v="1"/>
    <n v="0.1"/>
    <x v="2"/>
    <s v="Vanessa Anderson"/>
    <x v="31"/>
    <x v="1"/>
    <x v="4"/>
    <n v="1673.69"/>
    <n v="1506.3210000000001"/>
  </r>
  <r>
    <s v="T02165"/>
    <d v="2025-01-03T00:00:00"/>
    <s v="C159"/>
    <s v="P013"/>
    <s v="S004"/>
    <n v="4"/>
    <n v="0.15"/>
    <x v="3"/>
    <s v="Thomas Chung"/>
    <x v="21"/>
    <x v="0"/>
    <x v="1"/>
    <n v="1134.8"/>
    <n v="3858.3199999999997"/>
  </r>
  <r>
    <s v="T02166"/>
    <d v="2025-06-11T00:00:00"/>
    <s v="C057"/>
    <s v="P011"/>
    <s v="S003"/>
    <n v="4"/>
    <n v="0.05"/>
    <x v="2"/>
    <s v="Julie Gibson"/>
    <x v="17"/>
    <x v="1"/>
    <x v="0"/>
    <n v="248.57"/>
    <n v="944.56599999999992"/>
  </r>
  <r>
    <s v="T02167"/>
    <d v="2024-03-11T00:00:00"/>
    <s v="C053"/>
    <s v="P031"/>
    <s v="S003"/>
    <n v="3"/>
    <n v="0.1"/>
    <x v="3"/>
    <s v="Felicia Morgan"/>
    <x v="39"/>
    <x v="2"/>
    <x v="0"/>
    <n v="1095.72"/>
    <n v="2958.444"/>
  </r>
  <r>
    <s v="T02168"/>
    <d v="2024-07-04T00:00:00"/>
    <s v="C025"/>
    <s v="P005"/>
    <s v="S002"/>
    <n v="5"/>
    <n v="0.15"/>
    <x v="0"/>
    <s v="Cheryl Gilbert"/>
    <x v="6"/>
    <x v="0"/>
    <x v="2"/>
    <n v="1396.22"/>
    <n v="5933.9350000000004"/>
  </r>
  <r>
    <s v="T02169"/>
    <d v="2023-11-02T00:00:00"/>
    <s v="C177"/>
    <s v="P048"/>
    <s v="S002"/>
    <n v="2"/>
    <n v="0.1"/>
    <x v="3"/>
    <s v="Anthony Gould"/>
    <x v="11"/>
    <x v="0"/>
    <x v="2"/>
    <n v="1216.3599999999999"/>
    <n v="2189.4479999999999"/>
  </r>
  <r>
    <s v="T02170"/>
    <d v="2024-07-27T00:00:00"/>
    <s v="C043"/>
    <s v="P034"/>
    <s v="S002"/>
    <n v="3"/>
    <n v="0.15"/>
    <x v="2"/>
    <s v="Kenneth Allen"/>
    <x v="12"/>
    <x v="1"/>
    <x v="2"/>
    <n v="428.05"/>
    <n v="1091.5275000000001"/>
  </r>
  <r>
    <s v="T02171"/>
    <d v="2025-01-28T00:00:00"/>
    <s v="C004"/>
    <s v="P028"/>
    <s v="S004"/>
    <n v="4"/>
    <n v="0.1"/>
    <x v="3"/>
    <s v="Joseph Ward"/>
    <x v="25"/>
    <x v="1"/>
    <x v="1"/>
    <n v="673.78"/>
    <n v="2425.6080000000002"/>
  </r>
  <r>
    <s v="T02172"/>
    <d v="2024-05-25T00:00:00"/>
    <s v="C046"/>
    <s v="P019"/>
    <s v="S003"/>
    <n v="1"/>
    <n v="0.05"/>
    <x v="3"/>
    <s v="Dennis Poole"/>
    <x v="26"/>
    <x v="1"/>
    <x v="0"/>
    <n v="1762.92"/>
    <n v="1674.7739999999999"/>
  </r>
  <r>
    <s v="T02173"/>
    <d v="2024-10-27T00:00:00"/>
    <s v="C153"/>
    <s v="P024"/>
    <s v="S003"/>
    <n v="4"/>
    <n v="0"/>
    <x v="1"/>
    <s v="Nancy Gordon"/>
    <x v="14"/>
    <x v="1"/>
    <x v="0"/>
    <n v="1487.41"/>
    <n v="5949.64"/>
  </r>
  <r>
    <s v="T02174"/>
    <d v="2025-07-03T00:00:00"/>
    <s v="C064"/>
    <s v="P004"/>
    <s v="S004"/>
    <n v="1"/>
    <n v="0"/>
    <x v="3"/>
    <s v="Amanda Hoover"/>
    <x v="49"/>
    <x v="0"/>
    <x v="1"/>
    <n v="1853.77"/>
    <n v="1853.77"/>
  </r>
  <r>
    <s v="T02175"/>
    <d v="2024-06-06T00:00:00"/>
    <s v="C146"/>
    <s v="P011"/>
    <s v="S003"/>
    <n v="2"/>
    <n v="0.05"/>
    <x v="2"/>
    <s v="John Johnson"/>
    <x v="17"/>
    <x v="1"/>
    <x v="0"/>
    <n v="248.57"/>
    <n v="472.28299999999996"/>
  </r>
  <r>
    <s v="T02176"/>
    <d v="2025-03-29T00:00:00"/>
    <s v="C199"/>
    <s v="P030"/>
    <s v="S001"/>
    <n v="1"/>
    <n v="0.1"/>
    <x v="0"/>
    <s v="Juan Johnson"/>
    <x v="1"/>
    <x v="0"/>
    <x v="3"/>
    <n v="29.24"/>
    <n v="26.315999999999999"/>
  </r>
  <r>
    <s v="T02177"/>
    <d v="2025-05-29T00:00:00"/>
    <s v="C116"/>
    <s v="P046"/>
    <s v="S004"/>
    <n v="3"/>
    <n v="0.1"/>
    <x v="1"/>
    <s v="Jamie Webb"/>
    <x v="42"/>
    <x v="0"/>
    <x v="1"/>
    <n v="1165.3699999999999"/>
    <n v="3146.4989999999998"/>
  </r>
  <r>
    <s v="T02178"/>
    <d v="2024-08-18T00:00:00"/>
    <s v="C065"/>
    <s v="P030"/>
    <s v="S003"/>
    <n v="4"/>
    <n v="0"/>
    <x v="0"/>
    <s v="Scott Duke"/>
    <x v="1"/>
    <x v="0"/>
    <x v="0"/>
    <n v="29.24"/>
    <n v="116.96"/>
  </r>
  <r>
    <s v="T02179"/>
    <d v="2023-10-27T00:00:00"/>
    <s v="C078"/>
    <s v="P019"/>
    <s v="S003"/>
    <n v="5"/>
    <n v="0.15"/>
    <x v="3"/>
    <s v="Jeanne Young"/>
    <x v="26"/>
    <x v="1"/>
    <x v="0"/>
    <n v="1762.92"/>
    <n v="7492.41"/>
  </r>
  <r>
    <s v="T02180"/>
    <d v="2025-02-25T00:00:00"/>
    <s v="C070"/>
    <s v="P023"/>
    <s v="S005"/>
    <n v="1"/>
    <n v="0.05"/>
    <x v="1"/>
    <s v="Eric Bryan"/>
    <x v="20"/>
    <x v="0"/>
    <x v="4"/>
    <n v="1878.47"/>
    <n v="1784.5464999999999"/>
  </r>
  <r>
    <s v="T02181"/>
    <d v="2023-12-18T00:00:00"/>
    <s v="C057"/>
    <s v="P039"/>
    <s v="S002"/>
    <n v="3"/>
    <n v="0.15"/>
    <x v="3"/>
    <s v="Julie Gibson"/>
    <x v="22"/>
    <x v="0"/>
    <x v="2"/>
    <n v="540.94000000000005"/>
    <n v="1379.3970000000002"/>
  </r>
  <r>
    <s v="T02182"/>
    <d v="2023-11-07T00:00:00"/>
    <s v="C063"/>
    <s v="P028"/>
    <s v="S005"/>
    <n v="4"/>
    <n v="0.1"/>
    <x v="2"/>
    <s v="Michael Johnson"/>
    <x v="25"/>
    <x v="1"/>
    <x v="4"/>
    <n v="673.78"/>
    <n v="2425.6080000000002"/>
  </r>
  <r>
    <s v="T02183"/>
    <d v="2024-08-17T00:00:00"/>
    <s v="C191"/>
    <s v="P001"/>
    <s v="S001"/>
    <n v="2"/>
    <n v="0.15"/>
    <x v="3"/>
    <s v="Karen Quinn"/>
    <x v="31"/>
    <x v="1"/>
    <x v="3"/>
    <n v="1673.69"/>
    <n v="2845.2730000000001"/>
  </r>
  <r>
    <s v="T02184"/>
    <d v="2024-01-01T00:00:00"/>
    <s v="C071"/>
    <s v="P047"/>
    <s v="S005"/>
    <n v="4"/>
    <n v="0.05"/>
    <x v="0"/>
    <s v="Denise Gutierrez"/>
    <x v="28"/>
    <x v="1"/>
    <x v="4"/>
    <n v="1197.18"/>
    <n v="4549.2839999999997"/>
  </r>
  <r>
    <s v="T02185"/>
    <d v="2025-06-10T00:00:00"/>
    <s v="C174"/>
    <s v="P006"/>
    <s v="S003"/>
    <n v="3"/>
    <n v="0.15"/>
    <x v="1"/>
    <s v="Scott Howell"/>
    <x v="35"/>
    <x v="2"/>
    <x v="0"/>
    <n v="318.05"/>
    <n v="811.02750000000003"/>
  </r>
  <r>
    <s v="T02186"/>
    <d v="2023-12-13T00:00:00"/>
    <s v="C071"/>
    <s v="P033"/>
    <s v="S003"/>
    <n v="2"/>
    <n v="0"/>
    <x v="0"/>
    <s v="Denise Gutierrez"/>
    <x v="16"/>
    <x v="0"/>
    <x v="0"/>
    <n v="1798.97"/>
    <n v="3597.94"/>
  </r>
  <r>
    <s v="T02187"/>
    <d v="2025-05-09T00:00:00"/>
    <s v="C157"/>
    <s v="P005"/>
    <s v="S001"/>
    <n v="4"/>
    <n v="0.15"/>
    <x v="0"/>
    <s v="Connie Terry"/>
    <x v="6"/>
    <x v="0"/>
    <x v="3"/>
    <n v="1396.22"/>
    <n v="4747.1480000000001"/>
  </r>
  <r>
    <s v="T02188"/>
    <d v="2025-09-03T00:00:00"/>
    <s v="C074"/>
    <s v="P014"/>
    <s v="S001"/>
    <n v="1"/>
    <n v="0.15"/>
    <x v="2"/>
    <s v="Jesus Singh"/>
    <x v="0"/>
    <x v="0"/>
    <x v="3"/>
    <n v="1342.75"/>
    <n v="1141.3374999999999"/>
  </r>
  <r>
    <s v="T02189"/>
    <d v="2023-10-27T00:00:00"/>
    <s v="C120"/>
    <s v="P044"/>
    <s v="S002"/>
    <n v="5"/>
    <n v="0.1"/>
    <x v="2"/>
    <s v="Curtis Faulkner"/>
    <x v="32"/>
    <x v="0"/>
    <x v="2"/>
    <n v="1286.55"/>
    <n v="5789.4750000000004"/>
  </r>
  <r>
    <s v="T02190"/>
    <d v="2024-12-16T00:00:00"/>
    <s v="C078"/>
    <s v="P029"/>
    <s v="S004"/>
    <n v="3"/>
    <n v="0"/>
    <x v="0"/>
    <s v="Jeanne Young"/>
    <x v="47"/>
    <x v="0"/>
    <x v="1"/>
    <n v="1485.05"/>
    <n v="4455.1499999999996"/>
  </r>
  <r>
    <s v="T02191"/>
    <d v="2025-04-15T00:00:00"/>
    <s v="C004"/>
    <s v="P044"/>
    <s v="S004"/>
    <n v="1"/>
    <n v="0.05"/>
    <x v="0"/>
    <s v="Joseph Ward"/>
    <x v="32"/>
    <x v="0"/>
    <x v="1"/>
    <n v="1286.55"/>
    <n v="1222.2224999999999"/>
  </r>
  <r>
    <s v="T02192"/>
    <d v="2024-12-31T00:00:00"/>
    <s v="C152"/>
    <s v="P012"/>
    <s v="S001"/>
    <n v="1"/>
    <n v="0.15"/>
    <x v="0"/>
    <s v="Brittany Green"/>
    <x v="38"/>
    <x v="1"/>
    <x v="3"/>
    <n v="1193.0899999999999"/>
    <n v="1014.1264999999999"/>
  </r>
  <r>
    <s v="T02193"/>
    <d v="2024-02-01T00:00:00"/>
    <s v="C002"/>
    <s v="P039"/>
    <s v="S004"/>
    <n v="3"/>
    <n v="0"/>
    <x v="3"/>
    <s v="Michael Miller"/>
    <x v="22"/>
    <x v="0"/>
    <x v="1"/>
    <n v="540.94000000000005"/>
    <n v="1622.8200000000002"/>
  </r>
  <r>
    <s v="T02194"/>
    <d v="2024-06-11T00:00:00"/>
    <s v="C065"/>
    <s v="P007"/>
    <s v="S002"/>
    <n v="3"/>
    <n v="0.1"/>
    <x v="2"/>
    <s v="Scott Duke"/>
    <x v="18"/>
    <x v="1"/>
    <x v="2"/>
    <n v="1474.12"/>
    <n v="3980.1239999999998"/>
  </r>
  <r>
    <s v="T02195"/>
    <d v="2024-06-23T00:00:00"/>
    <s v="C023"/>
    <s v="P032"/>
    <s v="S003"/>
    <n v="2"/>
    <n v="0.05"/>
    <x v="1"/>
    <s v="Mark Martinez"/>
    <x v="44"/>
    <x v="2"/>
    <x v="0"/>
    <n v="304.70999999999998"/>
    <n v="578.94899999999996"/>
  </r>
  <r>
    <s v="T02196"/>
    <d v="2025-03-11T00:00:00"/>
    <s v="C150"/>
    <s v="P010"/>
    <s v="S001"/>
    <n v="3"/>
    <n v="0.05"/>
    <x v="3"/>
    <s v="Francis Hernandez"/>
    <x v="36"/>
    <x v="1"/>
    <x v="3"/>
    <n v="1194.1199999999999"/>
    <n v="3403.2419999999997"/>
  </r>
  <r>
    <s v="T02197"/>
    <d v="2023-10-27T00:00:00"/>
    <s v="C122"/>
    <s v="P014"/>
    <s v="S003"/>
    <n v="2"/>
    <n v="0.15"/>
    <x v="1"/>
    <s v="Amy Smith"/>
    <x v="0"/>
    <x v="0"/>
    <x v="0"/>
    <n v="1342.75"/>
    <n v="2282.6749999999997"/>
  </r>
  <r>
    <s v="T02198"/>
    <d v="2024-03-19T00:00:00"/>
    <s v="C103"/>
    <s v="P037"/>
    <s v="S001"/>
    <n v="3"/>
    <n v="0.1"/>
    <x v="0"/>
    <s v="David Burns"/>
    <x v="27"/>
    <x v="1"/>
    <x v="3"/>
    <n v="1952.65"/>
    <n v="5272.1550000000007"/>
  </r>
  <r>
    <s v="T02199"/>
    <d v="2024-09-03T00:00:00"/>
    <s v="C045"/>
    <s v="P022"/>
    <s v="S005"/>
    <n v="4"/>
    <n v="0.1"/>
    <x v="2"/>
    <s v="Kelly Shaw"/>
    <x v="9"/>
    <x v="2"/>
    <x v="4"/>
    <n v="25.57"/>
    <n v="92.052000000000007"/>
  </r>
  <r>
    <s v="T02200"/>
    <d v="2024-03-29T00:00:00"/>
    <s v="C175"/>
    <s v="P041"/>
    <s v="S002"/>
    <n v="3"/>
    <n v="0.05"/>
    <x v="1"/>
    <s v="Stacey Thompson"/>
    <x v="30"/>
    <x v="1"/>
    <x v="2"/>
    <n v="1635.01"/>
    <n v="4659.7784999999994"/>
  </r>
  <r>
    <s v="T02201"/>
    <d v="2024-09-28T00:00:00"/>
    <s v="C142"/>
    <s v="P041"/>
    <s v="S002"/>
    <n v="3"/>
    <n v="0.1"/>
    <x v="3"/>
    <s v="Suzanne Fox"/>
    <x v="30"/>
    <x v="1"/>
    <x v="2"/>
    <n v="1635.01"/>
    <n v="4414.527"/>
  </r>
  <r>
    <s v="T02202"/>
    <d v="2025-06-23T00:00:00"/>
    <s v="C077"/>
    <s v="P040"/>
    <s v="S005"/>
    <n v="4"/>
    <n v="0.05"/>
    <x v="1"/>
    <s v="Matthew Juarez"/>
    <x v="37"/>
    <x v="1"/>
    <x v="4"/>
    <n v="1745.61"/>
    <n v="6633.3179999999993"/>
  </r>
  <r>
    <s v="T02203"/>
    <d v="2024-02-16T00:00:00"/>
    <s v="C112"/>
    <s v="P019"/>
    <s v="S001"/>
    <n v="2"/>
    <n v="0.15"/>
    <x v="0"/>
    <s v="Jeffrey Smith"/>
    <x v="26"/>
    <x v="1"/>
    <x v="3"/>
    <n v="1762.92"/>
    <n v="2996.9639999999999"/>
  </r>
  <r>
    <s v="T02204"/>
    <d v="2024-03-06T00:00:00"/>
    <s v="C129"/>
    <s v="P049"/>
    <s v="S003"/>
    <n v="4"/>
    <n v="0.1"/>
    <x v="1"/>
    <s v="Gary Taylor"/>
    <x v="29"/>
    <x v="0"/>
    <x v="0"/>
    <n v="388.26"/>
    <n v="1397.7360000000001"/>
  </r>
  <r>
    <s v="T02205"/>
    <d v="2024-09-25T00:00:00"/>
    <s v="C120"/>
    <s v="P042"/>
    <s v="S004"/>
    <n v="4"/>
    <n v="0.15"/>
    <x v="3"/>
    <s v="Curtis Faulkner"/>
    <x v="10"/>
    <x v="0"/>
    <x v="1"/>
    <n v="453.62"/>
    <n v="1542.308"/>
  </r>
  <r>
    <s v="T02206"/>
    <d v="2025-03-22T00:00:00"/>
    <s v="C144"/>
    <s v="P040"/>
    <s v="S001"/>
    <n v="4"/>
    <n v="0"/>
    <x v="2"/>
    <s v="Betty Johnson"/>
    <x v="37"/>
    <x v="1"/>
    <x v="3"/>
    <n v="1745.61"/>
    <n v="6982.44"/>
  </r>
  <r>
    <s v="T02207"/>
    <d v="2024-02-26T00:00:00"/>
    <s v="C158"/>
    <s v="P043"/>
    <s v="S003"/>
    <n v="2"/>
    <n v="0.1"/>
    <x v="2"/>
    <s v="Crystal Aguirre"/>
    <x v="45"/>
    <x v="0"/>
    <x v="0"/>
    <n v="564.41999999999996"/>
    <n v="1015.9559999999999"/>
  </r>
  <r>
    <s v="T02208"/>
    <d v="2025-08-09T00:00:00"/>
    <s v="C159"/>
    <s v="P027"/>
    <s v="S005"/>
    <n v="5"/>
    <n v="0.1"/>
    <x v="3"/>
    <s v="Thomas Chung"/>
    <x v="34"/>
    <x v="1"/>
    <x v="4"/>
    <n v="1272.23"/>
    <n v="5725.0349999999999"/>
  </r>
  <r>
    <s v="T02209"/>
    <d v="2024-02-03T00:00:00"/>
    <s v="C194"/>
    <s v="P028"/>
    <s v="S004"/>
    <n v="2"/>
    <n v="0.15"/>
    <x v="3"/>
    <s v="Ann West"/>
    <x v="25"/>
    <x v="1"/>
    <x v="1"/>
    <n v="673.78"/>
    <n v="1145.4259999999999"/>
  </r>
  <r>
    <s v="T02210"/>
    <d v="2024-10-06T00:00:00"/>
    <s v="C119"/>
    <s v="P004"/>
    <s v="S005"/>
    <n v="4"/>
    <n v="0"/>
    <x v="3"/>
    <s v="Jason Lloyd"/>
    <x v="49"/>
    <x v="0"/>
    <x v="4"/>
    <n v="1853.77"/>
    <n v="7415.08"/>
  </r>
  <r>
    <s v="T02211"/>
    <d v="2024-04-18T00:00:00"/>
    <s v="C015"/>
    <s v="P011"/>
    <s v="S003"/>
    <n v="1"/>
    <n v="0.1"/>
    <x v="3"/>
    <s v="Matthew Molina"/>
    <x v="17"/>
    <x v="1"/>
    <x v="0"/>
    <n v="248.57"/>
    <n v="223.71299999999999"/>
  </r>
  <r>
    <s v="T02212"/>
    <d v="2025-07-08T00:00:00"/>
    <s v="C075"/>
    <s v="P012"/>
    <s v="S005"/>
    <n v="4"/>
    <n v="0.1"/>
    <x v="3"/>
    <s v="Seth Moore"/>
    <x v="38"/>
    <x v="1"/>
    <x v="4"/>
    <n v="1193.0899999999999"/>
    <n v="4295.1239999999998"/>
  </r>
  <r>
    <s v="T02213"/>
    <d v="2025-01-10T00:00:00"/>
    <s v="C032"/>
    <s v="P039"/>
    <s v="S005"/>
    <n v="5"/>
    <n v="0"/>
    <x v="2"/>
    <s v="Valerie Macdonald"/>
    <x v="22"/>
    <x v="0"/>
    <x v="4"/>
    <n v="540.94000000000005"/>
    <n v="2704.7000000000003"/>
  </r>
  <r>
    <s v="T02214"/>
    <d v="2024-07-04T00:00:00"/>
    <s v="C133"/>
    <s v="P020"/>
    <s v="S002"/>
    <n v="5"/>
    <n v="0.15"/>
    <x v="2"/>
    <s v="Yvette Roth"/>
    <x v="24"/>
    <x v="0"/>
    <x v="2"/>
    <n v="323.92"/>
    <n v="1376.66"/>
  </r>
  <r>
    <s v="T02215"/>
    <d v="2025-01-20T00:00:00"/>
    <s v="C058"/>
    <s v="P014"/>
    <s v="S002"/>
    <n v="3"/>
    <n v="0.1"/>
    <x v="3"/>
    <s v="Lawrence Stewart"/>
    <x v="0"/>
    <x v="0"/>
    <x v="2"/>
    <n v="1342.75"/>
    <n v="3625.4250000000002"/>
  </r>
  <r>
    <s v="T02216"/>
    <d v="2024-12-14T00:00:00"/>
    <s v="C125"/>
    <s v="P010"/>
    <s v="S005"/>
    <n v="2"/>
    <n v="0"/>
    <x v="3"/>
    <s v="Kimberly Parker"/>
    <x v="36"/>
    <x v="1"/>
    <x v="4"/>
    <n v="1194.1199999999999"/>
    <n v="2388.2399999999998"/>
  </r>
  <r>
    <s v="T02217"/>
    <d v="2024-12-26T00:00:00"/>
    <s v="C001"/>
    <s v="P005"/>
    <s v="S002"/>
    <n v="5"/>
    <n v="0"/>
    <x v="3"/>
    <s v="Michael Davis"/>
    <x v="6"/>
    <x v="0"/>
    <x v="2"/>
    <n v="1396.22"/>
    <n v="6981.1"/>
  </r>
  <r>
    <s v="T02218"/>
    <d v="2023-11-18T00:00:00"/>
    <s v="C064"/>
    <s v="P021"/>
    <s v="S002"/>
    <n v="1"/>
    <n v="0.15"/>
    <x v="3"/>
    <s v="Amanda Hoover"/>
    <x v="23"/>
    <x v="2"/>
    <x v="2"/>
    <n v="1227.24"/>
    <n v="1043.154"/>
  </r>
  <r>
    <s v="T02219"/>
    <d v="2024-11-22T00:00:00"/>
    <s v="C130"/>
    <s v="P040"/>
    <s v="S004"/>
    <n v="4"/>
    <n v="0"/>
    <x v="3"/>
    <s v="Aaron Bailey"/>
    <x v="37"/>
    <x v="1"/>
    <x v="1"/>
    <n v="1745.61"/>
    <n v="6982.44"/>
  </r>
  <r>
    <s v="T02220"/>
    <d v="2023-09-22T00:00:00"/>
    <s v="C077"/>
    <s v="P037"/>
    <s v="S004"/>
    <n v="4"/>
    <n v="0.05"/>
    <x v="2"/>
    <s v="Matthew Juarez"/>
    <x v="27"/>
    <x v="1"/>
    <x v="1"/>
    <n v="1952.65"/>
    <n v="7420.07"/>
  </r>
  <r>
    <s v="T02221"/>
    <d v="2024-06-20T00:00:00"/>
    <s v="C140"/>
    <s v="P045"/>
    <s v="S003"/>
    <n v="5"/>
    <n v="0.15"/>
    <x v="3"/>
    <s v="Stacy Williams"/>
    <x v="8"/>
    <x v="2"/>
    <x v="0"/>
    <n v="1879.08"/>
    <n v="7986.0899999999992"/>
  </r>
  <r>
    <s v="T02222"/>
    <d v="2024-03-29T00:00:00"/>
    <s v="C111"/>
    <s v="P029"/>
    <s v="S002"/>
    <n v="1"/>
    <n v="0.05"/>
    <x v="2"/>
    <s v="Dylan Booker"/>
    <x v="47"/>
    <x v="0"/>
    <x v="2"/>
    <n v="1485.05"/>
    <n v="1410.7974999999999"/>
  </r>
  <r>
    <s v="T02223"/>
    <d v="2023-09-19T00:00:00"/>
    <s v="C191"/>
    <s v="P022"/>
    <s v="S002"/>
    <n v="2"/>
    <n v="0.05"/>
    <x v="1"/>
    <s v="Karen Quinn"/>
    <x v="9"/>
    <x v="2"/>
    <x v="2"/>
    <n v="25.57"/>
    <n v="48.582999999999998"/>
  </r>
  <r>
    <s v="T02224"/>
    <d v="2025-06-22T00:00:00"/>
    <s v="C123"/>
    <s v="P023"/>
    <s v="S003"/>
    <n v="3"/>
    <n v="0"/>
    <x v="1"/>
    <s v="Peter Edwards"/>
    <x v="20"/>
    <x v="0"/>
    <x v="0"/>
    <n v="1878.47"/>
    <n v="5635.41"/>
  </r>
  <r>
    <s v="T02225"/>
    <d v="2023-10-10T00:00:00"/>
    <s v="C095"/>
    <s v="P042"/>
    <s v="S003"/>
    <n v="4"/>
    <n v="0.15"/>
    <x v="3"/>
    <s v="Kevin Snyder"/>
    <x v="10"/>
    <x v="0"/>
    <x v="0"/>
    <n v="453.62"/>
    <n v="1542.308"/>
  </r>
  <r>
    <s v="T02226"/>
    <d v="2024-08-26T00:00:00"/>
    <s v="C119"/>
    <s v="P002"/>
    <s v="S004"/>
    <n v="4"/>
    <n v="0.05"/>
    <x v="3"/>
    <s v="Jason Lloyd"/>
    <x v="2"/>
    <x v="1"/>
    <x v="1"/>
    <n v="818.76"/>
    <n v="3111.288"/>
  </r>
  <r>
    <s v="T02227"/>
    <d v="2023-11-06T00:00:00"/>
    <s v="C073"/>
    <s v="P050"/>
    <s v="S004"/>
    <n v="1"/>
    <n v="0.15"/>
    <x v="3"/>
    <s v="Carl Armstrong"/>
    <x v="3"/>
    <x v="0"/>
    <x v="1"/>
    <n v="1044.6400000000001"/>
    <n v="887.94400000000007"/>
  </r>
  <r>
    <s v="T02228"/>
    <d v="2025-08-15T00:00:00"/>
    <s v="C149"/>
    <s v="P025"/>
    <s v="S003"/>
    <n v="1"/>
    <n v="0.15"/>
    <x v="3"/>
    <s v="Melissa Torres"/>
    <x v="33"/>
    <x v="0"/>
    <x v="0"/>
    <n v="429.15"/>
    <n v="364.77749999999997"/>
  </r>
  <r>
    <s v="T02229"/>
    <d v="2025-08-20T00:00:00"/>
    <s v="C091"/>
    <s v="P043"/>
    <s v="S002"/>
    <n v="4"/>
    <n v="0.15"/>
    <x v="0"/>
    <s v="Brian Fowler"/>
    <x v="45"/>
    <x v="0"/>
    <x v="2"/>
    <n v="564.41999999999996"/>
    <n v="1919.0279999999998"/>
  </r>
  <r>
    <s v="T02230"/>
    <d v="2023-10-19T00:00:00"/>
    <s v="C003"/>
    <s v="P040"/>
    <s v="S002"/>
    <n v="3"/>
    <n v="0.05"/>
    <x v="0"/>
    <s v="Carol Hays"/>
    <x v="37"/>
    <x v="1"/>
    <x v="2"/>
    <n v="1745.61"/>
    <n v="4974.9884999999995"/>
  </r>
  <r>
    <s v="T02231"/>
    <d v="2024-03-30T00:00:00"/>
    <s v="C181"/>
    <s v="P020"/>
    <s v="S005"/>
    <n v="4"/>
    <n v="0"/>
    <x v="2"/>
    <s v="Brittany Oneal"/>
    <x v="24"/>
    <x v="0"/>
    <x v="4"/>
    <n v="323.92"/>
    <n v="1295.68"/>
  </r>
  <r>
    <s v="T02232"/>
    <d v="2025-03-21T00:00:00"/>
    <s v="C168"/>
    <s v="P026"/>
    <s v="S002"/>
    <n v="3"/>
    <n v="0.1"/>
    <x v="1"/>
    <s v="Richard Jones"/>
    <x v="15"/>
    <x v="2"/>
    <x v="2"/>
    <n v="1015.76"/>
    <n v="2742.5519999999997"/>
  </r>
  <r>
    <s v="T02233"/>
    <d v="2025-01-24T00:00:00"/>
    <s v="C184"/>
    <s v="P029"/>
    <s v="S002"/>
    <n v="3"/>
    <n v="0.1"/>
    <x v="1"/>
    <s v="Daniel Mcintyre"/>
    <x v="47"/>
    <x v="0"/>
    <x v="2"/>
    <n v="1485.05"/>
    <n v="4009.6349999999998"/>
  </r>
  <r>
    <s v="T02234"/>
    <d v="2024-01-12T00:00:00"/>
    <s v="C018"/>
    <s v="P001"/>
    <s v="S004"/>
    <n v="4"/>
    <n v="0.15"/>
    <x v="2"/>
    <s v="Breanna Davis"/>
    <x v="31"/>
    <x v="1"/>
    <x v="1"/>
    <n v="1673.69"/>
    <n v="5690.5460000000003"/>
  </r>
  <r>
    <s v="T02235"/>
    <d v="2023-09-26T00:00:00"/>
    <s v="C148"/>
    <s v="P048"/>
    <s v="S005"/>
    <n v="5"/>
    <n v="0.1"/>
    <x v="2"/>
    <s v="John Foster"/>
    <x v="11"/>
    <x v="0"/>
    <x v="4"/>
    <n v="1216.3599999999999"/>
    <n v="5473.62"/>
  </r>
  <r>
    <s v="T02236"/>
    <d v="2024-03-23T00:00:00"/>
    <s v="C179"/>
    <s v="P020"/>
    <s v="S003"/>
    <n v="5"/>
    <n v="0.1"/>
    <x v="1"/>
    <s v="Dennis Wallace"/>
    <x v="24"/>
    <x v="0"/>
    <x v="0"/>
    <n v="323.92"/>
    <n v="1457.64"/>
  </r>
  <r>
    <s v="T02237"/>
    <d v="2024-08-19T00:00:00"/>
    <s v="C018"/>
    <s v="P048"/>
    <s v="S001"/>
    <n v="1"/>
    <n v="0.05"/>
    <x v="2"/>
    <s v="Breanna Davis"/>
    <x v="11"/>
    <x v="0"/>
    <x v="3"/>
    <n v="1216.3599999999999"/>
    <n v="1155.5419999999999"/>
  </r>
  <r>
    <s v="T02238"/>
    <d v="2024-09-09T00:00:00"/>
    <s v="C025"/>
    <s v="P050"/>
    <s v="S001"/>
    <n v="4"/>
    <n v="0.15"/>
    <x v="0"/>
    <s v="Cheryl Gilbert"/>
    <x v="3"/>
    <x v="0"/>
    <x v="3"/>
    <n v="1044.6400000000001"/>
    <n v="3551.7760000000003"/>
  </r>
  <r>
    <s v="T02239"/>
    <d v="2025-07-22T00:00:00"/>
    <s v="C195"/>
    <s v="P009"/>
    <s v="S002"/>
    <n v="2"/>
    <n v="0"/>
    <x v="2"/>
    <s v="James Mitchell"/>
    <x v="5"/>
    <x v="2"/>
    <x v="2"/>
    <n v="123.19"/>
    <n v="246.38"/>
  </r>
  <r>
    <s v="T02240"/>
    <d v="2025-02-21T00:00:00"/>
    <s v="C187"/>
    <s v="P019"/>
    <s v="S004"/>
    <n v="4"/>
    <n v="0"/>
    <x v="3"/>
    <s v="Cynthia Cherry"/>
    <x v="26"/>
    <x v="1"/>
    <x v="1"/>
    <n v="1762.92"/>
    <n v="7051.68"/>
  </r>
  <r>
    <s v="T02241"/>
    <d v="2024-08-24T00:00:00"/>
    <s v="C157"/>
    <s v="P042"/>
    <s v="S003"/>
    <n v="1"/>
    <n v="0"/>
    <x v="3"/>
    <s v="Connie Terry"/>
    <x v="10"/>
    <x v="0"/>
    <x v="0"/>
    <n v="453.62"/>
    <n v="453.62"/>
  </r>
  <r>
    <s v="T02242"/>
    <d v="2024-08-02T00:00:00"/>
    <s v="C114"/>
    <s v="P029"/>
    <s v="S003"/>
    <n v="5"/>
    <n v="0"/>
    <x v="2"/>
    <s v="Miranda Rodriguez"/>
    <x v="47"/>
    <x v="0"/>
    <x v="0"/>
    <n v="1485.05"/>
    <n v="7425.25"/>
  </r>
  <r>
    <s v="T02243"/>
    <d v="2024-04-18T00:00:00"/>
    <s v="C083"/>
    <s v="P025"/>
    <s v="S001"/>
    <n v="4"/>
    <n v="0.15"/>
    <x v="2"/>
    <s v="Jeremy Robles"/>
    <x v="33"/>
    <x v="0"/>
    <x v="3"/>
    <n v="429.15"/>
    <n v="1459.11"/>
  </r>
  <r>
    <s v="T02244"/>
    <d v="2024-05-30T00:00:00"/>
    <s v="C164"/>
    <s v="P010"/>
    <s v="S005"/>
    <n v="5"/>
    <n v="0.05"/>
    <x v="2"/>
    <s v="Linda Vasquez"/>
    <x v="36"/>
    <x v="1"/>
    <x v="4"/>
    <n v="1194.1199999999999"/>
    <n v="5672.0699999999988"/>
  </r>
  <r>
    <s v="T02245"/>
    <d v="2024-11-08T00:00:00"/>
    <s v="C065"/>
    <s v="P017"/>
    <s v="S004"/>
    <n v="4"/>
    <n v="0.1"/>
    <x v="2"/>
    <s v="Scott Duke"/>
    <x v="43"/>
    <x v="1"/>
    <x v="1"/>
    <n v="1246.1099999999999"/>
    <n v="4485.9960000000001"/>
  </r>
  <r>
    <s v="T02246"/>
    <d v="2023-11-20T00:00:00"/>
    <s v="C052"/>
    <s v="P008"/>
    <s v="S002"/>
    <n v="4"/>
    <n v="0.05"/>
    <x v="3"/>
    <s v="Billy Hernandez"/>
    <x v="48"/>
    <x v="0"/>
    <x v="2"/>
    <n v="109.78"/>
    <n v="417.16399999999999"/>
  </r>
  <r>
    <s v="T02247"/>
    <d v="2023-12-13T00:00:00"/>
    <s v="C150"/>
    <s v="P040"/>
    <s v="S001"/>
    <n v="1"/>
    <n v="0.05"/>
    <x v="3"/>
    <s v="Francis Hernandez"/>
    <x v="37"/>
    <x v="1"/>
    <x v="3"/>
    <n v="1745.61"/>
    <n v="1658.3294999999998"/>
  </r>
  <r>
    <s v="T02248"/>
    <d v="2024-10-25T00:00:00"/>
    <s v="C036"/>
    <s v="P012"/>
    <s v="S001"/>
    <n v="3"/>
    <n v="0.15"/>
    <x v="3"/>
    <s v="Michael Cervantes"/>
    <x v="38"/>
    <x v="1"/>
    <x v="3"/>
    <n v="1193.0899999999999"/>
    <n v="3042.3794999999996"/>
  </r>
  <r>
    <s v="T02249"/>
    <d v="2023-09-15T00:00:00"/>
    <s v="C088"/>
    <s v="P035"/>
    <s v="S002"/>
    <n v="5"/>
    <n v="0.15"/>
    <x v="2"/>
    <s v="Brenda Costa"/>
    <x v="7"/>
    <x v="1"/>
    <x v="2"/>
    <n v="1562.43"/>
    <n v="6640.3275000000003"/>
  </r>
  <r>
    <s v="T02250"/>
    <d v="2025-04-07T00:00:00"/>
    <s v="C054"/>
    <s v="P016"/>
    <s v="S005"/>
    <n v="4"/>
    <n v="0.1"/>
    <x v="0"/>
    <s v="Crystal Johnson"/>
    <x v="13"/>
    <x v="0"/>
    <x v="4"/>
    <n v="1858.75"/>
    <n v="6691.5"/>
  </r>
  <r>
    <s v="T02251"/>
    <d v="2025-03-21T00:00:00"/>
    <s v="C159"/>
    <s v="P008"/>
    <s v="S005"/>
    <n v="2"/>
    <n v="0"/>
    <x v="1"/>
    <s v="Thomas Chung"/>
    <x v="48"/>
    <x v="0"/>
    <x v="4"/>
    <n v="109.78"/>
    <n v="219.56"/>
  </r>
  <r>
    <s v="T02252"/>
    <d v="2023-11-23T00:00:00"/>
    <s v="C110"/>
    <s v="P016"/>
    <s v="S004"/>
    <n v="1"/>
    <n v="0"/>
    <x v="2"/>
    <s v="Travis Peters"/>
    <x v="13"/>
    <x v="0"/>
    <x v="1"/>
    <n v="1858.75"/>
    <n v="1858.75"/>
  </r>
  <r>
    <s v="T02253"/>
    <d v="2024-11-22T00:00:00"/>
    <s v="C133"/>
    <s v="P031"/>
    <s v="S003"/>
    <n v="1"/>
    <n v="0"/>
    <x v="1"/>
    <s v="Yvette Roth"/>
    <x v="39"/>
    <x v="2"/>
    <x v="0"/>
    <n v="1095.72"/>
    <n v="1095.72"/>
  </r>
  <r>
    <s v="T02254"/>
    <d v="2024-09-09T00:00:00"/>
    <s v="C060"/>
    <s v="P034"/>
    <s v="S001"/>
    <n v="5"/>
    <n v="0.1"/>
    <x v="3"/>
    <s v="Anthony Conway"/>
    <x v="12"/>
    <x v="1"/>
    <x v="3"/>
    <n v="428.05"/>
    <n v="1926.2250000000001"/>
  </r>
  <r>
    <s v="T02255"/>
    <d v="2024-01-19T00:00:00"/>
    <s v="C058"/>
    <s v="P036"/>
    <s v="S003"/>
    <n v="3"/>
    <n v="0.15"/>
    <x v="0"/>
    <s v="Lawrence Stewart"/>
    <x v="4"/>
    <x v="0"/>
    <x v="0"/>
    <n v="1501.46"/>
    <n v="3828.723"/>
  </r>
  <r>
    <s v="T02256"/>
    <d v="2025-05-24T00:00:00"/>
    <s v="C018"/>
    <s v="P040"/>
    <s v="S002"/>
    <n v="3"/>
    <n v="0"/>
    <x v="2"/>
    <s v="Breanna Davis"/>
    <x v="37"/>
    <x v="1"/>
    <x v="2"/>
    <n v="1745.61"/>
    <n v="5236.83"/>
  </r>
  <r>
    <s v="T02257"/>
    <d v="2024-06-05T00:00:00"/>
    <s v="C133"/>
    <s v="P041"/>
    <s v="S005"/>
    <n v="5"/>
    <n v="0.1"/>
    <x v="1"/>
    <s v="Yvette Roth"/>
    <x v="30"/>
    <x v="1"/>
    <x v="4"/>
    <n v="1635.01"/>
    <n v="7357.5450000000001"/>
  </r>
  <r>
    <s v="T02258"/>
    <d v="2024-11-27T00:00:00"/>
    <s v="C159"/>
    <s v="P031"/>
    <s v="S001"/>
    <n v="5"/>
    <n v="0"/>
    <x v="1"/>
    <s v="Thomas Chung"/>
    <x v="39"/>
    <x v="2"/>
    <x v="3"/>
    <n v="1095.72"/>
    <n v="5478.6"/>
  </r>
  <r>
    <s v="T02259"/>
    <d v="2024-11-22T00:00:00"/>
    <s v="C068"/>
    <s v="P038"/>
    <s v="S001"/>
    <n v="1"/>
    <n v="0.1"/>
    <x v="1"/>
    <s v="Alexandra Montoya"/>
    <x v="41"/>
    <x v="0"/>
    <x v="3"/>
    <n v="366.93"/>
    <n v="330.23700000000002"/>
  </r>
  <r>
    <s v="T02260"/>
    <d v="2024-01-23T00:00:00"/>
    <s v="C067"/>
    <s v="P015"/>
    <s v="S002"/>
    <n v="3"/>
    <n v="0"/>
    <x v="2"/>
    <s v="Daniel Maldonado"/>
    <x v="40"/>
    <x v="0"/>
    <x v="2"/>
    <n v="270.45"/>
    <n v="811.34999999999991"/>
  </r>
  <r>
    <s v="T02261"/>
    <d v="2025-01-16T00:00:00"/>
    <s v="C053"/>
    <s v="P038"/>
    <s v="S005"/>
    <n v="3"/>
    <n v="0"/>
    <x v="2"/>
    <s v="Felicia Morgan"/>
    <x v="41"/>
    <x v="0"/>
    <x v="4"/>
    <n v="366.93"/>
    <n v="1100.79"/>
  </r>
  <r>
    <s v="T02262"/>
    <d v="2025-04-24T00:00:00"/>
    <s v="C127"/>
    <s v="P046"/>
    <s v="S001"/>
    <n v="5"/>
    <n v="0"/>
    <x v="0"/>
    <s v="John Allen"/>
    <x v="42"/>
    <x v="0"/>
    <x v="3"/>
    <n v="1165.3699999999999"/>
    <n v="5826.8499999999995"/>
  </r>
  <r>
    <s v="T02263"/>
    <d v="2023-11-03T00:00:00"/>
    <s v="C019"/>
    <s v="P009"/>
    <s v="S004"/>
    <n v="5"/>
    <n v="0"/>
    <x v="1"/>
    <s v="John Smith"/>
    <x v="5"/>
    <x v="2"/>
    <x v="1"/>
    <n v="123.19"/>
    <n v="615.95000000000005"/>
  </r>
  <r>
    <s v="T02264"/>
    <d v="2024-08-07T00:00:00"/>
    <s v="C034"/>
    <s v="P044"/>
    <s v="S003"/>
    <n v="1"/>
    <n v="0"/>
    <x v="3"/>
    <s v="Kari Miller"/>
    <x v="32"/>
    <x v="0"/>
    <x v="0"/>
    <n v="1286.55"/>
    <n v="1286.55"/>
  </r>
  <r>
    <s v="T02265"/>
    <d v="2025-03-11T00:00:00"/>
    <s v="C128"/>
    <s v="P049"/>
    <s v="S005"/>
    <n v="2"/>
    <n v="0.1"/>
    <x v="1"/>
    <s v="Robert Collins"/>
    <x v="29"/>
    <x v="0"/>
    <x v="4"/>
    <n v="388.26"/>
    <n v="698.86800000000005"/>
  </r>
  <r>
    <s v="T02266"/>
    <d v="2024-03-24T00:00:00"/>
    <s v="C123"/>
    <s v="P007"/>
    <s v="S003"/>
    <n v="2"/>
    <n v="0"/>
    <x v="3"/>
    <s v="Peter Edwards"/>
    <x v="18"/>
    <x v="1"/>
    <x v="0"/>
    <n v="1474.12"/>
    <n v="2948.24"/>
  </r>
  <r>
    <s v="T02267"/>
    <d v="2025-06-12T00:00:00"/>
    <s v="C007"/>
    <s v="P017"/>
    <s v="S002"/>
    <n v="5"/>
    <n v="0.15"/>
    <x v="3"/>
    <s v="Erin Walker"/>
    <x v="43"/>
    <x v="1"/>
    <x v="2"/>
    <n v="1246.1099999999999"/>
    <n v="5295.9674999999988"/>
  </r>
  <r>
    <s v="T02268"/>
    <d v="2024-03-18T00:00:00"/>
    <s v="C142"/>
    <s v="P009"/>
    <s v="S004"/>
    <n v="1"/>
    <n v="0.15"/>
    <x v="1"/>
    <s v="Suzanne Fox"/>
    <x v="5"/>
    <x v="2"/>
    <x v="1"/>
    <n v="123.19"/>
    <n v="104.7115"/>
  </r>
  <r>
    <s v="T02269"/>
    <d v="2025-04-29T00:00:00"/>
    <s v="C179"/>
    <s v="P003"/>
    <s v="S002"/>
    <n v="4"/>
    <n v="0.15"/>
    <x v="2"/>
    <s v="Dennis Wallace"/>
    <x v="46"/>
    <x v="0"/>
    <x v="2"/>
    <n v="337.63"/>
    <n v="1147.942"/>
  </r>
  <r>
    <s v="T02270"/>
    <d v="2025-02-01T00:00:00"/>
    <s v="C030"/>
    <s v="P010"/>
    <s v="S004"/>
    <n v="1"/>
    <n v="0.1"/>
    <x v="0"/>
    <s v="Lacey Hall"/>
    <x v="36"/>
    <x v="1"/>
    <x v="1"/>
    <n v="1194.1199999999999"/>
    <n v="1074.7079999999999"/>
  </r>
  <r>
    <s v="T02271"/>
    <d v="2024-05-25T00:00:00"/>
    <s v="C050"/>
    <s v="P017"/>
    <s v="S003"/>
    <n v="4"/>
    <n v="0"/>
    <x v="2"/>
    <s v="Kelly Mcmillan"/>
    <x v="43"/>
    <x v="1"/>
    <x v="0"/>
    <n v="1246.1099999999999"/>
    <n v="4984.4399999999996"/>
  </r>
  <r>
    <s v="T02272"/>
    <d v="2025-05-22T00:00:00"/>
    <s v="C060"/>
    <s v="P050"/>
    <s v="S001"/>
    <n v="5"/>
    <n v="0"/>
    <x v="2"/>
    <s v="Anthony Conway"/>
    <x v="3"/>
    <x v="0"/>
    <x v="3"/>
    <n v="1044.6400000000001"/>
    <n v="5223.2000000000007"/>
  </r>
  <r>
    <s v="T02273"/>
    <d v="2025-04-06T00:00:00"/>
    <s v="C106"/>
    <s v="P037"/>
    <s v="S005"/>
    <n v="5"/>
    <n v="0"/>
    <x v="3"/>
    <s v="Kevin Flores"/>
    <x v="27"/>
    <x v="1"/>
    <x v="4"/>
    <n v="1952.65"/>
    <n v="9763.25"/>
  </r>
  <r>
    <s v="T02274"/>
    <d v="2025-03-24T00:00:00"/>
    <s v="C185"/>
    <s v="P026"/>
    <s v="S002"/>
    <n v="1"/>
    <n v="0"/>
    <x v="3"/>
    <s v="Joe Vincent"/>
    <x v="15"/>
    <x v="2"/>
    <x v="2"/>
    <n v="1015.76"/>
    <n v="1015.76"/>
  </r>
  <r>
    <s v="T02275"/>
    <d v="2024-01-08T00:00:00"/>
    <s v="C033"/>
    <s v="P016"/>
    <s v="S004"/>
    <n v="2"/>
    <n v="0.1"/>
    <x v="3"/>
    <s v="Jenny Beck"/>
    <x v="13"/>
    <x v="0"/>
    <x v="1"/>
    <n v="1858.75"/>
    <n v="3345.75"/>
  </r>
  <r>
    <s v="T02276"/>
    <d v="2024-08-17T00:00:00"/>
    <s v="C081"/>
    <s v="P024"/>
    <s v="S003"/>
    <n v="5"/>
    <n v="0.05"/>
    <x v="0"/>
    <s v="Sarah Reynolds"/>
    <x v="14"/>
    <x v="1"/>
    <x v="0"/>
    <n v="1487.41"/>
    <n v="7065.1975000000002"/>
  </r>
  <r>
    <s v="T02277"/>
    <d v="2023-10-23T00:00:00"/>
    <s v="C034"/>
    <s v="P003"/>
    <s v="S005"/>
    <n v="4"/>
    <n v="0.15"/>
    <x v="3"/>
    <s v="Kari Miller"/>
    <x v="46"/>
    <x v="0"/>
    <x v="4"/>
    <n v="337.63"/>
    <n v="1147.942"/>
  </r>
  <r>
    <s v="T02278"/>
    <d v="2024-06-08T00:00:00"/>
    <s v="C169"/>
    <s v="P043"/>
    <s v="S001"/>
    <n v="1"/>
    <n v="0.1"/>
    <x v="2"/>
    <s v="Travis Watson"/>
    <x v="45"/>
    <x v="0"/>
    <x v="3"/>
    <n v="564.41999999999996"/>
    <n v="507.97799999999995"/>
  </r>
  <r>
    <s v="T02279"/>
    <d v="2025-03-25T00:00:00"/>
    <s v="C127"/>
    <s v="P047"/>
    <s v="S003"/>
    <n v="2"/>
    <n v="0.15"/>
    <x v="0"/>
    <s v="John Allen"/>
    <x v="28"/>
    <x v="1"/>
    <x v="0"/>
    <n v="1197.18"/>
    <n v="2035.2060000000001"/>
  </r>
  <r>
    <s v="T02280"/>
    <d v="2025-03-16T00:00:00"/>
    <s v="C094"/>
    <s v="P023"/>
    <s v="S005"/>
    <n v="3"/>
    <n v="0.05"/>
    <x v="0"/>
    <s v="Kimberly Stokes"/>
    <x v="20"/>
    <x v="0"/>
    <x v="4"/>
    <n v="1878.47"/>
    <n v="5353.6394999999993"/>
  </r>
  <r>
    <s v="T02281"/>
    <d v="2024-04-09T00:00:00"/>
    <s v="C082"/>
    <s v="P044"/>
    <s v="S005"/>
    <n v="5"/>
    <n v="0"/>
    <x v="3"/>
    <s v="Amy Haley"/>
    <x v="32"/>
    <x v="0"/>
    <x v="4"/>
    <n v="1286.55"/>
    <n v="6432.75"/>
  </r>
  <r>
    <s v="T02282"/>
    <d v="2023-09-13T00:00:00"/>
    <s v="C089"/>
    <s v="P042"/>
    <s v="S004"/>
    <n v="5"/>
    <n v="0.15"/>
    <x v="0"/>
    <s v="William Warner"/>
    <x v="10"/>
    <x v="0"/>
    <x v="1"/>
    <n v="453.62"/>
    <n v="1927.8849999999998"/>
  </r>
  <r>
    <s v="T02283"/>
    <d v="2024-01-20T00:00:00"/>
    <s v="C021"/>
    <s v="P004"/>
    <s v="S002"/>
    <n v="2"/>
    <n v="0.05"/>
    <x v="0"/>
    <s v="Debbie Martin"/>
    <x v="49"/>
    <x v="0"/>
    <x v="2"/>
    <n v="1853.77"/>
    <n v="3522.163"/>
  </r>
  <r>
    <s v="T02284"/>
    <d v="2025-01-30T00:00:00"/>
    <s v="C190"/>
    <s v="P016"/>
    <s v="S005"/>
    <n v="2"/>
    <n v="0"/>
    <x v="0"/>
    <s v="Daniel Lawson"/>
    <x v="13"/>
    <x v="0"/>
    <x v="4"/>
    <n v="1858.75"/>
    <n v="3717.5"/>
  </r>
  <r>
    <s v="T02285"/>
    <d v="2024-04-29T00:00:00"/>
    <s v="C186"/>
    <s v="P027"/>
    <s v="S002"/>
    <n v="1"/>
    <n v="0.05"/>
    <x v="1"/>
    <s v="Vicki Guzman"/>
    <x v="34"/>
    <x v="1"/>
    <x v="2"/>
    <n v="1272.23"/>
    <n v="1208.6185"/>
  </r>
  <r>
    <s v="T02286"/>
    <d v="2023-12-07T00:00:00"/>
    <s v="C167"/>
    <s v="P033"/>
    <s v="S004"/>
    <n v="1"/>
    <n v="0"/>
    <x v="1"/>
    <s v="Kimberly Lin"/>
    <x v="16"/>
    <x v="0"/>
    <x v="1"/>
    <n v="1798.97"/>
    <n v="1798.97"/>
  </r>
  <r>
    <s v="T02287"/>
    <d v="2025-07-26T00:00:00"/>
    <s v="C009"/>
    <s v="P001"/>
    <s v="S003"/>
    <n v="3"/>
    <n v="0.15"/>
    <x v="0"/>
    <s v="Richard Pacheco"/>
    <x v="31"/>
    <x v="1"/>
    <x v="0"/>
    <n v="1673.69"/>
    <n v="4267.9094999999998"/>
  </r>
  <r>
    <s v="T02288"/>
    <d v="2024-09-28T00:00:00"/>
    <s v="C022"/>
    <s v="P011"/>
    <s v="S001"/>
    <n v="3"/>
    <n v="0.15"/>
    <x v="1"/>
    <s v="Megan Velasquez"/>
    <x v="17"/>
    <x v="1"/>
    <x v="3"/>
    <n v="248.57"/>
    <n v="633.85350000000005"/>
  </r>
  <r>
    <s v="T02289"/>
    <d v="2024-06-24T00:00:00"/>
    <s v="C005"/>
    <s v="P010"/>
    <s v="S004"/>
    <n v="4"/>
    <n v="0.15"/>
    <x v="3"/>
    <s v="Jamie Salinas"/>
    <x v="36"/>
    <x v="1"/>
    <x v="1"/>
    <n v="1194.1199999999999"/>
    <n v="4060.0079999999994"/>
  </r>
  <r>
    <s v="T02290"/>
    <d v="2024-08-28T00:00:00"/>
    <s v="C058"/>
    <s v="P038"/>
    <s v="S002"/>
    <n v="4"/>
    <n v="0.05"/>
    <x v="1"/>
    <s v="Lawrence Stewart"/>
    <x v="41"/>
    <x v="0"/>
    <x v="2"/>
    <n v="366.93"/>
    <n v="1394.3340000000001"/>
  </r>
  <r>
    <s v="T02291"/>
    <d v="2023-10-14T00:00:00"/>
    <s v="C137"/>
    <s v="P013"/>
    <s v="S001"/>
    <n v="3"/>
    <n v="0"/>
    <x v="0"/>
    <s v="Gary Lopez"/>
    <x v="21"/>
    <x v="0"/>
    <x v="3"/>
    <n v="1134.8"/>
    <n v="3404.3999999999996"/>
  </r>
  <r>
    <s v="T02292"/>
    <d v="2023-12-20T00:00:00"/>
    <s v="C007"/>
    <s v="P023"/>
    <s v="S005"/>
    <n v="3"/>
    <n v="0.1"/>
    <x v="2"/>
    <s v="Erin Walker"/>
    <x v="20"/>
    <x v="0"/>
    <x v="4"/>
    <n v="1878.47"/>
    <n v="5071.8689999999997"/>
  </r>
  <r>
    <s v="T02293"/>
    <d v="2024-11-02T00:00:00"/>
    <s v="C194"/>
    <s v="P001"/>
    <s v="S001"/>
    <n v="3"/>
    <n v="0.15"/>
    <x v="1"/>
    <s v="Ann West"/>
    <x v="31"/>
    <x v="1"/>
    <x v="3"/>
    <n v="1673.69"/>
    <n v="4267.9094999999998"/>
  </r>
  <r>
    <s v="T02294"/>
    <d v="2023-11-29T00:00:00"/>
    <s v="C187"/>
    <s v="P018"/>
    <s v="S001"/>
    <n v="1"/>
    <n v="0.15"/>
    <x v="0"/>
    <s v="Cynthia Cherry"/>
    <x v="19"/>
    <x v="1"/>
    <x v="3"/>
    <n v="1079.8900000000001"/>
    <n v="917.90650000000005"/>
  </r>
  <r>
    <s v="T02295"/>
    <d v="2025-02-17T00:00:00"/>
    <s v="C137"/>
    <s v="P019"/>
    <s v="S004"/>
    <n v="4"/>
    <n v="0.1"/>
    <x v="2"/>
    <s v="Gary Lopez"/>
    <x v="26"/>
    <x v="1"/>
    <x v="1"/>
    <n v="1762.92"/>
    <n v="6346.5120000000006"/>
  </r>
  <r>
    <s v="T02296"/>
    <d v="2024-05-06T00:00:00"/>
    <s v="C098"/>
    <s v="P021"/>
    <s v="S004"/>
    <n v="2"/>
    <n v="0.05"/>
    <x v="3"/>
    <s v="Lisa Vega"/>
    <x v="23"/>
    <x v="2"/>
    <x v="1"/>
    <n v="1227.24"/>
    <n v="2331.7559999999999"/>
  </r>
  <r>
    <s v="T02297"/>
    <d v="2023-10-31T00:00:00"/>
    <s v="C072"/>
    <s v="P041"/>
    <s v="S003"/>
    <n v="1"/>
    <n v="0.05"/>
    <x v="0"/>
    <s v="Eric Watkins"/>
    <x v="30"/>
    <x v="1"/>
    <x v="0"/>
    <n v="1635.01"/>
    <n v="1553.2594999999999"/>
  </r>
  <r>
    <s v="T02298"/>
    <d v="2023-11-13T00:00:00"/>
    <s v="C087"/>
    <s v="P038"/>
    <s v="S005"/>
    <n v="4"/>
    <n v="0"/>
    <x v="0"/>
    <s v="Laurie Mason"/>
    <x v="41"/>
    <x v="0"/>
    <x v="4"/>
    <n v="366.93"/>
    <n v="1467.72"/>
  </r>
  <r>
    <s v="T02299"/>
    <d v="2025-06-23T00:00:00"/>
    <s v="C093"/>
    <s v="P047"/>
    <s v="S003"/>
    <n v="3"/>
    <n v="0"/>
    <x v="3"/>
    <s v="Stanley Brown"/>
    <x v="28"/>
    <x v="1"/>
    <x v="0"/>
    <n v="1197.18"/>
    <n v="3591.54"/>
  </r>
  <r>
    <s v="T02300"/>
    <d v="2025-06-23T00:00:00"/>
    <s v="C079"/>
    <s v="P027"/>
    <s v="S005"/>
    <n v="3"/>
    <n v="0.1"/>
    <x v="2"/>
    <s v="Donald Marsh"/>
    <x v="34"/>
    <x v="1"/>
    <x v="4"/>
    <n v="1272.23"/>
    <n v="3435.0210000000002"/>
  </r>
  <r>
    <s v="T02301"/>
    <d v="2025-04-21T00:00:00"/>
    <s v="C114"/>
    <s v="P045"/>
    <s v="S004"/>
    <n v="1"/>
    <n v="0.15"/>
    <x v="3"/>
    <s v="Miranda Rodriguez"/>
    <x v="8"/>
    <x v="2"/>
    <x v="1"/>
    <n v="1879.08"/>
    <n v="1597.2179999999998"/>
  </r>
  <r>
    <s v="T02302"/>
    <d v="2025-02-25T00:00:00"/>
    <s v="C120"/>
    <s v="P037"/>
    <s v="S001"/>
    <n v="3"/>
    <n v="0.15"/>
    <x v="2"/>
    <s v="Curtis Faulkner"/>
    <x v="27"/>
    <x v="1"/>
    <x v="3"/>
    <n v="1952.65"/>
    <n v="4979.2575000000006"/>
  </r>
  <r>
    <s v="T02303"/>
    <d v="2025-01-09T00:00:00"/>
    <s v="C105"/>
    <s v="P027"/>
    <s v="S001"/>
    <n v="5"/>
    <n v="0"/>
    <x v="0"/>
    <s v="Kenneth Berg"/>
    <x v="34"/>
    <x v="1"/>
    <x v="3"/>
    <n v="1272.23"/>
    <n v="6361.15"/>
  </r>
  <r>
    <s v="T02304"/>
    <d v="2025-08-23T00:00:00"/>
    <s v="C157"/>
    <s v="P003"/>
    <s v="S005"/>
    <n v="3"/>
    <n v="0"/>
    <x v="1"/>
    <s v="Connie Terry"/>
    <x v="46"/>
    <x v="0"/>
    <x v="4"/>
    <n v="337.63"/>
    <n v="1012.89"/>
  </r>
  <r>
    <s v="T02305"/>
    <d v="2023-10-12T00:00:00"/>
    <s v="C047"/>
    <s v="P015"/>
    <s v="S003"/>
    <n v="3"/>
    <n v="0.1"/>
    <x v="1"/>
    <s v="Mary Decker"/>
    <x v="40"/>
    <x v="0"/>
    <x v="0"/>
    <n v="270.45"/>
    <n v="730.21499999999992"/>
  </r>
  <r>
    <s v="T02306"/>
    <d v="2023-10-26T00:00:00"/>
    <s v="C033"/>
    <s v="P033"/>
    <s v="S002"/>
    <n v="2"/>
    <n v="0.05"/>
    <x v="3"/>
    <s v="Jenny Beck"/>
    <x v="16"/>
    <x v="0"/>
    <x v="2"/>
    <n v="1798.97"/>
    <n v="3418.0429999999997"/>
  </r>
  <r>
    <s v="T02307"/>
    <d v="2023-10-25T00:00:00"/>
    <s v="C060"/>
    <s v="P013"/>
    <s v="S001"/>
    <n v="1"/>
    <n v="0.05"/>
    <x v="1"/>
    <s v="Anthony Conway"/>
    <x v="21"/>
    <x v="0"/>
    <x v="3"/>
    <n v="1134.8"/>
    <n v="1078.06"/>
  </r>
  <r>
    <s v="T02308"/>
    <d v="2025-08-26T00:00:00"/>
    <s v="C149"/>
    <s v="P028"/>
    <s v="S003"/>
    <n v="1"/>
    <n v="0.05"/>
    <x v="3"/>
    <s v="Melissa Torres"/>
    <x v="25"/>
    <x v="1"/>
    <x v="0"/>
    <n v="673.78"/>
    <n v="640.09099999999989"/>
  </r>
  <r>
    <s v="T02309"/>
    <d v="2023-10-24T00:00:00"/>
    <s v="C183"/>
    <s v="P040"/>
    <s v="S003"/>
    <n v="3"/>
    <n v="0"/>
    <x v="0"/>
    <s v="Mary Dawson"/>
    <x v="37"/>
    <x v="1"/>
    <x v="0"/>
    <n v="1745.61"/>
    <n v="5236.83"/>
  </r>
  <r>
    <s v="T02310"/>
    <d v="2024-08-03T00:00:00"/>
    <s v="C139"/>
    <s v="P013"/>
    <s v="S001"/>
    <n v="5"/>
    <n v="0.05"/>
    <x v="0"/>
    <s v="Alexander Mcfarland"/>
    <x v="21"/>
    <x v="0"/>
    <x v="3"/>
    <n v="1134.8"/>
    <n v="5390.3"/>
  </r>
  <r>
    <s v="T02311"/>
    <d v="2024-05-25T00:00:00"/>
    <s v="C028"/>
    <s v="P021"/>
    <s v="S001"/>
    <n v="5"/>
    <n v="0.15"/>
    <x v="3"/>
    <s v="John Carr"/>
    <x v="23"/>
    <x v="2"/>
    <x v="3"/>
    <n v="1227.24"/>
    <n v="5215.7699999999995"/>
  </r>
  <r>
    <s v="T02312"/>
    <d v="2024-11-21T00:00:00"/>
    <s v="C131"/>
    <s v="P035"/>
    <s v="S001"/>
    <n v="2"/>
    <n v="0.05"/>
    <x v="0"/>
    <s v="Denise Jackson"/>
    <x v="7"/>
    <x v="1"/>
    <x v="3"/>
    <n v="1562.43"/>
    <n v="2968.6170000000002"/>
  </r>
  <r>
    <s v="T02313"/>
    <d v="2024-06-28T00:00:00"/>
    <s v="C147"/>
    <s v="P005"/>
    <s v="S003"/>
    <n v="4"/>
    <n v="0"/>
    <x v="1"/>
    <s v="Crystal Garrison"/>
    <x v="6"/>
    <x v="0"/>
    <x v="0"/>
    <n v="1396.22"/>
    <n v="5584.88"/>
  </r>
  <r>
    <s v="T02314"/>
    <d v="2024-03-12T00:00:00"/>
    <s v="C073"/>
    <s v="P027"/>
    <s v="S002"/>
    <n v="1"/>
    <n v="0.1"/>
    <x v="0"/>
    <s v="Carl Armstrong"/>
    <x v="34"/>
    <x v="1"/>
    <x v="2"/>
    <n v="1272.23"/>
    <n v="1145.0070000000001"/>
  </r>
  <r>
    <s v="T02315"/>
    <d v="2023-10-24T00:00:00"/>
    <s v="C086"/>
    <s v="P036"/>
    <s v="S004"/>
    <n v="3"/>
    <n v="0.15"/>
    <x v="0"/>
    <s v="Lawrence Hunter"/>
    <x v="4"/>
    <x v="0"/>
    <x v="1"/>
    <n v="1501.46"/>
    <n v="3828.723"/>
  </r>
  <r>
    <s v="T02316"/>
    <d v="2023-10-20T00:00:00"/>
    <s v="C160"/>
    <s v="P014"/>
    <s v="S001"/>
    <n v="2"/>
    <n v="0.1"/>
    <x v="3"/>
    <s v="Meagan Macdonald"/>
    <x v="0"/>
    <x v="0"/>
    <x v="3"/>
    <n v="1342.75"/>
    <n v="2416.9500000000003"/>
  </r>
  <r>
    <s v="T02317"/>
    <d v="2025-04-23T00:00:00"/>
    <s v="C075"/>
    <s v="P021"/>
    <s v="S002"/>
    <n v="5"/>
    <n v="0"/>
    <x v="3"/>
    <s v="Seth Moore"/>
    <x v="23"/>
    <x v="2"/>
    <x v="2"/>
    <n v="1227.24"/>
    <n v="6136.2"/>
  </r>
  <r>
    <s v="T02318"/>
    <d v="2024-11-10T00:00:00"/>
    <s v="C156"/>
    <s v="P001"/>
    <s v="S002"/>
    <n v="3"/>
    <n v="0.1"/>
    <x v="2"/>
    <s v="George Young"/>
    <x v="31"/>
    <x v="1"/>
    <x v="2"/>
    <n v="1673.69"/>
    <n v="4518.9629999999997"/>
  </r>
  <r>
    <s v="T02319"/>
    <d v="2023-10-22T00:00:00"/>
    <s v="C097"/>
    <s v="P020"/>
    <s v="S005"/>
    <n v="1"/>
    <n v="0.05"/>
    <x v="1"/>
    <s v="Evelyn Gray"/>
    <x v="24"/>
    <x v="0"/>
    <x v="4"/>
    <n v="323.92"/>
    <n v="307.72399999999999"/>
  </r>
  <r>
    <s v="T02320"/>
    <d v="2023-11-13T00:00:00"/>
    <s v="C196"/>
    <s v="P007"/>
    <s v="S001"/>
    <n v="1"/>
    <n v="0.05"/>
    <x v="1"/>
    <s v="James Noble"/>
    <x v="18"/>
    <x v="1"/>
    <x v="3"/>
    <n v="1474.12"/>
    <n v="1400.4139999999998"/>
  </r>
  <r>
    <s v="T02321"/>
    <d v="2024-07-28T00:00:00"/>
    <s v="C138"/>
    <s v="P049"/>
    <s v="S001"/>
    <n v="5"/>
    <n v="0"/>
    <x v="1"/>
    <s v="Breanna Moore"/>
    <x v="29"/>
    <x v="0"/>
    <x v="3"/>
    <n v="388.26"/>
    <n v="1941.3"/>
  </r>
  <r>
    <s v="T02322"/>
    <d v="2024-04-14T00:00:00"/>
    <s v="C169"/>
    <s v="P015"/>
    <s v="S005"/>
    <n v="5"/>
    <n v="0.15"/>
    <x v="0"/>
    <s v="Travis Watson"/>
    <x v="40"/>
    <x v="0"/>
    <x v="4"/>
    <n v="270.45"/>
    <n v="1149.4124999999999"/>
  </r>
  <r>
    <s v="T02323"/>
    <d v="2024-03-26T00:00:00"/>
    <s v="C069"/>
    <s v="P046"/>
    <s v="S002"/>
    <n v="5"/>
    <n v="0.1"/>
    <x v="2"/>
    <s v="Gabriel Daugherty"/>
    <x v="42"/>
    <x v="0"/>
    <x v="2"/>
    <n v="1165.3699999999999"/>
    <n v="5244.165"/>
  </r>
  <r>
    <s v="T02324"/>
    <d v="2024-03-10T00:00:00"/>
    <s v="C085"/>
    <s v="P014"/>
    <s v="S002"/>
    <n v="3"/>
    <n v="0.05"/>
    <x v="1"/>
    <s v="Juan Ramirez"/>
    <x v="0"/>
    <x v="0"/>
    <x v="2"/>
    <n v="1342.75"/>
    <n v="3826.8374999999996"/>
  </r>
  <r>
    <s v="T02325"/>
    <d v="2024-09-08T00:00:00"/>
    <s v="C081"/>
    <s v="P003"/>
    <s v="S001"/>
    <n v="2"/>
    <n v="0.15"/>
    <x v="1"/>
    <s v="Sarah Reynolds"/>
    <x v="46"/>
    <x v="0"/>
    <x v="3"/>
    <n v="337.63"/>
    <n v="573.971"/>
  </r>
  <r>
    <s v="T02326"/>
    <d v="2023-10-24T00:00:00"/>
    <s v="C093"/>
    <s v="P040"/>
    <s v="S001"/>
    <n v="3"/>
    <n v="0"/>
    <x v="0"/>
    <s v="Stanley Brown"/>
    <x v="37"/>
    <x v="1"/>
    <x v="3"/>
    <n v="1745.61"/>
    <n v="5236.83"/>
  </r>
  <r>
    <s v="T02327"/>
    <d v="2024-08-31T00:00:00"/>
    <s v="C168"/>
    <s v="P036"/>
    <s v="S004"/>
    <n v="5"/>
    <n v="0.05"/>
    <x v="1"/>
    <s v="Richard Jones"/>
    <x v="4"/>
    <x v="0"/>
    <x v="1"/>
    <n v="1501.46"/>
    <n v="7131.9349999999995"/>
  </r>
  <r>
    <s v="T02328"/>
    <d v="2025-02-28T00:00:00"/>
    <s v="C108"/>
    <s v="P022"/>
    <s v="S002"/>
    <n v="5"/>
    <n v="0.05"/>
    <x v="2"/>
    <s v="Samantha Hill"/>
    <x v="9"/>
    <x v="2"/>
    <x v="2"/>
    <n v="25.57"/>
    <n v="121.4575"/>
  </r>
  <r>
    <s v="T02329"/>
    <d v="2024-04-10T00:00:00"/>
    <s v="C199"/>
    <s v="P043"/>
    <s v="S004"/>
    <n v="5"/>
    <n v="0.05"/>
    <x v="0"/>
    <s v="Juan Johnson"/>
    <x v="45"/>
    <x v="0"/>
    <x v="1"/>
    <n v="564.41999999999996"/>
    <n v="2680.9949999999999"/>
  </r>
  <r>
    <s v="T02330"/>
    <d v="2024-05-05T00:00:00"/>
    <s v="C074"/>
    <s v="P046"/>
    <s v="S003"/>
    <n v="3"/>
    <n v="0"/>
    <x v="3"/>
    <s v="Jesus Singh"/>
    <x v="42"/>
    <x v="0"/>
    <x v="0"/>
    <n v="1165.3699999999999"/>
    <n v="3496.1099999999997"/>
  </r>
  <r>
    <s v="T02331"/>
    <d v="2024-12-06T00:00:00"/>
    <s v="C105"/>
    <s v="P032"/>
    <s v="S004"/>
    <n v="5"/>
    <n v="0.05"/>
    <x v="1"/>
    <s v="Kenneth Berg"/>
    <x v="44"/>
    <x v="2"/>
    <x v="1"/>
    <n v="304.70999999999998"/>
    <n v="1447.3724999999999"/>
  </r>
  <r>
    <s v="T02332"/>
    <d v="2025-07-29T00:00:00"/>
    <s v="C162"/>
    <s v="P048"/>
    <s v="S002"/>
    <n v="2"/>
    <n v="0.15"/>
    <x v="3"/>
    <s v="Jill Roach"/>
    <x v="11"/>
    <x v="0"/>
    <x v="2"/>
    <n v="1216.3599999999999"/>
    <n v="2067.8119999999999"/>
  </r>
  <r>
    <s v="T02333"/>
    <d v="2025-07-18T00:00:00"/>
    <s v="C043"/>
    <s v="P037"/>
    <s v="S001"/>
    <n v="4"/>
    <n v="0.1"/>
    <x v="1"/>
    <s v="Kenneth Allen"/>
    <x v="27"/>
    <x v="1"/>
    <x v="3"/>
    <n v="1952.65"/>
    <n v="7029.5400000000009"/>
  </r>
  <r>
    <s v="T02334"/>
    <d v="2023-10-18T00:00:00"/>
    <s v="C191"/>
    <s v="P038"/>
    <s v="S001"/>
    <n v="2"/>
    <n v="0"/>
    <x v="1"/>
    <s v="Karen Quinn"/>
    <x v="41"/>
    <x v="0"/>
    <x v="3"/>
    <n v="366.93"/>
    <n v="733.86"/>
  </r>
  <r>
    <s v="T02335"/>
    <d v="2025-08-21T00:00:00"/>
    <s v="C007"/>
    <s v="P039"/>
    <s v="S002"/>
    <n v="1"/>
    <n v="0.05"/>
    <x v="1"/>
    <s v="Erin Walker"/>
    <x v="22"/>
    <x v="0"/>
    <x v="2"/>
    <n v="540.94000000000005"/>
    <n v="513.89300000000003"/>
  </r>
  <r>
    <s v="T02336"/>
    <d v="2024-02-18T00:00:00"/>
    <s v="C109"/>
    <s v="P023"/>
    <s v="S003"/>
    <n v="2"/>
    <n v="0.15"/>
    <x v="2"/>
    <s v="Austin Hogan"/>
    <x v="20"/>
    <x v="0"/>
    <x v="0"/>
    <n v="1878.47"/>
    <n v="3193.3989999999999"/>
  </r>
  <r>
    <s v="T02337"/>
    <d v="2024-11-12T00:00:00"/>
    <s v="C183"/>
    <s v="P039"/>
    <s v="S003"/>
    <n v="1"/>
    <n v="0.1"/>
    <x v="0"/>
    <s v="Mary Dawson"/>
    <x v="22"/>
    <x v="0"/>
    <x v="0"/>
    <n v="540.94000000000005"/>
    <n v="486.84600000000006"/>
  </r>
  <r>
    <s v="T02338"/>
    <d v="2025-01-13T00:00:00"/>
    <s v="C152"/>
    <s v="P047"/>
    <s v="S005"/>
    <n v="5"/>
    <n v="0"/>
    <x v="3"/>
    <s v="Brittany Green"/>
    <x v="28"/>
    <x v="1"/>
    <x v="4"/>
    <n v="1197.18"/>
    <n v="5985.9000000000005"/>
  </r>
  <r>
    <s v="T02339"/>
    <d v="2024-06-06T00:00:00"/>
    <s v="C019"/>
    <s v="P032"/>
    <s v="S003"/>
    <n v="4"/>
    <n v="0.15"/>
    <x v="1"/>
    <s v="John Smith"/>
    <x v="44"/>
    <x v="2"/>
    <x v="0"/>
    <n v="304.70999999999998"/>
    <n v="1036.0139999999999"/>
  </r>
  <r>
    <s v="T02340"/>
    <d v="2024-04-27T00:00:00"/>
    <s v="C190"/>
    <s v="P005"/>
    <s v="S004"/>
    <n v="3"/>
    <n v="0.15"/>
    <x v="2"/>
    <s v="Daniel Lawson"/>
    <x v="6"/>
    <x v="0"/>
    <x v="1"/>
    <n v="1396.22"/>
    <n v="3560.3609999999999"/>
  </r>
  <r>
    <s v="T02341"/>
    <d v="2024-01-31T00:00:00"/>
    <s v="C188"/>
    <s v="P016"/>
    <s v="S002"/>
    <n v="5"/>
    <n v="0"/>
    <x v="2"/>
    <s v="Ryan Flores"/>
    <x v="13"/>
    <x v="0"/>
    <x v="2"/>
    <n v="1858.75"/>
    <n v="9293.75"/>
  </r>
  <r>
    <s v="T02342"/>
    <d v="2025-06-29T00:00:00"/>
    <s v="C002"/>
    <s v="P028"/>
    <s v="S005"/>
    <n v="5"/>
    <n v="0.1"/>
    <x v="1"/>
    <s v="Michael Miller"/>
    <x v="25"/>
    <x v="1"/>
    <x v="4"/>
    <n v="673.78"/>
    <n v="3032.0099999999998"/>
  </r>
  <r>
    <s v="T02343"/>
    <d v="2024-03-10T00:00:00"/>
    <s v="C098"/>
    <s v="P044"/>
    <s v="S003"/>
    <n v="4"/>
    <n v="0.05"/>
    <x v="0"/>
    <s v="Lisa Vega"/>
    <x v="32"/>
    <x v="0"/>
    <x v="0"/>
    <n v="1286.55"/>
    <n v="4888.8899999999994"/>
  </r>
  <r>
    <s v="T02344"/>
    <d v="2025-08-07T00:00:00"/>
    <s v="C198"/>
    <s v="P030"/>
    <s v="S001"/>
    <n v="2"/>
    <n v="0.1"/>
    <x v="1"/>
    <s v="Jessica Mullins"/>
    <x v="1"/>
    <x v="0"/>
    <x v="3"/>
    <n v="29.24"/>
    <n v="52.631999999999998"/>
  </r>
  <r>
    <s v="T02345"/>
    <d v="2025-03-11T00:00:00"/>
    <s v="C088"/>
    <s v="P022"/>
    <s v="S001"/>
    <n v="5"/>
    <n v="0.15"/>
    <x v="0"/>
    <s v="Brenda Costa"/>
    <x v="9"/>
    <x v="2"/>
    <x v="3"/>
    <n v="25.57"/>
    <n v="108.67249999999999"/>
  </r>
  <r>
    <s v="T02346"/>
    <d v="2024-04-12T00:00:00"/>
    <s v="C083"/>
    <s v="P013"/>
    <s v="S004"/>
    <n v="3"/>
    <n v="0.05"/>
    <x v="2"/>
    <s v="Jeremy Robles"/>
    <x v="21"/>
    <x v="0"/>
    <x v="1"/>
    <n v="1134.8"/>
    <n v="3234.1799999999994"/>
  </r>
  <r>
    <s v="T02347"/>
    <d v="2025-05-13T00:00:00"/>
    <s v="C011"/>
    <s v="P033"/>
    <s v="S002"/>
    <n v="4"/>
    <n v="0.1"/>
    <x v="0"/>
    <s v="Haley Williams"/>
    <x v="16"/>
    <x v="0"/>
    <x v="2"/>
    <n v="1798.97"/>
    <n v="6476.2920000000004"/>
  </r>
  <r>
    <s v="T02348"/>
    <d v="2024-06-27T00:00:00"/>
    <s v="C026"/>
    <s v="P047"/>
    <s v="S003"/>
    <n v="3"/>
    <n v="0.05"/>
    <x v="3"/>
    <s v="Justin Macdonald"/>
    <x v="28"/>
    <x v="1"/>
    <x v="0"/>
    <n v="1197.18"/>
    <n v="3411.9629999999997"/>
  </r>
  <r>
    <s v="T02349"/>
    <d v="2025-07-07T00:00:00"/>
    <s v="C074"/>
    <s v="P009"/>
    <s v="S003"/>
    <n v="4"/>
    <n v="0.15"/>
    <x v="2"/>
    <s v="Jesus Singh"/>
    <x v="5"/>
    <x v="2"/>
    <x v="0"/>
    <n v="123.19"/>
    <n v="418.846"/>
  </r>
  <r>
    <s v="T02350"/>
    <d v="2025-05-16T00:00:00"/>
    <s v="C044"/>
    <s v="P025"/>
    <s v="S003"/>
    <n v="3"/>
    <n v="0"/>
    <x v="2"/>
    <s v="Parker Sparks"/>
    <x v="33"/>
    <x v="0"/>
    <x v="0"/>
    <n v="429.15"/>
    <n v="1287.4499999999998"/>
  </r>
  <r>
    <s v="T02351"/>
    <d v="2024-06-16T00:00:00"/>
    <s v="C171"/>
    <s v="P017"/>
    <s v="S003"/>
    <n v="2"/>
    <n v="0"/>
    <x v="2"/>
    <s v="Christina Dominguez"/>
    <x v="43"/>
    <x v="1"/>
    <x v="0"/>
    <n v="1246.1099999999999"/>
    <n v="2492.2199999999998"/>
  </r>
  <r>
    <s v="T02352"/>
    <d v="2025-06-14T00:00:00"/>
    <s v="C142"/>
    <s v="P002"/>
    <s v="S005"/>
    <n v="2"/>
    <n v="0"/>
    <x v="3"/>
    <s v="Suzanne Fox"/>
    <x v="2"/>
    <x v="1"/>
    <x v="4"/>
    <n v="818.76"/>
    <n v="1637.52"/>
  </r>
  <r>
    <s v="T02353"/>
    <d v="2024-04-07T00:00:00"/>
    <s v="C139"/>
    <s v="P014"/>
    <s v="S005"/>
    <n v="2"/>
    <n v="0"/>
    <x v="1"/>
    <s v="Alexander Mcfarland"/>
    <x v="0"/>
    <x v="0"/>
    <x v="4"/>
    <n v="1342.75"/>
    <n v="2685.5"/>
  </r>
  <r>
    <s v="T02354"/>
    <d v="2024-12-22T00:00:00"/>
    <s v="C007"/>
    <s v="P039"/>
    <s v="S003"/>
    <n v="2"/>
    <n v="0.1"/>
    <x v="1"/>
    <s v="Erin Walker"/>
    <x v="22"/>
    <x v="0"/>
    <x v="0"/>
    <n v="540.94000000000005"/>
    <n v="973.69200000000012"/>
  </r>
  <r>
    <s v="T02355"/>
    <d v="2024-05-03T00:00:00"/>
    <s v="C188"/>
    <s v="P011"/>
    <s v="S004"/>
    <n v="5"/>
    <n v="0.05"/>
    <x v="1"/>
    <s v="Ryan Flores"/>
    <x v="17"/>
    <x v="1"/>
    <x v="1"/>
    <n v="248.57"/>
    <n v="1180.7074999999998"/>
  </r>
  <r>
    <s v="T02356"/>
    <d v="2023-12-25T00:00:00"/>
    <s v="C076"/>
    <s v="P011"/>
    <s v="S001"/>
    <n v="1"/>
    <n v="0.15"/>
    <x v="1"/>
    <s v="Phyllis Durham"/>
    <x v="17"/>
    <x v="1"/>
    <x v="3"/>
    <n v="248.57"/>
    <n v="211.28449999999998"/>
  </r>
  <r>
    <s v="T02357"/>
    <d v="2023-12-20T00:00:00"/>
    <s v="C127"/>
    <s v="P033"/>
    <s v="S003"/>
    <n v="1"/>
    <n v="0.05"/>
    <x v="0"/>
    <s v="John Allen"/>
    <x v="16"/>
    <x v="0"/>
    <x v="0"/>
    <n v="1798.97"/>
    <n v="1709.0214999999998"/>
  </r>
  <r>
    <s v="T02358"/>
    <d v="2025-07-22T00:00:00"/>
    <s v="C188"/>
    <s v="P036"/>
    <s v="S001"/>
    <n v="3"/>
    <n v="0"/>
    <x v="2"/>
    <s v="Ryan Flores"/>
    <x v="4"/>
    <x v="0"/>
    <x v="3"/>
    <n v="1501.46"/>
    <n v="4504.38"/>
  </r>
  <r>
    <s v="T02359"/>
    <d v="2024-11-05T00:00:00"/>
    <s v="C187"/>
    <s v="P021"/>
    <s v="S001"/>
    <n v="3"/>
    <n v="0.05"/>
    <x v="0"/>
    <s v="Cynthia Cherry"/>
    <x v="23"/>
    <x v="2"/>
    <x v="3"/>
    <n v="1227.24"/>
    <n v="3497.634"/>
  </r>
  <r>
    <s v="T02360"/>
    <d v="2025-07-22T00:00:00"/>
    <s v="C071"/>
    <s v="P037"/>
    <s v="S004"/>
    <n v="5"/>
    <n v="0"/>
    <x v="0"/>
    <s v="Denise Gutierrez"/>
    <x v="27"/>
    <x v="1"/>
    <x v="1"/>
    <n v="1952.65"/>
    <n v="9763.25"/>
  </r>
  <r>
    <s v="T02361"/>
    <d v="2025-03-14T00:00:00"/>
    <s v="C010"/>
    <s v="P012"/>
    <s v="S004"/>
    <n v="1"/>
    <n v="0.1"/>
    <x v="2"/>
    <s v="Catherine Rice"/>
    <x v="38"/>
    <x v="1"/>
    <x v="1"/>
    <n v="1193.0899999999999"/>
    <n v="1073.7809999999999"/>
  </r>
  <r>
    <s v="T02362"/>
    <d v="2024-09-19T00:00:00"/>
    <s v="C143"/>
    <s v="P033"/>
    <s v="S001"/>
    <n v="1"/>
    <n v="0.05"/>
    <x v="2"/>
    <s v="Cynthia Carlson"/>
    <x v="16"/>
    <x v="0"/>
    <x v="3"/>
    <n v="1798.97"/>
    <n v="1709.0214999999998"/>
  </r>
  <r>
    <s v="T02363"/>
    <d v="2024-04-11T00:00:00"/>
    <s v="C151"/>
    <s v="P041"/>
    <s v="S004"/>
    <n v="2"/>
    <n v="0.05"/>
    <x v="0"/>
    <s v="Dawn Fletcher"/>
    <x v="30"/>
    <x v="1"/>
    <x v="1"/>
    <n v="1635.01"/>
    <n v="3106.5189999999998"/>
  </r>
  <r>
    <s v="T02364"/>
    <d v="2024-06-05T00:00:00"/>
    <s v="C121"/>
    <s v="P010"/>
    <s v="S002"/>
    <n v="4"/>
    <n v="0.05"/>
    <x v="1"/>
    <s v="John Bell"/>
    <x v="36"/>
    <x v="1"/>
    <x v="2"/>
    <n v="1194.1199999999999"/>
    <n v="4537.655999999999"/>
  </r>
  <r>
    <s v="T02365"/>
    <d v="2024-05-14T00:00:00"/>
    <s v="C073"/>
    <s v="P037"/>
    <s v="S002"/>
    <n v="2"/>
    <n v="0"/>
    <x v="2"/>
    <s v="Carl Armstrong"/>
    <x v="27"/>
    <x v="1"/>
    <x v="2"/>
    <n v="1952.65"/>
    <n v="3905.3"/>
  </r>
  <r>
    <s v="T02366"/>
    <d v="2024-05-22T00:00:00"/>
    <s v="C001"/>
    <s v="P019"/>
    <s v="S004"/>
    <n v="1"/>
    <n v="0.15"/>
    <x v="2"/>
    <s v="Michael Davis"/>
    <x v="26"/>
    <x v="1"/>
    <x v="1"/>
    <n v="1762.92"/>
    <n v="1498.482"/>
  </r>
  <r>
    <s v="T02367"/>
    <d v="2025-03-31T00:00:00"/>
    <s v="C182"/>
    <s v="P013"/>
    <s v="S002"/>
    <n v="1"/>
    <n v="0.15"/>
    <x v="0"/>
    <s v="Meghan Wright"/>
    <x v="21"/>
    <x v="0"/>
    <x v="2"/>
    <n v="1134.8"/>
    <n v="964.57999999999993"/>
  </r>
  <r>
    <s v="T02368"/>
    <d v="2024-02-07T00:00:00"/>
    <s v="C158"/>
    <s v="P048"/>
    <s v="S004"/>
    <n v="5"/>
    <n v="0.05"/>
    <x v="0"/>
    <s v="Crystal Aguirre"/>
    <x v="11"/>
    <x v="0"/>
    <x v="1"/>
    <n v="1216.3599999999999"/>
    <n v="5777.7099999999991"/>
  </r>
  <r>
    <s v="T02369"/>
    <d v="2023-09-24T00:00:00"/>
    <s v="C124"/>
    <s v="P021"/>
    <s v="S005"/>
    <n v="2"/>
    <n v="0.1"/>
    <x v="2"/>
    <s v="Chad Roberts"/>
    <x v="23"/>
    <x v="2"/>
    <x v="4"/>
    <n v="1227.24"/>
    <n v="2209.0320000000002"/>
  </r>
  <r>
    <s v="T02370"/>
    <d v="2023-12-30T00:00:00"/>
    <s v="C075"/>
    <s v="P020"/>
    <s v="S004"/>
    <n v="4"/>
    <n v="0.15"/>
    <x v="0"/>
    <s v="Seth Moore"/>
    <x v="24"/>
    <x v="0"/>
    <x v="1"/>
    <n v="323.92"/>
    <n v="1101.328"/>
  </r>
  <r>
    <s v="T02371"/>
    <d v="2023-11-07T00:00:00"/>
    <s v="C140"/>
    <s v="P016"/>
    <s v="S004"/>
    <n v="3"/>
    <n v="0"/>
    <x v="2"/>
    <s v="Stacy Williams"/>
    <x v="13"/>
    <x v="0"/>
    <x v="1"/>
    <n v="1858.75"/>
    <n v="5576.25"/>
  </r>
  <r>
    <s v="T02372"/>
    <d v="2024-02-14T00:00:00"/>
    <s v="C029"/>
    <s v="P023"/>
    <s v="S003"/>
    <n v="4"/>
    <n v="0.15"/>
    <x v="0"/>
    <s v="Tyler Levine"/>
    <x v="20"/>
    <x v="0"/>
    <x v="0"/>
    <n v="1878.47"/>
    <n v="6386.7979999999998"/>
  </r>
  <r>
    <s v="T02373"/>
    <d v="2023-10-24T00:00:00"/>
    <s v="C064"/>
    <s v="P014"/>
    <s v="S004"/>
    <n v="1"/>
    <n v="0.05"/>
    <x v="1"/>
    <s v="Amanda Hoover"/>
    <x v="0"/>
    <x v="0"/>
    <x v="1"/>
    <n v="1342.75"/>
    <n v="1275.6125"/>
  </r>
  <r>
    <s v="T02374"/>
    <d v="2025-02-20T00:00:00"/>
    <s v="C082"/>
    <s v="P040"/>
    <s v="S001"/>
    <n v="3"/>
    <n v="0.15"/>
    <x v="2"/>
    <s v="Amy Haley"/>
    <x v="37"/>
    <x v="1"/>
    <x v="3"/>
    <n v="1745.61"/>
    <n v="4451.3054999999995"/>
  </r>
  <r>
    <s v="T02375"/>
    <d v="2025-07-17T00:00:00"/>
    <s v="C199"/>
    <s v="P003"/>
    <s v="S004"/>
    <n v="4"/>
    <n v="0.15"/>
    <x v="2"/>
    <s v="Juan Johnson"/>
    <x v="46"/>
    <x v="0"/>
    <x v="1"/>
    <n v="337.63"/>
    <n v="1147.942"/>
  </r>
  <r>
    <s v="T02376"/>
    <d v="2025-02-01T00:00:00"/>
    <s v="C008"/>
    <s v="P040"/>
    <s v="S003"/>
    <n v="3"/>
    <n v="0.05"/>
    <x v="1"/>
    <s v="Isaiah Williams"/>
    <x v="37"/>
    <x v="1"/>
    <x v="0"/>
    <n v="1745.61"/>
    <n v="4974.9884999999995"/>
  </r>
  <r>
    <s v="T02377"/>
    <d v="2025-04-26T00:00:00"/>
    <s v="C016"/>
    <s v="P047"/>
    <s v="S005"/>
    <n v="3"/>
    <n v="0.1"/>
    <x v="0"/>
    <s v="Miguel Johnson"/>
    <x v="28"/>
    <x v="1"/>
    <x v="4"/>
    <n v="1197.18"/>
    <n v="3232.386"/>
  </r>
  <r>
    <s v="T02378"/>
    <d v="2025-05-18T00:00:00"/>
    <s v="C106"/>
    <s v="P020"/>
    <s v="S004"/>
    <n v="4"/>
    <n v="0.15"/>
    <x v="1"/>
    <s v="Kevin Flores"/>
    <x v="24"/>
    <x v="0"/>
    <x v="1"/>
    <n v="323.92"/>
    <n v="1101.328"/>
  </r>
  <r>
    <s v="T02379"/>
    <d v="2024-02-12T00:00:00"/>
    <s v="C067"/>
    <s v="P028"/>
    <s v="S001"/>
    <n v="3"/>
    <n v="0.15"/>
    <x v="2"/>
    <s v="Daniel Maldonado"/>
    <x v="25"/>
    <x v="1"/>
    <x v="3"/>
    <n v="673.78"/>
    <n v="1718.1389999999999"/>
  </r>
  <r>
    <s v="T02380"/>
    <d v="2023-12-01T00:00:00"/>
    <s v="C087"/>
    <s v="P024"/>
    <s v="S001"/>
    <n v="3"/>
    <n v="0.15"/>
    <x v="1"/>
    <s v="Laurie Mason"/>
    <x v="14"/>
    <x v="1"/>
    <x v="3"/>
    <n v="1487.41"/>
    <n v="3792.8955000000001"/>
  </r>
  <r>
    <s v="T02381"/>
    <d v="2023-12-18T00:00:00"/>
    <s v="C057"/>
    <s v="P007"/>
    <s v="S005"/>
    <n v="2"/>
    <n v="0.05"/>
    <x v="3"/>
    <s v="Julie Gibson"/>
    <x v="18"/>
    <x v="1"/>
    <x v="4"/>
    <n v="1474.12"/>
    <n v="2800.8279999999995"/>
  </r>
  <r>
    <s v="T02382"/>
    <d v="2025-06-08T00:00:00"/>
    <s v="C158"/>
    <s v="P035"/>
    <s v="S005"/>
    <n v="3"/>
    <n v="0.05"/>
    <x v="3"/>
    <s v="Crystal Aguirre"/>
    <x v="7"/>
    <x v="1"/>
    <x v="4"/>
    <n v="1562.43"/>
    <n v="4452.9254999999994"/>
  </r>
  <r>
    <s v="T02383"/>
    <d v="2024-11-22T00:00:00"/>
    <s v="C185"/>
    <s v="P034"/>
    <s v="S001"/>
    <n v="4"/>
    <n v="0"/>
    <x v="0"/>
    <s v="Joe Vincent"/>
    <x v="12"/>
    <x v="1"/>
    <x v="3"/>
    <n v="428.05"/>
    <n v="1712.2"/>
  </r>
  <r>
    <s v="T02384"/>
    <d v="2024-05-12T00:00:00"/>
    <s v="C091"/>
    <s v="P049"/>
    <s v="S005"/>
    <n v="1"/>
    <n v="0"/>
    <x v="2"/>
    <s v="Brian Fowler"/>
    <x v="29"/>
    <x v="0"/>
    <x v="4"/>
    <n v="388.26"/>
    <n v="388.26"/>
  </r>
  <r>
    <s v="T02385"/>
    <d v="2025-06-20T00:00:00"/>
    <s v="C093"/>
    <s v="P042"/>
    <s v="S005"/>
    <n v="2"/>
    <n v="0.05"/>
    <x v="1"/>
    <s v="Stanley Brown"/>
    <x v="10"/>
    <x v="0"/>
    <x v="4"/>
    <n v="453.62"/>
    <n v="861.87799999999993"/>
  </r>
  <r>
    <s v="T02386"/>
    <d v="2025-09-03T00:00:00"/>
    <s v="C184"/>
    <s v="P047"/>
    <s v="S002"/>
    <n v="3"/>
    <n v="0.05"/>
    <x v="0"/>
    <s v="Daniel Mcintyre"/>
    <x v="28"/>
    <x v="1"/>
    <x v="2"/>
    <n v="1197.18"/>
    <n v="3411.9629999999997"/>
  </r>
  <r>
    <s v="T02387"/>
    <d v="2024-07-25T00:00:00"/>
    <s v="C085"/>
    <s v="P029"/>
    <s v="S004"/>
    <n v="2"/>
    <n v="0.05"/>
    <x v="3"/>
    <s v="Juan Ramirez"/>
    <x v="47"/>
    <x v="0"/>
    <x v="1"/>
    <n v="1485.05"/>
    <n v="2821.5949999999998"/>
  </r>
  <r>
    <s v="T02388"/>
    <d v="2023-10-05T00:00:00"/>
    <s v="C010"/>
    <s v="P050"/>
    <s v="S001"/>
    <n v="5"/>
    <n v="0"/>
    <x v="1"/>
    <s v="Catherine Rice"/>
    <x v="3"/>
    <x v="0"/>
    <x v="3"/>
    <n v="1044.6400000000001"/>
    <n v="5223.2000000000007"/>
  </r>
  <r>
    <s v="T02389"/>
    <d v="2024-04-07T00:00:00"/>
    <s v="C125"/>
    <s v="P017"/>
    <s v="S001"/>
    <n v="2"/>
    <n v="0.1"/>
    <x v="0"/>
    <s v="Kimberly Parker"/>
    <x v="43"/>
    <x v="1"/>
    <x v="3"/>
    <n v="1246.1099999999999"/>
    <n v="2242.998"/>
  </r>
  <r>
    <s v="T02390"/>
    <d v="2025-08-26T00:00:00"/>
    <s v="C007"/>
    <s v="P014"/>
    <s v="S002"/>
    <n v="2"/>
    <n v="0"/>
    <x v="0"/>
    <s v="Erin Walker"/>
    <x v="0"/>
    <x v="0"/>
    <x v="2"/>
    <n v="1342.75"/>
    <n v="2685.5"/>
  </r>
  <r>
    <s v="T02391"/>
    <d v="2024-11-30T00:00:00"/>
    <s v="C192"/>
    <s v="P017"/>
    <s v="S001"/>
    <n v="4"/>
    <n v="0.15"/>
    <x v="2"/>
    <s v="James Wilson"/>
    <x v="43"/>
    <x v="1"/>
    <x v="3"/>
    <n v="1246.1099999999999"/>
    <n v="4236.7739999999994"/>
  </r>
  <r>
    <s v="T02392"/>
    <d v="2025-04-10T00:00:00"/>
    <s v="C190"/>
    <s v="P031"/>
    <s v="S003"/>
    <n v="1"/>
    <n v="0"/>
    <x v="3"/>
    <s v="Daniel Lawson"/>
    <x v="39"/>
    <x v="2"/>
    <x v="0"/>
    <n v="1095.72"/>
    <n v="1095.72"/>
  </r>
  <r>
    <s v="T02393"/>
    <d v="2024-01-22T00:00:00"/>
    <s v="C130"/>
    <s v="P030"/>
    <s v="S004"/>
    <n v="1"/>
    <n v="0"/>
    <x v="2"/>
    <s v="Aaron Bailey"/>
    <x v="1"/>
    <x v="0"/>
    <x v="1"/>
    <n v="29.24"/>
    <n v="29.24"/>
  </r>
  <r>
    <s v="T02394"/>
    <d v="2024-07-04T00:00:00"/>
    <s v="C025"/>
    <s v="P034"/>
    <s v="S005"/>
    <n v="4"/>
    <n v="0.05"/>
    <x v="0"/>
    <s v="Cheryl Gilbert"/>
    <x v="12"/>
    <x v="1"/>
    <x v="4"/>
    <n v="428.05"/>
    <n v="1626.59"/>
  </r>
  <r>
    <s v="T02395"/>
    <d v="2024-06-22T00:00:00"/>
    <s v="C083"/>
    <s v="P048"/>
    <s v="S004"/>
    <n v="5"/>
    <n v="0"/>
    <x v="0"/>
    <s v="Jeremy Robles"/>
    <x v="11"/>
    <x v="0"/>
    <x v="1"/>
    <n v="1216.3599999999999"/>
    <n v="6081.7999999999993"/>
  </r>
  <r>
    <s v="T02396"/>
    <d v="2025-04-19T00:00:00"/>
    <s v="C071"/>
    <s v="P015"/>
    <s v="S004"/>
    <n v="2"/>
    <n v="0"/>
    <x v="0"/>
    <s v="Denise Gutierrez"/>
    <x v="40"/>
    <x v="0"/>
    <x v="1"/>
    <n v="270.45"/>
    <n v="540.9"/>
  </r>
  <r>
    <s v="T02397"/>
    <d v="2025-07-22T00:00:00"/>
    <s v="C168"/>
    <s v="P039"/>
    <s v="S005"/>
    <n v="4"/>
    <n v="0.15"/>
    <x v="0"/>
    <s v="Richard Jones"/>
    <x v="22"/>
    <x v="0"/>
    <x v="4"/>
    <n v="540.94000000000005"/>
    <n v="1839.1960000000001"/>
  </r>
  <r>
    <s v="T02398"/>
    <d v="2024-05-30T00:00:00"/>
    <s v="C110"/>
    <s v="P021"/>
    <s v="S001"/>
    <n v="2"/>
    <n v="0.15"/>
    <x v="0"/>
    <s v="Travis Peters"/>
    <x v="23"/>
    <x v="2"/>
    <x v="3"/>
    <n v="1227.24"/>
    <n v="2086.308"/>
  </r>
  <r>
    <s v="T02399"/>
    <d v="2024-06-23T00:00:00"/>
    <s v="C124"/>
    <s v="P039"/>
    <s v="S003"/>
    <n v="5"/>
    <n v="0.05"/>
    <x v="1"/>
    <s v="Chad Roberts"/>
    <x v="22"/>
    <x v="0"/>
    <x v="0"/>
    <n v="540.94000000000005"/>
    <n v="2569.4650000000001"/>
  </r>
  <r>
    <s v="T02400"/>
    <d v="2025-03-08T00:00:00"/>
    <s v="C005"/>
    <s v="P038"/>
    <s v="S004"/>
    <n v="4"/>
    <n v="0.1"/>
    <x v="3"/>
    <s v="Jamie Salinas"/>
    <x v="41"/>
    <x v="0"/>
    <x v="1"/>
    <n v="366.93"/>
    <n v="1320.9480000000001"/>
  </r>
  <r>
    <s v="T02401"/>
    <d v="2024-01-02T00:00:00"/>
    <s v="C116"/>
    <s v="P015"/>
    <s v="S002"/>
    <n v="5"/>
    <n v="0"/>
    <x v="1"/>
    <s v="Jamie Webb"/>
    <x v="40"/>
    <x v="0"/>
    <x v="2"/>
    <n v="270.45"/>
    <n v="1352.25"/>
  </r>
  <r>
    <s v="T02402"/>
    <d v="2025-01-27T00:00:00"/>
    <s v="C198"/>
    <s v="P032"/>
    <s v="S002"/>
    <n v="4"/>
    <n v="0.1"/>
    <x v="1"/>
    <s v="Jessica Mullins"/>
    <x v="44"/>
    <x v="2"/>
    <x v="2"/>
    <n v="304.70999999999998"/>
    <n v="1096.9559999999999"/>
  </r>
  <r>
    <s v="T02403"/>
    <d v="2025-05-06T00:00:00"/>
    <s v="C145"/>
    <s v="P041"/>
    <s v="S001"/>
    <n v="3"/>
    <n v="0.1"/>
    <x v="2"/>
    <s v="Paige Osborne"/>
    <x v="30"/>
    <x v="1"/>
    <x v="3"/>
    <n v="1635.01"/>
    <n v="4414.527"/>
  </r>
  <r>
    <s v="T02404"/>
    <d v="2024-05-20T00:00:00"/>
    <s v="C162"/>
    <s v="P014"/>
    <s v="S001"/>
    <n v="1"/>
    <n v="0.05"/>
    <x v="2"/>
    <s v="Jill Roach"/>
    <x v="0"/>
    <x v="0"/>
    <x v="3"/>
    <n v="1342.75"/>
    <n v="1275.6125"/>
  </r>
  <r>
    <s v="T02405"/>
    <d v="2025-09-05T00:00:00"/>
    <s v="C126"/>
    <s v="P022"/>
    <s v="S005"/>
    <n v="2"/>
    <n v="0"/>
    <x v="2"/>
    <s v="Monique Johnson"/>
    <x v="9"/>
    <x v="2"/>
    <x v="4"/>
    <n v="25.57"/>
    <n v="51.14"/>
  </r>
  <r>
    <s v="T02406"/>
    <d v="2023-09-16T00:00:00"/>
    <s v="C104"/>
    <s v="P042"/>
    <s v="S005"/>
    <n v="4"/>
    <n v="0.05"/>
    <x v="3"/>
    <s v="Brenda Dean"/>
    <x v="10"/>
    <x v="0"/>
    <x v="4"/>
    <n v="453.62"/>
    <n v="1723.7559999999999"/>
  </r>
  <r>
    <s v="T02407"/>
    <d v="2024-10-20T00:00:00"/>
    <s v="C197"/>
    <s v="P012"/>
    <s v="S004"/>
    <n v="3"/>
    <n v="0.15"/>
    <x v="0"/>
    <s v="Matthew Dixon"/>
    <x v="38"/>
    <x v="1"/>
    <x v="1"/>
    <n v="1193.0899999999999"/>
    <n v="3042.3794999999996"/>
  </r>
  <r>
    <s v="T02408"/>
    <d v="2025-03-31T00:00:00"/>
    <s v="C190"/>
    <s v="P050"/>
    <s v="S003"/>
    <n v="2"/>
    <n v="0"/>
    <x v="0"/>
    <s v="Daniel Lawson"/>
    <x v="3"/>
    <x v="0"/>
    <x v="0"/>
    <n v="1044.6400000000001"/>
    <n v="2089.2800000000002"/>
  </r>
  <r>
    <s v="T02409"/>
    <d v="2024-07-03T00:00:00"/>
    <s v="C177"/>
    <s v="P033"/>
    <s v="S005"/>
    <n v="5"/>
    <n v="0.15"/>
    <x v="3"/>
    <s v="Anthony Gould"/>
    <x v="16"/>
    <x v="0"/>
    <x v="4"/>
    <n v="1798.97"/>
    <n v="7645.6225000000004"/>
  </r>
  <r>
    <s v="T02410"/>
    <d v="2025-01-09T00:00:00"/>
    <s v="C069"/>
    <s v="P002"/>
    <s v="S002"/>
    <n v="5"/>
    <n v="0.15"/>
    <x v="1"/>
    <s v="Gabriel Daugherty"/>
    <x v="2"/>
    <x v="1"/>
    <x v="2"/>
    <n v="818.76"/>
    <n v="3479.73"/>
  </r>
  <r>
    <s v="T02411"/>
    <d v="2023-09-22T00:00:00"/>
    <s v="C081"/>
    <s v="P049"/>
    <s v="S002"/>
    <n v="3"/>
    <n v="0.15"/>
    <x v="1"/>
    <s v="Sarah Reynolds"/>
    <x v="29"/>
    <x v="0"/>
    <x v="2"/>
    <n v="388.26"/>
    <n v="990.06299999999999"/>
  </r>
  <r>
    <s v="T02412"/>
    <d v="2025-04-04T00:00:00"/>
    <s v="C132"/>
    <s v="P014"/>
    <s v="S005"/>
    <n v="1"/>
    <n v="0"/>
    <x v="1"/>
    <s v="Jared Ochoa"/>
    <x v="0"/>
    <x v="0"/>
    <x v="4"/>
    <n v="1342.75"/>
    <n v="1342.75"/>
  </r>
  <r>
    <s v="T02413"/>
    <d v="2025-04-18T00:00:00"/>
    <s v="C180"/>
    <s v="P027"/>
    <s v="S001"/>
    <n v="4"/>
    <n v="0.05"/>
    <x v="3"/>
    <s v="Nichole Calhoun"/>
    <x v="34"/>
    <x v="1"/>
    <x v="3"/>
    <n v="1272.23"/>
    <n v="4834.4740000000002"/>
  </r>
  <r>
    <s v="T02414"/>
    <d v="2025-03-18T00:00:00"/>
    <s v="C042"/>
    <s v="P013"/>
    <s v="S005"/>
    <n v="1"/>
    <n v="0.05"/>
    <x v="2"/>
    <s v="Anna Andrews"/>
    <x v="21"/>
    <x v="0"/>
    <x v="4"/>
    <n v="1134.8"/>
    <n v="1078.06"/>
  </r>
  <r>
    <s v="T02415"/>
    <d v="2025-08-16T00:00:00"/>
    <s v="C113"/>
    <s v="P045"/>
    <s v="S001"/>
    <n v="1"/>
    <n v="0.15"/>
    <x v="1"/>
    <s v="Heidi Wilson"/>
    <x v="8"/>
    <x v="2"/>
    <x v="3"/>
    <n v="1879.08"/>
    <n v="1597.2179999999998"/>
  </r>
  <r>
    <s v="T02416"/>
    <d v="2024-09-10T00:00:00"/>
    <s v="C044"/>
    <s v="P021"/>
    <s v="S005"/>
    <n v="4"/>
    <n v="0.05"/>
    <x v="1"/>
    <s v="Parker Sparks"/>
    <x v="23"/>
    <x v="2"/>
    <x v="4"/>
    <n v="1227.24"/>
    <n v="4663.5119999999997"/>
  </r>
  <r>
    <s v="T02417"/>
    <d v="2024-08-09T00:00:00"/>
    <s v="C103"/>
    <s v="P050"/>
    <s v="S001"/>
    <n v="3"/>
    <n v="0"/>
    <x v="1"/>
    <s v="David Burns"/>
    <x v="3"/>
    <x v="0"/>
    <x v="3"/>
    <n v="1044.6400000000001"/>
    <n v="3133.92"/>
  </r>
  <r>
    <s v="T02418"/>
    <d v="2023-11-11T00:00:00"/>
    <s v="C076"/>
    <s v="P045"/>
    <s v="S003"/>
    <n v="5"/>
    <n v="0.1"/>
    <x v="0"/>
    <s v="Phyllis Durham"/>
    <x v="8"/>
    <x v="2"/>
    <x v="0"/>
    <n v="1879.08"/>
    <n v="8455.86"/>
  </r>
  <r>
    <s v="T02419"/>
    <d v="2025-08-24T00:00:00"/>
    <s v="C145"/>
    <s v="P037"/>
    <s v="S002"/>
    <n v="2"/>
    <n v="0.1"/>
    <x v="2"/>
    <s v="Paige Osborne"/>
    <x v="27"/>
    <x v="1"/>
    <x v="2"/>
    <n v="1952.65"/>
    <n v="3514.7700000000004"/>
  </r>
  <r>
    <s v="T02420"/>
    <d v="2024-02-02T00:00:00"/>
    <s v="C158"/>
    <s v="P011"/>
    <s v="S003"/>
    <n v="5"/>
    <n v="0.1"/>
    <x v="1"/>
    <s v="Crystal Aguirre"/>
    <x v="17"/>
    <x v="1"/>
    <x v="0"/>
    <n v="248.57"/>
    <n v="1118.5650000000001"/>
  </r>
  <r>
    <s v="T02421"/>
    <d v="2025-07-16T00:00:00"/>
    <s v="C119"/>
    <s v="P011"/>
    <s v="S002"/>
    <n v="3"/>
    <n v="0.05"/>
    <x v="2"/>
    <s v="Jason Lloyd"/>
    <x v="17"/>
    <x v="1"/>
    <x v="2"/>
    <n v="248.57"/>
    <n v="708.42449999999997"/>
  </r>
  <r>
    <s v="T02422"/>
    <d v="2025-06-27T00:00:00"/>
    <s v="C135"/>
    <s v="P006"/>
    <s v="S004"/>
    <n v="1"/>
    <n v="0.1"/>
    <x v="1"/>
    <s v="Mario Cuevas"/>
    <x v="35"/>
    <x v="2"/>
    <x v="1"/>
    <n v="318.05"/>
    <n v="286.245"/>
  </r>
  <r>
    <s v="T02423"/>
    <d v="2025-09-01T00:00:00"/>
    <s v="C046"/>
    <s v="P044"/>
    <s v="S002"/>
    <n v="4"/>
    <n v="0"/>
    <x v="3"/>
    <s v="Dennis Poole"/>
    <x v="32"/>
    <x v="0"/>
    <x v="2"/>
    <n v="1286.55"/>
    <n v="5146.2"/>
  </r>
  <r>
    <s v="T02424"/>
    <d v="2025-03-06T00:00:00"/>
    <s v="C080"/>
    <s v="P041"/>
    <s v="S002"/>
    <n v="2"/>
    <n v="0"/>
    <x v="1"/>
    <s v="Grace Garcia"/>
    <x v="30"/>
    <x v="1"/>
    <x v="2"/>
    <n v="1635.01"/>
    <n v="3270.02"/>
  </r>
  <r>
    <s v="T02425"/>
    <d v="2025-01-23T00:00:00"/>
    <s v="C085"/>
    <s v="P009"/>
    <s v="S001"/>
    <n v="1"/>
    <n v="0.15"/>
    <x v="2"/>
    <s v="Juan Ramirez"/>
    <x v="5"/>
    <x v="2"/>
    <x v="3"/>
    <n v="123.19"/>
    <n v="104.7115"/>
  </r>
  <r>
    <s v="T02426"/>
    <d v="2024-07-28T00:00:00"/>
    <s v="C018"/>
    <s v="P050"/>
    <s v="S003"/>
    <n v="5"/>
    <n v="0.05"/>
    <x v="0"/>
    <s v="Breanna Davis"/>
    <x v="3"/>
    <x v="0"/>
    <x v="0"/>
    <n v="1044.6400000000001"/>
    <n v="4962.0400000000009"/>
  </r>
  <r>
    <s v="T02427"/>
    <d v="2025-05-10T00:00:00"/>
    <s v="C161"/>
    <s v="P011"/>
    <s v="S001"/>
    <n v="2"/>
    <n v="0.1"/>
    <x v="0"/>
    <s v="Michael Perez"/>
    <x v="17"/>
    <x v="1"/>
    <x v="3"/>
    <n v="248.57"/>
    <n v="447.42599999999999"/>
  </r>
  <r>
    <s v="T02428"/>
    <d v="2025-04-24T00:00:00"/>
    <s v="C110"/>
    <s v="P032"/>
    <s v="S005"/>
    <n v="3"/>
    <n v="0.1"/>
    <x v="1"/>
    <s v="Travis Peters"/>
    <x v="44"/>
    <x v="2"/>
    <x v="4"/>
    <n v="304.70999999999998"/>
    <n v="822.71699999999987"/>
  </r>
  <r>
    <s v="T02429"/>
    <d v="2023-09-10T00:00:00"/>
    <s v="C066"/>
    <s v="P012"/>
    <s v="S005"/>
    <n v="5"/>
    <n v="0.05"/>
    <x v="3"/>
    <s v="Jason Jenkins"/>
    <x v="38"/>
    <x v="1"/>
    <x v="4"/>
    <n v="1193.0899999999999"/>
    <n v="5667.1774999999998"/>
  </r>
  <r>
    <s v="T02430"/>
    <d v="2023-11-09T00:00:00"/>
    <s v="C152"/>
    <s v="P033"/>
    <s v="S002"/>
    <n v="1"/>
    <n v="0.05"/>
    <x v="0"/>
    <s v="Brittany Green"/>
    <x v="16"/>
    <x v="0"/>
    <x v="2"/>
    <n v="1798.97"/>
    <n v="1709.0214999999998"/>
  </r>
  <r>
    <s v="T02431"/>
    <d v="2024-03-21T00:00:00"/>
    <s v="C046"/>
    <s v="P028"/>
    <s v="S003"/>
    <n v="5"/>
    <n v="0"/>
    <x v="2"/>
    <s v="Dennis Poole"/>
    <x v="25"/>
    <x v="1"/>
    <x v="0"/>
    <n v="673.78"/>
    <n v="3368.8999999999996"/>
  </r>
  <r>
    <s v="T02432"/>
    <d v="2024-09-29T00:00:00"/>
    <s v="C134"/>
    <s v="P004"/>
    <s v="S005"/>
    <n v="4"/>
    <n v="0.1"/>
    <x v="0"/>
    <s v="Emily Hart"/>
    <x v="49"/>
    <x v="0"/>
    <x v="4"/>
    <n v="1853.77"/>
    <n v="6673.5720000000001"/>
  </r>
  <r>
    <s v="T02433"/>
    <d v="2024-03-14T00:00:00"/>
    <s v="C189"/>
    <s v="P017"/>
    <s v="S005"/>
    <n v="4"/>
    <n v="0.05"/>
    <x v="2"/>
    <s v="Steve Flynn"/>
    <x v="43"/>
    <x v="1"/>
    <x v="4"/>
    <n v="1246.1099999999999"/>
    <n v="4735.2179999999998"/>
  </r>
  <r>
    <s v="T02434"/>
    <d v="2024-11-08T00:00:00"/>
    <s v="C001"/>
    <s v="P018"/>
    <s v="S002"/>
    <n v="2"/>
    <n v="0"/>
    <x v="2"/>
    <s v="Michael Davis"/>
    <x v="19"/>
    <x v="1"/>
    <x v="2"/>
    <n v="1079.8900000000001"/>
    <n v="2159.7800000000002"/>
  </r>
  <r>
    <s v="T02435"/>
    <d v="2025-03-26T00:00:00"/>
    <s v="C037"/>
    <s v="P033"/>
    <s v="S002"/>
    <n v="4"/>
    <n v="0"/>
    <x v="0"/>
    <s v="Miranda Nelson"/>
    <x v="16"/>
    <x v="0"/>
    <x v="2"/>
    <n v="1798.97"/>
    <n v="7195.88"/>
  </r>
  <r>
    <s v="T02436"/>
    <d v="2025-06-07T00:00:00"/>
    <s v="C020"/>
    <s v="P001"/>
    <s v="S001"/>
    <n v="2"/>
    <n v="0.15"/>
    <x v="1"/>
    <s v="Ryan Cole"/>
    <x v="31"/>
    <x v="1"/>
    <x v="3"/>
    <n v="1673.69"/>
    <n v="2845.2730000000001"/>
  </r>
  <r>
    <s v="T02437"/>
    <d v="2025-08-22T00:00:00"/>
    <s v="C171"/>
    <s v="P002"/>
    <s v="S004"/>
    <n v="3"/>
    <n v="0.1"/>
    <x v="3"/>
    <s v="Christina Dominguez"/>
    <x v="2"/>
    <x v="1"/>
    <x v="1"/>
    <n v="818.76"/>
    <n v="2210.652"/>
  </r>
  <r>
    <s v="T02438"/>
    <d v="2025-06-27T00:00:00"/>
    <s v="C062"/>
    <s v="P031"/>
    <s v="S005"/>
    <n v="4"/>
    <n v="0.15"/>
    <x v="1"/>
    <s v="Susan Salinas"/>
    <x v="39"/>
    <x v="2"/>
    <x v="4"/>
    <n v="1095.72"/>
    <n v="3725.4479999999999"/>
  </r>
  <r>
    <s v="T02439"/>
    <d v="2023-10-18T00:00:00"/>
    <s v="C181"/>
    <s v="P003"/>
    <s v="S004"/>
    <n v="3"/>
    <n v="0.1"/>
    <x v="0"/>
    <s v="Brittany Oneal"/>
    <x v="46"/>
    <x v="0"/>
    <x v="1"/>
    <n v="337.63"/>
    <n v="911.601"/>
  </r>
  <r>
    <s v="T02440"/>
    <d v="2025-03-11T00:00:00"/>
    <s v="C136"/>
    <s v="P045"/>
    <s v="S001"/>
    <n v="5"/>
    <n v="0.05"/>
    <x v="2"/>
    <s v="Amanda Garcia"/>
    <x v="8"/>
    <x v="2"/>
    <x v="3"/>
    <n v="1879.08"/>
    <n v="8925.6299999999992"/>
  </r>
  <r>
    <s v="T02441"/>
    <d v="2025-09-02T00:00:00"/>
    <s v="C163"/>
    <s v="P047"/>
    <s v="S003"/>
    <n v="2"/>
    <n v="0.15"/>
    <x v="1"/>
    <s v="Erin Rogers"/>
    <x v="28"/>
    <x v="1"/>
    <x v="0"/>
    <n v="1197.18"/>
    <n v="2035.2060000000001"/>
  </r>
  <r>
    <s v="T02442"/>
    <d v="2023-11-18T00:00:00"/>
    <s v="C126"/>
    <s v="P020"/>
    <s v="S003"/>
    <n v="1"/>
    <n v="0.15"/>
    <x v="0"/>
    <s v="Monique Johnson"/>
    <x v="24"/>
    <x v="0"/>
    <x v="0"/>
    <n v="323.92"/>
    <n v="275.33199999999999"/>
  </r>
  <r>
    <s v="T02443"/>
    <d v="2024-02-15T00:00:00"/>
    <s v="C046"/>
    <s v="P028"/>
    <s v="S001"/>
    <n v="3"/>
    <n v="0.15"/>
    <x v="0"/>
    <s v="Dennis Poole"/>
    <x v="25"/>
    <x v="1"/>
    <x v="3"/>
    <n v="673.78"/>
    <n v="1718.1389999999999"/>
  </r>
  <r>
    <s v="T02444"/>
    <d v="2025-04-21T00:00:00"/>
    <s v="C187"/>
    <s v="P030"/>
    <s v="S004"/>
    <n v="2"/>
    <n v="0.05"/>
    <x v="1"/>
    <s v="Cynthia Cherry"/>
    <x v="1"/>
    <x v="0"/>
    <x v="1"/>
    <n v="29.24"/>
    <n v="55.555999999999997"/>
  </r>
  <r>
    <s v="T02445"/>
    <d v="2024-02-09T00:00:00"/>
    <s v="C096"/>
    <s v="P049"/>
    <s v="S002"/>
    <n v="1"/>
    <n v="0.05"/>
    <x v="1"/>
    <s v="Eric King"/>
    <x v="29"/>
    <x v="0"/>
    <x v="2"/>
    <n v="388.26"/>
    <n v="368.84699999999998"/>
  </r>
  <r>
    <s v="T02446"/>
    <d v="2023-10-15T00:00:00"/>
    <s v="C093"/>
    <s v="P041"/>
    <s v="S005"/>
    <n v="2"/>
    <n v="0"/>
    <x v="0"/>
    <s v="Stanley Brown"/>
    <x v="30"/>
    <x v="1"/>
    <x v="4"/>
    <n v="1635.01"/>
    <n v="3270.02"/>
  </r>
  <r>
    <s v="T02447"/>
    <d v="2024-07-22T00:00:00"/>
    <s v="C085"/>
    <s v="P011"/>
    <s v="S001"/>
    <n v="3"/>
    <n v="0.1"/>
    <x v="3"/>
    <s v="Juan Ramirez"/>
    <x v="17"/>
    <x v="1"/>
    <x v="3"/>
    <n v="248.57"/>
    <n v="671.13900000000001"/>
  </r>
  <r>
    <s v="T02448"/>
    <d v="2024-08-19T00:00:00"/>
    <s v="C156"/>
    <s v="P039"/>
    <s v="S003"/>
    <n v="1"/>
    <n v="0.1"/>
    <x v="1"/>
    <s v="George Young"/>
    <x v="22"/>
    <x v="0"/>
    <x v="0"/>
    <n v="540.94000000000005"/>
    <n v="486.84600000000006"/>
  </r>
  <r>
    <s v="T02449"/>
    <d v="2025-04-20T00:00:00"/>
    <s v="C102"/>
    <s v="P004"/>
    <s v="S001"/>
    <n v="3"/>
    <n v="0.1"/>
    <x v="3"/>
    <s v="Carolyn Perez"/>
    <x v="49"/>
    <x v="0"/>
    <x v="3"/>
    <n v="1853.77"/>
    <n v="5005.1790000000001"/>
  </r>
  <r>
    <s v="T02450"/>
    <d v="2023-10-21T00:00:00"/>
    <s v="C147"/>
    <s v="P009"/>
    <s v="S001"/>
    <n v="4"/>
    <n v="0.15"/>
    <x v="1"/>
    <s v="Crystal Garrison"/>
    <x v="5"/>
    <x v="2"/>
    <x v="3"/>
    <n v="123.19"/>
    <n v="418.846"/>
  </r>
  <r>
    <s v="T02451"/>
    <d v="2024-10-12T00:00:00"/>
    <s v="C045"/>
    <s v="P049"/>
    <s v="S004"/>
    <n v="5"/>
    <n v="0"/>
    <x v="3"/>
    <s v="Kelly Shaw"/>
    <x v="29"/>
    <x v="0"/>
    <x v="1"/>
    <n v="388.26"/>
    <n v="1941.3"/>
  </r>
  <r>
    <s v="T02452"/>
    <d v="2025-03-22T00:00:00"/>
    <s v="C095"/>
    <s v="P005"/>
    <s v="S001"/>
    <n v="5"/>
    <n v="0.05"/>
    <x v="2"/>
    <s v="Kevin Snyder"/>
    <x v="6"/>
    <x v="0"/>
    <x v="3"/>
    <n v="1396.22"/>
    <n v="6632.0450000000001"/>
  </r>
  <r>
    <s v="T02453"/>
    <d v="2025-06-30T00:00:00"/>
    <s v="C034"/>
    <s v="P021"/>
    <s v="S001"/>
    <n v="4"/>
    <n v="0"/>
    <x v="3"/>
    <s v="Kari Miller"/>
    <x v="23"/>
    <x v="2"/>
    <x v="3"/>
    <n v="1227.24"/>
    <n v="4908.96"/>
  </r>
  <r>
    <s v="T02454"/>
    <d v="2025-04-17T00:00:00"/>
    <s v="C114"/>
    <s v="P026"/>
    <s v="S001"/>
    <n v="3"/>
    <n v="0"/>
    <x v="0"/>
    <s v="Miranda Rodriguez"/>
    <x v="15"/>
    <x v="2"/>
    <x v="3"/>
    <n v="1015.76"/>
    <n v="3047.2799999999997"/>
  </r>
  <r>
    <s v="T02455"/>
    <d v="2024-07-05T00:00:00"/>
    <s v="C050"/>
    <s v="P048"/>
    <s v="S005"/>
    <n v="1"/>
    <n v="0.1"/>
    <x v="0"/>
    <s v="Kelly Mcmillan"/>
    <x v="11"/>
    <x v="0"/>
    <x v="4"/>
    <n v="1216.3599999999999"/>
    <n v="1094.7239999999999"/>
  </r>
  <r>
    <s v="T02456"/>
    <d v="2023-10-11T00:00:00"/>
    <s v="C182"/>
    <s v="P021"/>
    <s v="S002"/>
    <n v="5"/>
    <n v="0.1"/>
    <x v="3"/>
    <s v="Meghan Wright"/>
    <x v="23"/>
    <x v="2"/>
    <x v="2"/>
    <n v="1227.24"/>
    <n v="5522.58"/>
  </r>
  <r>
    <s v="T02457"/>
    <d v="2024-07-11T00:00:00"/>
    <s v="C171"/>
    <s v="P029"/>
    <s v="S004"/>
    <n v="4"/>
    <n v="0"/>
    <x v="3"/>
    <s v="Christina Dominguez"/>
    <x v="47"/>
    <x v="0"/>
    <x v="1"/>
    <n v="1485.05"/>
    <n v="5940.2"/>
  </r>
  <r>
    <s v="T02458"/>
    <d v="2025-04-28T00:00:00"/>
    <s v="C050"/>
    <s v="P038"/>
    <s v="S005"/>
    <n v="2"/>
    <n v="0.1"/>
    <x v="3"/>
    <s v="Kelly Mcmillan"/>
    <x v="41"/>
    <x v="0"/>
    <x v="4"/>
    <n v="366.93"/>
    <n v="660.47400000000005"/>
  </r>
  <r>
    <s v="T02459"/>
    <d v="2023-12-14T00:00:00"/>
    <s v="C045"/>
    <s v="P020"/>
    <s v="S004"/>
    <n v="1"/>
    <n v="0.1"/>
    <x v="2"/>
    <s v="Kelly Shaw"/>
    <x v="24"/>
    <x v="0"/>
    <x v="1"/>
    <n v="323.92"/>
    <n v="291.52800000000002"/>
  </r>
  <r>
    <s v="T02460"/>
    <d v="2024-07-27T00:00:00"/>
    <s v="C177"/>
    <s v="P006"/>
    <s v="S005"/>
    <n v="4"/>
    <n v="0.05"/>
    <x v="3"/>
    <s v="Anthony Gould"/>
    <x v="35"/>
    <x v="2"/>
    <x v="4"/>
    <n v="318.05"/>
    <n v="1208.5899999999999"/>
  </r>
  <r>
    <s v="T02461"/>
    <d v="2024-07-04T00:00:00"/>
    <s v="C080"/>
    <s v="P028"/>
    <s v="S003"/>
    <n v="5"/>
    <n v="0.1"/>
    <x v="3"/>
    <s v="Grace Garcia"/>
    <x v="25"/>
    <x v="1"/>
    <x v="0"/>
    <n v="673.78"/>
    <n v="3032.0099999999998"/>
  </r>
  <r>
    <s v="T02462"/>
    <d v="2025-06-11T00:00:00"/>
    <s v="C088"/>
    <s v="P012"/>
    <s v="S004"/>
    <n v="5"/>
    <n v="0"/>
    <x v="1"/>
    <s v="Brenda Costa"/>
    <x v="38"/>
    <x v="1"/>
    <x v="1"/>
    <n v="1193.0899999999999"/>
    <n v="5965.45"/>
  </r>
  <r>
    <s v="T02463"/>
    <d v="2023-12-09T00:00:00"/>
    <s v="C023"/>
    <s v="P029"/>
    <s v="S001"/>
    <n v="1"/>
    <n v="0.05"/>
    <x v="3"/>
    <s v="Mark Martinez"/>
    <x v="47"/>
    <x v="0"/>
    <x v="3"/>
    <n v="1485.05"/>
    <n v="1410.7974999999999"/>
  </r>
  <r>
    <s v="T02464"/>
    <d v="2024-02-28T00:00:00"/>
    <s v="C048"/>
    <s v="P025"/>
    <s v="S003"/>
    <n v="5"/>
    <n v="0"/>
    <x v="2"/>
    <s v="Alexis Crane"/>
    <x v="33"/>
    <x v="0"/>
    <x v="0"/>
    <n v="429.15"/>
    <n v="2145.75"/>
  </r>
  <r>
    <s v="T02465"/>
    <d v="2024-06-12T00:00:00"/>
    <s v="C003"/>
    <s v="P017"/>
    <s v="S002"/>
    <n v="3"/>
    <n v="0.15"/>
    <x v="3"/>
    <s v="Carol Hays"/>
    <x v="43"/>
    <x v="1"/>
    <x v="2"/>
    <n v="1246.1099999999999"/>
    <n v="3177.5805"/>
  </r>
  <r>
    <s v="T02466"/>
    <d v="2024-10-28T00:00:00"/>
    <s v="C186"/>
    <s v="P049"/>
    <s v="S002"/>
    <n v="3"/>
    <n v="0.05"/>
    <x v="2"/>
    <s v="Vicki Guzman"/>
    <x v="29"/>
    <x v="0"/>
    <x v="2"/>
    <n v="388.26"/>
    <n v="1106.5409999999999"/>
  </r>
  <r>
    <s v="T02467"/>
    <d v="2025-02-14T00:00:00"/>
    <s v="C080"/>
    <s v="P009"/>
    <s v="S001"/>
    <n v="4"/>
    <n v="0.1"/>
    <x v="2"/>
    <s v="Grace Garcia"/>
    <x v="5"/>
    <x v="2"/>
    <x v="3"/>
    <n v="123.19"/>
    <n v="443.48399999999998"/>
  </r>
  <r>
    <s v="T02468"/>
    <d v="2024-04-01T00:00:00"/>
    <s v="C072"/>
    <s v="P049"/>
    <s v="S002"/>
    <n v="5"/>
    <n v="0.1"/>
    <x v="1"/>
    <s v="Eric Watkins"/>
    <x v="29"/>
    <x v="0"/>
    <x v="2"/>
    <n v="388.26"/>
    <n v="1747.17"/>
  </r>
  <r>
    <s v="T02469"/>
    <d v="2024-08-02T00:00:00"/>
    <s v="C058"/>
    <s v="P012"/>
    <s v="S002"/>
    <n v="3"/>
    <n v="0.05"/>
    <x v="2"/>
    <s v="Lawrence Stewart"/>
    <x v="38"/>
    <x v="1"/>
    <x v="2"/>
    <n v="1193.0899999999999"/>
    <n v="3400.3064999999992"/>
  </r>
  <r>
    <s v="T02470"/>
    <d v="2024-11-15T00:00:00"/>
    <s v="C076"/>
    <s v="P042"/>
    <s v="S003"/>
    <n v="4"/>
    <n v="0.1"/>
    <x v="3"/>
    <s v="Phyllis Durham"/>
    <x v="10"/>
    <x v="0"/>
    <x v="0"/>
    <n v="453.62"/>
    <n v="1633.0320000000002"/>
  </r>
  <r>
    <s v="T02471"/>
    <d v="2023-10-26T00:00:00"/>
    <s v="C126"/>
    <s v="P001"/>
    <s v="S003"/>
    <n v="5"/>
    <n v="0.1"/>
    <x v="0"/>
    <s v="Monique Johnson"/>
    <x v="31"/>
    <x v="1"/>
    <x v="0"/>
    <n v="1673.69"/>
    <n v="7531.6050000000005"/>
  </r>
  <r>
    <s v="T02472"/>
    <d v="2024-07-07T00:00:00"/>
    <s v="C198"/>
    <s v="P008"/>
    <s v="S005"/>
    <n v="4"/>
    <n v="0.05"/>
    <x v="3"/>
    <s v="Jessica Mullins"/>
    <x v="48"/>
    <x v="0"/>
    <x v="4"/>
    <n v="109.78"/>
    <n v="417.16399999999999"/>
  </r>
  <r>
    <s v="T02473"/>
    <d v="2024-09-07T00:00:00"/>
    <s v="C150"/>
    <s v="P021"/>
    <s v="S004"/>
    <n v="2"/>
    <n v="0.05"/>
    <x v="1"/>
    <s v="Francis Hernandez"/>
    <x v="23"/>
    <x v="2"/>
    <x v="1"/>
    <n v="1227.24"/>
    <n v="2331.7559999999999"/>
  </r>
  <r>
    <s v="T02474"/>
    <d v="2024-06-04T00:00:00"/>
    <s v="C089"/>
    <s v="P039"/>
    <s v="S003"/>
    <n v="2"/>
    <n v="0.1"/>
    <x v="0"/>
    <s v="William Warner"/>
    <x v="22"/>
    <x v="0"/>
    <x v="0"/>
    <n v="540.94000000000005"/>
    <n v="973.69200000000012"/>
  </r>
  <r>
    <s v="T02475"/>
    <d v="2024-12-24T00:00:00"/>
    <s v="C024"/>
    <s v="P001"/>
    <s v="S005"/>
    <n v="2"/>
    <n v="0.1"/>
    <x v="2"/>
    <s v="Molly Murray"/>
    <x v="31"/>
    <x v="1"/>
    <x v="4"/>
    <n v="1673.69"/>
    <n v="3012.6420000000003"/>
  </r>
  <r>
    <s v="T02476"/>
    <d v="2024-10-29T00:00:00"/>
    <s v="C120"/>
    <s v="P042"/>
    <s v="S003"/>
    <n v="1"/>
    <n v="0"/>
    <x v="2"/>
    <s v="Curtis Faulkner"/>
    <x v="10"/>
    <x v="0"/>
    <x v="0"/>
    <n v="453.62"/>
    <n v="453.62"/>
  </r>
  <r>
    <s v="T02477"/>
    <d v="2025-04-29T00:00:00"/>
    <s v="C122"/>
    <s v="P012"/>
    <s v="S002"/>
    <n v="4"/>
    <n v="0.1"/>
    <x v="0"/>
    <s v="Amy Smith"/>
    <x v="38"/>
    <x v="1"/>
    <x v="2"/>
    <n v="1193.0899999999999"/>
    <n v="4295.1239999999998"/>
  </r>
  <r>
    <s v="T02478"/>
    <d v="2025-07-01T00:00:00"/>
    <s v="C145"/>
    <s v="P018"/>
    <s v="S004"/>
    <n v="5"/>
    <n v="0"/>
    <x v="0"/>
    <s v="Paige Osborne"/>
    <x v="19"/>
    <x v="1"/>
    <x v="1"/>
    <n v="1079.8900000000001"/>
    <n v="5399.4500000000007"/>
  </r>
  <r>
    <s v="T02479"/>
    <d v="2023-09-14T00:00:00"/>
    <s v="C180"/>
    <s v="P020"/>
    <s v="S001"/>
    <n v="3"/>
    <n v="0"/>
    <x v="2"/>
    <s v="Nichole Calhoun"/>
    <x v="24"/>
    <x v="0"/>
    <x v="3"/>
    <n v="323.92"/>
    <n v="971.76"/>
  </r>
  <r>
    <s v="T02480"/>
    <d v="2024-10-17T00:00:00"/>
    <s v="C108"/>
    <s v="P028"/>
    <s v="S004"/>
    <n v="3"/>
    <n v="0.1"/>
    <x v="3"/>
    <s v="Samantha Hill"/>
    <x v="25"/>
    <x v="1"/>
    <x v="1"/>
    <n v="673.78"/>
    <n v="1819.2059999999999"/>
  </r>
  <r>
    <s v="T02481"/>
    <d v="2024-05-07T00:00:00"/>
    <s v="C048"/>
    <s v="P040"/>
    <s v="S003"/>
    <n v="3"/>
    <n v="0.05"/>
    <x v="1"/>
    <s v="Alexis Crane"/>
    <x v="37"/>
    <x v="1"/>
    <x v="0"/>
    <n v="1745.61"/>
    <n v="4974.9884999999995"/>
  </r>
  <r>
    <s v="T02482"/>
    <d v="2025-08-23T00:00:00"/>
    <s v="C140"/>
    <s v="P013"/>
    <s v="S002"/>
    <n v="1"/>
    <n v="0.15"/>
    <x v="1"/>
    <s v="Stacy Williams"/>
    <x v="21"/>
    <x v="0"/>
    <x v="2"/>
    <n v="1134.8"/>
    <n v="964.57999999999993"/>
  </r>
  <r>
    <s v="T02483"/>
    <d v="2025-01-06T00:00:00"/>
    <s v="C152"/>
    <s v="P032"/>
    <s v="S005"/>
    <n v="4"/>
    <n v="0.15"/>
    <x v="1"/>
    <s v="Brittany Green"/>
    <x v="44"/>
    <x v="2"/>
    <x v="4"/>
    <n v="304.70999999999998"/>
    <n v="1036.0139999999999"/>
  </r>
  <r>
    <s v="T02484"/>
    <d v="2023-10-31T00:00:00"/>
    <s v="C063"/>
    <s v="P022"/>
    <s v="S003"/>
    <n v="3"/>
    <n v="0.1"/>
    <x v="1"/>
    <s v="Michael Johnson"/>
    <x v="9"/>
    <x v="2"/>
    <x v="0"/>
    <n v="25.57"/>
    <n v="69.039000000000016"/>
  </r>
  <r>
    <s v="T02485"/>
    <d v="2025-04-23T00:00:00"/>
    <s v="C174"/>
    <s v="P048"/>
    <s v="S004"/>
    <n v="3"/>
    <n v="0"/>
    <x v="2"/>
    <s v="Scott Howell"/>
    <x v="11"/>
    <x v="0"/>
    <x v="1"/>
    <n v="1216.3599999999999"/>
    <n v="3649.08"/>
  </r>
  <r>
    <s v="T02486"/>
    <d v="2023-11-01T00:00:00"/>
    <s v="C196"/>
    <s v="P006"/>
    <s v="S005"/>
    <n v="1"/>
    <n v="0.15"/>
    <x v="1"/>
    <s v="James Noble"/>
    <x v="35"/>
    <x v="2"/>
    <x v="4"/>
    <n v="318.05"/>
    <n v="270.34250000000003"/>
  </r>
  <r>
    <s v="T02487"/>
    <d v="2024-10-21T00:00:00"/>
    <s v="C199"/>
    <s v="P018"/>
    <s v="S003"/>
    <n v="5"/>
    <n v="0.15"/>
    <x v="3"/>
    <s v="Juan Johnson"/>
    <x v="19"/>
    <x v="1"/>
    <x v="0"/>
    <n v="1079.8900000000001"/>
    <n v="4589.5325000000003"/>
  </r>
  <r>
    <s v="T02488"/>
    <d v="2024-10-16T00:00:00"/>
    <s v="C042"/>
    <s v="P023"/>
    <s v="S005"/>
    <n v="2"/>
    <n v="0.1"/>
    <x v="2"/>
    <s v="Anna Andrews"/>
    <x v="20"/>
    <x v="0"/>
    <x v="4"/>
    <n v="1878.47"/>
    <n v="3381.2460000000001"/>
  </r>
  <r>
    <s v="T02489"/>
    <d v="2024-03-02T00:00:00"/>
    <s v="C146"/>
    <s v="P023"/>
    <s v="S002"/>
    <n v="2"/>
    <n v="0.1"/>
    <x v="3"/>
    <s v="John Johnson"/>
    <x v="20"/>
    <x v="0"/>
    <x v="2"/>
    <n v="1878.47"/>
    <n v="3381.2460000000001"/>
  </r>
  <r>
    <s v="T02490"/>
    <d v="2024-09-14T00:00:00"/>
    <s v="C024"/>
    <s v="P040"/>
    <s v="S003"/>
    <n v="2"/>
    <n v="0.1"/>
    <x v="1"/>
    <s v="Molly Murray"/>
    <x v="37"/>
    <x v="1"/>
    <x v="0"/>
    <n v="1745.61"/>
    <n v="3142.098"/>
  </r>
  <r>
    <s v="T02491"/>
    <d v="2024-01-30T00:00:00"/>
    <s v="C102"/>
    <s v="P033"/>
    <s v="S002"/>
    <n v="4"/>
    <n v="0"/>
    <x v="2"/>
    <s v="Carolyn Perez"/>
    <x v="16"/>
    <x v="0"/>
    <x v="2"/>
    <n v="1798.97"/>
    <n v="7195.88"/>
  </r>
  <r>
    <s v="T02492"/>
    <d v="2025-02-24T00:00:00"/>
    <s v="C052"/>
    <s v="P030"/>
    <s v="S002"/>
    <n v="3"/>
    <n v="0.1"/>
    <x v="3"/>
    <s v="Billy Hernandez"/>
    <x v="1"/>
    <x v="0"/>
    <x v="2"/>
    <n v="29.24"/>
    <n v="78.948000000000008"/>
  </r>
  <r>
    <s v="T02493"/>
    <d v="2024-05-06T00:00:00"/>
    <s v="C048"/>
    <s v="P022"/>
    <s v="S002"/>
    <n v="2"/>
    <n v="0.15"/>
    <x v="3"/>
    <s v="Alexis Crane"/>
    <x v="9"/>
    <x v="2"/>
    <x v="2"/>
    <n v="25.57"/>
    <n v="43.469000000000001"/>
  </r>
  <r>
    <s v="T02494"/>
    <d v="2024-02-18T00:00:00"/>
    <s v="C186"/>
    <s v="P049"/>
    <s v="S002"/>
    <n v="2"/>
    <n v="0.1"/>
    <x v="3"/>
    <s v="Vicki Guzman"/>
    <x v="29"/>
    <x v="0"/>
    <x v="2"/>
    <n v="388.26"/>
    <n v="698.86800000000005"/>
  </r>
  <r>
    <s v="T02495"/>
    <d v="2024-02-21T00:00:00"/>
    <s v="C123"/>
    <s v="P043"/>
    <s v="S002"/>
    <n v="3"/>
    <n v="0"/>
    <x v="1"/>
    <s v="Peter Edwards"/>
    <x v="45"/>
    <x v="0"/>
    <x v="2"/>
    <n v="564.41999999999996"/>
    <n v="1693.2599999999998"/>
  </r>
  <r>
    <s v="T02496"/>
    <d v="2025-09-09T00:00:00"/>
    <s v="C141"/>
    <s v="P040"/>
    <s v="S004"/>
    <n v="2"/>
    <n v="0.15"/>
    <x v="1"/>
    <s v="Adam Lucas"/>
    <x v="37"/>
    <x v="1"/>
    <x v="1"/>
    <n v="1745.61"/>
    <n v="2967.5369999999998"/>
  </r>
  <r>
    <s v="T02497"/>
    <d v="2024-05-23T00:00:00"/>
    <s v="C119"/>
    <s v="P018"/>
    <s v="S002"/>
    <n v="1"/>
    <n v="0.15"/>
    <x v="2"/>
    <s v="Jason Lloyd"/>
    <x v="19"/>
    <x v="1"/>
    <x v="2"/>
    <n v="1079.8900000000001"/>
    <n v="917.90650000000005"/>
  </r>
  <r>
    <s v="T02498"/>
    <d v="2025-07-12T00:00:00"/>
    <s v="C082"/>
    <s v="P014"/>
    <s v="S002"/>
    <n v="4"/>
    <n v="0.1"/>
    <x v="0"/>
    <s v="Amy Haley"/>
    <x v="0"/>
    <x v="0"/>
    <x v="2"/>
    <n v="1342.75"/>
    <n v="4833.9000000000005"/>
  </r>
  <r>
    <s v="T02499"/>
    <d v="2025-01-23T00:00:00"/>
    <s v="C173"/>
    <s v="P036"/>
    <s v="S004"/>
    <n v="5"/>
    <n v="0.15"/>
    <x v="3"/>
    <s v="Lisa Ruiz"/>
    <x v="4"/>
    <x v="0"/>
    <x v="1"/>
    <n v="1501.46"/>
    <n v="6381.2049999999999"/>
  </r>
  <r>
    <s v="T02500"/>
    <d v="2023-11-11T00:00:00"/>
    <s v="C089"/>
    <s v="P032"/>
    <s v="S004"/>
    <n v="5"/>
    <n v="0"/>
    <x v="2"/>
    <s v="William Warner"/>
    <x v="44"/>
    <x v="2"/>
    <x v="1"/>
    <n v="304.70999999999998"/>
    <n v="1523.55"/>
  </r>
  <r>
    <s v="T02501"/>
    <d v="2025-03-07T00:00:00"/>
    <s v="C156"/>
    <s v="P010"/>
    <s v="S002"/>
    <n v="2"/>
    <n v="0.1"/>
    <x v="0"/>
    <s v="George Young"/>
    <x v="36"/>
    <x v="1"/>
    <x v="2"/>
    <n v="1194.1199999999999"/>
    <n v="2149.4159999999997"/>
  </r>
  <r>
    <s v="T02502"/>
    <d v="2024-02-25T00:00:00"/>
    <s v="C088"/>
    <s v="P001"/>
    <s v="S005"/>
    <n v="1"/>
    <n v="0.15"/>
    <x v="3"/>
    <s v="Brenda Costa"/>
    <x v="31"/>
    <x v="1"/>
    <x v="4"/>
    <n v="1673.69"/>
    <n v="1422.6365000000001"/>
  </r>
  <r>
    <s v="T02503"/>
    <d v="2025-01-13T00:00:00"/>
    <s v="C166"/>
    <s v="P047"/>
    <s v="S002"/>
    <n v="2"/>
    <n v="0.15"/>
    <x v="2"/>
    <s v="Meagan Ali"/>
    <x v="28"/>
    <x v="1"/>
    <x v="2"/>
    <n v="1197.18"/>
    <n v="2035.2060000000001"/>
  </r>
  <r>
    <s v="T02504"/>
    <d v="2025-02-10T00:00:00"/>
    <s v="C012"/>
    <s v="P013"/>
    <s v="S002"/>
    <n v="3"/>
    <n v="0.15"/>
    <x v="3"/>
    <s v="Dale Perry"/>
    <x v="21"/>
    <x v="0"/>
    <x v="2"/>
    <n v="1134.8"/>
    <n v="2893.74"/>
  </r>
  <r>
    <s v="T02505"/>
    <d v="2024-01-17T00:00:00"/>
    <s v="C087"/>
    <s v="P029"/>
    <s v="S004"/>
    <n v="2"/>
    <n v="0.15"/>
    <x v="2"/>
    <s v="Laurie Mason"/>
    <x v="47"/>
    <x v="0"/>
    <x v="1"/>
    <n v="1485.05"/>
    <n v="2524.585"/>
  </r>
  <r>
    <s v="T02506"/>
    <d v="2025-03-07T00:00:00"/>
    <s v="C073"/>
    <s v="P024"/>
    <s v="S003"/>
    <n v="4"/>
    <n v="0.15"/>
    <x v="3"/>
    <s v="Carl Armstrong"/>
    <x v="14"/>
    <x v="1"/>
    <x v="0"/>
    <n v="1487.41"/>
    <n v="5057.1940000000004"/>
  </r>
  <r>
    <s v="T02507"/>
    <d v="2025-03-17T00:00:00"/>
    <s v="C067"/>
    <s v="P019"/>
    <s v="S004"/>
    <n v="2"/>
    <n v="0.05"/>
    <x v="1"/>
    <s v="Daniel Maldonado"/>
    <x v="26"/>
    <x v="1"/>
    <x v="1"/>
    <n v="1762.92"/>
    <n v="3349.5479999999998"/>
  </r>
  <r>
    <s v="T02508"/>
    <d v="2024-03-17T00:00:00"/>
    <s v="C175"/>
    <s v="P006"/>
    <s v="S005"/>
    <n v="1"/>
    <n v="0.15"/>
    <x v="3"/>
    <s v="Stacey Thompson"/>
    <x v="35"/>
    <x v="2"/>
    <x v="4"/>
    <n v="318.05"/>
    <n v="270.34250000000003"/>
  </r>
  <r>
    <s v="T02509"/>
    <d v="2025-05-27T00:00:00"/>
    <s v="C089"/>
    <s v="P019"/>
    <s v="S001"/>
    <n v="4"/>
    <n v="0"/>
    <x v="2"/>
    <s v="William Warner"/>
    <x v="26"/>
    <x v="1"/>
    <x v="3"/>
    <n v="1762.92"/>
    <n v="7051.68"/>
  </r>
  <r>
    <s v="T02510"/>
    <d v="2024-06-07T00:00:00"/>
    <s v="C082"/>
    <s v="P038"/>
    <s v="S002"/>
    <n v="5"/>
    <n v="0.15"/>
    <x v="1"/>
    <s v="Amy Haley"/>
    <x v="41"/>
    <x v="0"/>
    <x v="2"/>
    <n v="366.93"/>
    <n v="1559.4525000000001"/>
  </r>
  <r>
    <s v="T02511"/>
    <d v="2023-09-14T00:00:00"/>
    <s v="C003"/>
    <s v="P034"/>
    <s v="S004"/>
    <n v="4"/>
    <n v="0.15"/>
    <x v="3"/>
    <s v="Carol Hays"/>
    <x v="12"/>
    <x v="1"/>
    <x v="1"/>
    <n v="428.05"/>
    <n v="1455.37"/>
  </r>
  <r>
    <s v="T02512"/>
    <d v="2023-10-14T00:00:00"/>
    <s v="C078"/>
    <s v="P040"/>
    <s v="S004"/>
    <n v="3"/>
    <n v="0"/>
    <x v="1"/>
    <s v="Jeanne Young"/>
    <x v="37"/>
    <x v="1"/>
    <x v="1"/>
    <n v="1745.61"/>
    <n v="5236.83"/>
  </r>
  <r>
    <s v="T02513"/>
    <d v="2024-10-03T00:00:00"/>
    <s v="C129"/>
    <s v="P025"/>
    <s v="S003"/>
    <n v="4"/>
    <n v="0.1"/>
    <x v="0"/>
    <s v="Gary Taylor"/>
    <x v="33"/>
    <x v="0"/>
    <x v="0"/>
    <n v="429.15"/>
    <n v="1544.94"/>
  </r>
  <r>
    <s v="T02514"/>
    <d v="2024-09-07T00:00:00"/>
    <s v="C029"/>
    <s v="P038"/>
    <s v="S002"/>
    <n v="4"/>
    <n v="0.15"/>
    <x v="3"/>
    <s v="Tyler Levine"/>
    <x v="41"/>
    <x v="0"/>
    <x v="2"/>
    <n v="366.93"/>
    <n v="1247.5619999999999"/>
  </r>
  <r>
    <s v="T02515"/>
    <d v="2024-08-03T00:00:00"/>
    <s v="C039"/>
    <s v="P035"/>
    <s v="S001"/>
    <n v="3"/>
    <n v="0.1"/>
    <x v="2"/>
    <s v="Nancy Savage"/>
    <x v="7"/>
    <x v="1"/>
    <x v="3"/>
    <n v="1562.43"/>
    <n v="4218.5609999999997"/>
  </r>
  <r>
    <s v="T02516"/>
    <d v="2023-11-01T00:00:00"/>
    <s v="C132"/>
    <s v="P044"/>
    <s v="S005"/>
    <n v="4"/>
    <n v="0.15"/>
    <x v="3"/>
    <s v="Jared Ochoa"/>
    <x v="32"/>
    <x v="0"/>
    <x v="4"/>
    <n v="1286.55"/>
    <n v="4374.2699999999995"/>
  </r>
  <r>
    <s v="T02517"/>
    <d v="2025-01-18T00:00:00"/>
    <s v="C119"/>
    <s v="P023"/>
    <s v="S003"/>
    <n v="1"/>
    <n v="0"/>
    <x v="1"/>
    <s v="Jason Lloyd"/>
    <x v="20"/>
    <x v="0"/>
    <x v="0"/>
    <n v="1878.47"/>
    <n v="1878.47"/>
  </r>
  <r>
    <s v="T02518"/>
    <d v="2025-07-05T00:00:00"/>
    <s v="C118"/>
    <s v="P049"/>
    <s v="S003"/>
    <n v="1"/>
    <n v="0.1"/>
    <x v="0"/>
    <s v="Gina Bradford"/>
    <x v="29"/>
    <x v="0"/>
    <x v="0"/>
    <n v="388.26"/>
    <n v="349.43400000000003"/>
  </r>
  <r>
    <s v="T02519"/>
    <d v="2024-12-29T00:00:00"/>
    <s v="C109"/>
    <s v="P023"/>
    <s v="S003"/>
    <n v="3"/>
    <n v="0"/>
    <x v="0"/>
    <s v="Austin Hogan"/>
    <x v="20"/>
    <x v="0"/>
    <x v="0"/>
    <n v="1878.47"/>
    <n v="5635.41"/>
  </r>
  <r>
    <s v="T02520"/>
    <d v="2025-06-05T00:00:00"/>
    <s v="C046"/>
    <s v="P006"/>
    <s v="S003"/>
    <n v="3"/>
    <n v="0.15"/>
    <x v="3"/>
    <s v="Dennis Poole"/>
    <x v="35"/>
    <x v="2"/>
    <x v="0"/>
    <n v="318.05"/>
    <n v="811.02750000000003"/>
  </r>
  <r>
    <s v="T02521"/>
    <d v="2024-09-15T00:00:00"/>
    <s v="C115"/>
    <s v="P026"/>
    <s v="S003"/>
    <n v="3"/>
    <n v="0"/>
    <x v="3"/>
    <s v="Jose Smith"/>
    <x v="15"/>
    <x v="2"/>
    <x v="0"/>
    <n v="1015.76"/>
    <n v="3047.2799999999997"/>
  </r>
  <r>
    <s v="T02522"/>
    <d v="2023-10-21T00:00:00"/>
    <s v="C092"/>
    <s v="P024"/>
    <s v="S001"/>
    <n v="5"/>
    <n v="0.15"/>
    <x v="2"/>
    <s v="Lindsey Holder"/>
    <x v="14"/>
    <x v="1"/>
    <x v="3"/>
    <n v="1487.41"/>
    <n v="6321.4925000000003"/>
  </r>
  <r>
    <s v="T02523"/>
    <d v="2025-05-10T00:00:00"/>
    <s v="C045"/>
    <s v="P032"/>
    <s v="S001"/>
    <n v="5"/>
    <n v="0"/>
    <x v="2"/>
    <s v="Kelly Shaw"/>
    <x v="44"/>
    <x v="2"/>
    <x v="3"/>
    <n v="304.70999999999998"/>
    <n v="1523.55"/>
  </r>
  <r>
    <s v="T02524"/>
    <d v="2025-03-20T00:00:00"/>
    <s v="C187"/>
    <s v="P010"/>
    <s v="S002"/>
    <n v="4"/>
    <n v="0.15"/>
    <x v="0"/>
    <s v="Cynthia Cherry"/>
    <x v="36"/>
    <x v="1"/>
    <x v="2"/>
    <n v="1194.1199999999999"/>
    <n v="4060.0079999999994"/>
  </r>
  <r>
    <s v="T02525"/>
    <d v="2025-08-26T00:00:00"/>
    <s v="C089"/>
    <s v="P003"/>
    <s v="S004"/>
    <n v="5"/>
    <n v="0.05"/>
    <x v="1"/>
    <s v="William Warner"/>
    <x v="46"/>
    <x v="0"/>
    <x v="1"/>
    <n v="337.63"/>
    <n v="1603.7425000000001"/>
  </r>
  <r>
    <s v="T02526"/>
    <d v="2024-04-06T00:00:00"/>
    <s v="C011"/>
    <s v="P019"/>
    <s v="S001"/>
    <n v="3"/>
    <n v="0.1"/>
    <x v="3"/>
    <s v="Haley Williams"/>
    <x v="26"/>
    <x v="1"/>
    <x v="3"/>
    <n v="1762.92"/>
    <n v="4759.884"/>
  </r>
  <r>
    <s v="T02527"/>
    <d v="2025-05-17T00:00:00"/>
    <s v="C038"/>
    <s v="P046"/>
    <s v="S005"/>
    <n v="1"/>
    <n v="0.15"/>
    <x v="3"/>
    <s v="Tracey Davis"/>
    <x v="42"/>
    <x v="0"/>
    <x v="4"/>
    <n v="1165.3699999999999"/>
    <n v="990.56449999999984"/>
  </r>
  <r>
    <s v="T02528"/>
    <d v="2025-04-17T00:00:00"/>
    <s v="C087"/>
    <s v="P004"/>
    <s v="S003"/>
    <n v="4"/>
    <n v="0.15"/>
    <x v="3"/>
    <s v="Laurie Mason"/>
    <x v="49"/>
    <x v="0"/>
    <x v="0"/>
    <n v="1853.77"/>
    <n v="6302.8180000000002"/>
  </r>
  <r>
    <s v="T02529"/>
    <d v="2024-01-12T00:00:00"/>
    <s v="C048"/>
    <s v="P034"/>
    <s v="S003"/>
    <n v="1"/>
    <n v="0.15"/>
    <x v="3"/>
    <s v="Alexis Crane"/>
    <x v="12"/>
    <x v="1"/>
    <x v="0"/>
    <n v="428.05"/>
    <n v="363.84249999999997"/>
  </r>
  <r>
    <s v="T02530"/>
    <d v="2025-05-24T00:00:00"/>
    <s v="C050"/>
    <s v="P038"/>
    <s v="S005"/>
    <n v="3"/>
    <n v="0.1"/>
    <x v="2"/>
    <s v="Kelly Mcmillan"/>
    <x v="41"/>
    <x v="0"/>
    <x v="4"/>
    <n v="366.93"/>
    <n v="990.71100000000001"/>
  </r>
  <r>
    <s v="T02531"/>
    <d v="2025-06-22T00:00:00"/>
    <s v="C178"/>
    <s v="P001"/>
    <s v="S001"/>
    <n v="3"/>
    <n v="0.15"/>
    <x v="2"/>
    <s v="Mark Mcdonald"/>
    <x v="31"/>
    <x v="1"/>
    <x v="3"/>
    <n v="1673.69"/>
    <n v="4267.9094999999998"/>
  </r>
  <r>
    <s v="T02532"/>
    <d v="2024-06-12T00:00:00"/>
    <s v="C195"/>
    <s v="P048"/>
    <s v="S004"/>
    <n v="3"/>
    <n v="0.05"/>
    <x v="0"/>
    <s v="James Mitchell"/>
    <x v="11"/>
    <x v="0"/>
    <x v="1"/>
    <n v="1216.3599999999999"/>
    <n v="3466.6259999999997"/>
  </r>
  <r>
    <s v="T02533"/>
    <d v="2024-04-15T00:00:00"/>
    <s v="C129"/>
    <s v="P037"/>
    <s v="S001"/>
    <n v="5"/>
    <n v="0.15"/>
    <x v="2"/>
    <s v="Gary Taylor"/>
    <x v="27"/>
    <x v="1"/>
    <x v="3"/>
    <n v="1952.65"/>
    <n v="8298.7624999999989"/>
  </r>
  <r>
    <s v="T02534"/>
    <d v="2025-05-01T00:00:00"/>
    <s v="C174"/>
    <s v="P028"/>
    <s v="S003"/>
    <n v="3"/>
    <n v="0"/>
    <x v="1"/>
    <s v="Scott Howell"/>
    <x v="25"/>
    <x v="1"/>
    <x v="0"/>
    <n v="673.78"/>
    <n v="2021.34"/>
  </r>
  <r>
    <s v="T02535"/>
    <d v="2025-08-23T00:00:00"/>
    <s v="C054"/>
    <s v="P012"/>
    <s v="S001"/>
    <n v="4"/>
    <n v="0.05"/>
    <x v="0"/>
    <s v="Crystal Johnson"/>
    <x v="38"/>
    <x v="1"/>
    <x v="3"/>
    <n v="1193.0899999999999"/>
    <n v="4533.7419999999993"/>
  </r>
  <r>
    <s v="T02536"/>
    <d v="2024-05-13T00:00:00"/>
    <s v="C069"/>
    <s v="P038"/>
    <s v="S004"/>
    <n v="5"/>
    <n v="0.1"/>
    <x v="3"/>
    <s v="Gabriel Daugherty"/>
    <x v="41"/>
    <x v="0"/>
    <x v="1"/>
    <n v="366.93"/>
    <n v="1651.1850000000002"/>
  </r>
  <r>
    <s v="T02537"/>
    <d v="2025-06-30T00:00:00"/>
    <s v="C057"/>
    <s v="P006"/>
    <s v="S002"/>
    <n v="1"/>
    <n v="0.1"/>
    <x v="2"/>
    <s v="Julie Gibson"/>
    <x v="35"/>
    <x v="2"/>
    <x v="2"/>
    <n v="318.05"/>
    <n v="286.245"/>
  </r>
  <r>
    <s v="T02538"/>
    <d v="2024-09-29T00:00:00"/>
    <s v="C017"/>
    <s v="P016"/>
    <s v="S005"/>
    <n v="3"/>
    <n v="0.15"/>
    <x v="1"/>
    <s v="Vanessa Anderson"/>
    <x v="13"/>
    <x v="0"/>
    <x v="4"/>
    <n v="1858.75"/>
    <n v="4739.8125"/>
  </r>
  <r>
    <s v="T02539"/>
    <d v="2025-08-22T00:00:00"/>
    <s v="C163"/>
    <s v="P022"/>
    <s v="S005"/>
    <n v="3"/>
    <n v="0.15"/>
    <x v="1"/>
    <s v="Erin Rogers"/>
    <x v="9"/>
    <x v="2"/>
    <x v="4"/>
    <n v="25.57"/>
    <n v="65.203500000000005"/>
  </r>
  <r>
    <s v="T02540"/>
    <d v="2025-09-03T00:00:00"/>
    <s v="C143"/>
    <s v="P027"/>
    <s v="S001"/>
    <n v="3"/>
    <n v="0.1"/>
    <x v="0"/>
    <s v="Cynthia Carlson"/>
    <x v="34"/>
    <x v="1"/>
    <x v="3"/>
    <n v="1272.23"/>
    <n v="3435.0210000000002"/>
  </r>
  <r>
    <s v="T02541"/>
    <d v="2024-09-03T00:00:00"/>
    <s v="C089"/>
    <s v="P041"/>
    <s v="S004"/>
    <n v="2"/>
    <n v="0.15"/>
    <x v="1"/>
    <s v="William Warner"/>
    <x v="30"/>
    <x v="1"/>
    <x v="1"/>
    <n v="1635.01"/>
    <n v="2779.5169999999998"/>
  </r>
  <r>
    <s v="T02542"/>
    <d v="2024-11-02T00:00:00"/>
    <s v="C054"/>
    <s v="P016"/>
    <s v="S005"/>
    <n v="2"/>
    <n v="0.15"/>
    <x v="0"/>
    <s v="Crystal Johnson"/>
    <x v="13"/>
    <x v="0"/>
    <x v="4"/>
    <n v="1858.75"/>
    <n v="3159.875"/>
  </r>
  <r>
    <s v="T02543"/>
    <d v="2023-10-26T00:00:00"/>
    <s v="C104"/>
    <s v="P019"/>
    <s v="S001"/>
    <n v="5"/>
    <n v="0"/>
    <x v="1"/>
    <s v="Brenda Dean"/>
    <x v="26"/>
    <x v="1"/>
    <x v="3"/>
    <n v="1762.92"/>
    <n v="8814.6"/>
  </r>
  <r>
    <s v="T02544"/>
    <d v="2025-01-16T00:00:00"/>
    <s v="C144"/>
    <s v="P004"/>
    <s v="S003"/>
    <n v="1"/>
    <n v="0.05"/>
    <x v="0"/>
    <s v="Betty Johnson"/>
    <x v="49"/>
    <x v="0"/>
    <x v="0"/>
    <n v="1853.77"/>
    <n v="1761.0815"/>
  </r>
  <r>
    <s v="T02545"/>
    <d v="2024-12-13T00:00:00"/>
    <s v="C078"/>
    <s v="P026"/>
    <s v="S003"/>
    <n v="3"/>
    <n v="0.15"/>
    <x v="1"/>
    <s v="Jeanne Young"/>
    <x v="15"/>
    <x v="2"/>
    <x v="0"/>
    <n v="1015.76"/>
    <n v="2590.1879999999996"/>
  </r>
  <r>
    <s v="T02546"/>
    <d v="2024-07-26T00:00:00"/>
    <s v="C008"/>
    <s v="P040"/>
    <s v="S002"/>
    <n v="5"/>
    <n v="0.05"/>
    <x v="0"/>
    <s v="Isaiah Williams"/>
    <x v="37"/>
    <x v="1"/>
    <x v="2"/>
    <n v="1745.61"/>
    <n v="8291.6474999999991"/>
  </r>
  <r>
    <s v="T02547"/>
    <d v="2024-11-13T00:00:00"/>
    <s v="C145"/>
    <s v="P030"/>
    <s v="S004"/>
    <n v="4"/>
    <n v="0"/>
    <x v="0"/>
    <s v="Paige Osborne"/>
    <x v="1"/>
    <x v="0"/>
    <x v="1"/>
    <n v="29.24"/>
    <n v="116.96"/>
  </r>
  <r>
    <s v="T02548"/>
    <d v="2024-10-18T00:00:00"/>
    <s v="C143"/>
    <s v="P039"/>
    <s v="S004"/>
    <n v="2"/>
    <n v="0.15"/>
    <x v="2"/>
    <s v="Cynthia Carlson"/>
    <x v="22"/>
    <x v="0"/>
    <x v="1"/>
    <n v="540.94000000000005"/>
    <n v="919.59800000000007"/>
  </r>
  <r>
    <s v="T02549"/>
    <d v="2025-05-25T00:00:00"/>
    <s v="C097"/>
    <s v="P049"/>
    <s v="S005"/>
    <n v="1"/>
    <n v="0"/>
    <x v="1"/>
    <s v="Evelyn Gray"/>
    <x v="29"/>
    <x v="0"/>
    <x v="4"/>
    <n v="388.26"/>
    <n v="388.26"/>
  </r>
  <r>
    <s v="T02550"/>
    <d v="2023-10-04T00:00:00"/>
    <s v="C056"/>
    <s v="P014"/>
    <s v="S002"/>
    <n v="1"/>
    <n v="0.1"/>
    <x v="2"/>
    <s v="Carl Wyatt"/>
    <x v="0"/>
    <x v="0"/>
    <x v="2"/>
    <n v="1342.75"/>
    <n v="1208.4750000000001"/>
  </r>
  <r>
    <s v="T02551"/>
    <d v="2024-06-09T00:00:00"/>
    <s v="C041"/>
    <s v="P045"/>
    <s v="S004"/>
    <n v="5"/>
    <n v="0.15"/>
    <x v="0"/>
    <s v="Melissa Rodgers"/>
    <x v="8"/>
    <x v="2"/>
    <x v="1"/>
    <n v="1879.08"/>
    <n v="7986.0899999999992"/>
  </r>
  <r>
    <s v="T02552"/>
    <d v="2024-09-11T00:00:00"/>
    <s v="C193"/>
    <s v="P049"/>
    <s v="S002"/>
    <n v="4"/>
    <n v="0.1"/>
    <x v="0"/>
    <s v="Donald Meza"/>
    <x v="29"/>
    <x v="0"/>
    <x v="2"/>
    <n v="388.26"/>
    <n v="1397.7360000000001"/>
  </r>
  <r>
    <s v="T02553"/>
    <d v="2024-07-07T00:00:00"/>
    <s v="C198"/>
    <s v="P034"/>
    <s v="S003"/>
    <n v="1"/>
    <n v="0.1"/>
    <x v="1"/>
    <s v="Jessica Mullins"/>
    <x v="12"/>
    <x v="1"/>
    <x v="0"/>
    <n v="428.05"/>
    <n v="385.245"/>
  </r>
  <r>
    <s v="T02554"/>
    <d v="2024-07-18T00:00:00"/>
    <s v="C058"/>
    <s v="P004"/>
    <s v="S004"/>
    <n v="4"/>
    <n v="0.15"/>
    <x v="0"/>
    <s v="Lawrence Stewart"/>
    <x v="49"/>
    <x v="0"/>
    <x v="1"/>
    <n v="1853.77"/>
    <n v="6302.8180000000002"/>
  </r>
  <r>
    <s v="T02555"/>
    <d v="2023-11-18T00:00:00"/>
    <s v="C116"/>
    <s v="P005"/>
    <s v="S002"/>
    <n v="2"/>
    <n v="0.15"/>
    <x v="0"/>
    <s v="Jamie Webb"/>
    <x v="6"/>
    <x v="0"/>
    <x v="2"/>
    <n v="1396.22"/>
    <n v="2373.5740000000001"/>
  </r>
  <r>
    <s v="T02556"/>
    <d v="2024-07-26T00:00:00"/>
    <s v="C001"/>
    <s v="P031"/>
    <s v="S005"/>
    <n v="3"/>
    <n v="0.15"/>
    <x v="2"/>
    <s v="Michael Davis"/>
    <x v="39"/>
    <x v="2"/>
    <x v="4"/>
    <n v="1095.72"/>
    <n v="2794.0859999999998"/>
  </r>
  <r>
    <s v="T02557"/>
    <d v="2025-04-25T00:00:00"/>
    <s v="C175"/>
    <s v="P002"/>
    <s v="S001"/>
    <n v="4"/>
    <n v="0.15"/>
    <x v="1"/>
    <s v="Stacey Thompson"/>
    <x v="2"/>
    <x v="1"/>
    <x v="3"/>
    <n v="818.76"/>
    <n v="2783.7840000000001"/>
  </r>
  <r>
    <s v="T02558"/>
    <d v="2025-04-11T00:00:00"/>
    <s v="C106"/>
    <s v="P045"/>
    <s v="S002"/>
    <n v="1"/>
    <n v="0.05"/>
    <x v="2"/>
    <s v="Kevin Flores"/>
    <x v="8"/>
    <x v="2"/>
    <x v="2"/>
    <n v="1879.08"/>
    <n v="1785.1259999999997"/>
  </r>
  <r>
    <s v="T02559"/>
    <d v="2024-04-05T00:00:00"/>
    <s v="C157"/>
    <s v="P047"/>
    <s v="S005"/>
    <n v="5"/>
    <n v="0"/>
    <x v="1"/>
    <s v="Connie Terry"/>
    <x v="28"/>
    <x v="1"/>
    <x v="4"/>
    <n v="1197.18"/>
    <n v="5985.9000000000005"/>
  </r>
  <r>
    <s v="T02560"/>
    <d v="2025-08-18T00:00:00"/>
    <s v="C006"/>
    <s v="P045"/>
    <s v="S003"/>
    <n v="5"/>
    <n v="0.05"/>
    <x v="2"/>
    <s v="Danny Moore"/>
    <x v="8"/>
    <x v="2"/>
    <x v="0"/>
    <n v="1879.08"/>
    <n v="8925.6299999999992"/>
  </r>
  <r>
    <s v="T02561"/>
    <d v="2025-02-13T00:00:00"/>
    <s v="C146"/>
    <s v="P032"/>
    <s v="S004"/>
    <n v="1"/>
    <n v="0.1"/>
    <x v="3"/>
    <s v="John Johnson"/>
    <x v="44"/>
    <x v="2"/>
    <x v="1"/>
    <n v="304.70999999999998"/>
    <n v="274.23899999999998"/>
  </r>
  <r>
    <s v="T02562"/>
    <d v="2023-12-11T00:00:00"/>
    <s v="C191"/>
    <s v="P001"/>
    <s v="S005"/>
    <n v="4"/>
    <n v="0.05"/>
    <x v="2"/>
    <s v="Karen Quinn"/>
    <x v="31"/>
    <x v="1"/>
    <x v="4"/>
    <n v="1673.69"/>
    <n v="6360.0219999999999"/>
  </r>
  <r>
    <s v="T02563"/>
    <d v="2025-07-29T00:00:00"/>
    <s v="C118"/>
    <s v="P038"/>
    <s v="S003"/>
    <n v="2"/>
    <n v="0.05"/>
    <x v="1"/>
    <s v="Gina Bradford"/>
    <x v="41"/>
    <x v="0"/>
    <x v="0"/>
    <n v="366.93"/>
    <n v="697.16700000000003"/>
  </r>
  <r>
    <s v="T02564"/>
    <d v="2024-03-31T00:00:00"/>
    <s v="C183"/>
    <s v="P005"/>
    <s v="S002"/>
    <n v="3"/>
    <n v="0.05"/>
    <x v="0"/>
    <s v="Mary Dawson"/>
    <x v="6"/>
    <x v="0"/>
    <x v="2"/>
    <n v="1396.22"/>
    <n v="3979.2269999999999"/>
  </r>
  <r>
    <s v="T02565"/>
    <d v="2025-08-31T00:00:00"/>
    <s v="C017"/>
    <s v="P006"/>
    <s v="S001"/>
    <n v="2"/>
    <n v="0.15"/>
    <x v="1"/>
    <s v="Vanessa Anderson"/>
    <x v="35"/>
    <x v="2"/>
    <x v="3"/>
    <n v="318.05"/>
    <n v="540.68500000000006"/>
  </r>
  <r>
    <s v="T02566"/>
    <d v="2023-09-22T00:00:00"/>
    <s v="C063"/>
    <s v="P021"/>
    <s v="S005"/>
    <n v="4"/>
    <n v="0.05"/>
    <x v="2"/>
    <s v="Michael Johnson"/>
    <x v="23"/>
    <x v="2"/>
    <x v="4"/>
    <n v="1227.24"/>
    <n v="4663.5119999999997"/>
  </r>
  <r>
    <s v="T02567"/>
    <d v="2025-05-31T00:00:00"/>
    <s v="C119"/>
    <s v="P028"/>
    <s v="S005"/>
    <n v="1"/>
    <n v="0.1"/>
    <x v="2"/>
    <s v="Jason Lloyd"/>
    <x v="25"/>
    <x v="1"/>
    <x v="4"/>
    <n v="673.78"/>
    <n v="606.40200000000004"/>
  </r>
  <r>
    <s v="T02568"/>
    <d v="2025-04-15T00:00:00"/>
    <s v="C063"/>
    <s v="P050"/>
    <s v="S004"/>
    <n v="1"/>
    <n v="0"/>
    <x v="3"/>
    <s v="Michael Johnson"/>
    <x v="3"/>
    <x v="0"/>
    <x v="1"/>
    <n v="1044.6400000000001"/>
    <n v="1044.6400000000001"/>
  </r>
  <r>
    <s v="T02569"/>
    <d v="2025-07-22T00:00:00"/>
    <s v="C175"/>
    <s v="P024"/>
    <s v="S004"/>
    <n v="5"/>
    <n v="0.15"/>
    <x v="1"/>
    <s v="Stacey Thompson"/>
    <x v="14"/>
    <x v="1"/>
    <x v="1"/>
    <n v="1487.41"/>
    <n v="6321.4925000000003"/>
  </r>
  <r>
    <s v="T02570"/>
    <d v="2024-06-14T00:00:00"/>
    <s v="C019"/>
    <s v="P014"/>
    <s v="S004"/>
    <n v="3"/>
    <n v="0"/>
    <x v="3"/>
    <s v="John Smith"/>
    <x v="0"/>
    <x v="0"/>
    <x v="1"/>
    <n v="1342.75"/>
    <n v="4028.25"/>
  </r>
  <r>
    <s v="T02571"/>
    <d v="2024-08-04T00:00:00"/>
    <s v="C113"/>
    <s v="P045"/>
    <s v="S004"/>
    <n v="1"/>
    <n v="0.1"/>
    <x v="1"/>
    <s v="Heidi Wilson"/>
    <x v="8"/>
    <x v="2"/>
    <x v="1"/>
    <n v="1879.08"/>
    <n v="1691.172"/>
  </r>
  <r>
    <s v="T02572"/>
    <d v="2024-02-19T00:00:00"/>
    <s v="C186"/>
    <s v="P009"/>
    <s v="S001"/>
    <n v="3"/>
    <n v="0.15"/>
    <x v="1"/>
    <s v="Vicki Guzman"/>
    <x v="5"/>
    <x v="2"/>
    <x v="3"/>
    <n v="123.19"/>
    <n v="314.1345"/>
  </r>
  <r>
    <s v="T02573"/>
    <d v="2025-01-04T00:00:00"/>
    <s v="C110"/>
    <s v="P009"/>
    <s v="S001"/>
    <n v="1"/>
    <n v="0.05"/>
    <x v="0"/>
    <s v="Travis Peters"/>
    <x v="5"/>
    <x v="2"/>
    <x v="3"/>
    <n v="123.19"/>
    <n v="117.03049999999999"/>
  </r>
  <r>
    <s v="T02574"/>
    <d v="2025-03-14T00:00:00"/>
    <s v="C195"/>
    <s v="P004"/>
    <s v="S005"/>
    <n v="1"/>
    <n v="0.05"/>
    <x v="0"/>
    <s v="James Mitchell"/>
    <x v="49"/>
    <x v="0"/>
    <x v="4"/>
    <n v="1853.77"/>
    <n v="1761.0815"/>
  </r>
  <r>
    <s v="T02575"/>
    <d v="2025-06-10T00:00:00"/>
    <s v="C106"/>
    <s v="P013"/>
    <s v="S003"/>
    <n v="2"/>
    <n v="0.05"/>
    <x v="1"/>
    <s v="Kevin Flores"/>
    <x v="21"/>
    <x v="0"/>
    <x v="0"/>
    <n v="1134.8"/>
    <n v="2156.12"/>
  </r>
  <r>
    <s v="T02576"/>
    <d v="2025-08-18T00:00:00"/>
    <s v="C054"/>
    <s v="P036"/>
    <s v="S003"/>
    <n v="1"/>
    <n v="0.1"/>
    <x v="3"/>
    <s v="Crystal Johnson"/>
    <x v="4"/>
    <x v="0"/>
    <x v="0"/>
    <n v="1501.46"/>
    <n v="1351.3140000000001"/>
  </r>
  <r>
    <s v="T02577"/>
    <d v="2024-07-05T00:00:00"/>
    <s v="C118"/>
    <s v="P029"/>
    <s v="S004"/>
    <n v="2"/>
    <n v="0.1"/>
    <x v="0"/>
    <s v="Gina Bradford"/>
    <x v="47"/>
    <x v="0"/>
    <x v="1"/>
    <n v="1485.05"/>
    <n v="2673.09"/>
  </r>
  <r>
    <s v="T02578"/>
    <d v="2024-03-25T00:00:00"/>
    <s v="C076"/>
    <s v="P028"/>
    <s v="S004"/>
    <n v="3"/>
    <n v="0.15"/>
    <x v="0"/>
    <s v="Phyllis Durham"/>
    <x v="25"/>
    <x v="1"/>
    <x v="1"/>
    <n v="673.78"/>
    <n v="1718.1389999999999"/>
  </r>
  <r>
    <s v="T02579"/>
    <d v="2024-10-13T00:00:00"/>
    <s v="C146"/>
    <s v="P002"/>
    <s v="S003"/>
    <n v="5"/>
    <n v="0"/>
    <x v="2"/>
    <s v="John Johnson"/>
    <x v="2"/>
    <x v="1"/>
    <x v="0"/>
    <n v="818.76"/>
    <n v="4093.8"/>
  </r>
  <r>
    <s v="T02580"/>
    <d v="2024-12-04T00:00:00"/>
    <s v="C038"/>
    <s v="P001"/>
    <s v="S005"/>
    <n v="3"/>
    <n v="0"/>
    <x v="2"/>
    <s v="Tracey Davis"/>
    <x v="31"/>
    <x v="1"/>
    <x v="4"/>
    <n v="1673.69"/>
    <n v="5021.07"/>
  </r>
  <r>
    <s v="T02581"/>
    <d v="2025-02-14T00:00:00"/>
    <s v="C095"/>
    <s v="P036"/>
    <s v="S005"/>
    <n v="3"/>
    <n v="0.1"/>
    <x v="0"/>
    <s v="Kevin Snyder"/>
    <x v="4"/>
    <x v="0"/>
    <x v="4"/>
    <n v="1501.46"/>
    <n v="4053.942"/>
  </r>
  <r>
    <s v="T02582"/>
    <d v="2024-07-04T00:00:00"/>
    <s v="C184"/>
    <s v="P030"/>
    <s v="S002"/>
    <n v="5"/>
    <n v="0.1"/>
    <x v="1"/>
    <s v="Daniel Mcintyre"/>
    <x v="1"/>
    <x v="0"/>
    <x v="2"/>
    <n v="29.24"/>
    <n v="131.57999999999998"/>
  </r>
  <r>
    <s v="T02583"/>
    <d v="2025-08-13T00:00:00"/>
    <s v="C183"/>
    <s v="P002"/>
    <s v="S004"/>
    <n v="3"/>
    <n v="0.05"/>
    <x v="2"/>
    <s v="Mary Dawson"/>
    <x v="2"/>
    <x v="1"/>
    <x v="1"/>
    <n v="818.76"/>
    <n v="2333.4659999999994"/>
  </r>
  <r>
    <s v="T02584"/>
    <d v="2024-10-04T00:00:00"/>
    <s v="C038"/>
    <s v="P028"/>
    <s v="S005"/>
    <n v="3"/>
    <n v="0.15"/>
    <x v="0"/>
    <s v="Tracey Davis"/>
    <x v="25"/>
    <x v="1"/>
    <x v="4"/>
    <n v="673.78"/>
    <n v="1718.1389999999999"/>
  </r>
  <r>
    <s v="T02585"/>
    <d v="2024-09-08T00:00:00"/>
    <s v="C164"/>
    <s v="P036"/>
    <s v="S002"/>
    <n v="1"/>
    <n v="0.05"/>
    <x v="0"/>
    <s v="Linda Vasquez"/>
    <x v="4"/>
    <x v="0"/>
    <x v="2"/>
    <n v="1501.46"/>
    <n v="1426.3869999999999"/>
  </r>
  <r>
    <s v="T02586"/>
    <d v="2023-11-14T00:00:00"/>
    <s v="C038"/>
    <s v="P044"/>
    <s v="S005"/>
    <n v="1"/>
    <n v="0.1"/>
    <x v="0"/>
    <s v="Tracey Davis"/>
    <x v="32"/>
    <x v="0"/>
    <x v="4"/>
    <n v="1286.55"/>
    <n v="1157.895"/>
  </r>
  <r>
    <s v="T02587"/>
    <d v="2025-07-28T00:00:00"/>
    <s v="C185"/>
    <s v="P044"/>
    <s v="S005"/>
    <n v="5"/>
    <n v="0.15"/>
    <x v="1"/>
    <s v="Joe Vincent"/>
    <x v="32"/>
    <x v="0"/>
    <x v="4"/>
    <n v="1286.55"/>
    <n v="5467.8374999999996"/>
  </r>
  <r>
    <s v="T02588"/>
    <d v="2023-12-28T00:00:00"/>
    <s v="C159"/>
    <s v="P024"/>
    <s v="S002"/>
    <n v="3"/>
    <n v="0.05"/>
    <x v="0"/>
    <s v="Thomas Chung"/>
    <x v="14"/>
    <x v="1"/>
    <x v="2"/>
    <n v="1487.41"/>
    <n v="4239.1185000000005"/>
  </r>
  <r>
    <s v="T02589"/>
    <d v="2025-06-29T00:00:00"/>
    <s v="C134"/>
    <s v="P017"/>
    <s v="S003"/>
    <n v="4"/>
    <n v="0.15"/>
    <x v="2"/>
    <s v="Emily Hart"/>
    <x v="43"/>
    <x v="1"/>
    <x v="0"/>
    <n v="1246.1099999999999"/>
    <n v="4236.7739999999994"/>
  </r>
  <r>
    <s v="T02590"/>
    <d v="2023-11-13T00:00:00"/>
    <s v="C135"/>
    <s v="P050"/>
    <s v="S004"/>
    <n v="2"/>
    <n v="0.15"/>
    <x v="1"/>
    <s v="Mario Cuevas"/>
    <x v="3"/>
    <x v="0"/>
    <x v="1"/>
    <n v="1044.6400000000001"/>
    <n v="1775.8880000000001"/>
  </r>
  <r>
    <s v="T02591"/>
    <d v="2025-05-09T00:00:00"/>
    <s v="C004"/>
    <s v="P039"/>
    <s v="S001"/>
    <n v="3"/>
    <n v="0.05"/>
    <x v="0"/>
    <s v="Joseph Ward"/>
    <x v="22"/>
    <x v="0"/>
    <x v="3"/>
    <n v="540.94000000000005"/>
    <n v="1541.6790000000001"/>
  </r>
  <r>
    <s v="T02592"/>
    <d v="2024-02-11T00:00:00"/>
    <s v="C053"/>
    <s v="P006"/>
    <s v="S002"/>
    <n v="2"/>
    <n v="0.1"/>
    <x v="3"/>
    <s v="Felicia Morgan"/>
    <x v="35"/>
    <x v="2"/>
    <x v="2"/>
    <n v="318.05"/>
    <n v="572.49"/>
  </r>
  <r>
    <s v="T02593"/>
    <d v="2024-08-20T00:00:00"/>
    <s v="C167"/>
    <s v="P035"/>
    <s v="S002"/>
    <n v="3"/>
    <n v="0.15"/>
    <x v="1"/>
    <s v="Kimberly Lin"/>
    <x v="7"/>
    <x v="1"/>
    <x v="2"/>
    <n v="1562.43"/>
    <n v="3984.1965"/>
  </r>
  <r>
    <s v="T02594"/>
    <d v="2024-05-26T00:00:00"/>
    <s v="C146"/>
    <s v="P012"/>
    <s v="S001"/>
    <n v="5"/>
    <n v="0.05"/>
    <x v="2"/>
    <s v="John Johnson"/>
    <x v="38"/>
    <x v="1"/>
    <x v="3"/>
    <n v="1193.0899999999999"/>
    <n v="5667.1774999999998"/>
  </r>
  <r>
    <s v="T02595"/>
    <d v="2025-03-24T00:00:00"/>
    <s v="C094"/>
    <s v="P030"/>
    <s v="S001"/>
    <n v="4"/>
    <n v="0"/>
    <x v="0"/>
    <s v="Kimberly Stokes"/>
    <x v="1"/>
    <x v="0"/>
    <x v="3"/>
    <n v="29.24"/>
    <n v="116.96"/>
  </r>
  <r>
    <s v="T02596"/>
    <d v="2024-03-11T00:00:00"/>
    <s v="C130"/>
    <s v="P029"/>
    <s v="S001"/>
    <n v="3"/>
    <n v="0"/>
    <x v="3"/>
    <s v="Aaron Bailey"/>
    <x v="47"/>
    <x v="0"/>
    <x v="3"/>
    <n v="1485.05"/>
    <n v="4455.1499999999996"/>
  </r>
  <r>
    <s v="T02597"/>
    <d v="2025-08-13T00:00:00"/>
    <s v="C115"/>
    <s v="P006"/>
    <s v="S005"/>
    <n v="5"/>
    <n v="0.05"/>
    <x v="2"/>
    <s v="Jose Smith"/>
    <x v="35"/>
    <x v="2"/>
    <x v="4"/>
    <n v="318.05"/>
    <n v="1510.7375"/>
  </r>
  <r>
    <s v="T02598"/>
    <d v="2025-08-25T00:00:00"/>
    <s v="C066"/>
    <s v="P030"/>
    <s v="S002"/>
    <n v="2"/>
    <n v="0.05"/>
    <x v="1"/>
    <s v="Jason Jenkins"/>
    <x v="1"/>
    <x v="0"/>
    <x v="2"/>
    <n v="29.24"/>
    <n v="55.555999999999997"/>
  </r>
  <r>
    <s v="T02599"/>
    <d v="2025-05-17T00:00:00"/>
    <s v="C046"/>
    <s v="P034"/>
    <s v="S001"/>
    <n v="5"/>
    <n v="0.1"/>
    <x v="0"/>
    <s v="Dennis Poole"/>
    <x v="12"/>
    <x v="1"/>
    <x v="3"/>
    <n v="428.05"/>
    <n v="1926.2250000000001"/>
  </r>
  <r>
    <s v="T02600"/>
    <d v="2024-02-11T00:00:00"/>
    <s v="C024"/>
    <s v="P035"/>
    <s v="S002"/>
    <n v="1"/>
    <n v="0.05"/>
    <x v="0"/>
    <s v="Molly Murray"/>
    <x v="7"/>
    <x v="1"/>
    <x v="2"/>
    <n v="1562.43"/>
    <n v="1484.3085000000001"/>
  </r>
  <r>
    <s v="T02601"/>
    <d v="2025-07-13T00:00:00"/>
    <s v="C016"/>
    <s v="P028"/>
    <s v="S002"/>
    <n v="2"/>
    <n v="0.05"/>
    <x v="1"/>
    <s v="Miguel Johnson"/>
    <x v="25"/>
    <x v="1"/>
    <x v="2"/>
    <n v="673.78"/>
    <n v="1280.1819999999998"/>
  </r>
  <r>
    <s v="T02602"/>
    <d v="2023-10-02T00:00:00"/>
    <s v="C119"/>
    <s v="P043"/>
    <s v="S001"/>
    <n v="5"/>
    <n v="0"/>
    <x v="0"/>
    <s v="Jason Lloyd"/>
    <x v="45"/>
    <x v="0"/>
    <x v="3"/>
    <n v="564.41999999999996"/>
    <n v="2822.1"/>
  </r>
  <r>
    <s v="T02603"/>
    <d v="2025-03-23T00:00:00"/>
    <s v="C163"/>
    <s v="P032"/>
    <s v="S001"/>
    <n v="2"/>
    <n v="0.15"/>
    <x v="3"/>
    <s v="Erin Rogers"/>
    <x v="44"/>
    <x v="2"/>
    <x v="3"/>
    <n v="304.70999999999998"/>
    <n v="518.00699999999995"/>
  </r>
  <r>
    <s v="T02604"/>
    <d v="2024-01-15T00:00:00"/>
    <s v="C114"/>
    <s v="P005"/>
    <s v="S001"/>
    <n v="4"/>
    <n v="0.05"/>
    <x v="3"/>
    <s v="Miranda Rodriguez"/>
    <x v="6"/>
    <x v="0"/>
    <x v="3"/>
    <n v="1396.22"/>
    <n v="5305.6359999999995"/>
  </r>
  <r>
    <s v="T02605"/>
    <d v="2024-10-12T00:00:00"/>
    <s v="C139"/>
    <s v="P019"/>
    <s v="S005"/>
    <n v="2"/>
    <n v="0.15"/>
    <x v="0"/>
    <s v="Alexander Mcfarland"/>
    <x v="26"/>
    <x v="1"/>
    <x v="4"/>
    <n v="1762.92"/>
    <n v="2996.9639999999999"/>
  </r>
  <r>
    <s v="T02606"/>
    <d v="2024-07-14T00:00:00"/>
    <s v="C146"/>
    <s v="P040"/>
    <s v="S001"/>
    <n v="5"/>
    <n v="0.15"/>
    <x v="3"/>
    <s v="John Johnson"/>
    <x v="37"/>
    <x v="1"/>
    <x v="3"/>
    <n v="1745.61"/>
    <n v="7418.8424999999988"/>
  </r>
  <r>
    <s v="T02607"/>
    <d v="2024-12-01T00:00:00"/>
    <s v="C185"/>
    <s v="P034"/>
    <s v="S004"/>
    <n v="2"/>
    <n v="0.15"/>
    <x v="3"/>
    <s v="Joe Vincent"/>
    <x v="12"/>
    <x v="1"/>
    <x v="1"/>
    <n v="428.05"/>
    <n v="727.68499999999995"/>
  </r>
  <r>
    <s v="T02608"/>
    <d v="2024-11-04T00:00:00"/>
    <s v="C065"/>
    <s v="P037"/>
    <s v="S004"/>
    <n v="5"/>
    <n v="0.1"/>
    <x v="1"/>
    <s v="Scott Duke"/>
    <x v="27"/>
    <x v="1"/>
    <x v="1"/>
    <n v="1952.65"/>
    <n v="8786.9250000000011"/>
  </r>
  <r>
    <s v="T02609"/>
    <d v="2023-12-13T00:00:00"/>
    <s v="C162"/>
    <s v="P049"/>
    <s v="S002"/>
    <n v="3"/>
    <n v="0.15"/>
    <x v="0"/>
    <s v="Jill Roach"/>
    <x v="29"/>
    <x v="0"/>
    <x v="2"/>
    <n v="388.26"/>
    <n v="990.06299999999999"/>
  </r>
  <r>
    <s v="T02610"/>
    <d v="2025-02-08T00:00:00"/>
    <s v="C166"/>
    <s v="P032"/>
    <s v="S003"/>
    <n v="3"/>
    <n v="0.05"/>
    <x v="0"/>
    <s v="Meagan Ali"/>
    <x v="44"/>
    <x v="2"/>
    <x v="0"/>
    <n v="304.70999999999998"/>
    <n v="868.42349999999988"/>
  </r>
  <r>
    <s v="T02611"/>
    <d v="2024-01-06T00:00:00"/>
    <s v="C071"/>
    <s v="P039"/>
    <s v="S005"/>
    <n v="5"/>
    <n v="0.1"/>
    <x v="1"/>
    <s v="Denise Gutierrez"/>
    <x v="22"/>
    <x v="0"/>
    <x v="4"/>
    <n v="540.94000000000005"/>
    <n v="2434.2300000000005"/>
  </r>
  <r>
    <s v="T02612"/>
    <d v="2025-02-26T00:00:00"/>
    <s v="C029"/>
    <s v="P034"/>
    <s v="S002"/>
    <n v="4"/>
    <n v="0"/>
    <x v="0"/>
    <s v="Tyler Levine"/>
    <x v="12"/>
    <x v="1"/>
    <x v="2"/>
    <n v="428.05"/>
    <n v="1712.2"/>
  </r>
  <r>
    <s v="T02613"/>
    <d v="2024-05-05T00:00:00"/>
    <s v="C131"/>
    <s v="P002"/>
    <s v="S004"/>
    <n v="4"/>
    <n v="0.05"/>
    <x v="2"/>
    <s v="Denise Jackson"/>
    <x v="2"/>
    <x v="1"/>
    <x v="1"/>
    <n v="818.76"/>
    <n v="3111.288"/>
  </r>
  <r>
    <s v="T02614"/>
    <d v="2024-05-07T00:00:00"/>
    <s v="C017"/>
    <s v="P043"/>
    <s v="S004"/>
    <n v="3"/>
    <n v="0"/>
    <x v="1"/>
    <s v="Vanessa Anderson"/>
    <x v="45"/>
    <x v="0"/>
    <x v="1"/>
    <n v="564.41999999999996"/>
    <n v="1693.2599999999998"/>
  </r>
  <r>
    <s v="T02615"/>
    <d v="2024-08-15T00:00:00"/>
    <s v="C088"/>
    <s v="P011"/>
    <s v="S005"/>
    <n v="2"/>
    <n v="0.05"/>
    <x v="3"/>
    <s v="Brenda Costa"/>
    <x v="17"/>
    <x v="1"/>
    <x v="4"/>
    <n v="248.57"/>
    <n v="472.28299999999996"/>
  </r>
  <r>
    <s v="T02616"/>
    <d v="2024-12-22T00:00:00"/>
    <s v="C196"/>
    <s v="P050"/>
    <s v="S002"/>
    <n v="2"/>
    <n v="0.1"/>
    <x v="0"/>
    <s v="James Noble"/>
    <x v="3"/>
    <x v="0"/>
    <x v="2"/>
    <n v="1044.6400000000001"/>
    <n v="1880.3520000000003"/>
  </r>
  <r>
    <s v="T02617"/>
    <d v="2025-06-03T00:00:00"/>
    <s v="C082"/>
    <s v="P022"/>
    <s v="S005"/>
    <n v="4"/>
    <n v="0"/>
    <x v="0"/>
    <s v="Amy Haley"/>
    <x v="9"/>
    <x v="2"/>
    <x v="4"/>
    <n v="25.57"/>
    <n v="102.28"/>
  </r>
  <r>
    <s v="T02618"/>
    <d v="2024-12-29T00:00:00"/>
    <s v="C157"/>
    <s v="P004"/>
    <s v="S002"/>
    <n v="5"/>
    <n v="0.05"/>
    <x v="0"/>
    <s v="Connie Terry"/>
    <x v="49"/>
    <x v="0"/>
    <x v="2"/>
    <n v="1853.77"/>
    <n v="8805.4074999999993"/>
  </r>
  <r>
    <s v="T02619"/>
    <d v="2023-09-22T00:00:00"/>
    <s v="C041"/>
    <s v="P014"/>
    <s v="S002"/>
    <n v="4"/>
    <n v="0.05"/>
    <x v="2"/>
    <s v="Melissa Rodgers"/>
    <x v="0"/>
    <x v="0"/>
    <x v="2"/>
    <n v="1342.75"/>
    <n v="5102.45"/>
  </r>
  <r>
    <s v="T02620"/>
    <d v="2024-07-30T00:00:00"/>
    <s v="C157"/>
    <s v="P046"/>
    <s v="S002"/>
    <n v="3"/>
    <n v="0.15"/>
    <x v="1"/>
    <s v="Connie Terry"/>
    <x v="42"/>
    <x v="0"/>
    <x v="2"/>
    <n v="1165.3699999999999"/>
    <n v="2971.6934999999999"/>
  </r>
  <r>
    <s v="T02621"/>
    <d v="2025-09-06T00:00:00"/>
    <s v="C200"/>
    <s v="P045"/>
    <s v="S003"/>
    <n v="2"/>
    <n v="0.1"/>
    <x v="1"/>
    <s v="Ronald Haley"/>
    <x v="8"/>
    <x v="2"/>
    <x v="0"/>
    <n v="1879.08"/>
    <n v="3382.3440000000001"/>
  </r>
  <r>
    <s v="T02622"/>
    <d v="2024-09-24T00:00:00"/>
    <s v="C078"/>
    <s v="P008"/>
    <s v="S003"/>
    <n v="2"/>
    <n v="0.1"/>
    <x v="0"/>
    <s v="Jeanne Young"/>
    <x v="48"/>
    <x v="0"/>
    <x v="0"/>
    <n v="109.78"/>
    <n v="197.60400000000001"/>
  </r>
  <r>
    <s v="T02623"/>
    <d v="2025-07-01T00:00:00"/>
    <s v="C187"/>
    <s v="P013"/>
    <s v="S003"/>
    <n v="3"/>
    <n v="0.15"/>
    <x v="0"/>
    <s v="Cynthia Cherry"/>
    <x v="21"/>
    <x v="0"/>
    <x v="0"/>
    <n v="1134.8"/>
    <n v="2893.74"/>
  </r>
  <r>
    <s v="T02624"/>
    <d v="2025-08-15T00:00:00"/>
    <s v="C109"/>
    <s v="P030"/>
    <s v="S005"/>
    <n v="4"/>
    <n v="0.15"/>
    <x v="3"/>
    <s v="Austin Hogan"/>
    <x v="1"/>
    <x v="0"/>
    <x v="4"/>
    <n v="29.24"/>
    <n v="99.415999999999997"/>
  </r>
  <r>
    <s v="T02625"/>
    <d v="2024-05-28T00:00:00"/>
    <s v="C196"/>
    <s v="P005"/>
    <s v="S004"/>
    <n v="1"/>
    <n v="0.15"/>
    <x v="0"/>
    <s v="James Noble"/>
    <x v="6"/>
    <x v="0"/>
    <x v="1"/>
    <n v="1396.22"/>
    <n v="1186.787"/>
  </r>
  <r>
    <s v="T02626"/>
    <d v="2025-05-04T00:00:00"/>
    <s v="C166"/>
    <s v="P034"/>
    <s v="S002"/>
    <n v="4"/>
    <n v="0.1"/>
    <x v="3"/>
    <s v="Meagan Ali"/>
    <x v="12"/>
    <x v="1"/>
    <x v="2"/>
    <n v="428.05"/>
    <n v="1540.98"/>
  </r>
  <r>
    <s v="T02627"/>
    <d v="2024-08-31T00:00:00"/>
    <s v="C181"/>
    <s v="P046"/>
    <s v="S002"/>
    <n v="2"/>
    <n v="0.1"/>
    <x v="0"/>
    <s v="Brittany Oneal"/>
    <x v="42"/>
    <x v="0"/>
    <x v="2"/>
    <n v="1165.3699999999999"/>
    <n v="2097.6659999999997"/>
  </r>
  <r>
    <s v="T02628"/>
    <d v="2024-06-03T00:00:00"/>
    <s v="C096"/>
    <s v="P030"/>
    <s v="S001"/>
    <n v="3"/>
    <n v="0.15"/>
    <x v="1"/>
    <s v="Eric King"/>
    <x v="1"/>
    <x v="0"/>
    <x v="3"/>
    <n v="29.24"/>
    <n v="74.561999999999998"/>
  </r>
  <r>
    <s v="T02629"/>
    <d v="2024-06-21T00:00:00"/>
    <s v="C084"/>
    <s v="P026"/>
    <s v="S005"/>
    <n v="5"/>
    <n v="0.05"/>
    <x v="2"/>
    <s v="Amanda Lee"/>
    <x v="15"/>
    <x v="2"/>
    <x v="4"/>
    <n v="1015.76"/>
    <n v="4824.8599999999997"/>
  </r>
  <r>
    <s v="T02630"/>
    <d v="2025-02-19T00:00:00"/>
    <s v="C159"/>
    <s v="P037"/>
    <s v="S005"/>
    <n v="4"/>
    <n v="0.1"/>
    <x v="3"/>
    <s v="Thomas Chung"/>
    <x v="27"/>
    <x v="1"/>
    <x v="4"/>
    <n v="1952.65"/>
    <n v="7029.5400000000009"/>
  </r>
  <r>
    <s v="T02631"/>
    <d v="2024-05-18T00:00:00"/>
    <s v="C020"/>
    <s v="P006"/>
    <s v="S002"/>
    <n v="2"/>
    <n v="0.1"/>
    <x v="1"/>
    <s v="Ryan Cole"/>
    <x v="35"/>
    <x v="2"/>
    <x v="2"/>
    <n v="318.05"/>
    <n v="572.49"/>
  </r>
  <r>
    <s v="T02632"/>
    <d v="2024-11-18T00:00:00"/>
    <s v="C185"/>
    <s v="P007"/>
    <s v="S005"/>
    <n v="4"/>
    <n v="0"/>
    <x v="1"/>
    <s v="Joe Vincent"/>
    <x v="18"/>
    <x v="1"/>
    <x v="4"/>
    <n v="1474.12"/>
    <n v="5896.48"/>
  </r>
  <r>
    <s v="T02633"/>
    <d v="2024-10-16T00:00:00"/>
    <s v="C177"/>
    <s v="P009"/>
    <s v="S004"/>
    <n v="2"/>
    <n v="0.1"/>
    <x v="1"/>
    <s v="Anthony Gould"/>
    <x v="5"/>
    <x v="2"/>
    <x v="1"/>
    <n v="123.19"/>
    <n v="221.74199999999999"/>
  </r>
  <r>
    <s v="T02634"/>
    <d v="2023-11-25T00:00:00"/>
    <s v="C016"/>
    <s v="P027"/>
    <s v="S001"/>
    <n v="1"/>
    <n v="0.1"/>
    <x v="0"/>
    <s v="Miguel Johnson"/>
    <x v="34"/>
    <x v="1"/>
    <x v="3"/>
    <n v="1272.23"/>
    <n v="1145.0070000000001"/>
  </r>
  <r>
    <s v="T02635"/>
    <d v="2024-06-12T00:00:00"/>
    <s v="C138"/>
    <s v="P034"/>
    <s v="S003"/>
    <n v="4"/>
    <n v="0.1"/>
    <x v="3"/>
    <s v="Breanna Moore"/>
    <x v="12"/>
    <x v="1"/>
    <x v="0"/>
    <n v="428.05"/>
    <n v="1540.98"/>
  </r>
  <r>
    <s v="T02636"/>
    <d v="2023-10-05T00:00:00"/>
    <s v="C121"/>
    <s v="P034"/>
    <s v="S002"/>
    <n v="1"/>
    <n v="0.1"/>
    <x v="1"/>
    <s v="John Bell"/>
    <x v="12"/>
    <x v="1"/>
    <x v="2"/>
    <n v="428.05"/>
    <n v="385.245"/>
  </r>
  <r>
    <s v="T02637"/>
    <d v="2024-04-08T00:00:00"/>
    <s v="C039"/>
    <s v="P027"/>
    <s v="S002"/>
    <n v="5"/>
    <n v="0.1"/>
    <x v="2"/>
    <s v="Nancy Savage"/>
    <x v="34"/>
    <x v="1"/>
    <x v="2"/>
    <n v="1272.23"/>
    <n v="5725.0349999999999"/>
  </r>
  <r>
    <s v="T02638"/>
    <d v="2025-08-24T00:00:00"/>
    <s v="C144"/>
    <s v="P050"/>
    <s v="S001"/>
    <n v="4"/>
    <n v="0.05"/>
    <x v="0"/>
    <s v="Betty Johnson"/>
    <x v="3"/>
    <x v="0"/>
    <x v="3"/>
    <n v="1044.6400000000001"/>
    <n v="3969.6320000000001"/>
  </r>
  <r>
    <s v="T02639"/>
    <d v="2024-10-09T00:00:00"/>
    <s v="C147"/>
    <s v="P014"/>
    <s v="S005"/>
    <n v="3"/>
    <n v="0.1"/>
    <x v="3"/>
    <s v="Crystal Garrison"/>
    <x v="0"/>
    <x v="0"/>
    <x v="4"/>
    <n v="1342.75"/>
    <n v="3625.4250000000002"/>
  </r>
  <r>
    <s v="T02640"/>
    <d v="2023-09-16T00:00:00"/>
    <s v="C036"/>
    <s v="P024"/>
    <s v="S001"/>
    <n v="3"/>
    <n v="0.1"/>
    <x v="1"/>
    <s v="Michael Cervantes"/>
    <x v="14"/>
    <x v="1"/>
    <x v="3"/>
    <n v="1487.41"/>
    <n v="4016.0070000000005"/>
  </r>
  <r>
    <s v="T02641"/>
    <d v="2025-03-15T00:00:00"/>
    <s v="C192"/>
    <s v="P008"/>
    <s v="S002"/>
    <n v="2"/>
    <n v="0.1"/>
    <x v="1"/>
    <s v="James Wilson"/>
    <x v="48"/>
    <x v="0"/>
    <x v="2"/>
    <n v="109.78"/>
    <n v="197.60400000000001"/>
  </r>
  <r>
    <s v="T02642"/>
    <d v="2024-11-26T00:00:00"/>
    <s v="C059"/>
    <s v="P018"/>
    <s v="S004"/>
    <n v="3"/>
    <n v="0.1"/>
    <x v="2"/>
    <s v="Scott Wyatt"/>
    <x v="19"/>
    <x v="1"/>
    <x v="1"/>
    <n v="1079.8900000000001"/>
    <n v="2915.703"/>
  </r>
  <r>
    <s v="T02643"/>
    <d v="2024-11-26T00:00:00"/>
    <s v="C174"/>
    <s v="P031"/>
    <s v="S003"/>
    <n v="3"/>
    <n v="0"/>
    <x v="2"/>
    <s v="Scott Howell"/>
    <x v="39"/>
    <x v="2"/>
    <x v="0"/>
    <n v="1095.72"/>
    <n v="3287.16"/>
  </r>
  <r>
    <s v="T02644"/>
    <d v="2024-04-26T00:00:00"/>
    <s v="C031"/>
    <s v="P047"/>
    <s v="S004"/>
    <n v="4"/>
    <n v="0.15"/>
    <x v="1"/>
    <s v="Ashley Gibson"/>
    <x v="28"/>
    <x v="1"/>
    <x v="1"/>
    <n v="1197.18"/>
    <n v="4070.4120000000003"/>
  </r>
  <r>
    <s v="T02645"/>
    <d v="2024-03-08T00:00:00"/>
    <s v="C013"/>
    <s v="P044"/>
    <s v="S005"/>
    <n v="1"/>
    <n v="0.1"/>
    <x v="3"/>
    <s v="Robert Anderson"/>
    <x v="32"/>
    <x v="0"/>
    <x v="4"/>
    <n v="1286.55"/>
    <n v="1157.895"/>
  </r>
  <r>
    <s v="T02646"/>
    <d v="2024-01-10T00:00:00"/>
    <s v="C145"/>
    <s v="P042"/>
    <s v="S004"/>
    <n v="1"/>
    <n v="0.1"/>
    <x v="1"/>
    <s v="Paige Osborne"/>
    <x v="10"/>
    <x v="0"/>
    <x v="1"/>
    <n v="453.62"/>
    <n v="408.25800000000004"/>
  </r>
  <r>
    <s v="T02647"/>
    <d v="2025-07-03T00:00:00"/>
    <s v="C073"/>
    <s v="P029"/>
    <s v="S005"/>
    <n v="3"/>
    <n v="0"/>
    <x v="3"/>
    <s v="Carl Armstrong"/>
    <x v="47"/>
    <x v="0"/>
    <x v="4"/>
    <n v="1485.05"/>
    <n v="4455.1499999999996"/>
  </r>
  <r>
    <s v="T02648"/>
    <d v="2025-07-29T00:00:00"/>
    <s v="C145"/>
    <s v="P023"/>
    <s v="S001"/>
    <n v="5"/>
    <n v="0"/>
    <x v="2"/>
    <s v="Paige Osborne"/>
    <x v="20"/>
    <x v="0"/>
    <x v="3"/>
    <n v="1878.47"/>
    <n v="9392.35"/>
  </r>
  <r>
    <s v="T02649"/>
    <d v="2025-03-19T00:00:00"/>
    <s v="C132"/>
    <s v="P012"/>
    <s v="S001"/>
    <n v="5"/>
    <n v="0.15"/>
    <x v="2"/>
    <s v="Jared Ochoa"/>
    <x v="38"/>
    <x v="1"/>
    <x v="3"/>
    <n v="1193.0899999999999"/>
    <n v="5070.6324999999997"/>
  </r>
  <r>
    <s v="T02650"/>
    <d v="2023-10-10T00:00:00"/>
    <s v="C193"/>
    <s v="P035"/>
    <s v="S001"/>
    <n v="4"/>
    <n v="0.1"/>
    <x v="1"/>
    <s v="Donald Meza"/>
    <x v="7"/>
    <x v="1"/>
    <x v="3"/>
    <n v="1562.43"/>
    <n v="5624.7480000000005"/>
  </r>
  <r>
    <s v="T02651"/>
    <d v="2025-06-18T00:00:00"/>
    <s v="C116"/>
    <s v="P037"/>
    <s v="S002"/>
    <n v="3"/>
    <n v="0"/>
    <x v="2"/>
    <s v="Jamie Webb"/>
    <x v="27"/>
    <x v="1"/>
    <x v="2"/>
    <n v="1952.65"/>
    <n v="5857.9500000000007"/>
  </r>
  <r>
    <s v="T02652"/>
    <d v="2024-05-15T00:00:00"/>
    <s v="C166"/>
    <s v="P045"/>
    <s v="S005"/>
    <n v="3"/>
    <n v="0.15"/>
    <x v="1"/>
    <s v="Meagan Ali"/>
    <x v="8"/>
    <x v="2"/>
    <x v="4"/>
    <n v="1879.08"/>
    <n v="4791.6539999999995"/>
  </r>
  <r>
    <s v="T02653"/>
    <d v="2023-12-25T00:00:00"/>
    <s v="C006"/>
    <s v="P021"/>
    <s v="S004"/>
    <n v="5"/>
    <n v="0.1"/>
    <x v="3"/>
    <s v="Danny Moore"/>
    <x v="23"/>
    <x v="2"/>
    <x v="1"/>
    <n v="1227.24"/>
    <n v="5522.58"/>
  </r>
  <r>
    <s v="T02654"/>
    <d v="2024-05-22T00:00:00"/>
    <s v="C160"/>
    <s v="P041"/>
    <s v="S004"/>
    <n v="1"/>
    <n v="0"/>
    <x v="2"/>
    <s v="Meagan Macdonald"/>
    <x v="30"/>
    <x v="1"/>
    <x v="1"/>
    <n v="1635.01"/>
    <n v="1635.01"/>
  </r>
  <r>
    <s v="T02655"/>
    <d v="2024-12-30T00:00:00"/>
    <s v="C083"/>
    <s v="P006"/>
    <s v="S004"/>
    <n v="2"/>
    <n v="0.1"/>
    <x v="2"/>
    <s v="Jeremy Robles"/>
    <x v="35"/>
    <x v="2"/>
    <x v="1"/>
    <n v="318.05"/>
    <n v="572.49"/>
  </r>
  <r>
    <s v="T02656"/>
    <d v="2025-08-03T00:00:00"/>
    <s v="C150"/>
    <s v="P032"/>
    <s v="S003"/>
    <n v="5"/>
    <n v="0.15"/>
    <x v="2"/>
    <s v="Francis Hernandez"/>
    <x v="44"/>
    <x v="2"/>
    <x v="0"/>
    <n v="304.70999999999998"/>
    <n v="1295.0174999999999"/>
  </r>
  <r>
    <s v="T02657"/>
    <d v="2025-03-14T00:00:00"/>
    <s v="C198"/>
    <s v="P013"/>
    <s v="S005"/>
    <n v="3"/>
    <n v="0.05"/>
    <x v="2"/>
    <s v="Jessica Mullins"/>
    <x v="21"/>
    <x v="0"/>
    <x v="4"/>
    <n v="1134.8"/>
    <n v="3234.1799999999994"/>
  </r>
  <r>
    <s v="T02658"/>
    <d v="2025-06-18T00:00:00"/>
    <s v="C198"/>
    <s v="P048"/>
    <s v="S002"/>
    <n v="2"/>
    <n v="0.1"/>
    <x v="2"/>
    <s v="Jessica Mullins"/>
    <x v="11"/>
    <x v="0"/>
    <x v="2"/>
    <n v="1216.3599999999999"/>
    <n v="2189.4479999999999"/>
  </r>
  <r>
    <s v="T02659"/>
    <d v="2024-04-19T00:00:00"/>
    <s v="C026"/>
    <s v="P037"/>
    <s v="S001"/>
    <n v="5"/>
    <n v="0"/>
    <x v="2"/>
    <s v="Justin Macdonald"/>
    <x v="27"/>
    <x v="1"/>
    <x v="3"/>
    <n v="1952.65"/>
    <n v="9763.25"/>
  </r>
  <r>
    <s v="T02660"/>
    <d v="2025-04-23T00:00:00"/>
    <s v="C139"/>
    <s v="P019"/>
    <s v="S003"/>
    <n v="1"/>
    <n v="0.1"/>
    <x v="0"/>
    <s v="Alexander Mcfarland"/>
    <x v="26"/>
    <x v="1"/>
    <x v="0"/>
    <n v="1762.92"/>
    <n v="1586.6280000000002"/>
  </r>
  <r>
    <s v="T02661"/>
    <d v="2024-04-28T00:00:00"/>
    <s v="C059"/>
    <s v="P011"/>
    <s v="S002"/>
    <n v="2"/>
    <n v="0.1"/>
    <x v="2"/>
    <s v="Scott Wyatt"/>
    <x v="17"/>
    <x v="1"/>
    <x v="2"/>
    <n v="248.57"/>
    <n v="447.42599999999999"/>
  </r>
  <r>
    <s v="T02662"/>
    <d v="2024-01-03T00:00:00"/>
    <s v="C109"/>
    <s v="P037"/>
    <s v="S003"/>
    <n v="2"/>
    <n v="0.05"/>
    <x v="0"/>
    <s v="Austin Hogan"/>
    <x v="27"/>
    <x v="1"/>
    <x v="0"/>
    <n v="1952.65"/>
    <n v="3710.0349999999999"/>
  </r>
  <r>
    <s v="T02663"/>
    <d v="2025-06-17T00:00:00"/>
    <s v="C007"/>
    <s v="P046"/>
    <s v="S002"/>
    <n v="4"/>
    <n v="0"/>
    <x v="1"/>
    <s v="Erin Walker"/>
    <x v="42"/>
    <x v="0"/>
    <x v="2"/>
    <n v="1165.3699999999999"/>
    <n v="4661.4799999999996"/>
  </r>
  <r>
    <s v="T02664"/>
    <d v="2024-11-15T00:00:00"/>
    <s v="C007"/>
    <s v="P046"/>
    <s v="S004"/>
    <n v="2"/>
    <n v="0.15"/>
    <x v="3"/>
    <s v="Erin Walker"/>
    <x v="42"/>
    <x v="0"/>
    <x v="1"/>
    <n v="1165.3699999999999"/>
    <n v="1981.1289999999997"/>
  </r>
  <r>
    <s v="T02665"/>
    <d v="2025-05-15T00:00:00"/>
    <s v="C115"/>
    <s v="P008"/>
    <s v="S004"/>
    <n v="4"/>
    <n v="0.05"/>
    <x v="2"/>
    <s v="Jose Smith"/>
    <x v="48"/>
    <x v="0"/>
    <x v="1"/>
    <n v="109.78"/>
    <n v="417.16399999999999"/>
  </r>
  <r>
    <s v="T02666"/>
    <d v="2024-01-29T00:00:00"/>
    <s v="C198"/>
    <s v="P049"/>
    <s v="S004"/>
    <n v="5"/>
    <n v="0"/>
    <x v="3"/>
    <s v="Jessica Mullins"/>
    <x v="29"/>
    <x v="0"/>
    <x v="1"/>
    <n v="388.26"/>
    <n v="1941.3"/>
  </r>
  <r>
    <s v="T02667"/>
    <d v="2023-12-28T00:00:00"/>
    <s v="C045"/>
    <s v="P037"/>
    <s v="S005"/>
    <n v="5"/>
    <n v="0"/>
    <x v="2"/>
    <s v="Kelly Shaw"/>
    <x v="27"/>
    <x v="1"/>
    <x v="4"/>
    <n v="1952.65"/>
    <n v="9763.25"/>
  </r>
  <r>
    <s v="T02668"/>
    <d v="2024-05-20T00:00:00"/>
    <s v="C194"/>
    <s v="P015"/>
    <s v="S002"/>
    <n v="1"/>
    <n v="0.15"/>
    <x v="0"/>
    <s v="Ann West"/>
    <x v="40"/>
    <x v="0"/>
    <x v="2"/>
    <n v="270.45"/>
    <n v="229.88249999999999"/>
  </r>
  <r>
    <s v="T02669"/>
    <d v="2024-06-08T00:00:00"/>
    <s v="C192"/>
    <s v="P047"/>
    <s v="S003"/>
    <n v="4"/>
    <n v="0.05"/>
    <x v="2"/>
    <s v="James Wilson"/>
    <x v="28"/>
    <x v="1"/>
    <x v="0"/>
    <n v="1197.18"/>
    <n v="4549.2839999999997"/>
  </r>
  <r>
    <s v="T02670"/>
    <d v="2023-12-17T00:00:00"/>
    <s v="C024"/>
    <s v="P001"/>
    <s v="S005"/>
    <n v="3"/>
    <n v="0.15"/>
    <x v="0"/>
    <s v="Molly Murray"/>
    <x v="31"/>
    <x v="1"/>
    <x v="4"/>
    <n v="1673.69"/>
    <n v="4267.9094999999998"/>
  </r>
  <r>
    <s v="T02671"/>
    <d v="2023-10-29T00:00:00"/>
    <s v="C131"/>
    <s v="P007"/>
    <s v="S001"/>
    <n v="4"/>
    <n v="0"/>
    <x v="3"/>
    <s v="Denise Jackson"/>
    <x v="18"/>
    <x v="1"/>
    <x v="3"/>
    <n v="1474.12"/>
    <n v="5896.48"/>
  </r>
  <r>
    <s v="T02672"/>
    <d v="2025-02-06T00:00:00"/>
    <s v="C098"/>
    <s v="P014"/>
    <s v="S004"/>
    <n v="4"/>
    <n v="0"/>
    <x v="0"/>
    <s v="Lisa Vega"/>
    <x v="0"/>
    <x v="0"/>
    <x v="1"/>
    <n v="1342.75"/>
    <n v="5371"/>
  </r>
  <r>
    <s v="T02673"/>
    <d v="2025-07-18T00:00:00"/>
    <s v="C093"/>
    <s v="P036"/>
    <s v="S003"/>
    <n v="1"/>
    <n v="0.15"/>
    <x v="0"/>
    <s v="Stanley Brown"/>
    <x v="4"/>
    <x v="0"/>
    <x v="0"/>
    <n v="1501.46"/>
    <n v="1276.241"/>
  </r>
  <r>
    <s v="T02674"/>
    <d v="2025-06-12T00:00:00"/>
    <s v="C059"/>
    <s v="P009"/>
    <s v="S001"/>
    <n v="4"/>
    <n v="0.15"/>
    <x v="3"/>
    <s v="Scott Wyatt"/>
    <x v="5"/>
    <x v="2"/>
    <x v="3"/>
    <n v="123.19"/>
    <n v="418.846"/>
  </r>
  <r>
    <s v="T02675"/>
    <d v="2024-11-13T00:00:00"/>
    <s v="C071"/>
    <s v="P003"/>
    <s v="S003"/>
    <n v="1"/>
    <n v="0.05"/>
    <x v="2"/>
    <s v="Denise Gutierrez"/>
    <x v="46"/>
    <x v="0"/>
    <x v="0"/>
    <n v="337.63"/>
    <n v="320.74849999999998"/>
  </r>
  <r>
    <s v="T02676"/>
    <d v="2024-02-01T00:00:00"/>
    <s v="C046"/>
    <s v="P005"/>
    <s v="S005"/>
    <n v="1"/>
    <n v="0.05"/>
    <x v="2"/>
    <s v="Dennis Poole"/>
    <x v="6"/>
    <x v="0"/>
    <x v="4"/>
    <n v="1396.22"/>
    <n v="1326.4089999999999"/>
  </r>
  <r>
    <s v="T02677"/>
    <d v="2025-07-02T00:00:00"/>
    <s v="C036"/>
    <s v="P018"/>
    <s v="S004"/>
    <n v="1"/>
    <n v="0"/>
    <x v="2"/>
    <s v="Michael Cervantes"/>
    <x v="19"/>
    <x v="1"/>
    <x v="1"/>
    <n v="1079.8900000000001"/>
    <n v="1079.8900000000001"/>
  </r>
  <r>
    <s v="T02678"/>
    <d v="2023-09-14T00:00:00"/>
    <s v="C190"/>
    <s v="P003"/>
    <s v="S003"/>
    <n v="3"/>
    <n v="0.15"/>
    <x v="2"/>
    <s v="Daniel Lawson"/>
    <x v="46"/>
    <x v="0"/>
    <x v="0"/>
    <n v="337.63"/>
    <n v="860.95650000000001"/>
  </r>
  <r>
    <s v="T02679"/>
    <d v="2024-05-16T00:00:00"/>
    <s v="C108"/>
    <s v="P037"/>
    <s v="S002"/>
    <n v="2"/>
    <n v="0.05"/>
    <x v="2"/>
    <s v="Samantha Hill"/>
    <x v="27"/>
    <x v="1"/>
    <x v="2"/>
    <n v="1952.65"/>
    <n v="3710.0349999999999"/>
  </r>
  <r>
    <s v="T02680"/>
    <d v="2024-07-03T00:00:00"/>
    <s v="C094"/>
    <s v="P042"/>
    <s v="S001"/>
    <n v="2"/>
    <n v="0"/>
    <x v="1"/>
    <s v="Kimberly Stokes"/>
    <x v="10"/>
    <x v="0"/>
    <x v="3"/>
    <n v="453.62"/>
    <n v="907.24"/>
  </r>
  <r>
    <s v="T02681"/>
    <d v="2024-11-22T00:00:00"/>
    <s v="C053"/>
    <s v="P006"/>
    <s v="S003"/>
    <n v="4"/>
    <n v="0.1"/>
    <x v="0"/>
    <s v="Felicia Morgan"/>
    <x v="35"/>
    <x v="2"/>
    <x v="0"/>
    <n v="318.05"/>
    <n v="1144.98"/>
  </r>
  <r>
    <s v="T02682"/>
    <d v="2024-06-28T00:00:00"/>
    <s v="C160"/>
    <s v="P001"/>
    <s v="S003"/>
    <n v="1"/>
    <n v="0"/>
    <x v="0"/>
    <s v="Meagan Macdonald"/>
    <x v="31"/>
    <x v="1"/>
    <x v="0"/>
    <n v="1673.69"/>
    <n v="1673.69"/>
  </r>
  <r>
    <s v="T02683"/>
    <d v="2024-11-26T00:00:00"/>
    <s v="C008"/>
    <s v="P003"/>
    <s v="S004"/>
    <n v="1"/>
    <n v="0.05"/>
    <x v="1"/>
    <s v="Isaiah Williams"/>
    <x v="46"/>
    <x v="0"/>
    <x v="1"/>
    <n v="337.63"/>
    <n v="320.74849999999998"/>
  </r>
  <r>
    <s v="T02684"/>
    <d v="2024-01-03T00:00:00"/>
    <s v="C012"/>
    <s v="P013"/>
    <s v="S005"/>
    <n v="4"/>
    <n v="0.05"/>
    <x v="2"/>
    <s v="Dale Perry"/>
    <x v="21"/>
    <x v="0"/>
    <x v="4"/>
    <n v="1134.8"/>
    <n v="4312.24"/>
  </r>
  <r>
    <s v="T02685"/>
    <d v="2024-08-22T00:00:00"/>
    <s v="C026"/>
    <s v="P044"/>
    <s v="S001"/>
    <n v="3"/>
    <n v="0.05"/>
    <x v="3"/>
    <s v="Justin Macdonald"/>
    <x v="32"/>
    <x v="0"/>
    <x v="3"/>
    <n v="1286.55"/>
    <n v="3666.6674999999996"/>
  </r>
  <r>
    <s v="T02686"/>
    <d v="2025-05-01T00:00:00"/>
    <s v="C108"/>
    <s v="P038"/>
    <s v="S001"/>
    <n v="1"/>
    <n v="0.15"/>
    <x v="1"/>
    <s v="Samantha Hill"/>
    <x v="41"/>
    <x v="0"/>
    <x v="3"/>
    <n v="366.93"/>
    <n v="311.89049999999997"/>
  </r>
  <r>
    <s v="T02687"/>
    <d v="2024-02-10T00:00:00"/>
    <s v="C107"/>
    <s v="P030"/>
    <s v="S005"/>
    <n v="4"/>
    <n v="0.05"/>
    <x v="3"/>
    <s v="Victoria Hansen"/>
    <x v="1"/>
    <x v="0"/>
    <x v="4"/>
    <n v="29.24"/>
    <n v="111.11199999999999"/>
  </r>
  <r>
    <s v="T02688"/>
    <d v="2024-06-12T00:00:00"/>
    <s v="C080"/>
    <s v="P009"/>
    <s v="S004"/>
    <n v="4"/>
    <n v="0.1"/>
    <x v="2"/>
    <s v="Grace Garcia"/>
    <x v="5"/>
    <x v="2"/>
    <x v="1"/>
    <n v="123.19"/>
    <n v="443.48399999999998"/>
  </r>
  <r>
    <s v="T02689"/>
    <d v="2025-07-27T00:00:00"/>
    <s v="C083"/>
    <s v="P004"/>
    <s v="S005"/>
    <n v="3"/>
    <n v="0"/>
    <x v="1"/>
    <s v="Jeremy Robles"/>
    <x v="49"/>
    <x v="0"/>
    <x v="4"/>
    <n v="1853.77"/>
    <n v="5561.3099999999995"/>
  </r>
  <r>
    <s v="T02690"/>
    <d v="2025-05-17T00:00:00"/>
    <s v="C127"/>
    <s v="P010"/>
    <s v="S005"/>
    <n v="2"/>
    <n v="0.05"/>
    <x v="2"/>
    <s v="John Allen"/>
    <x v="36"/>
    <x v="1"/>
    <x v="4"/>
    <n v="1194.1199999999999"/>
    <n v="2268.8279999999995"/>
  </r>
  <r>
    <s v="T02691"/>
    <d v="2025-07-08T00:00:00"/>
    <s v="C132"/>
    <s v="P023"/>
    <s v="S002"/>
    <n v="2"/>
    <n v="0.05"/>
    <x v="3"/>
    <s v="Jared Ochoa"/>
    <x v="20"/>
    <x v="0"/>
    <x v="2"/>
    <n v="1878.47"/>
    <n v="3569.0929999999998"/>
  </r>
  <r>
    <s v="T02692"/>
    <d v="2025-01-01T00:00:00"/>
    <s v="C191"/>
    <s v="P044"/>
    <s v="S001"/>
    <n v="4"/>
    <n v="0.1"/>
    <x v="3"/>
    <s v="Karen Quinn"/>
    <x v="32"/>
    <x v="0"/>
    <x v="3"/>
    <n v="1286.55"/>
    <n v="4631.58"/>
  </r>
  <r>
    <s v="T02693"/>
    <d v="2024-01-06T00:00:00"/>
    <s v="C064"/>
    <s v="P050"/>
    <s v="S002"/>
    <n v="3"/>
    <n v="0.05"/>
    <x v="0"/>
    <s v="Amanda Hoover"/>
    <x v="3"/>
    <x v="0"/>
    <x v="2"/>
    <n v="1044.6400000000001"/>
    <n v="2977.2239999999997"/>
  </r>
  <r>
    <s v="T02694"/>
    <d v="2023-09-23T00:00:00"/>
    <s v="C085"/>
    <s v="P044"/>
    <s v="S004"/>
    <n v="5"/>
    <n v="0.1"/>
    <x v="2"/>
    <s v="Juan Ramirez"/>
    <x v="32"/>
    <x v="0"/>
    <x v="1"/>
    <n v="1286.55"/>
    <n v="5789.4750000000004"/>
  </r>
  <r>
    <s v="T02695"/>
    <d v="2025-05-13T00:00:00"/>
    <s v="C084"/>
    <s v="P028"/>
    <s v="S004"/>
    <n v="3"/>
    <n v="0.05"/>
    <x v="3"/>
    <s v="Amanda Lee"/>
    <x v="25"/>
    <x v="1"/>
    <x v="1"/>
    <n v="673.78"/>
    <n v="1920.2729999999999"/>
  </r>
  <r>
    <s v="T02696"/>
    <d v="2024-06-21T00:00:00"/>
    <s v="C192"/>
    <s v="P042"/>
    <s v="S004"/>
    <n v="1"/>
    <n v="0.05"/>
    <x v="2"/>
    <s v="James Wilson"/>
    <x v="10"/>
    <x v="0"/>
    <x v="1"/>
    <n v="453.62"/>
    <n v="430.93899999999996"/>
  </r>
  <r>
    <s v="T02697"/>
    <d v="2024-03-04T00:00:00"/>
    <s v="C004"/>
    <s v="P013"/>
    <s v="S002"/>
    <n v="1"/>
    <n v="0.05"/>
    <x v="2"/>
    <s v="Joseph Ward"/>
    <x v="21"/>
    <x v="0"/>
    <x v="2"/>
    <n v="1134.8"/>
    <n v="1078.06"/>
  </r>
  <r>
    <s v="T02698"/>
    <d v="2025-03-22T00:00:00"/>
    <s v="C102"/>
    <s v="P042"/>
    <s v="S003"/>
    <n v="1"/>
    <n v="0.15"/>
    <x v="1"/>
    <s v="Carolyn Perez"/>
    <x v="10"/>
    <x v="0"/>
    <x v="0"/>
    <n v="453.62"/>
    <n v="385.577"/>
  </r>
  <r>
    <s v="T02699"/>
    <d v="2025-02-16T00:00:00"/>
    <s v="C089"/>
    <s v="P008"/>
    <s v="S002"/>
    <n v="5"/>
    <n v="0.15"/>
    <x v="1"/>
    <s v="William Warner"/>
    <x v="48"/>
    <x v="0"/>
    <x v="2"/>
    <n v="109.78"/>
    <n v="466.56499999999994"/>
  </r>
  <r>
    <s v="T02700"/>
    <d v="2023-10-23T00:00:00"/>
    <s v="C055"/>
    <s v="P032"/>
    <s v="S004"/>
    <n v="5"/>
    <n v="0.1"/>
    <x v="1"/>
    <s v="Deborah Moody"/>
    <x v="44"/>
    <x v="2"/>
    <x v="1"/>
    <n v="304.70999999999998"/>
    <n v="1371.1949999999999"/>
  </r>
  <r>
    <s v="T02701"/>
    <d v="2024-01-07T00:00:00"/>
    <s v="C031"/>
    <s v="P016"/>
    <s v="S003"/>
    <n v="5"/>
    <n v="0.1"/>
    <x v="0"/>
    <s v="Ashley Gibson"/>
    <x v="13"/>
    <x v="0"/>
    <x v="0"/>
    <n v="1858.75"/>
    <n v="8364.375"/>
  </r>
  <r>
    <s v="T02702"/>
    <d v="2024-10-04T00:00:00"/>
    <s v="C048"/>
    <s v="P050"/>
    <s v="S003"/>
    <n v="3"/>
    <n v="0.15"/>
    <x v="1"/>
    <s v="Alexis Crane"/>
    <x v="3"/>
    <x v="0"/>
    <x v="0"/>
    <n v="1044.6400000000001"/>
    <n v="2663.8319999999999"/>
  </r>
  <r>
    <s v="T02703"/>
    <d v="2025-04-16T00:00:00"/>
    <s v="C170"/>
    <s v="P021"/>
    <s v="S001"/>
    <n v="3"/>
    <n v="0.1"/>
    <x v="3"/>
    <s v="Amber Graham"/>
    <x v="23"/>
    <x v="2"/>
    <x v="3"/>
    <n v="1227.24"/>
    <n v="3313.5480000000002"/>
  </r>
  <r>
    <s v="T02704"/>
    <d v="2024-04-03T00:00:00"/>
    <s v="C094"/>
    <s v="P039"/>
    <s v="S004"/>
    <n v="1"/>
    <n v="0.05"/>
    <x v="3"/>
    <s v="Kimberly Stokes"/>
    <x v="22"/>
    <x v="0"/>
    <x v="1"/>
    <n v="540.94000000000005"/>
    <n v="513.89300000000003"/>
  </r>
  <r>
    <s v="T02705"/>
    <d v="2023-09-13T00:00:00"/>
    <s v="C059"/>
    <s v="P010"/>
    <s v="S004"/>
    <n v="1"/>
    <n v="0"/>
    <x v="0"/>
    <s v="Scott Wyatt"/>
    <x v="36"/>
    <x v="1"/>
    <x v="1"/>
    <n v="1194.1199999999999"/>
    <n v="1194.1199999999999"/>
  </r>
  <r>
    <s v="T02706"/>
    <d v="2025-04-27T00:00:00"/>
    <s v="C033"/>
    <s v="P030"/>
    <s v="S003"/>
    <n v="3"/>
    <n v="0.15"/>
    <x v="1"/>
    <s v="Jenny Beck"/>
    <x v="1"/>
    <x v="0"/>
    <x v="0"/>
    <n v="29.24"/>
    <n v="74.561999999999998"/>
  </r>
  <r>
    <s v="T02707"/>
    <d v="2024-08-16T00:00:00"/>
    <s v="C142"/>
    <s v="P005"/>
    <s v="S001"/>
    <n v="5"/>
    <n v="0.05"/>
    <x v="1"/>
    <s v="Suzanne Fox"/>
    <x v="6"/>
    <x v="0"/>
    <x v="3"/>
    <n v="1396.22"/>
    <n v="6632.0450000000001"/>
  </r>
  <r>
    <s v="T02708"/>
    <d v="2025-05-24T00:00:00"/>
    <s v="C131"/>
    <s v="P040"/>
    <s v="S002"/>
    <n v="2"/>
    <n v="0.05"/>
    <x v="3"/>
    <s v="Denise Jackson"/>
    <x v="37"/>
    <x v="1"/>
    <x v="2"/>
    <n v="1745.61"/>
    <n v="3316.6589999999997"/>
  </r>
  <r>
    <s v="T02709"/>
    <d v="2023-12-11T00:00:00"/>
    <s v="C051"/>
    <s v="P011"/>
    <s v="S003"/>
    <n v="5"/>
    <n v="0.05"/>
    <x v="3"/>
    <s v="Madison Sellers"/>
    <x v="17"/>
    <x v="1"/>
    <x v="0"/>
    <n v="248.57"/>
    <n v="1180.7074999999998"/>
  </r>
  <r>
    <s v="T02710"/>
    <d v="2025-03-18T00:00:00"/>
    <s v="C137"/>
    <s v="P031"/>
    <s v="S003"/>
    <n v="5"/>
    <n v="0.05"/>
    <x v="2"/>
    <s v="Gary Lopez"/>
    <x v="39"/>
    <x v="2"/>
    <x v="0"/>
    <n v="1095.72"/>
    <n v="5204.67"/>
  </r>
  <r>
    <s v="T02711"/>
    <d v="2023-10-12T00:00:00"/>
    <s v="C096"/>
    <s v="P018"/>
    <s v="S002"/>
    <n v="1"/>
    <n v="0.05"/>
    <x v="2"/>
    <s v="Eric King"/>
    <x v="19"/>
    <x v="1"/>
    <x v="2"/>
    <n v="1079.8900000000001"/>
    <n v="1025.8955000000001"/>
  </r>
  <r>
    <s v="T02712"/>
    <d v="2025-08-08T00:00:00"/>
    <s v="C193"/>
    <s v="P050"/>
    <s v="S002"/>
    <n v="5"/>
    <n v="0.15"/>
    <x v="2"/>
    <s v="Donald Meza"/>
    <x v="3"/>
    <x v="0"/>
    <x v="2"/>
    <n v="1044.6400000000001"/>
    <n v="4439.72"/>
  </r>
  <r>
    <s v="T02713"/>
    <d v="2024-03-07T00:00:00"/>
    <s v="C072"/>
    <s v="P028"/>
    <s v="S001"/>
    <n v="4"/>
    <n v="0.1"/>
    <x v="1"/>
    <s v="Eric Watkins"/>
    <x v="25"/>
    <x v="1"/>
    <x v="3"/>
    <n v="673.78"/>
    <n v="2425.6080000000002"/>
  </r>
  <r>
    <s v="T02714"/>
    <d v="2023-10-03T00:00:00"/>
    <s v="C134"/>
    <s v="P009"/>
    <s v="S004"/>
    <n v="4"/>
    <n v="0.15"/>
    <x v="0"/>
    <s v="Emily Hart"/>
    <x v="5"/>
    <x v="2"/>
    <x v="1"/>
    <n v="123.19"/>
    <n v="418.846"/>
  </r>
  <r>
    <s v="T02715"/>
    <d v="2024-10-05T00:00:00"/>
    <s v="C035"/>
    <s v="P030"/>
    <s v="S003"/>
    <n v="1"/>
    <n v="0"/>
    <x v="0"/>
    <s v="Kimberly King"/>
    <x v="1"/>
    <x v="0"/>
    <x v="0"/>
    <n v="29.24"/>
    <n v="29.24"/>
  </r>
  <r>
    <s v="T02716"/>
    <d v="2024-01-05T00:00:00"/>
    <s v="C182"/>
    <s v="P002"/>
    <s v="S005"/>
    <n v="3"/>
    <n v="0.05"/>
    <x v="3"/>
    <s v="Meghan Wright"/>
    <x v="2"/>
    <x v="1"/>
    <x v="4"/>
    <n v="818.76"/>
    <n v="2333.4659999999994"/>
  </r>
  <r>
    <s v="T02717"/>
    <d v="2024-05-02T00:00:00"/>
    <s v="C016"/>
    <s v="P045"/>
    <s v="S004"/>
    <n v="2"/>
    <n v="0.05"/>
    <x v="1"/>
    <s v="Miguel Johnson"/>
    <x v="8"/>
    <x v="2"/>
    <x v="1"/>
    <n v="1879.08"/>
    <n v="3570.2519999999995"/>
  </r>
  <r>
    <s v="T02718"/>
    <d v="2025-04-28T00:00:00"/>
    <s v="C042"/>
    <s v="P024"/>
    <s v="S002"/>
    <n v="4"/>
    <n v="0.05"/>
    <x v="1"/>
    <s v="Anna Andrews"/>
    <x v="14"/>
    <x v="1"/>
    <x v="2"/>
    <n v="1487.41"/>
    <n v="5652.1580000000004"/>
  </r>
  <r>
    <s v="T02719"/>
    <d v="2025-07-27T00:00:00"/>
    <s v="C101"/>
    <s v="P025"/>
    <s v="S005"/>
    <n v="2"/>
    <n v="0.05"/>
    <x v="0"/>
    <s v="William Pope"/>
    <x v="33"/>
    <x v="0"/>
    <x v="4"/>
    <n v="429.15"/>
    <n v="815.38499999999988"/>
  </r>
  <r>
    <s v="T02720"/>
    <d v="2025-07-30T00:00:00"/>
    <s v="C019"/>
    <s v="P031"/>
    <s v="S002"/>
    <n v="3"/>
    <n v="0.05"/>
    <x v="1"/>
    <s v="John Smith"/>
    <x v="39"/>
    <x v="2"/>
    <x v="2"/>
    <n v="1095.72"/>
    <n v="3122.8019999999997"/>
  </r>
  <r>
    <s v="T02721"/>
    <d v="2024-09-26T00:00:00"/>
    <s v="C032"/>
    <s v="P043"/>
    <s v="S005"/>
    <n v="2"/>
    <n v="0.05"/>
    <x v="1"/>
    <s v="Valerie Macdonald"/>
    <x v="45"/>
    <x v="0"/>
    <x v="4"/>
    <n v="564.41999999999996"/>
    <n v="1072.3979999999999"/>
  </r>
  <r>
    <s v="T02722"/>
    <d v="2024-10-31T00:00:00"/>
    <s v="C037"/>
    <s v="P005"/>
    <s v="S003"/>
    <n v="3"/>
    <n v="0"/>
    <x v="3"/>
    <s v="Miranda Nelson"/>
    <x v="6"/>
    <x v="0"/>
    <x v="0"/>
    <n v="1396.22"/>
    <n v="4188.66"/>
  </r>
  <r>
    <s v="T02723"/>
    <d v="2025-08-27T00:00:00"/>
    <s v="C134"/>
    <s v="P006"/>
    <s v="S003"/>
    <n v="5"/>
    <n v="0"/>
    <x v="1"/>
    <s v="Emily Hart"/>
    <x v="35"/>
    <x v="2"/>
    <x v="0"/>
    <n v="318.05"/>
    <n v="1590.25"/>
  </r>
  <r>
    <s v="T02724"/>
    <d v="2025-09-07T00:00:00"/>
    <s v="C060"/>
    <s v="P005"/>
    <s v="S004"/>
    <n v="3"/>
    <n v="0"/>
    <x v="1"/>
    <s v="Anthony Conway"/>
    <x v="6"/>
    <x v="0"/>
    <x v="1"/>
    <n v="1396.22"/>
    <n v="4188.66"/>
  </r>
  <r>
    <s v="T02725"/>
    <d v="2024-08-07T00:00:00"/>
    <s v="C040"/>
    <s v="P038"/>
    <s v="S001"/>
    <n v="3"/>
    <n v="0.1"/>
    <x v="3"/>
    <s v="Scott Powell"/>
    <x v="41"/>
    <x v="0"/>
    <x v="3"/>
    <n v="366.93"/>
    <n v="990.71100000000001"/>
  </r>
  <r>
    <s v="T02726"/>
    <d v="2025-04-27T00:00:00"/>
    <s v="C098"/>
    <s v="P036"/>
    <s v="S003"/>
    <n v="1"/>
    <n v="0.15"/>
    <x v="1"/>
    <s v="Lisa Vega"/>
    <x v="4"/>
    <x v="0"/>
    <x v="0"/>
    <n v="1501.46"/>
    <n v="1276.241"/>
  </r>
  <r>
    <s v="T02727"/>
    <d v="2024-06-22T00:00:00"/>
    <s v="C150"/>
    <s v="P028"/>
    <s v="S002"/>
    <n v="4"/>
    <n v="0.1"/>
    <x v="2"/>
    <s v="Francis Hernandez"/>
    <x v="25"/>
    <x v="1"/>
    <x v="2"/>
    <n v="673.78"/>
    <n v="2425.6080000000002"/>
  </r>
  <r>
    <s v="T02728"/>
    <d v="2025-02-02T00:00:00"/>
    <s v="C134"/>
    <s v="P032"/>
    <s v="S001"/>
    <n v="1"/>
    <n v="0.1"/>
    <x v="2"/>
    <s v="Emily Hart"/>
    <x v="44"/>
    <x v="2"/>
    <x v="3"/>
    <n v="304.70999999999998"/>
    <n v="274.23899999999998"/>
  </r>
  <r>
    <s v="T02729"/>
    <d v="2025-08-20T00:00:00"/>
    <s v="C171"/>
    <s v="P012"/>
    <s v="S004"/>
    <n v="4"/>
    <n v="0.15"/>
    <x v="3"/>
    <s v="Christina Dominguez"/>
    <x v="38"/>
    <x v="1"/>
    <x v="1"/>
    <n v="1193.0899999999999"/>
    <n v="4056.5059999999994"/>
  </r>
  <r>
    <s v="T02730"/>
    <d v="2025-02-03T00:00:00"/>
    <s v="C164"/>
    <s v="P038"/>
    <s v="S001"/>
    <n v="3"/>
    <n v="0.1"/>
    <x v="0"/>
    <s v="Linda Vasquez"/>
    <x v="41"/>
    <x v="0"/>
    <x v="3"/>
    <n v="366.93"/>
    <n v="990.71100000000001"/>
  </r>
  <r>
    <s v="T02731"/>
    <d v="2024-09-09T00:00:00"/>
    <s v="C164"/>
    <s v="P007"/>
    <s v="S005"/>
    <n v="3"/>
    <n v="0.15"/>
    <x v="0"/>
    <s v="Linda Vasquez"/>
    <x v="18"/>
    <x v="1"/>
    <x v="4"/>
    <n v="1474.12"/>
    <n v="3759.0059999999994"/>
  </r>
  <r>
    <s v="T02732"/>
    <d v="2024-06-01T00:00:00"/>
    <s v="C092"/>
    <s v="P007"/>
    <s v="S001"/>
    <n v="1"/>
    <n v="0"/>
    <x v="1"/>
    <s v="Lindsey Holder"/>
    <x v="18"/>
    <x v="1"/>
    <x v="3"/>
    <n v="1474.12"/>
    <n v="1474.12"/>
  </r>
  <r>
    <s v="T02733"/>
    <d v="2024-06-01T00:00:00"/>
    <s v="C063"/>
    <s v="P012"/>
    <s v="S005"/>
    <n v="4"/>
    <n v="0.05"/>
    <x v="1"/>
    <s v="Michael Johnson"/>
    <x v="38"/>
    <x v="1"/>
    <x v="4"/>
    <n v="1193.0899999999999"/>
    <n v="4533.7419999999993"/>
  </r>
  <r>
    <s v="T02734"/>
    <d v="2025-03-25T00:00:00"/>
    <s v="C171"/>
    <s v="P045"/>
    <s v="S003"/>
    <n v="1"/>
    <n v="0.15"/>
    <x v="1"/>
    <s v="Christina Dominguez"/>
    <x v="8"/>
    <x v="2"/>
    <x v="0"/>
    <n v="1879.08"/>
    <n v="1597.2179999999998"/>
  </r>
  <r>
    <s v="T02735"/>
    <d v="2024-07-10T00:00:00"/>
    <s v="C156"/>
    <s v="P031"/>
    <s v="S005"/>
    <n v="4"/>
    <n v="0"/>
    <x v="3"/>
    <s v="George Young"/>
    <x v="39"/>
    <x v="2"/>
    <x v="4"/>
    <n v="1095.72"/>
    <n v="4382.88"/>
  </r>
  <r>
    <s v="T02736"/>
    <d v="2023-09-14T00:00:00"/>
    <s v="C152"/>
    <s v="P010"/>
    <s v="S001"/>
    <n v="5"/>
    <n v="0"/>
    <x v="3"/>
    <s v="Brittany Green"/>
    <x v="36"/>
    <x v="1"/>
    <x v="3"/>
    <n v="1194.1199999999999"/>
    <n v="5970.5999999999995"/>
  </r>
  <r>
    <s v="T02737"/>
    <d v="2024-02-02T00:00:00"/>
    <s v="C196"/>
    <s v="P027"/>
    <s v="S002"/>
    <n v="3"/>
    <n v="0.15"/>
    <x v="1"/>
    <s v="James Noble"/>
    <x v="34"/>
    <x v="1"/>
    <x v="2"/>
    <n v="1272.23"/>
    <n v="3244.1864999999998"/>
  </r>
  <r>
    <s v="T02738"/>
    <d v="2024-04-01T00:00:00"/>
    <s v="C184"/>
    <s v="P047"/>
    <s v="S001"/>
    <n v="3"/>
    <n v="0.15"/>
    <x v="1"/>
    <s v="Daniel Mcintyre"/>
    <x v="28"/>
    <x v="1"/>
    <x v="3"/>
    <n v="1197.18"/>
    <n v="3052.8089999999997"/>
  </r>
  <r>
    <s v="T02739"/>
    <d v="2023-12-04T00:00:00"/>
    <s v="C147"/>
    <s v="P034"/>
    <s v="S005"/>
    <n v="1"/>
    <n v="0.15"/>
    <x v="1"/>
    <s v="Crystal Garrison"/>
    <x v="12"/>
    <x v="1"/>
    <x v="4"/>
    <n v="428.05"/>
    <n v="363.84249999999997"/>
  </r>
  <r>
    <s v="T02740"/>
    <d v="2024-02-20T00:00:00"/>
    <s v="C172"/>
    <s v="P010"/>
    <s v="S001"/>
    <n v="2"/>
    <n v="0.05"/>
    <x v="3"/>
    <s v="Michelle Smith"/>
    <x v="36"/>
    <x v="1"/>
    <x v="3"/>
    <n v="1194.1199999999999"/>
    <n v="2268.8279999999995"/>
  </r>
  <r>
    <s v="T02741"/>
    <d v="2024-08-29T00:00:00"/>
    <s v="C162"/>
    <s v="P045"/>
    <s v="S003"/>
    <n v="1"/>
    <n v="0.1"/>
    <x v="1"/>
    <s v="Jill Roach"/>
    <x v="8"/>
    <x v="2"/>
    <x v="0"/>
    <n v="1879.08"/>
    <n v="1691.172"/>
  </r>
  <r>
    <s v="T02742"/>
    <d v="2025-06-04T00:00:00"/>
    <s v="C008"/>
    <s v="P025"/>
    <s v="S004"/>
    <n v="3"/>
    <n v="0.1"/>
    <x v="0"/>
    <s v="Isaiah Williams"/>
    <x v="33"/>
    <x v="0"/>
    <x v="1"/>
    <n v="429.15"/>
    <n v="1158.7049999999999"/>
  </r>
  <r>
    <s v="T02743"/>
    <d v="2024-12-28T00:00:00"/>
    <s v="C091"/>
    <s v="P022"/>
    <s v="S002"/>
    <n v="3"/>
    <n v="0.15"/>
    <x v="3"/>
    <s v="Brian Fowler"/>
    <x v="9"/>
    <x v="2"/>
    <x v="2"/>
    <n v="25.57"/>
    <n v="65.203500000000005"/>
  </r>
  <r>
    <s v="T02744"/>
    <d v="2024-02-22T00:00:00"/>
    <s v="C084"/>
    <s v="P017"/>
    <s v="S004"/>
    <n v="3"/>
    <n v="0.05"/>
    <x v="2"/>
    <s v="Amanda Lee"/>
    <x v="43"/>
    <x v="1"/>
    <x v="1"/>
    <n v="1246.1099999999999"/>
    <n v="3551.4134999999997"/>
  </r>
  <r>
    <s v="T02745"/>
    <d v="2025-07-30T00:00:00"/>
    <s v="C143"/>
    <s v="P001"/>
    <s v="S005"/>
    <n v="3"/>
    <n v="0.15"/>
    <x v="0"/>
    <s v="Cynthia Carlson"/>
    <x v="31"/>
    <x v="1"/>
    <x v="4"/>
    <n v="1673.69"/>
    <n v="4267.9094999999998"/>
  </r>
  <r>
    <s v="T02746"/>
    <d v="2024-10-03T00:00:00"/>
    <s v="C200"/>
    <s v="P001"/>
    <s v="S002"/>
    <n v="4"/>
    <n v="0"/>
    <x v="0"/>
    <s v="Ronald Haley"/>
    <x v="31"/>
    <x v="1"/>
    <x v="2"/>
    <n v="1673.69"/>
    <n v="6694.76"/>
  </r>
  <r>
    <s v="T02747"/>
    <d v="2024-01-22T00:00:00"/>
    <s v="C091"/>
    <s v="P037"/>
    <s v="S005"/>
    <n v="5"/>
    <n v="0.05"/>
    <x v="0"/>
    <s v="Brian Fowler"/>
    <x v="27"/>
    <x v="1"/>
    <x v="4"/>
    <n v="1952.65"/>
    <n v="9275.0874999999996"/>
  </r>
  <r>
    <s v="T02748"/>
    <d v="2025-02-09T00:00:00"/>
    <s v="C079"/>
    <s v="P023"/>
    <s v="S001"/>
    <n v="1"/>
    <n v="0.15"/>
    <x v="0"/>
    <s v="Donald Marsh"/>
    <x v="20"/>
    <x v="0"/>
    <x v="3"/>
    <n v="1878.47"/>
    <n v="1596.6994999999999"/>
  </r>
  <r>
    <s v="T02749"/>
    <d v="2024-08-27T00:00:00"/>
    <s v="C160"/>
    <s v="P028"/>
    <s v="S004"/>
    <n v="2"/>
    <n v="0.15"/>
    <x v="2"/>
    <s v="Meagan Macdonald"/>
    <x v="25"/>
    <x v="1"/>
    <x v="1"/>
    <n v="673.78"/>
    <n v="1145.4259999999999"/>
  </r>
  <r>
    <s v="T02750"/>
    <d v="2024-01-14T00:00:00"/>
    <s v="C068"/>
    <s v="P041"/>
    <s v="S004"/>
    <n v="3"/>
    <n v="0.1"/>
    <x v="1"/>
    <s v="Alexandra Montoya"/>
    <x v="30"/>
    <x v="1"/>
    <x v="1"/>
    <n v="1635.01"/>
    <n v="4414.527"/>
  </r>
  <r>
    <s v="T02751"/>
    <d v="2024-07-06T00:00:00"/>
    <s v="C093"/>
    <s v="P042"/>
    <s v="S002"/>
    <n v="2"/>
    <n v="0.1"/>
    <x v="3"/>
    <s v="Stanley Brown"/>
    <x v="10"/>
    <x v="0"/>
    <x v="2"/>
    <n v="453.62"/>
    <n v="816.51600000000008"/>
  </r>
  <r>
    <s v="T02752"/>
    <d v="2024-12-15T00:00:00"/>
    <s v="C029"/>
    <s v="P001"/>
    <s v="S002"/>
    <n v="5"/>
    <n v="0.1"/>
    <x v="0"/>
    <s v="Tyler Levine"/>
    <x v="31"/>
    <x v="1"/>
    <x v="2"/>
    <n v="1673.69"/>
    <n v="7531.6050000000005"/>
  </r>
  <r>
    <s v="T02753"/>
    <d v="2024-11-21T00:00:00"/>
    <s v="C194"/>
    <s v="P040"/>
    <s v="S005"/>
    <n v="5"/>
    <n v="0.05"/>
    <x v="1"/>
    <s v="Ann West"/>
    <x v="37"/>
    <x v="1"/>
    <x v="4"/>
    <n v="1745.61"/>
    <n v="8291.6474999999991"/>
  </r>
  <r>
    <s v="T02754"/>
    <d v="2024-04-01T00:00:00"/>
    <s v="C159"/>
    <s v="P043"/>
    <s v="S001"/>
    <n v="2"/>
    <n v="0"/>
    <x v="3"/>
    <s v="Thomas Chung"/>
    <x v="45"/>
    <x v="0"/>
    <x v="3"/>
    <n v="564.41999999999996"/>
    <n v="1128.8399999999999"/>
  </r>
  <r>
    <s v="T02755"/>
    <d v="2025-01-10T00:00:00"/>
    <s v="C183"/>
    <s v="P010"/>
    <s v="S005"/>
    <n v="4"/>
    <n v="0.1"/>
    <x v="2"/>
    <s v="Mary Dawson"/>
    <x v="36"/>
    <x v="1"/>
    <x v="4"/>
    <n v="1194.1199999999999"/>
    <n v="4298.8319999999994"/>
  </r>
  <r>
    <s v="T02756"/>
    <d v="2025-01-29T00:00:00"/>
    <s v="C184"/>
    <s v="P010"/>
    <s v="S003"/>
    <n v="5"/>
    <n v="0.1"/>
    <x v="1"/>
    <s v="Daniel Mcintyre"/>
    <x v="36"/>
    <x v="1"/>
    <x v="0"/>
    <n v="1194.1199999999999"/>
    <n v="5373.54"/>
  </r>
  <r>
    <s v="T02757"/>
    <d v="2024-07-25T00:00:00"/>
    <s v="C035"/>
    <s v="P030"/>
    <s v="S004"/>
    <n v="1"/>
    <n v="0.1"/>
    <x v="3"/>
    <s v="Kimberly King"/>
    <x v="1"/>
    <x v="0"/>
    <x v="1"/>
    <n v="29.24"/>
    <n v="26.315999999999999"/>
  </r>
  <r>
    <s v="T02758"/>
    <d v="2023-11-01T00:00:00"/>
    <s v="C083"/>
    <s v="P011"/>
    <s v="S002"/>
    <n v="4"/>
    <n v="0"/>
    <x v="2"/>
    <s v="Jeremy Robles"/>
    <x v="17"/>
    <x v="1"/>
    <x v="2"/>
    <n v="248.57"/>
    <n v="994.28"/>
  </r>
  <r>
    <s v="T02759"/>
    <d v="2025-06-26T00:00:00"/>
    <s v="C141"/>
    <s v="P017"/>
    <s v="S002"/>
    <n v="3"/>
    <n v="0"/>
    <x v="1"/>
    <s v="Adam Lucas"/>
    <x v="43"/>
    <x v="1"/>
    <x v="2"/>
    <n v="1246.1099999999999"/>
    <n v="3738.33"/>
  </r>
  <r>
    <s v="T02760"/>
    <d v="2024-08-08T00:00:00"/>
    <s v="C058"/>
    <s v="P047"/>
    <s v="S002"/>
    <n v="2"/>
    <n v="0.05"/>
    <x v="1"/>
    <s v="Lawrence Stewart"/>
    <x v="28"/>
    <x v="1"/>
    <x v="2"/>
    <n v="1197.18"/>
    <n v="2274.6419999999998"/>
  </r>
  <r>
    <s v="T02761"/>
    <d v="2023-12-30T00:00:00"/>
    <s v="C166"/>
    <s v="P010"/>
    <s v="S002"/>
    <n v="2"/>
    <n v="0"/>
    <x v="0"/>
    <s v="Meagan Ali"/>
    <x v="36"/>
    <x v="1"/>
    <x v="2"/>
    <n v="1194.1199999999999"/>
    <n v="2388.2399999999998"/>
  </r>
  <r>
    <s v="T02762"/>
    <d v="2024-09-23T00:00:00"/>
    <s v="C063"/>
    <s v="P015"/>
    <s v="S001"/>
    <n v="5"/>
    <n v="0.15"/>
    <x v="1"/>
    <s v="Michael Johnson"/>
    <x v="40"/>
    <x v="0"/>
    <x v="3"/>
    <n v="270.45"/>
    <n v="1149.4124999999999"/>
  </r>
  <r>
    <s v="T02763"/>
    <d v="2025-01-24T00:00:00"/>
    <s v="C107"/>
    <s v="P002"/>
    <s v="S005"/>
    <n v="5"/>
    <n v="0.05"/>
    <x v="1"/>
    <s v="Victoria Hansen"/>
    <x v="2"/>
    <x v="1"/>
    <x v="4"/>
    <n v="818.76"/>
    <n v="3889.11"/>
  </r>
  <r>
    <s v="T02764"/>
    <d v="2023-11-10T00:00:00"/>
    <s v="C048"/>
    <s v="P045"/>
    <s v="S005"/>
    <n v="5"/>
    <n v="0.15"/>
    <x v="1"/>
    <s v="Alexis Crane"/>
    <x v="8"/>
    <x v="2"/>
    <x v="4"/>
    <n v="1879.08"/>
    <n v="7986.0899999999992"/>
  </r>
  <r>
    <s v="T02765"/>
    <d v="2024-06-27T00:00:00"/>
    <s v="C192"/>
    <s v="P050"/>
    <s v="S003"/>
    <n v="3"/>
    <n v="0.1"/>
    <x v="1"/>
    <s v="James Wilson"/>
    <x v="3"/>
    <x v="0"/>
    <x v="0"/>
    <n v="1044.6400000000001"/>
    <n v="2820.5280000000002"/>
  </r>
  <r>
    <s v="T02766"/>
    <d v="2025-05-30T00:00:00"/>
    <s v="C095"/>
    <s v="P050"/>
    <s v="S003"/>
    <n v="2"/>
    <n v="0.1"/>
    <x v="0"/>
    <s v="Kevin Snyder"/>
    <x v="3"/>
    <x v="0"/>
    <x v="0"/>
    <n v="1044.6400000000001"/>
    <n v="1880.3520000000003"/>
  </r>
  <r>
    <s v="T02767"/>
    <d v="2025-06-22T00:00:00"/>
    <s v="C020"/>
    <s v="P046"/>
    <s v="S002"/>
    <n v="3"/>
    <n v="0.05"/>
    <x v="2"/>
    <s v="Ryan Cole"/>
    <x v="42"/>
    <x v="0"/>
    <x v="2"/>
    <n v="1165.3699999999999"/>
    <n v="3321.3044999999997"/>
  </r>
  <r>
    <s v="T02768"/>
    <d v="2025-07-20T00:00:00"/>
    <s v="C025"/>
    <s v="P011"/>
    <s v="S005"/>
    <n v="4"/>
    <n v="0.1"/>
    <x v="3"/>
    <s v="Cheryl Gilbert"/>
    <x v="17"/>
    <x v="1"/>
    <x v="4"/>
    <n v="248.57"/>
    <n v="894.85199999999998"/>
  </r>
  <r>
    <s v="T02769"/>
    <d v="2025-03-05T00:00:00"/>
    <s v="C155"/>
    <s v="P034"/>
    <s v="S002"/>
    <n v="3"/>
    <n v="0.05"/>
    <x v="1"/>
    <s v="Jill Mcconnell"/>
    <x v="12"/>
    <x v="1"/>
    <x v="2"/>
    <n v="428.05"/>
    <n v="1219.9425000000001"/>
  </r>
  <r>
    <s v="T02770"/>
    <d v="2025-05-07T00:00:00"/>
    <s v="C069"/>
    <s v="P026"/>
    <s v="S005"/>
    <n v="1"/>
    <n v="0.15"/>
    <x v="1"/>
    <s v="Gabriel Daugherty"/>
    <x v="15"/>
    <x v="2"/>
    <x v="4"/>
    <n v="1015.76"/>
    <n v="863.39599999999996"/>
  </r>
  <r>
    <s v="T02771"/>
    <d v="2023-12-12T00:00:00"/>
    <s v="C128"/>
    <s v="P045"/>
    <s v="S005"/>
    <n v="4"/>
    <n v="0"/>
    <x v="2"/>
    <s v="Robert Collins"/>
    <x v="8"/>
    <x v="2"/>
    <x v="4"/>
    <n v="1879.08"/>
    <n v="7516.32"/>
  </r>
  <r>
    <s v="T02772"/>
    <d v="2024-05-30T00:00:00"/>
    <s v="C006"/>
    <s v="P030"/>
    <s v="S005"/>
    <n v="4"/>
    <n v="0"/>
    <x v="0"/>
    <s v="Danny Moore"/>
    <x v="1"/>
    <x v="0"/>
    <x v="4"/>
    <n v="29.24"/>
    <n v="116.96"/>
  </r>
  <r>
    <s v="T02773"/>
    <d v="2023-11-02T00:00:00"/>
    <s v="C123"/>
    <s v="P036"/>
    <s v="S002"/>
    <n v="1"/>
    <n v="0.1"/>
    <x v="3"/>
    <s v="Peter Edwards"/>
    <x v="4"/>
    <x v="0"/>
    <x v="2"/>
    <n v="1501.46"/>
    <n v="1351.3140000000001"/>
  </r>
  <r>
    <s v="T02774"/>
    <d v="2024-01-22T00:00:00"/>
    <s v="C185"/>
    <s v="P003"/>
    <s v="S003"/>
    <n v="5"/>
    <n v="0.1"/>
    <x v="3"/>
    <s v="Joe Vincent"/>
    <x v="46"/>
    <x v="0"/>
    <x v="0"/>
    <n v="337.63"/>
    <n v="1519.335"/>
  </r>
  <r>
    <s v="T02775"/>
    <d v="2025-07-01T00:00:00"/>
    <s v="C183"/>
    <s v="P039"/>
    <s v="S005"/>
    <n v="4"/>
    <n v="0.15"/>
    <x v="2"/>
    <s v="Mary Dawson"/>
    <x v="22"/>
    <x v="0"/>
    <x v="4"/>
    <n v="540.94000000000005"/>
    <n v="1839.1960000000001"/>
  </r>
  <r>
    <s v="T02776"/>
    <d v="2024-08-23T00:00:00"/>
    <s v="C102"/>
    <s v="P040"/>
    <s v="S002"/>
    <n v="4"/>
    <n v="0.1"/>
    <x v="0"/>
    <s v="Carolyn Perez"/>
    <x v="37"/>
    <x v="1"/>
    <x v="2"/>
    <n v="1745.61"/>
    <n v="6284.1959999999999"/>
  </r>
  <r>
    <s v="T02777"/>
    <d v="2024-08-13T00:00:00"/>
    <s v="C085"/>
    <s v="P043"/>
    <s v="S002"/>
    <n v="5"/>
    <n v="0.15"/>
    <x v="2"/>
    <s v="Juan Ramirez"/>
    <x v="45"/>
    <x v="0"/>
    <x v="2"/>
    <n v="564.41999999999996"/>
    <n v="2398.7849999999999"/>
  </r>
  <r>
    <s v="T02778"/>
    <d v="2024-09-01T00:00:00"/>
    <s v="C197"/>
    <s v="P021"/>
    <s v="S005"/>
    <n v="5"/>
    <n v="0.1"/>
    <x v="3"/>
    <s v="Matthew Dixon"/>
    <x v="23"/>
    <x v="2"/>
    <x v="4"/>
    <n v="1227.24"/>
    <n v="5522.58"/>
  </r>
  <r>
    <s v="T02779"/>
    <d v="2024-03-07T00:00:00"/>
    <s v="C157"/>
    <s v="P013"/>
    <s v="S001"/>
    <n v="3"/>
    <n v="0"/>
    <x v="3"/>
    <s v="Connie Terry"/>
    <x v="21"/>
    <x v="0"/>
    <x v="3"/>
    <n v="1134.8"/>
    <n v="3404.3999999999996"/>
  </r>
  <r>
    <s v="T02780"/>
    <d v="2024-08-09T00:00:00"/>
    <s v="C158"/>
    <s v="P041"/>
    <s v="S001"/>
    <n v="5"/>
    <n v="0.15"/>
    <x v="2"/>
    <s v="Crystal Aguirre"/>
    <x v="30"/>
    <x v="1"/>
    <x v="3"/>
    <n v="1635.01"/>
    <n v="6948.7924999999996"/>
  </r>
  <r>
    <s v="T02781"/>
    <d v="2025-09-02T00:00:00"/>
    <s v="C188"/>
    <s v="P023"/>
    <s v="S002"/>
    <n v="2"/>
    <n v="0.05"/>
    <x v="2"/>
    <s v="Ryan Flores"/>
    <x v="20"/>
    <x v="0"/>
    <x v="2"/>
    <n v="1878.47"/>
    <n v="3569.0929999999998"/>
  </r>
  <r>
    <s v="T02782"/>
    <d v="2025-06-18T00:00:00"/>
    <s v="C008"/>
    <s v="P045"/>
    <s v="S004"/>
    <n v="1"/>
    <n v="0.1"/>
    <x v="3"/>
    <s v="Isaiah Williams"/>
    <x v="8"/>
    <x v="2"/>
    <x v="1"/>
    <n v="1879.08"/>
    <n v="1691.172"/>
  </r>
  <r>
    <s v="T02783"/>
    <d v="2024-01-14T00:00:00"/>
    <s v="C025"/>
    <s v="P026"/>
    <s v="S004"/>
    <n v="5"/>
    <n v="0.15"/>
    <x v="1"/>
    <s v="Cheryl Gilbert"/>
    <x v="15"/>
    <x v="2"/>
    <x v="1"/>
    <n v="1015.76"/>
    <n v="4316.9800000000005"/>
  </r>
  <r>
    <s v="T02784"/>
    <d v="2025-01-24T00:00:00"/>
    <s v="C098"/>
    <s v="P009"/>
    <s v="S004"/>
    <n v="2"/>
    <n v="0.1"/>
    <x v="2"/>
    <s v="Lisa Vega"/>
    <x v="5"/>
    <x v="2"/>
    <x v="1"/>
    <n v="123.19"/>
    <n v="221.74199999999999"/>
  </r>
  <r>
    <s v="T02785"/>
    <d v="2024-02-15T00:00:00"/>
    <s v="C025"/>
    <s v="P010"/>
    <s v="S003"/>
    <n v="3"/>
    <n v="0.05"/>
    <x v="1"/>
    <s v="Cheryl Gilbert"/>
    <x v="36"/>
    <x v="1"/>
    <x v="0"/>
    <n v="1194.1199999999999"/>
    <n v="3403.2419999999997"/>
  </r>
  <r>
    <s v="T02786"/>
    <d v="2024-10-03T00:00:00"/>
    <s v="C065"/>
    <s v="P045"/>
    <s v="S004"/>
    <n v="1"/>
    <n v="0.05"/>
    <x v="0"/>
    <s v="Scott Duke"/>
    <x v="8"/>
    <x v="2"/>
    <x v="1"/>
    <n v="1879.08"/>
    <n v="1785.1259999999997"/>
  </r>
  <r>
    <s v="T02787"/>
    <d v="2025-05-15T00:00:00"/>
    <s v="C103"/>
    <s v="P021"/>
    <s v="S002"/>
    <n v="2"/>
    <n v="0.1"/>
    <x v="3"/>
    <s v="David Burns"/>
    <x v="23"/>
    <x v="2"/>
    <x v="2"/>
    <n v="1227.24"/>
    <n v="2209.0320000000002"/>
  </r>
  <r>
    <s v="T02788"/>
    <d v="2024-06-23T00:00:00"/>
    <s v="C087"/>
    <s v="P038"/>
    <s v="S004"/>
    <n v="1"/>
    <n v="0.1"/>
    <x v="3"/>
    <s v="Laurie Mason"/>
    <x v="41"/>
    <x v="0"/>
    <x v="1"/>
    <n v="366.93"/>
    <n v="330.23700000000002"/>
  </r>
  <r>
    <s v="T02789"/>
    <d v="2025-03-17T00:00:00"/>
    <s v="C156"/>
    <s v="P044"/>
    <s v="S001"/>
    <n v="5"/>
    <n v="0"/>
    <x v="0"/>
    <s v="George Young"/>
    <x v="32"/>
    <x v="0"/>
    <x v="3"/>
    <n v="1286.55"/>
    <n v="6432.75"/>
  </r>
  <r>
    <s v="T02790"/>
    <d v="2023-11-03T00:00:00"/>
    <s v="C025"/>
    <s v="P023"/>
    <s v="S002"/>
    <n v="1"/>
    <n v="0"/>
    <x v="3"/>
    <s v="Cheryl Gilbert"/>
    <x v="20"/>
    <x v="0"/>
    <x v="2"/>
    <n v="1878.47"/>
    <n v="1878.47"/>
  </r>
  <r>
    <s v="T02791"/>
    <d v="2025-07-19T00:00:00"/>
    <s v="C084"/>
    <s v="P027"/>
    <s v="S004"/>
    <n v="3"/>
    <n v="0"/>
    <x v="0"/>
    <s v="Amanda Lee"/>
    <x v="34"/>
    <x v="1"/>
    <x v="1"/>
    <n v="1272.23"/>
    <n v="3816.69"/>
  </r>
  <r>
    <s v="T02792"/>
    <d v="2024-09-29T00:00:00"/>
    <s v="C018"/>
    <s v="P033"/>
    <s v="S002"/>
    <n v="2"/>
    <n v="0.15"/>
    <x v="2"/>
    <s v="Breanna Davis"/>
    <x v="16"/>
    <x v="0"/>
    <x v="2"/>
    <n v="1798.97"/>
    <n v="3058.2489999999998"/>
  </r>
  <r>
    <s v="T02793"/>
    <d v="2024-08-25T00:00:00"/>
    <s v="C138"/>
    <s v="P037"/>
    <s v="S002"/>
    <n v="3"/>
    <n v="0"/>
    <x v="2"/>
    <s v="Breanna Moore"/>
    <x v="27"/>
    <x v="1"/>
    <x v="2"/>
    <n v="1952.65"/>
    <n v="5857.9500000000007"/>
  </r>
  <r>
    <s v="T02794"/>
    <d v="2024-04-04T00:00:00"/>
    <s v="C154"/>
    <s v="P002"/>
    <s v="S003"/>
    <n v="5"/>
    <n v="0.05"/>
    <x v="1"/>
    <s v="Lisa Martinez"/>
    <x v="2"/>
    <x v="1"/>
    <x v="0"/>
    <n v="818.76"/>
    <n v="3889.11"/>
  </r>
  <r>
    <s v="T02795"/>
    <d v="2024-02-26T00:00:00"/>
    <s v="C181"/>
    <s v="P040"/>
    <s v="S002"/>
    <n v="5"/>
    <n v="0.05"/>
    <x v="1"/>
    <s v="Brittany Oneal"/>
    <x v="37"/>
    <x v="1"/>
    <x v="2"/>
    <n v="1745.61"/>
    <n v="8291.6474999999991"/>
  </r>
  <r>
    <s v="T02796"/>
    <d v="2023-11-15T00:00:00"/>
    <s v="C008"/>
    <s v="P012"/>
    <s v="S005"/>
    <n v="1"/>
    <n v="0"/>
    <x v="0"/>
    <s v="Isaiah Williams"/>
    <x v="38"/>
    <x v="1"/>
    <x v="4"/>
    <n v="1193.0899999999999"/>
    <n v="1193.0899999999999"/>
  </r>
  <r>
    <s v="T02797"/>
    <d v="2023-11-06T00:00:00"/>
    <s v="C075"/>
    <s v="P024"/>
    <s v="S001"/>
    <n v="3"/>
    <n v="0.05"/>
    <x v="2"/>
    <s v="Seth Moore"/>
    <x v="14"/>
    <x v="1"/>
    <x v="3"/>
    <n v="1487.41"/>
    <n v="4239.1185000000005"/>
  </r>
  <r>
    <s v="T02798"/>
    <d v="2023-12-10T00:00:00"/>
    <s v="C026"/>
    <s v="P028"/>
    <s v="S004"/>
    <n v="2"/>
    <n v="0.05"/>
    <x v="0"/>
    <s v="Justin Macdonald"/>
    <x v="25"/>
    <x v="1"/>
    <x v="1"/>
    <n v="673.78"/>
    <n v="1280.1819999999998"/>
  </r>
  <r>
    <s v="T02799"/>
    <d v="2024-06-30T00:00:00"/>
    <s v="C117"/>
    <s v="P033"/>
    <s v="S005"/>
    <n v="4"/>
    <n v="0.15"/>
    <x v="3"/>
    <s v="Timothy Beck"/>
    <x v="16"/>
    <x v="0"/>
    <x v="4"/>
    <n v="1798.97"/>
    <n v="6116.4979999999996"/>
  </r>
  <r>
    <s v="T02800"/>
    <d v="2024-07-18T00:00:00"/>
    <s v="C172"/>
    <s v="P008"/>
    <s v="S005"/>
    <n v="1"/>
    <n v="0.1"/>
    <x v="2"/>
    <s v="Michelle Smith"/>
    <x v="48"/>
    <x v="0"/>
    <x v="4"/>
    <n v="109.78"/>
    <n v="98.802000000000007"/>
  </r>
  <r>
    <s v="T02801"/>
    <d v="2024-02-06T00:00:00"/>
    <s v="C094"/>
    <s v="P046"/>
    <s v="S002"/>
    <n v="2"/>
    <n v="0.15"/>
    <x v="2"/>
    <s v="Kimberly Stokes"/>
    <x v="42"/>
    <x v="0"/>
    <x v="2"/>
    <n v="1165.3699999999999"/>
    <n v="1981.1289999999997"/>
  </r>
  <r>
    <s v="T02802"/>
    <d v="2025-03-23T00:00:00"/>
    <s v="C104"/>
    <s v="P002"/>
    <s v="S001"/>
    <n v="3"/>
    <n v="0"/>
    <x v="1"/>
    <s v="Brenda Dean"/>
    <x v="2"/>
    <x v="1"/>
    <x v="3"/>
    <n v="818.76"/>
    <n v="2456.2799999999997"/>
  </r>
  <r>
    <s v="T02803"/>
    <d v="2024-01-02T00:00:00"/>
    <s v="C169"/>
    <s v="P028"/>
    <s v="S005"/>
    <n v="1"/>
    <n v="0"/>
    <x v="0"/>
    <s v="Travis Watson"/>
    <x v="25"/>
    <x v="1"/>
    <x v="4"/>
    <n v="673.78"/>
    <n v="673.78"/>
  </r>
  <r>
    <s v="T02804"/>
    <d v="2024-02-17T00:00:00"/>
    <s v="C135"/>
    <s v="P044"/>
    <s v="S005"/>
    <n v="5"/>
    <n v="0.15"/>
    <x v="2"/>
    <s v="Mario Cuevas"/>
    <x v="32"/>
    <x v="0"/>
    <x v="4"/>
    <n v="1286.55"/>
    <n v="5467.8374999999996"/>
  </r>
  <r>
    <s v="T02805"/>
    <d v="2025-01-23T00:00:00"/>
    <s v="C073"/>
    <s v="P034"/>
    <s v="S003"/>
    <n v="2"/>
    <n v="0.15"/>
    <x v="2"/>
    <s v="Carl Armstrong"/>
    <x v="12"/>
    <x v="1"/>
    <x v="0"/>
    <n v="428.05"/>
    <n v="727.68499999999995"/>
  </r>
  <r>
    <s v="T02806"/>
    <d v="2024-06-28T00:00:00"/>
    <s v="C075"/>
    <s v="P021"/>
    <s v="S004"/>
    <n v="4"/>
    <n v="0.15"/>
    <x v="1"/>
    <s v="Seth Moore"/>
    <x v="23"/>
    <x v="2"/>
    <x v="1"/>
    <n v="1227.24"/>
    <n v="4172.616"/>
  </r>
  <r>
    <s v="T02807"/>
    <d v="2024-06-19T00:00:00"/>
    <s v="C022"/>
    <s v="P020"/>
    <s v="S004"/>
    <n v="1"/>
    <n v="0.15"/>
    <x v="3"/>
    <s v="Megan Velasquez"/>
    <x v="24"/>
    <x v="0"/>
    <x v="1"/>
    <n v="323.92"/>
    <n v="275.33199999999999"/>
  </r>
  <r>
    <s v="T02808"/>
    <d v="2024-01-29T00:00:00"/>
    <s v="C083"/>
    <s v="P026"/>
    <s v="S005"/>
    <n v="4"/>
    <n v="0.15"/>
    <x v="0"/>
    <s v="Jeremy Robles"/>
    <x v="15"/>
    <x v="2"/>
    <x v="4"/>
    <n v="1015.76"/>
    <n v="3453.5839999999998"/>
  </r>
  <r>
    <s v="T02809"/>
    <d v="2025-08-05T00:00:00"/>
    <s v="C128"/>
    <s v="P026"/>
    <s v="S003"/>
    <n v="1"/>
    <n v="0"/>
    <x v="2"/>
    <s v="Robert Collins"/>
    <x v="15"/>
    <x v="2"/>
    <x v="0"/>
    <n v="1015.76"/>
    <n v="1015.76"/>
  </r>
  <r>
    <s v="T02810"/>
    <d v="2025-06-10T00:00:00"/>
    <s v="C023"/>
    <s v="P037"/>
    <s v="S003"/>
    <n v="5"/>
    <n v="0.05"/>
    <x v="0"/>
    <s v="Mark Martinez"/>
    <x v="27"/>
    <x v="1"/>
    <x v="0"/>
    <n v="1952.65"/>
    <n v="9275.0874999999996"/>
  </r>
  <r>
    <s v="T02811"/>
    <d v="2025-02-18T00:00:00"/>
    <s v="C190"/>
    <s v="P026"/>
    <s v="S001"/>
    <n v="5"/>
    <n v="0"/>
    <x v="3"/>
    <s v="Daniel Lawson"/>
    <x v="15"/>
    <x v="2"/>
    <x v="3"/>
    <n v="1015.76"/>
    <n v="5078.8"/>
  </r>
  <r>
    <s v="T02812"/>
    <d v="2024-06-26T00:00:00"/>
    <s v="C078"/>
    <s v="P042"/>
    <s v="S004"/>
    <n v="2"/>
    <n v="0.1"/>
    <x v="3"/>
    <s v="Jeanne Young"/>
    <x v="10"/>
    <x v="0"/>
    <x v="1"/>
    <n v="453.62"/>
    <n v="816.51600000000008"/>
  </r>
  <r>
    <s v="T02813"/>
    <d v="2025-02-08T00:00:00"/>
    <s v="C176"/>
    <s v="P020"/>
    <s v="S004"/>
    <n v="5"/>
    <n v="0.05"/>
    <x v="0"/>
    <s v="Peter Garcia"/>
    <x v="24"/>
    <x v="0"/>
    <x v="1"/>
    <n v="323.92"/>
    <n v="1538.6200000000001"/>
  </r>
  <r>
    <s v="T02814"/>
    <d v="2024-08-18T00:00:00"/>
    <s v="C175"/>
    <s v="P018"/>
    <s v="S001"/>
    <n v="2"/>
    <n v="0"/>
    <x v="1"/>
    <s v="Stacey Thompson"/>
    <x v="19"/>
    <x v="1"/>
    <x v="3"/>
    <n v="1079.8900000000001"/>
    <n v="2159.7800000000002"/>
  </r>
  <r>
    <s v="T02815"/>
    <d v="2024-12-26T00:00:00"/>
    <s v="C048"/>
    <s v="P041"/>
    <s v="S002"/>
    <n v="3"/>
    <n v="0"/>
    <x v="2"/>
    <s v="Alexis Crane"/>
    <x v="30"/>
    <x v="1"/>
    <x v="2"/>
    <n v="1635.01"/>
    <n v="4905.03"/>
  </r>
  <r>
    <s v="T02816"/>
    <d v="2024-10-20T00:00:00"/>
    <s v="C127"/>
    <s v="P001"/>
    <s v="S002"/>
    <n v="5"/>
    <n v="0"/>
    <x v="3"/>
    <s v="John Allen"/>
    <x v="31"/>
    <x v="1"/>
    <x v="2"/>
    <n v="1673.69"/>
    <n v="8368.4500000000007"/>
  </r>
  <r>
    <s v="T02817"/>
    <d v="2024-12-21T00:00:00"/>
    <s v="C098"/>
    <s v="P043"/>
    <s v="S002"/>
    <n v="1"/>
    <n v="0.1"/>
    <x v="3"/>
    <s v="Lisa Vega"/>
    <x v="45"/>
    <x v="0"/>
    <x v="2"/>
    <n v="564.41999999999996"/>
    <n v="507.97799999999995"/>
  </r>
  <r>
    <s v="T02818"/>
    <d v="2024-05-10T00:00:00"/>
    <s v="C062"/>
    <s v="P002"/>
    <s v="S003"/>
    <n v="2"/>
    <n v="0.15"/>
    <x v="2"/>
    <s v="Susan Salinas"/>
    <x v="2"/>
    <x v="1"/>
    <x v="0"/>
    <n v="818.76"/>
    <n v="1391.8920000000001"/>
  </r>
  <r>
    <s v="T02819"/>
    <d v="2024-11-20T00:00:00"/>
    <s v="C096"/>
    <s v="P023"/>
    <s v="S004"/>
    <n v="1"/>
    <n v="0.05"/>
    <x v="2"/>
    <s v="Eric King"/>
    <x v="20"/>
    <x v="0"/>
    <x v="1"/>
    <n v="1878.47"/>
    <n v="1784.5464999999999"/>
  </r>
  <r>
    <s v="T02820"/>
    <d v="2025-04-14T00:00:00"/>
    <s v="C154"/>
    <s v="P043"/>
    <s v="S002"/>
    <n v="5"/>
    <n v="0.1"/>
    <x v="1"/>
    <s v="Lisa Martinez"/>
    <x v="45"/>
    <x v="0"/>
    <x v="2"/>
    <n v="564.41999999999996"/>
    <n v="2539.89"/>
  </r>
  <r>
    <s v="T02821"/>
    <d v="2025-02-08T00:00:00"/>
    <s v="C175"/>
    <s v="P025"/>
    <s v="S005"/>
    <n v="3"/>
    <n v="0.05"/>
    <x v="0"/>
    <s v="Stacey Thompson"/>
    <x v="33"/>
    <x v="0"/>
    <x v="4"/>
    <n v="429.15"/>
    <n v="1223.0774999999999"/>
  </r>
  <r>
    <s v="T02822"/>
    <d v="2024-01-03T00:00:00"/>
    <s v="C105"/>
    <s v="P007"/>
    <s v="S001"/>
    <n v="4"/>
    <n v="0.15"/>
    <x v="1"/>
    <s v="Kenneth Berg"/>
    <x v="18"/>
    <x v="1"/>
    <x v="3"/>
    <n v="1474.12"/>
    <n v="5012.0079999999998"/>
  </r>
  <r>
    <s v="T02823"/>
    <d v="2024-05-11T00:00:00"/>
    <s v="C072"/>
    <s v="P020"/>
    <s v="S002"/>
    <n v="4"/>
    <n v="0.1"/>
    <x v="3"/>
    <s v="Eric Watkins"/>
    <x v="24"/>
    <x v="0"/>
    <x v="2"/>
    <n v="323.92"/>
    <n v="1166.1120000000001"/>
  </r>
  <r>
    <s v="T02824"/>
    <d v="2025-05-01T00:00:00"/>
    <s v="C161"/>
    <s v="P022"/>
    <s v="S004"/>
    <n v="1"/>
    <n v="0.15"/>
    <x v="2"/>
    <s v="Michael Perez"/>
    <x v="9"/>
    <x v="2"/>
    <x v="1"/>
    <n v="25.57"/>
    <n v="21.734500000000001"/>
  </r>
  <r>
    <s v="T02825"/>
    <d v="2024-01-28T00:00:00"/>
    <s v="C170"/>
    <s v="P006"/>
    <s v="S002"/>
    <n v="1"/>
    <n v="0"/>
    <x v="3"/>
    <s v="Amber Graham"/>
    <x v="35"/>
    <x v="2"/>
    <x v="2"/>
    <n v="318.05"/>
    <n v="318.05"/>
  </r>
  <r>
    <s v="T02826"/>
    <d v="2025-05-15T00:00:00"/>
    <s v="C041"/>
    <s v="P014"/>
    <s v="S004"/>
    <n v="1"/>
    <n v="0.05"/>
    <x v="0"/>
    <s v="Melissa Rodgers"/>
    <x v="0"/>
    <x v="0"/>
    <x v="1"/>
    <n v="1342.75"/>
    <n v="1275.6125"/>
  </r>
  <r>
    <s v="T02827"/>
    <d v="2023-11-19T00:00:00"/>
    <s v="C043"/>
    <s v="P017"/>
    <s v="S003"/>
    <n v="4"/>
    <n v="0.1"/>
    <x v="0"/>
    <s v="Kenneth Allen"/>
    <x v="43"/>
    <x v="1"/>
    <x v="0"/>
    <n v="1246.1099999999999"/>
    <n v="4485.9960000000001"/>
  </r>
  <r>
    <s v="T02828"/>
    <d v="2025-07-18T00:00:00"/>
    <s v="C073"/>
    <s v="P021"/>
    <s v="S005"/>
    <n v="3"/>
    <n v="0"/>
    <x v="3"/>
    <s v="Carl Armstrong"/>
    <x v="23"/>
    <x v="2"/>
    <x v="4"/>
    <n v="1227.24"/>
    <n v="3681.7200000000003"/>
  </r>
  <r>
    <s v="T02829"/>
    <d v="2024-09-16T00:00:00"/>
    <s v="C102"/>
    <s v="P038"/>
    <s v="S002"/>
    <n v="1"/>
    <n v="0.15"/>
    <x v="2"/>
    <s v="Carolyn Perez"/>
    <x v="41"/>
    <x v="0"/>
    <x v="2"/>
    <n v="366.93"/>
    <n v="311.89049999999997"/>
  </r>
  <r>
    <s v="T02830"/>
    <d v="2025-05-07T00:00:00"/>
    <s v="C033"/>
    <s v="P014"/>
    <s v="S005"/>
    <n v="1"/>
    <n v="0.15"/>
    <x v="1"/>
    <s v="Jenny Beck"/>
    <x v="0"/>
    <x v="0"/>
    <x v="4"/>
    <n v="1342.75"/>
    <n v="1141.3374999999999"/>
  </r>
  <r>
    <s v="T02831"/>
    <d v="2025-06-07T00:00:00"/>
    <s v="C028"/>
    <s v="P033"/>
    <s v="S001"/>
    <n v="2"/>
    <n v="0"/>
    <x v="1"/>
    <s v="John Carr"/>
    <x v="16"/>
    <x v="0"/>
    <x v="3"/>
    <n v="1798.97"/>
    <n v="3597.94"/>
  </r>
  <r>
    <s v="T02832"/>
    <d v="2024-08-29T00:00:00"/>
    <s v="C048"/>
    <s v="P003"/>
    <s v="S001"/>
    <n v="1"/>
    <n v="0.05"/>
    <x v="1"/>
    <s v="Alexis Crane"/>
    <x v="46"/>
    <x v="0"/>
    <x v="3"/>
    <n v="337.63"/>
    <n v="320.74849999999998"/>
  </r>
  <r>
    <s v="T02833"/>
    <d v="2024-10-02T00:00:00"/>
    <s v="C158"/>
    <s v="P006"/>
    <s v="S003"/>
    <n v="4"/>
    <n v="0.05"/>
    <x v="1"/>
    <s v="Crystal Aguirre"/>
    <x v="35"/>
    <x v="2"/>
    <x v="0"/>
    <n v="318.05"/>
    <n v="1208.5899999999999"/>
  </r>
  <r>
    <s v="T02834"/>
    <d v="2024-08-18T00:00:00"/>
    <s v="C153"/>
    <s v="P022"/>
    <s v="S001"/>
    <n v="5"/>
    <n v="0.05"/>
    <x v="2"/>
    <s v="Nancy Gordon"/>
    <x v="9"/>
    <x v="2"/>
    <x v="3"/>
    <n v="25.57"/>
    <n v="121.4575"/>
  </r>
  <r>
    <s v="T02835"/>
    <d v="2023-11-10T00:00:00"/>
    <s v="C186"/>
    <s v="P044"/>
    <s v="S003"/>
    <n v="1"/>
    <n v="0"/>
    <x v="2"/>
    <s v="Vicki Guzman"/>
    <x v="32"/>
    <x v="0"/>
    <x v="0"/>
    <n v="1286.55"/>
    <n v="1286.55"/>
  </r>
  <r>
    <s v="T02836"/>
    <d v="2024-03-08T00:00:00"/>
    <s v="C088"/>
    <s v="P034"/>
    <s v="S003"/>
    <n v="2"/>
    <n v="0.1"/>
    <x v="1"/>
    <s v="Brenda Costa"/>
    <x v="12"/>
    <x v="1"/>
    <x v="0"/>
    <n v="428.05"/>
    <n v="770.49"/>
  </r>
  <r>
    <s v="T02837"/>
    <d v="2025-02-26T00:00:00"/>
    <s v="C052"/>
    <s v="P031"/>
    <s v="S001"/>
    <n v="4"/>
    <n v="0.15"/>
    <x v="2"/>
    <s v="Billy Hernandez"/>
    <x v="39"/>
    <x v="2"/>
    <x v="3"/>
    <n v="1095.72"/>
    <n v="3725.4479999999999"/>
  </r>
  <r>
    <s v="T02838"/>
    <d v="2025-02-22T00:00:00"/>
    <s v="C075"/>
    <s v="P048"/>
    <s v="S005"/>
    <n v="1"/>
    <n v="0.05"/>
    <x v="2"/>
    <s v="Seth Moore"/>
    <x v="11"/>
    <x v="0"/>
    <x v="4"/>
    <n v="1216.3599999999999"/>
    <n v="1155.5419999999999"/>
  </r>
  <r>
    <s v="T02839"/>
    <d v="2023-12-21T00:00:00"/>
    <s v="C161"/>
    <s v="P026"/>
    <s v="S002"/>
    <n v="3"/>
    <n v="0.15"/>
    <x v="3"/>
    <s v="Michael Perez"/>
    <x v="15"/>
    <x v="2"/>
    <x v="2"/>
    <n v="1015.76"/>
    <n v="2590.1879999999996"/>
  </r>
  <r>
    <s v="T02840"/>
    <d v="2025-01-29T00:00:00"/>
    <s v="C113"/>
    <s v="P038"/>
    <s v="S001"/>
    <n v="2"/>
    <n v="0.1"/>
    <x v="2"/>
    <s v="Heidi Wilson"/>
    <x v="41"/>
    <x v="0"/>
    <x v="3"/>
    <n v="366.93"/>
    <n v="660.47400000000005"/>
  </r>
  <r>
    <s v="T02841"/>
    <d v="2025-08-20T00:00:00"/>
    <s v="C037"/>
    <s v="P027"/>
    <s v="S005"/>
    <n v="3"/>
    <n v="0"/>
    <x v="3"/>
    <s v="Miranda Nelson"/>
    <x v="34"/>
    <x v="1"/>
    <x v="4"/>
    <n v="1272.23"/>
    <n v="3816.69"/>
  </r>
  <r>
    <s v="T02842"/>
    <d v="2025-03-12T00:00:00"/>
    <s v="C176"/>
    <s v="P017"/>
    <s v="S001"/>
    <n v="4"/>
    <n v="0"/>
    <x v="2"/>
    <s v="Peter Garcia"/>
    <x v="43"/>
    <x v="1"/>
    <x v="3"/>
    <n v="1246.1099999999999"/>
    <n v="4984.4399999999996"/>
  </r>
  <r>
    <s v="T02843"/>
    <d v="2024-09-10T00:00:00"/>
    <s v="C186"/>
    <s v="P002"/>
    <s v="S003"/>
    <n v="3"/>
    <n v="0"/>
    <x v="2"/>
    <s v="Vicki Guzman"/>
    <x v="2"/>
    <x v="1"/>
    <x v="0"/>
    <n v="818.76"/>
    <n v="2456.2799999999997"/>
  </r>
  <r>
    <s v="T02844"/>
    <d v="2024-03-07T00:00:00"/>
    <s v="C027"/>
    <s v="P011"/>
    <s v="S002"/>
    <n v="1"/>
    <n v="0.15"/>
    <x v="3"/>
    <s v="Jacqueline Martin"/>
    <x v="17"/>
    <x v="1"/>
    <x v="2"/>
    <n v="248.57"/>
    <n v="211.28449999999998"/>
  </r>
  <r>
    <s v="T02845"/>
    <d v="2024-06-20T00:00:00"/>
    <s v="C145"/>
    <s v="P007"/>
    <s v="S001"/>
    <n v="4"/>
    <n v="0"/>
    <x v="2"/>
    <s v="Paige Osborne"/>
    <x v="18"/>
    <x v="1"/>
    <x v="3"/>
    <n v="1474.12"/>
    <n v="5896.48"/>
  </r>
  <r>
    <s v="T02846"/>
    <d v="2024-07-15T00:00:00"/>
    <s v="C196"/>
    <s v="P028"/>
    <s v="S001"/>
    <n v="5"/>
    <n v="0"/>
    <x v="3"/>
    <s v="James Noble"/>
    <x v="25"/>
    <x v="1"/>
    <x v="3"/>
    <n v="673.78"/>
    <n v="3368.8999999999996"/>
  </r>
  <r>
    <s v="T02847"/>
    <d v="2024-08-24T00:00:00"/>
    <s v="C167"/>
    <s v="P006"/>
    <s v="S004"/>
    <n v="5"/>
    <n v="0.15"/>
    <x v="0"/>
    <s v="Kimberly Lin"/>
    <x v="35"/>
    <x v="2"/>
    <x v="1"/>
    <n v="318.05"/>
    <n v="1351.7124999999999"/>
  </r>
  <r>
    <s v="T02848"/>
    <d v="2025-04-01T00:00:00"/>
    <s v="C176"/>
    <s v="P032"/>
    <s v="S005"/>
    <n v="4"/>
    <n v="0.15"/>
    <x v="2"/>
    <s v="Peter Garcia"/>
    <x v="44"/>
    <x v="2"/>
    <x v="4"/>
    <n v="304.70999999999998"/>
    <n v="1036.0139999999999"/>
  </r>
  <r>
    <s v="T02849"/>
    <d v="2025-05-30T00:00:00"/>
    <s v="C175"/>
    <s v="P017"/>
    <s v="S004"/>
    <n v="5"/>
    <n v="0.1"/>
    <x v="0"/>
    <s v="Stacey Thompson"/>
    <x v="43"/>
    <x v="1"/>
    <x v="1"/>
    <n v="1246.1099999999999"/>
    <n v="5607.4949999999999"/>
  </r>
  <r>
    <s v="T02850"/>
    <d v="2024-10-08T00:00:00"/>
    <s v="C163"/>
    <s v="P010"/>
    <s v="S004"/>
    <n v="4"/>
    <n v="0.05"/>
    <x v="1"/>
    <s v="Erin Rogers"/>
    <x v="36"/>
    <x v="1"/>
    <x v="1"/>
    <n v="1194.1199999999999"/>
    <n v="4537.655999999999"/>
  </r>
  <r>
    <s v="T02851"/>
    <d v="2024-09-07T00:00:00"/>
    <s v="C138"/>
    <s v="P008"/>
    <s v="S003"/>
    <n v="2"/>
    <n v="0.05"/>
    <x v="0"/>
    <s v="Breanna Moore"/>
    <x v="48"/>
    <x v="0"/>
    <x v="0"/>
    <n v="109.78"/>
    <n v="208.58199999999999"/>
  </r>
  <r>
    <s v="T02852"/>
    <d v="2023-10-15T00:00:00"/>
    <s v="C164"/>
    <s v="P014"/>
    <s v="S002"/>
    <n v="4"/>
    <n v="0.1"/>
    <x v="2"/>
    <s v="Linda Vasquez"/>
    <x v="0"/>
    <x v="0"/>
    <x v="2"/>
    <n v="1342.75"/>
    <n v="4833.9000000000005"/>
  </r>
  <r>
    <s v="T02853"/>
    <d v="2024-01-18T00:00:00"/>
    <s v="C095"/>
    <s v="P030"/>
    <s v="S001"/>
    <n v="4"/>
    <n v="0.1"/>
    <x v="2"/>
    <s v="Kevin Snyder"/>
    <x v="1"/>
    <x v="0"/>
    <x v="3"/>
    <n v="29.24"/>
    <n v="105.264"/>
  </r>
  <r>
    <s v="T02854"/>
    <d v="2025-01-30T00:00:00"/>
    <s v="C011"/>
    <s v="P022"/>
    <s v="S004"/>
    <n v="4"/>
    <n v="0.05"/>
    <x v="1"/>
    <s v="Haley Williams"/>
    <x v="9"/>
    <x v="2"/>
    <x v="1"/>
    <n v="25.57"/>
    <n v="97.165999999999997"/>
  </r>
  <r>
    <s v="T02855"/>
    <d v="2024-07-01T00:00:00"/>
    <s v="C033"/>
    <s v="P025"/>
    <s v="S003"/>
    <n v="2"/>
    <n v="0.15"/>
    <x v="1"/>
    <s v="Jenny Beck"/>
    <x v="33"/>
    <x v="0"/>
    <x v="0"/>
    <n v="429.15"/>
    <n v="729.55499999999995"/>
  </r>
  <r>
    <s v="T02856"/>
    <d v="2024-08-06T00:00:00"/>
    <s v="C107"/>
    <s v="P011"/>
    <s v="S004"/>
    <n v="4"/>
    <n v="0.15"/>
    <x v="1"/>
    <s v="Victoria Hansen"/>
    <x v="17"/>
    <x v="1"/>
    <x v="1"/>
    <n v="248.57"/>
    <n v="845.13799999999992"/>
  </r>
  <r>
    <s v="T02857"/>
    <d v="2024-11-01T00:00:00"/>
    <s v="C119"/>
    <s v="P049"/>
    <s v="S003"/>
    <n v="3"/>
    <n v="0.1"/>
    <x v="1"/>
    <s v="Jason Lloyd"/>
    <x v="29"/>
    <x v="0"/>
    <x v="0"/>
    <n v="388.26"/>
    <n v="1048.3019999999999"/>
  </r>
  <r>
    <s v="T02858"/>
    <d v="2024-01-01T00:00:00"/>
    <s v="C035"/>
    <s v="P039"/>
    <s v="S005"/>
    <n v="2"/>
    <n v="0.05"/>
    <x v="2"/>
    <s v="Kimberly King"/>
    <x v="22"/>
    <x v="0"/>
    <x v="4"/>
    <n v="540.94000000000005"/>
    <n v="1027.7860000000001"/>
  </r>
  <r>
    <s v="T02859"/>
    <d v="2025-06-25T00:00:00"/>
    <s v="C183"/>
    <s v="P021"/>
    <s v="S002"/>
    <n v="5"/>
    <n v="0.05"/>
    <x v="0"/>
    <s v="Mary Dawson"/>
    <x v="23"/>
    <x v="2"/>
    <x v="2"/>
    <n v="1227.24"/>
    <n v="5829.3899999999994"/>
  </r>
  <r>
    <s v="T02860"/>
    <d v="2025-07-07T00:00:00"/>
    <s v="C119"/>
    <s v="P004"/>
    <s v="S005"/>
    <n v="4"/>
    <n v="0.1"/>
    <x v="0"/>
    <s v="Jason Lloyd"/>
    <x v="49"/>
    <x v="0"/>
    <x v="4"/>
    <n v="1853.77"/>
    <n v="6673.5720000000001"/>
  </r>
  <r>
    <s v="T02861"/>
    <d v="2024-06-22T00:00:00"/>
    <s v="C055"/>
    <s v="P036"/>
    <s v="S004"/>
    <n v="2"/>
    <n v="0.15"/>
    <x v="3"/>
    <s v="Deborah Moody"/>
    <x v="4"/>
    <x v="0"/>
    <x v="1"/>
    <n v="1501.46"/>
    <n v="2552.482"/>
  </r>
  <r>
    <s v="T02862"/>
    <d v="2024-08-28T00:00:00"/>
    <s v="C139"/>
    <s v="P021"/>
    <s v="S004"/>
    <n v="3"/>
    <n v="0.15"/>
    <x v="3"/>
    <s v="Alexander Mcfarland"/>
    <x v="23"/>
    <x v="2"/>
    <x v="1"/>
    <n v="1227.24"/>
    <n v="3129.462"/>
  </r>
  <r>
    <s v="T02863"/>
    <d v="2025-06-02T00:00:00"/>
    <s v="C052"/>
    <s v="P012"/>
    <s v="S002"/>
    <n v="3"/>
    <n v="0.05"/>
    <x v="1"/>
    <s v="Billy Hernandez"/>
    <x v="38"/>
    <x v="1"/>
    <x v="2"/>
    <n v="1193.0899999999999"/>
    <n v="3400.3064999999992"/>
  </r>
  <r>
    <s v="T02864"/>
    <d v="2025-01-17T00:00:00"/>
    <s v="C133"/>
    <s v="P031"/>
    <s v="S004"/>
    <n v="2"/>
    <n v="0.15"/>
    <x v="3"/>
    <s v="Yvette Roth"/>
    <x v="39"/>
    <x v="2"/>
    <x v="1"/>
    <n v="1095.72"/>
    <n v="1862.7239999999999"/>
  </r>
  <r>
    <s v="T02865"/>
    <d v="2025-02-26T00:00:00"/>
    <s v="C178"/>
    <s v="P046"/>
    <s v="S002"/>
    <n v="4"/>
    <n v="0.05"/>
    <x v="0"/>
    <s v="Mark Mcdonald"/>
    <x v="42"/>
    <x v="0"/>
    <x v="2"/>
    <n v="1165.3699999999999"/>
    <n v="4428.405999999999"/>
  </r>
  <r>
    <s v="T02866"/>
    <d v="2023-11-14T00:00:00"/>
    <s v="C191"/>
    <s v="P012"/>
    <s v="S005"/>
    <n v="2"/>
    <n v="0.15"/>
    <x v="2"/>
    <s v="Karen Quinn"/>
    <x v="38"/>
    <x v="1"/>
    <x v="4"/>
    <n v="1193.0899999999999"/>
    <n v="2028.2529999999997"/>
  </r>
  <r>
    <s v="T02867"/>
    <d v="2023-12-25T00:00:00"/>
    <s v="C039"/>
    <s v="P010"/>
    <s v="S004"/>
    <n v="3"/>
    <n v="0.15"/>
    <x v="2"/>
    <s v="Nancy Savage"/>
    <x v="36"/>
    <x v="1"/>
    <x v="1"/>
    <n v="1194.1199999999999"/>
    <n v="3045.0059999999999"/>
  </r>
  <r>
    <s v="T02868"/>
    <d v="2024-05-03T00:00:00"/>
    <s v="C190"/>
    <s v="P021"/>
    <s v="S002"/>
    <n v="4"/>
    <n v="0.1"/>
    <x v="3"/>
    <s v="Daniel Lawson"/>
    <x v="23"/>
    <x v="2"/>
    <x v="2"/>
    <n v="1227.24"/>
    <n v="4418.0640000000003"/>
  </r>
  <r>
    <s v="T02869"/>
    <d v="2024-06-02T00:00:00"/>
    <s v="C174"/>
    <s v="P004"/>
    <s v="S001"/>
    <n v="1"/>
    <n v="0"/>
    <x v="3"/>
    <s v="Scott Howell"/>
    <x v="49"/>
    <x v="0"/>
    <x v="3"/>
    <n v="1853.77"/>
    <n v="1853.77"/>
  </r>
  <r>
    <s v="T02870"/>
    <d v="2024-03-31T00:00:00"/>
    <s v="C003"/>
    <s v="P005"/>
    <s v="S001"/>
    <n v="3"/>
    <n v="0"/>
    <x v="0"/>
    <s v="Carol Hays"/>
    <x v="6"/>
    <x v="0"/>
    <x v="3"/>
    <n v="1396.22"/>
    <n v="4188.66"/>
  </r>
  <r>
    <s v="T02871"/>
    <d v="2024-02-07T00:00:00"/>
    <s v="C092"/>
    <s v="P012"/>
    <s v="S002"/>
    <n v="2"/>
    <n v="0.05"/>
    <x v="0"/>
    <s v="Lindsey Holder"/>
    <x v="38"/>
    <x v="1"/>
    <x v="2"/>
    <n v="1193.0899999999999"/>
    <n v="2266.8709999999996"/>
  </r>
  <r>
    <s v="T02872"/>
    <d v="2024-06-06T00:00:00"/>
    <s v="C017"/>
    <s v="P044"/>
    <s v="S003"/>
    <n v="5"/>
    <n v="0.1"/>
    <x v="1"/>
    <s v="Vanessa Anderson"/>
    <x v="32"/>
    <x v="0"/>
    <x v="0"/>
    <n v="1286.55"/>
    <n v="5789.4750000000004"/>
  </r>
  <r>
    <s v="T02873"/>
    <d v="2024-03-11T00:00:00"/>
    <s v="C122"/>
    <s v="P029"/>
    <s v="S003"/>
    <n v="2"/>
    <n v="0.1"/>
    <x v="0"/>
    <s v="Amy Smith"/>
    <x v="47"/>
    <x v="0"/>
    <x v="0"/>
    <n v="1485.05"/>
    <n v="2673.09"/>
  </r>
  <r>
    <s v="T02874"/>
    <d v="2023-12-19T00:00:00"/>
    <s v="C026"/>
    <s v="P024"/>
    <s v="S005"/>
    <n v="2"/>
    <n v="0.05"/>
    <x v="2"/>
    <s v="Justin Macdonald"/>
    <x v="14"/>
    <x v="1"/>
    <x v="4"/>
    <n v="1487.41"/>
    <n v="2826.0790000000002"/>
  </r>
  <r>
    <s v="T02875"/>
    <d v="2024-10-24T00:00:00"/>
    <s v="C107"/>
    <s v="P043"/>
    <s v="S001"/>
    <n v="5"/>
    <n v="0.15"/>
    <x v="2"/>
    <s v="Victoria Hansen"/>
    <x v="45"/>
    <x v="0"/>
    <x v="3"/>
    <n v="564.41999999999996"/>
    <n v="2398.7849999999999"/>
  </r>
  <r>
    <s v="T02876"/>
    <d v="2024-12-27T00:00:00"/>
    <s v="C144"/>
    <s v="P041"/>
    <s v="S005"/>
    <n v="4"/>
    <n v="0.1"/>
    <x v="2"/>
    <s v="Betty Johnson"/>
    <x v="30"/>
    <x v="1"/>
    <x v="4"/>
    <n v="1635.01"/>
    <n v="5886.0360000000001"/>
  </r>
  <r>
    <s v="T02877"/>
    <d v="2024-10-05T00:00:00"/>
    <s v="C030"/>
    <s v="P023"/>
    <s v="S002"/>
    <n v="4"/>
    <n v="0"/>
    <x v="3"/>
    <s v="Lacey Hall"/>
    <x v="20"/>
    <x v="0"/>
    <x v="2"/>
    <n v="1878.47"/>
    <n v="7513.88"/>
  </r>
  <r>
    <s v="T02878"/>
    <d v="2025-06-13T00:00:00"/>
    <s v="C035"/>
    <s v="P018"/>
    <s v="S004"/>
    <n v="4"/>
    <n v="0.15"/>
    <x v="1"/>
    <s v="Kimberly King"/>
    <x v="19"/>
    <x v="1"/>
    <x v="1"/>
    <n v="1079.8900000000001"/>
    <n v="3671.6260000000002"/>
  </r>
  <r>
    <s v="T02879"/>
    <d v="2025-08-23T00:00:00"/>
    <s v="C044"/>
    <s v="P031"/>
    <s v="S001"/>
    <n v="5"/>
    <n v="0.1"/>
    <x v="1"/>
    <s v="Parker Sparks"/>
    <x v="39"/>
    <x v="2"/>
    <x v="3"/>
    <n v="1095.72"/>
    <n v="4930.7400000000007"/>
  </r>
  <r>
    <s v="T02880"/>
    <d v="2025-07-28T00:00:00"/>
    <s v="C150"/>
    <s v="P002"/>
    <s v="S005"/>
    <n v="2"/>
    <n v="0.15"/>
    <x v="3"/>
    <s v="Francis Hernandez"/>
    <x v="2"/>
    <x v="1"/>
    <x v="4"/>
    <n v="818.76"/>
    <n v="1391.8920000000001"/>
  </r>
  <r>
    <s v="T02881"/>
    <d v="2024-11-30T00:00:00"/>
    <s v="C126"/>
    <s v="P033"/>
    <s v="S005"/>
    <n v="3"/>
    <n v="0.1"/>
    <x v="3"/>
    <s v="Monique Johnson"/>
    <x v="16"/>
    <x v="0"/>
    <x v="4"/>
    <n v="1798.97"/>
    <n v="4857.2190000000001"/>
  </r>
  <r>
    <s v="T02882"/>
    <d v="2024-06-22T00:00:00"/>
    <s v="C095"/>
    <s v="P046"/>
    <s v="S001"/>
    <n v="2"/>
    <n v="0.05"/>
    <x v="0"/>
    <s v="Kevin Snyder"/>
    <x v="42"/>
    <x v="0"/>
    <x v="3"/>
    <n v="1165.3699999999999"/>
    <n v="2214.2029999999995"/>
  </r>
  <r>
    <s v="T02883"/>
    <d v="2025-05-17T00:00:00"/>
    <s v="C174"/>
    <s v="P048"/>
    <s v="S004"/>
    <n v="2"/>
    <n v="0"/>
    <x v="2"/>
    <s v="Scott Howell"/>
    <x v="11"/>
    <x v="0"/>
    <x v="1"/>
    <n v="1216.3599999999999"/>
    <n v="2432.7199999999998"/>
  </r>
  <r>
    <s v="T02884"/>
    <d v="2024-04-06T00:00:00"/>
    <s v="C163"/>
    <s v="P030"/>
    <s v="S003"/>
    <n v="3"/>
    <n v="0"/>
    <x v="0"/>
    <s v="Erin Rogers"/>
    <x v="1"/>
    <x v="0"/>
    <x v="0"/>
    <n v="29.24"/>
    <n v="87.72"/>
  </r>
  <r>
    <s v="T02885"/>
    <d v="2023-12-28T00:00:00"/>
    <s v="C155"/>
    <s v="P025"/>
    <s v="S004"/>
    <n v="1"/>
    <n v="0.15"/>
    <x v="2"/>
    <s v="Jill Mcconnell"/>
    <x v="33"/>
    <x v="0"/>
    <x v="1"/>
    <n v="429.15"/>
    <n v="364.77749999999997"/>
  </r>
  <r>
    <s v="T02886"/>
    <d v="2023-09-14T00:00:00"/>
    <s v="C094"/>
    <s v="P004"/>
    <s v="S003"/>
    <n v="2"/>
    <n v="0.1"/>
    <x v="3"/>
    <s v="Kimberly Stokes"/>
    <x v="49"/>
    <x v="0"/>
    <x v="0"/>
    <n v="1853.77"/>
    <n v="3336.7860000000001"/>
  </r>
  <r>
    <s v="T02887"/>
    <d v="2024-04-14T00:00:00"/>
    <s v="C126"/>
    <s v="P047"/>
    <s v="S003"/>
    <n v="2"/>
    <n v="0"/>
    <x v="2"/>
    <s v="Monique Johnson"/>
    <x v="28"/>
    <x v="1"/>
    <x v="0"/>
    <n v="1197.18"/>
    <n v="2394.36"/>
  </r>
  <r>
    <s v="T02888"/>
    <d v="2025-04-01T00:00:00"/>
    <s v="C180"/>
    <s v="P038"/>
    <s v="S003"/>
    <n v="3"/>
    <n v="0.15"/>
    <x v="1"/>
    <s v="Nichole Calhoun"/>
    <x v="41"/>
    <x v="0"/>
    <x v="0"/>
    <n v="366.93"/>
    <n v="935.67149999999992"/>
  </r>
  <r>
    <s v="T02889"/>
    <d v="2025-01-30T00:00:00"/>
    <s v="C087"/>
    <s v="P016"/>
    <s v="S001"/>
    <n v="3"/>
    <n v="0.15"/>
    <x v="3"/>
    <s v="Laurie Mason"/>
    <x v="13"/>
    <x v="0"/>
    <x v="3"/>
    <n v="1858.75"/>
    <n v="4739.8125"/>
  </r>
  <r>
    <s v="T02890"/>
    <d v="2024-11-07T00:00:00"/>
    <s v="C086"/>
    <s v="P039"/>
    <s v="S005"/>
    <n v="1"/>
    <n v="0.05"/>
    <x v="3"/>
    <s v="Lawrence Hunter"/>
    <x v="22"/>
    <x v="0"/>
    <x v="4"/>
    <n v="540.94000000000005"/>
    <n v="513.89300000000003"/>
  </r>
  <r>
    <s v="T02891"/>
    <d v="2024-06-11T00:00:00"/>
    <s v="C189"/>
    <s v="P015"/>
    <s v="S005"/>
    <n v="1"/>
    <n v="0.1"/>
    <x v="1"/>
    <s v="Steve Flynn"/>
    <x v="40"/>
    <x v="0"/>
    <x v="4"/>
    <n v="270.45"/>
    <n v="243.405"/>
  </r>
  <r>
    <s v="T02892"/>
    <d v="2025-04-28T00:00:00"/>
    <s v="C052"/>
    <s v="P010"/>
    <s v="S004"/>
    <n v="4"/>
    <n v="0.15"/>
    <x v="3"/>
    <s v="Billy Hernandez"/>
    <x v="36"/>
    <x v="1"/>
    <x v="1"/>
    <n v="1194.1199999999999"/>
    <n v="4060.0079999999994"/>
  </r>
  <r>
    <s v="T02893"/>
    <d v="2025-05-15T00:00:00"/>
    <s v="C178"/>
    <s v="P002"/>
    <s v="S003"/>
    <n v="4"/>
    <n v="0.1"/>
    <x v="0"/>
    <s v="Mark Mcdonald"/>
    <x v="2"/>
    <x v="1"/>
    <x v="0"/>
    <n v="818.76"/>
    <n v="2947.5360000000001"/>
  </r>
  <r>
    <s v="T02894"/>
    <d v="2024-01-15T00:00:00"/>
    <s v="C132"/>
    <s v="P011"/>
    <s v="S004"/>
    <n v="4"/>
    <n v="0.1"/>
    <x v="2"/>
    <s v="Jared Ochoa"/>
    <x v="17"/>
    <x v="1"/>
    <x v="1"/>
    <n v="248.57"/>
    <n v="894.85199999999998"/>
  </r>
  <r>
    <s v="T02895"/>
    <d v="2024-01-30T00:00:00"/>
    <s v="C089"/>
    <s v="P021"/>
    <s v="S003"/>
    <n v="5"/>
    <n v="0.05"/>
    <x v="1"/>
    <s v="William Warner"/>
    <x v="23"/>
    <x v="2"/>
    <x v="0"/>
    <n v="1227.24"/>
    <n v="5829.3899999999994"/>
  </r>
  <r>
    <s v="T02896"/>
    <d v="2024-12-18T00:00:00"/>
    <s v="C073"/>
    <s v="P019"/>
    <s v="S003"/>
    <n v="1"/>
    <n v="0.15"/>
    <x v="3"/>
    <s v="Carl Armstrong"/>
    <x v="26"/>
    <x v="1"/>
    <x v="0"/>
    <n v="1762.92"/>
    <n v="1498.482"/>
  </r>
  <r>
    <s v="T02897"/>
    <d v="2024-04-05T00:00:00"/>
    <s v="C171"/>
    <s v="P014"/>
    <s v="S003"/>
    <n v="5"/>
    <n v="0"/>
    <x v="3"/>
    <s v="Christina Dominguez"/>
    <x v="0"/>
    <x v="0"/>
    <x v="0"/>
    <n v="1342.75"/>
    <n v="6713.75"/>
  </r>
  <r>
    <s v="T02898"/>
    <d v="2024-10-13T00:00:00"/>
    <s v="C033"/>
    <s v="P008"/>
    <s v="S001"/>
    <n v="2"/>
    <n v="0"/>
    <x v="2"/>
    <s v="Jenny Beck"/>
    <x v="48"/>
    <x v="0"/>
    <x v="3"/>
    <n v="109.78"/>
    <n v="219.56"/>
  </r>
  <r>
    <s v="T02899"/>
    <d v="2024-05-18T00:00:00"/>
    <s v="C096"/>
    <s v="P033"/>
    <s v="S001"/>
    <n v="2"/>
    <n v="0.05"/>
    <x v="3"/>
    <s v="Eric King"/>
    <x v="16"/>
    <x v="0"/>
    <x v="3"/>
    <n v="1798.97"/>
    <n v="3418.0429999999997"/>
  </r>
  <r>
    <s v="T02900"/>
    <d v="2023-12-02T00:00:00"/>
    <s v="C020"/>
    <s v="P025"/>
    <s v="S001"/>
    <n v="1"/>
    <n v="0.1"/>
    <x v="3"/>
    <s v="Ryan Cole"/>
    <x v="33"/>
    <x v="0"/>
    <x v="3"/>
    <n v="429.15"/>
    <n v="386.23500000000001"/>
  </r>
  <r>
    <s v="T02901"/>
    <d v="2025-07-02T00:00:00"/>
    <s v="C040"/>
    <s v="P021"/>
    <s v="S005"/>
    <n v="4"/>
    <n v="0.1"/>
    <x v="3"/>
    <s v="Scott Powell"/>
    <x v="23"/>
    <x v="2"/>
    <x v="4"/>
    <n v="1227.24"/>
    <n v="4418.0640000000003"/>
  </r>
  <r>
    <s v="T02902"/>
    <d v="2025-05-15T00:00:00"/>
    <s v="C157"/>
    <s v="P049"/>
    <s v="S001"/>
    <n v="1"/>
    <n v="0.05"/>
    <x v="2"/>
    <s v="Connie Terry"/>
    <x v="29"/>
    <x v="0"/>
    <x v="3"/>
    <n v="388.26"/>
    <n v="368.84699999999998"/>
  </r>
  <r>
    <s v="T02903"/>
    <d v="2025-03-02T00:00:00"/>
    <s v="C191"/>
    <s v="P038"/>
    <s v="S001"/>
    <n v="2"/>
    <n v="0"/>
    <x v="3"/>
    <s v="Karen Quinn"/>
    <x v="41"/>
    <x v="0"/>
    <x v="3"/>
    <n v="366.93"/>
    <n v="733.86"/>
  </r>
  <r>
    <s v="T02904"/>
    <d v="2024-04-01T00:00:00"/>
    <s v="C001"/>
    <s v="P025"/>
    <s v="S004"/>
    <n v="2"/>
    <n v="0.05"/>
    <x v="3"/>
    <s v="Michael Davis"/>
    <x v="33"/>
    <x v="0"/>
    <x v="1"/>
    <n v="429.15"/>
    <n v="815.38499999999988"/>
  </r>
  <r>
    <s v="T02905"/>
    <d v="2024-11-17T00:00:00"/>
    <s v="C184"/>
    <s v="P035"/>
    <s v="S001"/>
    <n v="4"/>
    <n v="0.1"/>
    <x v="2"/>
    <s v="Daniel Mcintyre"/>
    <x v="7"/>
    <x v="1"/>
    <x v="3"/>
    <n v="1562.43"/>
    <n v="5624.7480000000005"/>
  </r>
  <r>
    <s v="T02906"/>
    <d v="2025-02-09T00:00:00"/>
    <s v="C122"/>
    <s v="P022"/>
    <s v="S002"/>
    <n v="4"/>
    <n v="0.05"/>
    <x v="1"/>
    <s v="Amy Smith"/>
    <x v="9"/>
    <x v="2"/>
    <x v="2"/>
    <n v="25.57"/>
    <n v="97.165999999999997"/>
  </r>
  <r>
    <s v="T02907"/>
    <d v="2024-09-20T00:00:00"/>
    <s v="C074"/>
    <s v="P008"/>
    <s v="S005"/>
    <n v="1"/>
    <n v="0.15"/>
    <x v="2"/>
    <s v="Jesus Singh"/>
    <x v="48"/>
    <x v="0"/>
    <x v="4"/>
    <n v="109.78"/>
    <n v="93.313000000000002"/>
  </r>
  <r>
    <s v="T02908"/>
    <d v="2024-04-10T00:00:00"/>
    <s v="C130"/>
    <s v="P037"/>
    <s v="S001"/>
    <n v="1"/>
    <n v="0.05"/>
    <x v="2"/>
    <s v="Aaron Bailey"/>
    <x v="27"/>
    <x v="1"/>
    <x v="3"/>
    <n v="1952.65"/>
    <n v="1855.0174999999999"/>
  </r>
  <r>
    <s v="T02909"/>
    <d v="2025-03-14T00:00:00"/>
    <s v="C068"/>
    <s v="P009"/>
    <s v="S002"/>
    <n v="5"/>
    <n v="0.05"/>
    <x v="3"/>
    <s v="Alexandra Montoya"/>
    <x v="5"/>
    <x v="2"/>
    <x v="2"/>
    <n v="123.19"/>
    <n v="585.15250000000003"/>
  </r>
  <r>
    <s v="T02910"/>
    <d v="2025-08-07T00:00:00"/>
    <s v="C180"/>
    <s v="P008"/>
    <s v="S001"/>
    <n v="2"/>
    <n v="0.05"/>
    <x v="0"/>
    <s v="Nichole Calhoun"/>
    <x v="48"/>
    <x v="0"/>
    <x v="3"/>
    <n v="109.78"/>
    <n v="208.58199999999999"/>
  </r>
  <r>
    <s v="T02911"/>
    <d v="2024-06-23T00:00:00"/>
    <s v="C194"/>
    <s v="P028"/>
    <s v="S002"/>
    <n v="2"/>
    <n v="0.15"/>
    <x v="0"/>
    <s v="Ann West"/>
    <x v="25"/>
    <x v="1"/>
    <x v="2"/>
    <n v="673.78"/>
    <n v="1145.4259999999999"/>
  </r>
  <r>
    <s v="T02912"/>
    <d v="2024-07-05T00:00:00"/>
    <s v="C154"/>
    <s v="P028"/>
    <s v="S004"/>
    <n v="5"/>
    <n v="0.1"/>
    <x v="2"/>
    <s v="Lisa Martinez"/>
    <x v="25"/>
    <x v="1"/>
    <x v="1"/>
    <n v="673.78"/>
    <n v="3032.0099999999998"/>
  </r>
  <r>
    <s v="T02913"/>
    <d v="2025-09-09T00:00:00"/>
    <s v="C110"/>
    <s v="P049"/>
    <s v="S003"/>
    <n v="3"/>
    <n v="0.05"/>
    <x v="3"/>
    <s v="Travis Peters"/>
    <x v="29"/>
    <x v="0"/>
    <x v="0"/>
    <n v="388.26"/>
    <n v="1106.5409999999999"/>
  </r>
  <r>
    <s v="T02914"/>
    <d v="2024-03-21T00:00:00"/>
    <s v="C168"/>
    <s v="P004"/>
    <s v="S003"/>
    <n v="3"/>
    <n v="0.05"/>
    <x v="3"/>
    <s v="Richard Jones"/>
    <x v="49"/>
    <x v="0"/>
    <x v="0"/>
    <n v="1853.77"/>
    <n v="5283.2444999999989"/>
  </r>
  <r>
    <s v="T02915"/>
    <d v="2024-06-27T00:00:00"/>
    <s v="C016"/>
    <s v="P002"/>
    <s v="S001"/>
    <n v="4"/>
    <n v="0.1"/>
    <x v="3"/>
    <s v="Miguel Johnson"/>
    <x v="2"/>
    <x v="1"/>
    <x v="3"/>
    <n v="818.76"/>
    <n v="2947.5360000000001"/>
  </r>
  <r>
    <s v="T02916"/>
    <d v="2023-12-07T00:00:00"/>
    <s v="C159"/>
    <s v="P002"/>
    <s v="S004"/>
    <n v="1"/>
    <n v="0.15"/>
    <x v="3"/>
    <s v="Thomas Chung"/>
    <x v="2"/>
    <x v="1"/>
    <x v="1"/>
    <n v="818.76"/>
    <n v="695.94600000000003"/>
  </r>
  <r>
    <s v="T02917"/>
    <d v="2024-10-07T00:00:00"/>
    <s v="C191"/>
    <s v="P035"/>
    <s v="S001"/>
    <n v="3"/>
    <n v="0.1"/>
    <x v="3"/>
    <s v="Karen Quinn"/>
    <x v="7"/>
    <x v="1"/>
    <x v="3"/>
    <n v="1562.43"/>
    <n v="4218.5609999999997"/>
  </r>
  <r>
    <s v="T02918"/>
    <d v="2025-06-18T00:00:00"/>
    <s v="C146"/>
    <s v="P023"/>
    <s v="S003"/>
    <n v="3"/>
    <n v="0.15"/>
    <x v="0"/>
    <s v="John Johnson"/>
    <x v="20"/>
    <x v="0"/>
    <x v="0"/>
    <n v="1878.47"/>
    <n v="4790.0985000000001"/>
  </r>
  <r>
    <s v="T02919"/>
    <d v="2024-01-20T00:00:00"/>
    <s v="C191"/>
    <s v="P037"/>
    <s v="S004"/>
    <n v="3"/>
    <n v="0.15"/>
    <x v="0"/>
    <s v="Karen Quinn"/>
    <x v="27"/>
    <x v="1"/>
    <x v="1"/>
    <n v="1952.65"/>
    <n v="4979.2575000000006"/>
  </r>
  <r>
    <s v="T02920"/>
    <d v="2025-02-20T00:00:00"/>
    <s v="C196"/>
    <s v="P042"/>
    <s v="S004"/>
    <n v="3"/>
    <n v="0.05"/>
    <x v="2"/>
    <s v="James Noble"/>
    <x v="10"/>
    <x v="0"/>
    <x v="1"/>
    <n v="453.62"/>
    <n v="1292.817"/>
  </r>
  <r>
    <s v="T02921"/>
    <d v="2025-06-22T00:00:00"/>
    <s v="C151"/>
    <s v="P018"/>
    <s v="S002"/>
    <n v="1"/>
    <n v="0.1"/>
    <x v="1"/>
    <s v="Dawn Fletcher"/>
    <x v="19"/>
    <x v="1"/>
    <x v="2"/>
    <n v="1079.8900000000001"/>
    <n v="971.90100000000007"/>
  </r>
  <r>
    <s v="T02922"/>
    <d v="2024-09-06T00:00:00"/>
    <s v="C120"/>
    <s v="P048"/>
    <s v="S004"/>
    <n v="3"/>
    <n v="0.15"/>
    <x v="1"/>
    <s v="Curtis Faulkner"/>
    <x v="11"/>
    <x v="0"/>
    <x v="1"/>
    <n v="1216.3599999999999"/>
    <n v="3101.7179999999998"/>
  </r>
  <r>
    <s v="T02923"/>
    <d v="2025-01-09T00:00:00"/>
    <s v="C119"/>
    <s v="P023"/>
    <s v="S004"/>
    <n v="2"/>
    <n v="0.05"/>
    <x v="1"/>
    <s v="Jason Lloyd"/>
    <x v="20"/>
    <x v="0"/>
    <x v="1"/>
    <n v="1878.47"/>
    <n v="3569.0929999999998"/>
  </r>
  <r>
    <s v="T02924"/>
    <d v="2025-01-14T00:00:00"/>
    <s v="C108"/>
    <s v="P034"/>
    <s v="S001"/>
    <n v="2"/>
    <n v="0.1"/>
    <x v="1"/>
    <s v="Samantha Hill"/>
    <x v="12"/>
    <x v="1"/>
    <x v="3"/>
    <n v="428.05"/>
    <n v="770.49"/>
  </r>
  <r>
    <s v="T02925"/>
    <d v="2025-03-05T00:00:00"/>
    <s v="C162"/>
    <s v="P041"/>
    <s v="S002"/>
    <n v="4"/>
    <n v="0.1"/>
    <x v="3"/>
    <s v="Jill Roach"/>
    <x v="30"/>
    <x v="1"/>
    <x v="2"/>
    <n v="1635.01"/>
    <n v="5886.0360000000001"/>
  </r>
  <r>
    <s v="T02926"/>
    <d v="2024-08-16T00:00:00"/>
    <s v="C112"/>
    <s v="P014"/>
    <s v="S002"/>
    <n v="2"/>
    <n v="0.05"/>
    <x v="2"/>
    <s v="Jeffrey Smith"/>
    <x v="0"/>
    <x v="0"/>
    <x v="2"/>
    <n v="1342.75"/>
    <n v="2551.2249999999999"/>
  </r>
  <r>
    <s v="T02927"/>
    <d v="2024-03-18T00:00:00"/>
    <s v="C025"/>
    <s v="P014"/>
    <s v="S001"/>
    <n v="4"/>
    <n v="0.15"/>
    <x v="2"/>
    <s v="Cheryl Gilbert"/>
    <x v="0"/>
    <x v="0"/>
    <x v="3"/>
    <n v="1342.75"/>
    <n v="4565.3499999999995"/>
  </r>
  <r>
    <s v="T02928"/>
    <d v="2024-05-26T00:00:00"/>
    <s v="C070"/>
    <s v="P020"/>
    <s v="S003"/>
    <n v="2"/>
    <n v="0"/>
    <x v="1"/>
    <s v="Eric Bryan"/>
    <x v="24"/>
    <x v="0"/>
    <x v="0"/>
    <n v="323.92"/>
    <n v="647.84"/>
  </r>
  <r>
    <s v="T02929"/>
    <d v="2023-12-13T00:00:00"/>
    <s v="C101"/>
    <s v="P008"/>
    <s v="S002"/>
    <n v="3"/>
    <n v="0.1"/>
    <x v="2"/>
    <s v="William Pope"/>
    <x v="48"/>
    <x v="0"/>
    <x v="2"/>
    <n v="109.78"/>
    <n v="296.40600000000006"/>
  </r>
  <r>
    <s v="T02930"/>
    <d v="2023-12-19T00:00:00"/>
    <s v="C049"/>
    <s v="P001"/>
    <s v="S004"/>
    <n v="5"/>
    <n v="0.15"/>
    <x v="1"/>
    <s v="Antonio Hamilton"/>
    <x v="31"/>
    <x v="1"/>
    <x v="1"/>
    <n v="1673.69"/>
    <n v="7113.1825000000008"/>
  </r>
  <r>
    <s v="T02931"/>
    <d v="2023-10-09T00:00:00"/>
    <s v="C112"/>
    <s v="P007"/>
    <s v="S002"/>
    <n v="4"/>
    <n v="0"/>
    <x v="0"/>
    <s v="Jeffrey Smith"/>
    <x v="18"/>
    <x v="1"/>
    <x v="2"/>
    <n v="1474.12"/>
    <n v="5896.48"/>
  </r>
  <r>
    <s v="T02932"/>
    <d v="2024-05-05T00:00:00"/>
    <s v="C028"/>
    <s v="P008"/>
    <s v="S001"/>
    <n v="3"/>
    <n v="0.15"/>
    <x v="0"/>
    <s v="John Carr"/>
    <x v="48"/>
    <x v="0"/>
    <x v="3"/>
    <n v="109.78"/>
    <n v="279.93900000000002"/>
  </r>
  <r>
    <s v="T02933"/>
    <d v="2024-05-06T00:00:00"/>
    <s v="C037"/>
    <s v="P030"/>
    <s v="S002"/>
    <n v="5"/>
    <n v="0.15"/>
    <x v="2"/>
    <s v="Miranda Nelson"/>
    <x v="1"/>
    <x v="0"/>
    <x v="2"/>
    <n v="29.24"/>
    <n v="124.26999999999998"/>
  </r>
  <r>
    <s v="T02934"/>
    <d v="2024-07-15T00:00:00"/>
    <s v="C107"/>
    <s v="P013"/>
    <s v="S004"/>
    <n v="1"/>
    <n v="0.1"/>
    <x v="2"/>
    <s v="Victoria Hansen"/>
    <x v="21"/>
    <x v="0"/>
    <x v="1"/>
    <n v="1134.8"/>
    <n v="1021.3199999999999"/>
  </r>
  <r>
    <s v="T02935"/>
    <d v="2024-10-14T00:00:00"/>
    <s v="C087"/>
    <s v="P031"/>
    <s v="S003"/>
    <n v="5"/>
    <n v="0.15"/>
    <x v="3"/>
    <s v="Laurie Mason"/>
    <x v="39"/>
    <x v="2"/>
    <x v="0"/>
    <n v="1095.72"/>
    <n v="4656.8100000000004"/>
  </r>
  <r>
    <s v="T02936"/>
    <d v="2024-04-24T00:00:00"/>
    <s v="C154"/>
    <s v="P023"/>
    <s v="S002"/>
    <n v="5"/>
    <n v="0.1"/>
    <x v="0"/>
    <s v="Lisa Martinez"/>
    <x v="20"/>
    <x v="0"/>
    <x v="2"/>
    <n v="1878.47"/>
    <n v="8453.1149999999998"/>
  </r>
  <r>
    <s v="T02937"/>
    <d v="2024-04-19T00:00:00"/>
    <s v="C186"/>
    <s v="P026"/>
    <s v="S003"/>
    <n v="2"/>
    <n v="0.1"/>
    <x v="1"/>
    <s v="Vicki Guzman"/>
    <x v="15"/>
    <x v="2"/>
    <x v="0"/>
    <n v="1015.76"/>
    <n v="1828.3679999999999"/>
  </r>
  <r>
    <s v="T02938"/>
    <d v="2024-06-20T00:00:00"/>
    <s v="C017"/>
    <s v="P028"/>
    <s v="S001"/>
    <n v="4"/>
    <n v="0.1"/>
    <x v="1"/>
    <s v="Vanessa Anderson"/>
    <x v="25"/>
    <x v="1"/>
    <x v="3"/>
    <n v="673.78"/>
    <n v="2425.6080000000002"/>
  </r>
  <r>
    <s v="T02939"/>
    <d v="2023-12-22T00:00:00"/>
    <s v="C064"/>
    <s v="P038"/>
    <s v="S002"/>
    <n v="3"/>
    <n v="0.05"/>
    <x v="0"/>
    <s v="Amanda Hoover"/>
    <x v="41"/>
    <x v="0"/>
    <x v="2"/>
    <n v="366.93"/>
    <n v="1045.7504999999999"/>
  </r>
  <r>
    <s v="T02940"/>
    <d v="2024-02-21T00:00:00"/>
    <s v="C163"/>
    <s v="P044"/>
    <s v="S004"/>
    <n v="3"/>
    <n v="0.1"/>
    <x v="0"/>
    <s v="Erin Rogers"/>
    <x v="32"/>
    <x v="0"/>
    <x v="1"/>
    <n v="1286.55"/>
    <n v="3473.6849999999999"/>
  </r>
  <r>
    <s v="T02941"/>
    <d v="2025-08-01T00:00:00"/>
    <s v="C179"/>
    <s v="P009"/>
    <s v="S002"/>
    <n v="2"/>
    <n v="0.1"/>
    <x v="2"/>
    <s v="Dennis Wallace"/>
    <x v="5"/>
    <x v="2"/>
    <x v="2"/>
    <n v="123.19"/>
    <n v="221.74199999999999"/>
  </r>
  <r>
    <s v="T02942"/>
    <d v="2023-10-24T00:00:00"/>
    <s v="C182"/>
    <s v="P026"/>
    <s v="S005"/>
    <n v="5"/>
    <n v="0.05"/>
    <x v="2"/>
    <s v="Meghan Wright"/>
    <x v="15"/>
    <x v="2"/>
    <x v="4"/>
    <n v="1015.76"/>
    <n v="4824.8599999999997"/>
  </r>
  <r>
    <s v="T02943"/>
    <d v="2024-01-10T00:00:00"/>
    <s v="C126"/>
    <s v="P016"/>
    <s v="S005"/>
    <n v="4"/>
    <n v="0"/>
    <x v="0"/>
    <s v="Monique Johnson"/>
    <x v="13"/>
    <x v="0"/>
    <x v="4"/>
    <n v="1858.75"/>
    <n v="7435"/>
  </r>
  <r>
    <s v="T02944"/>
    <d v="2024-06-25T00:00:00"/>
    <s v="C131"/>
    <s v="P029"/>
    <s v="S001"/>
    <n v="4"/>
    <n v="0.05"/>
    <x v="0"/>
    <s v="Denise Jackson"/>
    <x v="47"/>
    <x v="0"/>
    <x v="3"/>
    <n v="1485.05"/>
    <n v="5643.19"/>
  </r>
  <r>
    <s v="T02945"/>
    <d v="2025-01-23T00:00:00"/>
    <s v="C021"/>
    <s v="P031"/>
    <s v="S005"/>
    <n v="4"/>
    <n v="0.15"/>
    <x v="0"/>
    <s v="Debbie Martin"/>
    <x v="39"/>
    <x v="2"/>
    <x v="4"/>
    <n v="1095.72"/>
    <n v="3725.4479999999999"/>
  </r>
  <r>
    <s v="T02946"/>
    <d v="2023-12-23T00:00:00"/>
    <s v="C018"/>
    <s v="P043"/>
    <s v="S004"/>
    <n v="4"/>
    <n v="0.05"/>
    <x v="0"/>
    <s v="Breanna Davis"/>
    <x v="45"/>
    <x v="0"/>
    <x v="1"/>
    <n v="564.41999999999996"/>
    <n v="2144.7959999999998"/>
  </r>
  <r>
    <s v="T02947"/>
    <d v="2023-10-12T00:00:00"/>
    <s v="C183"/>
    <s v="P019"/>
    <s v="S002"/>
    <n v="3"/>
    <n v="0"/>
    <x v="1"/>
    <s v="Mary Dawson"/>
    <x v="26"/>
    <x v="1"/>
    <x v="2"/>
    <n v="1762.92"/>
    <n v="5288.76"/>
  </r>
  <r>
    <s v="T02948"/>
    <d v="2024-03-23T00:00:00"/>
    <s v="C064"/>
    <s v="P001"/>
    <s v="S002"/>
    <n v="1"/>
    <n v="0.1"/>
    <x v="0"/>
    <s v="Amanda Hoover"/>
    <x v="31"/>
    <x v="1"/>
    <x v="2"/>
    <n v="1673.69"/>
    <n v="1506.3210000000001"/>
  </r>
  <r>
    <s v="T02949"/>
    <d v="2023-12-28T00:00:00"/>
    <s v="C159"/>
    <s v="P016"/>
    <s v="S004"/>
    <n v="5"/>
    <n v="0.05"/>
    <x v="0"/>
    <s v="Thomas Chung"/>
    <x v="13"/>
    <x v="0"/>
    <x v="1"/>
    <n v="1858.75"/>
    <n v="8829.0625"/>
  </r>
  <r>
    <s v="T02950"/>
    <d v="2024-08-04T00:00:00"/>
    <s v="C082"/>
    <s v="P045"/>
    <s v="S004"/>
    <n v="3"/>
    <n v="0.05"/>
    <x v="2"/>
    <s v="Amy Haley"/>
    <x v="8"/>
    <x v="2"/>
    <x v="1"/>
    <n v="1879.08"/>
    <n v="5355.3779999999997"/>
  </r>
  <r>
    <s v="T02951"/>
    <d v="2024-01-20T00:00:00"/>
    <s v="C153"/>
    <s v="P038"/>
    <s v="S005"/>
    <n v="1"/>
    <n v="0.1"/>
    <x v="3"/>
    <s v="Nancy Gordon"/>
    <x v="41"/>
    <x v="0"/>
    <x v="4"/>
    <n v="366.93"/>
    <n v="330.23700000000002"/>
  </r>
  <r>
    <s v="T02952"/>
    <d v="2025-04-21T00:00:00"/>
    <s v="C189"/>
    <s v="P033"/>
    <s v="S002"/>
    <n v="5"/>
    <n v="0.1"/>
    <x v="2"/>
    <s v="Steve Flynn"/>
    <x v="16"/>
    <x v="0"/>
    <x v="2"/>
    <n v="1798.97"/>
    <n v="8095.3650000000007"/>
  </r>
  <r>
    <s v="T02953"/>
    <d v="2025-03-18T00:00:00"/>
    <s v="C097"/>
    <s v="P017"/>
    <s v="S004"/>
    <n v="1"/>
    <n v="0.1"/>
    <x v="0"/>
    <s v="Evelyn Gray"/>
    <x v="43"/>
    <x v="1"/>
    <x v="1"/>
    <n v="1246.1099999999999"/>
    <n v="1121.499"/>
  </r>
  <r>
    <s v="T02954"/>
    <d v="2024-04-02T00:00:00"/>
    <s v="C053"/>
    <s v="P021"/>
    <s v="S002"/>
    <n v="3"/>
    <n v="0"/>
    <x v="3"/>
    <s v="Felicia Morgan"/>
    <x v="23"/>
    <x v="2"/>
    <x v="2"/>
    <n v="1227.24"/>
    <n v="3681.7200000000003"/>
  </r>
  <r>
    <s v="T02955"/>
    <d v="2024-01-10T00:00:00"/>
    <s v="C167"/>
    <s v="P013"/>
    <s v="S004"/>
    <n v="1"/>
    <n v="0.1"/>
    <x v="1"/>
    <s v="Kimberly Lin"/>
    <x v="21"/>
    <x v="0"/>
    <x v="1"/>
    <n v="1134.8"/>
    <n v="1021.3199999999999"/>
  </r>
  <r>
    <s v="T02956"/>
    <d v="2024-12-21T00:00:00"/>
    <s v="C199"/>
    <s v="P035"/>
    <s v="S002"/>
    <n v="4"/>
    <n v="0.15"/>
    <x v="2"/>
    <s v="Juan Johnson"/>
    <x v="7"/>
    <x v="1"/>
    <x v="2"/>
    <n v="1562.43"/>
    <n v="5312.2619999999997"/>
  </r>
  <r>
    <s v="T02957"/>
    <d v="2024-07-28T00:00:00"/>
    <s v="C153"/>
    <s v="P019"/>
    <s v="S004"/>
    <n v="3"/>
    <n v="0"/>
    <x v="0"/>
    <s v="Nancy Gordon"/>
    <x v="26"/>
    <x v="1"/>
    <x v="1"/>
    <n v="1762.92"/>
    <n v="5288.76"/>
  </r>
  <r>
    <s v="T02958"/>
    <d v="2024-12-05T00:00:00"/>
    <s v="C117"/>
    <s v="P027"/>
    <s v="S003"/>
    <n v="2"/>
    <n v="0.15"/>
    <x v="0"/>
    <s v="Timothy Beck"/>
    <x v="34"/>
    <x v="1"/>
    <x v="0"/>
    <n v="1272.23"/>
    <n v="2162.7910000000002"/>
  </r>
  <r>
    <s v="T02959"/>
    <d v="2025-07-23T00:00:00"/>
    <s v="C042"/>
    <s v="P034"/>
    <s v="S005"/>
    <n v="2"/>
    <n v="0.1"/>
    <x v="3"/>
    <s v="Anna Andrews"/>
    <x v="12"/>
    <x v="1"/>
    <x v="4"/>
    <n v="428.05"/>
    <n v="770.49"/>
  </r>
  <r>
    <s v="T02960"/>
    <d v="2024-09-22T00:00:00"/>
    <s v="C032"/>
    <s v="P037"/>
    <s v="S001"/>
    <n v="3"/>
    <n v="0.15"/>
    <x v="0"/>
    <s v="Valerie Macdonald"/>
    <x v="27"/>
    <x v="1"/>
    <x v="3"/>
    <n v="1952.65"/>
    <n v="4979.2575000000006"/>
  </r>
  <r>
    <s v="T02961"/>
    <d v="2024-12-03T00:00:00"/>
    <s v="C037"/>
    <s v="P036"/>
    <s v="S003"/>
    <n v="4"/>
    <n v="0"/>
    <x v="1"/>
    <s v="Miranda Nelson"/>
    <x v="4"/>
    <x v="0"/>
    <x v="0"/>
    <n v="1501.46"/>
    <n v="6005.84"/>
  </r>
  <r>
    <s v="T02962"/>
    <d v="2024-09-10T00:00:00"/>
    <s v="C166"/>
    <s v="P038"/>
    <s v="S003"/>
    <n v="4"/>
    <n v="0.05"/>
    <x v="0"/>
    <s v="Meagan Ali"/>
    <x v="41"/>
    <x v="0"/>
    <x v="0"/>
    <n v="366.93"/>
    <n v="1394.3340000000001"/>
  </r>
  <r>
    <s v="T02963"/>
    <d v="2025-05-19T00:00:00"/>
    <s v="C157"/>
    <s v="P027"/>
    <s v="S001"/>
    <n v="3"/>
    <n v="0.1"/>
    <x v="3"/>
    <s v="Connie Terry"/>
    <x v="34"/>
    <x v="1"/>
    <x v="3"/>
    <n v="1272.23"/>
    <n v="3435.0210000000002"/>
  </r>
  <r>
    <s v="T02964"/>
    <d v="2024-04-15T00:00:00"/>
    <s v="C131"/>
    <s v="P018"/>
    <s v="S001"/>
    <n v="2"/>
    <n v="0.15"/>
    <x v="3"/>
    <s v="Denise Jackson"/>
    <x v="19"/>
    <x v="1"/>
    <x v="3"/>
    <n v="1079.8900000000001"/>
    <n v="1835.8130000000001"/>
  </r>
  <r>
    <s v="T02965"/>
    <d v="2024-12-10T00:00:00"/>
    <s v="C018"/>
    <s v="P045"/>
    <s v="S002"/>
    <n v="2"/>
    <n v="0"/>
    <x v="2"/>
    <s v="Breanna Davis"/>
    <x v="8"/>
    <x v="2"/>
    <x v="2"/>
    <n v="1879.08"/>
    <n v="3758.16"/>
  </r>
  <r>
    <s v="T02966"/>
    <d v="2025-08-07T00:00:00"/>
    <s v="C183"/>
    <s v="P013"/>
    <s v="S002"/>
    <n v="1"/>
    <n v="0.1"/>
    <x v="0"/>
    <s v="Mary Dawson"/>
    <x v="21"/>
    <x v="0"/>
    <x v="2"/>
    <n v="1134.8"/>
    <n v="1021.3199999999999"/>
  </r>
  <r>
    <s v="T02967"/>
    <d v="2024-09-24T00:00:00"/>
    <s v="C087"/>
    <s v="P035"/>
    <s v="S001"/>
    <n v="4"/>
    <n v="0.1"/>
    <x v="3"/>
    <s v="Laurie Mason"/>
    <x v="7"/>
    <x v="1"/>
    <x v="3"/>
    <n v="1562.43"/>
    <n v="5624.7480000000005"/>
  </r>
  <r>
    <s v="T02968"/>
    <d v="2023-12-04T00:00:00"/>
    <s v="C127"/>
    <s v="P029"/>
    <s v="S004"/>
    <n v="5"/>
    <n v="0"/>
    <x v="1"/>
    <s v="John Allen"/>
    <x v="47"/>
    <x v="0"/>
    <x v="1"/>
    <n v="1485.05"/>
    <n v="7425.25"/>
  </r>
  <r>
    <s v="T02969"/>
    <d v="2024-09-08T00:00:00"/>
    <s v="C165"/>
    <s v="P034"/>
    <s v="S004"/>
    <n v="2"/>
    <n v="0"/>
    <x v="2"/>
    <s v="Tanya Mueller"/>
    <x v="12"/>
    <x v="1"/>
    <x v="1"/>
    <n v="428.05"/>
    <n v="856.1"/>
  </r>
  <r>
    <s v="T02970"/>
    <d v="2023-10-07T00:00:00"/>
    <s v="C115"/>
    <s v="P031"/>
    <s v="S002"/>
    <n v="1"/>
    <n v="0.1"/>
    <x v="2"/>
    <s v="Jose Smith"/>
    <x v="39"/>
    <x v="2"/>
    <x v="2"/>
    <n v="1095.72"/>
    <n v="986.14800000000002"/>
  </r>
  <r>
    <s v="T02971"/>
    <d v="2025-04-03T00:00:00"/>
    <s v="C062"/>
    <s v="P047"/>
    <s v="S001"/>
    <n v="5"/>
    <n v="0"/>
    <x v="3"/>
    <s v="Susan Salinas"/>
    <x v="28"/>
    <x v="1"/>
    <x v="3"/>
    <n v="1197.18"/>
    <n v="5985.9000000000005"/>
  </r>
  <r>
    <s v="T02972"/>
    <d v="2024-11-25T00:00:00"/>
    <s v="C165"/>
    <s v="P009"/>
    <s v="S002"/>
    <n v="4"/>
    <n v="0"/>
    <x v="3"/>
    <s v="Tanya Mueller"/>
    <x v="5"/>
    <x v="2"/>
    <x v="2"/>
    <n v="123.19"/>
    <n v="492.76"/>
  </r>
  <r>
    <s v="T02973"/>
    <d v="2024-02-23T00:00:00"/>
    <s v="C057"/>
    <s v="P017"/>
    <s v="S002"/>
    <n v="2"/>
    <n v="0.05"/>
    <x v="0"/>
    <s v="Julie Gibson"/>
    <x v="43"/>
    <x v="1"/>
    <x v="2"/>
    <n v="1246.1099999999999"/>
    <n v="2367.6089999999999"/>
  </r>
  <r>
    <s v="T02974"/>
    <d v="2023-10-15T00:00:00"/>
    <s v="C083"/>
    <s v="P001"/>
    <s v="S004"/>
    <n v="4"/>
    <n v="0"/>
    <x v="0"/>
    <s v="Jeremy Robles"/>
    <x v="31"/>
    <x v="1"/>
    <x v="1"/>
    <n v="1673.69"/>
    <n v="6694.76"/>
  </r>
  <r>
    <s v="T02975"/>
    <d v="2024-08-21T00:00:00"/>
    <s v="C127"/>
    <s v="P011"/>
    <s v="S001"/>
    <n v="4"/>
    <n v="0"/>
    <x v="3"/>
    <s v="John Allen"/>
    <x v="17"/>
    <x v="1"/>
    <x v="3"/>
    <n v="248.57"/>
    <n v="994.28"/>
  </r>
  <r>
    <s v="T02976"/>
    <d v="2025-04-11T00:00:00"/>
    <s v="C052"/>
    <s v="P002"/>
    <s v="S005"/>
    <n v="1"/>
    <n v="0.05"/>
    <x v="2"/>
    <s v="Billy Hernandez"/>
    <x v="2"/>
    <x v="1"/>
    <x v="4"/>
    <n v="818.76"/>
    <n v="777.822"/>
  </r>
  <r>
    <s v="T02977"/>
    <d v="2024-08-01T00:00:00"/>
    <s v="C150"/>
    <s v="P012"/>
    <s v="S004"/>
    <n v="1"/>
    <n v="0.1"/>
    <x v="3"/>
    <s v="Francis Hernandez"/>
    <x v="38"/>
    <x v="1"/>
    <x v="1"/>
    <n v="1193.0899999999999"/>
    <n v="1073.7809999999999"/>
  </r>
  <r>
    <s v="T02978"/>
    <d v="2025-05-05T00:00:00"/>
    <s v="C149"/>
    <s v="P024"/>
    <s v="S003"/>
    <n v="5"/>
    <n v="0.05"/>
    <x v="1"/>
    <s v="Melissa Torres"/>
    <x v="14"/>
    <x v="1"/>
    <x v="0"/>
    <n v="1487.41"/>
    <n v="7065.1975000000002"/>
  </r>
  <r>
    <s v="T02979"/>
    <d v="2024-06-11T00:00:00"/>
    <s v="C055"/>
    <s v="P007"/>
    <s v="S002"/>
    <n v="5"/>
    <n v="0"/>
    <x v="0"/>
    <s v="Deborah Moody"/>
    <x v="18"/>
    <x v="1"/>
    <x v="2"/>
    <n v="1474.12"/>
    <n v="7370.5999999999995"/>
  </r>
  <r>
    <s v="T02980"/>
    <d v="2023-10-13T00:00:00"/>
    <s v="C069"/>
    <s v="P033"/>
    <s v="S005"/>
    <n v="3"/>
    <n v="0.15"/>
    <x v="2"/>
    <s v="Gabriel Daugherty"/>
    <x v="16"/>
    <x v="0"/>
    <x v="4"/>
    <n v="1798.97"/>
    <n v="4587.3734999999997"/>
  </r>
  <r>
    <s v="T02981"/>
    <d v="2024-08-11T00:00:00"/>
    <s v="C052"/>
    <s v="P041"/>
    <s v="S005"/>
    <n v="3"/>
    <n v="0.1"/>
    <x v="2"/>
    <s v="Billy Hernandez"/>
    <x v="30"/>
    <x v="1"/>
    <x v="4"/>
    <n v="1635.01"/>
    <n v="4414.527"/>
  </r>
  <r>
    <s v="T02982"/>
    <d v="2024-02-01T00:00:00"/>
    <s v="C084"/>
    <s v="P050"/>
    <s v="S003"/>
    <n v="4"/>
    <n v="0"/>
    <x v="0"/>
    <s v="Amanda Lee"/>
    <x v="3"/>
    <x v="0"/>
    <x v="0"/>
    <n v="1044.6400000000001"/>
    <n v="4178.5600000000004"/>
  </r>
  <r>
    <s v="T02983"/>
    <d v="2025-07-01T00:00:00"/>
    <s v="C116"/>
    <s v="P032"/>
    <s v="S001"/>
    <n v="4"/>
    <n v="0.15"/>
    <x v="2"/>
    <s v="Jamie Webb"/>
    <x v="44"/>
    <x v="2"/>
    <x v="3"/>
    <n v="304.70999999999998"/>
    <n v="1036.0139999999999"/>
  </r>
  <r>
    <s v="T02984"/>
    <d v="2024-06-03T00:00:00"/>
    <s v="C048"/>
    <s v="P014"/>
    <s v="S001"/>
    <n v="1"/>
    <n v="0.15"/>
    <x v="3"/>
    <s v="Alexis Crane"/>
    <x v="0"/>
    <x v="0"/>
    <x v="3"/>
    <n v="1342.75"/>
    <n v="1141.3374999999999"/>
  </r>
  <r>
    <s v="T02985"/>
    <d v="2025-09-03T00:00:00"/>
    <s v="C191"/>
    <s v="P023"/>
    <s v="S002"/>
    <n v="2"/>
    <n v="0.1"/>
    <x v="2"/>
    <s v="Karen Quinn"/>
    <x v="20"/>
    <x v="0"/>
    <x v="2"/>
    <n v="1878.47"/>
    <n v="3381.2460000000001"/>
  </r>
  <r>
    <s v="T02986"/>
    <d v="2025-05-20T00:00:00"/>
    <s v="C152"/>
    <s v="P043"/>
    <s v="S003"/>
    <n v="3"/>
    <n v="0.15"/>
    <x v="3"/>
    <s v="Brittany Green"/>
    <x v="45"/>
    <x v="0"/>
    <x v="0"/>
    <n v="564.41999999999996"/>
    <n v="1439.2709999999997"/>
  </r>
  <r>
    <s v="T02987"/>
    <d v="2024-11-16T00:00:00"/>
    <s v="C166"/>
    <s v="P035"/>
    <s v="S002"/>
    <n v="5"/>
    <n v="0.1"/>
    <x v="2"/>
    <s v="Meagan Ali"/>
    <x v="7"/>
    <x v="1"/>
    <x v="2"/>
    <n v="1562.43"/>
    <n v="7030.9350000000004"/>
  </r>
  <r>
    <s v="T02988"/>
    <d v="2025-05-04T00:00:00"/>
    <s v="C131"/>
    <s v="P039"/>
    <s v="S001"/>
    <n v="3"/>
    <n v="0"/>
    <x v="2"/>
    <s v="Denise Jackson"/>
    <x v="22"/>
    <x v="0"/>
    <x v="3"/>
    <n v="540.94000000000005"/>
    <n v="1622.8200000000002"/>
  </r>
  <r>
    <s v="T02989"/>
    <d v="2025-09-07T00:00:00"/>
    <s v="C047"/>
    <s v="P022"/>
    <s v="S003"/>
    <n v="2"/>
    <n v="0.15"/>
    <x v="1"/>
    <s v="Mary Decker"/>
    <x v="9"/>
    <x v="2"/>
    <x v="0"/>
    <n v="25.57"/>
    <n v="43.469000000000001"/>
  </r>
  <r>
    <s v="T02990"/>
    <d v="2025-05-31T00:00:00"/>
    <s v="C185"/>
    <s v="P037"/>
    <s v="S003"/>
    <n v="4"/>
    <n v="0.15"/>
    <x v="2"/>
    <s v="Joe Vincent"/>
    <x v="27"/>
    <x v="1"/>
    <x v="0"/>
    <n v="1952.65"/>
    <n v="6639.01"/>
  </r>
  <r>
    <s v="T02991"/>
    <d v="2025-04-22T00:00:00"/>
    <s v="C126"/>
    <s v="P040"/>
    <s v="S004"/>
    <n v="5"/>
    <n v="0.1"/>
    <x v="2"/>
    <s v="Monique Johnson"/>
    <x v="37"/>
    <x v="1"/>
    <x v="1"/>
    <n v="1745.61"/>
    <n v="7855.2449999999999"/>
  </r>
  <r>
    <s v="T02992"/>
    <d v="2025-02-18T00:00:00"/>
    <s v="C020"/>
    <s v="P016"/>
    <s v="S005"/>
    <n v="1"/>
    <n v="0"/>
    <x v="3"/>
    <s v="Ryan Cole"/>
    <x v="13"/>
    <x v="0"/>
    <x v="4"/>
    <n v="1858.75"/>
    <n v="1858.75"/>
  </r>
  <r>
    <s v="T02993"/>
    <d v="2024-10-04T00:00:00"/>
    <s v="C159"/>
    <s v="P047"/>
    <s v="S001"/>
    <n v="1"/>
    <n v="0.1"/>
    <x v="3"/>
    <s v="Thomas Chung"/>
    <x v="28"/>
    <x v="1"/>
    <x v="3"/>
    <n v="1197.18"/>
    <n v="1077.462"/>
  </r>
  <r>
    <s v="T02994"/>
    <d v="2024-12-17T00:00:00"/>
    <s v="C078"/>
    <s v="P030"/>
    <s v="S004"/>
    <n v="4"/>
    <n v="0.05"/>
    <x v="3"/>
    <s v="Jeanne Young"/>
    <x v="1"/>
    <x v="0"/>
    <x v="1"/>
    <n v="29.24"/>
    <n v="111.11199999999999"/>
  </r>
  <r>
    <s v="T02995"/>
    <d v="2025-02-25T00:00:00"/>
    <s v="C014"/>
    <s v="P035"/>
    <s v="S003"/>
    <n v="2"/>
    <n v="0.05"/>
    <x v="1"/>
    <s v="Brittany Green"/>
    <x v="7"/>
    <x v="1"/>
    <x v="0"/>
    <n v="1562.43"/>
    <n v="2968.6170000000002"/>
  </r>
  <r>
    <s v="T02996"/>
    <d v="2025-05-28T00:00:00"/>
    <s v="C190"/>
    <s v="P016"/>
    <s v="S003"/>
    <n v="1"/>
    <n v="0.1"/>
    <x v="1"/>
    <s v="Daniel Lawson"/>
    <x v="13"/>
    <x v="0"/>
    <x v="0"/>
    <n v="1858.75"/>
    <n v="1672.875"/>
  </r>
  <r>
    <s v="T02997"/>
    <d v="2024-06-13T00:00:00"/>
    <s v="C168"/>
    <s v="P033"/>
    <s v="S001"/>
    <n v="3"/>
    <n v="0"/>
    <x v="3"/>
    <s v="Richard Jones"/>
    <x v="16"/>
    <x v="0"/>
    <x v="3"/>
    <n v="1798.97"/>
    <n v="5396.91"/>
  </r>
  <r>
    <s v="T02998"/>
    <d v="2025-06-16T00:00:00"/>
    <s v="C078"/>
    <s v="P005"/>
    <s v="S002"/>
    <n v="3"/>
    <n v="0.15"/>
    <x v="2"/>
    <s v="Jeanne Young"/>
    <x v="6"/>
    <x v="0"/>
    <x v="2"/>
    <n v="1396.22"/>
    <n v="3560.3609999999999"/>
  </r>
  <r>
    <s v="T02999"/>
    <d v="2024-08-24T00:00:00"/>
    <s v="C031"/>
    <s v="P030"/>
    <s v="S001"/>
    <n v="4"/>
    <n v="0.05"/>
    <x v="3"/>
    <s v="Ashley Gibson"/>
    <x v="1"/>
    <x v="0"/>
    <x v="3"/>
    <n v="29.24"/>
    <n v="111.11199999999999"/>
  </r>
  <r>
    <s v="T03000"/>
    <d v="2025-01-22T00:00:00"/>
    <s v="C029"/>
    <s v="P022"/>
    <s v="S001"/>
    <n v="2"/>
    <n v="0.15"/>
    <x v="0"/>
    <s v="Tyler Levine"/>
    <x v="9"/>
    <x v="2"/>
    <x v="3"/>
    <n v="25.57"/>
    <n v="43.469000000000001"/>
  </r>
  <r>
    <s v="T03001"/>
    <d v="2024-06-12T00:00:00"/>
    <s v="C070"/>
    <s v="P027"/>
    <s v="S001"/>
    <n v="5"/>
    <n v="0.15"/>
    <x v="3"/>
    <s v="Eric Bryan"/>
    <x v="34"/>
    <x v="1"/>
    <x v="3"/>
    <n v="1272.23"/>
    <n v="5406.9775"/>
  </r>
  <r>
    <s v="T03002"/>
    <d v="2025-01-14T00:00:00"/>
    <s v="C188"/>
    <s v="P025"/>
    <s v="S002"/>
    <n v="2"/>
    <n v="0"/>
    <x v="1"/>
    <s v="Ryan Flores"/>
    <x v="33"/>
    <x v="0"/>
    <x v="2"/>
    <n v="429.15"/>
    <n v="858.3"/>
  </r>
  <r>
    <s v="T03003"/>
    <d v="2023-12-31T00:00:00"/>
    <s v="C174"/>
    <s v="P009"/>
    <s v="S004"/>
    <n v="1"/>
    <n v="0"/>
    <x v="1"/>
    <s v="Scott Howell"/>
    <x v="5"/>
    <x v="2"/>
    <x v="1"/>
    <n v="123.19"/>
    <n v="123.19"/>
  </r>
  <r>
    <s v="T03004"/>
    <d v="2024-01-15T00:00:00"/>
    <s v="C111"/>
    <s v="P023"/>
    <s v="S004"/>
    <n v="4"/>
    <n v="0.05"/>
    <x v="3"/>
    <s v="Dylan Booker"/>
    <x v="20"/>
    <x v="0"/>
    <x v="1"/>
    <n v="1878.47"/>
    <n v="7138.1859999999997"/>
  </r>
  <r>
    <s v="T03005"/>
    <d v="2024-01-27T00:00:00"/>
    <s v="C148"/>
    <s v="P014"/>
    <s v="S001"/>
    <n v="1"/>
    <n v="0.1"/>
    <x v="0"/>
    <s v="John Foster"/>
    <x v="0"/>
    <x v="0"/>
    <x v="3"/>
    <n v="1342.75"/>
    <n v="1208.4750000000001"/>
  </r>
  <r>
    <s v="T03006"/>
    <d v="2023-12-13T00:00:00"/>
    <s v="C185"/>
    <s v="P049"/>
    <s v="S004"/>
    <n v="2"/>
    <n v="0.1"/>
    <x v="3"/>
    <s v="Joe Vincent"/>
    <x v="29"/>
    <x v="0"/>
    <x v="1"/>
    <n v="388.26"/>
    <n v="698.86800000000005"/>
  </r>
  <r>
    <s v="T03007"/>
    <d v="2025-06-29T00:00:00"/>
    <s v="C172"/>
    <s v="P016"/>
    <s v="S003"/>
    <n v="2"/>
    <n v="0.05"/>
    <x v="1"/>
    <s v="Michelle Smith"/>
    <x v="13"/>
    <x v="0"/>
    <x v="0"/>
    <n v="1858.75"/>
    <n v="3531.625"/>
  </r>
  <r>
    <s v="T03008"/>
    <d v="2024-12-31T00:00:00"/>
    <s v="C001"/>
    <s v="P030"/>
    <s v="S001"/>
    <n v="5"/>
    <n v="0.15"/>
    <x v="1"/>
    <s v="Michael Davis"/>
    <x v="1"/>
    <x v="0"/>
    <x v="3"/>
    <n v="29.24"/>
    <n v="124.26999999999998"/>
  </r>
  <r>
    <s v="T03009"/>
    <d v="2025-05-19T00:00:00"/>
    <s v="C060"/>
    <s v="P027"/>
    <s v="S001"/>
    <n v="3"/>
    <n v="0.1"/>
    <x v="3"/>
    <s v="Anthony Conway"/>
    <x v="34"/>
    <x v="1"/>
    <x v="3"/>
    <n v="1272.23"/>
    <n v="3435.0210000000002"/>
  </r>
  <r>
    <s v="T03010"/>
    <d v="2023-11-17T00:00:00"/>
    <s v="C154"/>
    <s v="P007"/>
    <s v="S003"/>
    <n v="4"/>
    <n v="0.15"/>
    <x v="2"/>
    <s v="Lisa Martinez"/>
    <x v="18"/>
    <x v="1"/>
    <x v="0"/>
    <n v="1474.12"/>
    <n v="5012.0079999999998"/>
  </r>
  <r>
    <s v="T03011"/>
    <d v="2024-02-29T00:00:00"/>
    <s v="C096"/>
    <s v="P014"/>
    <s v="S003"/>
    <n v="5"/>
    <n v="0.05"/>
    <x v="0"/>
    <s v="Eric King"/>
    <x v="0"/>
    <x v="0"/>
    <x v="0"/>
    <n v="1342.75"/>
    <n v="6378.0625"/>
  </r>
  <r>
    <s v="T03012"/>
    <d v="2025-06-26T00:00:00"/>
    <s v="C189"/>
    <s v="P023"/>
    <s v="S003"/>
    <n v="4"/>
    <n v="0.05"/>
    <x v="1"/>
    <s v="Steve Flynn"/>
    <x v="20"/>
    <x v="0"/>
    <x v="0"/>
    <n v="1878.47"/>
    <n v="7138.1859999999997"/>
  </r>
  <r>
    <s v="T03013"/>
    <d v="2023-10-03T00:00:00"/>
    <s v="C096"/>
    <s v="P029"/>
    <s v="S004"/>
    <n v="3"/>
    <n v="0.1"/>
    <x v="2"/>
    <s v="Eric King"/>
    <x v="47"/>
    <x v="0"/>
    <x v="1"/>
    <n v="1485.05"/>
    <n v="4009.6349999999998"/>
  </r>
  <r>
    <s v="T03014"/>
    <d v="2024-03-07T00:00:00"/>
    <s v="C173"/>
    <s v="P012"/>
    <s v="S004"/>
    <n v="5"/>
    <n v="0.15"/>
    <x v="0"/>
    <s v="Lisa Ruiz"/>
    <x v="38"/>
    <x v="1"/>
    <x v="1"/>
    <n v="1193.0899999999999"/>
    <n v="5070.6324999999997"/>
  </r>
  <r>
    <s v="T03015"/>
    <d v="2023-11-18T00:00:00"/>
    <s v="C111"/>
    <s v="P031"/>
    <s v="S001"/>
    <n v="5"/>
    <n v="0.1"/>
    <x v="2"/>
    <s v="Dylan Booker"/>
    <x v="39"/>
    <x v="2"/>
    <x v="3"/>
    <n v="1095.72"/>
    <n v="4930.7400000000007"/>
  </r>
  <r>
    <s v="T03016"/>
    <d v="2024-01-08T00:00:00"/>
    <s v="C086"/>
    <s v="P017"/>
    <s v="S003"/>
    <n v="4"/>
    <n v="0.15"/>
    <x v="2"/>
    <s v="Lawrence Hunter"/>
    <x v="43"/>
    <x v="1"/>
    <x v="0"/>
    <n v="1246.1099999999999"/>
    <n v="4236.7739999999994"/>
  </r>
  <r>
    <s v="T03017"/>
    <d v="2024-06-23T00:00:00"/>
    <s v="C011"/>
    <s v="P009"/>
    <s v="S003"/>
    <n v="5"/>
    <n v="0.05"/>
    <x v="0"/>
    <s v="Haley Williams"/>
    <x v="5"/>
    <x v="2"/>
    <x v="0"/>
    <n v="123.19"/>
    <n v="585.15250000000003"/>
  </r>
  <r>
    <s v="T03018"/>
    <d v="2024-03-23T00:00:00"/>
    <s v="C139"/>
    <s v="P029"/>
    <s v="S002"/>
    <n v="5"/>
    <n v="0.05"/>
    <x v="2"/>
    <s v="Alexander Mcfarland"/>
    <x v="47"/>
    <x v="0"/>
    <x v="2"/>
    <n v="1485.05"/>
    <n v="7053.9874999999993"/>
  </r>
  <r>
    <s v="T03019"/>
    <d v="2023-11-04T00:00:00"/>
    <s v="C178"/>
    <s v="P050"/>
    <s v="S004"/>
    <n v="1"/>
    <n v="0.15"/>
    <x v="3"/>
    <s v="Mark Mcdonald"/>
    <x v="3"/>
    <x v="0"/>
    <x v="1"/>
    <n v="1044.6400000000001"/>
    <n v="887.94400000000007"/>
  </r>
  <r>
    <s v="T03020"/>
    <d v="2024-10-09T00:00:00"/>
    <s v="C129"/>
    <s v="P020"/>
    <s v="S005"/>
    <n v="1"/>
    <n v="0"/>
    <x v="3"/>
    <s v="Gary Taylor"/>
    <x v="24"/>
    <x v="0"/>
    <x v="4"/>
    <n v="323.92"/>
    <n v="323.92"/>
  </r>
  <r>
    <s v="T03021"/>
    <d v="2024-02-16T00:00:00"/>
    <s v="C066"/>
    <s v="P038"/>
    <s v="S005"/>
    <n v="2"/>
    <n v="0.05"/>
    <x v="0"/>
    <s v="Jason Jenkins"/>
    <x v="41"/>
    <x v="0"/>
    <x v="4"/>
    <n v="366.93"/>
    <n v="697.16700000000003"/>
  </r>
  <r>
    <s v="T03022"/>
    <d v="2025-01-30T00:00:00"/>
    <s v="C126"/>
    <s v="P015"/>
    <s v="S001"/>
    <n v="3"/>
    <n v="0.1"/>
    <x v="1"/>
    <s v="Monique Johnson"/>
    <x v="40"/>
    <x v="0"/>
    <x v="3"/>
    <n v="270.45"/>
    <n v="730.21499999999992"/>
  </r>
  <r>
    <s v="T03023"/>
    <d v="2025-07-29T00:00:00"/>
    <s v="C134"/>
    <s v="P029"/>
    <s v="S004"/>
    <n v="2"/>
    <n v="0.1"/>
    <x v="1"/>
    <s v="Emily Hart"/>
    <x v="47"/>
    <x v="0"/>
    <x v="1"/>
    <n v="1485.05"/>
    <n v="2673.09"/>
  </r>
  <r>
    <s v="T03024"/>
    <d v="2024-07-11T00:00:00"/>
    <s v="C177"/>
    <s v="P037"/>
    <s v="S001"/>
    <n v="2"/>
    <n v="0.15"/>
    <x v="2"/>
    <s v="Anthony Gould"/>
    <x v="27"/>
    <x v="1"/>
    <x v="3"/>
    <n v="1952.65"/>
    <n v="3319.5050000000001"/>
  </r>
  <r>
    <s v="T03025"/>
    <d v="2024-11-08T00:00:00"/>
    <s v="C178"/>
    <s v="P044"/>
    <s v="S002"/>
    <n v="1"/>
    <n v="0"/>
    <x v="1"/>
    <s v="Mark Mcdonald"/>
    <x v="32"/>
    <x v="0"/>
    <x v="2"/>
    <n v="1286.55"/>
    <n v="1286.55"/>
  </r>
  <r>
    <s v="T03026"/>
    <d v="2024-10-15T00:00:00"/>
    <s v="C037"/>
    <s v="P020"/>
    <s v="S001"/>
    <n v="3"/>
    <n v="0.05"/>
    <x v="1"/>
    <s v="Miranda Nelson"/>
    <x v="24"/>
    <x v="0"/>
    <x v="3"/>
    <n v="323.92"/>
    <n v="923.17199999999991"/>
  </r>
  <r>
    <s v="T03027"/>
    <d v="2024-06-25T00:00:00"/>
    <s v="C078"/>
    <s v="P025"/>
    <s v="S002"/>
    <n v="5"/>
    <n v="0"/>
    <x v="2"/>
    <s v="Jeanne Young"/>
    <x v="33"/>
    <x v="0"/>
    <x v="2"/>
    <n v="429.15"/>
    <n v="2145.75"/>
  </r>
  <r>
    <s v="T03028"/>
    <d v="2024-05-24T00:00:00"/>
    <s v="C007"/>
    <s v="P049"/>
    <s v="S001"/>
    <n v="1"/>
    <n v="0.1"/>
    <x v="3"/>
    <s v="Erin Walker"/>
    <x v="29"/>
    <x v="0"/>
    <x v="3"/>
    <n v="388.26"/>
    <n v="349.43400000000003"/>
  </r>
  <r>
    <s v="T03029"/>
    <d v="2024-01-08T00:00:00"/>
    <s v="C054"/>
    <s v="P011"/>
    <s v="S002"/>
    <n v="1"/>
    <n v="0"/>
    <x v="0"/>
    <s v="Crystal Johnson"/>
    <x v="17"/>
    <x v="1"/>
    <x v="2"/>
    <n v="248.57"/>
    <n v="248.57"/>
  </r>
  <r>
    <s v="T03030"/>
    <d v="2023-11-29T00:00:00"/>
    <s v="C116"/>
    <s v="P048"/>
    <s v="S001"/>
    <n v="4"/>
    <n v="0.1"/>
    <x v="1"/>
    <s v="Jamie Webb"/>
    <x v="11"/>
    <x v="0"/>
    <x v="3"/>
    <n v="1216.3599999999999"/>
    <n v="4378.8959999999997"/>
  </r>
  <r>
    <s v="T03031"/>
    <d v="2024-04-02T00:00:00"/>
    <s v="C003"/>
    <s v="P024"/>
    <s v="S005"/>
    <n v="3"/>
    <n v="0.1"/>
    <x v="1"/>
    <s v="Carol Hays"/>
    <x v="14"/>
    <x v="1"/>
    <x v="4"/>
    <n v="1487.41"/>
    <n v="4016.0070000000005"/>
  </r>
  <r>
    <s v="T03032"/>
    <d v="2024-06-12T00:00:00"/>
    <s v="C096"/>
    <s v="P018"/>
    <s v="S002"/>
    <n v="3"/>
    <n v="0.15"/>
    <x v="1"/>
    <s v="Eric King"/>
    <x v="19"/>
    <x v="1"/>
    <x v="2"/>
    <n v="1079.8900000000001"/>
    <n v="2753.7195000000002"/>
  </r>
  <r>
    <s v="T03033"/>
    <d v="2025-07-03T00:00:00"/>
    <s v="C163"/>
    <s v="P040"/>
    <s v="S005"/>
    <n v="5"/>
    <n v="0"/>
    <x v="1"/>
    <s v="Erin Rogers"/>
    <x v="37"/>
    <x v="1"/>
    <x v="4"/>
    <n v="1745.61"/>
    <n v="8728.0499999999993"/>
  </r>
  <r>
    <s v="T03034"/>
    <d v="2023-10-12T00:00:00"/>
    <s v="C009"/>
    <s v="P023"/>
    <s v="S004"/>
    <n v="3"/>
    <n v="0.1"/>
    <x v="3"/>
    <s v="Richard Pacheco"/>
    <x v="20"/>
    <x v="0"/>
    <x v="1"/>
    <n v="1878.47"/>
    <n v="5071.8689999999997"/>
  </r>
  <r>
    <s v="T03035"/>
    <d v="2025-01-15T00:00:00"/>
    <s v="C066"/>
    <s v="P029"/>
    <s v="S004"/>
    <n v="4"/>
    <n v="0"/>
    <x v="1"/>
    <s v="Jason Jenkins"/>
    <x v="47"/>
    <x v="0"/>
    <x v="1"/>
    <n v="1485.05"/>
    <n v="5940.2"/>
  </r>
  <r>
    <s v="T03036"/>
    <d v="2025-08-01T00:00:00"/>
    <s v="C177"/>
    <s v="P012"/>
    <s v="S005"/>
    <n v="5"/>
    <n v="0.1"/>
    <x v="1"/>
    <s v="Anthony Gould"/>
    <x v="38"/>
    <x v="1"/>
    <x v="4"/>
    <n v="1193.0899999999999"/>
    <n v="5368.9049999999997"/>
  </r>
  <r>
    <s v="T03037"/>
    <d v="2023-11-15T00:00:00"/>
    <s v="C007"/>
    <s v="P045"/>
    <s v="S004"/>
    <n v="1"/>
    <n v="0.15"/>
    <x v="3"/>
    <s v="Erin Walker"/>
    <x v="8"/>
    <x v="2"/>
    <x v="1"/>
    <n v="1879.08"/>
    <n v="1597.2179999999998"/>
  </r>
  <r>
    <s v="T03038"/>
    <d v="2025-07-27T00:00:00"/>
    <s v="C122"/>
    <s v="P006"/>
    <s v="S003"/>
    <n v="5"/>
    <n v="0"/>
    <x v="3"/>
    <s v="Amy Smith"/>
    <x v="35"/>
    <x v="2"/>
    <x v="0"/>
    <n v="318.05"/>
    <n v="1590.25"/>
  </r>
  <r>
    <s v="T03039"/>
    <d v="2024-09-19T00:00:00"/>
    <s v="C063"/>
    <s v="P007"/>
    <s v="S001"/>
    <n v="4"/>
    <n v="0.15"/>
    <x v="0"/>
    <s v="Michael Johnson"/>
    <x v="18"/>
    <x v="1"/>
    <x v="3"/>
    <n v="1474.12"/>
    <n v="5012.0079999999998"/>
  </r>
  <r>
    <s v="T03040"/>
    <d v="2025-07-08T00:00:00"/>
    <s v="C062"/>
    <s v="P038"/>
    <s v="S005"/>
    <n v="4"/>
    <n v="0"/>
    <x v="0"/>
    <s v="Susan Salinas"/>
    <x v="41"/>
    <x v="0"/>
    <x v="4"/>
    <n v="366.93"/>
    <n v="1467.72"/>
  </r>
  <r>
    <s v="T03041"/>
    <d v="2024-10-30T00:00:00"/>
    <s v="C080"/>
    <s v="P015"/>
    <s v="S005"/>
    <n v="4"/>
    <n v="0.05"/>
    <x v="1"/>
    <s v="Grace Garcia"/>
    <x v="40"/>
    <x v="0"/>
    <x v="4"/>
    <n v="270.45"/>
    <n v="1027.7099999999998"/>
  </r>
  <r>
    <s v="T03042"/>
    <d v="2024-10-09T00:00:00"/>
    <s v="C025"/>
    <s v="P038"/>
    <s v="S001"/>
    <n v="2"/>
    <n v="0"/>
    <x v="1"/>
    <s v="Cheryl Gilbert"/>
    <x v="41"/>
    <x v="0"/>
    <x v="3"/>
    <n v="366.93"/>
    <n v="733.86"/>
  </r>
  <r>
    <s v="T03043"/>
    <d v="2024-07-24T00:00:00"/>
    <s v="C018"/>
    <s v="P021"/>
    <s v="S005"/>
    <n v="2"/>
    <n v="0.15"/>
    <x v="0"/>
    <s v="Breanna Davis"/>
    <x v="23"/>
    <x v="2"/>
    <x v="4"/>
    <n v="1227.24"/>
    <n v="2086.308"/>
  </r>
  <r>
    <s v="T03044"/>
    <d v="2024-05-24T00:00:00"/>
    <s v="C179"/>
    <s v="P003"/>
    <s v="S005"/>
    <n v="4"/>
    <n v="0"/>
    <x v="0"/>
    <s v="Dennis Wallace"/>
    <x v="46"/>
    <x v="0"/>
    <x v="4"/>
    <n v="337.63"/>
    <n v="1350.52"/>
  </r>
  <r>
    <s v="T03045"/>
    <d v="2025-07-11T00:00:00"/>
    <s v="C150"/>
    <s v="P040"/>
    <s v="S001"/>
    <n v="5"/>
    <n v="0.15"/>
    <x v="2"/>
    <s v="Francis Hernandez"/>
    <x v="37"/>
    <x v="1"/>
    <x v="3"/>
    <n v="1745.61"/>
    <n v="7418.8424999999988"/>
  </r>
  <r>
    <s v="T03046"/>
    <d v="2024-09-16T00:00:00"/>
    <s v="C116"/>
    <s v="P046"/>
    <s v="S003"/>
    <n v="2"/>
    <n v="0"/>
    <x v="0"/>
    <s v="Jamie Webb"/>
    <x v="42"/>
    <x v="0"/>
    <x v="0"/>
    <n v="1165.3699999999999"/>
    <n v="2330.7399999999998"/>
  </r>
  <r>
    <s v="T03047"/>
    <d v="2025-01-15T00:00:00"/>
    <s v="C154"/>
    <s v="P013"/>
    <s v="S003"/>
    <n v="4"/>
    <n v="0"/>
    <x v="2"/>
    <s v="Lisa Martinez"/>
    <x v="21"/>
    <x v="0"/>
    <x v="0"/>
    <n v="1134.8"/>
    <n v="4539.2"/>
  </r>
  <r>
    <s v="T03048"/>
    <d v="2023-10-17T00:00:00"/>
    <s v="C020"/>
    <s v="P002"/>
    <s v="S002"/>
    <n v="4"/>
    <n v="0.15"/>
    <x v="2"/>
    <s v="Ryan Cole"/>
    <x v="2"/>
    <x v="1"/>
    <x v="2"/>
    <n v="818.76"/>
    <n v="2783.7840000000001"/>
  </r>
  <r>
    <s v="T03049"/>
    <d v="2025-06-18T00:00:00"/>
    <s v="C002"/>
    <s v="P006"/>
    <s v="S004"/>
    <n v="2"/>
    <n v="0.15"/>
    <x v="3"/>
    <s v="Michael Miller"/>
    <x v="35"/>
    <x v="2"/>
    <x v="1"/>
    <n v="318.05"/>
    <n v="540.68500000000006"/>
  </r>
  <r>
    <s v="T03050"/>
    <d v="2024-01-26T00:00:00"/>
    <s v="C078"/>
    <s v="P025"/>
    <s v="S002"/>
    <n v="2"/>
    <n v="0.1"/>
    <x v="1"/>
    <s v="Jeanne Young"/>
    <x v="33"/>
    <x v="0"/>
    <x v="2"/>
    <n v="429.15"/>
    <n v="772.47"/>
  </r>
  <r>
    <s v="T03051"/>
    <d v="2023-10-22T00:00:00"/>
    <s v="C059"/>
    <s v="P022"/>
    <s v="S004"/>
    <n v="1"/>
    <n v="0"/>
    <x v="2"/>
    <s v="Scott Wyatt"/>
    <x v="9"/>
    <x v="2"/>
    <x v="1"/>
    <n v="25.57"/>
    <n v="25.57"/>
  </r>
  <r>
    <s v="T03052"/>
    <d v="2023-11-04T00:00:00"/>
    <s v="C036"/>
    <s v="P019"/>
    <s v="S002"/>
    <n v="5"/>
    <n v="0"/>
    <x v="1"/>
    <s v="Michael Cervantes"/>
    <x v="26"/>
    <x v="1"/>
    <x v="2"/>
    <n v="1762.92"/>
    <n v="8814.6"/>
  </r>
  <r>
    <s v="T03053"/>
    <d v="2024-07-29T00:00:00"/>
    <s v="C128"/>
    <s v="P020"/>
    <s v="S003"/>
    <n v="4"/>
    <n v="0"/>
    <x v="0"/>
    <s v="Robert Collins"/>
    <x v="24"/>
    <x v="0"/>
    <x v="0"/>
    <n v="323.92"/>
    <n v="1295.68"/>
  </r>
  <r>
    <s v="T03054"/>
    <d v="2024-10-03T00:00:00"/>
    <s v="C163"/>
    <s v="P027"/>
    <s v="S005"/>
    <n v="1"/>
    <n v="0.15"/>
    <x v="1"/>
    <s v="Erin Rogers"/>
    <x v="34"/>
    <x v="1"/>
    <x v="4"/>
    <n v="1272.23"/>
    <n v="1081.3955000000001"/>
  </r>
  <r>
    <s v="T03055"/>
    <d v="2025-04-25T00:00:00"/>
    <s v="C009"/>
    <s v="P037"/>
    <s v="S003"/>
    <n v="4"/>
    <n v="0.15"/>
    <x v="3"/>
    <s v="Richard Pacheco"/>
    <x v="27"/>
    <x v="1"/>
    <x v="0"/>
    <n v="1952.65"/>
    <n v="6639.01"/>
  </r>
  <r>
    <s v="T03056"/>
    <d v="2024-07-11T00:00:00"/>
    <s v="C017"/>
    <s v="P034"/>
    <s v="S001"/>
    <n v="3"/>
    <n v="0.1"/>
    <x v="1"/>
    <s v="Vanessa Anderson"/>
    <x v="12"/>
    <x v="1"/>
    <x v="3"/>
    <n v="428.05"/>
    <n v="1155.7350000000001"/>
  </r>
  <r>
    <s v="T03057"/>
    <d v="2023-09-19T00:00:00"/>
    <s v="C103"/>
    <s v="P021"/>
    <s v="S005"/>
    <n v="2"/>
    <n v="0.05"/>
    <x v="3"/>
    <s v="David Burns"/>
    <x v="23"/>
    <x v="2"/>
    <x v="4"/>
    <n v="1227.24"/>
    <n v="2331.7559999999999"/>
  </r>
  <r>
    <s v="T03058"/>
    <d v="2023-12-16T00:00:00"/>
    <s v="C007"/>
    <s v="P036"/>
    <s v="S002"/>
    <n v="1"/>
    <n v="0.05"/>
    <x v="2"/>
    <s v="Erin Walker"/>
    <x v="4"/>
    <x v="0"/>
    <x v="2"/>
    <n v="1501.46"/>
    <n v="1426.3869999999999"/>
  </r>
  <r>
    <s v="T03059"/>
    <d v="2024-03-21T00:00:00"/>
    <s v="C115"/>
    <s v="P019"/>
    <s v="S005"/>
    <n v="3"/>
    <n v="0.1"/>
    <x v="1"/>
    <s v="Jose Smith"/>
    <x v="26"/>
    <x v="1"/>
    <x v="4"/>
    <n v="1762.92"/>
    <n v="4759.884"/>
  </r>
  <r>
    <s v="T03060"/>
    <d v="2024-08-11T00:00:00"/>
    <s v="C018"/>
    <s v="P031"/>
    <s v="S002"/>
    <n v="5"/>
    <n v="0.15"/>
    <x v="3"/>
    <s v="Breanna Davis"/>
    <x v="39"/>
    <x v="2"/>
    <x v="2"/>
    <n v="1095.72"/>
    <n v="4656.8100000000004"/>
  </r>
  <r>
    <s v="T03061"/>
    <d v="2024-01-01T00:00:00"/>
    <s v="C144"/>
    <s v="P038"/>
    <s v="S001"/>
    <n v="2"/>
    <n v="0.05"/>
    <x v="2"/>
    <s v="Betty Johnson"/>
    <x v="41"/>
    <x v="0"/>
    <x v="3"/>
    <n v="366.93"/>
    <n v="697.16700000000003"/>
  </r>
  <r>
    <s v="T03062"/>
    <d v="2025-07-19T00:00:00"/>
    <s v="C077"/>
    <s v="P049"/>
    <s v="S002"/>
    <n v="4"/>
    <n v="0"/>
    <x v="0"/>
    <s v="Matthew Juarez"/>
    <x v="29"/>
    <x v="0"/>
    <x v="2"/>
    <n v="388.26"/>
    <n v="1553.04"/>
  </r>
  <r>
    <s v="T03063"/>
    <d v="2023-10-20T00:00:00"/>
    <s v="C016"/>
    <s v="P002"/>
    <s v="S005"/>
    <n v="1"/>
    <n v="0"/>
    <x v="0"/>
    <s v="Miguel Johnson"/>
    <x v="2"/>
    <x v="1"/>
    <x v="4"/>
    <n v="818.76"/>
    <n v="818.76"/>
  </r>
  <r>
    <s v="T03064"/>
    <d v="2024-04-18T00:00:00"/>
    <s v="C150"/>
    <s v="P039"/>
    <s v="S005"/>
    <n v="1"/>
    <n v="0.1"/>
    <x v="2"/>
    <s v="Francis Hernandez"/>
    <x v="22"/>
    <x v="0"/>
    <x v="4"/>
    <n v="540.94000000000005"/>
    <n v="486.84600000000006"/>
  </r>
  <r>
    <s v="T03065"/>
    <d v="2024-05-03T00:00:00"/>
    <s v="C082"/>
    <s v="P021"/>
    <s v="S002"/>
    <n v="4"/>
    <n v="0.05"/>
    <x v="2"/>
    <s v="Amy Haley"/>
    <x v="23"/>
    <x v="2"/>
    <x v="2"/>
    <n v="1227.24"/>
    <n v="4663.5119999999997"/>
  </r>
  <r>
    <s v="T03066"/>
    <d v="2024-12-08T00:00:00"/>
    <s v="C170"/>
    <s v="P021"/>
    <s v="S004"/>
    <n v="4"/>
    <n v="0.15"/>
    <x v="2"/>
    <s v="Amber Graham"/>
    <x v="23"/>
    <x v="2"/>
    <x v="1"/>
    <n v="1227.24"/>
    <n v="4172.616"/>
  </r>
  <r>
    <s v="T03067"/>
    <d v="2025-03-22T00:00:00"/>
    <s v="C026"/>
    <s v="P018"/>
    <s v="S002"/>
    <n v="4"/>
    <n v="0"/>
    <x v="2"/>
    <s v="Justin Macdonald"/>
    <x v="19"/>
    <x v="1"/>
    <x v="2"/>
    <n v="1079.8900000000001"/>
    <n v="4319.5600000000004"/>
  </r>
  <r>
    <s v="T03068"/>
    <d v="2025-04-28T00:00:00"/>
    <s v="C171"/>
    <s v="P002"/>
    <s v="S002"/>
    <n v="5"/>
    <n v="0.05"/>
    <x v="3"/>
    <s v="Christina Dominguez"/>
    <x v="2"/>
    <x v="1"/>
    <x v="2"/>
    <n v="818.76"/>
    <n v="3889.11"/>
  </r>
  <r>
    <s v="T03069"/>
    <d v="2024-09-20T00:00:00"/>
    <s v="C123"/>
    <s v="P016"/>
    <s v="S005"/>
    <n v="1"/>
    <n v="0.05"/>
    <x v="2"/>
    <s v="Peter Edwards"/>
    <x v="13"/>
    <x v="0"/>
    <x v="4"/>
    <n v="1858.75"/>
    <n v="1765.8125"/>
  </r>
  <r>
    <s v="T03070"/>
    <d v="2024-11-17T00:00:00"/>
    <s v="C161"/>
    <s v="P039"/>
    <s v="S004"/>
    <n v="3"/>
    <n v="0.05"/>
    <x v="0"/>
    <s v="Michael Perez"/>
    <x v="22"/>
    <x v="0"/>
    <x v="1"/>
    <n v="540.94000000000005"/>
    <n v="1541.6790000000001"/>
  </r>
  <r>
    <s v="T03071"/>
    <d v="2023-09-14T00:00:00"/>
    <s v="C105"/>
    <s v="P013"/>
    <s v="S001"/>
    <n v="4"/>
    <n v="0"/>
    <x v="0"/>
    <s v="Kenneth Berg"/>
    <x v="21"/>
    <x v="0"/>
    <x v="3"/>
    <n v="1134.8"/>
    <n v="4539.2"/>
  </r>
  <r>
    <s v="T03072"/>
    <d v="2024-09-29T00:00:00"/>
    <s v="C200"/>
    <s v="P018"/>
    <s v="S004"/>
    <n v="1"/>
    <n v="0.05"/>
    <x v="0"/>
    <s v="Ronald Haley"/>
    <x v="19"/>
    <x v="1"/>
    <x v="1"/>
    <n v="1079.8900000000001"/>
    <n v="1025.8955000000001"/>
  </r>
  <r>
    <s v="T03073"/>
    <d v="2025-02-14T00:00:00"/>
    <s v="C101"/>
    <s v="P050"/>
    <s v="S004"/>
    <n v="5"/>
    <n v="0.05"/>
    <x v="2"/>
    <s v="William Pope"/>
    <x v="3"/>
    <x v="0"/>
    <x v="1"/>
    <n v="1044.6400000000001"/>
    <n v="4962.0400000000009"/>
  </r>
  <r>
    <s v="T03074"/>
    <d v="2025-06-30T00:00:00"/>
    <s v="C123"/>
    <s v="P005"/>
    <s v="S005"/>
    <n v="5"/>
    <n v="0.15"/>
    <x v="2"/>
    <s v="Peter Edwards"/>
    <x v="6"/>
    <x v="0"/>
    <x v="4"/>
    <n v="1396.22"/>
    <n v="5933.9350000000004"/>
  </r>
  <r>
    <s v="T03075"/>
    <d v="2023-12-31T00:00:00"/>
    <s v="C062"/>
    <s v="P040"/>
    <s v="S005"/>
    <n v="5"/>
    <n v="0.1"/>
    <x v="1"/>
    <s v="Susan Salinas"/>
    <x v="37"/>
    <x v="1"/>
    <x v="4"/>
    <n v="1745.61"/>
    <n v="7855.2449999999999"/>
  </r>
  <r>
    <s v="T03076"/>
    <d v="2024-10-22T00:00:00"/>
    <s v="C198"/>
    <s v="P036"/>
    <s v="S001"/>
    <n v="4"/>
    <n v="0"/>
    <x v="1"/>
    <s v="Jessica Mullins"/>
    <x v="4"/>
    <x v="0"/>
    <x v="3"/>
    <n v="1501.46"/>
    <n v="6005.84"/>
  </r>
  <r>
    <s v="T03077"/>
    <d v="2024-10-17T00:00:00"/>
    <s v="C017"/>
    <s v="P017"/>
    <s v="S005"/>
    <n v="1"/>
    <n v="0.05"/>
    <x v="3"/>
    <s v="Vanessa Anderson"/>
    <x v="43"/>
    <x v="1"/>
    <x v="4"/>
    <n v="1246.1099999999999"/>
    <n v="1183.8045"/>
  </r>
  <r>
    <s v="T03078"/>
    <d v="2024-02-28T00:00:00"/>
    <s v="C095"/>
    <s v="P029"/>
    <s v="S003"/>
    <n v="4"/>
    <n v="0.1"/>
    <x v="1"/>
    <s v="Kevin Snyder"/>
    <x v="47"/>
    <x v="0"/>
    <x v="0"/>
    <n v="1485.05"/>
    <n v="5346.18"/>
  </r>
  <r>
    <s v="T03079"/>
    <d v="2025-04-21T00:00:00"/>
    <s v="C167"/>
    <s v="P041"/>
    <s v="S003"/>
    <n v="3"/>
    <n v="0.1"/>
    <x v="0"/>
    <s v="Kimberly Lin"/>
    <x v="30"/>
    <x v="1"/>
    <x v="0"/>
    <n v="1635.01"/>
    <n v="4414.527"/>
  </r>
  <r>
    <s v="T03080"/>
    <d v="2025-04-16T00:00:00"/>
    <s v="C121"/>
    <s v="P035"/>
    <s v="S005"/>
    <n v="4"/>
    <n v="0.15"/>
    <x v="2"/>
    <s v="John Bell"/>
    <x v="7"/>
    <x v="1"/>
    <x v="4"/>
    <n v="1562.43"/>
    <n v="5312.2619999999997"/>
  </r>
  <r>
    <s v="T03081"/>
    <d v="2024-02-04T00:00:00"/>
    <s v="C121"/>
    <s v="P020"/>
    <s v="S003"/>
    <n v="1"/>
    <n v="0.15"/>
    <x v="0"/>
    <s v="John Bell"/>
    <x v="24"/>
    <x v="0"/>
    <x v="0"/>
    <n v="323.92"/>
    <n v="275.33199999999999"/>
  </r>
  <r>
    <s v="T03082"/>
    <d v="2025-05-09T00:00:00"/>
    <s v="C137"/>
    <s v="P045"/>
    <s v="S005"/>
    <n v="5"/>
    <n v="0"/>
    <x v="0"/>
    <s v="Gary Lopez"/>
    <x v="8"/>
    <x v="2"/>
    <x v="4"/>
    <n v="1879.08"/>
    <n v="9395.4"/>
  </r>
  <r>
    <s v="T03083"/>
    <d v="2024-02-16T00:00:00"/>
    <s v="C162"/>
    <s v="P042"/>
    <s v="S003"/>
    <n v="3"/>
    <n v="0.1"/>
    <x v="2"/>
    <s v="Jill Roach"/>
    <x v="10"/>
    <x v="0"/>
    <x v="0"/>
    <n v="453.62"/>
    <n v="1224.7740000000001"/>
  </r>
  <r>
    <s v="T03084"/>
    <d v="2023-11-27T00:00:00"/>
    <s v="C081"/>
    <s v="P031"/>
    <s v="S003"/>
    <n v="2"/>
    <n v="0.05"/>
    <x v="0"/>
    <s v="Sarah Reynolds"/>
    <x v="39"/>
    <x v="2"/>
    <x v="0"/>
    <n v="1095.72"/>
    <n v="2081.8679999999999"/>
  </r>
  <r>
    <s v="T03085"/>
    <d v="2023-11-05T00:00:00"/>
    <s v="C079"/>
    <s v="P037"/>
    <s v="S002"/>
    <n v="3"/>
    <n v="0.15"/>
    <x v="0"/>
    <s v="Donald Marsh"/>
    <x v="27"/>
    <x v="1"/>
    <x v="2"/>
    <n v="1952.65"/>
    <n v="4979.2575000000006"/>
  </r>
  <r>
    <s v="T03086"/>
    <d v="2023-11-19T00:00:00"/>
    <s v="C068"/>
    <s v="P007"/>
    <s v="S005"/>
    <n v="4"/>
    <n v="0.05"/>
    <x v="2"/>
    <s v="Alexandra Montoya"/>
    <x v="18"/>
    <x v="1"/>
    <x v="4"/>
    <n v="1474.12"/>
    <n v="5601.655999999999"/>
  </r>
  <r>
    <s v="T03087"/>
    <d v="2024-09-13T00:00:00"/>
    <s v="C198"/>
    <s v="P043"/>
    <s v="S003"/>
    <n v="2"/>
    <n v="0.1"/>
    <x v="0"/>
    <s v="Jessica Mullins"/>
    <x v="45"/>
    <x v="0"/>
    <x v="0"/>
    <n v="564.41999999999996"/>
    <n v="1015.9559999999999"/>
  </r>
  <r>
    <s v="T03088"/>
    <d v="2024-11-22T00:00:00"/>
    <s v="C053"/>
    <s v="P039"/>
    <s v="S004"/>
    <n v="5"/>
    <n v="0.05"/>
    <x v="3"/>
    <s v="Felicia Morgan"/>
    <x v="22"/>
    <x v="0"/>
    <x v="1"/>
    <n v="540.94000000000005"/>
    <n v="2569.4650000000001"/>
  </r>
  <r>
    <s v="T03089"/>
    <d v="2023-12-07T00:00:00"/>
    <s v="C186"/>
    <s v="P026"/>
    <s v="S003"/>
    <n v="2"/>
    <n v="0.05"/>
    <x v="0"/>
    <s v="Vicki Guzman"/>
    <x v="15"/>
    <x v="2"/>
    <x v="0"/>
    <n v="1015.76"/>
    <n v="1929.944"/>
  </r>
  <r>
    <s v="T03090"/>
    <d v="2024-06-23T00:00:00"/>
    <s v="C047"/>
    <s v="P018"/>
    <s v="S004"/>
    <n v="3"/>
    <n v="0.05"/>
    <x v="1"/>
    <s v="Mary Decker"/>
    <x v="19"/>
    <x v="1"/>
    <x v="1"/>
    <n v="1079.8900000000001"/>
    <n v="3077.6864999999998"/>
  </r>
  <r>
    <s v="T03091"/>
    <d v="2024-10-19T00:00:00"/>
    <s v="C124"/>
    <s v="P019"/>
    <s v="S003"/>
    <n v="5"/>
    <n v="0.15"/>
    <x v="0"/>
    <s v="Chad Roberts"/>
    <x v="26"/>
    <x v="1"/>
    <x v="0"/>
    <n v="1762.92"/>
    <n v="7492.41"/>
  </r>
  <r>
    <s v="T03092"/>
    <d v="2024-05-28T00:00:00"/>
    <s v="C038"/>
    <s v="P048"/>
    <s v="S003"/>
    <n v="5"/>
    <n v="0"/>
    <x v="0"/>
    <s v="Tracey Davis"/>
    <x v="11"/>
    <x v="0"/>
    <x v="0"/>
    <n v="1216.3599999999999"/>
    <n v="6081.7999999999993"/>
  </r>
  <r>
    <s v="T03093"/>
    <d v="2024-04-12T00:00:00"/>
    <s v="C032"/>
    <s v="P015"/>
    <s v="S004"/>
    <n v="5"/>
    <n v="0.15"/>
    <x v="3"/>
    <s v="Valerie Macdonald"/>
    <x v="40"/>
    <x v="0"/>
    <x v="1"/>
    <n v="270.45"/>
    <n v="1149.4124999999999"/>
  </r>
  <r>
    <s v="T03094"/>
    <d v="2023-11-07T00:00:00"/>
    <s v="C018"/>
    <s v="P009"/>
    <s v="S002"/>
    <n v="3"/>
    <n v="0.15"/>
    <x v="1"/>
    <s v="Breanna Davis"/>
    <x v="5"/>
    <x v="2"/>
    <x v="2"/>
    <n v="123.19"/>
    <n v="314.1345"/>
  </r>
  <r>
    <s v="T03095"/>
    <d v="2025-04-27T00:00:00"/>
    <s v="C141"/>
    <s v="P001"/>
    <s v="S005"/>
    <n v="3"/>
    <n v="0.15"/>
    <x v="2"/>
    <s v="Adam Lucas"/>
    <x v="31"/>
    <x v="1"/>
    <x v="4"/>
    <n v="1673.69"/>
    <n v="4267.9094999999998"/>
  </r>
  <r>
    <s v="T03096"/>
    <d v="2025-06-05T00:00:00"/>
    <s v="C069"/>
    <s v="P023"/>
    <s v="S001"/>
    <n v="4"/>
    <n v="0.15"/>
    <x v="3"/>
    <s v="Gabriel Daugherty"/>
    <x v="20"/>
    <x v="0"/>
    <x v="3"/>
    <n v="1878.47"/>
    <n v="6386.7979999999998"/>
  </r>
  <r>
    <s v="T03097"/>
    <d v="2025-02-15T00:00:00"/>
    <s v="C122"/>
    <s v="P050"/>
    <s v="S004"/>
    <n v="4"/>
    <n v="0.1"/>
    <x v="3"/>
    <s v="Amy Smith"/>
    <x v="3"/>
    <x v="0"/>
    <x v="1"/>
    <n v="1044.6400000000001"/>
    <n v="3760.7040000000006"/>
  </r>
  <r>
    <s v="T03098"/>
    <d v="2025-09-08T00:00:00"/>
    <s v="C036"/>
    <s v="P040"/>
    <s v="S002"/>
    <n v="1"/>
    <n v="0.1"/>
    <x v="3"/>
    <s v="Michael Cervantes"/>
    <x v="37"/>
    <x v="1"/>
    <x v="2"/>
    <n v="1745.61"/>
    <n v="1571.049"/>
  </r>
  <r>
    <s v="T03099"/>
    <d v="2025-03-09T00:00:00"/>
    <s v="C011"/>
    <s v="P014"/>
    <s v="S001"/>
    <n v="3"/>
    <n v="0"/>
    <x v="0"/>
    <s v="Haley Williams"/>
    <x v="0"/>
    <x v="0"/>
    <x v="3"/>
    <n v="1342.75"/>
    <n v="4028.25"/>
  </r>
  <r>
    <s v="T03100"/>
    <d v="2024-04-02T00:00:00"/>
    <s v="C033"/>
    <s v="P035"/>
    <s v="S001"/>
    <n v="4"/>
    <n v="0.05"/>
    <x v="3"/>
    <s v="Jenny Beck"/>
    <x v="7"/>
    <x v="1"/>
    <x v="3"/>
    <n v="1562.43"/>
    <n v="5937.2340000000004"/>
  </r>
  <r>
    <s v="T03101"/>
    <d v="2025-06-07T00:00:00"/>
    <s v="C170"/>
    <s v="P001"/>
    <s v="S005"/>
    <n v="1"/>
    <n v="0"/>
    <x v="3"/>
    <s v="Amber Graham"/>
    <x v="31"/>
    <x v="1"/>
    <x v="4"/>
    <n v="1673.69"/>
    <n v="1673.69"/>
  </r>
  <r>
    <s v="T03102"/>
    <d v="2024-01-27T00:00:00"/>
    <s v="C087"/>
    <s v="P022"/>
    <s v="S005"/>
    <n v="3"/>
    <n v="0.1"/>
    <x v="1"/>
    <s v="Laurie Mason"/>
    <x v="9"/>
    <x v="2"/>
    <x v="4"/>
    <n v="25.57"/>
    <n v="69.039000000000016"/>
  </r>
  <r>
    <s v="T03103"/>
    <d v="2024-09-25T00:00:00"/>
    <s v="C062"/>
    <s v="P041"/>
    <s v="S002"/>
    <n v="2"/>
    <n v="0.1"/>
    <x v="0"/>
    <s v="Susan Salinas"/>
    <x v="30"/>
    <x v="1"/>
    <x v="2"/>
    <n v="1635.01"/>
    <n v="2943.018"/>
  </r>
  <r>
    <s v="T03104"/>
    <d v="2024-03-19T00:00:00"/>
    <s v="C061"/>
    <s v="P007"/>
    <s v="S002"/>
    <n v="1"/>
    <n v="0.1"/>
    <x v="2"/>
    <s v="Heather Russell"/>
    <x v="18"/>
    <x v="1"/>
    <x v="2"/>
    <n v="1474.12"/>
    <n v="1326.7079999999999"/>
  </r>
  <r>
    <s v="T03105"/>
    <d v="2025-07-04T00:00:00"/>
    <s v="C044"/>
    <s v="P017"/>
    <s v="S004"/>
    <n v="2"/>
    <n v="0"/>
    <x v="2"/>
    <s v="Parker Sparks"/>
    <x v="43"/>
    <x v="1"/>
    <x v="1"/>
    <n v="1246.1099999999999"/>
    <n v="2492.2199999999998"/>
  </r>
  <r>
    <s v="T03106"/>
    <d v="2024-02-18T00:00:00"/>
    <s v="C024"/>
    <s v="P002"/>
    <s v="S005"/>
    <n v="5"/>
    <n v="0.1"/>
    <x v="1"/>
    <s v="Molly Murray"/>
    <x v="2"/>
    <x v="1"/>
    <x v="4"/>
    <n v="818.76"/>
    <n v="3684.42"/>
  </r>
  <r>
    <s v="T03107"/>
    <d v="2025-01-09T00:00:00"/>
    <s v="C032"/>
    <s v="P014"/>
    <s v="S001"/>
    <n v="2"/>
    <n v="0.15"/>
    <x v="2"/>
    <s v="Valerie Macdonald"/>
    <x v="0"/>
    <x v="0"/>
    <x v="3"/>
    <n v="1342.75"/>
    <n v="2282.6749999999997"/>
  </r>
  <r>
    <s v="T03108"/>
    <d v="2025-01-27T00:00:00"/>
    <s v="C062"/>
    <s v="P005"/>
    <s v="S004"/>
    <n v="5"/>
    <n v="0.05"/>
    <x v="2"/>
    <s v="Susan Salinas"/>
    <x v="6"/>
    <x v="0"/>
    <x v="1"/>
    <n v="1396.22"/>
    <n v="6632.0450000000001"/>
  </r>
  <r>
    <s v="T03109"/>
    <d v="2023-09-24T00:00:00"/>
    <s v="C057"/>
    <s v="P012"/>
    <s v="S003"/>
    <n v="1"/>
    <n v="0"/>
    <x v="2"/>
    <s v="Julie Gibson"/>
    <x v="38"/>
    <x v="1"/>
    <x v="0"/>
    <n v="1193.0899999999999"/>
    <n v="1193.0899999999999"/>
  </r>
  <r>
    <s v="T03110"/>
    <d v="2024-06-08T00:00:00"/>
    <s v="C172"/>
    <s v="P033"/>
    <s v="S003"/>
    <n v="4"/>
    <n v="0.15"/>
    <x v="1"/>
    <s v="Michelle Smith"/>
    <x v="16"/>
    <x v="0"/>
    <x v="0"/>
    <n v="1798.97"/>
    <n v="6116.4979999999996"/>
  </r>
  <r>
    <s v="T03111"/>
    <d v="2025-07-10T00:00:00"/>
    <s v="C055"/>
    <s v="P044"/>
    <s v="S002"/>
    <n v="1"/>
    <n v="0"/>
    <x v="1"/>
    <s v="Deborah Moody"/>
    <x v="32"/>
    <x v="0"/>
    <x v="2"/>
    <n v="1286.55"/>
    <n v="1286.55"/>
  </r>
  <r>
    <s v="T03112"/>
    <d v="2024-05-07T00:00:00"/>
    <s v="C183"/>
    <s v="P034"/>
    <s v="S004"/>
    <n v="4"/>
    <n v="0.05"/>
    <x v="1"/>
    <s v="Mary Dawson"/>
    <x v="12"/>
    <x v="1"/>
    <x v="1"/>
    <n v="428.05"/>
    <n v="1626.59"/>
  </r>
  <r>
    <s v="T03113"/>
    <d v="2024-11-23T00:00:00"/>
    <s v="C158"/>
    <s v="P002"/>
    <s v="S004"/>
    <n v="1"/>
    <n v="0.1"/>
    <x v="2"/>
    <s v="Crystal Aguirre"/>
    <x v="2"/>
    <x v="1"/>
    <x v="1"/>
    <n v="818.76"/>
    <n v="736.88400000000001"/>
  </r>
  <r>
    <s v="T03114"/>
    <d v="2025-07-06T00:00:00"/>
    <s v="C173"/>
    <s v="P028"/>
    <s v="S004"/>
    <n v="4"/>
    <n v="0.1"/>
    <x v="0"/>
    <s v="Lisa Ruiz"/>
    <x v="25"/>
    <x v="1"/>
    <x v="1"/>
    <n v="673.78"/>
    <n v="2425.6080000000002"/>
  </r>
  <r>
    <s v="T03115"/>
    <d v="2025-03-18T00:00:00"/>
    <s v="C006"/>
    <s v="P025"/>
    <s v="S004"/>
    <n v="5"/>
    <n v="0.15"/>
    <x v="1"/>
    <s v="Danny Moore"/>
    <x v="33"/>
    <x v="0"/>
    <x v="1"/>
    <n v="429.15"/>
    <n v="1823.8875"/>
  </r>
  <r>
    <s v="T03116"/>
    <d v="2024-07-18T00:00:00"/>
    <s v="C156"/>
    <s v="P038"/>
    <s v="S002"/>
    <n v="3"/>
    <n v="0.05"/>
    <x v="3"/>
    <s v="George Young"/>
    <x v="41"/>
    <x v="0"/>
    <x v="2"/>
    <n v="366.93"/>
    <n v="1045.7504999999999"/>
  </r>
  <r>
    <s v="T03117"/>
    <d v="2024-10-24T00:00:00"/>
    <s v="C154"/>
    <s v="P034"/>
    <s v="S004"/>
    <n v="2"/>
    <n v="0.15"/>
    <x v="2"/>
    <s v="Lisa Martinez"/>
    <x v="12"/>
    <x v="1"/>
    <x v="1"/>
    <n v="428.05"/>
    <n v="727.68499999999995"/>
  </r>
  <r>
    <s v="T03118"/>
    <d v="2024-05-09T00:00:00"/>
    <s v="C056"/>
    <s v="P029"/>
    <s v="S003"/>
    <n v="3"/>
    <n v="0.15"/>
    <x v="0"/>
    <s v="Carl Wyatt"/>
    <x v="47"/>
    <x v="0"/>
    <x v="0"/>
    <n v="1485.05"/>
    <n v="3786.8774999999996"/>
  </r>
  <r>
    <s v="T03119"/>
    <d v="2024-07-15T00:00:00"/>
    <s v="C064"/>
    <s v="P034"/>
    <s v="S003"/>
    <n v="2"/>
    <n v="0.15"/>
    <x v="1"/>
    <s v="Amanda Hoover"/>
    <x v="12"/>
    <x v="1"/>
    <x v="0"/>
    <n v="428.05"/>
    <n v="727.68499999999995"/>
  </r>
  <r>
    <s v="T03120"/>
    <d v="2024-01-29T00:00:00"/>
    <s v="C007"/>
    <s v="P003"/>
    <s v="S005"/>
    <n v="2"/>
    <n v="0"/>
    <x v="1"/>
    <s v="Erin Walker"/>
    <x v="46"/>
    <x v="0"/>
    <x v="4"/>
    <n v="337.63"/>
    <n v="675.26"/>
  </r>
  <r>
    <s v="T03121"/>
    <d v="2025-02-23T00:00:00"/>
    <s v="C183"/>
    <s v="P026"/>
    <s v="S001"/>
    <n v="4"/>
    <n v="0.1"/>
    <x v="0"/>
    <s v="Mary Dawson"/>
    <x v="15"/>
    <x v="2"/>
    <x v="3"/>
    <n v="1015.76"/>
    <n v="3656.7359999999999"/>
  </r>
  <r>
    <s v="T03122"/>
    <d v="2023-12-18T00:00:00"/>
    <s v="C098"/>
    <s v="P048"/>
    <s v="S001"/>
    <n v="4"/>
    <n v="0.15"/>
    <x v="1"/>
    <s v="Lisa Vega"/>
    <x v="11"/>
    <x v="0"/>
    <x v="3"/>
    <n v="1216.3599999999999"/>
    <n v="4135.6239999999998"/>
  </r>
  <r>
    <s v="T03123"/>
    <d v="2024-03-11T00:00:00"/>
    <s v="C109"/>
    <s v="P004"/>
    <s v="S001"/>
    <n v="4"/>
    <n v="0.1"/>
    <x v="0"/>
    <s v="Austin Hogan"/>
    <x v="49"/>
    <x v="0"/>
    <x v="3"/>
    <n v="1853.77"/>
    <n v="6673.5720000000001"/>
  </r>
  <r>
    <s v="T03124"/>
    <d v="2024-03-23T00:00:00"/>
    <s v="C059"/>
    <s v="P033"/>
    <s v="S003"/>
    <n v="3"/>
    <n v="0.1"/>
    <x v="1"/>
    <s v="Scott Wyatt"/>
    <x v="16"/>
    <x v="0"/>
    <x v="0"/>
    <n v="1798.97"/>
    <n v="4857.2190000000001"/>
  </r>
  <r>
    <s v="T03125"/>
    <d v="2024-06-13T00:00:00"/>
    <s v="C041"/>
    <s v="P031"/>
    <s v="S002"/>
    <n v="2"/>
    <n v="0.05"/>
    <x v="3"/>
    <s v="Melissa Rodgers"/>
    <x v="39"/>
    <x v="2"/>
    <x v="2"/>
    <n v="1095.72"/>
    <n v="2081.8679999999999"/>
  </r>
  <r>
    <s v="T03126"/>
    <d v="2023-09-26T00:00:00"/>
    <s v="C098"/>
    <s v="P011"/>
    <s v="S003"/>
    <n v="1"/>
    <n v="0.05"/>
    <x v="3"/>
    <s v="Lisa Vega"/>
    <x v="17"/>
    <x v="1"/>
    <x v="0"/>
    <n v="248.57"/>
    <n v="236.14149999999998"/>
  </r>
  <r>
    <s v="T03127"/>
    <d v="2024-08-10T00:00:00"/>
    <s v="C182"/>
    <s v="P048"/>
    <s v="S002"/>
    <n v="1"/>
    <n v="0"/>
    <x v="0"/>
    <s v="Meghan Wright"/>
    <x v="11"/>
    <x v="0"/>
    <x v="2"/>
    <n v="1216.3599999999999"/>
    <n v="1216.3599999999999"/>
  </r>
  <r>
    <s v="T03128"/>
    <d v="2025-01-04T00:00:00"/>
    <s v="C021"/>
    <s v="P011"/>
    <s v="S005"/>
    <n v="3"/>
    <n v="0.15"/>
    <x v="2"/>
    <s v="Debbie Martin"/>
    <x v="17"/>
    <x v="1"/>
    <x v="4"/>
    <n v="248.57"/>
    <n v="633.85350000000005"/>
  </r>
  <r>
    <s v="T03129"/>
    <d v="2024-10-23T00:00:00"/>
    <s v="C076"/>
    <s v="P029"/>
    <s v="S002"/>
    <n v="4"/>
    <n v="0.1"/>
    <x v="2"/>
    <s v="Phyllis Durham"/>
    <x v="47"/>
    <x v="0"/>
    <x v="2"/>
    <n v="1485.05"/>
    <n v="5346.18"/>
  </r>
  <r>
    <s v="T03130"/>
    <d v="2024-09-27T00:00:00"/>
    <s v="C059"/>
    <s v="P032"/>
    <s v="S004"/>
    <n v="3"/>
    <n v="0.05"/>
    <x v="3"/>
    <s v="Scott Wyatt"/>
    <x v="44"/>
    <x v="2"/>
    <x v="1"/>
    <n v="304.70999999999998"/>
    <n v="868.42349999999988"/>
  </r>
  <r>
    <s v="T03131"/>
    <d v="2024-09-16T00:00:00"/>
    <s v="C060"/>
    <s v="P046"/>
    <s v="S001"/>
    <n v="5"/>
    <n v="0"/>
    <x v="2"/>
    <s v="Anthony Conway"/>
    <x v="42"/>
    <x v="0"/>
    <x v="3"/>
    <n v="1165.3699999999999"/>
    <n v="5826.8499999999995"/>
  </r>
  <r>
    <s v="T03132"/>
    <d v="2023-11-30T00:00:00"/>
    <s v="C074"/>
    <s v="P019"/>
    <s v="S005"/>
    <n v="4"/>
    <n v="0.15"/>
    <x v="2"/>
    <s v="Jesus Singh"/>
    <x v="26"/>
    <x v="1"/>
    <x v="4"/>
    <n v="1762.92"/>
    <n v="5993.9279999999999"/>
  </r>
  <r>
    <s v="T03133"/>
    <d v="2023-12-05T00:00:00"/>
    <s v="C061"/>
    <s v="P009"/>
    <s v="S001"/>
    <n v="2"/>
    <n v="0"/>
    <x v="3"/>
    <s v="Heather Russell"/>
    <x v="5"/>
    <x v="2"/>
    <x v="3"/>
    <n v="123.19"/>
    <n v="246.38"/>
  </r>
  <r>
    <s v="T03134"/>
    <d v="2024-03-22T00:00:00"/>
    <s v="C198"/>
    <s v="P036"/>
    <s v="S001"/>
    <n v="3"/>
    <n v="0.05"/>
    <x v="3"/>
    <s v="Jessica Mullins"/>
    <x v="4"/>
    <x v="0"/>
    <x v="3"/>
    <n v="1501.46"/>
    <n v="4279.1610000000001"/>
  </r>
  <r>
    <s v="T03135"/>
    <d v="2025-06-19T00:00:00"/>
    <s v="C200"/>
    <s v="P020"/>
    <s v="S004"/>
    <n v="5"/>
    <n v="0.1"/>
    <x v="2"/>
    <s v="Ronald Haley"/>
    <x v="24"/>
    <x v="0"/>
    <x v="1"/>
    <n v="323.92"/>
    <n v="1457.64"/>
  </r>
  <r>
    <s v="T03136"/>
    <d v="2023-12-03T00:00:00"/>
    <s v="C040"/>
    <s v="P014"/>
    <s v="S005"/>
    <n v="2"/>
    <n v="0.05"/>
    <x v="3"/>
    <s v="Scott Powell"/>
    <x v="0"/>
    <x v="0"/>
    <x v="4"/>
    <n v="1342.75"/>
    <n v="2551.2249999999999"/>
  </r>
  <r>
    <s v="T03137"/>
    <d v="2024-09-15T00:00:00"/>
    <s v="C084"/>
    <s v="P021"/>
    <s v="S002"/>
    <n v="3"/>
    <n v="0"/>
    <x v="3"/>
    <s v="Amanda Lee"/>
    <x v="23"/>
    <x v="2"/>
    <x v="2"/>
    <n v="1227.24"/>
    <n v="3681.7200000000003"/>
  </r>
  <r>
    <s v="T03138"/>
    <d v="2023-10-29T00:00:00"/>
    <s v="C101"/>
    <s v="P049"/>
    <s v="S002"/>
    <n v="2"/>
    <n v="0"/>
    <x v="1"/>
    <s v="William Pope"/>
    <x v="29"/>
    <x v="0"/>
    <x v="2"/>
    <n v="388.26"/>
    <n v="776.52"/>
  </r>
  <r>
    <s v="T03139"/>
    <d v="2024-12-12T00:00:00"/>
    <s v="C040"/>
    <s v="P041"/>
    <s v="S002"/>
    <n v="2"/>
    <n v="0.1"/>
    <x v="0"/>
    <s v="Scott Powell"/>
    <x v="30"/>
    <x v="1"/>
    <x v="2"/>
    <n v="1635.01"/>
    <n v="2943.018"/>
  </r>
  <r>
    <s v="T03140"/>
    <d v="2025-01-07T00:00:00"/>
    <s v="C119"/>
    <s v="P008"/>
    <s v="S002"/>
    <n v="4"/>
    <n v="0.05"/>
    <x v="3"/>
    <s v="Jason Lloyd"/>
    <x v="48"/>
    <x v="0"/>
    <x v="2"/>
    <n v="109.78"/>
    <n v="417.16399999999999"/>
  </r>
  <r>
    <s v="T03141"/>
    <d v="2023-11-12T00:00:00"/>
    <s v="C183"/>
    <s v="P020"/>
    <s v="S002"/>
    <n v="2"/>
    <n v="0"/>
    <x v="3"/>
    <s v="Mary Dawson"/>
    <x v="24"/>
    <x v="0"/>
    <x v="2"/>
    <n v="323.92"/>
    <n v="647.84"/>
  </r>
  <r>
    <s v="T03142"/>
    <d v="2024-11-14T00:00:00"/>
    <s v="C097"/>
    <s v="P010"/>
    <s v="S002"/>
    <n v="1"/>
    <n v="0.1"/>
    <x v="1"/>
    <s v="Evelyn Gray"/>
    <x v="36"/>
    <x v="1"/>
    <x v="2"/>
    <n v="1194.1199999999999"/>
    <n v="1074.7079999999999"/>
  </r>
  <r>
    <s v="T03143"/>
    <d v="2024-05-25T00:00:00"/>
    <s v="C136"/>
    <s v="P033"/>
    <s v="S004"/>
    <n v="4"/>
    <n v="0.15"/>
    <x v="1"/>
    <s v="Amanda Garcia"/>
    <x v="16"/>
    <x v="0"/>
    <x v="1"/>
    <n v="1798.97"/>
    <n v="6116.4979999999996"/>
  </r>
  <r>
    <s v="T03144"/>
    <d v="2024-11-15T00:00:00"/>
    <s v="C166"/>
    <s v="P045"/>
    <s v="S005"/>
    <n v="3"/>
    <n v="0.15"/>
    <x v="0"/>
    <s v="Meagan Ali"/>
    <x v="8"/>
    <x v="2"/>
    <x v="4"/>
    <n v="1879.08"/>
    <n v="4791.6539999999995"/>
  </r>
  <r>
    <s v="T03145"/>
    <d v="2025-04-17T00:00:00"/>
    <s v="C135"/>
    <s v="P012"/>
    <s v="S004"/>
    <n v="2"/>
    <n v="0.15"/>
    <x v="2"/>
    <s v="Mario Cuevas"/>
    <x v="38"/>
    <x v="1"/>
    <x v="1"/>
    <n v="1193.0899999999999"/>
    <n v="2028.2529999999997"/>
  </r>
  <r>
    <s v="T03146"/>
    <d v="2023-11-17T00:00:00"/>
    <s v="C010"/>
    <s v="P033"/>
    <s v="S002"/>
    <n v="1"/>
    <n v="0.1"/>
    <x v="0"/>
    <s v="Catherine Rice"/>
    <x v="16"/>
    <x v="0"/>
    <x v="2"/>
    <n v="1798.97"/>
    <n v="1619.0730000000001"/>
  </r>
  <r>
    <s v="T03147"/>
    <d v="2024-05-02T00:00:00"/>
    <s v="C030"/>
    <s v="P038"/>
    <s v="S005"/>
    <n v="4"/>
    <n v="0.15"/>
    <x v="1"/>
    <s v="Lacey Hall"/>
    <x v="41"/>
    <x v="0"/>
    <x v="4"/>
    <n v="366.93"/>
    <n v="1247.5619999999999"/>
  </r>
  <r>
    <s v="T03148"/>
    <d v="2024-11-17T00:00:00"/>
    <s v="C077"/>
    <s v="P034"/>
    <s v="S003"/>
    <n v="1"/>
    <n v="0.1"/>
    <x v="1"/>
    <s v="Matthew Juarez"/>
    <x v="12"/>
    <x v="1"/>
    <x v="0"/>
    <n v="428.05"/>
    <n v="385.245"/>
  </r>
  <r>
    <s v="T03149"/>
    <d v="2024-02-09T00:00:00"/>
    <s v="C051"/>
    <s v="P024"/>
    <s v="S001"/>
    <n v="2"/>
    <n v="0.15"/>
    <x v="2"/>
    <s v="Madison Sellers"/>
    <x v="14"/>
    <x v="1"/>
    <x v="3"/>
    <n v="1487.41"/>
    <n v="2528.5970000000002"/>
  </r>
  <r>
    <s v="T03150"/>
    <d v="2025-01-11T00:00:00"/>
    <s v="C116"/>
    <s v="P009"/>
    <s v="S005"/>
    <n v="2"/>
    <n v="0.1"/>
    <x v="1"/>
    <s v="Jamie Webb"/>
    <x v="5"/>
    <x v="2"/>
    <x v="4"/>
    <n v="123.19"/>
    <n v="221.74199999999999"/>
  </r>
  <r>
    <s v="T03151"/>
    <d v="2024-01-10T00:00:00"/>
    <s v="C063"/>
    <s v="P007"/>
    <s v="S002"/>
    <n v="1"/>
    <n v="0.05"/>
    <x v="1"/>
    <s v="Michael Johnson"/>
    <x v="18"/>
    <x v="1"/>
    <x v="2"/>
    <n v="1474.12"/>
    <n v="1400.4139999999998"/>
  </r>
  <r>
    <s v="T03152"/>
    <d v="2024-01-06T00:00:00"/>
    <s v="C065"/>
    <s v="P015"/>
    <s v="S004"/>
    <n v="4"/>
    <n v="0.15"/>
    <x v="1"/>
    <s v="Scott Duke"/>
    <x v="40"/>
    <x v="0"/>
    <x v="1"/>
    <n v="270.45"/>
    <n v="919.53"/>
  </r>
  <r>
    <s v="T03153"/>
    <d v="2025-04-19T00:00:00"/>
    <s v="C096"/>
    <s v="P048"/>
    <s v="S002"/>
    <n v="4"/>
    <n v="0.05"/>
    <x v="1"/>
    <s v="Eric King"/>
    <x v="11"/>
    <x v="0"/>
    <x v="2"/>
    <n v="1216.3599999999999"/>
    <n v="4622.1679999999997"/>
  </r>
  <r>
    <s v="T03154"/>
    <d v="2023-11-18T00:00:00"/>
    <s v="C014"/>
    <s v="P033"/>
    <s v="S002"/>
    <n v="2"/>
    <n v="0"/>
    <x v="0"/>
    <s v="Brittany Green"/>
    <x v="16"/>
    <x v="0"/>
    <x v="2"/>
    <n v="1798.97"/>
    <n v="3597.94"/>
  </r>
  <r>
    <s v="T03155"/>
    <d v="2025-01-25T00:00:00"/>
    <s v="C096"/>
    <s v="P027"/>
    <s v="S001"/>
    <n v="3"/>
    <n v="0.15"/>
    <x v="1"/>
    <s v="Eric King"/>
    <x v="34"/>
    <x v="1"/>
    <x v="3"/>
    <n v="1272.23"/>
    <n v="3244.1864999999998"/>
  </r>
  <r>
    <s v="T03156"/>
    <d v="2024-04-03T00:00:00"/>
    <s v="C168"/>
    <s v="P023"/>
    <s v="S004"/>
    <n v="1"/>
    <n v="0.1"/>
    <x v="0"/>
    <s v="Richard Jones"/>
    <x v="20"/>
    <x v="0"/>
    <x v="1"/>
    <n v="1878.47"/>
    <n v="1690.623"/>
  </r>
  <r>
    <s v="T03157"/>
    <d v="2025-01-26T00:00:00"/>
    <s v="C132"/>
    <s v="P028"/>
    <s v="S005"/>
    <n v="4"/>
    <n v="0"/>
    <x v="1"/>
    <s v="Jared Ochoa"/>
    <x v="25"/>
    <x v="1"/>
    <x v="4"/>
    <n v="673.78"/>
    <n v="2695.12"/>
  </r>
  <r>
    <s v="T03158"/>
    <d v="2024-01-13T00:00:00"/>
    <s v="C018"/>
    <s v="P023"/>
    <s v="S003"/>
    <n v="3"/>
    <n v="0.05"/>
    <x v="0"/>
    <s v="Breanna Davis"/>
    <x v="20"/>
    <x v="0"/>
    <x v="0"/>
    <n v="1878.47"/>
    <n v="5353.6394999999993"/>
  </r>
  <r>
    <s v="T03159"/>
    <d v="2023-12-05T00:00:00"/>
    <s v="C130"/>
    <s v="P010"/>
    <s v="S002"/>
    <n v="1"/>
    <n v="0"/>
    <x v="2"/>
    <s v="Aaron Bailey"/>
    <x v="36"/>
    <x v="1"/>
    <x v="2"/>
    <n v="1194.1199999999999"/>
    <n v="1194.1199999999999"/>
  </r>
  <r>
    <s v="T03160"/>
    <d v="2025-01-14T00:00:00"/>
    <s v="C191"/>
    <s v="P034"/>
    <s v="S005"/>
    <n v="3"/>
    <n v="0"/>
    <x v="3"/>
    <s v="Karen Quinn"/>
    <x v="12"/>
    <x v="1"/>
    <x v="4"/>
    <n v="428.05"/>
    <n v="1284.1500000000001"/>
  </r>
  <r>
    <s v="T03161"/>
    <d v="2024-01-20T00:00:00"/>
    <s v="C131"/>
    <s v="P023"/>
    <s v="S002"/>
    <n v="5"/>
    <n v="0.1"/>
    <x v="3"/>
    <s v="Denise Jackson"/>
    <x v="20"/>
    <x v="0"/>
    <x v="2"/>
    <n v="1878.47"/>
    <n v="8453.1149999999998"/>
  </r>
  <r>
    <s v="T03162"/>
    <d v="2024-08-23T00:00:00"/>
    <s v="C115"/>
    <s v="P030"/>
    <s v="S004"/>
    <n v="3"/>
    <n v="0.15"/>
    <x v="0"/>
    <s v="Jose Smith"/>
    <x v="1"/>
    <x v="0"/>
    <x v="1"/>
    <n v="29.24"/>
    <n v="74.561999999999998"/>
  </r>
  <r>
    <s v="T03163"/>
    <d v="2024-12-23T00:00:00"/>
    <s v="C160"/>
    <s v="P004"/>
    <s v="S003"/>
    <n v="3"/>
    <n v="0.1"/>
    <x v="3"/>
    <s v="Meagan Macdonald"/>
    <x v="49"/>
    <x v="0"/>
    <x v="0"/>
    <n v="1853.77"/>
    <n v="5005.1790000000001"/>
  </r>
  <r>
    <s v="T03164"/>
    <d v="2025-03-06T00:00:00"/>
    <s v="C133"/>
    <s v="P002"/>
    <s v="S005"/>
    <n v="1"/>
    <n v="0.15"/>
    <x v="1"/>
    <s v="Yvette Roth"/>
    <x v="2"/>
    <x v="1"/>
    <x v="4"/>
    <n v="818.76"/>
    <n v="695.94600000000003"/>
  </r>
  <r>
    <s v="T03165"/>
    <d v="2024-07-26T00:00:00"/>
    <s v="C111"/>
    <s v="P043"/>
    <s v="S005"/>
    <n v="1"/>
    <n v="0"/>
    <x v="2"/>
    <s v="Dylan Booker"/>
    <x v="45"/>
    <x v="0"/>
    <x v="4"/>
    <n v="564.41999999999996"/>
    <n v="564.41999999999996"/>
  </r>
  <r>
    <s v="T03166"/>
    <d v="2025-04-06T00:00:00"/>
    <s v="C097"/>
    <s v="P017"/>
    <s v="S003"/>
    <n v="4"/>
    <n v="0.1"/>
    <x v="2"/>
    <s v="Evelyn Gray"/>
    <x v="43"/>
    <x v="1"/>
    <x v="0"/>
    <n v="1246.1099999999999"/>
    <n v="4485.9960000000001"/>
  </r>
  <r>
    <s v="T03167"/>
    <d v="2024-04-15T00:00:00"/>
    <s v="C037"/>
    <s v="P026"/>
    <s v="S002"/>
    <n v="1"/>
    <n v="0.15"/>
    <x v="0"/>
    <s v="Miranda Nelson"/>
    <x v="15"/>
    <x v="2"/>
    <x v="2"/>
    <n v="1015.76"/>
    <n v="863.39599999999996"/>
  </r>
  <r>
    <s v="T03168"/>
    <d v="2023-10-16T00:00:00"/>
    <s v="C101"/>
    <s v="P019"/>
    <s v="S002"/>
    <n v="1"/>
    <n v="0"/>
    <x v="0"/>
    <s v="William Pope"/>
    <x v="26"/>
    <x v="1"/>
    <x v="2"/>
    <n v="1762.92"/>
    <n v="1762.92"/>
  </r>
  <r>
    <s v="T03169"/>
    <d v="2025-07-25T00:00:00"/>
    <s v="C004"/>
    <s v="P010"/>
    <s v="S002"/>
    <n v="2"/>
    <n v="0.15"/>
    <x v="2"/>
    <s v="Joseph Ward"/>
    <x v="36"/>
    <x v="1"/>
    <x v="2"/>
    <n v="1194.1199999999999"/>
    <n v="2030.0039999999997"/>
  </r>
  <r>
    <s v="T03170"/>
    <d v="2024-10-03T00:00:00"/>
    <s v="C107"/>
    <s v="P001"/>
    <s v="S002"/>
    <n v="4"/>
    <n v="0.1"/>
    <x v="2"/>
    <s v="Victoria Hansen"/>
    <x v="31"/>
    <x v="1"/>
    <x v="2"/>
    <n v="1673.69"/>
    <n v="6025.2840000000006"/>
  </r>
  <r>
    <s v="T03171"/>
    <d v="2025-06-28T00:00:00"/>
    <s v="C001"/>
    <s v="P001"/>
    <s v="S001"/>
    <n v="2"/>
    <n v="0"/>
    <x v="0"/>
    <s v="Michael Davis"/>
    <x v="31"/>
    <x v="1"/>
    <x v="3"/>
    <n v="1673.69"/>
    <n v="3347.38"/>
  </r>
  <r>
    <s v="T03172"/>
    <d v="2024-03-20T00:00:00"/>
    <s v="C187"/>
    <s v="P040"/>
    <s v="S004"/>
    <n v="1"/>
    <n v="0.05"/>
    <x v="1"/>
    <s v="Cynthia Cherry"/>
    <x v="37"/>
    <x v="1"/>
    <x v="1"/>
    <n v="1745.61"/>
    <n v="1658.3294999999998"/>
  </r>
  <r>
    <s v="T03173"/>
    <d v="2025-06-01T00:00:00"/>
    <s v="C043"/>
    <s v="P019"/>
    <s v="S004"/>
    <n v="1"/>
    <n v="0"/>
    <x v="1"/>
    <s v="Kenneth Allen"/>
    <x v="26"/>
    <x v="1"/>
    <x v="1"/>
    <n v="1762.92"/>
    <n v="1762.92"/>
  </r>
  <r>
    <s v="T03174"/>
    <d v="2025-03-26T00:00:00"/>
    <s v="C088"/>
    <s v="P032"/>
    <s v="S005"/>
    <n v="3"/>
    <n v="0.15"/>
    <x v="0"/>
    <s v="Brenda Costa"/>
    <x v="44"/>
    <x v="2"/>
    <x v="4"/>
    <n v="304.70999999999998"/>
    <n v="777.01049999999987"/>
  </r>
  <r>
    <s v="T03175"/>
    <d v="2025-01-08T00:00:00"/>
    <s v="C148"/>
    <s v="P017"/>
    <s v="S005"/>
    <n v="5"/>
    <n v="0.1"/>
    <x v="0"/>
    <s v="John Foster"/>
    <x v="43"/>
    <x v="1"/>
    <x v="4"/>
    <n v="1246.1099999999999"/>
    <n v="5607.4949999999999"/>
  </r>
  <r>
    <s v="T03176"/>
    <d v="2024-09-20T00:00:00"/>
    <s v="C135"/>
    <s v="P023"/>
    <s v="S002"/>
    <n v="5"/>
    <n v="0.1"/>
    <x v="2"/>
    <s v="Mario Cuevas"/>
    <x v="20"/>
    <x v="0"/>
    <x v="2"/>
    <n v="1878.47"/>
    <n v="8453.1149999999998"/>
  </r>
  <r>
    <s v="T03177"/>
    <d v="2025-05-16T00:00:00"/>
    <s v="C058"/>
    <s v="P048"/>
    <s v="S001"/>
    <n v="4"/>
    <n v="0.15"/>
    <x v="0"/>
    <s v="Lawrence Stewart"/>
    <x v="11"/>
    <x v="0"/>
    <x v="3"/>
    <n v="1216.3599999999999"/>
    <n v="4135.6239999999998"/>
  </r>
  <r>
    <s v="T03178"/>
    <d v="2024-12-19T00:00:00"/>
    <s v="C085"/>
    <s v="P041"/>
    <s v="S005"/>
    <n v="3"/>
    <n v="0.15"/>
    <x v="1"/>
    <s v="Juan Ramirez"/>
    <x v="30"/>
    <x v="1"/>
    <x v="4"/>
    <n v="1635.01"/>
    <n v="4169.2754999999997"/>
  </r>
  <r>
    <s v="T03179"/>
    <d v="2024-11-24T00:00:00"/>
    <s v="C014"/>
    <s v="P038"/>
    <s v="S005"/>
    <n v="3"/>
    <n v="0.1"/>
    <x v="3"/>
    <s v="Brittany Green"/>
    <x v="41"/>
    <x v="0"/>
    <x v="4"/>
    <n v="366.93"/>
    <n v="990.71100000000001"/>
  </r>
  <r>
    <s v="T03180"/>
    <d v="2024-08-18T00:00:00"/>
    <s v="C038"/>
    <s v="P020"/>
    <s v="S005"/>
    <n v="2"/>
    <n v="0.05"/>
    <x v="2"/>
    <s v="Tracey Davis"/>
    <x v="24"/>
    <x v="0"/>
    <x v="4"/>
    <n v="323.92"/>
    <n v="615.44799999999998"/>
  </r>
  <r>
    <s v="T03181"/>
    <d v="2024-09-12T00:00:00"/>
    <s v="C119"/>
    <s v="P022"/>
    <s v="S002"/>
    <n v="1"/>
    <n v="0.1"/>
    <x v="1"/>
    <s v="Jason Lloyd"/>
    <x v="9"/>
    <x v="2"/>
    <x v="2"/>
    <n v="25.57"/>
    <n v="23.013000000000002"/>
  </r>
  <r>
    <s v="T03182"/>
    <d v="2024-01-23T00:00:00"/>
    <s v="C191"/>
    <s v="P027"/>
    <s v="S004"/>
    <n v="4"/>
    <n v="0.1"/>
    <x v="0"/>
    <s v="Karen Quinn"/>
    <x v="34"/>
    <x v="1"/>
    <x v="1"/>
    <n v="1272.23"/>
    <n v="4580.0280000000002"/>
  </r>
  <r>
    <s v="T03183"/>
    <d v="2023-12-26T00:00:00"/>
    <s v="C021"/>
    <s v="P027"/>
    <s v="S002"/>
    <n v="2"/>
    <n v="0.15"/>
    <x v="3"/>
    <s v="Debbie Martin"/>
    <x v="34"/>
    <x v="1"/>
    <x v="2"/>
    <n v="1272.23"/>
    <n v="2162.7910000000002"/>
  </r>
  <r>
    <s v="T03184"/>
    <d v="2024-07-06T00:00:00"/>
    <s v="C199"/>
    <s v="P032"/>
    <s v="S003"/>
    <n v="1"/>
    <n v="0.15"/>
    <x v="1"/>
    <s v="Juan Johnson"/>
    <x v="44"/>
    <x v="2"/>
    <x v="0"/>
    <n v="304.70999999999998"/>
    <n v="259.00349999999997"/>
  </r>
  <r>
    <s v="T03185"/>
    <d v="2024-01-15T00:00:00"/>
    <s v="C111"/>
    <s v="P043"/>
    <s v="S002"/>
    <n v="4"/>
    <n v="0.15"/>
    <x v="3"/>
    <s v="Dylan Booker"/>
    <x v="45"/>
    <x v="0"/>
    <x v="2"/>
    <n v="564.41999999999996"/>
    <n v="1919.0279999999998"/>
  </r>
  <r>
    <s v="T03186"/>
    <d v="2024-04-01T00:00:00"/>
    <s v="C086"/>
    <s v="P031"/>
    <s v="S003"/>
    <n v="1"/>
    <n v="0.1"/>
    <x v="2"/>
    <s v="Lawrence Hunter"/>
    <x v="39"/>
    <x v="2"/>
    <x v="0"/>
    <n v="1095.72"/>
    <n v="986.14800000000002"/>
  </r>
  <r>
    <s v="T03187"/>
    <d v="2025-06-22T00:00:00"/>
    <s v="C125"/>
    <s v="P042"/>
    <s v="S004"/>
    <n v="4"/>
    <n v="0.05"/>
    <x v="1"/>
    <s v="Kimberly Parker"/>
    <x v="10"/>
    <x v="0"/>
    <x v="1"/>
    <n v="453.62"/>
    <n v="1723.7559999999999"/>
  </r>
  <r>
    <s v="T03188"/>
    <d v="2024-04-22T00:00:00"/>
    <s v="C111"/>
    <s v="P026"/>
    <s v="S002"/>
    <n v="3"/>
    <n v="0.05"/>
    <x v="2"/>
    <s v="Dylan Booker"/>
    <x v="15"/>
    <x v="2"/>
    <x v="2"/>
    <n v="1015.76"/>
    <n v="2894.9159999999997"/>
  </r>
  <r>
    <s v="T03189"/>
    <d v="2025-01-21T00:00:00"/>
    <s v="C087"/>
    <s v="P009"/>
    <s v="S002"/>
    <n v="5"/>
    <n v="0.1"/>
    <x v="1"/>
    <s v="Laurie Mason"/>
    <x v="5"/>
    <x v="2"/>
    <x v="2"/>
    <n v="123.19"/>
    <n v="554.35500000000002"/>
  </r>
  <r>
    <s v="T03190"/>
    <d v="2025-02-27T00:00:00"/>
    <s v="C022"/>
    <s v="P037"/>
    <s v="S001"/>
    <n v="1"/>
    <n v="0"/>
    <x v="3"/>
    <s v="Megan Velasquez"/>
    <x v="27"/>
    <x v="1"/>
    <x v="3"/>
    <n v="1952.65"/>
    <n v="1952.65"/>
  </r>
  <r>
    <s v="T03191"/>
    <d v="2025-04-29T00:00:00"/>
    <s v="C039"/>
    <s v="P046"/>
    <s v="S005"/>
    <n v="4"/>
    <n v="0.15"/>
    <x v="3"/>
    <s v="Nancy Savage"/>
    <x v="42"/>
    <x v="0"/>
    <x v="4"/>
    <n v="1165.3699999999999"/>
    <n v="3962.2579999999994"/>
  </r>
  <r>
    <s v="T03192"/>
    <d v="2025-01-25T00:00:00"/>
    <s v="C179"/>
    <s v="P009"/>
    <s v="S002"/>
    <n v="1"/>
    <n v="0"/>
    <x v="1"/>
    <s v="Dennis Wallace"/>
    <x v="5"/>
    <x v="2"/>
    <x v="2"/>
    <n v="123.19"/>
    <n v="123.19"/>
  </r>
  <r>
    <s v="T03193"/>
    <d v="2025-06-25T00:00:00"/>
    <s v="C046"/>
    <s v="P012"/>
    <s v="S001"/>
    <n v="2"/>
    <n v="0.1"/>
    <x v="0"/>
    <s v="Dennis Poole"/>
    <x v="38"/>
    <x v="1"/>
    <x v="3"/>
    <n v="1193.0899999999999"/>
    <n v="2147.5619999999999"/>
  </r>
  <r>
    <s v="T03194"/>
    <d v="2025-06-30T00:00:00"/>
    <s v="C174"/>
    <s v="P004"/>
    <s v="S003"/>
    <n v="5"/>
    <n v="0"/>
    <x v="3"/>
    <s v="Scott Howell"/>
    <x v="49"/>
    <x v="0"/>
    <x v="0"/>
    <n v="1853.77"/>
    <n v="9268.85"/>
  </r>
  <r>
    <s v="T03195"/>
    <d v="2025-03-15T00:00:00"/>
    <s v="C043"/>
    <s v="P048"/>
    <s v="S003"/>
    <n v="3"/>
    <n v="0"/>
    <x v="3"/>
    <s v="Kenneth Allen"/>
    <x v="11"/>
    <x v="0"/>
    <x v="0"/>
    <n v="1216.3599999999999"/>
    <n v="3649.08"/>
  </r>
  <r>
    <s v="T03196"/>
    <d v="2024-05-18T00:00:00"/>
    <s v="C150"/>
    <s v="P024"/>
    <s v="S001"/>
    <n v="1"/>
    <n v="0"/>
    <x v="2"/>
    <s v="Francis Hernandez"/>
    <x v="14"/>
    <x v="1"/>
    <x v="3"/>
    <n v="1487.41"/>
    <n v="1487.41"/>
  </r>
  <r>
    <s v="T03197"/>
    <d v="2025-08-28T00:00:00"/>
    <s v="C044"/>
    <s v="P036"/>
    <s v="S004"/>
    <n v="4"/>
    <n v="0"/>
    <x v="0"/>
    <s v="Parker Sparks"/>
    <x v="4"/>
    <x v="0"/>
    <x v="1"/>
    <n v="1501.46"/>
    <n v="6005.84"/>
  </r>
  <r>
    <s v="T03198"/>
    <d v="2024-06-22T00:00:00"/>
    <s v="C152"/>
    <s v="P036"/>
    <s v="S003"/>
    <n v="5"/>
    <n v="0"/>
    <x v="0"/>
    <s v="Brittany Green"/>
    <x v="4"/>
    <x v="0"/>
    <x v="0"/>
    <n v="1501.46"/>
    <n v="7507.3"/>
  </r>
  <r>
    <s v="T03199"/>
    <d v="2024-09-17T00:00:00"/>
    <s v="C036"/>
    <s v="P028"/>
    <s v="S001"/>
    <n v="4"/>
    <n v="0.1"/>
    <x v="2"/>
    <s v="Michael Cervantes"/>
    <x v="25"/>
    <x v="1"/>
    <x v="3"/>
    <n v="673.78"/>
    <n v="2425.6080000000002"/>
  </r>
  <r>
    <s v="T03200"/>
    <d v="2023-11-05T00:00:00"/>
    <s v="C165"/>
    <s v="P008"/>
    <s v="S005"/>
    <n v="1"/>
    <n v="0.15"/>
    <x v="2"/>
    <s v="Tanya Mueller"/>
    <x v="48"/>
    <x v="0"/>
    <x v="4"/>
    <n v="109.78"/>
    <n v="93.313000000000002"/>
  </r>
  <r>
    <s v="T03201"/>
    <d v="2025-04-08T00:00:00"/>
    <s v="C177"/>
    <s v="P035"/>
    <s v="S003"/>
    <n v="1"/>
    <n v="0.15"/>
    <x v="0"/>
    <s v="Anthony Gould"/>
    <x v="7"/>
    <x v="1"/>
    <x v="0"/>
    <n v="1562.43"/>
    <n v="1328.0654999999999"/>
  </r>
  <r>
    <s v="T03202"/>
    <d v="2024-06-12T00:00:00"/>
    <s v="C171"/>
    <s v="P022"/>
    <s v="S002"/>
    <n v="4"/>
    <n v="0.15"/>
    <x v="0"/>
    <s v="Christina Dominguez"/>
    <x v="9"/>
    <x v="2"/>
    <x v="2"/>
    <n v="25.57"/>
    <n v="86.938000000000002"/>
  </r>
  <r>
    <s v="T03203"/>
    <d v="2023-11-14T00:00:00"/>
    <s v="C131"/>
    <s v="P046"/>
    <s v="S003"/>
    <n v="3"/>
    <n v="0.15"/>
    <x v="1"/>
    <s v="Denise Jackson"/>
    <x v="42"/>
    <x v="0"/>
    <x v="0"/>
    <n v="1165.3699999999999"/>
    <n v="2971.6934999999999"/>
  </r>
  <r>
    <s v="T03204"/>
    <d v="2025-04-22T00:00:00"/>
    <s v="C061"/>
    <s v="P015"/>
    <s v="S003"/>
    <n v="3"/>
    <n v="0.05"/>
    <x v="2"/>
    <s v="Heather Russell"/>
    <x v="40"/>
    <x v="0"/>
    <x v="0"/>
    <n v="270.45"/>
    <n v="770.78249999999991"/>
  </r>
  <r>
    <s v="T03205"/>
    <d v="2023-10-07T00:00:00"/>
    <s v="C119"/>
    <s v="P003"/>
    <s v="S002"/>
    <n v="2"/>
    <n v="0"/>
    <x v="3"/>
    <s v="Jason Lloyd"/>
    <x v="46"/>
    <x v="0"/>
    <x v="2"/>
    <n v="337.63"/>
    <n v="675.26"/>
  </r>
  <r>
    <s v="T03206"/>
    <d v="2025-01-18T00:00:00"/>
    <s v="C016"/>
    <s v="P013"/>
    <s v="S005"/>
    <n v="1"/>
    <n v="0.05"/>
    <x v="3"/>
    <s v="Miguel Johnson"/>
    <x v="21"/>
    <x v="0"/>
    <x v="4"/>
    <n v="1134.8"/>
    <n v="1078.06"/>
  </r>
  <r>
    <s v="T03207"/>
    <d v="2024-08-07T00:00:00"/>
    <s v="C115"/>
    <s v="P021"/>
    <s v="S002"/>
    <n v="2"/>
    <n v="0"/>
    <x v="0"/>
    <s v="Jose Smith"/>
    <x v="23"/>
    <x v="2"/>
    <x v="2"/>
    <n v="1227.24"/>
    <n v="2454.48"/>
  </r>
  <r>
    <s v="T03208"/>
    <d v="2024-03-12T00:00:00"/>
    <s v="C198"/>
    <s v="P034"/>
    <s v="S003"/>
    <n v="3"/>
    <n v="0.05"/>
    <x v="1"/>
    <s v="Jessica Mullins"/>
    <x v="12"/>
    <x v="1"/>
    <x v="0"/>
    <n v="428.05"/>
    <n v="1219.9425000000001"/>
  </r>
  <r>
    <s v="T03209"/>
    <d v="2025-02-23T00:00:00"/>
    <s v="C112"/>
    <s v="P016"/>
    <s v="S004"/>
    <n v="1"/>
    <n v="0.1"/>
    <x v="2"/>
    <s v="Jeffrey Smith"/>
    <x v="13"/>
    <x v="0"/>
    <x v="1"/>
    <n v="1858.75"/>
    <n v="1672.875"/>
  </r>
  <r>
    <s v="T03210"/>
    <d v="2024-07-01T00:00:00"/>
    <s v="C122"/>
    <s v="P009"/>
    <s v="S001"/>
    <n v="3"/>
    <n v="0.05"/>
    <x v="1"/>
    <s v="Amy Smith"/>
    <x v="5"/>
    <x v="2"/>
    <x v="3"/>
    <n v="123.19"/>
    <n v="351.0915"/>
  </r>
  <r>
    <s v="T03211"/>
    <d v="2024-07-21T00:00:00"/>
    <s v="C050"/>
    <s v="P034"/>
    <s v="S003"/>
    <n v="1"/>
    <n v="0"/>
    <x v="3"/>
    <s v="Kelly Mcmillan"/>
    <x v="12"/>
    <x v="1"/>
    <x v="0"/>
    <n v="428.05"/>
    <n v="428.05"/>
  </r>
  <r>
    <s v="T03212"/>
    <d v="2025-04-05T00:00:00"/>
    <s v="C065"/>
    <s v="P041"/>
    <s v="S004"/>
    <n v="2"/>
    <n v="0.15"/>
    <x v="1"/>
    <s v="Scott Duke"/>
    <x v="30"/>
    <x v="1"/>
    <x v="1"/>
    <n v="1635.01"/>
    <n v="2779.5169999999998"/>
  </r>
  <r>
    <s v="T03213"/>
    <d v="2024-07-03T00:00:00"/>
    <s v="C169"/>
    <s v="P015"/>
    <s v="S004"/>
    <n v="3"/>
    <n v="0.15"/>
    <x v="2"/>
    <s v="Travis Watson"/>
    <x v="40"/>
    <x v="0"/>
    <x v="1"/>
    <n v="270.45"/>
    <n v="689.64749999999992"/>
  </r>
  <r>
    <s v="T03214"/>
    <d v="2025-04-12T00:00:00"/>
    <s v="C084"/>
    <s v="P032"/>
    <s v="S004"/>
    <n v="3"/>
    <n v="0.05"/>
    <x v="3"/>
    <s v="Amanda Lee"/>
    <x v="44"/>
    <x v="2"/>
    <x v="1"/>
    <n v="304.70999999999998"/>
    <n v="868.42349999999988"/>
  </r>
  <r>
    <s v="T03215"/>
    <d v="2024-10-16T00:00:00"/>
    <s v="C043"/>
    <s v="P026"/>
    <s v="S003"/>
    <n v="4"/>
    <n v="0"/>
    <x v="1"/>
    <s v="Kenneth Allen"/>
    <x v="15"/>
    <x v="2"/>
    <x v="0"/>
    <n v="1015.76"/>
    <n v="4063.04"/>
  </r>
  <r>
    <s v="T03216"/>
    <d v="2024-02-17T00:00:00"/>
    <s v="C086"/>
    <s v="P043"/>
    <s v="S002"/>
    <n v="1"/>
    <n v="0.05"/>
    <x v="2"/>
    <s v="Lawrence Hunter"/>
    <x v="45"/>
    <x v="0"/>
    <x v="2"/>
    <n v="564.41999999999996"/>
    <n v="536.19899999999996"/>
  </r>
  <r>
    <s v="T03217"/>
    <d v="2024-04-13T00:00:00"/>
    <s v="C132"/>
    <s v="P006"/>
    <s v="S005"/>
    <n v="4"/>
    <n v="0.1"/>
    <x v="2"/>
    <s v="Jared Ochoa"/>
    <x v="35"/>
    <x v="2"/>
    <x v="4"/>
    <n v="318.05"/>
    <n v="1144.98"/>
  </r>
  <r>
    <s v="T03218"/>
    <d v="2025-03-27T00:00:00"/>
    <s v="C185"/>
    <s v="P003"/>
    <s v="S002"/>
    <n v="4"/>
    <n v="0"/>
    <x v="3"/>
    <s v="Joe Vincent"/>
    <x v="46"/>
    <x v="0"/>
    <x v="2"/>
    <n v="337.63"/>
    <n v="1350.52"/>
  </r>
  <r>
    <s v="T03219"/>
    <d v="2024-04-21T00:00:00"/>
    <s v="C162"/>
    <s v="P019"/>
    <s v="S003"/>
    <n v="3"/>
    <n v="0.1"/>
    <x v="0"/>
    <s v="Jill Roach"/>
    <x v="26"/>
    <x v="1"/>
    <x v="0"/>
    <n v="1762.92"/>
    <n v="4759.884"/>
  </r>
  <r>
    <s v="T03220"/>
    <d v="2024-11-12T00:00:00"/>
    <s v="C001"/>
    <s v="P048"/>
    <s v="S001"/>
    <n v="4"/>
    <n v="0.05"/>
    <x v="2"/>
    <s v="Michael Davis"/>
    <x v="11"/>
    <x v="0"/>
    <x v="3"/>
    <n v="1216.3599999999999"/>
    <n v="4622.1679999999997"/>
  </r>
  <r>
    <s v="T03221"/>
    <d v="2025-05-19T00:00:00"/>
    <s v="C038"/>
    <s v="P035"/>
    <s v="S003"/>
    <n v="5"/>
    <n v="0.1"/>
    <x v="1"/>
    <s v="Tracey Davis"/>
    <x v="7"/>
    <x v="1"/>
    <x v="0"/>
    <n v="1562.43"/>
    <n v="7030.9350000000004"/>
  </r>
  <r>
    <s v="T03222"/>
    <d v="2024-09-21T00:00:00"/>
    <s v="C136"/>
    <s v="P011"/>
    <s v="S005"/>
    <n v="5"/>
    <n v="0.05"/>
    <x v="1"/>
    <s v="Amanda Garcia"/>
    <x v="17"/>
    <x v="1"/>
    <x v="4"/>
    <n v="248.57"/>
    <n v="1180.7074999999998"/>
  </r>
  <r>
    <s v="T03223"/>
    <d v="2025-07-13T00:00:00"/>
    <s v="C198"/>
    <s v="P003"/>
    <s v="S001"/>
    <n v="4"/>
    <n v="0.1"/>
    <x v="1"/>
    <s v="Jessica Mullins"/>
    <x v="46"/>
    <x v="0"/>
    <x v="3"/>
    <n v="337.63"/>
    <n v="1215.4680000000001"/>
  </r>
  <r>
    <s v="T03224"/>
    <d v="2025-06-25T00:00:00"/>
    <s v="C012"/>
    <s v="P036"/>
    <s v="S003"/>
    <n v="3"/>
    <n v="0"/>
    <x v="1"/>
    <s v="Dale Perry"/>
    <x v="4"/>
    <x v="0"/>
    <x v="0"/>
    <n v="1501.46"/>
    <n v="4504.38"/>
  </r>
  <r>
    <s v="T03225"/>
    <d v="2025-08-08T00:00:00"/>
    <s v="C151"/>
    <s v="P001"/>
    <s v="S001"/>
    <n v="4"/>
    <n v="0.15"/>
    <x v="1"/>
    <s v="Dawn Fletcher"/>
    <x v="31"/>
    <x v="1"/>
    <x v="3"/>
    <n v="1673.69"/>
    <n v="5690.5460000000003"/>
  </r>
  <r>
    <s v="T03226"/>
    <d v="2023-09-10T00:00:00"/>
    <s v="C156"/>
    <s v="P024"/>
    <s v="S005"/>
    <n v="2"/>
    <n v="0.1"/>
    <x v="2"/>
    <s v="George Young"/>
    <x v="14"/>
    <x v="1"/>
    <x v="4"/>
    <n v="1487.41"/>
    <n v="2677.3380000000002"/>
  </r>
  <r>
    <s v="T03227"/>
    <d v="2024-02-27T00:00:00"/>
    <s v="C116"/>
    <s v="P006"/>
    <s v="S003"/>
    <n v="3"/>
    <n v="0"/>
    <x v="2"/>
    <s v="Jamie Webb"/>
    <x v="35"/>
    <x v="2"/>
    <x v="0"/>
    <n v="318.05"/>
    <n v="954.15000000000009"/>
  </r>
  <r>
    <s v="T03228"/>
    <d v="2023-11-03T00:00:00"/>
    <s v="C172"/>
    <s v="P033"/>
    <s v="S005"/>
    <n v="3"/>
    <n v="0.15"/>
    <x v="0"/>
    <s v="Michelle Smith"/>
    <x v="16"/>
    <x v="0"/>
    <x v="4"/>
    <n v="1798.97"/>
    <n v="4587.3734999999997"/>
  </r>
  <r>
    <s v="T03229"/>
    <d v="2025-01-13T00:00:00"/>
    <s v="C002"/>
    <s v="P011"/>
    <s v="S005"/>
    <n v="2"/>
    <n v="0"/>
    <x v="2"/>
    <s v="Michael Miller"/>
    <x v="17"/>
    <x v="1"/>
    <x v="4"/>
    <n v="248.57"/>
    <n v="497.14"/>
  </r>
  <r>
    <s v="T03230"/>
    <d v="2023-11-19T00:00:00"/>
    <s v="C116"/>
    <s v="P012"/>
    <s v="S002"/>
    <n v="4"/>
    <n v="0"/>
    <x v="1"/>
    <s v="Jamie Webb"/>
    <x v="38"/>
    <x v="1"/>
    <x v="2"/>
    <n v="1193.0899999999999"/>
    <n v="4772.3599999999997"/>
  </r>
  <r>
    <s v="T03231"/>
    <d v="2024-05-17T00:00:00"/>
    <s v="C013"/>
    <s v="P025"/>
    <s v="S001"/>
    <n v="3"/>
    <n v="0.15"/>
    <x v="3"/>
    <s v="Robert Anderson"/>
    <x v="33"/>
    <x v="0"/>
    <x v="3"/>
    <n v="429.15"/>
    <n v="1094.3324999999998"/>
  </r>
  <r>
    <s v="T03232"/>
    <d v="2025-02-05T00:00:00"/>
    <s v="C129"/>
    <s v="P015"/>
    <s v="S003"/>
    <n v="5"/>
    <n v="0"/>
    <x v="1"/>
    <s v="Gary Taylor"/>
    <x v="40"/>
    <x v="0"/>
    <x v="0"/>
    <n v="270.45"/>
    <n v="1352.25"/>
  </r>
  <r>
    <s v="T03233"/>
    <d v="2025-07-14T00:00:00"/>
    <s v="C149"/>
    <s v="P008"/>
    <s v="S002"/>
    <n v="5"/>
    <n v="0.1"/>
    <x v="3"/>
    <s v="Melissa Torres"/>
    <x v="48"/>
    <x v="0"/>
    <x v="2"/>
    <n v="109.78"/>
    <n v="494.01"/>
  </r>
  <r>
    <s v="T03234"/>
    <d v="2023-12-22T00:00:00"/>
    <s v="C061"/>
    <s v="P017"/>
    <s v="S004"/>
    <n v="5"/>
    <n v="0.1"/>
    <x v="2"/>
    <s v="Heather Russell"/>
    <x v="43"/>
    <x v="1"/>
    <x v="1"/>
    <n v="1246.1099999999999"/>
    <n v="5607.4949999999999"/>
  </r>
  <r>
    <s v="T03235"/>
    <d v="2024-05-08T00:00:00"/>
    <s v="C140"/>
    <s v="P009"/>
    <s v="S002"/>
    <n v="1"/>
    <n v="0.15"/>
    <x v="3"/>
    <s v="Stacy Williams"/>
    <x v="5"/>
    <x v="2"/>
    <x v="2"/>
    <n v="123.19"/>
    <n v="104.7115"/>
  </r>
  <r>
    <s v="T03236"/>
    <d v="2025-06-25T00:00:00"/>
    <s v="C085"/>
    <s v="P048"/>
    <s v="S002"/>
    <n v="4"/>
    <n v="0"/>
    <x v="3"/>
    <s v="Juan Ramirez"/>
    <x v="11"/>
    <x v="0"/>
    <x v="2"/>
    <n v="1216.3599999999999"/>
    <n v="4865.4399999999996"/>
  </r>
  <r>
    <s v="T03237"/>
    <d v="2024-11-09T00:00:00"/>
    <s v="C034"/>
    <s v="P031"/>
    <s v="S003"/>
    <n v="2"/>
    <n v="0.1"/>
    <x v="0"/>
    <s v="Kari Miller"/>
    <x v="39"/>
    <x v="2"/>
    <x v="0"/>
    <n v="1095.72"/>
    <n v="1972.296"/>
  </r>
  <r>
    <s v="T03238"/>
    <d v="2024-01-27T00:00:00"/>
    <s v="C107"/>
    <s v="P012"/>
    <s v="S002"/>
    <n v="4"/>
    <n v="0.05"/>
    <x v="2"/>
    <s v="Victoria Hansen"/>
    <x v="38"/>
    <x v="1"/>
    <x v="2"/>
    <n v="1193.0899999999999"/>
    <n v="4533.7419999999993"/>
  </r>
  <r>
    <s v="T03239"/>
    <d v="2025-04-17T00:00:00"/>
    <s v="C093"/>
    <s v="P015"/>
    <s v="S001"/>
    <n v="3"/>
    <n v="0.1"/>
    <x v="3"/>
    <s v="Stanley Brown"/>
    <x v="40"/>
    <x v="0"/>
    <x v="3"/>
    <n v="270.45"/>
    <n v="730.21499999999992"/>
  </r>
  <r>
    <s v="T03240"/>
    <d v="2024-04-09T00:00:00"/>
    <s v="C020"/>
    <s v="P020"/>
    <s v="S002"/>
    <n v="1"/>
    <n v="0"/>
    <x v="2"/>
    <s v="Ryan Cole"/>
    <x v="24"/>
    <x v="0"/>
    <x v="2"/>
    <n v="323.92"/>
    <n v="323.92"/>
  </r>
  <r>
    <s v="T03241"/>
    <d v="2023-12-10T00:00:00"/>
    <s v="C017"/>
    <s v="P046"/>
    <s v="S003"/>
    <n v="2"/>
    <n v="0"/>
    <x v="1"/>
    <s v="Vanessa Anderson"/>
    <x v="42"/>
    <x v="0"/>
    <x v="0"/>
    <n v="1165.3699999999999"/>
    <n v="2330.7399999999998"/>
  </r>
  <r>
    <s v="T03242"/>
    <d v="2024-07-07T00:00:00"/>
    <s v="C087"/>
    <s v="P011"/>
    <s v="S001"/>
    <n v="5"/>
    <n v="0.15"/>
    <x v="3"/>
    <s v="Laurie Mason"/>
    <x v="17"/>
    <x v="1"/>
    <x v="3"/>
    <n v="248.57"/>
    <n v="1056.4224999999999"/>
  </r>
  <r>
    <s v="T03243"/>
    <d v="2025-02-22T00:00:00"/>
    <s v="C124"/>
    <s v="P050"/>
    <s v="S005"/>
    <n v="3"/>
    <n v="0"/>
    <x v="0"/>
    <s v="Chad Roberts"/>
    <x v="3"/>
    <x v="0"/>
    <x v="4"/>
    <n v="1044.6400000000001"/>
    <n v="3133.92"/>
  </r>
  <r>
    <s v="T03244"/>
    <d v="2025-04-11T00:00:00"/>
    <s v="C024"/>
    <s v="P004"/>
    <s v="S003"/>
    <n v="2"/>
    <n v="0.15"/>
    <x v="2"/>
    <s v="Molly Murray"/>
    <x v="49"/>
    <x v="0"/>
    <x v="0"/>
    <n v="1853.77"/>
    <n v="3151.4090000000001"/>
  </r>
  <r>
    <s v="T03245"/>
    <d v="2023-10-19T00:00:00"/>
    <s v="C140"/>
    <s v="P033"/>
    <s v="S003"/>
    <n v="1"/>
    <n v="0"/>
    <x v="3"/>
    <s v="Stacy Williams"/>
    <x v="16"/>
    <x v="0"/>
    <x v="0"/>
    <n v="1798.97"/>
    <n v="1798.97"/>
  </r>
  <r>
    <s v="T03246"/>
    <d v="2024-12-02T00:00:00"/>
    <s v="C042"/>
    <s v="P035"/>
    <s v="S002"/>
    <n v="3"/>
    <n v="0.05"/>
    <x v="2"/>
    <s v="Anna Andrews"/>
    <x v="7"/>
    <x v="1"/>
    <x v="2"/>
    <n v="1562.43"/>
    <n v="4452.9254999999994"/>
  </r>
  <r>
    <s v="T03247"/>
    <d v="2024-12-29T00:00:00"/>
    <s v="C123"/>
    <s v="P030"/>
    <s v="S003"/>
    <n v="1"/>
    <n v="0.1"/>
    <x v="1"/>
    <s v="Peter Edwards"/>
    <x v="1"/>
    <x v="0"/>
    <x v="0"/>
    <n v="29.24"/>
    <n v="26.315999999999999"/>
  </r>
  <r>
    <s v="T03248"/>
    <d v="2023-09-10T00:00:00"/>
    <s v="C194"/>
    <s v="P038"/>
    <s v="S004"/>
    <n v="1"/>
    <n v="0.15"/>
    <x v="2"/>
    <s v="Ann West"/>
    <x v="41"/>
    <x v="0"/>
    <x v="1"/>
    <n v="366.93"/>
    <n v="311.89049999999997"/>
  </r>
  <r>
    <s v="T03249"/>
    <d v="2024-03-02T00:00:00"/>
    <s v="C043"/>
    <s v="P044"/>
    <s v="S002"/>
    <n v="5"/>
    <n v="0.15"/>
    <x v="3"/>
    <s v="Kenneth Allen"/>
    <x v="32"/>
    <x v="0"/>
    <x v="2"/>
    <n v="1286.55"/>
    <n v="5467.8374999999996"/>
  </r>
  <r>
    <s v="T03250"/>
    <d v="2024-05-10T00:00:00"/>
    <s v="C191"/>
    <s v="P031"/>
    <s v="S002"/>
    <n v="4"/>
    <n v="0.15"/>
    <x v="1"/>
    <s v="Karen Quinn"/>
    <x v="39"/>
    <x v="2"/>
    <x v="2"/>
    <n v="1095.72"/>
    <n v="3725.4479999999999"/>
  </r>
  <r>
    <s v="T03251"/>
    <d v="2023-11-05T00:00:00"/>
    <s v="C083"/>
    <s v="P043"/>
    <s v="S003"/>
    <n v="2"/>
    <n v="0"/>
    <x v="3"/>
    <s v="Jeremy Robles"/>
    <x v="45"/>
    <x v="0"/>
    <x v="0"/>
    <n v="564.41999999999996"/>
    <n v="1128.8399999999999"/>
  </r>
  <r>
    <s v="T03252"/>
    <d v="2024-05-16T00:00:00"/>
    <s v="C116"/>
    <s v="P032"/>
    <s v="S002"/>
    <n v="1"/>
    <n v="0.1"/>
    <x v="3"/>
    <s v="Jamie Webb"/>
    <x v="44"/>
    <x v="2"/>
    <x v="2"/>
    <n v="304.70999999999998"/>
    <n v="274.23899999999998"/>
  </r>
  <r>
    <s v="T03253"/>
    <d v="2024-09-10T00:00:00"/>
    <s v="C171"/>
    <s v="P038"/>
    <s v="S003"/>
    <n v="3"/>
    <n v="0.15"/>
    <x v="3"/>
    <s v="Christina Dominguez"/>
    <x v="41"/>
    <x v="0"/>
    <x v="0"/>
    <n v="366.93"/>
    <n v="935.67149999999992"/>
  </r>
  <r>
    <s v="T03254"/>
    <d v="2024-12-06T00:00:00"/>
    <s v="C081"/>
    <s v="P011"/>
    <s v="S004"/>
    <n v="1"/>
    <n v="0.05"/>
    <x v="3"/>
    <s v="Sarah Reynolds"/>
    <x v="17"/>
    <x v="1"/>
    <x v="1"/>
    <n v="248.57"/>
    <n v="236.14149999999998"/>
  </r>
  <r>
    <s v="T03255"/>
    <d v="2025-04-13T00:00:00"/>
    <s v="C153"/>
    <s v="P037"/>
    <s v="S005"/>
    <n v="5"/>
    <n v="0"/>
    <x v="2"/>
    <s v="Nancy Gordon"/>
    <x v="27"/>
    <x v="1"/>
    <x v="4"/>
    <n v="1952.65"/>
    <n v="9763.25"/>
  </r>
  <r>
    <s v="T03256"/>
    <d v="2024-01-12T00:00:00"/>
    <s v="C122"/>
    <s v="P035"/>
    <s v="S004"/>
    <n v="5"/>
    <n v="0.1"/>
    <x v="3"/>
    <s v="Amy Smith"/>
    <x v="7"/>
    <x v="1"/>
    <x v="1"/>
    <n v="1562.43"/>
    <n v="7030.9350000000004"/>
  </r>
  <r>
    <s v="T03257"/>
    <d v="2024-09-26T00:00:00"/>
    <s v="C160"/>
    <s v="P009"/>
    <s v="S001"/>
    <n v="3"/>
    <n v="0.05"/>
    <x v="0"/>
    <s v="Meagan Macdonald"/>
    <x v="5"/>
    <x v="2"/>
    <x v="3"/>
    <n v="123.19"/>
    <n v="351.0915"/>
  </r>
  <r>
    <s v="T03258"/>
    <d v="2024-07-07T00:00:00"/>
    <s v="C138"/>
    <s v="P020"/>
    <s v="S004"/>
    <n v="3"/>
    <n v="0"/>
    <x v="3"/>
    <s v="Breanna Moore"/>
    <x v="24"/>
    <x v="0"/>
    <x v="1"/>
    <n v="323.92"/>
    <n v="971.76"/>
  </r>
  <r>
    <s v="T03259"/>
    <d v="2025-07-10T00:00:00"/>
    <s v="C015"/>
    <s v="P037"/>
    <s v="S003"/>
    <n v="2"/>
    <n v="0.1"/>
    <x v="1"/>
    <s v="Matthew Molina"/>
    <x v="27"/>
    <x v="1"/>
    <x v="0"/>
    <n v="1952.65"/>
    <n v="3514.7700000000004"/>
  </r>
  <r>
    <s v="T03260"/>
    <d v="2025-03-17T00:00:00"/>
    <s v="C040"/>
    <s v="P050"/>
    <s v="S003"/>
    <n v="3"/>
    <n v="0.15"/>
    <x v="3"/>
    <s v="Scott Powell"/>
    <x v="3"/>
    <x v="0"/>
    <x v="0"/>
    <n v="1044.6400000000001"/>
    <n v="2663.8319999999999"/>
  </r>
  <r>
    <s v="T03261"/>
    <d v="2024-03-20T00:00:00"/>
    <s v="C136"/>
    <s v="P039"/>
    <s v="S003"/>
    <n v="1"/>
    <n v="0.15"/>
    <x v="0"/>
    <s v="Amanda Garcia"/>
    <x v="22"/>
    <x v="0"/>
    <x v="0"/>
    <n v="540.94000000000005"/>
    <n v="459.79900000000004"/>
  </r>
  <r>
    <s v="T03262"/>
    <d v="2024-11-12T00:00:00"/>
    <s v="C190"/>
    <s v="P022"/>
    <s v="S003"/>
    <n v="4"/>
    <n v="0"/>
    <x v="3"/>
    <s v="Daniel Lawson"/>
    <x v="9"/>
    <x v="2"/>
    <x v="0"/>
    <n v="25.57"/>
    <n v="102.28"/>
  </r>
  <r>
    <s v="T03263"/>
    <d v="2025-03-21T00:00:00"/>
    <s v="C073"/>
    <s v="P008"/>
    <s v="S003"/>
    <n v="2"/>
    <n v="0"/>
    <x v="2"/>
    <s v="Carl Armstrong"/>
    <x v="48"/>
    <x v="0"/>
    <x v="0"/>
    <n v="109.78"/>
    <n v="219.56"/>
  </r>
  <r>
    <s v="T03264"/>
    <d v="2024-12-17T00:00:00"/>
    <s v="C135"/>
    <s v="P045"/>
    <s v="S005"/>
    <n v="5"/>
    <n v="0"/>
    <x v="0"/>
    <s v="Mario Cuevas"/>
    <x v="8"/>
    <x v="2"/>
    <x v="4"/>
    <n v="1879.08"/>
    <n v="9395.4"/>
  </r>
  <r>
    <s v="T03265"/>
    <d v="2023-11-04T00:00:00"/>
    <s v="C030"/>
    <s v="P005"/>
    <s v="S001"/>
    <n v="3"/>
    <n v="0.1"/>
    <x v="0"/>
    <s v="Lacey Hall"/>
    <x v="6"/>
    <x v="0"/>
    <x v="3"/>
    <n v="1396.22"/>
    <n v="3769.7939999999999"/>
  </r>
  <r>
    <s v="T03266"/>
    <d v="2024-06-17T00:00:00"/>
    <s v="C032"/>
    <s v="P013"/>
    <s v="S002"/>
    <n v="5"/>
    <n v="0.05"/>
    <x v="3"/>
    <s v="Valerie Macdonald"/>
    <x v="21"/>
    <x v="0"/>
    <x v="2"/>
    <n v="1134.8"/>
    <n v="5390.3"/>
  </r>
  <r>
    <s v="T03267"/>
    <d v="2024-07-29T00:00:00"/>
    <s v="C060"/>
    <s v="P026"/>
    <s v="S001"/>
    <n v="3"/>
    <n v="0.1"/>
    <x v="3"/>
    <s v="Anthony Conway"/>
    <x v="15"/>
    <x v="2"/>
    <x v="3"/>
    <n v="1015.76"/>
    <n v="2742.5519999999997"/>
  </r>
  <r>
    <s v="T03268"/>
    <d v="2024-11-19T00:00:00"/>
    <s v="C183"/>
    <s v="P036"/>
    <s v="S005"/>
    <n v="5"/>
    <n v="0.1"/>
    <x v="0"/>
    <s v="Mary Dawson"/>
    <x v="4"/>
    <x v="0"/>
    <x v="4"/>
    <n v="1501.46"/>
    <n v="6756.5700000000006"/>
  </r>
  <r>
    <s v="T03269"/>
    <d v="2025-07-24T00:00:00"/>
    <s v="C026"/>
    <s v="P034"/>
    <s v="S004"/>
    <n v="1"/>
    <n v="0.1"/>
    <x v="1"/>
    <s v="Justin Macdonald"/>
    <x v="12"/>
    <x v="1"/>
    <x v="1"/>
    <n v="428.05"/>
    <n v="385.245"/>
  </r>
  <r>
    <s v="T03270"/>
    <d v="2025-02-14T00:00:00"/>
    <s v="C024"/>
    <s v="P035"/>
    <s v="S003"/>
    <n v="3"/>
    <n v="0"/>
    <x v="2"/>
    <s v="Molly Murray"/>
    <x v="7"/>
    <x v="1"/>
    <x v="0"/>
    <n v="1562.43"/>
    <n v="4687.29"/>
  </r>
  <r>
    <s v="T03271"/>
    <d v="2025-09-07T00:00:00"/>
    <s v="C018"/>
    <s v="P048"/>
    <s v="S001"/>
    <n v="5"/>
    <n v="0"/>
    <x v="3"/>
    <s v="Breanna Davis"/>
    <x v="11"/>
    <x v="0"/>
    <x v="3"/>
    <n v="1216.3599999999999"/>
    <n v="6081.7999999999993"/>
  </r>
  <r>
    <s v="T03272"/>
    <d v="2025-08-15T00:00:00"/>
    <s v="C123"/>
    <s v="P019"/>
    <s v="S001"/>
    <n v="4"/>
    <n v="0.1"/>
    <x v="1"/>
    <s v="Peter Edwards"/>
    <x v="26"/>
    <x v="1"/>
    <x v="3"/>
    <n v="1762.92"/>
    <n v="6346.5120000000006"/>
  </r>
  <r>
    <s v="T03273"/>
    <d v="2023-10-27T00:00:00"/>
    <s v="C139"/>
    <s v="P048"/>
    <s v="S001"/>
    <n v="3"/>
    <n v="0.05"/>
    <x v="2"/>
    <s v="Alexander Mcfarland"/>
    <x v="11"/>
    <x v="0"/>
    <x v="3"/>
    <n v="1216.3599999999999"/>
    <n v="3466.6259999999997"/>
  </r>
  <r>
    <s v="T03274"/>
    <d v="2024-08-02T00:00:00"/>
    <s v="C021"/>
    <s v="P036"/>
    <s v="S003"/>
    <n v="2"/>
    <n v="0.05"/>
    <x v="3"/>
    <s v="Debbie Martin"/>
    <x v="4"/>
    <x v="0"/>
    <x v="0"/>
    <n v="1501.46"/>
    <n v="2852.7739999999999"/>
  </r>
  <r>
    <s v="T03275"/>
    <d v="2025-04-20T00:00:00"/>
    <s v="C162"/>
    <s v="P012"/>
    <s v="S001"/>
    <n v="4"/>
    <n v="0.05"/>
    <x v="2"/>
    <s v="Jill Roach"/>
    <x v="38"/>
    <x v="1"/>
    <x v="3"/>
    <n v="1193.0899999999999"/>
    <n v="4533.7419999999993"/>
  </r>
  <r>
    <s v="T03276"/>
    <d v="2024-07-16T00:00:00"/>
    <s v="C044"/>
    <s v="P048"/>
    <s v="S005"/>
    <n v="2"/>
    <n v="0.15"/>
    <x v="3"/>
    <s v="Parker Sparks"/>
    <x v="11"/>
    <x v="0"/>
    <x v="4"/>
    <n v="1216.3599999999999"/>
    <n v="2067.8119999999999"/>
  </r>
  <r>
    <s v="T03277"/>
    <d v="2023-11-11T00:00:00"/>
    <s v="C175"/>
    <s v="P022"/>
    <s v="S005"/>
    <n v="3"/>
    <n v="0.05"/>
    <x v="1"/>
    <s v="Stacey Thompson"/>
    <x v="9"/>
    <x v="2"/>
    <x v="4"/>
    <n v="25.57"/>
    <n v="72.874499999999998"/>
  </r>
  <r>
    <s v="T03278"/>
    <d v="2023-11-22T00:00:00"/>
    <s v="C141"/>
    <s v="P026"/>
    <s v="S002"/>
    <n v="1"/>
    <n v="0.15"/>
    <x v="2"/>
    <s v="Adam Lucas"/>
    <x v="15"/>
    <x v="2"/>
    <x v="2"/>
    <n v="1015.76"/>
    <n v="863.39599999999996"/>
  </r>
  <r>
    <s v="T03279"/>
    <d v="2025-01-07T00:00:00"/>
    <s v="C157"/>
    <s v="P040"/>
    <s v="S004"/>
    <n v="2"/>
    <n v="0.1"/>
    <x v="0"/>
    <s v="Connie Terry"/>
    <x v="37"/>
    <x v="1"/>
    <x v="1"/>
    <n v="1745.61"/>
    <n v="3142.098"/>
  </r>
  <r>
    <s v="T03280"/>
    <d v="2024-03-12T00:00:00"/>
    <s v="C035"/>
    <s v="P018"/>
    <s v="S004"/>
    <n v="5"/>
    <n v="0.15"/>
    <x v="0"/>
    <s v="Kimberly King"/>
    <x v="19"/>
    <x v="1"/>
    <x v="1"/>
    <n v="1079.8900000000001"/>
    <n v="4589.5325000000003"/>
  </r>
  <r>
    <s v="T03281"/>
    <d v="2025-03-29T00:00:00"/>
    <s v="C069"/>
    <s v="P025"/>
    <s v="S002"/>
    <n v="5"/>
    <n v="0"/>
    <x v="1"/>
    <s v="Gabriel Daugherty"/>
    <x v="33"/>
    <x v="0"/>
    <x v="2"/>
    <n v="429.15"/>
    <n v="2145.75"/>
  </r>
  <r>
    <s v="T03282"/>
    <d v="2023-11-05T00:00:00"/>
    <s v="C066"/>
    <s v="P033"/>
    <s v="S005"/>
    <n v="4"/>
    <n v="0"/>
    <x v="3"/>
    <s v="Jason Jenkins"/>
    <x v="16"/>
    <x v="0"/>
    <x v="4"/>
    <n v="1798.97"/>
    <n v="7195.88"/>
  </r>
  <r>
    <s v="T03283"/>
    <d v="2025-07-26T00:00:00"/>
    <s v="C104"/>
    <s v="P032"/>
    <s v="S005"/>
    <n v="2"/>
    <n v="0.1"/>
    <x v="2"/>
    <s v="Brenda Dean"/>
    <x v="44"/>
    <x v="2"/>
    <x v="4"/>
    <n v="304.70999999999998"/>
    <n v="548.47799999999995"/>
  </r>
  <r>
    <s v="T03284"/>
    <d v="2024-02-06T00:00:00"/>
    <s v="C148"/>
    <s v="P017"/>
    <s v="S002"/>
    <n v="5"/>
    <n v="0"/>
    <x v="2"/>
    <s v="John Foster"/>
    <x v="43"/>
    <x v="1"/>
    <x v="2"/>
    <n v="1246.1099999999999"/>
    <n v="6230.5499999999993"/>
  </r>
  <r>
    <s v="T03285"/>
    <d v="2023-09-11T00:00:00"/>
    <s v="C034"/>
    <s v="P007"/>
    <s v="S001"/>
    <n v="2"/>
    <n v="0.05"/>
    <x v="3"/>
    <s v="Kari Miller"/>
    <x v="18"/>
    <x v="1"/>
    <x v="3"/>
    <n v="1474.12"/>
    <n v="2800.8279999999995"/>
  </r>
  <r>
    <s v="T03286"/>
    <d v="2025-08-19T00:00:00"/>
    <s v="C188"/>
    <s v="P031"/>
    <s v="S001"/>
    <n v="4"/>
    <n v="0.05"/>
    <x v="2"/>
    <s v="Ryan Flores"/>
    <x v="39"/>
    <x v="2"/>
    <x v="3"/>
    <n v="1095.72"/>
    <n v="4163.7359999999999"/>
  </r>
  <r>
    <s v="T03287"/>
    <d v="2025-02-15T00:00:00"/>
    <s v="C071"/>
    <s v="P034"/>
    <s v="S001"/>
    <n v="5"/>
    <n v="0"/>
    <x v="2"/>
    <s v="Denise Gutierrez"/>
    <x v="12"/>
    <x v="1"/>
    <x v="3"/>
    <n v="428.05"/>
    <n v="2140.25"/>
  </r>
  <r>
    <s v="T03288"/>
    <d v="2023-10-19T00:00:00"/>
    <s v="C184"/>
    <s v="P004"/>
    <s v="S001"/>
    <n v="1"/>
    <n v="0.15"/>
    <x v="3"/>
    <s v="Daniel Mcintyre"/>
    <x v="49"/>
    <x v="0"/>
    <x v="3"/>
    <n v="1853.77"/>
    <n v="1575.7045000000001"/>
  </r>
  <r>
    <s v="T03289"/>
    <d v="2024-03-26T00:00:00"/>
    <s v="C088"/>
    <s v="P049"/>
    <s v="S002"/>
    <n v="4"/>
    <n v="0.05"/>
    <x v="2"/>
    <s v="Brenda Costa"/>
    <x v="29"/>
    <x v="0"/>
    <x v="2"/>
    <n v="388.26"/>
    <n v="1475.3879999999999"/>
  </r>
  <r>
    <s v="T03290"/>
    <d v="2025-08-27T00:00:00"/>
    <s v="C186"/>
    <s v="P021"/>
    <s v="S001"/>
    <n v="3"/>
    <n v="0.1"/>
    <x v="1"/>
    <s v="Vicki Guzman"/>
    <x v="23"/>
    <x v="2"/>
    <x v="3"/>
    <n v="1227.24"/>
    <n v="3313.5480000000002"/>
  </r>
  <r>
    <s v="T03291"/>
    <d v="2023-10-26T00:00:00"/>
    <s v="C097"/>
    <s v="P044"/>
    <s v="S005"/>
    <n v="3"/>
    <n v="0.15"/>
    <x v="2"/>
    <s v="Evelyn Gray"/>
    <x v="32"/>
    <x v="0"/>
    <x v="4"/>
    <n v="1286.55"/>
    <n v="3280.7024999999994"/>
  </r>
  <r>
    <s v="T03292"/>
    <d v="2024-02-04T00:00:00"/>
    <s v="C163"/>
    <s v="P042"/>
    <s v="S002"/>
    <n v="2"/>
    <n v="0.15"/>
    <x v="0"/>
    <s v="Erin Rogers"/>
    <x v="10"/>
    <x v="0"/>
    <x v="2"/>
    <n v="453.62"/>
    <n v="771.154"/>
  </r>
  <r>
    <s v="T03293"/>
    <d v="2025-05-13T00:00:00"/>
    <s v="C049"/>
    <s v="P022"/>
    <s v="S002"/>
    <n v="4"/>
    <n v="0.15"/>
    <x v="0"/>
    <s v="Antonio Hamilton"/>
    <x v="9"/>
    <x v="2"/>
    <x v="2"/>
    <n v="25.57"/>
    <n v="86.938000000000002"/>
  </r>
  <r>
    <s v="T03294"/>
    <d v="2025-03-02T00:00:00"/>
    <s v="C112"/>
    <s v="P034"/>
    <s v="S001"/>
    <n v="3"/>
    <n v="0"/>
    <x v="1"/>
    <s v="Jeffrey Smith"/>
    <x v="12"/>
    <x v="1"/>
    <x v="3"/>
    <n v="428.05"/>
    <n v="1284.1500000000001"/>
  </r>
  <r>
    <s v="T03295"/>
    <d v="2024-12-03T00:00:00"/>
    <s v="C119"/>
    <s v="P004"/>
    <s v="S002"/>
    <n v="1"/>
    <n v="0"/>
    <x v="1"/>
    <s v="Jason Lloyd"/>
    <x v="49"/>
    <x v="0"/>
    <x v="2"/>
    <n v="1853.77"/>
    <n v="1853.77"/>
  </r>
  <r>
    <s v="T03296"/>
    <d v="2025-02-09T00:00:00"/>
    <s v="C135"/>
    <s v="P049"/>
    <s v="S003"/>
    <n v="2"/>
    <n v="0.15"/>
    <x v="3"/>
    <s v="Mario Cuevas"/>
    <x v="29"/>
    <x v="0"/>
    <x v="0"/>
    <n v="388.26"/>
    <n v="660.04199999999992"/>
  </r>
  <r>
    <s v="T03297"/>
    <d v="2024-02-05T00:00:00"/>
    <s v="C074"/>
    <s v="P040"/>
    <s v="S002"/>
    <n v="3"/>
    <n v="0.1"/>
    <x v="2"/>
    <s v="Jesus Singh"/>
    <x v="37"/>
    <x v="1"/>
    <x v="2"/>
    <n v="1745.61"/>
    <n v="4713.1469999999999"/>
  </r>
  <r>
    <s v="T03298"/>
    <d v="2023-11-03T00:00:00"/>
    <s v="C110"/>
    <s v="P045"/>
    <s v="S001"/>
    <n v="4"/>
    <n v="0"/>
    <x v="1"/>
    <s v="Travis Peters"/>
    <x v="8"/>
    <x v="2"/>
    <x v="3"/>
    <n v="1879.08"/>
    <n v="7516.32"/>
  </r>
  <r>
    <s v="T03299"/>
    <d v="2025-06-25T00:00:00"/>
    <s v="C090"/>
    <s v="P040"/>
    <s v="S003"/>
    <n v="2"/>
    <n v="0.15"/>
    <x v="2"/>
    <s v="Carrie Peterson"/>
    <x v="37"/>
    <x v="1"/>
    <x v="0"/>
    <n v="1745.61"/>
    <n v="2967.5369999999998"/>
  </r>
  <r>
    <s v="T03300"/>
    <d v="2023-11-21T00:00:00"/>
    <s v="C177"/>
    <s v="P036"/>
    <s v="S003"/>
    <n v="4"/>
    <n v="0.15"/>
    <x v="0"/>
    <s v="Anthony Gould"/>
    <x v="4"/>
    <x v="0"/>
    <x v="0"/>
    <n v="1501.46"/>
    <n v="5104.9639999999999"/>
  </r>
  <r>
    <s v="T03301"/>
    <d v="2025-04-28T00:00:00"/>
    <s v="C042"/>
    <s v="P043"/>
    <s v="S004"/>
    <n v="2"/>
    <n v="0.15"/>
    <x v="2"/>
    <s v="Anna Andrews"/>
    <x v="45"/>
    <x v="0"/>
    <x v="1"/>
    <n v="564.41999999999996"/>
    <n v="959.5139999999999"/>
  </r>
  <r>
    <s v="T03302"/>
    <d v="2024-04-25T00:00:00"/>
    <s v="C005"/>
    <s v="P033"/>
    <s v="S002"/>
    <n v="4"/>
    <n v="0.15"/>
    <x v="2"/>
    <s v="Jamie Salinas"/>
    <x v="16"/>
    <x v="0"/>
    <x v="2"/>
    <n v="1798.97"/>
    <n v="6116.4979999999996"/>
  </r>
  <r>
    <s v="T03303"/>
    <d v="2025-06-29T00:00:00"/>
    <s v="C142"/>
    <s v="P013"/>
    <s v="S005"/>
    <n v="2"/>
    <n v="0"/>
    <x v="0"/>
    <s v="Suzanne Fox"/>
    <x v="21"/>
    <x v="0"/>
    <x v="4"/>
    <n v="1134.8"/>
    <n v="2269.6"/>
  </r>
  <r>
    <s v="T03304"/>
    <d v="2025-05-22T00:00:00"/>
    <s v="C185"/>
    <s v="P040"/>
    <s v="S003"/>
    <n v="5"/>
    <n v="0.1"/>
    <x v="3"/>
    <s v="Joe Vincent"/>
    <x v="37"/>
    <x v="1"/>
    <x v="0"/>
    <n v="1745.61"/>
    <n v="7855.2449999999999"/>
  </r>
  <r>
    <s v="T03305"/>
    <d v="2023-09-27T00:00:00"/>
    <s v="C070"/>
    <s v="P010"/>
    <s v="S005"/>
    <n v="3"/>
    <n v="0.15"/>
    <x v="3"/>
    <s v="Eric Bryan"/>
    <x v="36"/>
    <x v="1"/>
    <x v="4"/>
    <n v="1194.1199999999999"/>
    <n v="3045.0059999999999"/>
  </r>
  <r>
    <s v="T03306"/>
    <d v="2025-07-13T00:00:00"/>
    <s v="C017"/>
    <s v="P030"/>
    <s v="S005"/>
    <n v="1"/>
    <n v="0.05"/>
    <x v="0"/>
    <s v="Vanessa Anderson"/>
    <x v="1"/>
    <x v="0"/>
    <x v="4"/>
    <n v="29.24"/>
    <n v="27.777999999999999"/>
  </r>
  <r>
    <s v="T03307"/>
    <d v="2024-06-13T00:00:00"/>
    <s v="C065"/>
    <s v="P030"/>
    <s v="S002"/>
    <n v="5"/>
    <n v="0.05"/>
    <x v="1"/>
    <s v="Scott Duke"/>
    <x v="1"/>
    <x v="0"/>
    <x v="2"/>
    <n v="29.24"/>
    <n v="138.88999999999999"/>
  </r>
  <r>
    <s v="T03308"/>
    <d v="2024-11-17T00:00:00"/>
    <s v="C136"/>
    <s v="P033"/>
    <s v="S001"/>
    <n v="2"/>
    <n v="0"/>
    <x v="0"/>
    <s v="Amanda Garcia"/>
    <x v="16"/>
    <x v="0"/>
    <x v="3"/>
    <n v="1798.97"/>
    <n v="3597.94"/>
  </r>
  <r>
    <s v="T03309"/>
    <d v="2025-01-09T00:00:00"/>
    <s v="C197"/>
    <s v="P042"/>
    <s v="S005"/>
    <n v="4"/>
    <n v="0.1"/>
    <x v="3"/>
    <s v="Matthew Dixon"/>
    <x v="10"/>
    <x v="0"/>
    <x v="4"/>
    <n v="453.62"/>
    <n v="1633.0320000000002"/>
  </r>
  <r>
    <s v="T03310"/>
    <d v="2025-07-22T00:00:00"/>
    <s v="C124"/>
    <s v="P042"/>
    <s v="S002"/>
    <n v="2"/>
    <n v="0"/>
    <x v="0"/>
    <s v="Chad Roberts"/>
    <x v="10"/>
    <x v="0"/>
    <x v="2"/>
    <n v="453.62"/>
    <n v="907.24"/>
  </r>
  <r>
    <s v="T03311"/>
    <d v="2024-10-03T00:00:00"/>
    <s v="C185"/>
    <s v="P038"/>
    <s v="S004"/>
    <n v="3"/>
    <n v="0.1"/>
    <x v="2"/>
    <s v="Joe Vincent"/>
    <x v="41"/>
    <x v="0"/>
    <x v="1"/>
    <n v="366.93"/>
    <n v="990.71100000000001"/>
  </r>
  <r>
    <s v="T03312"/>
    <d v="2025-05-09T00:00:00"/>
    <s v="C161"/>
    <s v="P043"/>
    <s v="S004"/>
    <n v="5"/>
    <n v="0.1"/>
    <x v="3"/>
    <s v="Michael Perez"/>
    <x v="45"/>
    <x v="0"/>
    <x v="1"/>
    <n v="564.41999999999996"/>
    <n v="2539.89"/>
  </r>
  <r>
    <s v="T03313"/>
    <d v="2023-11-01T00:00:00"/>
    <s v="C098"/>
    <s v="P034"/>
    <s v="S004"/>
    <n v="5"/>
    <n v="0.05"/>
    <x v="2"/>
    <s v="Lisa Vega"/>
    <x v="12"/>
    <x v="1"/>
    <x v="1"/>
    <n v="428.05"/>
    <n v="2033.2375"/>
  </r>
  <r>
    <s v="T03314"/>
    <d v="2024-08-10T00:00:00"/>
    <s v="C084"/>
    <s v="P006"/>
    <s v="S001"/>
    <n v="3"/>
    <n v="0.1"/>
    <x v="1"/>
    <s v="Amanda Lee"/>
    <x v="35"/>
    <x v="2"/>
    <x v="3"/>
    <n v="318.05"/>
    <n v="858.73500000000013"/>
  </r>
  <r>
    <s v="T03315"/>
    <d v="2025-08-07T00:00:00"/>
    <s v="C195"/>
    <s v="P015"/>
    <s v="S002"/>
    <n v="5"/>
    <n v="0.1"/>
    <x v="1"/>
    <s v="James Mitchell"/>
    <x v="40"/>
    <x v="0"/>
    <x v="2"/>
    <n v="270.45"/>
    <n v="1217.0250000000001"/>
  </r>
  <r>
    <s v="T03316"/>
    <d v="2023-09-15T00:00:00"/>
    <s v="C059"/>
    <s v="P012"/>
    <s v="S004"/>
    <n v="5"/>
    <n v="0"/>
    <x v="3"/>
    <s v="Scott Wyatt"/>
    <x v="38"/>
    <x v="1"/>
    <x v="1"/>
    <n v="1193.0899999999999"/>
    <n v="5965.45"/>
  </r>
  <r>
    <s v="T03317"/>
    <d v="2024-06-24T00:00:00"/>
    <s v="C027"/>
    <s v="P033"/>
    <s v="S005"/>
    <n v="2"/>
    <n v="0.05"/>
    <x v="1"/>
    <s v="Jacqueline Martin"/>
    <x v="16"/>
    <x v="0"/>
    <x v="4"/>
    <n v="1798.97"/>
    <n v="3418.0429999999997"/>
  </r>
  <r>
    <s v="T03318"/>
    <d v="2024-02-25T00:00:00"/>
    <s v="C012"/>
    <s v="P037"/>
    <s v="S002"/>
    <n v="4"/>
    <n v="0.15"/>
    <x v="3"/>
    <s v="Dale Perry"/>
    <x v="27"/>
    <x v="1"/>
    <x v="2"/>
    <n v="1952.65"/>
    <n v="6639.01"/>
  </r>
  <r>
    <s v="T03319"/>
    <d v="2023-10-18T00:00:00"/>
    <s v="C027"/>
    <s v="P049"/>
    <s v="S005"/>
    <n v="4"/>
    <n v="0.05"/>
    <x v="2"/>
    <s v="Jacqueline Martin"/>
    <x v="29"/>
    <x v="0"/>
    <x v="4"/>
    <n v="388.26"/>
    <n v="1475.3879999999999"/>
  </r>
  <r>
    <s v="T03320"/>
    <d v="2024-06-10T00:00:00"/>
    <s v="C189"/>
    <s v="P048"/>
    <s v="S002"/>
    <n v="2"/>
    <n v="0.1"/>
    <x v="3"/>
    <s v="Steve Flynn"/>
    <x v="11"/>
    <x v="0"/>
    <x v="2"/>
    <n v="1216.3599999999999"/>
    <n v="2189.4479999999999"/>
  </r>
  <r>
    <s v="T03321"/>
    <d v="2023-10-25T00:00:00"/>
    <s v="C010"/>
    <s v="P043"/>
    <s v="S003"/>
    <n v="1"/>
    <n v="0.15"/>
    <x v="3"/>
    <s v="Catherine Rice"/>
    <x v="45"/>
    <x v="0"/>
    <x v="0"/>
    <n v="564.41999999999996"/>
    <n v="479.75699999999995"/>
  </r>
  <r>
    <s v="T03322"/>
    <d v="2025-08-16T00:00:00"/>
    <s v="C072"/>
    <s v="P023"/>
    <s v="S005"/>
    <n v="4"/>
    <n v="0.05"/>
    <x v="3"/>
    <s v="Eric Watkins"/>
    <x v="20"/>
    <x v="0"/>
    <x v="4"/>
    <n v="1878.47"/>
    <n v="7138.1859999999997"/>
  </r>
  <r>
    <s v="T03323"/>
    <d v="2024-01-31T00:00:00"/>
    <s v="C088"/>
    <s v="P035"/>
    <s v="S002"/>
    <n v="5"/>
    <n v="0"/>
    <x v="3"/>
    <s v="Brenda Costa"/>
    <x v="7"/>
    <x v="1"/>
    <x v="2"/>
    <n v="1562.43"/>
    <n v="7812.1500000000005"/>
  </r>
  <r>
    <s v="T03324"/>
    <d v="2024-09-09T00:00:00"/>
    <s v="C065"/>
    <s v="P023"/>
    <s v="S005"/>
    <n v="5"/>
    <n v="0.05"/>
    <x v="3"/>
    <s v="Scott Duke"/>
    <x v="20"/>
    <x v="0"/>
    <x v="4"/>
    <n v="1878.47"/>
    <n v="8922.7325000000001"/>
  </r>
  <r>
    <s v="T03325"/>
    <d v="2025-07-20T00:00:00"/>
    <s v="C122"/>
    <s v="P049"/>
    <s v="S003"/>
    <n v="5"/>
    <n v="0.05"/>
    <x v="3"/>
    <s v="Amy Smith"/>
    <x v="29"/>
    <x v="0"/>
    <x v="0"/>
    <n v="388.26"/>
    <n v="1844.2349999999999"/>
  </r>
  <r>
    <s v="T03326"/>
    <d v="2023-11-06T00:00:00"/>
    <s v="C126"/>
    <s v="P002"/>
    <s v="S002"/>
    <n v="4"/>
    <n v="0.1"/>
    <x v="3"/>
    <s v="Monique Johnson"/>
    <x v="2"/>
    <x v="1"/>
    <x v="2"/>
    <n v="818.76"/>
    <n v="2947.5360000000001"/>
  </r>
  <r>
    <s v="T03327"/>
    <d v="2025-04-08T00:00:00"/>
    <s v="C023"/>
    <s v="P047"/>
    <s v="S005"/>
    <n v="5"/>
    <n v="0.05"/>
    <x v="0"/>
    <s v="Mark Martinez"/>
    <x v="28"/>
    <x v="1"/>
    <x v="4"/>
    <n v="1197.18"/>
    <n v="5686.6050000000005"/>
  </r>
  <r>
    <s v="T03328"/>
    <d v="2024-12-05T00:00:00"/>
    <s v="C001"/>
    <s v="P010"/>
    <s v="S004"/>
    <n v="3"/>
    <n v="0.1"/>
    <x v="1"/>
    <s v="Michael Davis"/>
    <x v="36"/>
    <x v="1"/>
    <x v="1"/>
    <n v="1194.1199999999999"/>
    <n v="3224.1239999999998"/>
  </r>
  <r>
    <s v="T03329"/>
    <d v="2025-08-23T00:00:00"/>
    <s v="C143"/>
    <s v="P022"/>
    <s v="S002"/>
    <n v="1"/>
    <n v="0"/>
    <x v="3"/>
    <s v="Cynthia Carlson"/>
    <x v="9"/>
    <x v="2"/>
    <x v="2"/>
    <n v="25.57"/>
    <n v="25.57"/>
  </r>
  <r>
    <s v="T03330"/>
    <d v="2024-02-21T00:00:00"/>
    <s v="C171"/>
    <s v="P045"/>
    <s v="S003"/>
    <n v="2"/>
    <n v="0.05"/>
    <x v="2"/>
    <s v="Christina Dominguez"/>
    <x v="8"/>
    <x v="2"/>
    <x v="0"/>
    <n v="1879.08"/>
    <n v="3570.2519999999995"/>
  </r>
  <r>
    <s v="T03331"/>
    <d v="2024-04-09T00:00:00"/>
    <s v="C060"/>
    <s v="P037"/>
    <s v="S001"/>
    <n v="2"/>
    <n v="0.05"/>
    <x v="2"/>
    <s v="Anthony Conway"/>
    <x v="27"/>
    <x v="1"/>
    <x v="3"/>
    <n v="1952.65"/>
    <n v="3710.0349999999999"/>
  </r>
  <r>
    <s v="T03332"/>
    <d v="2024-01-04T00:00:00"/>
    <s v="C051"/>
    <s v="P020"/>
    <s v="S002"/>
    <n v="3"/>
    <n v="0.15"/>
    <x v="3"/>
    <s v="Madison Sellers"/>
    <x v="24"/>
    <x v="0"/>
    <x v="2"/>
    <n v="323.92"/>
    <n v="825.99599999999998"/>
  </r>
  <r>
    <s v="T03333"/>
    <d v="2024-10-29T00:00:00"/>
    <s v="C170"/>
    <s v="P046"/>
    <s v="S004"/>
    <n v="2"/>
    <n v="0.05"/>
    <x v="3"/>
    <s v="Amber Graham"/>
    <x v="42"/>
    <x v="0"/>
    <x v="1"/>
    <n v="1165.3699999999999"/>
    <n v="2214.2029999999995"/>
  </r>
  <r>
    <s v="T03334"/>
    <d v="2024-07-09T00:00:00"/>
    <s v="C031"/>
    <s v="P042"/>
    <s v="S002"/>
    <n v="3"/>
    <n v="0.1"/>
    <x v="1"/>
    <s v="Ashley Gibson"/>
    <x v="10"/>
    <x v="0"/>
    <x v="2"/>
    <n v="453.62"/>
    <n v="1224.7740000000001"/>
  </r>
  <r>
    <s v="T03335"/>
    <d v="2025-04-04T00:00:00"/>
    <s v="C040"/>
    <s v="P009"/>
    <s v="S001"/>
    <n v="2"/>
    <n v="0.15"/>
    <x v="1"/>
    <s v="Scott Powell"/>
    <x v="5"/>
    <x v="2"/>
    <x v="3"/>
    <n v="123.19"/>
    <n v="209.423"/>
  </r>
  <r>
    <s v="T03336"/>
    <d v="2024-03-05T00:00:00"/>
    <s v="C002"/>
    <s v="P042"/>
    <s v="S002"/>
    <n v="3"/>
    <n v="0"/>
    <x v="2"/>
    <s v="Michael Miller"/>
    <x v="10"/>
    <x v="0"/>
    <x v="2"/>
    <n v="453.62"/>
    <n v="1360.8600000000001"/>
  </r>
  <r>
    <s v="T03337"/>
    <d v="2025-08-16T00:00:00"/>
    <s v="C176"/>
    <s v="P012"/>
    <s v="S004"/>
    <n v="1"/>
    <n v="0"/>
    <x v="2"/>
    <s v="Peter Garcia"/>
    <x v="38"/>
    <x v="1"/>
    <x v="1"/>
    <n v="1193.0899999999999"/>
    <n v="1193.0899999999999"/>
  </r>
  <r>
    <s v="T03338"/>
    <d v="2024-06-02T00:00:00"/>
    <s v="C055"/>
    <s v="P024"/>
    <s v="S001"/>
    <n v="2"/>
    <n v="0.15"/>
    <x v="3"/>
    <s v="Deborah Moody"/>
    <x v="14"/>
    <x v="1"/>
    <x v="3"/>
    <n v="1487.41"/>
    <n v="2528.5970000000002"/>
  </r>
  <r>
    <s v="T03339"/>
    <d v="2024-12-30T00:00:00"/>
    <s v="C112"/>
    <s v="P037"/>
    <s v="S002"/>
    <n v="2"/>
    <n v="0.1"/>
    <x v="0"/>
    <s v="Jeffrey Smith"/>
    <x v="27"/>
    <x v="1"/>
    <x v="2"/>
    <n v="1952.65"/>
    <n v="3514.7700000000004"/>
  </r>
  <r>
    <s v="T03340"/>
    <d v="2024-06-25T00:00:00"/>
    <s v="C116"/>
    <s v="P025"/>
    <s v="S002"/>
    <n v="5"/>
    <n v="0.05"/>
    <x v="1"/>
    <s v="Jamie Webb"/>
    <x v="33"/>
    <x v="0"/>
    <x v="2"/>
    <n v="429.15"/>
    <n v="2038.4624999999999"/>
  </r>
  <r>
    <s v="T03341"/>
    <d v="2025-02-27T00:00:00"/>
    <s v="C109"/>
    <s v="P043"/>
    <s v="S002"/>
    <n v="5"/>
    <n v="0.15"/>
    <x v="0"/>
    <s v="Austin Hogan"/>
    <x v="45"/>
    <x v="0"/>
    <x v="2"/>
    <n v="564.41999999999996"/>
    <n v="2398.7849999999999"/>
  </r>
  <r>
    <s v="T03342"/>
    <d v="2024-03-28T00:00:00"/>
    <s v="C081"/>
    <s v="P013"/>
    <s v="S003"/>
    <n v="5"/>
    <n v="0.05"/>
    <x v="3"/>
    <s v="Sarah Reynolds"/>
    <x v="21"/>
    <x v="0"/>
    <x v="0"/>
    <n v="1134.8"/>
    <n v="5390.3"/>
  </r>
  <r>
    <s v="T03343"/>
    <d v="2025-04-22T00:00:00"/>
    <s v="C051"/>
    <s v="P045"/>
    <s v="S004"/>
    <n v="3"/>
    <n v="0.15"/>
    <x v="1"/>
    <s v="Madison Sellers"/>
    <x v="8"/>
    <x v="2"/>
    <x v="1"/>
    <n v="1879.08"/>
    <n v="4791.6539999999995"/>
  </r>
  <r>
    <s v="T03344"/>
    <d v="2024-07-17T00:00:00"/>
    <s v="C024"/>
    <s v="P039"/>
    <s v="S005"/>
    <n v="1"/>
    <n v="0.05"/>
    <x v="3"/>
    <s v="Molly Murray"/>
    <x v="22"/>
    <x v="0"/>
    <x v="4"/>
    <n v="540.94000000000005"/>
    <n v="513.89300000000003"/>
  </r>
  <r>
    <s v="T03345"/>
    <d v="2023-12-13T00:00:00"/>
    <s v="C059"/>
    <s v="P013"/>
    <s v="S005"/>
    <n v="1"/>
    <n v="0.15"/>
    <x v="1"/>
    <s v="Scott Wyatt"/>
    <x v="21"/>
    <x v="0"/>
    <x v="4"/>
    <n v="1134.8"/>
    <n v="964.57999999999993"/>
  </r>
  <r>
    <s v="T03346"/>
    <d v="2024-06-20T00:00:00"/>
    <s v="C167"/>
    <s v="P022"/>
    <s v="S005"/>
    <n v="2"/>
    <n v="0"/>
    <x v="2"/>
    <s v="Kimberly Lin"/>
    <x v="9"/>
    <x v="2"/>
    <x v="4"/>
    <n v="25.57"/>
    <n v="51.14"/>
  </r>
  <r>
    <s v="T03347"/>
    <d v="2024-09-01T00:00:00"/>
    <s v="C138"/>
    <s v="P010"/>
    <s v="S002"/>
    <n v="2"/>
    <n v="0.05"/>
    <x v="3"/>
    <s v="Breanna Moore"/>
    <x v="36"/>
    <x v="1"/>
    <x v="2"/>
    <n v="1194.1199999999999"/>
    <n v="2268.8279999999995"/>
  </r>
  <r>
    <s v="T03348"/>
    <d v="2024-10-29T00:00:00"/>
    <s v="C131"/>
    <s v="P033"/>
    <s v="S005"/>
    <n v="5"/>
    <n v="0"/>
    <x v="2"/>
    <s v="Denise Jackson"/>
    <x v="16"/>
    <x v="0"/>
    <x v="4"/>
    <n v="1798.97"/>
    <n v="8994.85"/>
  </r>
  <r>
    <s v="T03349"/>
    <d v="2025-01-13T00:00:00"/>
    <s v="C138"/>
    <s v="P014"/>
    <s v="S005"/>
    <n v="1"/>
    <n v="0.1"/>
    <x v="3"/>
    <s v="Breanna Moore"/>
    <x v="0"/>
    <x v="0"/>
    <x v="4"/>
    <n v="1342.75"/>
    <n v="1208.4750000000001"/>
  </r>
  <r>
    <s v="T03350"/>
    <d v="2024-04-20T00:00:00"/>
    <s v="C067"/>
    <s v="P047"/>
    <s v="S003"/>
    <n v="3"/>
    <n v="0.05"/>
    <x v="2"/>
    <s v="Daniel Maldonado"/>
    <x v="28"/>
    <x v="1"/>
    <x v="0"/>
    <n v="1197.18"/>
    <n v="3411.9629999999997"/>
  </r>
  <r>
    <s v="T03351"/>
    <d v="2024-04-14T00:00:00"/>
    <s v="C012"/>
    <s v="P045"/>
    <s v="S004"/>
    <n v="4"/>
    <n v="0.05"/>
    <x v="2"/>
    <s v="Dale Perry"/>
    <x v="8"/>
    <x v="2"/>
    <x v="1"/>
    <n v="1879.08"/>
    <n v="7140.503999999999"/>
  </r>
  <r>
    <s v="T03352"/>
    <d v="2023-10-06T00:00:00"/>
    <s v="C057"/>
    <s v="P007"/>
    <s v="S001"/>
    <n v="5"/>
    <n v="0.05"/>
    <x v="1"/>
    <s v="Julie Gibson"/>
    <x v="18"/>
    <x v="1"/>
    <x v="3"/>
    <n v="1474.12"/>
    <n v="7002.0699999999988"/>
  </r>
  <r>
    <s v="T03353"/>
    <d v="2024-04-08T00:00:00"/>
    <s v="C019"/>
    <s v="P022"/>
    <s v="S004"/>
    <n v="5"/>
    <n v="0"/>
    <x v="0"/>
    <s v="John Smith"/>
    <x v="9"/>
    <x v="2"/>
    <x v="1"/>
    <n v="25.57"/>
    <n v="127.85"/>
  </r>
  <r>
    <s v="T03354"/>
    <d v="2024-12-26T00:00:00"/>
    <s v="C118"/>
    <s v="P029"/>
    <s v="S002"/>
    <n v="3"/>
    <n v="0.1"/>
    <x v="3"/>
    <s v="Gina Bradford"/>
    <x v="47"/>
    <x v="0"/>
    <x v="2"/>
    <n v="1485.05"/>
    <n v="4009.6349999999998"/>
  </r>
  <r>
    <s v="T03355"/>
    <d v="2024-10-30T00:00:00"/>
    <s v="C009"/>
    <s v="P031"/>
    <s v="S001"/>
    <n v="1"/>
    <n v="0"/>
    <x v="3"/>
    <s v="Richard Pacheco"/>
    <x v="39"/>
    <x v="2"/>
    <x v="3"/>
    <n v="1095.72"/>
    <n v="1095.72"/>
  </r>
  <r>
    <s v="T03356"/>
    <d v="2024-10-29T00:00:00"/>
    <s v="C022"/>
    <s v="P007"/>
    <s v="S003"/>
    <n v="2"/>
    <n v="0"/>
    <x v="3"/>
    <s v="Megan Velasquez"/>
    <x v="18"/>
    <x v="1"/>
    <x v="0"/>
    <n v="1474.12"/>
    <n v="2948.24"/>
  </r>
  <r>
    <s v="T03357"/>
    <d v="2024-06-05T00:00:00"/>
    <s v="C177"/>
    <s v="P050"/>
    <s v="S002"/>
    <n v="4"/>
    <n v="0"/>
    <x v="1"/>
    <s v="Anthony Gould"/>
    <x v="3"/>
    <x v="0"/>
    <x v="2"/>
    <n v="1044.6400000000001"/>
    <n v="4178.5600000000004"/>
  </r>
  <r>
    <s v="T03358"/>
    <d v="2024-12-23T00:00:00"/>
    <s v="C138"/>
    <s v="P042"/>
    <s v="S003"/>
    <n v="1"/>
    <n v="0"/>
    <x v="2"/>
    <s v="Breanna Moore"/>
    <x v="10"/>
    <x v="0"/>
    <x v="0"/>
    <n v="453.62"/>
    <n v="453.62"/>
  </r>
  <r>
    <s v="T03359"/>
    <d v="2025-01-24T00:00:00"/>
    <s v="C091"/>
    <s v="P007"/>
    <s v="S003"/>
    <n v="4"/>
    <n v="0"/>
    <x v="0"/>
    <s v="Brian Fowler"/>
    <x v="18"/>
    <x v="1"/>
    <x v="0"/>
    <n v="1474.12"/>
    <n v="5896.48"/>
  </r>
  <r>
    <s v="T03360"/>
    <d v="2023-11-14T00:00:00"/>
    <s v="C193"/>
    <s v="P030"/>
    <s v="S003"/>
    <n v="3"/>
    <n v="0.05"/>
    <x v="3"/>
    <s v="Donald Meza"/>
    <x v="1"/>
    <x v="0"/>
    <x v="0"/>
    <n v="29.24"/>
    <n v="83.333999999999989"/>
  </r>
  <r>
    <s v="T03361"/>
    <d v="2025-04-11T00:00:00"/>
    <s v="C140"/>
    <s v="P002"/>
    <s v="S002"/>
    <n v="5"/>
    <n v="0.15"/>
    <x v="0"/>
    <s v="Stacy Williams"/>
    <x v="2"/>
    <x v="1"/>
    <x v="2"/>
    <n v="818.76"/>
    <n v="3479.73"/>
  </r>
  <r>
    <s v="T03362"/>
    <d v="2025-05-20T00:00:00"/>
    <s v="C126"/>
    <s v="P008"/>
    <s v="S005"/>
    <n v="1"/>
    <n v="0.05"/>
    <x v="2"/>
    <s v="Monique Johnson"/>
    <x v="48"/>
    <x v="0"/>
    <x v="4"/>
    <n v="109.78"/>
    <n v="104.291"/>
  </r>
  <r>
    <s v="T03363"/>
    <d v="2024-01-24T00:00:00"/>
    <s v="C196"/>
    <s v="P031"/>
    <s v="S003"/>
    <n v="5"/>
    <n v="0"/>
    <x v="0"/>
    <s v="James Noble"/>
    <x v="39"/>
    <x v="2"/>
    <x v="0"/>
    <n v="1095.72"/>
    <n v="5478.6"/>
  </r>
  <r>
    <s v="T03364"/>
    <d v="2024-11-30T00:00:00"/>
    <s v="C098"/>
    <s v="P040"/>
    <s v="S004"/>
    <n v="1"/>
    <n v="0.15"/>
    <x v="1"/>
    <s v="Lisa Vega"/>
    <x v="37"/>
    <x v="1"/>
    <x v="1"/>
    <n v="1745.61"/>
    <n v="1483.7684999999999"/>
  </r>
  <r>
    <s v="T03365"/>
    <d v="2024-07-06T00:00:00"/>
    <s v="C007"/>
    <s v="P008"/>
    <s v="S001"/>
    <n v="5"/>
    <n v="0"/>
    <x v="3"/>
    <s v="Erin Walker"/>
    <x v="48"/>
    <x v="0"/>
    <x v="3"/>
    <n v="109.78"/>
    <n v="548.9"/>
  </r>
  <r>
    <s v="T03366"/>
    <d v="2025-02-25T00:00:00"/>
    <s v="C170"/>
    <s v="P046"/>
    <s v="S003"/>
    <n v="2"/>
    <n v="0.15"/>
    <x v="0"/>
    <s v="Amber Graham"/>
    <x v="42"/>
    <x v="0"/>
    <x v="0"/>
    <n v="1165.3699999999999"/>
    <n v="1981.1289999999997"/>
  </r>
  <r>
    <s v="T03367"/>
    <d v="2024-05-18T00:00:00"/>
    <s v="C163"/>
    <s v="P016"/>
    <s v="S003"/>
    <n v="1"/>
    <n v="0.1"/>
    <x v="0"/>
    <s v="Erin Rogers"/>
    <x v="13"/>
    <x v="0"/>
    <x v="0"/>
    <n v="1858.75"/>
    <n v="1672.875"/>
  </r>
  <r>
    <s v="T03368"/>
    <d v="2024-03-30T00:00:00"/>
    <s v="C136"/>
    <s v="P046"/>
    <s v="S002"/>
    <n v="4"/>
    <n v="0.15"/>
    <x v="3"/>
    <s v="Amanda Garcia"/>
    <x v="42"/>
    <x v="0"/>
    <x v="2"/>
    <n v="1165.3699999999999"/>
    <n v="3962.2579999999994"/>
  </r>
  <r>
    <s v="T03369"/>
    <d v="2024-10-26T00:00:00"/>
    <s v="C061"/>
    <s v="P018"/>
    <s v="S004"/>
    <n v="2"/>
    <n v="0.1"/>
    <x v="2"/>
    <s v="Heather Russell"/>
    <x v="19"/>
    <x v="1"/>
    <x v="1"/>
    <n v="1079.8900000000001"/>
    <n v="1943.8020000000001"/>
  </r>
  <r>
    <s v="T03370"/>
    <d v="2024-01-17T00:00:00"/>
    <s v="C083"/>
    <s v="P039"/>
    <s v="S003"/>
    <n v="1"/>
    <n v="0.1"/>
    <x v="0"/>
    <s v="Jeremy Robles"/>
    <x v="22"/>
    <x v="0"/>
    <x v="0"/>
    <n v="540.94000000000005"/>
    <n v="486.84600000000006"/>
  </r>
  <r>
    <s v="T03371"/>
    <d v="2024-01-12T00:00:00"/>
    <s v="C044"/>
    <s v="P015"/>
    <s v="S005"/>
    <n v="4"/>
    <n v="0"/>
    <x v="3"/>
    <s v="Parker Sparks"/>
    <x v="40"/>
    <x v="0"/>
    <x v="4"/>
    <n v="270.45"/>
    <n v="1081.8"/>
  </r>
  <r>
    <s v="T03372"/>
    <d v="2025-03-13T00:00:00"/>
    <s v="C161"/>
    <s v="P028"/>
    <s v="S004"/>
    <n v="1"/>
    <n v="0.15"/>
    <x v="2"/>
    <s v="Michael Perez"/>
    <x v="25"/>
    <x v="1"/>
    <x v="1"/>
    <n v="673.78"/>
    <n v="572.71299999999997"/>
  </r>
  <r>
    <s v="T03373"/>
    <d v="2024-02-11T00:00:00"/>
    <s v="C062"/>
    <s v="P014"/>
    <s v="S004"/>
    <n v="5"/>
    <n v="0.15"/>
    <x v="0"/>
    <s v="Susan Salinas"/>
    <x v="0"/>
    <x v="0"/>
    <x v="1"/>
    <n v="1342.75"/>
    <n v="5706.6875"/>
  </r>
  <r>
    <s v="T03374"/>
    <d v="2024-05-21T00:00:00"/>
    <s v="C005"/>
    <s v="P027"/>
    <s v="S005"/>
    <n v="5"/>
    <n v="0.05"/>
    <x v="2"/>
    <s v="Jamie Salinas"/>
    <x v="34"/>
    <x v="1"/>
    <x v="4"/>
    <n v="1272.23"/>
    <n v="6043.0924999999997"/>
  </r>
  <r>
    <s v="T03375"/>
    <d v="2024-11-05T00:00:00"/>
    <s v="C017"/>
    <s v="P012"/>
    <s v="S001"/>
    <n v="3"/>
    <n v="0"/>
    <x v="3"/>
    <s v="Vanessa Anderson"/>
    <x v="38"/>
    <x v="1"/>
    <x v="3"/>
    <n v="1193.0899999999999"/>
    <n v="3579.2699999999995"/>
  </r>
  <r>
    <s v="T03376"/>
    <d v="2024-02-06T00:00:00"/>
    <s v="C101"/>
    <s v="P013"/>
    <s v="S003"/>
    <n v="5"/>
    <n v="0"/>
    <x v="3"/>
    <s v="William Pope"/>
    <x v="21"/>
    <x v="0"/>
    <x v="0"/>
    <n v="1134.8"/>
    <n v="5674"/>
  </r>
  <r>
    <s v="T03377"/>
    <d v="2024-03-22T00:00:00"/>
    <s v="C067"/>
    <s v="P023"/>
    <s v="S003"/>
    <n v="2"/>
    <n v="0.15"/>
    <x v="1"/>
    <s v="Daniel Maldonado"/>
    <x v="20"/>
    <x v="0"/>
    <x v="0"/>
    <n v="1878.47"/>
    <n v="3193.3989999999999"/>
  </r>
  <r>
    <s v="T03378"/>
    <d v="2024-08-31T00:00:00"/>
    <s v="C064"/>
    <s v="P009"/>
    <s v="S005"/>
    <n v="2"/>
    <n v="0.15"/>
    <x v="2"/>
    <s v="Amanda Hoover"/>
    <x v="5"/>
    <x v="2"/>
    <x v="4"/>
    <n v="123.19"/>
    <n v="209.423"/>
  </r>
  <r>
    <s v="T03379"/>
    <d v="2024-11-03T00:00:00"/>
    <s v="C136"/>
    <s v="P049"/>
    <s v="S001"/>
    <n v="4"/>
    <n v="0.1"/>
    <x v="2"/>
    <s v="Amanda Garcia"/>
    <x v="29"/>
    <x v="0"/>
    <x v="3"/>
    <n v="388.26"/>
    <n v="1397.7360000000001"/>
  </r>
  <r>
    <s v="T03380"/>
    <d v="2025-09-03T00:00:00"/>
    <s v="C040"/>
    <s v="P021"/>
    <s v="S001"/>
    <n v="2"/>
    <n v="0.15"/>
    <x v="0"/>
    <s v="Scott Powell"/>
    <x v="23"/>
    <x v="2"/>
    <x v="3"/>
    <n v="1227.24"/>
    <n v="2086.308"/>
  </r>
  <r>
    <s v="T03381"/>
    <d v="2025-05-17T00:00:00"/>
    <s v="C186"/>
    <s v="P015"/>
    <s v="S002"/>
    <n v="5"/>
    <n v="0.1"/>
    <x v="1"/>
    <s v="Vicki Guzman"/>
    <x v="40"/>
    <x v="0"/>
    <x v="2"/>
    <n v="270.45"/>
    <n v="1217.0250000000001"/>
  </r>
  <r>
    <s v="T03382"/>
    <d v="2025-06-07T00:00:00"/>
    <s v="C077"/>
    <s v="P023"/>
    <s v="S002"/>
    <n v="1"/>
    <n v="0.05"/>
    <x v="1"/>
    <s v="Matthew Juarez"/>
    <x v="20"/>
    <x v="0"/>
    <x v="2"/>
    <n v="1878.47"/>
    <n v="1784.5464999999999"/>
  </r>
  <r>
    <s v="T03383"/>
    <d v="2024-04-23T00:00:00"/>
    <s v="C194"/>
    <s v="P038"/>
    <s v="S002"/>
    <n v="3"/>
    <n v="0.15"/>
    <x v="2"/>
    <s v="Ann West"/>
    <x v="41"/>
    <x v="0"/>
    <x v="2"/>
    <n v="366.93"/>
    <n v="935.67149999999992"/>
  </r>
  <r>
    <s v="T03384"/>
    <d v="2024-03-18T00:00:00"/>
    <s v="C027"/>
    <s v="P042"/>
    <s v="S003"/>
    <n v="3"/>
    <n v="0"/>
    <x v="1"/>
    <s v="Jacqueline Martin"/>
    <x v="10"/>
    <x v="0"/>
    <x v="0"/>
    <n v="453.62"/>
    <n v="1360.8600000000001"/>
  </r>
  <r>
    <s v="T03385"/>
    <d v="2024-05-12T00:00:00"/>
    <s v="C011"/>
    <s v="P011"/>
    <s v="S004"/>
    <n v="3"/>
    <n v="0.15"/>
    <x v="2"/>
    <s v="Haley Williams"/>
    <x v="17"/>
    <x v="1"/>
    <x v="1"/>
    <n v="248.57"/>
    <n v="633.85350000000005"/>
  </r>
  <r>
    <s v="T03386"/>
    <d v="2025-05-06T00:00:00"/>
    <s v="C091"/>
    <s v="P044"/>
    <s v="S003"/>
    <n v="3"/>
    <n v="0"/>
    <x v="2"/>
    <s v="Brian Fowler"/>
    <x v="32"/>
    <x v="0"/>
    <x v="0"/>
    <n v="1286.55"/>
    <n v="3859.6499999999996"/>
  </r>
  <r>
    <s v="T03387"/>
    <d v="2025-03-05T00:00:00"/>
    <s v="C104"/>
    <s v="P023"/>
    <s v="S002"/>
    <n v="3"/>
    <n v="0.1"/>
    <x v="2"/>
    <s v="Brenda Dean"/>
    <x v="20"/>
    <x v="0"/>
    <x v="2"/>
    <n v="1878.47"/>
    <n v="5071.8689999999997"/>
  </r>
  <r>
    <s v="T03388"/>
    <d v="2024-03-24T00:00:00"/>
    <s v="C076"/>
    <s v="P044"/>
    <s v="S002"/>
    <n v="1"/>
    <n v="0"/>
    <x v="1"/>
    <s v="Phyllis Durham"/>
    <x v="32"/>
    <x v="0"/>
    <x v="2"/>
    <n v="1286.55"/>
    <n v="1286.55"/>
  </r>
  <r>
    <s v="T03389"/>
    <d v="2024-04-22T00:00:00"/>
    <s v="C097"/>
    <s v="P009"/>
    <s v="S003"/>
    <n v="4"/>
    <n v="0.1"/>
    <x v="0"/>
    <s v="Evelyn Gray"/>
    <x v="5"/>
    <x v="2"/>
    <x v="0"/>
    <n v="123.19"/>
    <n v="443.48399999999998"/>
  </r>
  <r>
    <s v="T03390"/>
    <d v="2024-12-19T00:00:00"/>
    <s v="C132"/>
    <s v="P021"/>
    <s v="S005"/>
    <n v="5"/>
    <n v="0"/>
    <x v="2"/>
    <s v="Jared Ochoa"/>
    <x v="23"/>
    <x v="2"/>
    <x v="4"/>
    <n v="1227.24"/>
    <n v="6136.2"/>
  </r>
  <r>
    <s v="T03391"/>
    <d v="2025-07-24T00:00:00"/>
    <s v="C188"/>
    <s v="P007"/>
    <s v="S001"/>
    <n v="3"/>
    <n v="0.05"/>
    <x v="2"/>
    <s v="Ryan Flores"/>
    <x v="18"/>
    <x v="1"/>
    <x v="3"/>
    <n v="1474.12"/>
    <n v="4201.2419999999993"/>
  </r>
  <r>
    <s v="T03392"/>
    <d v="2023-10-07T00:00:00"/>
    <s v="C071"/>
    <s v="P031"/>
    <s v="S003"/>
    <n v="2"/>
    <n v="0.15"/>
    <x v="3"/>
    <s v="Denise Gutierrez"/>
    <x v="39"/>
    <x v="2"/>
    <x v="0"/>
    <n v="1095.72"/>
    <n v="1862.7239999999999"/>
  </r>
  <r>
    <s v="T03393"/>
    <d v="2023-09-17T00:00:00"/>
    <s v="C173"/>
    <s v="P007"/>
    <s v="S003"/>
    <n v="1"/>
    <n v="0.1"/>
    <x v="3"/>
    <s v="Lisa Ruiz"/>
    <x v="18"/>
    <x v="1"/>
    <x v="0"/>
    <n v="1474.12"/>
    <n v="1326.7079999999999"/>
  </r>
  <r>
    <s v="T03394"/>
    <d v="2025-06-04T00:00:00"/>
    <s v="C075"/>
    <s v="P049"/>
    <s v="S002"/>
    <n v="2"/>
    <n v="0.05"/>
    <x v="2"/>
    <s v="Seth Moore"/>
    <x v="29"/>
    <x v="0"/>
    <x v="2"/>
    <n v="388.26"/>
    <n v="737.69399999999996"/>
  </r>
  <r>
    <s v="T03395"/>
    <d v="2025-01-23T00:00:00"/>
    <s v="C196"/>
    <s v="P003"/>
    <s v="S003"/>
    <n v="2"/>
    <n v="0.1"/>
    <x v="0"/>
    <s v="James Noble"/>
    <x v="46"/>
    <x v="0"/>
    <x v="0"/>
    <n v="337.63"/>
    <n v="607.73400000000004"/>
  </r>
  <r>
    <s v="T03396"/>
    <d v="2024-02-08T00:00:00"/>
    <s v="C182"/>
    <s v="P018"/>
    <s v="S001"/>
    <n v="4"/>
    <n v="0.05"/>
    <x v="2"/>
    <s v="Meghan Wright"/>
    <x v="19"/>
    <x v="1"/>
    <x v="3"/>
    <n v="1079.8900000000001"/>
    <n v="4103.5820000000003"/>
  </r>
  <r>
    <s v="T03397"/>
    <d v="2024-12-20T00:00:00"/>
    <s v="C027"/>
    <s v="P002"/>
    <s v="S001"/>
    <n v="1"/>
    <n v="0.15"/>
    <x v="1"/>
    <s v="Jacqueline Martin"/>
    <x v="2"/>
    <x v="1"/>
    <x v="3"/>
    <n v="818.76"/>
    <n v="695.94600000000003"/>
  </r>
  <r>
    <s v="T03398"/>
    <d v="2024-12-29T00:00:00"/>
    <s v="C185"/>
    <s v="P020"/>
    <s v="S001"/>
    <n v="5"/>
    <n v="0"/>
    <x v="2"/>
    <s v="Joe Vincent"/>
    <x v="24"/>
    <x v="0"/>
    <x v="3"/>
    <n v="323.92"/>
    <n v="1619.6000000000001"/>
  </r>
  <r>
    <s v="T03399"/>
    <d v="2023-11-10T00:00:00"/>
    <s v="C062"/>
    <s v="P002"/>
    <s v="S005"/>
    <n v="1"/>
    <n v="0.05"/>
    <x v="1"/>
    <s v="Susan Salinas"/>
    <x v="2"/>
    <x v="1"/>
    <x v="4"/>
    <n v="818.76"/>
    <n v="777.822"/>
  </r>
  <r>
    <s v="T03400"/>
    <d v="2024-09-16T00:00:00"/>
    <s v="C056"/>
    <s v="P040"/>
    <s v="S002"/>
    <n v="4"/>
    <n v="0.1"/>
    <x v="2"/>
    <s v="Carl Wyatt"/>
    <x v="37"/>
    <x v="1"/>
    <x v="2"/>
    <n v="1745.61"/>
    <n v="6284.1959999999999"/>
  </r>
  <r>
    <s v="T03401"/>
    <d v="2025-07-09T00:00:00"/>
    <s v="C011"/>
    <s v="P026"/>
    <s v="S004"/>
    <n v="1"/>
    <n v="0"/>
    <x v="3"/>
    <s v="Haley Williams"/>
    <x v="15"/>
    <x v="2"/>
    <x v="1"/>
    <n v="1015.76"/>
    <n v="1015.76"/>
  </r>
  <r>
    <s v="T03402"/>
    <d v="2024-06-04T00:00:00"/>
    <s v="C193"/>
    <s v="P039"/>
    <s v="S005"/>
    <n v="5"/>
    <n v="0.15"/>
    <x v="0"/>
    <s v="Donald Meza"/>
    <x v="22"/>
    <x v="0"/>
    <x v="4"/>
    <n v="540.94000000000005"/>
    <n v="2298.9950000000003"/>
  </r>
  <r>
    <s v="T03403"/>
    <d v="2024-12-12T00:00:00"/>
    <s v="C100"/>
    <s v="P029"/>
    <s v="S001"/>
    <n v="4"/>
    <n v="0.15"/>
    <x v="3"/>
    <s v="Sean Hart"/>
    <x v="47"/>
    <x v="0"/>
    <x v="3"/>
    <n v="1485.05"/>
    <n v="5049.17"/>
  </r>
  <r>
    <s v="T03404"/>
    <d v="2025-08-10T00:00:00"/>
    <s v="C003"/>
    <s v="P013"/>
    <s v="S002"/>
    <n v="2"/>
    <n v="0"/>
    <x v="3"/>
    <s v="Carol Hays"/>
    <x v="21"/>
    <x v="0"/>
    <x v="2"/>
    <n v="1134.8"/>
    <n v="2269.6"/>
  </r>
  <r>
    <s v="T03405"/>
    <d v="2024-05-03T00:00:00"/>
    <s v="C151"/>
    <s v="P032"/>
    <s v="S001"/>
    <n v="3"/>
    <n v="0.15"/>
    <x v="3"/>
    <s v="Dawn Fletcher"/>
    <x v="44"/>
    <x v="2"/>
    <x v="3"/>
    <n v="304.70999999999998"/>
    <n v="777.01049999999987"/>
  </r>
  <r>
    <s v="T03406"/>
    <d v="2024-04-24T00:00:00"/>
    <s v="C141"/>
    <s v="P019"/>
    <s v="S002"/>
    <n v="5"/>
    <n v="0"/>
    <x v="2"/>
    <s v="Adam Lucas"/>
    <x v="26"/>
    <x v="1"/>
    <x v="2"/>
    <n v="1762.92"/>
    <n v="8814.6"/>
  </r>
  <r>
    <s v="T03407"/>
    <d v="2025-07-08T00:00:00"/>
    <s v="C177"/>
    <s v="P018"/>
    <s v="S004"/>
    <n v="3"/>
    <n v="0.15"/>
    <x v="1"/>
    <s v="Anthony Gould"/>
    <x v="19"/>
    <x v="1"/>
    <x v="1"/>
    <n v="1079.8900000000001"/>
    <n v="2753.7195000000002"/>
  </r>
  <r>
    <s v="T03408"/>
    <d v="2025-04-15T00:00:00"/>
    <s v="C068"/>
    <s v="P026"/>
    <s v="S003"/>
    <n v="5"/>
    <n v="0"/>
    <x v="1"/>
    <s v="Alexandra Montoya"/>
    <x v="15"/>
    <x v="2"/>
    <x v="0"/>
    <n v="1015.76"/>
    <n v="5078.8"/>
  </r>
  <r>
    <s v="T03409"/>
    <d v="2025-09-06T00:00:00"/>
    <s v="C001"/>
    <s v="P019"/>
    <s v="S005"/>
    <n v="2"/>
    <n v="0.15"/>
    <x v="0"/>
    <s v="Michael Davis"/>
    <x v="26"/>
    <x v="1"/>
    <x v="4"/>
    <n v="1762.92"/>
    <n v="2996.9639999999999"/>
  </r>
  <r>
    <s v="T03410"/>
    <d v="2024-07-29T00:00:00"/>
    <s v="C157"/>
    <s v="P044"/>
    <s v="S003"/>
    <n v="2"/>
    <n v="0"/>
    <x v="3"/>
    <s v="Connie Terry"/>
    <x v="32"/>
    <x v="0"/>
    <x v="0"/>
    <n v="1286.55"/>
    <n v="2573.1"/>
  </r>
  <r>
    <s v="T03411"/>
    <d v="2024-11-22T00:00:00"/>
    <s v="C080"/>
    <s v="P048"/>
    <s v="S005"/>
    <n v="1"/>
    <n v="0"/>
    <x v="0"/>
    <s v="Grace Garcia"/>
    <x v="11"/>
    <x v="0"/>
    <x v="4"/>
    <n v="1216.3599999999999"/>
    <n v="1216.3599999999999"/>
  </r>
  <r>
    <s v="T03412"/>
    <d v="2025-06-17T00:00:00"/>
    <s v="C028"/>
    <s v="P026"/>
    <s v="S005"/>
    <n v="3"/>
    <n v="0.05"/>
    <x v="2"/>
    <s v="John Carr"/>
    <x v="15"/>
    <x v="2"/>
    <x v="4"/>
    <n v="1015.76"/>
    <n v="2894.9159999999997"/>
  </r>
  <r>
    <s v="T03413"/>
    <d v="2025-09-06T00:00:00"/>
    <s v="C102"/>
    <s v="P027"/>
    <s v="S005"/>
    <n v="4"/>
    <n v="0.1"/>
    <x v="3"/>
    <s v="Carolyn Perez"/>
    <x v="34"/>
    <x v="1"/>
    <x v="4"/>
    <n v="1272.23"/>
    <n v="4580.0280000000002"/>
  </r>
  <r>
    <s v="T03414"/>
    <d v="2023-09-24T00:00:00"/>
    <s v="C151"/>
    <s v="P022"/>
    <s v="S002"/>
    <n v="4"/>
    <n v="0.05"/>
    <x v="2"/>
    <s v="Dawn Fletcher"/>
    <x v="9"/>
    <x v="2"/>
    <x v="2"/>
    <n v="25.57"/>
    <n v="97.165999999999997"/>
  </r>
  <r>
    <s v="T03415"/>
    <d v="2024-07-24T00:00:00"/>
    <s v="C186"/>
    <s v="P025"/>
    <s v="S002"/>
    <n v="2"/>
    <n v="0.05"/>
    <x v="3"/>
    <s v="Vicki Guzman"/>
    <x v="33"/>
    <x v="0"/>
    <x v="2"/>
    <n v="429.15"/>
    <n v="815.38499999999988"/>
  </r>
  <r>
    <s v="T03416"/>
    <d v="2025-05-30T00:00:00"/>
    <s v="C062"/>
    <s v="P034"/>
    <s v="S004"/>
    <n v="3"/>
    <n v="0.1"/>
    <x v="0"/>
    <s v="Susan Salinas"/>
    <x v="12"/>
    <x v="1"/>
    <x v="1"/>
    <n v="428.05"/>
    <n v="1155.7350000000001"/>
  </r>
  <r>
    <s v="T03417"/>
    <d v="2025-02-14T00:00:00"/>
    <s v="C108"/>
    <s v="P026"/>
    <s v="S001"/>
    <n v="1"/>
    <n v="0.1"/>
    <x v="3"/>
    <s v="Samantha Hill"/>
    <x v="15"/>
    <x v="2"/>
    <x v="3"/>
    <n v="1015.76"/>
    <n v="914.18399999999997"/>
  </r>
  <r>
    <s v="T03418"/>
    <d v="2024-01-07T00:00:00"/>
    <s v="C179"/>
    <s v="P048"/>
    <s v="S003"/>
    <n v="2"/>
    <n v="0.15"/>
    <x v="3"/>
    <s v="Dennis Wallace"/>
    <x v="11"/>
    <x v="0"/>
    <x v="0"/>
    <n v="1216.3599999999999"/>
    <n v="2067.8119999999999"/>
  </r>
  <r>
    <s v="T03419"/>
    <d v="2024-03-23T00:00:00"/>
    <s v="C094"/>
    <s v="P038"/>
    <s v="S001"/>
    <n v="3"/>
    <n v="0.05"/>
    <x v="1"/>
    <s v="Kimberly Stokes"/>
    <x v="41"/>
    <x v="0"/>
    <x v="3"/>
    <n v="366.93"/>
    <n v="1045.7504999999999"/>
  </r>
  <r>
    <s v="T03420"/>
    <d v="2025-03-04T00:00:00"/>
    <s v="C102"/>
    <s v="P023"/>
    <s v="S004"/>
    <n v="4"/>
    <n v="0"/>
    <x v="3"/>
    <s v="Carolyn Perez"/>
    <x v="20"/>
    <x v="0"/>
    <x v="1"/>
    <n v="1878.47"/>
    <n v="7513.88"/>
  </r>
  <r>
    <s v="T03421"/>
    <d v="2025-06-30T00:00:00"/>
    <s v="C030"/>
    <s v="P037"/>
    <s v="S002"/>
    <n v="4"/>
    <n v="0"/>
    <x v="3"/>
    <s v="Lacey Hall"/>
    <x v="27"/>
    <x v="1"/>
    <x v="2"/>
    <n v="1952.65"/>
    <n v="7810.6"/>
  </r>
  <r>
    <s v="T03422"/>
    <d v="2024-06-07T00:00:00"/>
    <s v="C050"/>
    <s v="P010"/>
    <s v="S001"/>
    <n v="5"/>
    <n v="0.05"/>
    <x v="0"/>
    <s v="Kelly Mcmillan"/>
    <x v="36"/>
    <x v="1"/>
    <x v="3"/>
    <n v="1194.1199999999999"/>
    <n v="5672.0699999999988"/>
  </r>
  <r>
    <s v="T03423"/>
    <d v="2024-02-24T00:00:00"/>
    <s v="C100"/>
    <s v="P035"/>
    <s v="S004"/>
    <n v="5"/>
    <n v="0"/>
    <x v="3"/>
    <s v="Sean Hart"/>
    <x v="7"/>
    <x v="1"/>
    <x v="1"/>
    <n v="1562.43"/>
    <n v="7812.1500000000005"/>
  </r>
  <r>
    <s v="T03424"/>
    <d v="2023-10-13T00:00:00"/>
    <s v="C099"/>
    <s v="P024"/>
    <s v="S002"/>
    <n v="4"/>
    <n v="0"/>
    <x v="0"/>
    <s v="Kimberly Jones"/>
    <x v="14"/>
    <x v="1"/>
    <x v="2"/>
    <n v="1487.41"/>
    <n v="5949.64"/>
  </r>
  <r>
    <s v="T03425"/>
    <d v="2024-05-15T00:00:00"/>
    <s v="C191"/>
    <s v="P015"/>
    <s v="S002"/>
    <n v="1"/>
    <n v="0.05"/>
    <x v="2"/>
    <s v="Karen Quinn"/>
    <x v="40"/>
    <x v="0"/>
    <x v="2"/>
    <n v="270.45"/>
    <n v="256.92749999999995"/>
  </r>
  <r>
    <s v="T03426"/>
    <d v="2024-09-23T00:00:00"/>
    <s v="C066"/>
    <s v="P010"/>
    <s v="S003"/>
    <n v="3"/>
    <n v="0"/>
    <x v="1"/>
    <s v="Jason Jenkins"/>
    <x v="36"/>
    <x v="1"/>
    <x v="0"/>
    <n v="1194.1199999999999"/>
    <n v="3582.3599999999997"/>
  </r>
  <r>
    <s v="T03427"/>
    <d v="2025-09-05T00:00:00"/>
    <s v="C131"/>
    <s v="P044"/>
    <s v="S005"/>
    <n v="2"/>
    <n v="0.15"/>
    <x v="3"/>
    <s v="Denise Jackson"/>
    <x v="32"/>
    <x v="0"/>
    <x v="4"/>
    <n v="1286.55"/>
    <n v="2187.1349999999998"/>
  </r>
  <r>
    <s v="T03428"/>
    <d v="2024-04-24T00:00:00"/>
    <s v="C125"/>
    <s v="P009"/>
    <s v="S004"/>
    <n v="4"/>
    <n v="0.05"/>
    <x v="2"/>
    <s v="Kimberly Parker"/>
    <x v="5"/>
    <x v="2"/>
    <x v="1"/>
    <n v="123.19"/>
    <n v="468.12199999999996"/>
  </r>
  <r>
    <s v="T03429"/>
    <d v="2024-04-05T00:00:00"/>
    <s v="C135"/>
    <s v="P035"/>
    <s v="S003"/>
    <n v="3"/>
    <n v="0"/>
    <x v="3"/>
    <s v="Mario Cuevas"/>
    <x v="7"/>
    <x v="1"/>
    <x v="0"/>
    <n v="1562.43"/>
    <n v="4687.29"/>
  </r>
  <r>
    <s v="T03430"/>
    <d v="2024-08-09T00:00:00"/>
    <s v="C062"/>
    <s v="P031"/>
    <s v="S003"/>
    <n v="5"/>
    <n v="0"/>
    <x v="1"/>
    <s v="Susan Salinas"/>
    <x v="39"/>
    <x v="2"/>
    <x v="0"/>
    <n v="1095.72"/>
    <n v="5478.6"/>
  </r>
  <r>
    <s v="T03431"/>
    <d v="2025-04-23T00:00:00"/>
    <s v="C200"/>
    <s v="P029"/>
    <s v="S002"/>
    <n v="3"/>
    <n v="0.1"/>
    <x v="2"/>
    <s v="Ronald Haley"/>
    <x v="47"/>
    <x v="0"/>
    <x v="2"/>
    <n v="1485.05"/>
    <n v="4009.6349999999998"/>
  </r>
  <r>
    <s v="T03432"/>
    <d v="2024-07-17T00:00:00"/>
    <s v="C123"/>
    <s v="P005"/>
    <s v="S005"/>
    <n v="5"/>
    <n v="0.05"/>
    <x v="1"/>
    <s v="Peter Edwards"/>
    <x v="6"/>
    <x v="0"/>
    <x v="4"/>
    <n v="1396.22"/>
    <n v="6632.0450000000001"/>
  </r>
  <r>
    <s v="T03433"/>
    <d v="2024-09-09T00:00:00"/>
    <s v="C012"/>
    <s v="P048"/>
    <s v="S002"/>
    <n v="2"/>
    <n v="0.1"/>
    <x v="3"/>
    <s v="Dale Perry"/>
    <x v="11"/>
    <x v="0"/>
    <x v="2"/>
    <n v="1216.3599999999999"/>
    <n v="2189.4479999999999"/>
  </r>
  <r>
    <s v="T03434"/>
    <d v="2024-04-23T00:00:00"/>
    <s v="C014"/>
    <s v="P034"/>
    <s v="S001"/>
    <n v="3"/>
    <n v="0.15"/>
    <x v="3"/>
    <s v="Brittany Green"/>
    <x v="12"/>
    <x v="1"/>
    <x v="3"/>
    <n v="428.05"/>
    <n v="1091.5275000000001"/>
  </r>
  <r>
    <s v="T03435"/>
    <d v="2023-12-05T00:00:00"/>
    <s v="C156"/>
    <s v="P012"/>
    <s v="S001"/>
    <n v="5"/>
    <n v="0.1"/>
    <x v="3"/>
    <s v="George Young"/>
    <x v="38"/>
    <x v="1"/>
    <x v="3"/>
    <n v="1193.0899999999999"/>
    <n v="5368.9049999999997"/>
  </r>
  <r>
    <s v="T03436"/>
    <d v="2025-07-08T00:00:00"/>
    <s v="C075"/>
    <s v="P049"/>
    <s v="S003"/>
    <n v="5"/>
    <n v="0.05"/>
    <x v="3"/>
    <s v="Seth Moore"/>
    <x v="29"/>
    <x v="0"/>
    <x v="0"/>
    <n v="388.26"/>
    <n v="1844.2349999999999"/>
  </r>
  <r>
    <s v="T03437"/>
    <d v="2025-06-12T00:00:00"/>
    <s v="C183"/>
    <s v="P048"/>
    <s v="S004"/>
    <n v="3"/>
    <n v="0.05"/>
    <x v="1"/>
    <s v="Mary Dawson"/>
    <x v="11"/>
    <x v="0"/>
    <x v="1"/>
    <n v="1216.3599999999999"/>
    <n v="3466.6259999999997"/>
  </r>
  <r>
    <s v="T03438"/>
    <d v="2025-01-20T00:00:00"/>
    <s v="C194"/>
    <s v="P003"/>
    <s v="S005"/>
    <n v="5"/>
    <n v="0.15"/>
    <x v="1"/>
    <s v="Ann West"/>
    <x v="46"/>
    <x v="0"/>
    <x v="4"/>
    <n v="337.63"/>
    <n v="1434.9275"/>
  </r>
  <r>
    <s v="T03439"/>
    <d v="2025-05-14T00:00:00"/>
    <s v="C200"/>
    <s v="P024"/>
    <s v="S003"/>
    <n v="5"/>
    <n v="0.15"/>
    <x v="3"/>
    <s v="Ronald Haley"/>
    <x v="14"/>
    <x v="1"/>
    <x v="0"/>
    <n v="1487.41"/>
    <n v="6321.4925000000003"/>
  </r>
  <r>
    <s v="T03440"/>
    <d v="2024-01-04T00:00:00"/>
    <s v="C134"/>
    <s v="P036"/>
    <s v="S003"/>
    <n v="2"/>
    <n v="0.1"/>
    <x v="1"/>
    <s v="Emily Hart"/>
    <x v="4"/>
    <x v="0"/>
    <x v="0"/>
    <n v="1501.46"/>
    <n v="2702.6280000000002"/>
  </r>
  <r>
    <s v="T03441"/>
    <d v="2024-07-26T00:00:00"/>
    <s v="C164"/>
    <s v="P035"/>
    <s v="S005"/>
    <n v="2"/>
    <n v="0.05"/>
    <x v="0"/>
    <s v="Linda Vasquez"/>
    <x v="7"/>
    <x v="1"/>
    <x v="4"/>
    <n v="1562.43"/>
    <n v="2968.6170000000002"/>
  </r>
  <r>
    <s v="T03442"/>
    <d v="2025-06-08T00:00:00"/>
    <s v="C145"/>
    <s v="P006"/>
    <s v="S001"/>
    <n v="3"/>
    <n v="0"/>
    <x v="0"/>
    <s v="Paige Osborne"/>
    <x v="35"/>
    <x v="2"/>
    <x v="3"/>
    <n v="318.05"/>
    <n v="954.15000000000009"/>
  </r>
  <r>
    <s v="T03443"/>
    <d v="2024-04-13T00:00:00"/>
    <s v="C146"/>
    <s v="P024"/>
    <s v="S005"/>
    <n v="2"/>
    <n v="0.05"/>
    <x v="2"/>
    <s v="John Johnson"/>
    <x v="14"/>
    <x v="1"/>
    <x v="4"/>
    <n v="1487.41"/>
    <n v="2826.0790000000002"/>
  </r>
  <r>
    <s v="T03444"/>
    <d v="2024-12-09T00:00:00"/>
    <s v="C028"/>
    <s v="P015"/>
    <s v="S002"/>
    <n v="2"/>
    <n v="0.1"/>
    <x v="2"/>
    <s v="John Carr"/>
    <x v="40"/>
    <x v="0"/>
    <x v="2"/>
    <n v="270.45"/>
    <n v="486.81"/>
  </r>
  <r>
    <s v="T03445"/>
    <d v="2025-04-18T00:00:00"/>
    <s v="C199"/>
    <s v="P039"/>
    <s v="S004"/>
    <n v="4"/>
    <n v="0"/>
    <x v="1"/>
    <s v="Juan Johnson"/>
    <x v="22"/>
    <x v="0"/>
    <x v="1"/>
    <n v="540.94000000000005"/>
    <n v="2163.7600000000002"/>
  </r>
  <r>
    <s v="T03446"/>
    <d v="2025-06-06T00:00:00"/>
    <s v="C160"/>
    <s v="P016"/>
    <s v="S001"/>
    <n v="5"/>
    <n v="0.15"/>
    <x v="2"/>
    <s v="Meagan Macdonald"/>
    <x v="13"/>
    <x v="0"/>
    <x v="3"/>
    <n v="1858.75"/>
    <n v="7899.6875"/>
  </r>
  <r>
    <s v="T03447"/>
    <d v="2025-06-26T00:00:00"/>
    <s v="C102"/>
    <s v="P041"/>
    <s v="S001"/>
    <n v="4"/>
    <n v="0.15"/>
    <x v="3"/>
    <s v="Carolyn Perez"/>
    <x v="30"/>
    <x v="1"/>
    <x v="3"/>
    <n v="1635.01"/>
    <n v="5559.0339999999997"/>
  </r>
  <r>
    <s v="T03448"/>
    <d v="2025-02-28T00:00:00"/>
    <s v="C165"/>
    <s v="P030"/>
    <s v="S004"/>
    <n v="2"/>
    <n v="0.05"/>
    <x v="0"/>
    <s v="Tanya Mueller"/>
    <x v="1"/>
    <x v="0"/>
    <x v="1"/>
    <n v="29.24"/>
    <n v="55.555999999999997"/>
  </r>
  <r>
    <s v="T03449"/>
    <d v="2025-02-14T00:00:00"/>
    <s v="C144"/>
    <s v="P039"/>
    <s v="S002"/>
    <n v="5"/>
    <n v="0.05"/>
    <x v="0"/>
    <s v="Betty Johnson"/>
    <x v="22"/>
    <x v="0"/>
    <x v="2"/>
    <n v="540.94000000000005"/>
    <n v="2569.4650000000001"/>
  </r>
  <r>
    <s v="T03450"/>
    <d v="2024-02-12T00:00:00"/>
    <s v="C172"/>
    <s v="P040"/>
    <s v="S005"/>
    <n v="3"/>
    <n v="0.05"/>
    <x v="2"/>
    <s v="Michelle Smith"/>
    <x v="37"/>
    <x v="1"/>
    <x v="4"/>
    <n v="1745.61"/>
    <n v="4974.9884999999995"/>
  </r>
  <r>
    <s v="T03451"/>
    <d v="2023-09-23T00:00:00"/>
    <s v="C169"/>
    <s v="P015"/>
    <s v="S005"/>
    <n v="1"/>
    <n v="0.1"/>
    <x v="3"/>
    <s v="Travis Watson"/>
    <x v="40"/>
    <x v="0"/>
    <x v="4"/>
    <n v="270.45"/>
    <n v="243.405"/>
  </r>
  <r>
    <s v="T03452"/>
    <d v="2024-03-20T00:00:00"/>
    <s v="C089"/>
    <s v="P015"/>
    <s v="S004"/>
    <n v="1"/>
    <n v="0.05"/>
    <x v="1"/>
    <s v="William Warner"/>
    <x v="40"/>
    <x v="0"/>
    <x v="1"/>
    <n v="270.45"/>
    <n v="256.92749999999995"/>
  </r>
  <r>
    <s v="T03453"/>
    <d v="2025-05-08T00:00:00"/>
    <s v="C088"/>
    <s v="P050"/>
    <s v="S001"/>
    <n v="5"/>
    <n v="0.05"/>
    <x v="1"/>
    <s v="Brenda Costa"/>
    <x v="3"/>
    <x v="0"/>
    <x v="3"/>
    <n v="1044.6400000000001"/>
    <n v="4962.0400000000009"/>
  </r>
  <r>
    <s v="T03454"/>
    <d v="2024-09-02T00:00:00"/>
    <s v="C152"/>
    <s v="P043"/>
    <s v="S003"/>
    <n v="5"/>
    <n v="0.05"/>
    <x v="1"/>
    <s v="Brittany Green"/>
    <x v="45"/>
    <x v="0"/>
    <x v="0"/>
    <n v="564.41999999999996"/>
    <n v="2680.9949999999999"/>
  </r>
  <r>
    <s v="T03455"/>
    <d v="2024-07-03T00:00:00"/>
    <s v="C170"/>
    <s v="P047"/>
    <s v="S003"/>
    <n v="1"/>
    <n v="0.15"/>
    <x v="1"/>
    <s v="Amber Graham"/>
    <x v="28"/>
    <x v="1"/>
    <x v="0"/>
    <n v="1197.18"/>
    <n v="1017.6030000000001"/>
  </r>
  <r>
    <s v="T03456"/>
    <d v="2023-10-02T00:00:00"/>
    <s v="C089"/>
    <s v="P044"/>
    <s v="S004"/>
    <n v="1"/>
    <n v="0.05"/>
    <x v="3"/>
    <s v="William Warner"/>
    <x v="32"/>
    <x v="0"/>
    <x v="1"/>
    <n v="1286.55"/>
    <n v="1222.2224999999999"/>
  </r>
  <r>
    <s v="T03457"/>
    <d v="2024-10-26T00:00:00"/>
    <s v="C144"/>
    <s v="P035"/>
    <s v="S004"/>
    <n v="4"/>
    <n v="0"/>
    <x v="2"/>
    <s v="Betty Johnson"/>
    <x v="7"/>
    <x v="1"/>
    <x v="1"/>
    <n v="1562.43"/>
    <n v="6249.72"/>
  </r>
  <r>
    <s v="T03458"/>
    <d v="2024-05-27T00:00:00"/>
    <s v="C197"/>
    <s v="P013"/>
    <s v="S002"/>
    <n v="5"/>
    <n v="0.1"/>
    <x v="0"/>
    <s v="Matthew Dixon"/>
    <x v="21"/>
    <x v="0"/>
    <x v="2"/>
    <n v="1134.8"/>
    <n v="5106.6000000000004"/>
  </r>
  <r>
    <s v="T03459"/>
    <d v="2025-07-30T00:00:00"/>
    <s v="C193"/>
    <s v="P033"/>
    <s v="S001"/>
    <n v="3"/>
    <n v="0.05"/>
    <x v="0"/>
    <s v="Donald Meza"/>
    <x v="16"/>
    <x v="0"/>
    <x v="3"/>
    <n v="1798.97"/>
    <n v="5127.0644999999995"/>
  </r>
  <r>
    <s v="T03460"/>
    <d v="2023-12-17T00:00:00"/>
    <s v="C103"/>
    <s v="P010"/>
    <s v="S005"/>
    <n v="2"/>
    <n v="0.05"/>
    <x v="0"/>
    <s v="David Burns"/>
    <x v="36"/>
    <x v="1"/>
    <x v="4"/>
    <n v="1194.1199999999999"/>
    <n v="2268.8279999999995"/>
  </r>
  <r>
    <s v="T03461"/>
    <d v="2023-12-30T00:00:00"/>
    <s v="C131"/>
    <s v="P029"/>
    <s v="S003"/>
    <n v="1"/>
    <n v="0"/>
    <x v="2"/>
    <s v="Denise Jackson"/>
    <x v="47"/>
    <x v="0"/>
    <x v="0"/>
    <n v="1485.05"/>
    <n v="1485.05"/>
  </r>
  <r>
    <s v="T03462"/>
    <d v="2025-08-01T00:00:00"/>
    <s v="C123"/>
    <s v="P049"/>
    <s v="S002"/>
    <n v="1"/>
    <n v="0"/>
    <x v="1"/>
    <s v="Peter Edwards"/>
    <x v="29"/>
    <x v="0"/>
    <x v="2"/>
    <n v="388.26"/>
    <n v="388.26"/>
  </r>
  <r>
    <s v="T03463"/>
    <d v="2025-04-21T00:00:00"/>
    <s v="C154"/>
    <s v="P023"/>
    <s v="S004"/>
    <n v="4"/>
    <n v="0"/>
    <x v="3"/>
    <s v="Lisa Martinez"/>
    <x v="20"/>
    <x v="0"/>
    <x v="1"/>
    <n v="1878.47"/>
    <n v="7513.88"/>
  </r>
  <r>
    <s v="T03464"/>
    <d v="2024-10-29T00:00:00"/>
    <s v="C030"/>
    <s v="P017"/>
    <s v="S004"/>
    <n v="5"/>
    <n v="0.05"/>
    <x v="3"/>
    <s v="Lacey Hall"/>
    <x v="43"/>
    <x v="1"/>
    <x v="1"/>
    <n v="1246.1099999999999"/>
    <n v="5919.0224999999991"/>
  </r>
  <r>
    <s v="T03465"/>
    <d v="2024-02-19T00:00:00"/>
    <s v="C021"/>
    <s v="P038"/>
    <s v="S002"/>
    <n v="5"/>
    <n v="0.1"/>
    <x v="3"/>
    <s v="Debbie Martin"/>
    <x v="41"/>
    <x v="0"/>
    <x v="2"/>
    <n v="366.93"/>
    <n v="1651.1850000000002"/>
  </r>
  <r>
    <s v="T03466"/>
    <d v="2025-08-14T00:00:00"/>
    <s v="C013"/>
    <s v="P015"/>
    <s v="S001"/>
    <n v="4"/>
    <n v="0"/>
    <x v="0"/>
    <s v="Robert Anderson"/>
    <x v="40"/>
    <x v="0"/>
    <x v="3"/>
    <n v="270.45"/>
    <n v="1081.8"/>
  </r>
  <r>
    <s v="T03467"/>
    <d v="2023-11-17T00:00:00"/>
    <s v="C021"/>
    <s v="P017"/>
    <s v="S003"/>
    <n v="5"/>
    <n v="0"/>
    <x v="0"/>
    <s v="Debbie Martin"/>
    <x v="43"/>
    <x v="1"/>
    <x v="0"/>
    <n v="1246.1099999999999"/>
    <n v="6230.5499999999993"/>
  </r>
  <r>
    <s v="T03468"/>
    <d v="2023-11-23T00:00:00"/>
    <s v="C014"/>
    <s v="P006"/>
    <s v="S004"/>
    <n v="4"/>
    <n v="0.05"/>
    <x v="2"/>
    <s v="Brittany Green"/>
    <x v="35"/>
    <x v="2"/>
    <x v="1"/>
    <n v="318.05"/>
    <n v="1208.5899999999999"/>
  </r>
  <r>
    <s v="T03469"/>
    <d v="2024-01-17T00:00:00"/>
    <s v="C150"/>
    <s v="P034"/>
    <s v="S004"/>
    <n v="4"/>
    <n v="0.05"/>
    <x v="3"/>
    <s v="Francis Hernandez"/>
    <x v="12"/>
    <x v="1"/>
    <x v="1"/>
    <n v="428.05"/>
    <n v="1626.59"/>
  </r>
  <r>
    <s v="T03470"/>
    <d v="2024-04-06T00:00:00"/>
    <s v="C187"/>
    <s v="P044"/>
    <s v="S003"/>
    <n v="2"/>
    <n v="0.1"/>
    <x v="0"/>
    <s v="Cynthia Cherry"/>
    <x v="32"/>
    <x v="0"/>
    <x v="0"/>
    <n v="1286.55"/>
    <n v="2315.79"/>
  </r>
  <r>
    <s v="T03471"/>
    <d v="2024-07-31T00:00:00"/>
    <s v="C005"/>
    <s v="P034"/>
    <s v="S004"/>
    <n v="4"/>
    <n v="0.15"/>
    <x v="0"/>
    <s v="Jamie Salinas"/>
    <x v="12"/>
    <x v="1"/>
    <x v="1"/>
    <n v="428.05"/>
    <n v="1455.37"/>
  </r>
  <r>
    <s v="T03472"/>
    <d v="2025-09-09T00:00:00"/>
    <s v="C101"/>
    <s v="P023"/>
    <s v="S002"/>
    <n v="1"/>
    <n v="0.15"/>
    <x v="2"/>
    <s v="William Pope"/>
    <x v="20"/>
    <x v="0"/>
    <x v="2"/>
    <n v="1878.47"/>
    <n v="1596.6994999999999"/>
  </r>
  <r>
    <s v="T03473"/>
    <d v="2024-03-13T00:00:00"/>
    <s v="C186"/>
    <s v="P013"/>
    <s v="S004"/>
    <n v="4"/>
    <n v="0.05"/>
    <x v="2"/>
    <s v="Vicki Guzman"/>
    <x v="21"/>
    <x v="0"/>
    <x v="1"/>
    <n v="1134.8"/>
    <n v="4312.24"/>
  </r>
  <r>
    <s v="T03474"/>
    <d v="2024-07-12T00:00:00"/>
    <s v="C089"/>
    <s v="P036"/>
    <s v="S001"/>
    <n v="5"/>
    <n v="0"/>
    <x v="1"/>
    <s v="William Warner"/>
    <x v="4"/>
    <x v="0"/>
    <x v="3"/>
    <n v="1501.46"/>
    <n v="7507.3"/>
  </r>
  <r>
    <s v="T03475"/>
    <d v="2024-03-10T00:00:00"/>
    <s v="C186"/>
    <s v="P035"/>
    <s v="S004"/>
    <n v="4"/>
    <n v="0"/>
    <x v="2"/>
    <s v="Vicki Guzman"/>
    <x v="7"/>
    <x v="1"/>
    <x v="1"/>
    <n v="1562.43"/>
    <n v="6249.72"/>
  </r>
  <r>
    <s v="T03476"/>
    <d v="2025-07-29T00:00:00"/>
    <s v="C145"/>
    <s v="P007"/>
    <s v="S005"/>
    <n v="1"/>
    <n v="0.1"/>
    <x v="3"/>
    <s v="Paige Osborne"/>
    <x v="18"/>
    <x v="1"/>
    <x v="4"/>
    <n v="1474.12"/>
    <n v="1326.7079999999999"/>
  </r>
  <r>
    <s v="T03477"/>
    <d v="2025-06-13T00:00:00"/>
    <s v="C102"/>
    <s v="P048"/>
    <s v="S005"/>
    <n v="5"/>
    <n v="0.1"/>
    <x v="3"/>
    <s v="Carolyn Perez"/>
    <x v="11"/>
    <x v="0"/>
    <x v="4"/>
    <n v="1216.3599999999999"/>
    <n v="5473.62"/>
  </r>
  <r>
    <s v="T03478"/>
    <d v="2024-06-04T00:00:00"/>
    <s v="C050"/>
    <s v="P050"/>
    <s v="S002"/>
    <n v="2"/>
    <n v="0.15"/>
    <x v="2"/>
    <s v="Kelly Mcmillan"/>
    <x v="3"/>
    <x v="0"/>
    <x v="2"/>
    <n v="1044.6400000000001"/>
    <n v="1775.8880000000001"/>
  </r>
  <r>
    <s v="T03479"/>
    <d v="2023-10-16T00:00:00"/>
    <s v="C023"/>
    <s v="P029"/>
    <s v="S002"/>
    <n v="3"/>
    <n v="0.1"/>
    <x v="2"/>
    <s v="Mark Martinez"/>
    <x v="47"/>
    <x v="0"/>
    <x v="2"/>
    <n v="1485.05"/>
    <n v="4009.6349999999998"/>
  </r>
  <r>
    <s v="T03480"/>
    <d v="2025-01-09T00:00:00"/>
    <s v="C052"/>
    <s v="P032"/>
    <s v="S003"/>
    <n v="4"/>
    <n v="0"/>
    <x v="1"/>
    <s v="Billy Hernandez"/>
    <x v="44"/>
    <x v="2"/>
    <x v="0"/>
    <n v="304.70999999999998"/>
    <n v="1218.8399999999999"/>
  </r>
  <r>
    <s v="T03481"/>
    <d v="2024-05-15T00:00:00"/>
    <s v="C140"/>
    <s v="P050"/>
    <s v="S001"/>
    <n v="4"/>
    <n v="0"/>
    <x v="2"/>
    <s v="Stacy Williams"/>
    <x v="3"/>
    <x v="0"/>
    <x v="3"/>
    <n v="1044.6400000000001"/>
    <n v="4178.5600000000004"/>
  </r>
  <r>
    <s v="T03482"/>
    <d v="2023-09-14T00:00:00"/>
    <s v="C043"/>
    <s v="P004"/>
    <s v="S001"/>
    <n v="1"/>
    <n v="0.05"/>
    <x v="3"/>
    <s v="Kenneth Allen"/>
    <x v="49"/>
    <x v="0"/>
    <x v="3"/>
    <n v="1853.77"/>
    <n v="1761.0815"/>
  </r>
  <r>
    <s v="T03483"/>
    <d v="2025-02-21T00:00:00"/>
    <s v="C098"/>
    <s v="P038"/>
    <s v="S001"/>
    <n v="2"/>
    <n v="0.15"/>
    <x v="2"/>
    <s v="Lisa Vega"/>
    <x v="41"/>
    <x v="0"/>
    <x v="3"/>
    <n v="366.93"/>
    <n v="623.78099999999995"/>
  </r>
  <r>
    <s v="T03484"/>
    <d v="2024-04-28T00:00:00"/>
    <s v="C132"/>
    <s v="P006"/>
    <s v="S003"/>
    <n v="2"/>
    <n v="0.15"/>
    <x v="1"/>
    <s v="Jared Ochoa"/>
    <x v="35"/>
    <x v="2"/>
    <x v="0"/>
    <n v="318.05"/>
    <n v="540.68500000000006"/>
  </r>
  <r>
    <s v="T03485"/>
    <d v="2023-11-06T00:00:00"/>
    <s v="C140"/>
    <s v="P016"/>
    <s v="S005"/>
    <n v="3"/>
    <n v="0.15"/>
    <x v="3"/>
    <s v="Stacy Williams"/>
    <x v="13"/>
    <x v="0"/>
    <x v="4"/>
    <n v="1858.75"/>
    <n v="4739.8125"/>
  </r>
  <r>
    <s v="T03486"/>
    <d v="2023-12-11T00:00:00"/>
    <s v="C049"/>
    <s v="P033"/>
    <s v="S002"/>
    <n v="4"/>
    <n v="0"/>
    <x v="0"/>
    <s v="Antonio Hamilton"/>
    <x v="16"/>
    <x v="0"/>
    <x v="2"/>
    <n v="1798.97"/>
    <n v="7195.88"/>
  </r>
  <r>
    <s v="T03487"/>
    <d v="2024-03-29T00:00:00"/>
    <s v="C079"/>
    <s v="P032"/>
    <s v="S003"/>
    <n v="5"/>
    <n v="0"/>
    <x v="2"/>
    <s v="Donald Marsh"/>
    <x v="44"/>
    <x v="2"/>
    <x v="0"/>
    <n v="304.70999999999998"/>
    <n v="1523.55"/>
  </r>
  <r>
    <s v="T03488"/>
    <d v="2024-05-25T00:00:00"/>
    <s v="C149"/>
    <s v="P009"/>
    <s v="S003"/>
    <n v="1"/>
    <n v="0.05"/>
    <x v="1"/>
    <s v="Melissa Torres"/>
    <x v="5"/>
    <x v="2"/>
    <x v="0"/>
    <n v="123.19"/>
    <n v="117.03049999999999"/>
  </r>
  <r>
    <s v="T03489"/>
    <d v="2023-12-29T00:00:00"/>
    <s v="C076"/>
    <s v="P020"/>
    <s v="S005"/>
    <n v="1"/>
    <n v="0"/>
    <x v="1"/>
    <s v="Phyllis Durham"/>
    <x v="24"/>
    <x v="0"/>
    <x v="4"/>
    <n v="323.92"/>
    <n v="323.92"/>
  </r>
  <r>
    <s v="T03490"/>
    <d v="2024-03-25T00:00:00"/>
    <s v="C071"/>
    <s v="P049"/>
    <s v="S003"/>
    <n v="1"/>
    <n v="0.05"/>
    <x v="1"/>
    <s v="Denise Gutierrez"/>
    <x v="29"/>
    <x v="0"/>
    <x v="0"/>
    <n v="388.26"/>
    <n v="368.84699999999998"/>
  </r>
  <r>
    <s v="T03491"/>
    <d v="2024-07-15T00:00:00"/>
    <s v="C053"/>
    <s v="P037"/>
    <s v="S003"/>
    <n v="1"/>
    <n v="0.15"/>
    <x v="1"/>
    <s v="Felicia Morgan"/>
    <x v="27"/>
    <x v="1"/>
    <x v="0"/>
    <n v="1952.65"/>
    <n v="1659.7525000000001"/>
  </r>
  <r>
    <s v="T03492"/>
    <d v="2024-03-15T00:00:00"/>
    <s v="C137"/>
    <s v="P049"/>
    <s v="S001"/>
    <n v="2"/>
    <n v="0.15"/>
    <x v="1"/>
    <s v="Gary Lopez"/>
    <x v="29"/>
    <x v="0"/>
    <x v="3"/>
    <n v="388.26"/>
    <n v="660.04199999999992"/>
  </r>
  <r>
    <s v="T03493"/>
    <d v="2024-04-21T00:00:00"/>
    <s v="C171"/>
    <s v="P033"/>
    <s v="S005"/>
    <n v="2"/>
    <n v="0.05"/>
    <x v="3"/>
    <s v="Christina Dominguez"/>
    <x v="16"/>
    <x v="0"/>
    <x v="4"/>
    <n v="1798.97"/>
    <n v="3418.0429999999997"/>
  </r>
  <r>
    <s v="T03494"/>
    <d v="2023-12-08T00:00:00"/>
    <s v="C004"/>
    <s v="P018"/>
    <s v="S002"/>
    <n v="1"/>
    <n v="0.15"/>
    <x v="2"/>
    <s v="Joseph Ward"/>
    <x v="19"/>
    <x v="1"/>
    <x v="2"/>
    <n v="1079.8900000000001"/>
    <n v="917.90650000000005"/>
  </r>
  <r>
    <s v="T03495"/>
    <d v="2025-04-03T00:00:00"/>
    <s v="C027"/>
    <s v="P040"/>
    <s v="S002"/>
    <n v="3"/>
    <n v="0.15"/>
    <x v="2"/>
    <s v="Jacqueline Martin"/>
    <x v="37"/>
    <x v="1"/>
    <x v="2"/>
    <n v="1745.61"/>
    <n v="4451.3054999999995"/>
  </r>
  <r>
    <s v="T03496"/>
    <d v="2024-12-03T00:00:00"/>
    <s v="C147"/>
    <s v="P020"/>
    <s v="S005"/>
    <n v="3"/>
    <n v="0.15"/>
    <x v="1"/>
    <s v="Crystal Garrison"/>
    <x v="24"/>
    <x v="0"/>
    <x v="4"/>
    <n v="323.92"/>
    <n v="825.99599999999998"/>
  </r>
  <r>
    <s v="T03497"/>
    <d v="2024-03-11T00:00:00"/>
    <s v="C060"/>
    <s v="P047"/>
    <s v="S004"/>
    <n v="2"/>
    <n v="0.05"/>
    <x v="3"/>
    <s v="Anthony Conway"/>
    <x v="28"/>
    <x v="1"/>
    <x v="1"/>
    <n v="1197.18"/>
    <n v="2274.6419999999998"/>
  </r>
  <r>
    <s v="T03498"/>
    <d v="2025-08-10T00:00:00"/>
    <s v="C132"/>
    <s v="P014"/>
    <s v="S002"/>
    <n v="5"/>
    <n v="0.1"/>
    <x v="1"/>
    <s v="Jared Ochoa"/>
    <x v="0"/>
    <x v="0"/>
    <x v="2"/>
    <n v="1342.75"/>
    <n v="6042.375"/>
  </r>
  <r>
    <s v="T03499"/>
    <d v="2025-04-12T00:00:00"/>
    <s v="C008"/>
    <s v="P031"/>
    <s v="S003"/>
    <n v="2"/>
    <n v="0.15"/>
    <x v="3"/>
    <s v="Isaiah Williams"/>
    <x v="39"/>
    <x v="2"/>
    <x v="0"/>
    <n v="1095.72"/>
    <n v="1862.7239999999999"/>
  </r>
  <r>
    <s v="T03500"/>
    <d v="2025-08-17T00:00:00"/>
    <s v="C127"/>
    <s v="P032"/>
    <s v="S005"/>
    <n v="5"/>
    <n v="0.15"/>
    <x v="1"/>
    <s v="John Allen"/>
    <x v="44"/>
    <x v="2"/>
    <x v="4"/>
    <n v="304.70999999999998"/>
    <n v="1295.0174999999999"/>
  </r>
  <r>
    <s v="T03501"/>
    <d v="2024-08-22T00:00:00"/>
    <s v="C175"/>
    <s v="P029"/>
    <s v="S001"/>
    <n v="4"/>
    <n v="0.15"/>
    <x v="3"/>
    <s v="Stacey Thompson"/>
    <x v="47"/>
    <x v="0"/>
    <x v="3"/>
    <n v="1485.05"/>
    <n v="5049.17"/>
  </r>
  <r>
    <s v="T03502"/>
    <d v="2025-02-14T00:00:00"/>
    <s v="C104"/>
    <s v="P049"/>
    <s v="S004"/>
    <n v="2"/>
    <n v="0.15"/>
    <x v="2"/>
    <s v="Brenda Dean"/>
    <x v="29"/>
    <x v="0"/>
    <x v="1"/>
    <n v="388.26"/>
    <n v="660.04199999999992"/>
  </r>
  <r>
    <s v="T03503"/>
    <d v="2025-09-06T00:00:00"/>
    <s v="C004"/>
    <s v="P047"/>
    <s v="S003"/>
    <n v="1"/>
    <n v="0.15"/>
    <x v="2"/>
    <s v="Joseph Ward"/>
    <x v="28"/>
    <x v="1"/>
    <x v="0"/>
    <n v="1197.18"/>
    <n v="1017.6030000000001"/>
  </r>
  <r>
    <s v="T03504"/>
    <d v="2025-03-20T00:00:00"/>
    <s v="C022"/>
    <s v="P031"/>
    <s v="S002"/>
    <n v="2"/>
    <n v="0.05"/>
    <x v="0"/>
    <s v="Megan Velasquez"/>
    <x v="39"/>
    <x v="2"/>
    <x v="2"/>
    <n v="1095.72"/>
    <n v="2081.8679999999999"/>
  </r>
  <r>
    <s v="T03505"/>
    <d v="2025-04-15T00:00:00"/>
    <s v="C084"/>
    <s v="P029"/>
    <s v="S002"/>
    <n v="1"/>
    <n v="0.15"/>
    <x v="0"/>
    <s v="Amanda Lee"/>
    <x v="47"/>
    <x v="0"/>
    <x v="2"/>
    <n v="1485.05"/>
    <n v="1262.2925"/>
  </r>
  <r>
    <s v="T03506"/>
    <d v="2025-03-04T00:00:00"/>
    <s v="C004"/>
    <s v="P045"/>
    <s v="S003"/>
    <n v="5"/>
    <n v="0.15"/>
    <x v="3"/>
    <s v="Joseph Ward"/>
    <x v="8"/>
    <x v="2"/>
    <x v="0"/>
    <n v="1879.08"/>
    <n v="7986.0899999999992"/>
  </r>
  <r>
    <s v="T03507"/>
    <d v="2024-09-08T00:00:00"/>
    <s v="C176"/>
    <s v="P005"/>
    <s v="S003"/>
    <n v="4"/>
    <n v="0.05"/>
    <x v="3"/>
    <s v="Peter Garcia"/>
    <x v="6"/>
    <x v="0"/>
    <x v="0"/>
    <n v="1396.22"/>
    <n v="5305.6359999999995"/>
  </r>
  <r>
    <s v="T03508"/>
    <d v="2024-10-20T00:00:00"/>
    <s v="C134"/>
    <s v="P024"/>
    <s v="S002"/>
    <n v="1"/>
    <n v="0.05"/>
    <x v="0"/>
    <s v="Emily Hart"/>
    <x v="14"/>
    <x v="1"/>
    <x v="2"/>
    <n v="1487.41"/>
    <n v="1413.0395000000001"/>
  </r>
  <r>
    <s v="T03509"/>
    <d v="2024-02-09T00:00:00"/>
    <s v="C146"/>
    <s v="P039"/>
    <s v="S004"/>
    <n v="4"/>
    <n v="0"/>
    <x v="0"/>
    <s v="John Johnson"/>
    <x v="22"/>
    <x v="0"/>
    <x v="1"/>
    <n v="540.94000000000005"/>
    <n v="2163.7600000000002"/>
  </r>
  <r>
    <s v="T03510"/>
    <d v="2024-02-18T00:00:00"/>
    <s v="C061"/>
    <s v="P048"/>
    <s v="S004"/>
    <n v="5"/>
    <n v="0.1"/>
    <x v="3"/>
    <s v="Heather Russell"/>
    <x v="11"/>
    <x v="0"/>
    <x v="1"/>
    <n v="1216.3599999999999"/>
    <n v="5473.62"/>
  </r>
  <r>
    <s v="T03511"/>
    <d v="2024-05-01T00:00:00"/>
    <s v="C041"/>
    <s v="P006"/>
    <s v="S002"/>
    <n v="1"/>
    <n v="0.1"/>
    <x v="3"/>
    <s v="Melissa Rodgers"/>
    <x v="35"/>
    <x v="2"/>
    <x v="2"/>
    <n v="318.05"/>
    <n v="286.245"/>
  </r>
  <r>
    <s v="T03512"/>
    <d v="2024-11-02T00:00:00"/>
    <s v="C155"/>
    <s v="P023"/>
    <s v="S002"/>
    <n v="5"/>
    <n v="0.15"/>
    <x v="0"/>
    <s v="Jill Mcconnell"/>
    <x v="20"/>
    <x v="0"/>
    <x v="2"/>
    <n v="1878.47"/>
    <n v="7983.4975000000004"/>
  </r>
  <r>
    <s v="T03513"/>
    <d v="2025-01-06T00:00:00"/>
    <s v="C130"/>
    <s v="P032"/>
    <s v="S003"/>
    <n v="2"/>
    <n v="0.1"/>
    <x v="0"/>
    <s v="Aaron Bailey"/>
    <x v="44"/>
    <x v="2"/>
    <x v="0"/>
    <n v="304.70999999999998"/>
    <n v="548.47799999999995"/>
  </r>
  <r>
    <s v="T03514"/>
    <d v="2025-02-26T00:00:00"/>
    <s v="C189"/>
    <s v="P034"/>
    <s v="S005"/>
    <n v="5"/>
    <n v="0"/>
    <x v="3"/>
    <s v="Steve Flynn"/>
    <x v="12"/>
    <x v="1"/>
    <x v="4"/>
    <n v="428.05"/>
    <n v="2140.25"/>
  </r>
  <r>
    <s v="T03515"/>
    <d v="2024-06-09T00:00:00"/>
    <s v="C073"/>
    <s v="P013"/>
    <s v="S003"/>
    <n v="4"/>
    <n v="0.15"/>
    <x v="3"/>
    <s v="Carl Armstrong"/>
    <x v="21"/>
    <x v="0"/>
    <x v="0"/>
    <n v="1134.8"/>
    <n v="3858.3199999999997"/>
  </r>
  <r>
    <s v="T03516"/>
    <d v="2025-01-31T00:00:00"/>
    <s v="C178"/>
    <s v="P027"/>
    <s v="S004"/>
    <n v="1"/>
    <n v="0.1"/>
    <x v="2"/>
    <s v="Mark Mcdonald"/>
    <x v="34"/>
    <x v="1"/>
    <x v="1"/>
    <n v="1272.23"/>
    <n v="1145.0070000000001"/>
  </r>
  <r>
    <s v="T03517"/>
    <d v="2024-02-27T00:00:00"/>
    <s v="C061"/>
    <s v="P010"/>
    <s v="S005"/>
    <n v="4"/>
    <n v="0.15"/>
    <x v="1"/>
    <s v="Heather Russell"/>
    <x v="36"/>
    <x v="1"/>
    <x v="4"/>
    <n v="1194.1199999999999"/>
    <n v="4060.0079999999994"/>
  </r>
  <r>
    <s v="T03518"/>
    <d v="2024-03-06T00:00:00"/>
    <s v="C123"/>
    <s v="P015"/>
    <s v="S002"/>
    <n v="5"/>
    <n v="0.05"/>
    <x v="3"/>
    <s v="Peter Edwards"/>
    <x v="40"/>
    <x v="0"/>
    <x v="2"/>
    <n v="270.45"/>
    <n v="1284.6375"/>
  </r>
  <r>
    <s v="T03519"/>
    <d v="2025-04-19T00:00:00"/>
    <s v="C158"/>
    <s v="P001"/>
    <s v="S004"/>
    <n v="3"/>
    <n v="0.15"/>
    <x v="3"/>
    <s v="Crystal Aguirre"/>
    <x v="31"/>
    <x v="1"/>
    <x v="1"/>
    <n v="1673.69"/>
    <n v="4267.9094999999998"/>
  </r>
  <r>
    <s v="T03520"/>
    <d v="2024-03-13T00:00:00"/>
    <s v="C158"/>
    <s v="P041"/>
    <s v="S001"/>
    <n v="4"/>
    <n v="0.15"/>
    <x v="1"/>
    <s v="Crystal Aguirre"/>
    <x v="30"/>
    <x v="1"/>
    <x v="3"/>
    <n v="1635.01"/>
    <n v="5559.0339999999997"/>
  </r>
  <r>
    <s v="T03521"/>
    <d v="2025-02-24T00:00:00"/>
    <s v="C099"/>
    <s v="P050"/>
    <s v="S005"/>
    <n v="2"/>
    <n v="0.15"/>
    <x v="1"/>
    <s v="Kimberly Jones"/>
    <x v="3"/>
    <x v="0"/>
    <x v="4"/>
    <n v="1044.6400000000001"/>
    <n v="1775.8880000000001"/>
  </r>
  <r>
    <s v="T03522"/>
    <d v="2024-08-30T00:00:00"/>
    <s v="C184"/>
    <s v="P021"/>
    <s v="S002"/>
    <n v="2"/>
    <n v="0.1"/>
    <x v="2"/>
    <s v="Daniel Mcintyre"/>
    <x v="23"/>
    <x v="2"/>
    <x v="2"/>
    <n v="1227.24"/>
    <n v="2209.0320000000002"/>
  </r>
  <r>
    <s v="T03523"/>
    <d v="2024-01-30T00:00:00"/>
    <s v="C127"/>
    <s v="P049"/>
    <s v="S001"/>
    <n v="5"/>
    <n v="0.1"/>
    <x v="3"/>
    <s v="John Allen"/>
    <x v="29"/>
    <x v="0"/>
    <x v="3"/>
    <n v="388.26"/>
    <n v="1747.17"/>
  </r>
  <r>
    <s v="T03524"/>
    <d v="2025-08-30T00:00:00"/>
    <s v="C103"/>
    <s v="P040"/>
    <s v="S002"/>
    <n v="2"/>
    <n v="0.1"/>
    <x v="3"/>
    <s v="David Burns"/>
    <x v="37"/>
    <x v="1"/>
    <x v="2"/>
    <n v="1745.61"/>
    <n v="3142.098"/>
  </r>
  <r>
    <s v="T03525"/>
    <d v="2024-03-28T00:00:00"/>
    <s v="C179"/>
    <s v="P039"/>
    <s v="S003"/>
    <n v="1"/>
    <n v="0.1"/>
    <x v="1"/>
    <s v="Dennis Wallace"/>
    <x v="22"/>
    <x v="0"/>
    <x v="0"/>
    <n v="540.94000000000005"/>
    <n v="486.84600000000006"/>
  </r>
  <r>
    <s v="T03526"/>
    <d v="2025-02-27T00:00:00"/>
    <s v="C098"/>
    <s v="P035"/>
    <s v="S005"/>
    <n v="3"/>
    <n v="0.15"/>
    <x v="3"/>
    <s v="Lisa Vega"/>
    <x v="7"/>
    <x v="1"/>
    <x v="4"/>
    <n v="1562.43"/>
    <n v="3984.1965"/>
  </r>
  <r>
    <s v="T03527"/>
    <d v="2024-06-21T00:00:00"/>
    <s v="C008"/>
    <s v="P017"/>
    <s v="S001"/>
    <n v="2"/>
    <n v="0.1"/>
    <x v="2"/>
    <s v="Isaiah Williams"/>
    <x v="43"/>
    <x v="1"/>
    <x v="3"/>
    <n v="1246.1099999999999"/>
    <n v="2242.998"/>
  </r>
  <r>
    <s v="T03528"/>
    <d v="2024-11-26T00:00:00"/>
    <s v="C200"/>
    <s v="P040"/>
    <s v="S003"/>
    <n v="3"/>
    <n v="0.1"/>
    <x v="0"/>
    <s v="Ronald Haley"/>
    <x v="37"/>
    <x v="1"/>
    <x v="0"/>
    <n v="1745.61"/>
    <n v="4713.1469999999999"/>
  </r>
  <r>
    <s v="T03529"/>
    <d v="2025-04-29T00:00:00"/>
    <s v="C047"/>
    <s v="P008"/>
    <s v="S005"/>
    <n v="4"/>
    <n v="0.15"/>
    <x v="1"/>
    <s v="Mary Decker"/>
    <x v="48"/>
    <x v="0"/>
    <x v="4"/>
    <n v="109.78"/>
    <n v="373.25200000000001"/>
  </r>
  <r>
    <s v="T03530"/>
    <d v="2024-06-20T00:00:00"/>
    <s v="C051"/>
    <s v="P017"/>
    <s v="S002"/>
    <n v="3"/>
    <n v="0.1"/>
    <x v="2"/>
    <s v="Madison Sellers"/>
    <x v="43"/>
    <x v="1"/>
    <x v="2"/>
    <n v="1246.1099999999999"/>
    <n v="3364.4969999999998"/>
  </r>
  <r>
    <s v="T03531"/>
    <d v="2024-02-09T00:00:00"/>
    <s v="C164"/>
    <s v="P029"/>
    <s v="S002"/>
    <n v="2"/>
    <n v="0.1"/>
    <x v="1"/>
    <s v="Linda Vasquez"/>
    <x v="47"/>
    <x v="0"/>
    <x v="2"/>
    <n v="1485.05"/>
    <n v="2673.09"/>
  </r>
  <r>
    <s v="T03532"/>
    <d v="2025-03-07T00:00:00"/>
    <s v="C057"/>
    <s v="P019"/>
    <s v="S002"/>
    <n v="5"/>
    <n v="0"/>
    <x v="0"/>
    <s v="Julie Gibson"/>
    <x v="26"/>
    <x v="1"/>
    <x v="2"/>
    <n v="1762.92"/>
    <n v="8814.6"/>
  </r>
  <r>
    <s v="T03533"/>
    <d v="2023-11-24T00:00:00"/>
    <s v="C104"/>
    <s v="P042"/>
    <s v="S002"/>
    <n v="3"/>
    <n v="0"/>
    <x v="0"/>
    <s v="Brenda Dean"/>
    <x v="10"/>
    <x v="0"/>
    <x v="2"/>
    <n v="453.62"/>
    <n v="1360.8600000000001"/>
  </r>
  <r>
    <s v="T03534"/>
    <d v="2024-08-20T00:00:00"/>
    <s v="C048"/>
    <s v="P022"/>
    <s v="S005"/>
    <n v="3"/>
    <n v="0.15"/>
    <x v="2"/>
    <s v="Alexis Crane"/>
    <x v="9"/>
    <x v="2"/>
    <x v="4"/>
    <n v="25.57"/>
    <n v="65.203500000000005"/>
  </r>
  <r>
    <s v="T03535"/>
    <d v="2025-06-18T00:00:00"/>
    <s v="C088"/>
    <s v="P024"/>
    <s v="S004"/>
    <n v="2"/>
    <n v="0.05"/>
    <x v="1"/>
    <s v="Brenda Costa"/>
    <x v="14"/>
    <x v="1"/>
    <x v="1"/>
    <n v="1487.41"/>
    <n v="2826.0790000000002"/>
  </r>
  <r>
    <s v="T03536"/>
    <d v="2024-01-03T00:00:00"/>
    <s v="C151"/>
    <s v="P031"/>
    <s v="S002"/>
    <n v="2"/>
    <n v="0.1"/>
    <x v="0"/>
    <s v="Dawn Fletcher"/>
    <x v="39"/>
    <x v="2"/>
    <x v="2"/>
    <n v="1095.72"/>
    <n v="1972.296"/>
  </r>
  <r>
    <s v="T03537"/>
    <d v="2024-01-28T00:00:00"/>
    <s v="C027"/>
    <s v="P046"/>
    <s v="S002"/>
    <n v="5"/>
    <n v="0"/>
    <x v="1"/>
    <s v="Jacqueline Martin"/>
    <x v="42"/>
    <x v="0"/>
    <x v="2"/>
    <n v="1165.3699999999999"/>
    <n v="5826.8499999999995"/>
  </r>
  <r>
    <s v="T03538"/>
    <d v="2023-09-18T00:00:00"/>
    <s v="C095"/>
    <s v="P050"/>
    <s v="S003"/>
    <n v="1"/>
    <n v="0.15"/>
    <x v="0"/>
    <s v="Kevin Snyder"/>
    <x v="3"/>
    <x v="0"/>
    <x v="0"/>
    <n v="1044.6400000000001"/>
    <n v="887.94400000000007"/>
  </r>
  <r>
    <s v="T03539"/>
    <d v="2025-05-03T00:00:00"/>
    <s v="C099"/>
    <s v="P006"/>
    <s v="S005"/>
    <n v="3"/>
    <n v="0"/>
    <x v="0"/>
    <s v="Kimberly Jones"/>
    <x v="35"/>
    <x v="2"/>
    <x v="4"/>
    <n v="318.05"/>
    <n v="954.15000000000009"/>
  </r>
  <r>
    <s v="T03540"/>
    <d v="2025-02-22T00:00:00"/>
    <s v="C194"/>
    <s v="P046"/>
    <s v="S004"/>
    <n v="3"/>
    <n v="0.1"/>
    <x v="2"/>
    <s v="Ann West"/>
    <x v="42"/>
    <x v="0"/>
    <x v="1"/>
    <n v="1165.3699999999999"/>
    <n v="3146.4989999999998"/>
  </r>
  <r>
    <s v="T03541"/>
    <d v="2024-03-13T00:00:00"/>
    <s v="C002"/>
    <s v="P032"/>
    <s v="S002"/>
    <n v="3"/>
    <n v="0"/>
    <x v="3"/>
    <s v="Michael Miller"/>
    <x v="44"/>
    <x v="2"/>
    <x v="2"/>
    <n v="304.70999999999998"/>
    <n v="914.12999999999988"/>
  </r>
  <r>
    <s v="T03542"/>
    <d v="2025-04-11T00:00:00"/>
    <s v="C029"/>
    <s v="P014"/>
    <s v="S004"/>
    <n v="5"/>
    <n v="0.15"/>
    <x v="2"/>
    <s v="Tyler Levine"/>
    <x v="0"/>
    <x v="0"/>
    <x v="1"/>
    <n v="1342.75"/>
    <n v="5706.6875"/>
  </r>
  <r>
    <s v="T03543"/>
    <d v="2023-09-20T00:00:00"/>
    <s v="C013"/>
    <s v="P015"/>
    <s v="S002"/>
    <n v="5"/>
    <n v="0.1"/>
    <x v="2"/>
    <s v="Robert Anderson"/>
    <x v="40"/>
    <x v="0"/>
    <x v="2"/>
    <n v="270.45"/>
    <n v="1217.0250000000001"/>
  </r>
  <r>
    <s v="T03544"/>
    <d v="2023-12-22T00:00:00"/>
    <s v="C069"/>
    <s v="P037"/>
    <s v="S001"/>
    <n v="1"/>
    <n v="0.1"/>
    <x v="2"/>
    <s v="Gabriel Daugherty"/>
    <x v="27"/>
    <x v="1"/>
    <x v="3"/>
    <n v="1952.65"/>
    <n v="1757.3850000000002"/>
  </r>
  <r>
    <s v="T03545"/>
    <d v="2025-06-13T00:00:00"/>
    <s v="C101"/>
    <s v="P024"/>
    <s v="S003"/>
    <n v="1"/>
    <n v="0.1"/>
    <x v="0"/>
    <s v="William Pope"/>
    <x v="14"/>
    <x v="1"/>
    <x v="0"/>
    <n v="1487.41"/>
    <n v="1338.6690000000001"/>
  </r>
  <r>
    <s v="T03546"/>
    <d v="2023-10-17T00:00:00"/>
    <s v="C117"/>
    <s v="P015"/>
    <s v="S001"/>
    <n v="3"/>
    <n v="0.1"/>
    <x v="2"/>
    <s v="Timothy Beck"/>
    <x v="40"/>
    <x v="0"/>
    <x v="3"/>
    <n v="270.45"/>
    <n v="730.21499999999992"/>
  </r>
  <r>
    <s v="T03547"/>
    <d v="2024-06-25T00:00:00"/>
    <s v="C028"/>
    <s v="P025"/>
    <s v="S002"/>
    <n v="2"/>
    <n v="0.1"/>
    <x v="2"/>
    <s v="John Carr"/>
    <x v="33"/>
    <x v="0"/>
    <x v="2"/>
    <n v="429.15"/>
    <n v="772.47"/>
  </r>
  <r>
    <s v="T03548"/>
    <d v="2024-12-06T00:00:00"/>
    <s v="C108"/>
    <s v="P021"/>
    <s v="S004"/>
    <n v="5"/>
    <n v="0"/>
    <x v="2"/>
    <s v="Samantha Hill"/>
    <x v="23"/>
    <x v="2"/>
    <x v="1"/>
    <n v="1227.24"/>
    <n v="6136.2"/>
  </r>
  <r>
    <s v="T03549"/>
    <d v="2024-09-30T00:00:00"/>
    <s v="C110"/>
    <s v="P002"/>
    <s v="S004"/>
    <n v="3"/>
    <n v="0"/>
    <x v="3"/>
    <s v="Travis Peters"/>
    <x v="2"/>
    <x v="1"/>
    <x v="1"/>
    <n v="818.76"/>
    <n v="2456.2799999999997"/>
  </r>
  <r>
    <s v="T03550"/>
    <d v="2025-01-05T00:00:00"/>
    <s v="C159"/>
    <s v="P046"/>
    <s v="S003"/>
    <n v="2"/>
    <n v="0"/>
    <x v="0"/>
    <s v="Thomas Chung"/>
    <x v="42"/>
    <x v="0"/>
    <x v="0"/>
    <n v="1165.3699999999999"/>
    <n v="2330.7399999999998"/>
  </r>
  <r>
    <s v="T03551"/>
    <d v="2025-07-25T00:00:00"/>
    <s v="C198"/>
    <s v="P002"/>
    <s v="S001"/>
    <n v="1"/>
    <n v="0.1"/>
    <x v="2"/>
    <s v="Jessica Mullins"/>
    <x v="2"/>
    <x v="1"/>
    <x v="3"/>
    <n v="818.76"/>
    <n v="736.88400000000001"/>
  </r>
  <r>
    <s v="T03552"/>
    <d v="2025-08-18T00:00:00"/>
    <s v="C117"/>
    <s v="P037"/>
    <s v="S004"/>
    <n v="5"/>
    <n v="0"/>
    <x v="1"/>
    <s v="Timothy Beck"/>
    <x v="27"/>
    <x v="1"/>
    <x v="1"/>
    <n v="1952.65"/>
    <n v="9763.25"/>
  </r>
  <r>
    <s v="T03553"/>
    <d v="2024-02-22T00:00:00"/>
    <s v="C144"/>
    <s v="P027"/>
    <s v="S001"/>
    <n v="5"/>
    <n v="0.05"/>
    <x v="1"/>
    <s v="Betty Johnson"/>
    <x v="34"/>
    <x v="1"/>
    <x v="3"/>
    <n v="1272.23"/>
    <n v="6043.0924999999997"/>
  </r>
  <r>
    <s v="T03554"/>
    <d v="2023-11-18T00:00:00"/>
    <s v="C002"/>
    <s v="P022"/>
    <s v="S003"/>
    <n v="3"/>
    <n v="0.05"/>
    <x v="2"/>
    <s v="Michael Miller"/>
    <x v="9"/>
    <x v="2"/>
    <x v="0"/>
    <n v="25.57"/>
    <n v="72.874499999999998"/>
  </r>
  <r>
    <s v="T03555"/>
    <d v="2024-10-12T00:00:00"/>
    <s v="C132"/>
    <s v="P017"/>
    <s v="S005"/>
    <n v="5"/>
    <n v="0.1"/>
    <x v="1"/>
    <s v="Jared Ochoa"/>
    <x v="43"/>
    <x v="1"/>
    <x v="4"/>
    <n v="1246.1099999999999"/>
    <n v="5607.4949999999999"/>
  </r>
  <r>
    <s v="T03556"/>
    <d v="2025-02-23T00:00:00"/>
    <s v="C042"/>
    <s v="P029"/>
    <s v="S002"/>
    <n v="3"/>
    <n v="0.15"/>
    <x v="1"/>
    <s v="Anna Andrews"/>
    <x v="47"/>
    <x v="0"/>
    <x v="2"/>
    <n v="1485.05"/>
    <n v="3786.8774999999996"/>
  </r>
  <r>
    <s v="T03557"/>
    <d v="2024-02-04T00:00:00"/>
    <s v="C015"/>
    <s v="P013"/>
    <s v="S003"/>
    <n v="5"/>
    <n v="0.15"/>
    <x v="1"/>
    <s v="Matthew Molina"/>
    <x v="21"/>
    <x v="0"/>
    <x v="0"/>
    <n v="1134.8"/>
    <n v="4822.8999999999996"/>
  </r>
  <r>
    <s v="T03558"/>
    <d v="2024-06-12T00:00:00"/>
    <s v="C138"/>
    <s v="P027"/>
    <s v="S004"/>
    <n v="3"/>
    <n v="0.1"/>
    <x v="2"/>
    <s v="Breanna Moore"/>
    <x v="34"/>
    <x v="1"/>
    <x v="1"/>
    <n v="1272.23"/>
    <n v="3435.0210000000002"/>
  </r>
  <r>
    <s v="T03559"/>
    <d v="2024-05-13T00:00:00"/>
    <s v="C036"/>
    <s v="P003"/>
    <s v="S004"/>
    <n v="3"/>
    <n v="0.1"/>
    <x v="0"/>
    <s v="Michael Cervantes"/>
    <x v="46"/>
    <x v="0"/>
    <x v="1"/>
    <n v="337.63"/>
    <n v="911.601"/>
  </r>
  <r>
    <s v="T03560"/>
    <d v="2024-01-29T00:00:00"/>
    <s v="C139"/>
    <s v="P013"/>
    <s v="S003"/>
    <n v="5"/>
    <n v="0.15"/>
    <x v="0"/>
    <s v="Alexander Mcfarland"/>
    <x v="21"/>
    <x v="0"/>
    <x v="0"/>
    <n v="1134.8"/>
    <n v="4822.8999999999996"/>
  </r>
  <r>
    <s v="T03561"/>
    <d v="2024-08-10T00:00:00"/>
    <s v="C082"/>
    <s v="P030"/>
    <s v="S005"/>
    <n v="3"/>
    <n v="0.05"/>
    <x v="2"/>
    <s v="Amy Haley"/>
    <x v="1"/>
    <x v="0"/>
    <x v="4"/>
    <n v="29.24"/>
    <n v="83.333999999999989"/>
  </r>
  <r>
    <s v="T03562"/>
    <d v="2025-08-27T00:00:00"/>
    <s v="C078"/>
    <s v="P031"/>
    <s v="S005"/>
    <n v="1"/>
    <n v="0"/>
    <x v="1"/>
    <s v="Jeanne Young"/>
    <x v="39"/>
    <x v="2"/>
    <x v="4"/>
    <n v="1095.72"/>
    <n v="1095.72"/>
  </r>
  <r>
    <s v="T03563"/>
    <d v="2023-11-22T00:00:00"/>
    <s v="C086"/>
    <s v="P038"/>
    <s v="S001"/>
    <n v="2"/>
    <n v="0"/>
    <x v="3"/>
    <s v="Lawrence Hunter"/>
    <x v="41"/>
    <x v="0"/>
    <x v="3"/>
    <n v="366.93"/>
    <n v="733.86"/>
  </r>
  <r>
    <s v="T03564"/>
    <d v="2025-04-18T00:00:00"/>
    <s v="C011"/>
    <s v="P031"/>
    <s v="S002"/>
    <n v="3"/>
    <n v="0.1"/>
    <x v="2"/>
    <s v="Haley Williams"/>
    <x v="39"/>
    <x v="2"/>
    <x v="2"/>
    <n v="1095.72"/>
    <n v="2958.444"/>
  </r>
  <r>
    <s v="T03565"/>
    <d v="2025-01-05T00:00:00"/>
    <s v="C151"/>
    <s v="P032"/>
    <s v="S002"/>
    <n v="1"/>
    <n v="0.05"/>
    <x v="2"/>
    <s v="Dawn Fletcher"/>
    <x v="44"/>
    <x v="2"/>
    <x v="2"/>
    <n v="304.70999999999998"/>
    <n v="289.47449999999998"/>
  </r>
  <r>
    <s v="T03566"/>
    <d v="2025-01-18T00:00:00"/>
    <s v="C165"/>
    <s v="P007"/>
    <s v="S001"/>
    <n v="3"/>
    <n v="0.1"/>
    <x v="3"/>
    <s v="Tanya Mueller"/>
    <x v="18"/>
    <x v="1"/>
    <x v="3"/>
    <n v="1474.12"/>
    <n v="3980.1239999999998"/>
  </r>
  <r>
    <s v="T03567"/>
    <d v="2024-12-02T00:00:00"/>
    <s v="C054"/>
    <s v="P034"/>
    <s v="S001"/>
    <n v="3"/>
    <n v="0.1"/>
    <x v="1"/>
    <s v="Crystal Johnson"/>
    <x v="12"/>
    <x v="1"/>
    <x v="3"/>
    <n v="428.05"/>
    <n v="1155.7350000000001"/>
  </r>
  <r>
    <s v="T03568"/>
    <d v="2025-05-19T00:00:00"/>
    <s v="C009"/>
    <s v="P015"/>
    <s v="S005"/>
    <n v="2"/>
    <n v="0.15"/>
    <x v="2"/>
    <s v="Richard Pacheco"/>
    <x v="40"/>
    <x v="0"/>
    <x v="4"/>
    <n v="270.45"/>
    <n v="459.76499999999999"/>
  </r>
  <r>
    <s v="T03569"/>
    <d v="2025-08-07T00:00:00"/>
    <s v="C175"/>
    <s v="P018"/>
    <s v="S001"/>
    <n v="3"/>
    <n v="0.1"/>
    <x v="0"/>
    <s v="Stacey Thompson"/>
    <x v="19"/>
    <x v="1"/>
    <x v="3"/>
    <n v="1079.8900000000001"/>
    <n v="2915.703"/>
  </r>
  <r>
    <s v="T03570"/>
    <d v="2024-08-30T00:00:00"/>
    <s v="C134"/>
    <s v="P002"/>
    <s v="S005"/>
    <n v="5"/>
    <n v="0.15"/>
    <x v="1"/>
    <s v="Emily Hart"/>
    <x v="2"/>
    <x v="1"/>
    <x v="4"/>
    <n v="818.76"/>
    <n v="3479.73"/>
  </r>
  <r>
    <s v="T03571"/>
    <d v="2025-01-01T00:00:00"/>
    <s v="C151"/>
    <s v="P040"/>
    <s v="S005"/>
    <n v="4"/>
    <n v="0.05"/>
    <x v="1"/>
    <s v="Dawn Fletcher"/>
    <x v="37"/>
    <x v="1"/>
    <x v="4"/>
    <n v="1745.61"/>
    <n v="6633.3179999999993"/>
  </r>
  <r>
    <s v="T03572"/>
    <d v="2025-07-23T00:00:00"/>
    <s v="C177"/>
    <s v="P021"/>
    <s v="S002"/>
    <n v="4"/>
    <n v="0.15"/>
    <x v="1"/>
    <s v="Anthony Gould"/>
    <x v="23"/>
    <x v="2"/>
    <x v="2"/>
    <n v="1227.24"/>
    <n v="4172.616"/>
  </r>
  <r>
    <s v="T03573"/>
    <d v="2024-09-02T00:00:00"/>
    <s v="C185"/>
    <s v="P011"/>
    <s v="S003"/>
    <n v="4"/>
    <n v="0.05"/>
    <x v="3"/>
    <s v="Joe Vincent"/>
    <x v="17"/>
    <x v="1"/>
    <x v="0"/>
    <n v="248.57"/>
    <n v="944.56599999999992"/>
  </r>
  <r>
    <s v="T03574"/>
    <d v="2024-12-10T00:00:00"/>
    <s v="C034"/>
    <s v="P048"/>
    <s v="S003"/>
    <n v="5"/>
    <n v="0.05"/>
    <x v="0"/>
    <s v="Kari Miller"/>
    <x v="11"/>
    <x v="0"/>
    <x v="0"/>
    <n v="1216.3599999999999"/>
    <n v="5777.7099999999991"/>
  </r>
  <r>
    <s v="T03575"/>
    <d v="2025-03-21T00:00:00"/>
    <s v="C074"/>
    <s v="P002"/>
    <s v="S002"/>
    <n v="1"/>
    <n v="0.05"/>
    <x v="2"/>
    <s v="Jesus Singh"/>
    <x v="2"/>
    <x v="1"/>
    <x v="2"/>
    <n v="818.76"/>
    <n v="777.822"/>
  </r>
  <r>
    <s v="T03576"/>
    <d v="2024-06-01T00:00:00"/>
    <s v="C182"/>
    <s v="P023"/>
    <s v="S005"/>
    <n v="1"/>
    <n v="0.05"/>
    <x v="2"/>
    <s v="Meghan Wright"/>
    <x v="20"/>
    <x v="0"/>
    <x v="4"/>
    <n v="1878.47"/>
    <n v="1784.5464999999999"/>
  </r>
  <r>
    <s v="T03577"/>
    <d v="2024-01-26T00:00:00"/>
    <s v="C017"/>
    <s v="P028"/>
    <s v="S002"/>
    <n v="2"/>
    <n v="0.05"/>
    <x v="3"/>
    <s v="Vanessa Anderson"/>
    <x v="25"/>
    <x v="1"/>
    <x v="2"/>
    <n v="673.78"/>
    <n v="1280.1819999999998"/>
  </r>
  <r>
    <s v="T03578"/>
    <d v="2024-02-22T00:00:00"/>
    <s v="C161"/>
    <s v="P041"/>
    <s v="S003"/>
    <n v="5"/>
    <n v="0"/>
    <x v="3"/>
    <s v="Michael Perez"/>
    <x v="30"/>
    <x v="1"/>
    <x v="0"/>
    <n v="1635.01"/>
    <n v="8175.05"/>
  </r>
  <r>
    <s v="T03579"/>
    <d v="2023-09-22T00:00:00"/>
    <s v="C097"/>
    <s v="P034"/>
    <s v="S001"/>
    <n v="1"/>
    <n v="0.05"/>
    <x v="1"/>
    <s v="Evelyn Gray"/>
    <x v="12"/>
    <x v="1"/>
    <x v="3"/>
    <n v="428.05"/>
    <n v="406.64749999999998"/>
  </r>
  <r>
    <s v="T03580"/>
    <d v="2024-08-08T00:00:00"/>
    <s v="C068"/>
    <s v="P012"/>
    <s v="S004"/>
    <n v="2"/>
    <n v="0.05"/>
    <x v="1"/>
    <s v="Alexandra Montoya"/>
    <x v="38"/>
    <x v="1"/>
    <x v="1"/>
    <n v="1193.0899999999999"/>
    <n v="2266.8709999999996"/>
  </r>
  <r>
    <s v="T03581"/>
    <d v="2024-03-27T00:00:00"/>
    <s v="C089"/>
    <s v="P048"/>
    <s v="S001"/>
    <n v="5"/>
    <n v="0.05"/>
    <x v="1"/>
    <s v="William Warner"/>
    <x v="11"/>
    <x v="0"/>
    <x v="3"/>
    <n v="1216.3599999999999"/>
    <n v="5777.7099999999991"/>
  </r>
  <r>
    <s v="T03582"/>
    <d v="2024-08-22T00:00:00"/>
    <s v="C104"/>
    <s v="P012"/>
    <s v="S005"/>
    <n v="1"/>
    <n v="0.15"/>
    <x v="2"/>
    <s v="Brenda Dean"/>
    <x v="38"/>
    <x v="1"/>
    <x v="4"/>
    <n v="1193.0899999999999"/>
    <n v="1014.1264999999999"/>
  </r>
  <r>
    <s v="T03583"/>
    <d v="2024-01-11T00:00:00"/>
    <s v="C047"/>
    <s v="P010"/>
    <s v="S003"/>
    <n v="4"/>
    <n v="0.15"/>
    <x v="0"/>
    <s v="Mary Decker"/>
    <x v="36"/>
    <x v="1"/>
    <x v="0"/>
    <n v="1194.1199999999999"/>
    <n v="4060.0079999999994"/>
  </r>
  <r>
    <s v="T03584"/>
    <d v="2024-02-19T00:00:00"/>
    <s v="C067"/>
    <s v="P022"/>
    <s v="S003"/>
    <n v="5"/>
    <n v="0.1"/>
    <x v="1"/>
    <s v="Daniel Maldonado"/>
    <x v="9"/>
    <x v="2"/>
    <x v="0"/>
    <n v="25.57"/>
    <n v="115.065"/>
  </r>
  <r>
    <s v="T03585"/>
    <d v="2024-07-28T00:00:00"/>
    <s v="C035"/>
    <s v="P007"/>
    <s v="S004"/>
    <n v="2"/>
    <n v="0"/>
    <x v="0"/>
    <s v="Kimberly King"/>
    <x v="18"/>
    <x v="1"/>
    <x v="1"/>
    <n v="1474.12"/>
    <n v="2948.24"/>
  </r>
  <r>
    <s v="T03586"/>
    <d v="2025-01-05T00:00:00"/>
    <s v="C037"/>
    <s v="P009"/>
    <s v="S005"/>
    <n v="1"/>
    <n v="0.15"/>
    <x v="1"/>
    <s v="Miranda Nelson"/>
    <x v="5"/>
    <x v="2"/>
    <x v="4"/>
    <n v="123.19"/>
    <n v="104.7115"/>
  </r>
  <r>
    <s v="T03587"/>
    <d v="2024-06-25T00:00:00"/>
    <s v="C169"/>
    <s v="P022"/>
    <s v="S005"/>
    <n v="2"/>
    <n v="0"/>
    <x v="1"/>
    <s v="Travis Watson"/>
    <x v="9"/>
    <x v="2"/>
    <x v="4"/>
    <n v="25.57"/>
    <n v="51.14"/>
  </r>
  <r>
    <s v="T03588"/>
    <d v="2024-05-03T00:00:00"/>
    <s v="C014"/>
    <s v="P020"/>
    <s v="S005"/>
    <n v="2"/>
    <n v="0.15"/>
    <x v="3"/>
    <s v="Brittany Green"/>
    <x v="24"/>
    <x v="0"/>
    <x v="4"/>
    <n v="323.92"/>
    <n v="550.66399999999999"/>
  </r>
  <r>
    <s v="T03589"/>
    <d v="2023-10-11T00:00:00"/>
    <s v="C166"/>
    <s v="P011"/>
    <s v="S004"/>
    <n v="2"/>
    <n v="0"/>
    <x v="1"/>
    <s v="Meagan Ali"/>
    <x v="17"/>
    <x v="1"/>
    <x v="1"/>
    <n v="248.57"/>
    <n v="497.14"/>
  </r>
  <r>
    <s v="T03590"/>
    <d v="2023-09-20T00:00:00"/>
    <s v="C176"/>
    <s v="P016"/>
    <s v="S002"/>
    <n v="2"/>
    <n v="0.15"/>
    <x v="2"/>
    <s v="Peter Garcia"/>
    <x v="13"/>
    <x v="0"/>
    <x v="2"/>
    <n v="1858.75"/>
    <n v="3159.875"/>
  </r>
  <r>
    <s v="T03591"/>
    <d v="2025-02-07T00:00:00"/>
    <s v="C145"/>
    <s v="P013"/>
    <s v="S005"/>
    <n v="2"/>
    <n v="0"/>
    <x v="0"/>
    <s v="Paige Osborne"/>
    <x v="21"/>
    <x v="0"/>
    <x v="4"/>
    <n v="1134.8"/>
    <n v="2269.6"/>
  </r>
  <r>
    <s v="T03592"/>
    <d v="2025-04-01T00:00:00"/>
    <s v="C047"/>
    <s v="P023"/>
    <s v="S002"/>
    <n v="2"/>
    <n v="0.05"/>
    <x v="1"/>
    <s v="Mary Decker"/>
    <x v="20"/>
    <x v="0"/>
    <x v="2"/>
    <n v="1878.47"/>
    <n v="3569.0929999999998"/>
  </r>
  <r>
    <s v="T03593"/>
    <d v="2024-11-15T00:00:00"/>
    <s v="C044"/>
    <s v="P048"/>
    <s v="S001"/>
    <n v="4"/>
    <n v="0.1"/>
    <x v="3"/>
    <s v="Parker Sparks"/>
    <x v="11"/>
    <x v="0"/>
    <x v="3"/>
    <n v="1216.3599999999999"/>
    <n v="4378.8959999999997"/>
  </r>
  <r>
    <s v="T03594"/>
    <d v="2025-06-29T00:00:00"/>
    <s v="C164"/>
    <s v="P019"/>
    <s v="S003"/>
    <n v="2"/>
    <n v="0.05"/>
    <x v="2"/>
    <s v="Linda Vasquez"/>
    <x v="26"/>
    <x v="1"/>
    <x v="0"/>
    <n v="1762.92"/>
    <n v="3349.5479999999998"/>
  </r>
  <r>
    <s v="T03595"/>
    <d v="2025-04-25T00:00:00"/>
    <s v="C043"/>
    <s v="P024"/>
    <s v="S003"/>
    <n v="3"/>
    <n v="0.05"/>
    <x v="2"/>
    <s v="Kenneth Allen"/>
    <x v="14"/>
    <x v="1"/>
    <x v="0"/>
    <n v="1487.41"/>
    <n v="4239.1185000000005"/>
  </r>
  <r>
    <s v="T03596"/>
    <d v="2025-08-18T00:00:00"/>
    <s v="C082"/>
    <s v="P039"/>
    <s v="S005"/>
    <n v="3"/>
    <n v="0.1"/>
    <x v="1"/>
    <s v="Amy Haley"/>
    <x v="22"/>
    <x v="0"/>
    <x v="4"/>
    <n v="540.94000000000005"/>
    <n v="1460.5380000000002"/>
  </r>
  <r>
    <s v="T03597"/>
    <d v="2024-02-03T00:00:00"/>
    <s v="C032"/>
    <s v="P033"/>
    <s v="S004"/>
    <n v="4"/>
    <n v="0.15"/>
    <x v="2"/>
    <s v="Valerie Macdonald"/>
    <x v="16"/>
    <x v="0"/>
    <x v="1"/>
    <n v="1798.97"/>
    <n v="6116.4979999999996"/>
  </r>
  <r>
    <s v="T03598"/>
    <d v="2024-09-12T00:00:00"/>
    <s v="C042"/>
    <s v="P045"/>
    <s v="S004"/>
    <n v="3"/>
    <n v="0.05"/>
    <x v="3"/>
    <s v="Anna Andrews"/>
    <x v="8"/>
    <x v="2"/>
    <x v="1"/>
    <n v="1879.08"/>
    <n v="5355.3779999999997"/>
  </r>
  <r>
    <s v="T03599"/>
    <d v="2025-04-09T00:00:00"/>
    <s v="C147"/>
    <s v="P006"/>
    <s v="S003"/>
    <n v="3"/>
    <n v="0.1"/>
    <x v="1"/>
    <s v="Crystal Garrison"/>
    <x v="35"/>
    <x v="2"/>
    <x v="0"/>
    <n v="318.05"/>
    <n v="858.73500000000013"/>
  </r>
  <r>
    <s v="T03600"/>
    <d v="2024-03-12T00:00:00"/>
    <s v="C157"/>
    <s v="P002"/>
    <s v="S001"/>
    <n v="2"/>
    <n v="0.15"/>
    <x v="1"/>
    <s v="Connie Terry"/>
    <x v="2"/>
    <x v="1"/>
    <x v="3"/>
    <n v="818.76"/>
    <n v="1391.8920000000001"/>
  </r>
  <r>
    <s v="T03601"/>
    <d v="2024-06-10T00:00:00"/>
    <s v="C001"/>
    <s v="P029"/>
    <s v="S002"/>
    <n v="5"/>
    <n v="0.05"/>
    <x v="1"/>
    <s v="Michael Davis"/>
    <x v="47"/>
    <x v="0"/>
    <x v="2"/>
    <n v="1485.05"/>
    <n v="7053.9874999999993"/>
  </r>
  <r>
    <s v="T03602"/>
    <d v="2025-02-23T00:00:00"/>
    <s v="C018"/>
    <s v="P006"/>
    <s v="S002"/>
    <n v="1"/>
    <n v="0.1"/>
    <x v="2"/>
    <s v="Breanna Davis"/>
    <x v="35"/>
    <x v="2"/>
    <x v="2"/>
    <n v="318.05"/>
    <n v="286.245"/>
  </r>
  <r>
    <s v="T03603"/>
    <d v="2024-07-07T00:00:00"/>
    <s v="C171"/>
    <s v="P022"/>
    <s v="S005"/>
    <n v="4"/>
    <n v="0.15"/>
    <x v="3"/>
    <s v="Christina Dominguez"/>
    <x v="9"/>
    <x v="2"/>
    <x v="4"/>
    <n v="25.57"/>
    <n v="86.938000000000002"/>
  </r>
  <r>
    <s v="T03604"/>
    <d v="2025-05-11T00:00:00"/>
    <s v="C055"/>
    <s v="P034"/>
    <s v="S004"/>
    <n v="3"/>
    <n v="0.05"/>
    <x v="2"/>
    <s v="Deborah Moody"/>
    <x v="12"/>
    <x v="1"/>
    <x v="1"/>
    <n v="428.05"/>
    <n v="1219.9425000000001"/>
  </r>
  <r>
    <s v="T03605"/>
    <d v="2025-06-15T00:00:00"/>
    <s v="C034"/>
    <s v="P021"/>
    <s v="S002"/>
    <n v="1"/>
    <n v="0"/>
    <x v="2"/>
    <s v="Kari Miller"/>
    <x v="23"/>
    <x v="2"/>
    <x v="2"/>
    <n v="1227.24"/>
    <n v="1227.24"/>
  </r>
  <r>
    <s v="T03606"/>
    <d v="2025-02-10T00:00:00"/>
    <s v="C094"/>
    <s v="P024"/>
    <s v="S004"/>
    <n v="1"/>
    <n v="0.05"/>
    <x v="2"/>
    <s v="Kimberly Stokes"/>
    <x v="14"/>
    <x v="1"/>
    <x v="1"/>
    <n v="1487.41"/>
    <n v="1413.0395000000001"/>
  </r>
  <r>
    <s v="T03607"/>
    <d v="2025-04-03T00:00:00"/>
    <s v="C010"/>
    <s v="P047"/>
    <s v="S001"/>
    <n v="3"/>
    <n v="0.15"/>
    <x v="1"/>
    <s v="Catherine Rice"/>
    <x v="28"/>
    <x v="1"/>
    <x v="3"/>
    <n v="1197.18"/>
    <n v="3052.8089999999997"/>
  </r>
  <r>
    <s v="T03608"/>
    <d v="2025-04-24T00:00:00"/>
    <s v="C133"/>
    <s v="P031"/>
    <s v="S005"/>
    <n v="5"/>
    <n v="0.15"/>
    <x v="0"/>
    <s v="Yvette Roth"/>
    <x v="39"/>
    <x v="2"/>
    <x v="4"/>
    <n v="1095.72"/>
    <n v="4656.8100000000004"/>
  </r>
  <r>
    <s v="T03609"/>
    <d v="2023-11-29T00:00:00"/>
    <s v="C176"/>
    <s v="P014"/>
    <s v="S002"/>
    <n v="3"/>
    <n v="0.1"/>
    <x v="2"/>
    <s v="Peter Garcia"/>
    <x v="0"/>
    <x v="0"/>
    <x v="2"/>
    <n v="1342.75"/>
    <n v="3625.4250000000002"/>
  </r>
  <r>
    <s v="T03610"/>
    <d v="2023-12-05T00:00:00"/>
    <s v="C061"/>
    <s v="P011"/>
    <s v="S005"/>
    <n v="4"/>
    <n v="0"/>
    <x v="3"/>
    <s v="Heather Russell"/>
    <x v="17"/>
    <x v="1"/>
    <x v="4"/>
    <n v="248.57"/>
    <n v="994.28"/>
  </r>
  <r>
    <s v="T03611"/>
    <d v="2024-04-11T00:00:00"/>
    <s v="C052"/>
    <s v="P035"/>
    <s v="S001"/>
    <n v="3"/>
    <n v="0.1"/>
    <x v="2"/>
    <s v="Billy Hernandez"/>
    <x v="7"/>
    <x v="1"/>
    <x v="3"/>
    <n v="1562.43"/>
    <n v="4218.5609999999997"/>
  </r>
  <r>
    <s v="T03612"/>
    <d v="2024-11-21T00:00:00"/>
    <s v="C100"/>
    <s v="P014"/>
    <s v="S001"/>
    <n v="5"/>
    <n v="0.1"/>
    <x v="3"/>
    <s v="Sean Hart"/>
    <x v="0"/>
    <x v="0"/>
    <x v="3"/>
    <n v="1342.75"/>
    <n v="6042.375"/>
  </r>
  <r>
    <s v="T03613"/>
    <d v="2023-11-09T00:00:00"/>
    <s v="C118"/>
    <s v="P012"/>
    <s v="S001"/>
    <n v="3"/>
    <n v="0.05"/>
    <x v="2"/>
    <s v="Gina Bradford"/>
    <x v="38"/>
    <x v="1"/>
    <x v="3"/>
    <n v="1193.0899999999999"/>
    <n v="3400.3064999999992"/>
  </r>
  <r>
    <s v="T03614"/>
    <d v="2025-08-12T00:00:00"/>
    <s v="C187"/>
    <s v="P020"/>
    <s v="S005"/>
    <n v="1"/>
    <n v="0"/>
    <x v="2"/>
    <s v="Cynthia Cherry"/>
    <x v="24"/>
    <x v="0"/>
    <x v="4"/>
    <n v="323.92"/>
    <n v="323.92"/>
  </r>
  <r>
    <s v="T03615"/>
    <d v="2023-10-01T00:00:00"/>
    <s v="C165"/>
    <s v="P026"/>
    <s v="S005"/>
    <n v="2"/>
    <n v="0.1"/>
    <x v="3"/>
    <s v="Tanya Mueller"/>
    <x v="15"/>
    <x v="2"/>
    <x v="4"/>
    <n v="1015.76"/>
    <n v="1828.3679999999999"/>
  </r>
  <r>
    <s v="T03616"/>
    <d v="2024-10-05T00:00:00"/>
    <s v="C024"/>
    <s v="P041"/>
    <s v="S003"/>
    <n v="2"/>
    <n v="0.15"/>
    <x v="0"/>
    <s v="Molly Murray"/>
    <x v="30"/>
    <x v="1"/>
    <x v="0"/>
    <n v="1635.01"/>
    <n v="2779.5169999999998"/>
  </r>
  <r>
    <s v="T03617"/>
    <d v="2024-10-02T00:00:00"/>
    <s v="C168"/>
    <s v="P048"/>
    <s v="S005"/>
    <n v="2"/>
    <n v="0"/>
    <x v="2"/>
    <s v="Richard Jones"/>
    <x v="11"/>
    <x v="0"/>
    <x v="4"/>
    <n v="1216.3599999999999"/>
    <n v="2432.7199999999998"/>
  </r>
  <r>
    <s v="T03618"/>
    <d v="2024-04-29T00:00:00"/>
    <s v="C002"/>
    <s v="P016"/>
    <s v="S005"/>
    <n v="4"/>
    <n v="0.15"/>
    <x v="3"/>
    <s v="Michael Miller"/>
    <x v="13"/>
    <x v="0"/>
    <x v="4"/>
    <n v="1858.75"/>
    <n v="6319.75"/>
  </r>
  <r>
    <s v="T03619"/>
    <d v="2024-06-10T00:00:00"/>
    <s v="C054"/>
    <s v="P001"/>
    <s v="S005"/>
    <n v="4"/>
    <n v="0"/>
    <x v="3"/>
    <s v="Crystal Johnson"/>
    <x v="31"/>
    <x v="1"/>
    <x v="4"/>
    <n v="1673.69"/>
    <n v="6694.76"/>
  </r>
  <r>
    <s v="T03620"/>
    <d v="2024-02-09T00:00:00"/>
    <s v="C038"/>
    <s v="P044"/>
    <s v="S004"/>
    <n v="1"/>
    <n v="0.05"/>
    <x v="2"/>
    <s v="Tracey Davis"/>
    <x v="32"/>
    <x v="0"/>
    <x v="1"/>
    <n v="1286.55"/>
    <n v="1222.2224999999999"/>
  </r>
  <r>
    <s v="T03621"/>
    <d v="2024-08-29T00:00:00"/>
    <s v="C030"/>
    <s v="P008"/>
    <s v="S002"/>
    <n v="2"/>
    <n v="0"/>
    <x v="1"/>
    <s v="Lacey Hall"/>
    <x v="48"/>
    <x v="0"/>
    <x v="2"/>
    <n v="109.78"/>
    <n v="219.56"/>
  </r>
  <r>
    <s v="T03622"/>
    <d v="2024-11-03T00:00:00"/>
    <s v="C105"/>
    <s v="P049"/>
    <s v="S004"/>
    <n v="2"/>
    <n v="0"/>
    <x v="3"/>
    <s v="Kenneth Berg"/>
    <x v="29"/>
    <x v="0"/>
    <x v="1"/>
    <n v="388.26"/>
    <n v="776.52"/>
  </r>
  <r>
    <s v="T03623"/>
    <d v="2025-05-13T00:00:00"/>
    <s v="C156"/>
    <s v="P020"/>
    <s v="S001"/>
    <n v="1"/>
    <n v="0"/>
    <x v="1"/>
    <s v="George Young"/>
    <x v="24"/>
    <x v="0"/>
    <x v="3"/>
    <n v="323.92"/>
    <n v="323.92"/>
  </r>
  <r>
    <s v="T03624"/>
    <d v="2024-05-26T00:00:00"/>
    <s v="C104"/>
    <s v="P026"/>
    <s v="S001"/>
    <n v="2"/>
    <n v="0.05"/>
    <x v="3"/>
    <s v="Brenda Dean"/>
    <x v="15"/>
    <x v="2"/>
    <x v="3"/>
    <n v="1015.76"/>
    <n v="1929.944"/>
  </r>
  <r>
    <s v="T03625"/>
    <d v="2024-05-26T00:00:00"/>
    <s v="C031"/>
    <s v="P015"/>
    <s v="S005"/>
    <n v="1"/>
    <n v="0.15"/>
    <x v="2"/>
    <s v="Ashley Gibson"/>
    <x v="40"/>
    <x v="0"/>
    <x v="4"/>
    <n v="270.45"/>
    <n v="229.88249999999999"/>
  </r>
  <r>
    <s v="T03626"/>
    <d v="2024-06-13T00:00:00"/>
    <s v="C186"/>
    <s v="P001"/>
    <s v="S003"/>
    <n v="5"/>
    <n v="0.15"/>
    <x v="2"/>
    <s v="Vicki Guzman"/>
    <x v="31"/>
    <x v="1"/>
    <x v="0"/>
    <n v="1673.69"/>
    <n v="7113.1825000000008"/>
  </r>
  <r>
    <s v="T03627"/>
    <d v="2025-07-27T00:00:00"/>
    <s v="C051"/>
    <s v="P023"/>
    <s v="S005"/>
    <n v="2"/>
    <n v="0"/>
    <x v="0"/>
    <s v="Madison Sellers"/>
    <x v="20"/>
    <x v="0"/>
    <x v="4"/>
    <n v="1878.47"/>
    <n v="3756.94"/>
  </r>
  <r>
    <s v="T03628"/>
    <d v="2024-09-19T00:00:00"/>
    <s v="C147"/>
    <s v="P007"/>
    <s v="S002"/>
    <n v="4"/>
    <n v="0.15"/>
    <x v="0"/>
    <s v="Crystal Garrison"/>
    <x v="18"/>
    <x v="1"/>
    <x v="2"/>
    <n v="1474.12"/>
    <n v="5012.0079999999998"/>
  </r>
  <r>
    <s v="T03629"/>
    <d v="2024-03-07T00:00:00"/>
    <s v="C054"/>
    <s v="P047"/>
    <s v="S005"/>
    <n v="1"/>
    <n v="0.05"/>
    <x v="1"/>
    <s v="Crystal Johnson"/>
    <x v="28"/>
    <x v="1"/>
    <x v="4"/>
    <n v="1197.18"/>
    <n v="1137.3209999999999"/>
  </r>
  <r>
    <s v="T03630"/>
    <d v="2024-12-25T00:00:00"/>
    <s v="C167"/>
    <s v="P017"/>
    <s v="S003"/>
    <n v="5"/>
    <n v="0"/>
    <x v="2"/>
    <s v="Kimberly Lin"/>
    <x v="43"/>
    <x v="1"/>
    <x v="0"/>
    <n v="1246.1099999999999"/>
    <n v="6230.5499999999993"/>
  </r>
  <r>
    <s v="T03631"/>
    <d v="2024-07-17T00:00:00"/>
    <s v="C196"/>
    <s v="P022"/>
    <s v="S003"/>
    <n v="2"/>
    <n v="0"/>
    <x v="3"/>
    <s v="James Noble"/>
    <x v="9"/>
    <x v="2"/>
    <x v="0"/>
    <n v="25.57"/>
    <n v="51.14"/>
  </r>
  <r>
    <s v="T03632"/>
    <d v="2025-02-21T00:00:00"/>
    <s v="C073"/>
    <s v="P030"/>
    <s v="S001"/>
    <n v="5"/>
    <n v="0.15"/>
    <x v="2"/>
    <s v="Carl Armstrong"/>
    <x v="1"/>
    <x v="0"/>
    <x v="3"/>
    <n v="29.24"/>
    <n v="124.26999999999998"/>
  </r>
  <r>
    <s v="T03633"/>
    <d v="2023-10-28T00:00:00"/>
    <s v="C087"/>
    <s v="P020"/>
    <s v="S001"/>
    <n v="5"/>
    <n v="0.1"/>
    <x v="2"/>
    <s v="Laurie Mason"/>
    <x v="24"/>
    <x v="0"/>
    <x v="3"/>
    <n v="323.92"/>
    <n v="1457.64"/>
  </r>
  <r>
    <s v="T03634"/>
    <d v="2025-06-30T00:00:00"/>
    <s v="C039"/>
    <s v="P018"/>
    <s v="S005"/>
    <n v="3"/>
    <n v="0.15"/>
    <x v="2"/>
    <s v="Nancy Savage"/>
    <x v="19"/>
    <x v="1"/>
    <x v="4"/>
    <n v="1079.8900000000001"/>
    <n v="2753.7195000000002"/>
  </r>
  <r>
    <s v="T03635"/>
    <d v="2024-11-21T00:00:00"/>
    <s v="C005"/>
    <s v="P018"/>
    <s v="S005"/>
    <n v="2"/>
    <n v="0.1"/>
    <x v="0"/>
    <s v="Jamie Salinas"/>
    <x v="19"/>
    <x v="1"/>
    <x v="4"/>
    <n v="1079.8900000000001"/>
    <n v="1943.8020000000001"/>
  </r>
  <r>
    <s v="T03636"/>
    <d v="2025-01-19T00:00:00"/>
    <s v="C185"/>
    <s v="P013"/>
    <s v="S004"/>
    <n v="1"/>
    <n v="0"/>
    <x v="2"/>
    <s v="Joe Vincent"/>
    <x v="21"/>
    <x v="0"/>
    <x v="1"/>
    <n v="1134.8"/>
    <n v="1134.8"/>
  </r>
  <r>
    <s v="T03637"/>
    <d v="2024-07-09T00:00:00"/>
    <s v="C184"/>
    <s v="P004"/>
    <s v="S005"/>
    <n v="5"/>
    <n v="0.1"/>
    <x v="2"/>
    <s v="Daniel Mcintyre"/>
    <x v="49"/>
    <x v="0"/>
    <x v="4"/>
    <n v="1853.77"/>
    <n v="8341.9650000000001"/>
  </r>
  <r>
    <s v="T03638"/>
    <d v="2024-09-17T00:00:00"/>
    <s v="C200"/>
    <s v="P036"/>
    <s v="S005"/>
    <n v="4"/>
    <n v="0"/>
    <x v="3"/>
    <s v="Ronald Haley"/>
    <x v="4"/>
    <x v="0"/>
    <x v="4"/>
    <n v="1501.46"/>
    <n v="6005.84"/>
  </r>
  <r>
    <s v="T03639"/>
    <d v="2025-04-09T00:00:00"/>
    <s v="C059"/>
    <s v="P050"/>
    <s v="S004"/>
    <n v="1"/>
    <n v="0.05"/>
    <x v="0"/>
    <s v="Scott Wyatt"/>
    <x v="3"/>
    <x v="0"/>
    <x v="1"/>
    <n v="1044.6400000000001"/>
    <n v="992.40800000000002"/>
  </r>
  <r>
    <s v="T03640"/>
    <d v="2025-06-10T00:00:00"/>
    <s v="C049"/>
    <s v="P035"/>
    <s v="S004"/>
    <n v="3"/>
    <n v="0.1"/>
    <x v="0"/>
    <s v="Antonio Hamilton"/>
    <x v="7"/>
    <x v="1"/>
    <x v="1"/>
    <n v="1562.43"/>
    <n v="4218.5609999999997"/>
  </r>
  <r>
    <s v="T03641"/>
    <d v="2023-11-18T00:00:00"/>
    <s v="C100"/>
    <s v="P046"/>
    <s v="S003"/>
    <n v="2"/>
    <n v="0.05"/>
    <x v="3"/>
    <s v="Sean Hart"/>
    <x v="42"/>
    <x v="0"/>
    <x v="0"/>
    <n v="1165.3699999999999"/>
    <n v="2214.2029999999995"/>
  </r>
  <r>
    <s v="T03642"/>
    <d v="2024-04-30T00:00:00"/>
    <s v="C067"/>
    <s v="P025"/>
    <s v="S001"/>
    <n v="2"/>
    <n v="0"/>
    <x v="2"/>
    <s v="Daniel Maldonado"/>
    <x v="33"/>
    <x v="0"/>
    <x v="3"/>
    <n v="429.15"/>
    <n v="858.3"/>
  </r>
  <r>
    <s v="T03643"/>
    <d v="2023-12-29T00:00:00"/>
    <s v="C124"/>
    <s v="P013"/>
    <s v="S001"/>
    <n v="4"/>
    <n v="0"/>
    <x v="0"/>
    <s v="Chad Roberts"/>
    <x v="21"/>
    <x v="0"/>
    <x v="3"/>
    <n v="1134.8"/>
    <n v="4539.2"/>
  </r>
  <r>
    <s v="T03644"/>
    <d v="2024-11-22T00:00:00"/>
    <s v="C158"/>
    <s v="P041"/>
    <s v="S002"/>
    <n v="4"/>
    <n v="0.05"/>
    <x v="1"/>
    <s v="Crystal Aguirre"/>
    <x v="30"/>
    <x v="1"/>
    <x v="2"/>
    <n v="1635.01"/>
    <n v="6213.0379999999996"/>
  </r>
  <r>
    <s v="T03645"/>
    <d v="2024-07-17T00:00:00"/>
    <s v="C072"/>
    <s v="P036"/>
    <s v="S001"/>
    <n v="2"/>
    <n v="0"/>
    <x v="1"/>
    <s v="Eric Watkins"/>
    <x v="4"/>
    <x v="0"/>
    <x v="3"/>
    <n v="1501.46"/>
    <n v="3002.92"/>
  </r>
  <r>
    <s v="T03646"/>
    <d v="2024-10-17T00:00:00"/>
    <s v="C185"/>
    <s v="P007"/>
    <s v="S001"/>
    <n v="4"/>
    <n v="0.15"/>
    <x v="3"/>
    <s v="Joe Vincent"/>
    <x v="18"/>
    <x v="1"/>
    <x v="3"/>
    <n v="1474.12"/>
    <n v="5012.0079999999998"/>
  </r>
  <r>
    <s v="T03647"/>
    <d v="2024-03-29T00:00:00"/>
    <s v="C106"/>
    <s v="P014"/>
    <s v="S002"/>
    <n v="2"/>
    <n v="0.05"/>
    <x v="0"/>
    <s v="Kevin Flores"/>
    <x v="0"/>
    <x v="0"/>
    <x v="2"/>
    <n v="1342.75"/>
    <n v="2551.2249999999999"/>
  </r>
  <r>
    <s v="T03648"/>
    <d v="2023-09-21T00:00:00"/>
    <s v="C136"/>
    <s v="P024"/>
    <s v="S001"/>
    <n v="3"/>
    <n v="0.1"/>
    <x v="0"/>
    <s v="Amanda Garcia"/>
    <x v="14"/>
    <x v="1"/>
    <x v="3"/>
    <n v="1487.41"/>
    <n v="4016.0070000000005"/>
  </r>
  <r>
    <s v="T03649"/>
    <d v="2024-02-18T00:00:00"/>
    <s v="C041"/>
    <s v="P003"/>
    <s v="S001"/>
    <n v="2"/>
    <n v="0.1"/>
    <x v="3"/>
    <s v="Melissa Rodgers"/>
    <x v="46"/>
    <x v="0"/>
    <x v="3"/>
    <n v="337.63"/>
    <n v="607.73400000000004"/>
  </r>
  <r>
    <s v="T03650"/>
    <d v="2024-09-22T00:00:00"/>
    <s v="C064"/>
    <s v="P029"/>
    <s v="S001"/>
    <n v="1"/>
    <n v="0"/>
    <x v="0"/>
    <s v="Amanda Hoover"/>
    <x v="47"/>
    <x v="0"/>
    <x v="3"/>
    <n v="1485.05"/>
    <n v="1485.05"/>
  </r>
  <r>
    <s v="T03651"/>
    <d v="2024-01-14T00:00:00"/>
    <s v="C104"/>
    <s v="P034"/>
    <s v="S004"/>
    <n v="5"/>
    <n v="0.15"/>
    <x v="0"/>
    <s v="Brenda Dean"/>
    <x v="12"/>
    <x v="1"/>
    <x v="1"/>
    <n v="428.05"/>
    <n v="1819.2124999999999"/>
  </r>
  <r>
    <s v="T03652"/>
    <d v="2024-05-14T00:00:00"/>
    <s v="C109"/>
    <s v="P008"/>
    <s v="S003"/>
    <n v="5"/>
    <n v="0"/>
    <x v="0"/>
    <s v="Austin Hogan"/>
    <x v="48"/>
    <x v="0"/>
    <x v="0"/>
    <n v="109.78"/>
    <n v="548.9"/>
  </r>
  <r>
    <s v="T03653"/>
    <d v="2024-09-06T00:00:00"/>
    <s v="C114"/>
    <s v="P043"/>
    <s v="S005"/>
    <n v="3"/>
    <n v="0.1"/>
    <x v="0"/>
    <s v="Miranda Rodriguez"/>
    <x v="45"/>
    <x v="0"/>
    <x v="4"/>
    <n v="564.41999999999996"/>
    <n v="1523.9339999999997"/>
  </r>
  <r>
    <s v="T03654"/>
    <d v="2025-01-26T00:00:00"/>
    <s v="C109"/>
    <s v="P008"/>
    <s v="S002"/>
    <n v="2"/>
    <n v="0.1"/>
    <x v="1"/>
    <s v="Austin Hogan"/>
    <x v="48"/>
    <x v="0"/>
    <x v="2"/>
    <n v="109.78"/>
    <n v="197.60400000000001"/>
  </r>
  <r>
    <s v="T03655"/>
    <d v="2025-01-29T00:00:00"/>
    <s v="C028"/>
    <s v="P047"/>
    <s v="S002"/>
    <n v="3"/>
    <n v="0.15"/>
    <x v="1"/>
    <s v="John Carr"/>
    <x v="28"/>
    <x v="1"/>
    <x v="2"/>
    <n v="1197.18"/>
    <n v="3052.8089999999997"/>
  </r>
  <r>
    <s v="T03656"/>
    <d v="2024-09-24T00:00:00"/>
    <s v="C001"/>
    <s v="P026"/>
    <s v="S001"/>
    <n v="1"/>
    <n v="0"/>
    <x v="3"/>
    <s v="Michael Davis"/>
    <x v="15"/>
    <x v="2"/>
    <x v="3"/>
    <n v="1015.76"/>
    <n v="1015.76"/>
  </r>
  <r>
    <s v="T03657"/>
    <d v="2025-08-29T00:00:00"/>
    <s v="C132"/>
    <s v="P046"/>
    <s v="S001"/>
    <n v="1"/>
    <n v="0.05"/>
    <x v="3"/>
    <s v="Jared Ochoa"/>
    <x v="42"/>
    <x v="0"/>
    <x v="3"/>
    <n v="1165.3699999999999"/>
    <n v="1107.1014999999998"/>
  </r>
  <r>
    <s v="T03658"/>
    <d v="2025-07-30T00:00:00"/>
    <s v="C189"/>
    <s v="P039"/>
    <s v="S004"/>
    <n v="5"/>
    <n v="0.05"/>
    <x v="3"/>
    <s v="Steve Flynn"/>
    <x v="22"/>
    <x v="0"/>
    <x v="1"/>
    <n v="540.94000000000005"/>
    <n v="2569.4650000000001"/>
  </r>
  <r>
    <s v="T03659"/>
    <d v="2024-02-04T00:00:00"/>
    <s v="C116"/>
    <s v="P007"/>
    <s v="S004"/>
    <n v="3"/>
    <n v="0"/>
    <x v="1"/>
    <s v="Jamie Webb"/>
    <x v="18"/>
    <x v="1"/>
    <x v="1"/>
    <n v="1474.12"/>
    <n v="4422.3599999999997"/>
  </r>
  <r>
    <s v="T03660"/>
    <d v="2025-05-12T00:00:00"/>
    <s v="C042"/>
    <s v="P042"/>
    <s v="S004"/>
    <n v="5"/>
    <n v="0"/>
    <x v="3"/>
    <s v="Anna Andrews"/>
    <x v="10"/>
    <x v="0"/>
    <x v="1"/>
    <n v="453.62"/>
    <n v="2268.1"/>
  </r>
  <r>
    <s v="T03661"/>
    <d v="2024-07-21T00:00:00"/>
    <s v="C133"/>
    <s v="P042"/>
    <s v="S001"/>
    <n v="3"/>
    <n v="0.15"/>
    <x v="3"/>
    <s v="Yvette Roth"/>
    <x v="10"/>
    <x v="0"/>
    <x v="3"/>
    <n v="453.62"/>
    <n v="1156.731"/>
  </r>
  <r>
    <s v="T03662"/>
    <d v="2024-06-08T00:00:00"/>
    <s v="C038"/>
    <s v="P029"/>
    <s v="S005"/>
    <n v="1"/>
    <n v="0"/>
    <x v="0"/>
    <s v="Tracey Davis"/>
    <x v="47"/>
    <x v="0"/>
    <x v="4"/>
    <n v="1485.05"/>
    <n v="1485.05"/>
  </r>
  <r>
    <s v="T03663"/>
    <d v="2024-06-15T00:00:00"/>
    <s v="C181"/>
    <s v="P050"/>
    <s v="S001"/>
    <n v="4"/>
    <n v="0"/>
    <x v="2"/>
    <s v="Brittany Oneal"/>
    <x v="3"/>
    <x v="0"/>
    <x v="3"/>
    <n v="1044.6400000000001"/>
    <n v="4178.5600000000004"/>
  </r>
  <r>
    <s v="T03664"/>
    <d v="2024-07-31T00:00:00"/>
    <s v="C131"/>
    <s v="P032"/>
    <s v="S001"/>
    <n v="4"/>
    <n v="0.15"/>
    <x v="3"/>
    <s v="Denise Jackson"/>
    <x v="44"/>
    <x v="2"/>
    <x v="3"/>
    <n v="304.70999999999998"/>
    <n v="1036.0139999999999"/>
  </r>
  <r>
    <s v="T03665"/>
    <d v="2025-05-26T00:00:00"/>
    <s v="C064"/>
    <s v="P023"/>
    <s v="S001"/>
    <n v="4"/>
    <n v="0.05"/>
    <x v="0"/>
    <s v="Amanda Hoover"/>
    <x v="20"/>
    <x v="0"/>
    <x v="3"/>
    <n v="1878.47"/>
    <n v="7138.1859999999997"/>
  </r>
  <r>
    <s v="T03666"/>
    <d v="2023-10-05T00:00:00"/>
    <s v="C021"/>
    <s v="P038"/>
    <s v="S001"/>
    <n v="3"/>
    <n v="0.1"/>
    <x v="0"/>
    <s v="Debbie Martin"/>
    <x v="41"/>
    <x v="0"/>
    <x v="3"/>
    <n v="366.93"/>
    <n v="990.71100000000001"/>
  </r>
  <r>
    <s v="T03667"/>
    <d v="2023-10-01T00:00:00"/>
    <s v="C126"/>
    <s v="P042"/>
    <s v="S003"/>
    <n v="2"/>
    <n v="0.15"/>
    <x v="2"/>
    <s v="Monique Johnson"/>
    <x v="10"/>
    <x v="0"/>
    <x v="0"/>
    <n v="453.62"/>
    <n v="771.154"/>
  </r>
  <r>
    <s v="T03668"/>
    <d v="2025-05-18T00:00:00"/>
    <s v="C030"/>
    <s v="P015"/>
    <s v="S002"/>
    <n v="1"/>
    <n v="0"/>
    <x v="1"/>
    <s v="Lacey Hall"/>
    <x v="40"/>
    <x v="0"/>
    <x v="2"/>
    <n v="270.45"/>
    <n v="270.45"/>
  </r>
  <r>
    <s v="T03669"/>
    <d v="2024-02-12T00:00:00"/>
    <s v="C047"/>
    <s v="P046"/>
    <s v="S003"/>
    <n v="5"/>
    <n v="0.1"/>
    <x v="1"/>
    <s v="Mary Decker"/>
    <x v="42"/>
    <x v="0"/>
    <x v="0"/>
    <n v="1165.3699999999999"/>
    <n v="5244.165"/>
  </r>
  <r>
    <s v="T03670"/>
    <d v="2025-01-07T00:00:00"/>
    <s v="C110"/>
    <s v="P028"/>
    <s v="S004"/>
    <n v="5"/>
    <n v="0.1"/>
    <x v="1"/>
    <s v="Travis Peters"/>
    <x v="25"/>
    <x v="1"/>
    <x v="1"/>
    <n v="673.78"/>
    <n v="3032.0099999999998"/>
  </r>
  <r>
    <s v="T03671"/>
    <d v="2025-08-15T00:00:00"/>
    <s v="C008"/>
    <s v="P048"/>
    <s v="S002"/>
    <n v="1"/>
    <n v="0"/>
    <x v="0"/>
    <s v="Isaiah Williams"/>
    <x v="11"/>
    <x v="0"/>
    <x v="2"/>
    <n v="1216.3599999999999"/>
    <n v="1216.3599999999999"/>
  </r>
  <r>
    <s v="T03672"/>
    <d v="2024-09-26T00:00:00"/>
    <s v="C051"/>
    <s v="P035"/>
    <s v="S002"/>
    <n v="5"/>
    <n v="0.15"/>
    <x v="2"/>
    <s v="Madison Sellers"/>
    <x v="7"/>
    <x v="1"/>
    <x v="2"/>
    <n v="1562.43"/>
    <n v="6640.3275000000003"/>
  </r>
  <r>
    <s v="T03673"/>
    <d v="2025-06-21T00:00:00"/>
    <s v="C113"/>
    <s v="P022"/>
    <s v="S003"/>
    <n v="4"/>
    <n v="0.15"/>
    <x v="1"/>
    <s v="Heidi Wilson"/>
    <x v="9"/>
    <x v="2"/>
    <x v="0"/>
    <n v="25.57"/>
    <n v="86.938000000000002"/>
  </r>
  <r>
    <s v="T03674"/>
    <d v="2025-05-21T00:00:00"/>
    <s v="C039"/>
    <s v="P026"/>
    <s v="S001"/>
    <n v="3"/>
    <n v="0"/>
    <x v="2"/>
    <s v="Nancy Savage"/>
    <x v="15"/>
    <x v="2"/>
    <x v="3"/>
    <n v="1015.76"/>
    <n v="3047.2799999999997"/>
  </r>
  <r>
    <s v="T03675"/>
    <d v="2024-11-22T00:00:00"/>
    <s v="C036"/>
    <s v="P003"/>
    <s v="S004"/>
    <n v="1"/>
    <n v="0"/>
    <x v="3"/>
    <s v="Michael Cervantes"/>
    <x v="46"/>
    <x v="0"/>
    <x v="1"/>
    <n v="337.63"/>
    <n v="337.63"/>
  </r>
  <r>
    <s v="T03676"/>
    <d v="2024-08-13T00:00:00"/>
    <s v="C069"/>
    <s v="P039"/>
    <s v="S004"/>
    <n v="4"/>
    <n v="0.15"/>
    <x v="3"/>
    <s v="Gabriel Daugherty"/>
    <x v="22"/>
    <x v="0"/>
    <x v="1"/>
    <n v="540.94000000000005"/>
    <n v="1839.1960000000001"/>
  </r>
  <r>
    <s v="T03677"/>
    <d v="2024-10-30T00:00:00"/>
    <s v="C080"/>
    <s v="P032"/>
    <s v="S003"/>
    <n v="5"/>
    <n v="0"/>
    <x v="3"/>
    <s v="Grace Garcia"/>
    <x v="44"/>
    <x v="2"/>
    <x v="0"/>
    <n v="304.70999999999998"/>
    <n v="1523.55"/>
  </r>
  <r>
    <s v="T03678"/>
    <d v="2024-03-15T00:00:00"/>
    <s v="C030"/>
    <s v="P014"/>
    <s v="S001"/>
    <n v="4"/>
    <n v="0.15"/>
    <x v="1"/>
    <s v="Lacey Hall"/>
    <x v="0"/>
    <x v="0"/>
    <x v="3"/>
    <n v="1342.75"/>
    <n v="4565.3499999999995"/>
  </r>
  <r>
    <s v="T03679"/>
    <d v="2025-03-02T00:00:00"/>
    <s v="C032"/>
    <s v="P029"/>
    <s v="S003"/>
    <n v="1"/>
    <n v="0"/>
    <x v="0"/>
    <s v="Valerie Macdonald"/>
    <x v="47"/>
    <x v="0"/>
    <x v="0"/>
    <n v="1485.05"/>
    <n v="1485.05"/>
  </r>
  <r>
    <s v="T03680"/>
    <d v="2023-12-01T00:00:00"/>
    <s v="C150"/>
    <s v="P018"/>
    <s v="S002"/>
    <n v="5"/>
    <n v="0"/>
    <x v="0"/>
    <s v="Francis Hernandez"/>
    <x v="19"/>
    <x v="1"/>
    <x v="2"/>
    <n v="1079.8900000000001"/>
    <n v="5399.4500000000007"/>
  </r>
  <r>
    <s v="T03681"/>
    <d v="2025-04-14T00:00:00"/>
    <s v="C147"/>
    <s v="P029"/>
    <s v="S001"/>
    <n v="3"/>
    <n v="0.05"/>
    <x v="3"/>
    <s v="Crystal Garrison"/>
    <x v="47"/>
    <x v="0"/>
    <x v="3"/>
    <n v="1485.05"/>
    <n v="4232.392499999999"/>
  </r>
  <r>
    <s v="T03682"/>
    <d v="2024-08-21T00:00:00"/>
    <s v="C082"/>
    <s v="P025"/>
    <s v="S002"/>
    <n v="1"/>
    <n v="0.1"/>
    <x v="3"/>
    <s v="Amy Haley"/>
    <x v="33"/>
    <x v="0"/>
    <x v="2"/>
    <n v="429.15"/>
    <n v="386.23500000000001"/>
  </r>
  <r>
    <s v="T03683"/>
    <d v="2024-10-27T00:00:00"/>
    <s v="C151"/>
    <s v="P015"/>
    <s v="S003"/>
    <n v="5"/>
    <n v="0.15"/>
    <x v="1"/>
    <s v="Dawn Fletcher"/>
    <x v="40"/>
    <x v="0"/>
    <x v="0"/>
    <n v="270.45"/>
    <n v="1149.4124999999999"/>
  </r>
  <r>
    <s v="T03684"/>
    <d v="2025-04-21T00:00:00"/>
    <s v="C156"/>
    <s v="P048"/>
    <s v="S005"/>
    <n v="4"/>
    <n v="0.05"/>
    <x v="3"/>
    <s v="George Young"/>
    <x v="11"/>
    <x v="0"/>
    <x v="4"/>
    <n v="1216.3599999999999"/>
    <n v="4622.1679999999997"/>
  </r>
  <r>
    <s v="T03685"/>
    <d v="2025-07-06T00:00:00"/>
    <s v="C051"/>
    <s v="P028"/>
    <s v="S004"/>
    <n v="5"/>
    <n v="0.15"/>
    <x v="3"/>
    <s v="Madison Sellers"/>
    <x v="25"/>
    <x v="1"/>
    <x v="1"/>
    <n v="673.78"/>
    <n v="2863.5649999999996"/>
  </r>
  <r>
    <s v="T03686"/>
    <d v="2025-06-20T00:00:00"/>
    <s v="C107"/>
    <s v="P048"/>
    <s v="S004"/>
    <n v="5"/>
    <n v="0.1"/>
    <x v="3"/>
    <s v="Victoria Hansen"/>
    <x v="11"/>
    <x v="0"/>
    <x v="1"/>
    <n v="1216.3599999999999"/>
    <n v="5473.62"/>
  </r>
  <r>
    <s v="T03687"/>
    <d v="2024-03-11T00:00:00"/>
    <s v="C106"/>
    <s v="P016"/>
    <s v="S004"/>
    <n v="1"/>
    <n v="0.05"/>
    <x v="2"/>
    <s v="Kevin Flores"/>
    <x v="13"/>
    <x v="0"/>
    <x v="1"/>
    <n v="1858.75"/>
    <n v="1765.8125"/>
  </r>
  <r>
    <s v="T03688"/>
    <d v="2023-09-27T00:00:00"/>
    <s v="C125"/>
    <s v="P036"/>
    <s v="S003"/>
    <n v="1"/>
    <n v="0.15"/>
    <x v="1"/>
    <s v="Kimberly Parker"/>
    <x v="4"/>
    <x v="0"/>
    <x v="0"/>
    <n v="1501.46"/>
    <n v="1276.241"/>
  </r>
  <r>
    <s v="T03689"/>
    <d v="2025-06-16T00:00:00"/>
    <s v="C147"/>
    <s v="P013"/>
    <s v="S003"/>
    <n v="2"/>
    <n v="0.05"/>
    <x v="2"/>
    <s v="Crystal Garrison"/>
    <x v="21"/>
    <x v="0"/>
    <x v="0"/>
    <n v="1134.8"/>
    <n v="2156.12"/>
  </r>
  <r>
    <s v="T03690"/>
    <d v="2025-06-23T00:00:00"/>
    <s v="C196"/>
    <s v="P045"/>
    <s v="S003"/>
    <n v="4"/>
    <n v="0.05"/>
    <x v="2"/>
    <s v="James Noble"/>
    <x v="8"/>
    <x v="2"/>
    <x v="0"/>
    <n v="1879.08"/>
    <n v="7140.503999999999"/>
  </r>
  <r>
    <s v="T03691"/>
    <d v="2025-02-01T00:00:00"/>
    <s v="C189"/>
    <s v="P019"/>
    <s v="S005"/>
    <n v="5"/>
    <n v="0.1"/>
    <x v="3"/>
    <s v="Steve Flynn"/>
    <x v="26"/>
    <x v="1"/>
    <x v="4"/>
    <n v="1762.92"/>
    <n v="7933.14"/>
  </r>
  <r>
    <s v="T03692"/>
    <d v="2025-01-15T00:00:00"/>
    <s v="C157"/>
    <s v="P003"/>
    <s v="S004"/>
    <n v="1"/>
    <n v="0"/>
    <x v="0"/>
    <s v="Connie Terry"/>
    <x v="46"/>
    <x v="0"/>
    <x v="1"/>
    <n v="337.63"/>
    <n v="337.63"/>
  </r>
  <r>
    <s v="T03693"/>
    <d v="2024-10-11T00:00:00"/>
    <s v="C043"/>
    <s v="P028"/>
    <s v="S004"/>
    <n v="2"/>
    <n v="0"/>
    <x v="2"/>
    <s v="Kenneth Allen"/>
    <x v="25"/>
    <x v="1"/>
    <x v="1"/>
    <n v="673.78"/>
    <n v="1347.56"/>
  </r>
  <r>
    <s v="T03694"/>
    <d v="2025-04-24T00:00:00"/>
    <s v="C120"/>
    <s v="P050"/>
    <s v="S001"/>
    <n v="5"/>
    <n v="0.15"/>
    <x v="2"/>
    <s v="Curtis Faulkner"/>
    <x v="3"/>
    <x v="0"/>
    <x v="3"/>
    <n v="1044.6400000000001"/>
    <n v="4439.72"/>
  </r>
  <r>
    <s v="T03695"/>
    <d v="2025-03-14T00:00:00"/>
    <s v="C028"/>
    <s v="P028"/>
    <s v="S001"/>
    <n v="4"/>
    <n v="0"/>
    <x v="2"/>
    <s v="John Carr"/>
    <x v="25"/>
    <x v="1"/>
    <x v="3"/>
    <n v="673.78"/>
    <n v="2695.12"/>
  </r>
  <r>
    <s v="T03696"/>
    <d v="2024-04-05T00:00:00"/>
    <s v="C170"/>
    <s v="P021"/>
    <s v="S001"/>
    <n v="3"/>
    <n v="0"/>
    <x v="3"/>
    <s v="Amber Graham"/>
    <x v="23"/>
    <x v="2"/>
    <x v="3"/>
    <n v="1227.24"/>
    <n v="3681.7200000000003"/>
  </r>
  <r>
    <s v="T03697"/>
    <d v="2024-01-09T00:00:00"/>
    <s v="C061"/>
    <s v="P007"/>
    <s v="S003"/>
    <n v="5"/>
    <n v="0.15"/>
    <x v="2"/>
    <s v="Heather Russell"/>
    <x v="18"/>
    <x v="1"/>
    <x v="0"/>
    <n v="1474.12"/>
    <n v="6265.0099999999993"/>
  </r>
  <r>
    <s v="T03698"/>
    <d v="2025-01-20T00:00:00"/>
    <s v="C029"/>
    <s v="P045"/>
    <s v="S001"/>
    <n v="4"/>
    <n v="0"/>
    <x v="0"/>
    <s v="Tyler Levine"/>
    <x v="8"/>
    <x v="2"/>
    <x v="3"/>
    <n v="1879.08"/>
    <n v="7516.32"/>
  </r>
  <r>
    <s v="T03699"/>
    <d v="2025-03-07T00:00:00"/>
    <s v="C170"/>
    <s v="P022"/>
    <s v="S005"/>
    <n v="1"/>
    <n v="0"/>
    <x v="1"/>
    <s v="Amber Graham"/>
    <x v="9"/>
    <x v="2"/>
    <x v="4"/>
    <n v="25.57"/>
    <n v="25.57"/>
  </r>
  <r>
    <s v="T03700"/>
    <d v="2023-12-25T00:00:00"/>
    <s v="C067"/>
    <s v="P002"/>
    <s v="S003"/>
    <n v="5"/>
    <n v="0.05"/>
    <x v="2"/>
    <s v="Daniel Maldonado"/>
    <x v="2"/>
    <x v="1"/>
    <x v="0"/>
    <n v="818.76"/>
    <n v="3889.11"/>
  </r>
  <r>
    <s v="T03701"/>
    <d v="2023-09-18T00:00:00"/>
    <s v="C195"/>
    <s v="P048"/>
    <s v="S001"/>
    <n v="4"/>
    <n v="0.1"/>
    <x v="2"/>
    <s v="James Mitchell"/>
    <x v="11"/>
    <x v="0"/>
    <x v="3"/>
    <n v="1216.3599999999999"/>
    <n v="4378.8959999999997"/>
  </r>
  <r>
    <s v="T03702"/>
    <d v="2024-10-13T00:00:00"/>
    <s v="C147"/>
    <s v="P026"/>
    <s v="S004"/>
    <n v="5"/>
    <n v="0.1"/>
    <x v="1"/>
    <s v="Crystal Garrison"/>
    <x v="15"/>
    <x v="2"/>
    <x v="1"/>
    <n v="1015.76"/>
    <n v="4570.92"/>
  </r>
  <r>
    <s v="T03703"/>
    <d v="2023-12-17T00:00:00"/>
    <s v="C003"/>
    <s v="P046"/>
    <s v="S005"/>
    <n v="2"/>
    <n v="0"/>
    <x v="3"/>
    <s v="Carol Hays"/>
    <x v="42"/>
    <x v="0"/>
    <x v="4"/>
    <n v="1165.3699999999999"/>
    <n v="2330.7399999999998"/>
  </r>
  <r>
    <s v="T03704"/>
    <d v="2025-01-11T00:00:00"/>
    <s v="C067"/>
    <s v="P024"/>
    <s v="S005"/>
    <n v="1"/>
    <n v="0.15"/>
    <x v="1"/>
    <s v="Daniel Maldonado"/>
    <x v="14"/>
    <x v="1"/>
    <x v="4"/>
    <n v="1487.41"/>
    <n v="1264.2985000000001"/>
  </r>
  <r>
    <s v="T03705"/>
    <d v="2024-02-17T00:00:00"/>
    <s v="C082"/>
    <s v="P026"/>
    <s v="S004"/>
    <n v="1"/>
    <n v="0.05"/>
    <x v="2"/>
    <s v="Amy Haley"/>
    <x v="15"/>
    <x v="2"/>
    <x v="1"/>
    <n v="1015.76"/>
    <n v="964.97199999999998"/>
  </r>
  <r>
    <s v="T03706"/>
    <d v="2023-09-29T00:00:00"/>
    <s v="C098"/>
    <s v="P047"/>
    <s v="S005"/>
    <n v="1"/>
    <n v="0.1"/>
    <x v="1"/>
    <s v="Lisa Vega"/>
    <x v="28"/>
    <x v="1"/>
    <x v="4"/>
    <n v="1197.18"/>
    <n v="1077.462"/>
  </r>
  <r>
    <s v="T03707"/>
    <d v="2024-02-08T00:00:00"/>
    <s v="C024"/>
    <s v="P001"/>
    <s v="S001"/>
    <n v="2"/>
    <n v="0.15"/>
    <x v="0"/>
    <s v="Molly Murray"/>
    <x v="31"/>
    <x v="1"/>
    <x v="3"/>
    <n v="1673.69"/>
    <n v="2845.2730000000001"/>
  </r>
  <r>
    <s v="T03708"/>
    <d v="2024-08-14T00:00:00"/>
    <s v="C043"/>
    <s v="P011"/>
    <s v="S005"/>
    <n v="4"/>
    <n v="0.05"/>
    <x v="1"/>
    <s v="Kenneth Allen"/>
    <x v="17"/>
    <x v="1"/>
    <x v="4"/>
    <n v="248.57"/>
    <n v="944.56599999999992"/>
  </r>
  <r>
    <s v="T03709"/>
    <d v="2025-07-02T00:00:00"/>
    <s v="C186"/>
    <s v="P044"/>
    <s v="S004"/>
    <n v="5"/>
    <n v="0.15"/>
    <x v="3"/>
    <s v="Vicki Guzman"/>
    <x v="32"/>
    <x v="0"/>
    <x v="1"/>
    <n v="1286.55"/>
    <n v="5467.8374999999996"/>
  </r>
  <r>
    <s v="T03710"/>
    <d v="2025-01-08T00:00:00"/>
    <s v="C069"/>
    <s v="P016"/>
    <s v="S001"/>
    <n v="5"/>
    <n v="0.1"/>
    <x v="2"/>
    <s v="Gabriel Daugherty"/>
    <x v="13"/>
    <x v="0"/>
    <x v="3"/>
    <n v="1858.75"/>
    <n v="8364.375"/>
  </r>
  <r>
    <s v="T03711"/>
    <d v="2024-11-21T00:00:00"/>
    <s v="C183"/>
    <s v="P028"/>
    <s v="S001"/>
    <n v="3"/>
    <n v="0"/>
    <x v="1"/>
    <s v="Mary Dawson"/>
    <x v="25"/>
    <x v="1"/>
    <x v="3"/>
    <n v="673.78"/>
    <n v="2021.34"/>
  </r>
  <r>
    <s v="T03712"/>
    <d v="2024-09-14T00:00:00"/>
    <s v="C029"/>
    <s v="P009"/>
    <s v="S003"/>
    <n v="4"/>
    <n v="0"/>
    <x v="1"/>
    <s v="Tyler Levine"/>
    <x v="5"/>
    <x v="2"/>
    <x v="0"/>
    <n v="123.19"/>
    <n v="492.76"/>
  </r>
  <r>
    <s v="T03713"/>
    <d v="2024-11-26T00:00:00"/>
    <s v="C142"/>
    <s v="P032"/>
    <s v="S002"/>
    <n v="2"/>
    <n v="0.15"/>
    <x v="0"/>
    <s v="Suzanne Fox"/>
    <x v="44"/>
    <x v="2"/>
    <x v="2"/>
    <n v="304.70999999999998"/>
    <n v="518.00699999999995"/>
  </r>
  <r>
    <s v="T03714"/>
    <d v="2025-07-05T00:00:00"/>
    <s v="C173"/>
    <s v="P046"/>
    <s v="S005"/>
    <n v="5"/>
    <n v="0.05"/>
    <x v="0"/>
    <s v="Lisa Ruiz"/>
    <x v="42"/>
    <x v="0"/>
    <x v="4"/>
    <n v="1165.3699999999999"/>
    <n v="5535.5074999999988"/>
  </r>
  <r>
    <s v="T03715"/>
    <d v="2025-06-16T00:00:00"/>
    <s v="C186"/>
    <s v="P047"/>
    <s v="S004"/>
    <n v="3"/>
    <n v="0"/>
    <x v="1"/>
    <s v="Vicki Guzman"/>
    <x v="28"/>
    <x v="1"/>
    <x v="1"/>
    <n v="1197.18"/>
    <n v="3591.54"/>
  </r>
  <r>
    <s v="T03716"/>
    <d v="2023-12-31T00:00:00"/>
    <s v="C149"/>
    <s v="P012"/>
    <s v="S004"/>
    <n v="2"/>
    <n v="0.1"/>
    <x v="3"/>
    <s v="Melissa Torres"/>
    <x v="38"/>
    <x v="1"/>
    <x v="1"/>
    <n v="1193.0899999999999"/>
    <n v="2147.5619999999999"/>
  </r>
  <r>
    <s v="T03717"/>
    <d v="2023-09-27T00:00:00"/>
    <s v="C155"/>
    <s v="P018"/>
    <s v="S004"/>
    <n v="3"/>
    <n v="0.15"/>
    <x v="1"/>
    <s v="Jill Mcconnell"/>
    <x v="19"/>
    <x v="1"/>
    <x v="1"/>
    <n v="1079.8900000000001"/>
    <n v="2753.7195000000002"/>
  </r>
  <r>
    <s v="T03718"/>
    <d v="2025-01-18T00:00:00"/>
    <s v="C140"/>
    <s v="P026"/>
    <s v="S002"/>
    <n v="3"/>
    <n v="0.15"/>
    <x v="3"/>
    <s v="Stacy Williams"/>
    <x v="15"/>
    <x v="2"/>
    <x v="2"/>
    <n v="1015.76"/>
    <n v="2590.1879999999996"/>
  </r>
  <r>
    <s v="T03719"/>
    <d v="2025-06-18T00:00:00"/>
    <s v="C069"/>
    <s v="P030"/>
    <s v="S004"/>
    <n v="5"/>
    <n v="0.1"/>
    <x v="2"/>
    <s v="Gabriel Daugherty"/>
    <x v="1"/>
    <x v="0"/>
    <x v="1"/>
    <n v="29.24"/>
    <n v="131.57999999999998"/>
  </r>
  <r>
    <s v="T03720"/>
    <d v="2025-03-18T00:00:00"/>
    <s v="C017"/>
    <s v="P037"/>
    <s v="S004"/>
    <n v="1"/>
    <n v="0.05"/>
    <x v="0"/>
    <s v="Vanessa Anderson"/>
    <x v="27"/>
    <x v="1"/>
    <x v="1"/>
    <n v="1952.65"/>
    <n v="1855.0174999999999"/>
  </r>
  <r>
    <s v="T03721"/>
    <d v="2025-03-16T00:00:00"/>
    <s v="C027"/>
    <s v="P003"/>
    <s v="S004"/>
    <n v="2"/>
    <n v="0.05"/>
    <x v="0"/>
    <s v="Jacqueline Martin"/>
    <x v="46"/>
    <x v="0"/>
    <x v="1"/>
    <n v="337.63"/>
    <n v="641.49699999999996"/>
  </r>
  <r>
    <s v="T03722"/>
    <d v="2024-08-30T00:00:00"/>
    <s v="C149"/>
    <s v="P008"/>
    <s v="S002"/>
    <n v="4"/>
    <n v="0.1"/>
    <x v="2"/>
    <s v="Melissa Torres"/>
    <x v="48"/>
    <x v="0"/>
    <x v="2"/>
    <n v="109.78"/>
    <n v="395.20800000000003"/>
  </r>
  <r>
    <s v="T03723"/>
    <d v="2025-09-02T00:00:00"/>
    <s v="C001"/>
    <s v="P014"/>
    <s v="S005"/>
    <n v="5"/>
    <n v="0.05"/>
    <x v="0"/>
    <s v="Michael Davis"/>
    <x v="0"/>
    <x v="0"/>
    <x v="4"/>
    <n v="1342.75"/>
    <n v="6378.0625"/>
  </r>
  <r>
    <s v="T03724"/>
    <d v="2025-07-18T00:00:00"/>
    <s v="C137"/>
    <s v="P045"/>
    <s v="S004"/>
    <n v="5"/>
    <n v="0.05"/>
    <x v="3"/>
    <s v="Gary Lopez"/>
    <x v="8"/>
    <x v="2"/>
    <x v="1"/>
    <n v="1879.08"/>
    <n v="8925.6299999999992"/>
  </r>
  <r>
    <s v="T03725"/>
    <d v="2024-02-21T00:00:00"/>
    <s v="C112"/>
    <s v="P047"/>
    <s v="S002"/>
    <n v="3"/>
    <n v="0.15"/>
    <x v="1"/>
    <s v="Jeffrey Smith"/>
    <x v="28"/>
    <x v="1"/>
    <x v="2"/>
    <n v="1197.18"/>
    <n v="3052.8089999999997"/>
  </r>
  <r>
    <s v="T03726"/>
    <d v="2024-11-03T00:00:00"/>
    <s v="C039"/>
    <s v="P011"/>
    <s v="S005"/>
    <n v="4"/>
    <n v="0"/>
    <x v="1"/>
    <s v="Nancy Savage"/>
    <x v="17"/>
    <x v="1"/>
    <x v="4"/>
    <n v="248.57"/>
    <n v="994.28"/>
  </r>
  <r>
    <s v="T03727"/>
    <d v="2024-10-16T00:00:00"/>
    <s v="C006"/>
    <s v="P010"/>
    <s v="S005"/>
    <n v="1"/>
    <n v="0"/>
    <x v="0"/>
    <s v="Danny Moore"/>
    <x v="36"/>
    <x v="1"/>
    <x v="4"/>
    <n v="1194.1199999999999"/>
    <n v="1194.1199999999999"/>
  </r>
  <r>
    <s v="T03728"/>
    <d v="2025-02-10T00:00:00"/>
    <s v="C019"/>
    <s v="P044"/>
    <s v="S002"/>
    <n v="1"/>
    <n v="0.05"/>
    <x v="0"/>
    <s v="John Smith"/>
    <x v="32"/>
    <x v="0"/>
    <x v="2"/>
    <n v="1286.55"/>
    <n v="1222.2224999999999"/>
  </r>
  <r>
    <s v="T03729"/>
    <d v="2024-05-28T00:00:00"/>
    <s v="C170"/>
    <s v="P037"/>
    <s v="S005"/>
    <n v="2"/>
    <n v="0.05"/>
    <x v="1"/>
    <s v="Amber Graham"/>
    <x v="27"/>
    <x v="1"/>
    <x v="4"/>
    <n v="1952.65"/>
    <n v="3710.0349999999999"/>
  </r>
  <r>
    <s v="T03730"/>
    <d v="2025-06-23T00:00:00"/>
    <s v="C028"/>
    <s v="P040"/>
    <s v="S002"/>
    <n v="2"/>
    <n v="0.15"/>
    <x v="1"/>
    <s v="John Carr"/>
    <x v="37"/>
    <x v="1"/>
    <x v="2"/>
    <n v="1745.61"/>
    <n v="2967.5369999999998"/>
  </r>
  <r>
    <s v="T03731"/>
    <d v="2024-11-06T00:00:00"/>
    <s v="C001"/>
    <s v="P010"/>
    <s v="S003"/>
    <n v="2"/>
    <n v="0.05"/>
    <x v="3"/>
    <s v="Michael Davis"/>
    <x v="36"/>
    <x v="1"/>
    <x v="0"/>
    <n v="1194.1199999999999"/>
    <n v="2268.8279999999995"/>
  </r>
  <r>
    <s v="T03732"/>
    <d v="2025-02-09T00:00:00"/>
    <s v="C066"/>
    <s v="P034"/>
    <s v="S003"/>
    <n v="5"/>
    <n v="0"/>
    <x v="1"/>
    <s v="Jason Jenkins"/>
    <x v="12"/>
    <x v="1"/>
    <x v="0"/>
    <n v="428.05"/>
    <n v="2140.25"/>
  </r>
  <r>
    <s v="T03733"/>
    <d v="2025-08-02T00:00:00"/>
    <s v="C086"/>
    <s v="P047"/>
    <s v="S001"/>
    <n v="2"/>
    <n v="0.1"/>
    <x v="0"/>
    <s v="Lawrence Hunter"/>
    <x v="28"/>
    <x v="1"/>
    <x v="3"/>
    <n v="1197.18"/>
    <n v="2154.924"/>
  </r>
  <r>
    <s v="T03734"/>
    <d v="2025-09-09T00:00:00"/>
    <s v="C193"/>
    <s v="P028"/>
    <s v="S003"/>
    <n v="4"/>
    <n v="0.05"/>
    <x v="0"/>
    <s v="Donald Meza"/>
    <x v="25"/>
    <x v="1"/>
    <x v="0"/>
    <n v="673.78"/>
    <n v="2560.3639999999996"/>
  </r>
  <r>
    <s v="T03735"/>
    <d v="2023-12-10T00:00:00"/>
    <s v="C032"/>
    <s v="P005"/>
    <s v="S005"/>
    <n v="1"/>
    <n v="0.15"/>
    <x v="0"/>
    <s v="Valerie Macdonald"/>
    <x v="6"/>
    <x v="0"/>
    <x v="4"/>
    <n v="1396.22"/>
    <n v="1186.787"/>
  </r>
  <r>
    <s v="T03736"/>
    <d v="2024-03-07T00:00:00"/>
    <s v="C167"/>
    <s v="P040"/>
    <s v="S001"/>
    <n v="2"/>
    <n v="0.1"/>
    <x v="0"/>
    <s v="Kimberly Lin"/>
    <x v="37"/>
    <x v="1"/>
    <x v="3"/>
    <n v="1745.61"/>
    <n v="3142.098"/>
  </r>
  <r>
    <s v="T03737"/>
    <d v="2023-12-24T00:00:00"/>
    <s v="C008"/>
    <s v="P032"/>
    <s v="S005"/>
    <n v="4"/>
    <n v="0.15"/>
    <x v="3"/>
    <s v="Isaiah Williams"/>
    <x v="44"/>
    <x v="2"/>
    <x v="4"/>
    <n v="304.70999999999998"/>
    <n v="1036.0139999999999"/>
  </r>
  <r>
    <s v="T03738"/>
    <d v="2023-09-30T00:00:00"/>
    <s v="C121"/>
    <s v="P042"/>
    <s v="S004"/>
    <n v="1"/>
    <n v="0.05"/>
    <x v="0"/>
    <s v="John Bell"/>
    <x v="10"/>
    <x v="0"/>
    <x v="1"/>
    <n v="453.62"/>
    <n v="430.93899999999996"/>
  </r>
  <r>
    <s v="T03739"/>
    <d v="2024-08-12T00:00:00"/>
    <s v="C153"/>
    <s v="P049"/>
    <s v="S005"/>
    <n v="5"/>
    <n v="0"/>
    <x v="3"/>
    <s v="Nancy Gordon"/>
    <x v="29"/>
    <x v="0"/>
    <x v="4"/>
    <n v="388.26"/>
    <n v="1941.3"/>
  </r>
  <r>
    <s v="T03740"/>
    <d v="2024-05-21T00:00:00"/>
    <s v="C103"/>
    <s v="P029"/>
    <s v="S004"/>
    <n v="5"/>
    <n v="0.05"/>
    <x v="3"/>
    <s v="David Burns"/>
    <x v="47"/>
    <x v="0"/>
    <x v="1"/>
    <n v="1485.05"/>
    <n v="7053.9874999999993"/>
  </r>
  <r>
    <s v="T03741"/>
    <d v="2025-05-15T00:00:00"/>
    <s v="C070"/>
    <s v="P013"/>
    <s v="S001"/>
    <n v="4"/>
    <n v="0.1"/>
    <x v="1"/>
    <s v="Eric Bryan"/>
    <x v="21"/>
    <x v="0"/>
    <x v="3"/>
    <n v="1134.8"/>
    <n v="4085.2799999999997"/>
  </r>
  <r>
    <s v="T03742"/>
    <d v="2024-05-22T00:00:00"/>
    <s v="C133"/>
    <s v="P027"/>
    <s v="S001"/>
    <n v="2"/>
    <n v="0.1"/>
    <x v="2"/>
    <s v="Yvette Roth"/>
    <x v="34"/>
    <x v="1"/>
    <x v="3"/>
    <n v="1272.23"/>
    <n v="2290.0140000000001"/>
  </r>
  <r>
    <s v="T03743"/>
    <d v="2024-10-20T00:00:00"/>
    <s v="C101"/>
    <s v="P015"/>
    <s v="S004"/>
    <n v="3"/>
    <n v="0.15"/>
    <x v="2"/>
    <s v="William Pope"/>
    <x v="40"/>
    <x v="0"/>
    <x v="1"/>
    <n v="270.45"/>
    <n v="689.64749999999992"/>
  </r>
  <r>
    <s v="T03744"/>
    <d v="2024-06-27T00:00:00"/>
    <s v="C179"/>
    <s v="P002"/>
    <s v="S005"/>
    <n v="4"/>
    <n v="0.15"/>
    <x v="0"/>
    <s v="Dennis Wallace"/>
    <x v="2"/>
    <x v="1"/>
    <x v="4"/>
    <n v="818.76"/>
    <n v="2783.7840000000001"/>
  </r>
  <r>
    <s v="T03745"/>
    <d v="2025-01-08T00:00:00"/>
    <s v="C130"/>
    <s v="P037"/>
    <s v="S004"/>
    <n v="5"/>
    <n v="0.1"/>
    <x v="3"/>
    <s v="Aaron Bailey"/>
    <x v="27"/>
    <x v="1"/>
    <x v="1"/>
    <n v="1952.65"/>
    <n v="8786.9250000000011"/>
  </r>
  <r>
    <s v="T03746"/>
    <d v="2025-06-23T00:00:00"/>
    <s v="C084"/>
    <s v="P023"/>
    <s v="S003"/>
    <n v="5"/>
    <n v="0.1"/>
    <x v="0"/>
    <s v="Amanda Lee"/>
    <x v="20"/>
    <x v="0"/>
    <x v="0"/>
    <n v="1878.47"/>
    <n v="8453.1149999999998"/>
  </r>
  <r>
    <s v="T03747"/>
    <d v="2023-10-07T00:00:00"/>
    <s v="C169"/>
    <s v="P031"/>
    <s v="S001"/>
    <n v="1"/>
    <n v="0"/>
    <x v="2"/>
    <s v="Travis Watson"/>
    <x v="39"/>
    <x v="2"/>
    <x v="3"/>
    <n v="1095.72"/>
    <n v="1095.72"/>
  </r>
  <r>
    <s v="T03748"/>
    <d v="2025-08-13T00:00:00"/>
    <s v="C185"/>
    <s v="P023"/>
    <s v="S005"/>
    <n v="2"/>
    <n v="0"/>
    <x v="1"/>
    <s v="Joe Vincent"/>
    <x v="20"/>
    <x v="0"/>
    <x v="4"/>
    <n v="1878.47"/>
    <n v="3756.94"/>
  </r>
  <r>
    <s v="T03749"/>
    <d v="2024-06-05T00:00:00"/>
    <s v="C093"/>
    <s v="P013"/>
    <s v="S002"/>
    <n v="4"/>
    <n v="0"/>
    <x v="0"/>
    <s v="Stanley Brown"/>
    <x v="21"/>
    <x v="0"/>
    <x v="2"/>
    <n v="1134.8"/>
    <n v="4539.2"/>
  </r>
  <r>
    <s v="T03750"/>
    <d v="2025-01-29T00:00:00"/>
    <s v="C030"/>
    <s v="P038"/>
    <s v="S001"/>
    <n v="4"/>
    <n v="0"/>
    <x v="1"/>
    <s v="Lacey Hall"/>
    <x v="41"/>
    <x v="0"/>
    <x v="3"/>
    <n v="366.93"/>
    <n v="1467.72"/>
  </r>
  <r>
    <s v="T03751"/>
    <d v="2024-12-21T00:00:00"/>
    <s v="C175"/>
    <s v="P023"/>
    <s v="S001"/>
    <n v="2"/>
    <n v="0.15"/>
    <x v="2"/>
    <s v="Stacey Thompson"/>
    <x v="20"/>
    <x v="0"/>
    <x v="3"/>
    <n v="1878.47"/>
    <n v="3193.3989999999999"/>
  </r>
  <r>
    <s v="T03752"/>
    <d v="2024-06-11T00:00:00"/>
    <s v="C108"/>
    <s v="P008"/>
    <s v="S003"/>
    <n v="2"/>
    <n v="0.15"/>
    <x v="2"/>
    <s v="Samantha Hill"/>
    <x v="48"/>
    <x v="0"/>
    <x v="0"/>
    <n v="109.78"/>
    <n v="186.626"/>
  </r>
  <r>
    <s v="T03753"/>
    <d v="2025-05-12T00:00:00"/>
    <s v="C026"/>
    <s v="P031"/>
    <s v="S005"/>
    <n v="5"/>
    <n v="0.1"/>
    <x v="0"/>
    <s v="Justin Macdonald"/>
    <x v="39"/>
    <x v="2"/>
    <x v="4"/>
    <n v="1095.72"/>
    <n v="4930.7400000000007"/>
  </r>
  <r>
    <s v="T03754"/>
    <d v="2025-07-19T00:00:00"/>
    <s v="C096"/>
    <s v="P027"/>
    <s v="S005"/>
    <n v="1"/>
    <n v="0.15"/>
    <x v="1"/>
    <s v="Eric King"/>
    <x v="34"/>
    <x v="1"/>
    <x v="4"/>
    <n v="1272.23"/>
    <n v="1081.3955000000001"/>
  </r>
  <r>
    <s v="T03755"/>
    <d v="2024-12-23T00:00:00"/>
    <s v="C002"/>
    <s v="P029"/>
    <s v="S001"/>
    <n v="1"/>
    <n v="0.1"/>
    <x v="2"/>
    <s v="Michael Miller"/>
    <x v="47"/>
    <x v="0"/>
    <x v="3"/>
    <n v="1485.05"/>
    <n v="1336.5450000000001"/>
  </r>
  <r>
    <s v="T03756"/>
    <d v="2024-03-15T00:00:00"/>
    <s v="C077"/>
    <s v="P035"/>
    <s v="S005"/>
    <n v="5"/>
    <n v="0.1"/>
    <x v="2"/>
    <s v="Matthew Juarez"/>
    <x v="7"/>
    <x v="1"/>
    <x v="4"/>
    <n v="1562.43"/>
    <n v="7030.9350000000004"/>
  </r>
  <r>
    <s v="T03757"/>
    <d v="2024-02-11T00:00:00"/>
    <s v="C013"/>
    <s v="P031"/>
    <s v="S003"/>
    <n v="4"/>
    <n v="0.15"/>
    <x v="0"/>
    <s v="Robert Anderson"/>
    <x v="39"/>
    <x v="2"/>
    <x v="0"/>
    <n v="1095.72"/>
    <n v="3725.4479999999999"/>
  </r>
  <r>
    <s v="T03758"/>
    <d v="2025-02-14T00:00:00"/>
    <s v="C190"/>
    <s v="P030"/>
    <s v="S005"/>
    <n v="5"/>
    <n v="0.15"/>
    <x v="1"/>
    <s v="Daniel Lawson"/>
    <x v="1"/>
    <x v="0"/>
    <x v="4"/>
    <n v="29.24"/>
    <n v="124.26999999999998"/>
  </r>
  <r>
    <s v="T03759"/>
    <d v="2023-11-18T00:00:00"/>
    <s v="C128"/>
    <s v="P048"/>
    <s v="S004"/>
    <n v="1"/>
    <n v="0.1"/>
    <x v="1"/>
    <s v="Robert Collins"/>
    <x v="11"/>
    <x v="0"/>
    <x v="1"/>
    <n v="1216.3599999999999"/>
    <n v="1094.7239999999999"/>
  </r>
  <r>
    <s v="T03760"/>
    <d v="2024-04-13T00:00:00"/>
    <s v="C068"/>
    <s v="P023"/>
    <s v="S002"/>
    <n v="1"/>
    <n v="0.1"/>
    <x v="0"/>
    <s v="Alexandra Montoya"/>
    <x v="20"/>
    <x v="0"/>
    <x v="2"/>
    <n v="1878.47"/>
    <n v="1690.623"/>
  </r>
  <r>
    <s v="T03761"/>
    <d v="2024-11-12T00:00:00"/>
    <s v="C109"/>
    <s v="P005"/>
    <s v="S003"/>
    <n v="4"/>
    <n v="0.15"/>
    <x v="0"/>
    <s v="Austin Hogan"/>
    <x v="6"/>
    <x v="0"/>
    <x v="0"/>
    <n v="1396.22"/>
    <n v="4747.1480000000001"/>
  </r>
  <r>
    <s v="T03762"/>
    <d v="2025-05-26T00:00:00"/>
    <s v="C138"/>
    <s v="P044"/>
    <s v="S001"/>
    <n v="5"/>
    <n v="0.15"/>
    <x v="0"/>
    <s v="Breanna Moore"/>
    <x v="32"/>
    <x v="0"/>
    <x v="3"/>
    <n v="1286.55"/>
    <n v="5467.8374999999996"/>
  </r>
  <r>
    <s v="T03763"/>
    <d v="2024-04-09T00:00:00"/>
    <s v="C197"/>
    <s v="P005"/>
    <s v="S003"/>
    <n v="2"/>
    <n v="0.05"/>
    <x v="3"/>
    <s v="Matthew Dixon"/>
    <x v="6"/>
    <x v="0"/>
    <x v="0"/>
    <n v="1396.22"/>
    <n v="2652.8179999999998"/>
  </r>
  <r>
    <s v="T03764"/>
    <d v="2025-07-01T00:00:00"/>
    <s v="C109"/>
    <s v="P001"/>
    <s v="S002"/>
    <n v="2"/>
    <n v="0.1"/>
    <x v="0"/>
    <s v="Austin Hogan"/>
    <x v="31"/>
    <x v="1"/>
    <x v="2"/>
    <n v="1673.69"/>
    <n v="3012.6420000000003"/>
  </r>
  <r>
    <s v="T03765"/>
    <d v="2025-08-06T00:00:00"/>
    <s v="C104"/>
    <s v="P040"/>
    <s v="S004"/>
    <n v="2"/>
    <n v="0.05"/>
    <x v="1"/>
    <s v="Brenda Dean"/>
    <x v="37"/>
    <x v="1"/>
    <x v="1"/>
    <n v="1745.61"/>
    <n v="3316.6589999999997"/>
  </r>
  <r>
    <s v="T03766"/>
    <d v="2023-11-02T00:00:00"/>
    <s v="C087"/>
    <s v="P039"/>
    <s v="S003"/>
    <n v="1"/>
    <n v="0"/>
    <x v="1"/>
    <s v="Laurie Mason"/>
    <x v="22"/>
    <x v="0"/>
    <x v="0"/>
    <n v="540.94000000000005"/>
    <n v="540.94000000000005"/>
  </r>
  <r>
    <s v="T03767"/>
    <d v="2025-09-07T00:00:00"/>
    <s v="C162"/>
    <s v="P027"/>
    <s v="S003"/>
    <n v="5"/>
    <n v="0.1"/>
    <x v="2"/>
    <s v="Jill Roach"/>
    <x v="34"/>
    <x v="1"/>
    <x v="0"/>
    <n v="1272.23"/>
    <n v="5725.0349999999999"/>
  </r>
  <r>
    <s v="T03768"/>
    <d v="2025-06-23T00:00:00"/>
    <s v="C014"/>
    <s v="P022"/>
    <s v="S001"/>
    <n v="4"/>
    <n v="0.05"/>
    <x v="2"/>
    <s v="Brittany Green"/>
    <x v="9"/>
    <x v="2"/>
    <x v="3"/>
    <n v="25.57"/>
    <n v="97.165999999999997"/>
  </r>
  <r>
    <s v="T03769"/>
    <d v="2023-11-03T00:00:00"/>
    <s v="C031"/>
    <s v="P033"/>
    <s v="S002"/>
    <n v="2"/>
    <n v="0.1"/>
    <x v="2"/>
    <s v="Ashley Gibson"/>
    <x v="16"/>
    <x v="0"/>
    <x v="2"/>
    <n v="1798.97"/>
    <n v="3238.1460000000002"/>
  </r>
  <r>
    <s v="T03770"/>
    <d v="2025-03-15T00:00:00"/>
    <s v="C196"/>
    <s v="P017"/>
    <s v="S004"/>
    <n v="4"/>
    <n v="0.15"/>
    <x v="1"/>
    <s v="James Noble"/>
    <x v="43"/>
    <x v="1"/>
    <x v="1"/>
    <n v="1246.1099999999999"/>
    <n v="4236.7739999999994"/>
  </r>
  <r>
    <s v="T03771"/>
    <d v="2024-08-18T00:00:00"/>
    <s v="C080"/>
    <s v="P030"/>
    <s v="S004"/>
    <n v="2"/>
    <n v="0.1"/>
    <x v="3"/>
    <s v="Grace Garcia"/>
    <x v="1"/>
    <x v="0"/>
    <x v="1"/>
    <n v="29.24"/>
    <n v="52.631999999999998"/>
  </r>
  <r>
    <s v="T03772"/>
    <d v="2024-01-05T00:00:00"/>
    <s v="C100"/>
    <s v="P049"/>
    <s v="S001"/>
    <n v="1"/>
    <n v="0"/>
    <x v="2"/>
    <s v="Sean Hart"/>
    <x v="29"/>
    <x v="0"/>
    <x v="3"/>
    <n v="388.26"/>
    <n v="388.26"/>
  </r>
  <r>
    <s v="T03773"/>
    <d v="2024-04-24T00:00:00"/>
    <s v="C072"/>
    <s v="P027"/>
    <s v="S001"/>
    <n v="1"/>
    <n v="0.1"/>
    <x v="0"/>
    <s v="Eric Watkins"/>
    <x v="34"/>
    <x v="1"/>
    <x v="3"/>
    <n v="1272.23"/>
    <n v="1145.0070000000001"/>
  </r>
  <r>
    <s v="T03774"/>
    <d v="2024-07-22T00:00:00"/>
    <s v="C137"/>
    <s v="P029"/>
    <s v="S005"/>
    <n v="4"/>
    <n v="0"/>
    <x v="3"/>
    <s v="Gary Lopez"/>
    <x v="47"/>
    <x v="0"/>
    <x v="4"/>
    <n v="1485.05"/>
    <n v="5940.2"/>
  </r>
  <r>
    <s v="T03775"/>
    <d v="2025-01-03T00:00:00"/>
    <s v="C195"/>
    <s v="P013"/>
    <s v="S005"/>
    <n v="1"/>
    <n v="0"/>
    <x v="1"/>
    <s v="James Mitchell"/>
    <x v="21"/>
    <x v="0"/>
    <x v="4"/>
    <n v="1134.8"/>
    <n v="1134.8"/>
  </r>
  <r>
    <s v="T03776"/>
    <d v="2025-05-21T00:00:00"/>
    <s v="C151"/>
    <s v="P027"/>
    <s v="S005"/>
    <n v="4"/>
    <n v="0.15"/>
    <x v="1"/>
    <s v="Dawn Fletcher"/>
    <x v="34"/>
    <x v="1"/>
    <x v="4"/>
    <n v="1272.23"/>
    <n v="4325.5820000000003"/>
  </r>
  <r>
    <s v="T03777"/>
    <d v="2024-05-09T00:00:00"/>
    <s v="C144"/>
    <s v="P021"/>
    <s v="S002"/>
    <n v="2"/>
    <n v="0"/>
    <x v="2"/>
    <s v="Betty Johnson"/>
    <x v="23"/>
    <x v="2"/>
    <x v="2"/>
    <n v="1227.24"/>
    <n v="2454.48"/>
  </r>
  <r>
    <s v="T03778"/>
    <d v="2025-02-06T00:00:00"/>
    <s v="C148"/>
    <s v="P048"/>
    <s v="S005"/>
    <n v="3"/>
    <n v="0.15"/>
    <x v="3"/>
    <s v="John Foster"/>
    <x v="11"/>
    <x v="0"/>
    <x v="4"/>
    <n v="1216.3599999999999"/>
    <n v="3101.7179999999998"/>
  </r>
  <r>
    <s v="T03779"/>
    <d v="2023-11-19T00:00:00"/>
    <s v="C070"/>
    <s v="P004"/>
    <s v="S004"/>
    <n v="2"/>
    <n v="0.15"/>
    <x v="0"/>
    <s v="Eric Bryan"/>
    <x v="49"/>
    <x v="0"/>
    <x v="1"/>
    <n v="1853.77"/>
    <n v="3151.4090000000001"/>
  </r>
  <r>
    <s v="T03780"/>
    <d v="2024-03-28T00:00:00"/>
    <s v="C043"/>
    <s v="P034"/>
    <s v="S004"/>
    <n v="1"/>
    <n v="0.05"/>
    <x v="3"/>
    <s v="Kenneth Allen"/>
    <x v="12"/>
    <x v="1"/>
    <x v="1"/>
    <n v="428.05"/>
    <n v="406.64749999999998"/>
  </r>
  <r>
    <s v="T03781"/>
    <d v="2024-03-31T00:00:00"/>
    <s v="C043"/>
    <s v="P005"/>
    <s v="S001"/>
    <n v="2"/>
    <n v="0.1"/>
    <x v="2"/>
    <s v="Kenneth Allen"/>
    <x v="6"/>
    <x v="0"/>
    <x v="3"/>
    <n v="1396.22"/>
    <n v="2513.1959999999999"/>
  </r>
  <r>
    <s v="T03782"/>
    <d v="2025-06-08T00:00:00"/>
    <s v="C189"/>
    <s v="P029"/>
    <s v="S004"/>
    <n v="3"/>
    <n v="0.05"/>
    <x v="1"/>
    <s v="Steve Flynn"/>
    <x v="47"/>
    <x v="0"/>
    <x v="1"/>
    <n v="1485.05"/>
    <n v="4232.392499999999"/>
  </r>
  <r>
    <s v="T03783"/>
    <d v="2024-09-24T00:00:00"/>
    <s v="C089"/>
    <s v="P046"/>
    <s v="S005"/>
    <n v="4"/>
    <n v="0"/>
    <x v="1"/>
    <s v="William Warner"/>
    <x v="42"/>
    <x v="0"/>
    <x v="4"/>
    <n v="1165.3699999999999"/>
    <n v="4661.4799999999996"/>
  </r>
  <r>
    <s v="T03784"/>
    <d v="2023-12-26T00:00:00"/>
    <s v="C142"/>
    <s v="P019"/>
    <s v="S003"/>
    <n v="2"/>
    <n v="0.1"/>
    <x v="0"/>
    <s v="Suzanne Fox"/>
    <x v="26"/>
    <x v="1"/>
    <x v="0"/>
    <n v="1762.92"/>
    <n v="3173.2560000000003"/>
  </r>
  <r>
    <s v="T03785"/>
    <d v="2025-09-08T00:00:00"/>
    <s v="C132"/>
    <s v="P022"/>
    <s v="S002"/>
    <n v="3"/>
    <n v="0.05"/>
    <x v="3"/>
    <s v="Jared Ochoa"/>
    <x v="9"/>
    <x v="2"/>
    <x v="2"/>
    <n v="25.57"/>
    <n v="72.874499999999998"/>
  </r>
  <r>
    <s v="T03786"/>
    <d v="2025-03-30T00:00:00"/>
    <s v="C172"/>
    <s v="P043"/>
    <s v="S005"/>
    <n v="2"/>
    <n v="0.1"/>
    <x v="0"/>
    <s v="Michelle Smith"/>
    <x v="45"/>
    <x v="0"/>
    <x v="4"/>
    <n v="564.41999999999996"/>
    <n v="1015.9559999999999"/>
  </r>
  <r>
    <s v="T03787"/>
    <d v="2025-02-04T00:00:00"/>
    <s v="C093"/>
    <s v="P042"/>
    <s v="S003"/>
    <n v="1"/>
    <n v="0"/>
    <x v="1"/>
    <s v="Stanley Brown"/>
    <x v="10"/>
    <x v="0"/>
    <x v="0"/>
    <n v="453.62"/>
    <n v="453.62"/>
  </r>
  <r>
    <s v="T03788"/>
    <d v="2025-04-11T00:00:00"/>
    <s v="C066"/>
    <s v="P017"/>
    <s v="S003"/>
    <n v="3"/>
    <n v="0.1"/>
    <x v="1"/>
    <s v="Jason Jenkins"/>
    <x v="43"/>
    <x v="1"/>
    <x v="0"/>
    <n v="1246.1099999999999"/>
    <n v="3364.4969999999998"/>
  </r>
  <r>
    <s v="T03789"/>
    <d v="2023-11-22T00:00:00"/>
    <s v="C087"/>
    <s v="P042"/>
    <s v="S002"/>
    <n v="2"/>
    <n v="0"/>
    <x v="3"/>
    <s v="Laurie Mason"/>
    <x v="10"/>
    <x v="0"/>
    <x v="2"/>
    <n v="453.62"/>
    <n v="907.24"/>
  </r>
  <r>
    <s v="T03790"/>
    <d v="2025-03-27T00:00:00"/>
    <s v="C036"/>
    <s v="P028"/>
    <s v="S002"/>
    <n v="2"/>
    <n v="0.15"/>
    <x v="0"/>
    <s v="Michael Cervantes"/>
    <x v="25"/>
    <x v="1"/>
    <x v="2"/>
    <n v="673.78"/>
    <n v="1145.4259999999999"/>
  </r>
  <r>
    <s v="T03791"/>
    <d v="2025-03-29T00:00:00"/>
    <s v="C198"/>
    <s v="P013"/>
    <s v="S005"/>
    <n v="5"/>
    <n v="0.15"/>
    <x v="3"/>
    <s v="Jessica Mullins"/>
    <x v="21"/>
    <x v="0"/>
    <x v="4"/>
    <n v="1134.8"/>
    <n v="4822.8999999999996"/>
  </r>
  <r>
    <s v="T03792"/>
    <d v="2025-01-16T00:00:00"/>
    <s v="C116"/>
    <s v="P031"/>
    <s v="S004"/>
    <n v="4"/>
    <n v="0.05"/>
    <x v="2"/>
    <s v="Jamie Webb"/>
    <x v="39"/>
    <x v="2"/>
    <x v="1"/>
    <n v="1095.72"/>
    <n v="4163.7359999999999"/>
  </r>
  <r>
    <s v="T03793"/>
    <d v="2025-03-10T00:00:00"/>
    <s v="C171"/>
    <s v="P046"/>
    <s v="S003"/>
    <n v="2"/>
    <n v="0.15"/>
    <x v="2"/>
    <s v="Christina Dominguez"/>
    <x v="42"/>
    <x v="0"/>
    <x v="0"/>
    <n v="1165.3699999999999"/>
    <n v="1981.1289999999997"/>
  </r>
  <r>
    <s v="T03794"/>
    <d v="2024-08-17T00:00:00"/>
    <s v="C008"/>
    <s v="P021"/>
    <s v="S002"/>
    <n v="5"/>
    <n v="0.15"/>
    <x v="2"/>
    <s v="Isaiah Williams"/>
    <x v="23"/>
    <x v="2"/>
    <x v="2"/>
    <n v="1227.24"/>
    <n v="5215.7699999999995"/>
  </r>
  <r>
    <s v="T03795"/>
    <d v="2025-01-08T00:00:00"/>
    <s v="C019"/>
    <s v="P001"/>
    <s v="S004"/>
    <n v="3"/>
    <n v="0"/>
    <x v="3"/>
    <s v="John Smith"/>
    <x v="31"/>
    <x v="1"/>
    <x v="1"/>
    <n v="1673.69"/>
    <n v="5021.07"/>
  </r>
  <r>
    <s v="T03796"/>
    <d v="2023-09-26T00:00:00"/>
    <s v="C018"/>
    <s v="P018"/>
    <s v="S005"/>
    <n v="4"/>
    <n v="0.05"/>
    <x v="3"/>
    <s v="Breanna Davis"/>
    <x v="19"/>
    <x v="1"/>
    <x v="4"/>
    <n v="1079.8900000000001"/>
    <n v="4103.5820000000003"/>
  </r>
  <r>
    <s v="T03797"/>
    <d v="2024-12-19T00:00:00"/>
    <s v="C066"/>
    <s v="P022"/>
    <s v="S003"/>
    <n v="2"/>
    <n v="0"/>
    <x v="1"/>
    <s v="Jason Jenkins"/>
    <x v="9"/>
    <x v="2"/>
    <x v="0"/>
    <n v="25.57"/>
    <n v="51.14"/>
  </r>
  <r>
    <s v="T03798"/>
    <d v="2024-07-26T00:00:00"/>
    <s v="C156"/>
    <s v="P039"/>
    <s v="S002"/>
    <n v="3"/>
    <n v="0.05"/>
    <x v="0"/>
    <s v="George Young"/>
    <x v="22"/>
    <x v="0"/>
    <x v="2"/>
    <n v="540.94000000000005"/>
    <n v="1541.6790000000001"/>
  </r>
  <r>
    <s v="T03799"/>
    <d v="2024-06-25T00:00:00"/>
    <s v="C160"/>
    <s v="P006"/>
    <s v="S002"/>
    <n v="3"/>
    <n v="0.05"/>
    <x v="0"/>
    <s v="Meagan Macdonald"/>
    <x v="35"/>
    <x v="2"/>
    <x v="2"/>
    <n v="318.05"/>
    <n v="906.4425"/>
  </r>
  <r>
    <s v="T03800"/>
    <d v="2023-12-20T00:00:00"/>
    <s v="C004"/>
    <s v="P019"/>
    <s v="S001"/>
    <n v="1"/>
    <n v="0"/>
    <x v="1"/>
    <s v="Joseph Ward"/>
    <x v="26"/>
    <x v="1"/>
    <x v="3"/>
    <n v="1762.92"/>
    <n v="1762.92"/>
  </r>
  <r>
    <s v="T03801"/>
    <d v="2024-12-18T00:00:00"/>
    <s v="C113"/>
    <s v="P041"/>
    <s v="S004"/>
    <n v="5"/>
    <n v="0.1"/>
    <x v="3"/>
    <s v="Heidi Wilson"/>
    <x v="30"/>
    <x v="1"/>
    <x v="1"/>
    <n v="1635.01"/>
    <n v="7357.5450000000001"/>
  </r>
  <r>
    <s v="T03802"/>
    <d v="2024-11-02T00:00:00"/>
    <s v="C109"/>
    <s v="P034"/>
    <s v="S003"/>
    <n v="2"/>
    <n v="0.1"/>
    <x v="0"/>
    <s v="Austin Hogan"/>
    <x v="12"/>
    <x v="1"/>
    <x v="0"/>
    <n v="428.05"/>
    <n v="770.49"/>
  </r>
  <r>
    <s v="T03803"/>
    <d v="2024-05-19T00:00:00"/>
    <s v="C066"/>
    <s v="P016"/>
    <s v="S003"/>
    <n v="3"/>
    <n v="0.1"/>
    <x v="1"/>
    <s v="Jason Jenkins"/>
    <x v="13"/>
    <x v="0"/>
    <x v="0"/>
    <n v="1858.75"/>
    <n v="5018.625"/>
  </r>
  <r>
    <s v="T03804"/>
    <d v="2025-05-14T00:00:00"/>
    <s v="C014"/>
    <s v="P019"/>
    <s v="S005"/>
    <n v="2"/>
    <n v="0.1"/>
    <x v="3"/>
    <s v="Brittany Green"/>
    <x v="26"/>
    <x v="1"/>
    <x v="4"/>
    <n v="1762.92"/>
    <n v="3173.2560000000003"/>
  </r>
  <r>
    <s v="T03805"/>
    <d v="2024-02-14T00:00:00"/>
    <s v="C122"/>
    <s v="P024"/>
    <s v="S005"/>
    <n v="5"/>
    <n v="0.05"/>
    <x v="1"/>
    <s v="Amy Smith"/>
    <x v="14"/>
    <x v="1"/>
    <x v="4"/>
    <n v="1487.41"/>
    <n v="7065.1975000000002"/>
  </r>
  <r>
    <s v="T03806"/>
    <d v="2025-01-30T00:00:00"/>
    <s v="C181"/>
    <s v="P046"/>
    <s v="S005"/>
    <n v="1"/>
    <n v="0"/>
    <x v="0"/>
    <s v="Brittany Oneal"/>
    <x v="42"/>
    <x v="0"/>
    <x v="4"/>
    <n v="1165.3699999999999"/>
    <n v="1165.3699999999999"/>
  </r>
  <r>
    <s v="T03807"/>
    <d v="2023-11-21T00:00:00"/>
    <s v="C062"/>
    <s v="P045"/>
    <s v="S005"/>
    <n v="1"/>
    <n v="0.05"/>
    <x v="1"/>
    <s v="Susan Salinas"/>
    <x v="8"/>
    <x v="2"/>
    <x v="4"/>
    <n v="1879.08"/>
    <n v="1785.1259999999997"/>
  </r>
  <r>
    <s v="T03808"/>
    <d v="2023-12-02T00:00:00"/>
    <s v="C129"/>
    <s v="P024"/>
    <s v="S005"/>
    <n v="3"/>
    <n v="0.15"/>
    <x v="1"/>
    <s v="Gary Taylor"/>
    <x v="14"/>
    <x v="1"/>
    <x v="4"/>
    <n v="1487.41"/>
    <n v="3792.8955000000001"/>
  </r>
  <r>
    <s v="T03809"/>
    <d v="2024-12-23T00:00:00"/>
    <s v="C151"/>
    <s v="P022"/>
    <s v="S005"/>
    <n v="5"/>
    <n v="0.05"/>
    <x v="3"/>
    <s v="Dawn Fletcher"/>
    <x v="9"/>
    <x v="2"/>
    <x v="4"/>
    <n v="25.57"/>
    <n v="121.4575"/>
  </r>
  <r>
    <s v="T03810"/>
    <d v="2023-10-07T00:00:00"/>
    <s v="C079"/>
    <s v="P036"/>
    <s v="S003"/>
    <n v="4"/>
    <n v="0.05"/>
    <x v="1"/>
    <s v="Donald Marsh"/>
    <x v="4"/>
    <x v="0"/>
    <x v="0"/>
    <n v="1501.46"/>
    <n v="5705.5479999999998"/>
  </r>
  <r>
    <s v="T03811"/>
    <d v="2025-07-04T00:00:00"/>
    <s v="C027"/>
    <s v="P046"/>
    <s v="S003"/>
    <n v="4"/>
    <n v="0.05"/>
    <x v="0"/>
    <s v="Jacqueline Martin"/>
    <x v="42"/>
    <x v="0"/>
    <x v="0"/>
    <n v="1165.3699999999999"/>
    <n v="4428.405999999999"/>
  </r>
  <r>
    <s v="T03812"/>
    <d v="2024-10-15T00:00:00"/>
    <s v="C097"/>
    <s v="P011"/>
    <s v="S002"/>
    <n v="1"/>
    <n v="0"/>
    <x v="1"/>
    <s v="Evelyn Gray"/>
    <x v="17"/>
    <x v="1"/>
    <x v="2"/>
    <n v="248.57"/>
    <n v="248.57"/>
  </r>
  <r>
    <s v="T03813"/>
    <d v="2024-01-19T00:00:00"/>
    <s v="C182"/>
    <s v="P048"/>
    <s v="S003"/>
    <n v="2"/>
    <n v="0.1"/>
    <x v="2"/>
    <s v="Meghan Wright"/>
    <x v="11"/>
    <x v="0"/>
    <x v="0"/>
    <n v="1216.3599999999999"/>
    <n v="2189.4479999999999"/>
  </r>
  <r>
    <s v="T03814"/>
    <d v="2023-11-30T00:00:00"/>
    <s v="C053"/>
    <s v="P005"/>
    <s v="S005"/>
    <n v="2"/>
    <n v="0.15"/>
    <x v="2"/>
    <s v="Felicia Morgan"/>
    <x v="6"/>
    <x v="0"/>
    <x v="4"/>
    <n v="1396.22"/>
    <n v="2373.5740000000001"/>
  </r>
  <r>
    <s v="T03815"/>
    <d v="2023-09-11T00:00:00"/>
    <s v="C134"/>
    <s v="P007"/>
    <s v="S002"/>
    <n v="2"/>
    <n v="0"/>
    <x v="2"/>
    <s v="Emily Hart"/>
    <x v="18"/>
    <x v="1"/>
    <x v="2"/>
    <n v="1474.12"/>
    <n v="2948.24"/>
  </r>
  <r>
    <s v="T03816"/>
    <d v="2024-04-07T00:00:00"/>
    <s v="C029"/>
    <s v="P042"/>
    <s v="S005"/>
    <n v="4"/>
    <n v="0"/>
    <x v="1"/>
    <s v="Tyler Levine"/>
    <x v="10"/>
    <x v="0"/>
    <x v="4"/>
    <n v="453.62"/>
    <n v="1814.48"/>
  </r>
  <r>
    <s v="T03817"/>
    <d v="2024-07-09T00:00:00"/>
    <s v="C041"/>
    <s v="P004"/>
    <s v="S005"/>
    <n v="2"/>
    <n v="0.05"/>
    <x v="3"/>
    <s v="Melissa Rodgers"/>
    <x v="49"/>
    <x v="0"/>
    <x v="4"/>
    <n v="1853.77"/>
    <n v="3522.163"/>
  </r>
  <r>
    <s v="T03818"/>
    <d v="2024-05-17T00:00:00"/>
    <s v="C183"/>
    <s v="P049"/>
    <s v="S005"/>
    <n v="5"/>
    <n v="0.05"/>
    <x v="2"/>
    <s v="Mary Dawson"/>
    <x v="29"/>
    <x v="0"/>
    <x v="4"/>
    <n v="388.26"/>
    <n v="1844.2349999999999"/>
  </r>
  <r>
    <s v="T03819"/>
    <d v="2023-09-23T00:00:00"/>
    <s v="C038"/>
    <s v="P045"/>
    <s v="S001"/>
    <n v="1"/>
    <n v="0"/>
    <x v="3"/>
    <s v="Tracey Davis"/>
    <x v="8"/>
    <x v="2"/>
    <x v="3"/>
    <n v="1879.08"/>
    <n v="1879.08"/>
  </r>
  <r>
    <s v="T03820"/>
    <d v="2025-02-05T00:00:00"/>
    <s v="C048"/>
    <s v="P029"/>
    <s v="S002"/>
    <n v="2"/>
    <n v="0"/>
    <x v="3"/>
    <s v="Alexis Crane"/>
    <x v="47"/>
    <x v="0"/>
    <x v="2"/>
    <n v="1485.05"/>
    <n v="2970.1"/>
  </r>
  <r>
    <s v="T03821"/>
    <d v="2024-04-16T00:00:00"/>
    <s v="C017"/>
    <s v="P002"/>
    <s v="S005"/>
    <n v="4"/>
    <n v="0.15"/>
    <x v="1"/>
    <s v="Vanessa Anderson"/>
    <x v="2"/>
    <x v="1"/>
    <x v="4"/>
    <n v="818.76"/>
    <n v="2783.7840000000001"/>
  </r>
  <r>
    <s v="T03822"/>
    <d v="2023-09-15T00:00:00"/>
    <s v="C098"/>
    <s v="P024"/>
    <s v="S001"/>
    <n v="1"/>
    <n v="0"/>
    <x v="1"/>
    <s v="Lisa Vega"/>
    <x v="14"/>
    <x v="1"/>
    <x v="3"/>
    <n v="1487.41"/>
    <n v="1487.41"/>
  </r>
  <r>
    <s v="T03823"/>
    <d v="2024-09-27T00:00:00"/>
    <s v="C184"/>
    <s v="P042"/>
    <s v="S004"/>
    <n v="1"/>
    <n v="0"/>
    <x v="3"/>
    <s v="Daniel Mcintyre"/>
    <x v="10"/>
    <x v="0"/>
    <x v="1"/>
    <n v="453.62"/>
    <n v="453.62"/>
  </r>
  <r>
    <s v="T03824"/>
    <d v="2024-07-03T00:00:00"/>
    <s v="C076"/>
    <s v="P003"/>
    <s v="S002"/>
    <n v="3"/>
    <n v="0.15"/>
    <x v="3"/>
    <s v="Phyllis Durham"/>
    <x v="46"/>
    <x v="0"/>
    <x v="2"/>
    <n v="337.63"/>
    <n v="860.95650000000001"/>
  </r>
  <r>
    <s v="T03825"/>
    <d v="2025-04-27T00:00:00"/>
    <s v="C074"/>
    <s v="P013"/>
    <s v="S001"/>
    <n v="2"/>
    <n v="0.1"/>
    <x v="0"/>
    <s v="Jesus Singh"/>
    <x v="21"/>
    <x v="0"/>
    <x v="3"/>
    <n v="1134.8"/>
    <n v="2042.6399999999999"/>
  </r>
  <r>
    <s v="T03826"/>
    <d v="2024-10-24T00:00:00"/>
    <s v="C167"/>
    <s v="P008"/>
    <s v="S002"/>
    <n v="1"/>
    <n v="0"/>
    <x v="1"/>
    <s v="Kimberly Lin"/>
    <x v="48"/>
    <x v="0"/>
    <x v="2"/>
    <n v="109.78"/>
    <n v="109.78"/>
  </r>
  <r>
    <s v="T03827"/>
    <d v="2025-03-26T00:00:00"/>
    <s v="C071"/>
    <s v="P015"/>
    <s v="S004"/>
    <n v="5"/>
    <n v="0.05"/>
    <x v="2"/>
    <s v="Denise Gutierrez"/>
    <x v="40"/>
    <x v="0"/>
    <x v="1"/>
    <n v="270.45"/>
    <n v="1284.6375"/>
  </r>
  <r>
    <s v="T03828"/>
    <d v="2023-10-20T00:00:00"/>
    <s v="C081"/>
    <s v="P010"/>
    <s v="S003"/>
    <n v="4"/>
    <n v="0.1"/>
    <x v="3"/>
    <s v="Sarah Reynolds"/>
    <x v="36"/>
    <x v="1"/>
    <x v="0"/>
    <n v="1194.1199999999999"/>
    <n v="4298.8319999999994"/>
  </r>
  <r>
    <s v="T03829"/>
    <d v="2025-02-15T00:00:00"/>
    <s v="C009"/>
    <s v="P050"/>
    <s v="S001"/>
    <n v="2"/>
    <n v="0"/>
    <x v="1"/>
    <s v="Richard Pacheco"/>
    <x v="3"/>
    <x v="0"/>
    <x v="3"/>
    <n v="1044.6400000000001"/>
    <n v="2089.2800000000002"/>
  </r>
  <r>
    <s v="T03830"/>
    <d v="2024-05-27T00:00:00"/>
    <s v="C193"/>
    <s v="P015"/>
    <s v="S004"/>
    <n v="2"/>
    <n v="0"/>
    <x v="0"/>
    <s v="Donald Meza"/>
    <x v="40"/>
    <x v="0"/>
    <x v="1"/>
    <n v="270.45"/>
    <n v="540.9"/>
  </r>
  <r>
    <s v="T03831"/>
    <d v="2025-07-07T00:00:00"/>
    <s v="C072"/>
    <s v="P004"/>
    <s v="S003"/>
    <n v="5"/>
    <n v="0.15"/>
    <x v="1"/>
    <s v="Eric Watkins"/>
    <x v="49"/>
    <x v="0"/>
    <x v="0"/>
    <n v="1853.77"/>
    <n v="7878.5225"/>
  </r>
  <r>
    <s v="T03832"/>
    <d v="2023-10-30T00:00:00"/>
    <s v="C020"/>
    <s v="P039"/>
    <s v="S003"/>
    <n v="1"/>
    <n v="0"/>
    <x v="1"/>
    <s v="Ryan Cole"/>
    <x v="22"/>
    <x v="0"/>
    <x v="0"/>
    <n v="540.94000000000005"/>
    <n v="540.94000000000005"/>
  </r>
  <r>
    <s v="T03833"/>
    <d v="2024-08-19T00:00:00"/>
    <s v="C111"/>
    <s v="P021"/>
    <s v="S004"/>
    <n v="4"/>
    <n v="0.1"/>
    <x v="3"/>
    <s v="Dylan Booker"/>
    <x v="23"/>
    <x v="2"/>
    <x v="1"/>
    <n v="1227.24"/>
    <n v="4418.0640000000003"/>
  </r>
  <r>
    <s v="T03834"/>
    <d v="2023-09-14T00:00:00"/>
    <s v="C019"/>
    <s v="P032"/>
    <s v="S001"/>
    <n v="4"/>
    <n v="0.1"/>
    <x v="0"/>
    <s v="John Smith"/>
    <x v="44"/>
    <x v="2"/>
    <x v="3"/>
    <n v="304.70999999999998"/>
    <n v="1096.9559999999999"/>
  </r>
  <r>
    <s v="T03835"/>
    <d v="2024-01-14T00:00:00"/>
    <s v="C023"/>
    <s v="P036"/>
    <s v="S001"/>
    <n v="2"/>
    <n v="0.1"/>
    <x v="3"/>
    <s v="Mark Martinez"/>
    <x v="4"/>
    <x v="0"/>
    <x v="3"/>
    <n v="1501.46"/>
    <n v="2702.6280000000002"/>
  </r>
  <r>
    <s v="T03836"/>
    <d v="2024-11-28T00:00:00"/>
    <s v="C115"/>
    <s v="P013"/>
    <s v="S005"/>
    <n v="3"/>
    <n v="0"/>
    <x v="1"/>
    <s v="Jose Smith"/>
    <x v="21"/>
    <x v="0"/>
    <x v="4"/>
    <n v="1134.8"/>
    <n v="3404.3999999999996"/>
  </r>
  <r>
    <s v="T03837"/>
    <d v="2024-10-06T00:00:00"/>
    <s v="C158"/>
    <s v="P014"/>
    <s v="S005"/>
    <n v="3"/>
    <n v="0.15"/>
    <x v="3"/>
    <s v="Crystal Aguirre"/>
    <x v="0"/>
    <x v="0"/>
    <x v="4"/>
    <n v="1342.75"/>
    <n v="3424.0124999999998"/>
  </r>
  <r>
    <s v="T03838"/>
    <d v="2025-01-16T00:00:00"/>
    <s v="C134"/>
    <s v="P037"/>
    <s v="S005"/>
    <n v="1"/>
    <n v="0.1"/>
    <x v="2"/>
    <s v="Emily Hart"/>
    <x v="27"/>
    <x v="1"/>
    <x v="4"/>
    <n v="1952.65"/>
    <n v="1757.3850000000002"/>
  </r>
  <r>
    <s v="T03839"/>
    <d v="2025-04-06T00:00:00"/>
    <s v="C111"/>
    <s v="P026"/>
    <s v="S004"/>
    <n v="5"/>
    <n v="0.05"/>
    <x v="0"/>
    <s v="Dylan Booker"/>
    <x v="15"/>
    <x v="2"/>
    <x v="1"/>
    <n v="1015.76"/>
    <n v="4824.8599999999997"/>
  </r>
  <r>
    <s v="T03840"/>
    <d v="2025-08-09T00:00:00"/>
    <s v="C142"/>
    <s v="P023"/>
    <s v="S002"/>
    <n v="4"/>
    <n v="0.15"/>
    <x v="2"/>
    <s v="Suzanne Fox"/>
    <x v="20"/>
    <x v="0"/>
    <x v="2"/>
    <n v="1878.47"/>
    <n v="6386.7979999999998"/>
  </r>
  <r>
    <s v="T03841"/>
    <d v="2024-06-10T00:00:00"/>
    <s v="C100"/>
    <s v="P001"/>
    <s v="S005"/>
    <n v="4"/>
    <n v="0"/>
    <x v="2"/>
    <s v="Sean Hart"/>
    <x v="31"/>
    <x v="1"/>
    <x v="4"/>
    <n v="1673.69"/>
    <n v="6694.76"/>
  </r>
  <r>
    <s v="T03842"/>
    <d v="2024-05-13T00:00:00"/>
    <s v="C139"/>
    <s v="P038"/>
    <s v="S004"/>
    <n v="5"/>
    <n v="0"/>
    <x v="1"/>
    <s v="Alexander Mcfarland"/>
    <x v="41"/>
    <x v="0"/>
    <x v="1"/>
    <n v="366.93"/>
    <n v="1834.65"/>
  </r>
  <r>
    <s v="T03843"/>
    <d v="2024-01-30T00:00:00"/>
    <s v="C136"/>
    <s v="P031"/>
    <s v="S004"/>
    <n v="5"/>
    <n v="0"/>
    <x v="0"/>
    <s v="Amanda Garcia"/>
    <x v="39"/>
    <x v="2"/>
    <x v="1"/>
    <n v="1095.72"/>
    <n v="5478.6"/>
  </r>
  <r>
    <s v="T03844"/>
    <d v="2024-06-17T00:00:00"/>
    <s v="C008"/>
    <s v="P032"/>
    <s v="S003"/>
    <n v="5"/>
    <n v="0.15"/>
    <x v="2"/>
    <s v="Isaiah Williams"/>
    <x v="44"/>
    <x v="2"/>
    <x v="0"/>
    <n v="304.70999999999998"/>
    <n v="1295.0174999999999"/>
  </r>
  <r>
    <s v="T03845"/>
    <d v="2024-09-05T00:00:00"/>
    <s v="C093"/>
    <s v="P019"/>
    <s v="S004"/>
    <n v="1"/>
    <n v="0.15"/>
    <x v="1"/>
    <s v="Stanley Brown"/>
    <x v="26"/>
    <x v="1"/>
    <x v="1"/>
    <n v="1762.92"/>
    <n v="1498.482"/>
  </r>
  <r>
    <s v="T03846"/>
    <d v="2025-07-09T00:00:00"/>
    <s v="C006"/>
    <s v="P021"/>
    <s v="S005"/>
    <n v="2"/>
    <n v="0.05"/>
    <x v="3"/>
    <s v="Danny Moore"/>
    <x v="23"/>
    <x v="2"/>
    <x v="4"/>
    <n v="1227.24"/>
    <n v="2331.7559999999999"/>
  </r>
  <r>
    <s v="T03847"/>
    <d v="2025-01-09T00:00:00"/>
    <s v="C023"/>
    <s v="P049"/>
    <s v="S002"/>
    <n v="4"/>
    <n v="0.1"/>
    <x v="1"/>
    <s v="Mark Martinez"/>
    <x v="29"/>
    <x v="0"/>
    <x v="2"/>
    <n v="388.26"/>
    <n v="1397.7360000000001"/>
  </r>
  <r>
    <s v="T03848"/>
    <d v="2023-11-07T00:00:00"/>
    <s v="C162"/>
    <s v="P027"/>
    <s v="S005"/>
    <n v="5"/>
    <n v="0.05"/>
    <x v="1"/>
    <s v="Jill Roach"/>
    <x v="34"/>
    <x v="1"/>
    <x v="4"/>
    <n v="1272.23"/>
    <n v="6043.0924999999997"/>
  </r>
  <r>
    <s v="T03849"/>
    <d v="2025-03-29T00:00:00"/>
    <s v="C004"/>
    <s v="P030"/>
    <s v="S003"/>
    <n v="1"/>
    <n v="0"/>
    <x v="0"/>
    <s v="Joseph Ward"/>
    <x v="1"/>
    <x v="0"/>
    <x v="0"/>
    <n v="29.24"/>
    <n v="29.24"/>
  </r>
  <r>
    <s v="T03850"/>
    <d v="2024-03-14T00:00:00"/>
    <s v="C036"/>
    <s v="P047"/>
    <s v="S001"/>
    <n v="4"/>
    <n v="0.1"/>
    <x v="0"/>
    <s v="Michael Cervantes"/>
    <x v="28"/>
    <x v="1"/>
    <x v="3"/>
    <n v="1197.18"/>
    <n v="4309.848"/>
  </r>
  <r>
    <s v="T03851"/>
    <d v="2025-01-20T00:00:00"/>
    <s v="C131"/>
    <s v="P030"/>
    <s v="S003"/>
    <n v="1"/>
    <n v="0.15"/>
    <x v="1"/>
    <s v="Denise Jackson"/>
    <x v="1"/>
    <x v="0"/>
    <x v="0"/>
    <n v="29.24"/>
    <n v="24.853999999999999"/>
  </r>
  <r>
    <s v="T03852"/>
    <d v="2024-02-01T00:00:00"/>
    <s v="C117"/>
    <s v="P023"/>
    <s v="S003"/>
    <n v="1"/>
    <n v="0.05"/>
    <x v="1"/>
    <s v="Timothy Beck"/>
    <x v="20"/>
    <x v="0"/>
    <x v="0"/>
    <n v="1878.47"/>
    <n v="1784.5464999999999"/>
  </r>
  <r>
    <s v="T03853"/>
    <d v="2025-07-31T00:00:00"/>
    <s v="C076"/>
    <s v="P027"/>
    <s v="S004"/>
    <n v="5"/>
    <n v="0.05"/>
    <x v="3"/>
    <s v="Phyllis Durham"/>
    <x v="34"/>
    <x v="1"/>
    <x v="1"/>
    <n v="1272.23"/>
    <n v="6043.0924999999997"/>
  </r>
  <r>
    <s v="T03854"/>
    <d v="2024-02-27T00:00:00"/>
    <s v="C025"/>
    <s v="P040"/>
    <s v="S005"/>
    <n v="5"/>
    <n v="0.05"/>
    <x v="0"/>
    <s v="Cheryl Gilbert"/>
    <x v="37"/>
    <x v="1"/>
    <x v="4"/>
    <n v="1745.61"/>
    <n v="8291.6474999999991"/>
  </r>
  <r>
    <s v="T03855"/>
    <d v="2025-01-04T00:00:00"/>
    <s v="C024"/>
    <s v="P029"/>
    <s v="S005"/>
    <n v="5"/>
    <n v="0.15"/>
    <x v="2"/>
    <s v="Molly Murray"/>
    <x v="47"/>
    <x v="0"/>
    <x v="4"/>
    <n v="1485.05"/>
    <n v="6311.4624999999996"/>
  </r>
  <r>
    <s v="T03856"/>
    <d v="2025-06-08T00:00:00"/>
    <s v="C112"/>
    <s v="P030"/>
    <s v="S003"/>
    <n v="2"/>
    <n v="0.05"/>
    <x v="2"/>
    <s v="Jeffrey Smith"/>
    <x v="1"/>
    <x v="0"/>
    <x v="0"/>
    <n v="29.24"/>
    <n v="55.555999999999997"/>
  </r>
  <r>
    <s v="T03857"/>
    <d v="2024-04-08T00:00:00"/>
    <s v="C155"/>
    <s v="P020"/>
    <s v="S004"/>
    <n v="3"/>
    <n v="0"/>
    <x v="1"/>
    <s v="Jill Mcconnell"/>
    <x v="24"/>
    <x v="0"/>
    <x v="1"/>
    <n v="323.92"/>
    <n v="971.76"/>
  </r>
  <r>
    <s v="T03858"/>
    <d v="2024-10-23T00:00:00"/>
    <s v="C014"/>
    <s v="P008"/>
    <s v="S003"/>
    <n v="3"/>
    <n v="0.1"/>
    <x v="2"/>
    <s v="Brittany Green"/>
    <x v="48"/>
    <x v="0"/>
    <x v="0"/>
    <n v="109.78"/>
    <n v="296.40600000000006"/>
  </r>
  <r>
    <s v="T03859"/>
    <d v="2025-05-08T00:00:00"/>
    <s v="C027"/>
    <s v="P045"/>
    <s v="S005"/>
    <n v="3"/>
    <n v="0.1"/>
    <x v="0"/>
    <s v="Jacqueline Martin"/>
    <x v="8"/>
    <x v="2"/>
    <x v="4"/>
    <n v="1879.08"/>
    <n v="5073.5159999999996"/>
  </r>
  <r>
    <s v="T03860"/>
    <d v="2024-01-27T00:00:00"/>
    <s v="C125"/>
    <s v="P039"/>
    <s v="S001"/>
    <n v="3"/>
    <n v="0.15"/>
    <x v="2"/>
    <s v="Kimberly Parker"/>
    <x v="22"/>
    <x v="0"/>
    <x v="3"/>
    <n v="540.94000000000005"/>
    <n v="1379.3970000000002"/>
  </r>
  <r>
    <s v="T03861"/>
    <d v="2024-11-17T00:00:00"/>
    <s v="C001"/>
    <s v="P009"/>
    <s v="S005"/>
    <n v="2"/>
    <n v="0.05"/>
    <x v="0"/>
    <s v="Michael Davis"/>
    <x v="5"/>
    <x v="2"/>
    <x v="4"/>
    <n v="123.19"/>
    <n v="234.06099999999998"/>
  </r>
  <r>
    <s v="T03862"/>
    <d v="2025-05-03T00:00:00"/>
    <s v="C128"/>
    <s v="P035"/>
    <s v="S001"/>
    <n v="5"/>
    <n v="0"/>
    <x v="3"/>
    <s v="Robert Collins"/>
    <x v="7"/>
    <x v="1"/>
    <x v="3"/>
    <n v="1562.43"/>
    <n v="7812.1500000000005"/>
  </r>
  <r>
    <s v="T03863"/>
    <d v="2024-10-10T00:00:00"/>
    <s v="C017"/>
    <s v="P012"/>
    <s v="S004"/>
    <n v="2"/>
    <n v="0.1"/>
    <x v="1"/>
    <s v="Vanessa Anderson"/>
    <x v="38"/>
    <x v="1"/>
    <x v="1"/>
    <n v="1193.0899999999999"/>
    <n v="2147.5619999999999"/>
  </r>
  <r>
    <s v="T03864"/>
    <d v="2024-03-31T00:00:00"/>
    <s v="C071"/>
    <s v="P009"/>
    <s v="S001"/>
    <n v="4"/>
    <n v="0.05"/>
    <x v="2"/>
    <s v="Denise Gutierrez"/>
    <x v="5"/>
    <x v="2"/>
    <x v="3"/>
    <n v="123.19"/>
    <n v="468.12199999999996"/>
  </r>
  <r>
    <s v="T03865"/>
    <d v="2023-12-02T00:00:00"/>
    <s v="C035"/>
    <s v="P020"/>
    <s v="S003"/>
    <n v="4"/>
    <n v="0.05"/>
    <x v="2"/>
    <s v="Kimberly King"/>
    <x v="24"/>
    <x v="0"/>
    <x v="0"/>
    <n v="323.92"/>
    <n v="1230.896"/>
  </r>
  <r>
    <s v="T03866"/>
    <d v="2024-09-17T00:00:00"/>
    <s v="C144"/>
    <s v="P010"/>
    <s v="S005"/>
    <n v="3"/>
    <n v="0.1"/>
    <x v="3"/>
    <s v="Betty Johnson"/>
    <x v="36"/>
    <x v="1"/>
    <x v="4"/>
    <n v="1194.1199999999999"/>
    <n v="3224.1239999999998"/>
  </r>
  <r>
    <s v="T03867"/>
    <d v="2024-11-19T00:00:00"/>
    <s v="C015"/>
    <s v="P005"/>
    <s v="S001"/>
    <n v="4"/>
    <n v="0.05"/>
    <x v="2"/>
    <s v="Matthew Molina"/>
    <x v="6"/>
    <x v="0"/>
    <x v="3"/>
    <n v="1396.22"/>
    <n v="5305.6359999999995"/>
  </r>
  <r>
    <s v="T03868"/>
    <d v="2023-12-19T00:00:00"/>
    <s v="C177"/>
    <s v="P046"/>
    <s v="S003"/>
    <n v="4"/>
    <n v="0.05"/>
    <x v="3"/>
    <s v="Anthony Gould"/>
    <x v="42"/>
    <x v="0"/>
    <x v="0"/>
    <n v="1165.3699999999999"/>
    <n v="4428.405999999999"/>
  </r>
  <r>
    <s v="T03869"/>
    <d v="2025-03-31T00:00:00"/>
    <s v="C035"/>
    <s v="P010"/>
    <s v="S004"/>
    <n v="1"/>
    <n v="0.15"/>
    <x v="0"/>
    <s v="Kimberly King"/>
    <x v="36"/>
    <x v="1"/>
    <x v="1"/>
    <n v="1194.1199999999999"/>
    <n v="1015.0019999999998"/>
  </r>
  <r>
    <s v="T03870"/>
    <d v="2024-03-25T00:00:00"/>
    <s v="C002"/>
    <s v="P049"/>
    <s v="S004"/>
    <n v="1"/>
    <n v="0"/>
    <x v="0"/>
    <s v="Michael Miller"/>
    <x v="29"/>
    <x v="0"/>
    <x v="1"/>
    <n v="388.26"/>
    <n v="388.26"/>
  </r>
  <r>
    <s v="T03871"/>
    <d v="2025-07-16T00:00:00"/>
    <s v="C144"/>
    <s v="P023"/>
    <s v="S001"/>
    <n v="1"/>
    <n v="0"/>
    <x v="0"/>
    <s v="Betty Johnson"/>
    <x v="20"/>
    <x v="0"/>
    <x v="3"/>
    <n v="1878.47"/>
    <n v="1878.47"/>
  </r>
  <r>
    <s v="T03872"/>
    <d v="2025-09-01T00:00:00"/>
    <s v="C001"/>
    <s v="P012"/>
    <s v="S005"/>
    <n v="2"/>
    <n v="0.15"/>
    <x v="3"/>
    <s v="Michael Davis"/>
    <x v="38"/>
    <x v="1"/>
    <x v="4"/>
    <n v="1193.0899999999999"/>
    <n v="2028.2529999999997"/>
  </r>
  <r>
    <s v="T03873"/>
    <d v="2025-05-10T00:00:00"/>
    <s v="C169"/>
    <s v="P029"/>
    <s v="S001"/>
    <n v="3"/>
    <n v="0.05"/>
    <x v="1"/>
    <s v="Travis Watson"/>
    <x v="47"/>
    <x v="0"/>
    <x v="3"/>
    <n v="1485.05"/>
    <n v="4232.392499999999"/>
  </r>
  <r>
    <s v="T03874"/>
    <d v="2025-06-29T00:00:00"/>
    <s v="C021"/>
    <s v="P010"/>
    <s v="S001"/>
    <n v="3"/>
    <n v="0.05"/>
    <x v="1"/>
    <s v="Debbie Martin"/>
    <x v="36"/>
    <x v="1"/>
    <x v="3"/>
    <n v="1194.1199999999999"/>
    <n v="3403.2419999999997"/>
  </r>
  <r>
    <s v="T03875"/>
    <d v="2024-12-15T00:00:00"/>
    <s v="C014"/>
    <s v="P014"/>
    <s v="S005"/>
    <n v="2"/>
    <n v="0.05"/>
    <x v="3"/>
    <s v="Brittany Green"/>
    <x v="0"/>
    <x v="0"/>
    <x v="4"/>
    <n v="1342.75"/>
    <n v="2551.2249999999999"/>
  </r>
  <r>
    <s v="T03876"/>
    <d v="2024-12-29T00:00:00"/>
    <s v="C009"/>
    <s v="P041"/>
    <s v="S004"/>
    <n v="1"/>
    <n v="0.15"/>
    <x v="0"/>
    <s v="Richard Pacheco"/>
    <x v="30"/>
    <x v="1"/>
    <x v="1"/>
    <n v="1635.01"/>
    <n v="1389.7584999999999"/>
  </r>
  <r>
    <s v="T03877"/>
    <d v="2024-09-06T00:00:00"/>
    <s v="C175"/>
    <s v="P010"/>
    <s v="S001"/>
    <n v="1"/>
    <n v="0.15"/>
    <x v="0"/>
    <s v="Stacey Thompson"/>
    <x v="36"/>
    <x v="1"/>
    <x v="3"/>
    <n v="1194.1199999999999"/>
    <n v="1015.0019999999998"/>
  </r>
  <r>
    <s v="T03878"/>
    <d v="2025-06-15T00:00:00"/>
    <s v="C180"/>
    <s v="P036"/>
    <s v="S001"/>
    <n v="5"/>
    <n v="0.1"/>
    <x v="0"/>
    <s v="Nichole Calhoun"/>
    <x v="4"/>
    <x v="0"/>
    <x v="3"/>
    <n v="1501.46"/>
    <n v="6756.5700000000006"/>
  </r>
  <r>
    <s v="T03879"/>
    <d v="2024-07-30T00:00:00"/>
    <s v="C179"/>
    <s v="P017"/>
    <s v="S003"/>
    <n v="2"/>
    <n v="0.05"/>
    <x v="1"/>
    <s v="Dennis Wallace"/>
    <x v="43"/>
    <x v="1"/>
    <x v="0"/>
    <n v="1246.1099999999999"/>
    <n v="2367.6089999999999"/>
  </r>
  <r>
    <s v="T03880"/>
    <d v="2023-10-11T00:00:00"/>
    <s v="C106"/>
    <s v="P034"/>
    <s v="S005"/>
    <n v="5"/>
    <n v="0.05"/>
    <x v="1"/>
    <s v="Kevin Flores"/>
    <x v="12"/>
    <x v="1"/>
    <x v="4"/>
    <n v="428.05"/>
    <n v="2033.2375"/>
  </r>
  <r>
    <s v="T03881"/>
    <d v="2024-11-30T00:00:00"/>
    <s v="C089"/>
    <s v="P019"/>
    <s v="S002"/>
    <n v="5"/>
    <n v="0.1"/>
    <x v="0"/>
    <s v="William Warner"/>
    <x v="26"/>
    <x v="1"/>
    <x v="2"/>
    <n v="1762.92"/>
    <n v="7933.14"/>
  </r>
  <r>
    <s v="T03882"/>
    <d v="2024-07-16T00:00:00"/>
    <s v="C121"/>
    <s v="P008"/>
    <s v="S001"/>
    <n v="4"/>
    <n v="0"/>
    <x v="2"/>
    <s v="John Bell"/>
    <x v="48"/>
    <x v="0"/>
    <x v="3"/>
    <n v="109.78"/>
    <n v="439.12"/>
  </r>
  <r>
    <s v="T03883"/>
    <d v="2024-10-05T00:00:00"/>
    <s v="C122"/>
    <s v="P036"/>
    <s v="S002"/>
    <n v="3"/>
    <n v="0"/>
    <x v="2"/>
    <s v="Amy Smith"/>
    <x v="4"/>
    <x v="0"/>
    <x v="2"/>
    <n v="1501.46"/>
    <n v="4504.38"/>
  </r>
  <r>
    <s v="T03884"/>
    <d v="2024-05-07T00:00:00"/>
    <s v="C198"/>
    <s v="P043"/>
    <s v="S001"/>
    <n v="1"/>
    <n v="0.1"/>
    <x v="0"/>
    <s v="Jessica Mullins"/>
    <x v="45"/>
    <x v="0"/>
    <x v="3"/>
    <n v="564.41999999999996"/>
    <n v="507.97799999999995"/>
  </r>
  <r>
    <s v="T03885"/>
    <d v="2023-10-03T00:00:00"/>
    <s v="C012"/>
    <s v="P024"/>
    <s v="S002"/>
    <n v="3"/>
    <n v="0.15"/>
    <x v="2"/>
    <s v="Dale Perry"/>
    <x v="14"/>
    <x v="1"/>
    <x v="2"/>
    <n v="1487.41"/>
    <n v="3792.8955000000001"/>
  </r>
  <r>
    <s v="T03886"/>
    <d v="2024-10-03T00:00:00"/>
    <s v="C176"/>
    <s v="P042"/>
    <s v="S002"/>
    <n v="1"/>
    <n v="0.15"/>
    <x v="0"/>
    <s v="Peter Garcia"/>
    <x v="10"/>
    <x v="0"/>
    <x v="2"/>
    <n v="453.62"/>
    <n v="385.577"/>
  </r>
  <r>
    <s v="T03887"/>
    <d v="2024-04-11T00:00:00"/>
    <s v="C055"/>
    <s v="P044"/>
    <s v="S003"/>
    <n v="4"/>
    <n v="0.1"/>
    <x v="2"/>
    <s v="Deborah Moody"/>
    <x v="32"/>
    <x v="0"/>
    <x v="0"/>
    <n v="1286.55"/>
    <n v="4631.58"/>
  </r>
  <r>
    <s v="T03888"/>
    <d v="2024-04-03T00:00:00"/>
    <s v="C087"/>
    <s v="P021"/>
    <s v="S002"/>
    <n v="4"/>
    <n v="0"/>
    <x v="1"/>
    <s v="Laurie Mason"/>
    <x v="23"/>
    <x v="2"/>
    <x v="2"/>
    <n v="1227.24"/>
    <n v="4908.96"/>
  </r>
  <r>
    <s v="T03889"/>
    <d v="2025-03-23T00:00:00"/>
    <s v="C070"/>
    <s v="P010"/>
    <s v="S005"/>
    <n v="4"/>
    <n v="0"/>
    <x v="1"/>
    <s v="Eric Bryan"/>
    <x v="36"/>
    <x v="1"/>
    <x v="4"/>
    <n v="1194.1199999999999"/>
    <n v="4776.4799999999996"/>
  </r>
  <r>
    <s v="T03890"/>
    <d v="2025-01-13T00:00:00"/>
    <s v="C115"/>
    <s v="P001"/>
    <s v="S002"/>
    <n v="5"/>
    <n v="0.05"/>
    <x v="0"/>
    <s v="Jose Smith"/>
    <x v="31"/>
    <x v="1"/>
    <x v="2"/>
    <n v="1673.69"/>
    <n v="7950.0275000000001"/>
  </r>
  <r>
    <s v="T03891"/>
    <d v="2025-03-02T00:00:00"/>
    <s v="C077"/>
    <s v="P018"/>
    <s v="S005"/>
    <n v="5"/>
    <n v="0.05"/>
    <x v="0"/>
    <s v="Matthew Juarez"/>
    <x v="19"/>
    <x v="1"/>
    <x v="4"/>
    <n v="1079.8900000000001"/>
    <n v="5129.4775000000009"/>
  </r>
  <r>
    <s v="T03892"/>
    <d v="2024-05-21T00:00:00"/>
    <s v="C046"/>
    <s v="P039"/>
    <s v="S003"/>
    <n v="2"/>
    <n v="0.15"/>
    <x v="0"/>
    <s v="Dennis Poole"/>
    <x v="22"/>
    <x v="0"/>
    <x v="0"/>
    <n v="540.94000000000005"/>
    <n v="919.59800000000007"/>
  </r>
  <r>
    <s v="T03893"/>
    <d v="2024-05-23T00:00:00"/>
    <s v="C104"/>
    <s v="P025"/>
    <s v="S002"/>
    <n v="5"/>
    <n v="0"/>
    <x v="0"/>
    <s v="Brenda Dean"/>
    <x v="33"/>
    <x v="0"/>
    <x v="2"/>
    <n v="429.15"/>
    <n v="2145.75"/>
  </r>
  <r>
    <s v="T03894"/>
    <d v="2025-02-22T00:00:00"/>
    <s v="C086"/>
    <s v="P032"/>
    <s v="S001"/>
    <n v="4"/>
    <n v="0.15"/>
    <x v="0"/>
    <s v="Lawrence Hunter"/>
    <x v="44"/>
    <x v="2"/>
    <x v="3"/>
    <n v="304.70999999999998"/>
    <n v="1036.0139999999999"/>
  </r>
  <r>
    <s v="T03895"/>
    <d v="2025-06-28T00:00:00"/>
    <s v="C181"/>
    <s v="P028"/>
    <s v="S001"/>
    <n v="4"/>
    <n v="0.1"/>
    <x v="1"/>
    <s v="Brittany Oneal"/>
    <x v="25"/>
    <x v="1"/>
    <x v="3"/>
    <n v="673.78"/>
    <n v="2425.6080000000002"/>
  </r>
  <r>
    <s v="T03896"/>
    <d v="2024-12-28T00:00:00"/>
    <s v="C159"/>
    <s v="P016"/>
    <s v="S003"/>
    <n v="3"/>
    <n v="0"/>
    <x v="0"/>
    <s v="Thomas Chung"/>
    <x v="13"/>
    <x v="0"/>
    <x v="0"/>
    <n v="1858.75"/>
    <n v="5576.25"/>
  </r>
  <r>
    <s v="T03897"/>
    <d v="2024-02-16T00:00:00"/>
    <s v="C102"/>
    <s v="P022"/>
    <s v="S002"/>
    <n v="2"/>
    <n v="0.05"/>
    <x v="3"/>
    <s v="Carolyn Perez"/>
    <x v="9"/>
    <x v="2"/>
    <x v="2"/>
    <n v="25.57"/>
    <n v="48.582999999999998"/>
  </r>
  <r>
    <s v="T03898"/>
    <d v="2024-06-13T00:00:00"/>
    <s v="C153"/>
    <s v="P045"/>
    <s v="S001"/>
    <n v="5"/>
    <n v="0.1"/>
    <x v="0"/>
    <s v="Nancy Gordon"/>
    <x v="8"/>
    <x v="2"/>
    <x v="3"/>
    <n v="1879.08"/>
    <n v="8455.86"/>
  </r>
  <r>
    <s v="T03899"/>
    <d v="2025-08-11T00:00:00"/>
    <s v="C028"/>
    <s v="P037"/>
    <s v="S001"/>
    <n v="4"/>
    <n v="0.1"/>
    <x v="3"/>
    <s v="John Carr"/>
    <x v="27"/>
    <x v="1"/>
    <x v="3"/>
    <n v="1952.65"/>
    <n v="7029.5400000000009"/>
  </r>
  <r>
    <s v="T03900"/>
    <d v="2025-08-24T00:00:00"/>
    <s v="C171"/>
    <s v="P009"/>
    <s v="S005"/>
    <n v="1"/>
    <n v="0.05"/>
    <x v="3"/>
    <s v="Christina Dominguez"/>
    <x v="5"/>
    <x v="2"/>
    <x v="4"/>
    <n v="123.19"/>
    <n v="117.03049999999999"/>
  </r>
  <r>
    <s v="T03901"/>
    <d v="2025-04-09T00:00:00"/>
    <s v="C022"/>
    <s v="P006"/>
    <s v="S001"/>
    <n v="4"/>
    <n v="0.15"/>
    <x v="3"/>
    <s v="Megan Velasquez"/>
    <x v="35"/>
    <x v="2"/>
    <x v="3"/>
    <n v="318.05"/>
    <n v="1081.3700000000001"/>
  </r>
  <r>
    <s v="T03902"/>
    <d v="2025-02-12T00:00:00"/>
    <s v="C154"/>
    <s v="P021"/>
    <s v="S001"/>
    <n v="2"/>
    <n v="0.1"/>
    <x v="0"/>
    <s v="Lisa Martinez"/>
    <x v="23"/>
    <x v="2"/>
    <x v="3"/>
    <n v="1227.24"/>
    <n v="2209.0320000000002"/>
  </r>
  <r>
    <s v="T03903"/>
    <d v="2024-04-11T00:00:00"/>
    <s v="C181"/>
    <s v="P013"/>
    <s v="S004"/>
    <n v="4"/>
    <n v="0"/>
    <x v="2"/>
    <s v="Brittany Oneal"/>
    <x v="21"/>
    <x v="0"/>
    <x v="1"/>
    <n v="1134.8"/>
    <n v="4539.2"/>
  </r>
  <r>
    <s v="T03904"/>
    <d v="2023-12-26T00:00:00"/>
    <s v="C044"/>
    <s v="P045"/>
    <s v="S001"/>
    <n v="4"/>
    <n v="0.1"/>
    <x v="2"/>
    <s v="Parker Sparks"/>
    <x v="8"/>
    <x v="2"/>
    <x v="3"/>
    <n v="1879.08"/>
    <n v="6764.6880000000001"/>
  </r>
  <r>
    <s v="T03905"/>
    <d v="2025-06-28T00:00:00"/>
    <s v="C081"/>
    <s v="P029"/>
    <s v="S003"/>
    <n v="1"/>
    <n v="0.05"/>
    <x v="3"/>
    <s v="Sarah Reynolds"/>
    <x v="47"/>
    <x v="0"/>
    <x v="0"/>
    <n v="1485.05"/>
    <n v="1410.7974999999999"/>
  </r>
  <r>
    <s v="T03906"/>
    <d v="2024-11-05T00:00:00"/>
    <s v="C022"/>
    <s v="P021"/>
    <s v="S002"/>
    <n v="2"/>
    <n v="0.15"/>
    <x v="0"/>
    <s v="Megan Velasquez"/>
    <x v="23"/>
    <x v="2"/>
    <x v="2"/>
    <n v="1227.24"/>
    <n v="2086.308"/>
  </r>
  <r>
    <s v="T03907"/>
    <d v="2023-10-12T00:00:00"/>
    <s v="C145"/>
    <s v="P034"/>
    <s v="S003"/>
    <n v="1"/>
    <n v="0"/>
    <x v="2"/>
    <s v="Paige Osborne"/>
    <x v="12"/>
    <x v="1"/>
    <x v="0"/>
    <n v="428.05"/>
    <n v="428.05"/>
  </r>
  <r>
    <s v="T03908"/>
    <d v="2024-07-08T00:00:00"/>
    <s v="C107"/>
    <s v="P011"/>
    <s v="S001"/>
    <n v="1"/>
    <n v="0.1"/>
    <x v="3"/>
    <s v="Victoria Hansen"/>
    <x v="17"/>
    <x v="1"/>
    <x v="3"/>
    <n v="248.57"/>
    <n v="223.71299999999999"/>
  </r>
  <r>
    <s v="T03909"/>
    <d v="2023-12-02T00:00:00"/>
    <s v="C087"/>
    <s v="P035"/>
    <s v="S002"/>
    <n v="2"/>
    <n v="0.1"/>
    <x v="0"/>
    <s v="Laurie Mason"/>
    <x v="7"/>
    <x v="1"/>
    <x v="2"/>
    <n v="1562.43"/>
    <n v="2812.3740000000003"/>
  </r>
  <r>
    <s v="T03910"/>
    <d v="2024-08-12T00:00:00"/>
    <s v="C113"/>
    <s v="P028"/>
    <s v="S005"/>
    <n v="3"/>
    <n v="0"/>
    <x v="1"/>
    <s v="Heidi Wilson"/>
    <x v="25"/>
    <x v="1"/>
    <x v="4"/>
    <n v="673.78"/>
    <n v="2021.34"/>
  </r>
  <r>
    <s v="T03911"/>
    <d v="2024-01-29T00:00:00"/>
    <s v="C073"/>
    <s v="P035"/>
    <s v="S001"/>
    <n v="4"/>
    <n v="0"/>
    <x v="1"/>
    <s v="Carl Armstrong"/>
    <x v="7"/>
    <x v="1"/>
    <x v="3"/>
    <n v="1562.43"/>
    <n v="6249.72"/>
  </r>
  <r>
    <s v="T03912"/>
    <d v="2024-11-30T00:00:00"/>
    <s v="C181"/>
    <s v="P024"/>
    <s v="S002"/>
    <n v="2"/>
    <n v="0.15"/>
    <x v="3"/>
    <s v="Brittany Oneal"/>
    <x v="14"/>
    <x v="1"/>
    <x v="2"/>
    <n v="1487.41"/>
    <n v="2528.5970000000002"/>
  </r>
  <r>
    <s v="T03913"/>
    <d v="2024-03-03T00:00:00"/>
    <s v="C091"/>
    <s v="P003"/>
    <s v="S005"/>
    <n v="3"/>
    <n v="0"/>
    <x v="2"/>
    <s v="Brian Fowler"/>
    <x v="46"/>
    <x v="0"/>
    <x v="4"/>
    <n v="337.63"/>
    <n v="1012.89"/>
  </r>
  <r>
    <s v="T03914"/>
    <d v="2024-07-20T00:00:00"/>
    <s v="C171"/>
    <s v="P023"/>
    <s v="S001"/>
    <n v="1"/>
    <n v="0"/>
    <x v="1"/>
    <s v="Christina Dominguez"/>
    <x v="20"/>
    <x v="0"/>
    <x v="3"/>
    <n v="1878.47"/>
    <n v="1878.47"/>
  </r>
  <r>
    <s v="T03915"/>
    <d v="2023-12-09T00:00:00"/>
    <s v="C074"/>
    <s v="P024"/>
    <s v="S005"/>
    <n v="2"/>
    <n v="0.1"/>
    <x v="3"/>
    <s v="Jesus Singh"/>
    <x v="14"/>
    <x v="1"/>
    <x v="4"/>
    <n v="1487.41"/>
    <n v="2677.3380000000002"/>
  </r>
  <r>
    <s v="T03916"/>
    <d v="2025-02-20T00:00:00"/>
    <s v="C053"/>
    <s v="P033"/>
    <s v="S005"/>
    <n v="1"/>
    <n v="0"/>
    <x v="0"/>
    <s v="Felicia Morgan"/>
    <x v="16"/>
    <x v="0"/>
    <x v="4"/>
    <n v="1798.97"/>
    <n v="1798.97"/>
  </r>
  <r>
    <s v="T03917"/>
    <d v="2023-09-28T00:00:00"/>
    <s v="C090"/>
    <s v="P012"/>
    <s v="S002"/>
    <n v="1"/>
    <n v="0.05"/>
    <x v="1"/>
    <s v="Carrie Peterson"/>
    <x v="38"/>
    <x v="1"/>
    <x v="2"/>
    <n v="1193.0899999999999"/>
    <n v="1133.4354999999998"/>
  </r>
  <r>
    <s v="T03918"/>
    <d v="2025-04-02T00:00:00"/>
    <s v="C012"/>
    <s v="P050"/>
    <s v="S005"/>
    <n v="5"/>
    <n v="0.1"/>
    <x v="3"/>
    <s v="Dale Perry"/>
    <x v="3"/>
    <x v="0"/>
    <x v="4"/>
    <n v="1044.6400000000001"/>
    <n v="4700.880000000001"/>
  </r>
  <r>
    <s v="T03919"/>
    <d v="2024-11-22T00:00:00"/>
    <s v="C019"/>
    <s v="P028"/>
    <s v="S005"/>
    <n v="3"/>
    <n v="0"/>
    <x v="2"/>
    <s v="John Smith"/>
    <x v="25"/>
    <x v="1"/>
    <x v="4"/>
    <n v="673.78"/>
    <n v="2021.34"/>
  </r>
  <r>
    <s v="T03920"/>
    <d v="2025-08-02T00:00:00"/>
    <s v="C168"/>
    <s v="P025"/>
    <s v="S003"/>
    <n v="5"/>
    <n v="0.05"/>
    <x v="0"/>
    <s v="Richard Jones"/>
    <x v="33"/>
    <x v="0"/>
    <x v="0"/>
    <n v="429.15"/>
    <n v="2038.4624999999999"/>
  </r>
  <r>
    <s v="T03921"/>
    <d v="2025-01-06T00:00:00"/>
    <s v="C089"/>
    <s v="P038"/>
    <s v="S002"/>
    <n v="3"/>
    <n v="0.1"/>
    <x v="2"/>
    <s v="William Warner"/>
    <x v="41"/>
    <x v="0"/>
    <x v="2"/>
    <n v="366.93"/>
    <n v="990.71100000000001"/>
  </r>
  <r>
    <s v="T03922"/>
    <d v="2024-11-19T00:00:00"/>
    <s v="C012"/>
    <s v="P031"/>
    <s v="S003"/>
    <n v="4"/>
    <n v="0"/>
    <x v="3"/>
    <s v="Dale Perry"/>
    <x v="39"/>
    <x v="2"/>
    <x v="0"/>
    <n v="1095.72"/>
    <n v="4382.88"/>
  </r>
  <r>
    <s v="T03923"/>
    <d v="2023-10-06T00:00:00"/>
    <s v="C016"/>
    <s v="P017"/>
    <s v="S004"/>
    <n v="4"/>
    <n v="0"/>
    <x v="3"/>
    <s v="Miguel Johnson"/>
    <x v="43"/>
    <x v="1"/>
    <x v="1"/>
    <n v="1246.1099999999999"/>
    <n v="4984.4399999999996"/>
  </r>
  <r>
    <s v="T03924"/>
    <d v="2025-01-07T00:00:00"/>
    <s v="C102"/>
    <s v="P002"/>
    <s v="S005"/>
    <n v="4"/>
    <n v="0"/>
    <x v="3"/>
    <s v="Carolyn Perez"/>
    <x v="2"/>
    <x v="1"/>
    <x v="4"/>
    <n v="818.76"/>
    <n v="3275.04"/>
  </r>
  <r>
    <s v="T03925"/>
    <d v="2024-04-05T00:00:00"/>
    <s v="C140"/>
    <s v="P033"/>
    <s v="S004"/>
    <n v="4"/>
    <n v="0.15"/>
    <x v="0"/>
    <s v="Stacy Williams"/>
    <x v="16"/>
    <x v="0"/>
    <x v="1"/>
    <n v="1798.97"/>
    <n v="6116.4979999999996"/>
  </r>
  <r>
    <s v="T03926"/>
    <d v="2024-04-19T00:00:00"/>
    <s v="C012"/>
    <s v="P012"/>
    <s v="S002"/>
    <n v="4"/>
    <n v="0.1"/>
    <x v="2"/>
    <s v="Dale Perry"/>
    <x v="38"/>
    <x v="1"/>
    <x v="2"/>
    <n v="1193.0899999999999"/>
    <n v="4295.1239999999998"/>
  </r>
  <r>
    <s v="T03927"/>
    <d v="2025-08-15T00:00:00"/>
    <s v="C184"/>
    <s v="P016"/>
    <s v="S002"/>
    <n v="2"/>
    <n v="0.1"/>
    <x v="0"/>
    <s v="Daniel Mcintyre"/>
    <x v="13"/>
    <x v="0"/>
    <x v="2"/>
    <n v="1858.75"/>
    <n v="3345.75"/>
  </r>
  <r>
    <s v="T03928"/>
    <d v="2025-06-23T00:00:00"/>
    <s v="C149"/>
    <s v="P004"/>
    <s v="S003"/>
    <n v="2"/>
    <n v="0"/>
    <x v="3"/>
    <s v="Melissa Torres"/>
    <x v="49"/>
    <x v="0"/>
    <x v="0"/>
    <n v="1853.77"/>
    <n v="3707.54"/>
  </r>
  <r>
    <s v="T03929"/>
    <d v="2023-11-05T00:00:00"/>
    <s v="C101"/>
    <s v="P010"/>
    <s v="S004"/>
    <n v="4"/>
    <n v="0.15"/>
    <x v="2"/>
    <s v="William Pope"/>
    <x v="36"/>
    <x v="1"/>
    <x v="1"/>
    <n v="1194.1199999999999"/>
    <n v="4060.0079999999994"/>
  </r>
  <r>
    <s v="T03930"/>
    <d v="2023-12-21T00:00:00"/>
    <s v="C086"/>
    <s v="P043"/>
    <s v="S003"/>
    <n v="1"/>
    <n v="0.05"/>
    <x v="2"/>
    <s v="Lawrence Hunter"/>
    <x v="45"/>
    <x v="0"/>
    <x v="0"/>
    <n v="564.41999999999996"/>
    <n v="536.19899999999996"/>
  </r>
  <r>
    <s v="T03931"/>
    <d v="2025-03-03T00:00:00"/>
    <s v="C163"/>
    <s v="P036"/>
    <s v="S003"/>
    <n v="1"/>
    <n v="0"/>
    <x v="1"/>
    <s v="Erin Rogers"/>
    <x v="4"/>
    <x v="0"/>
    <x v="0"/>
    <n v="1501.46"/>
    <n v="1501.46"/>
  </r>
  <r>
    <s v="T03932"/>
    <d v="2025-08-15T00:00:00"/>
    <s v="C055"/>
    <s v="P037"/>
    <s v="S004"/>
    <n v="3"/>
    <n v="0.1"/>
    <x v="2"/>
    <s v="Deborah Moody"/>
    <x v="27"/>
    <x v="1"/>
    <x v="1"/>
    <n v="1952.65"/>
    <n v="5272.1550000000007"/>
  </r>
  <r>
    <s v="T03933"/>
    <d v="2024-04-01T00:00:00"/>
    <s v="C101"/>
    <s v="P026"/>
    <s v="S002"/>
    <n v="3"/>
    <n v="0"/>
    <x v="1"/>
    <s v="William Pope"/>
    <x v="15"/>
    <x v="2"/>
    <x v="2"/>
    <n v="1015.76"/>
    <n v="3047.2799999999997"/>
  </r>
  <r>
    <s v="T03934"/>
    <d v="2025-05-15T00:00:00"/>
    <s v="C138"/>
    <s v="P042"/>
    <s v="S003"/>
    <n v="2"/>
    <n v="0"/>
    <x v="2"/>
    <s v="Breanna Moore"/>
    <x v="10"/>
    <x v="0"/>
    <x v="0"/>
    <n v="453.62"/>
    <n v="907.24"/>
  </r>
  <r>
    <s v="T03935"/>
    <d v="2024-02-06T00:00:00"/>
    <s v="C170"/>
    <s v="P030"/>
    <s v="S005"/>
    <n v="2"/>
    <n v="0.05"/>
    <x v="2"/>
    <s v="Amber Graham"/>
    <x v="1"/>
    <x v="0"/>
    <x v="4"/>
    <n v="29.24"/>
    <n v="55.555999999999997"/>
  </r>
  <r>
    <s v="T03936"/>
    <d v="2025-02-17T00:00:00"/>
    <s v="C079"/>
    <s v="P050"/>
    <s v="S003"/>
    <n v="1"/>
    <n v="0"/>
    <x v="3"/>
    <s v="Donald Marsh"/>
    <x v="3"/>
    <x v="0"/>
    <x v="0"/>
    <n v="1044.6400000000001"/>
    <n v="1044.6400000000001"/>
  </r>
  <r>
    <s v="T03937"/>
    <d v="2023-11-09T00:00:00"/>
    <s v="C189"/>
    <s v="P015"/>
    <s v="S001"/>
    <n v="5"/>
    <n v="0"/>
    <x v="1"/>
    <s v="Steve Flynn"/>
    <x v="40"/>
    <x v="0"/>
    <x v="3"/>
    <n v="270.45"/>
    <n v="1352.25"/>
  </r>
  <r>
    <s v="T03938"/>
    <d v="2024-11-26T00:00:00"/>
    <s v="C174"/>
    <s v="P032"/>
    <s v="S001"/>
    <n v="3"/>
    <n v="0.05"/>
    <x v="3"/>
    <s v="Scott Howell"/>
    <x v="44"/>
    <x v="2"/>
    <x v="3"/>
    <n v="304.70999999999998"/>
    <n v="868.42349999999988"/>
  </r>
  <r>
    <s v="T03939"/>
    <d v="2025-01-09T00:00:00"/>
    <s v="C164"/>
    <s v="P018"/>
    <s v="S005"/>
    <n v="5"/>
    <n v="0.15"/>
    <x v="0"/>
    <s v="Linda Vasquez"/>
    <x v="19"/>
    <x v="1"/>
    <x v="4"/>
    <n v="1079.8900000000001"/>
    <n v="4589.5325000000003"/>
  </r>
  <r>
    <s v="T03940"/>
    <d v="2024-08-12T00:00:00"/>
    <s v="C063"/>
    <s v="P030"/>
    <s v="S001"/>
    <n v="2"/>
    <n v="0"/>
    <x v="3"/>
    <s v="Michael Johnson"/>
    <x v="1"/>
    <x v="0"/>
    <x v="3"/>
    <n v="29.24"/>
    <n v="58.48"/>
  </r>
  <r>
    <s v="T03941"/>
    <d v="2024-02-11T00:00:00"/>
    <s v="C099"/>
    <s v="P045"/>
    <s v="S004"/>
    <n v="4"/>
    <n v="0.05"/>
    <x v="2"/>
    <s v="Kimberly Jones"/>
    <x v="8"/>
    <x v="2"/>
    <x v="1"/>
    <n v="1879.08"/>
    <n v="7140.503999999999"/>
  </r>
  <r>
    <s v="T03942"/>
    <d v="2025-02-21T00:00:00"/>
    <s v="C158"/>
    <s v="P001"/>
    <s v="S001"/>
    <n v="3"/>
    <n v="0.1"/>
    <x v="1"/>
    <s v="Crystal Aguirre"/>
    <x v="31"/>
    <x v="1"/>
    <x v="3"/>
    <n v="1673.69"/>
    <n v="4518.9629999999997"/>
  </r>
  <r>
    <s v="T03943"/>
    <d v="2024-12-10T00:00:00"/>
    <s v="C086"/>
    <s v="P024"/>
    <s v="S005"/>
    <n v="5"/>
    <n v="0.15"/>
    <x v="0"/>
    <s v="Lawrence Hunter"/>
    <x v="14"/>
    <x v="1"/>
    <x v="4"/>
    <n v="1487.41"/>
    <n v="6321.4925000000003"/>
  </r>
  <r>
    <s v="T03944"/>
    <d v="2025-02-13T00:00:00"/>
    <s v="C145"/>
    <s v="P033"/>
    <s v="S002"/>
    <n v="1"/>
    <n v="0.05"/>
    <x v="1"/>
    <s v="Paige Osborne"/>
    <x v="16"/>
    <x v="0"/>
    <x v="2"/>
    <n v="1798.97"/>
    <n v="1709.0214999999998"/>
  </r>
  <r>
    <s v="T03945"/>
    <d v="2024-01-14T00:00:00"/>
    <s v="C080"/>
    <s v="P019"/>
    <s v="S002"/>
    <n v="4"/>
    <n v="0"/>
    <x v="2"/>
    <s v="Grace Garcia"/>
    <x v="26"/>
    <x v="1"/>
    <x v="2"/>
    <n v="1762.92"/>
    <n v="7051.68"/>
  </r>
  <r>
    <s v="T03946"/>
    <d v="2023-11-16T00:00:00"/>
    <s v="C062"/>
    <s v="P034"/>
    <s v="S004"/>
    <n v="2"/>
    <n v="0"/>
    <x v="2"/>
    <s v="Susan Salinas"/>
    <x v="12"/>
    <x v="1"/>
    <x v="1"/>
    <n v="428.05"/>
    <n v="856.1"/>
  </r>
  <r>
    <s v="T03947"/>
    <d v="2024-02-22T00:00:00"/>
    <s v="C118"/>
    <s v="P032"/>
    <s v="S003"/>
    <n v="3"/>
    <n v="0.05"/>
    <x v="3"/>
    <s v="Gina Bradford"/>
    <x v="44"/>
    <x v="2"/>
    <x v="0"/>
    <n v="304.70999999999998"/>
    <n v="868.42349999999988"/>
  </r>
  <r>
    <s v="T03948"/>
    <d v="2024-07-23T00:00:00"/>
    <s v="C066"/>
    <s v="P032"/>
    <s v="S004"/>
    <n v="4"/>
    <n v="0"/>
    <x v="2"/>
    <s v="Jason Jenkins"/>
    <x v="44"/>
    <x v="2"/>
    <x v="1"/>
    <n v="304.70999999999998"/>
    <n v="1218.8399999999999"/>
  </r>
  <r>
    <s v="T03949"/>
    <d v="2024-06-13T00:00:00"/>
    <s v="C001"/>
    <s v="P025"/>
    <s v="S004"/>
    <n v="1"/>
    <n v="0"/>
    <x v="0"/>
    <s v="Michael Davis"/>
    <x v="33"/>
    <x v="0"/>
    <x v="1"/>
    <n v="429.15"/>
    <n v="429.15"/>
  </r>
  <r>
    <s v="T03950"/>
    <d v="2024-01-02T00:00:00"/>
    <s v="C042"/>
    <s v="P050"/>
    <s v="S002"/>
    <n v="5"/>
    <n v="0"/>
    <x v="2"/>
    <s v="Anna Andrews"/>
    <x v="3"/>
    <x v="0"/>
    <x v="2"/>
    <n v="1044.6400000000001"/>
    <n v="5223.2000000000007"/>
  </r>
  <r>
    <s v="T03951"/>
    <d v="2023-12-09T00:00:00"/>
    <s v="C049"/>
    <s v="P039"/>
    <s v="S004"/>
    <n v="2"/>
    <n v="0"/>
    <x v="2"/>
    <s v="Antonio Hamilton"/>
    <x v="22"/>
    <x v="0"/>
    <x v="1"/>
    <n v="540.94000000000005"/>
    <n v="1081.8800000000001"/>
  </r>
  <r>
    <s v="T03952"/>
    <d v="2025-02-08T00:00:00"/>
    <s v="C018"/>
    <s v="P041"/>
    <s v="S003"/>
    <n v="5"/>
    <n v="0"/>
    <x v="1"/>
    <s v="Breanna Davis"/>
    <x v="30"/>
    <x v="1"/>
    <x v="0"/>
    <n v="1635.01"/>
    <n v="8175.05"/>
  </r>
  <r>
    <s v="T03953"/>
    <d v="2023-10-14T00:00:00"/>
    <s v="C186"/>
    <s v="P003"/>
    <s v="S001"/>
    <n v="3"/>
    <n v="0"/>
    <x v="1"/>
    <s v="Vicki Guzman"/>
    <x v="46"/>
    <x v="0"/>
    <x v="3"/>
    <n v="337.63"/>
    <n v="1012.89"/>
  </r>
  <r>
    <s v="T03954"/>
    <d v="2023-11-02T00:00:00"/>
    <s v="C028"/>
    <s v="P042"/>
    <s v="S001"/>
    <n v="5"/>
    <n v="0.15"/>
    <x v="2"/>
    <s v="John Carr"/>
    <x v="10"/>
    <x v="0"/>
    <x v="3"/>
    <n v="453.62"/>
    <n v="1927.8849999999998"/>
  </r>
  <r>
    <s v="T03955"/>
    <d v="2024-12-07T00:00:00"/>
    <s v="C138"/>
    <s v="P032"/>
    <s v="S003"/>
    <n v="3"/>
    <n v="0"/>
    <x v="0"/>
    <s v="Breanna Moore"/>
    <x v="44"/>
    <x v="2"/>
    <x v="0"/>
    <n v="304.70999999999998"/>
    <n v="914.12999999999988"/>
  </r>
  <r>
    <s v="T03956"/>
    <d v="2024-11-06T00:00:00"/>
    <s v="C146"/>
    <s v="P049"/>
    <s v="S004"/>
    <n v="4"/>
    <n v="0.05"/>
    <x v="3"/>
    <s v="John Johnson"/>
    <x v="29"/>
    <x v="0"/>
    <x v="1"/>
    <n v="388.26"/>
    <n v="1475.3879999999999"/>
  </r>
  <r>
    <s v="T03957"/>
    <d v="2025-01-20T00:00:00"/>
    <s v="C098"/>
    <s v="P018"/>
    <s v="S005"/>
    <n v="5"/>
    <n v="0"/>
    <x v="3"/>
    <s v="Lisa Vega"/>
    <x v="19"/>
    <x v="1"/>
    <x v="4"/>
    <n v="1079.8900000000001"/>
    <n v="5399.4500000000007"/>
  </r>
  <r>
    <s v="T03958"/>
    <d v="2025-04-20T00:00:00"/>
    <s v="C193"/>
    <s v="P013"/>
    <s v="S003"/>
    <n v="2"/>
    <n v="0.15"/>
    <x v="2"/>
    <s v="Donald Meza"/>
    <x v="21"/>
    <x v="0"/>
    <x v="0"/>
    <n v="1134.8"/>
    <n v="1929.1599999999999"/>
  </r>
  <r>
    <s v="T03959"/>
    <d v="2024-12-16T00:00:00"/>
    <s v="C018"/>
    <s v="P026"/>
    <s v="S005"/>
    <n v="4"/>
    <n v="0.05"/>
    <x v="1"/>
    <s v="Breanna Davis"/>
    <x v="15"/>
    <x v="2"/>
    <x v="4"/>
    <n v="1015.76"/>
    <n v="3859.8879999999999"/>
  </r>
  <r>
    <s v="T03960"/>
    <d v="2024-02-20T00:00:00"/>
    <s v="C045"/>
    <s v="P028"/>
    <s v="S005"/>
    <n v="3"/>
    <n v="0.1"/>
    <x v="0"/>
    <s v="Kelly Shaw"/>
    <x v="25"/>
    <x v="1"/>
    <x v="4"/>
    <n v="673.78"/>
    <n v="1819.2059999999999"/>
  </r>
  <r>
    <s v="T03961"/>
    <d v="2023-12-11T00:00:00"/>
    <s v="C014"/>
    <s v="P012"/>
    <s v="S001"/>
    <n v="5"/>
    <n v="0.05"/>
    <x v="2"/>
    <s v="Brittany Green"/>
    <x v="38"/>
    <x v="1"/>
    <x v="3"/>
    <n v="1193.0899999999999"/>
    <n v="5667.1774999999998"/>
  </r>
  <r>
    <s v="T03962"/>
    <d v="2024-02-01T00:00:00"/>
    <s v="C185"/>
    <s v="P027"/>
    <s v="S004"/>
    <n v="2"/>
    <n v="0"/>
    <x v="3"/>
    <s v="Joe Vincent"/>
    <x v="34"/>
    <x v="1"/>
    <x v="1"/>
    <n v="1272.23"/>
    <n v="2544.46"/>
  </r>
  <r>
    <s v="T03963"/>
    <d v="2024-06-11T00:00:00"/>
    <s v="C046"/>
    <s v="P005"/>
    <s v="S005"/>
    <n v="2"/>
    <n v="0.1"/>
    <x v="2"/>
    <s v="Dennis Poole"/>
    <x v="6"/>
    <x v="0"/>
    <x v="4"/>
    <n v="1396.22"/>
    <n v="2513.1959999999999"/>
  </r>
  <r>
    <s v="T03964"/>
    <d v="2024-07-31T00:00:00"/>
    <s v="C161"/>
    <s v="P016"/>
    <s v="S002"/>
    <n v="2"/>
    <n v="0.05"/>
    <x v="3"/>
    <s v="Michael Perez"/>
    <x v="13"/>
    <x v="0"/>
    <x v="2"/>
    <n v="1858.75"/>
    <n v="3531.625"/>
  </r>
  <r>
    <s v="T03965"/>
    <d v="2024-10-18T00:00:00"/>
    <s v="C065"/>
    <s v="P023"/>
    <s v="S001"/>
    <n v="3"/>
    <n v="0.1"/>
    <x v="1"/>
    <s v="Scott Duke"/>
    <x v="20"/>
    <x v="0"/>
    <x v="3"/>
    <n v="1878.47"/>
    <n v="5071.8689999999997"/>
  </r>
  <r>
    <s v="T03966"/>
    <d v="2024-07-06T00:00:00"/>
    <s v="C072"/>
    <s v="P024"/>
    <s v="S002"/>
    <n v="2"/>
    <n v="0"/>
    <x v="3"/>
    <s v="Eric Watkins"/>
    <x v="14"/>
    <x v="1"/>
    <x v="2"/>
    <n v="1487.41"/>
    <n v="2974.82"/>
  </r>
  <r>
    <s v="T03967"/>
    <d v="2024-10-10T00:00:00"/>
    <s v="C108"/>
    <s v="P004"/>
    <s v="S003"/>
    <n v="5"/>
    <n v="0.05"/>
    <x v="3"/>
    <s v="Samantha Hill"/>
    <x v="49"/>
    <x v="0"/>
    <x v="0"/>
    <n v="1853.77"/>
    <n v="8805.4074999999993"/>
  </r>
  <r>
    <s v="T03968"/>
    <d v="2025-04-25T00:00:00"/>
    <s v="C173"/>
    <s v="P003"/>
    <s v="S002"/>
    <n v="1"/>
    <n v="0.05"/>
    <x v="3"/>
    <s v="Lisa Ruiz"/>
    <x v="46"/>
    <x v="0"/>
    <x v="2"/>
    <n v="337.63"/>
    <n v="320.74849999999998"/>
  </r>
  <r>
    <s v="T03969"/>
    <d v="2023-11-29T00:00:00"/>
    <s v="C163"/>
    <s v="P026"/>
    <s v="S002"/>
    <n v="1"/>
    <n v="0.1"/>
    <x v="2"/>
    <s v="Erin Rogers"/>
    <x v="15"/>
    <x v="2"/>
    <x v="2"/>
    <n v="1015.76"/>
    <n v="914.18399999999997"/>
  </r>
  <r>
    <s v="T03970"/>
    <d v="2024-04-03T00:00:00"/>
    <s v="C057"/>
    <s v="P027"/>
    <s v="S002"/>
    <n v="2"/>
    <n v="0.15"/>
    <x v="1"/>
    <s v="Julie Gibson"/>
    <x v="34"/>
    <x v="1"/>
    <x v="2"/>
    <n v="1272.23"/>
    <n v="2162.7910000000002"/>
  </r>
  <r>
    <s v="T03971"/>
    <d v="2023-12-14T00:00:00"/>
    <s v="C092"/>
    <s v="P029"/>
    <s v="S002"/>
    <n v="1"/>
    <n v="0.05"/>
    <x v="0"/>
    <s v="Lindsey Holder"/>
    <x v="47"/>
    <x v="0"/>
    <x v="2"/>
    <n v="1485.05"/>
    <n v="1410.7974999999999"/>
  </r>
  <r>
    <s v="T03972"/>
    <d v="2025-07-15T00:00:00"/>
    <s v="C184"/>
    <s v="P023"/>
    <s v="S002"/>
    <n v="1"/>
    <n v="0.05"/>
    <x v="3"/>
    <s v="Daniel Mcintyre"/>
    <x v="20"/>
    <x v="0"/>
    <x v="2"/>
    <n v="1878.47"/>
    <n v="1784.5464999999999"/>
  </r>
  <r>
    <s v="T03973"/>
    <d v="2024-09-09T00:00:00"/>
    <s v="C107"/>
    <s v="P045"/>
    <s v="S003"/>
    <n v="1"/>
    <n v="0.15"/>
    <x v="0"/>
    <s v="Victoria Hansen"/>
    <x v="8"/>
    <x v="2"/>
    <x v="0"/>
    <n v="1879.08"/>
    <n v="1597.2179999999998"/>
  </r>
  <r>
    <s v="T03974"/>
    <d v="2023-12-09T00:00:00"/>
    <s v="C102"/>
    <s v="P014"/>
    <s v="S002"/>
    <n v="1"/>
    <n v="0"/>
    <x v="0"/>
    <s v="Carolyn Perez"/>
    <x v="0"/>
    <x v="0"/>
    <x v="2"/>
    <n v="1342.75"/>
    <n v="1342.75"/>
  </r>
  <r>
    <s v="T03975"/>
    <d v="2025-05-14T00:00:00"/>
    <s v="C184"/>
    <s v="P020"/>
    <s v="S005"/>
    <n v="2"/>
    <n v="0.15"/>
    <x v="1"/>
    <s v="Daniel Mcintyre"/>
    <x v="24"/>
    <x v="0"/>
    <x v="4"/>
    <n v="323.92"/>
    <n v="550.66399999999999"/>
  </r>
  <r>
    <s v="T03976"/>
    <d v="2025-07-03T00:00:00"/>
    <s v="C118"/>
    <s v="P036"/>
    <s v="S003"/>
    <n v="4"/>
    <n v="0"/>
    <x v="2"/>
    <s v="Gina Bradford"/>
    <x v="4"/>
    <x v="0"/>
    <x v="0"/>
    <n v="1501.46"/>
    <n v="6005.84"/>
  </r>
  <r>
    <s v="T03977"/>
    <d v="2024-05-26T00:00:00"/>
    <s v="C034"/>
    <s v="P040"/>
    <s v="S001"/>
    <n v="1"/>
    <n v="0.05"/>
    <x v="3"/>
    <s v="Kari Miller"/>
    <x v="37"/>
    <x v="1"/>
    <x v="3"/>
    <n v="1745.61"/>
    <n v="1658.3294999999998"/>
  </r>
  <r>
    <s v="T03978"/>
    <d v="2025-02-13T00:00:00"/>
    <s v="C107"/>
    <s v="P017"/>
    <s v="S001"/>
    <n v="4"/>
    <n v="0.1"/>
    <x v="1"/>
    <s v="Victoria Hansen"/>
    <x v="43"/>
    <x v="1"/>
    <x v="3"/>
    <n v="1246.1099999999999"/>
    <n v="4485.9960000000001"/>
  </r>
  <r>
    <s v="T03979"/>
    <d v="2024-02-17T00:00:00"/>
    <s v="C156"/>
    <s v="P019"/>
    <s v="S001"/>
    <n v="2"/>
    <n v="0.05"/>
    <x v="3"/>
    <s v="George Young"/>
    <x v="26"/>
    <x v="1"/>
    <x v="3"/>
    <n v="1762.92"/>
    <n v="3349.5479999999998"/>
  </r>
  <r>
    <s v="T03980"/>
    <d v="2025-02-24T00:00:00"/>
    <s v="C008"/>
    <s v="P035"/>
    <s v="S003"/>
    <n v="2"/>
    <n v="0.1"/>
    <x v="3"/>
    <s v="Isaiah Williams"/>
    <x v="7"/>
    <x v="1"/>
    <x v="0"/>
    <n v="1562.43"/>
    <n v="2812.3740000000003"/>
  </r>
  <r>
    <s v="T03981"/>
    <d v="2024-09-25T00:00:00"/>
    <s v="C159"/>
    <s v="P031"/>
    <s v="S004"/>
    <n v="4"/>
    <n v="0.05"/>
    <x v="2"/>
    <s v="Thomas Chung"/>
    <x v="39"/>
    <x v="2"/>
    <x v="1"/>
    <n v="1095.72"/>
    <n v="4163.7359999999999"/>
  </r>
  <r>
    <s v="T03982"/>
    <d v="2024-06-19T00:00:00"/>
    <s v="C146"/>
    <s v="P013"/>
    <s v="S001"/>
    <n v="2"/>
    <n v="0"/>
    <x v="1"/>
    <s v="John Johnson"/>
    <x v="21"/>
    <x v="0"/>
    <x v="3"/>
    <n v="1134.8"/>
    <n v="2269.6"/>
  </r>
  <r>
    <s v="T03983"/>
    <d v="2025-04-25T00:00:00"/>
    <s v="C125"/>
    <s v="P019"/>
    <s v="S001"/>
    <n v="5"/>
    <n v="0"/>
    <x v="0"/>
    <s v="Kimberly Parker"/>
    <x v="26"/>
    <x v="1"/>
    <x v="3"/>
    <n v="1762.92"/>
    <n v="8814.6"/>
  </r>
  <r>
    <s v="T03984"/>
    <d v="2024-02-14T00:00:00"/>
    <s v="C104"/>
    <s v="P039"/>
    <s v="S005"/>
    <n v="3"/>
    <n v="0.15"/>
    <x v="1"/>
    <s v="Brenda Dean"/>
    <x v="22"/>
    <x v="0"/>
    <x v="4"/>
    <n v="540.94000000000005"/>
    <n v="1379.3970000000002"/>
  </r>
  <r>
    <s v="T03985"/>
    <d v="2023-09-17T00:00:00"/>
    <s v="C118"/>
    <s v="P015"/>
    <s v="S001"/>
    <n v="4"/>
    <n v="0.05"/>
    <x v="1"/>
    <s v="Gina Bradford"/>
    <x v="40"/>
    <x v="0"/>
    <x v="3"/>
    <n v="270.45"/>
    <n v="1027.7099999999998"/>
  </r>
  <r>
    <s v="T03986"/>
    <d v="2024-07-07T00:00:00"/>
    <s v="C040"/>
    <s v="P024"/>
    <s v="S001"/>
    <n v="5"/>
    <n v="0.15"/>
    <x v="0"/>
    <s v="Scott Powell"/>
    <x v="14"/>
    <x v="1"/>
    <x v="3"/>
    <n v="1487.41"/>
    <n v="6321.4925000000003"/>
  </r>
  <r>
    <s v="T03987"/>
    <d v="2025-02-20T00:00:00"/>
    <s v="C093"/>
    <s v="P041"/>
    <s v="S001"/>
    <n v="3"/>
    <n v="0.1"/>
    <x v="0"/>
    <s v="Stanley Brown"/>
    <x v="30"/>
    <x v="1"/>
    <x v="3"/>
    <n v="1635.01"/>
    <n v="4414.527"/>
  </r>
  <r>
    <s v="T03988"/>
    <d v="2024-10-05T00:00:00"/>
    <s v="C077"/>
    <s v="P037"/>
    <s v="S001"/>
    <n v="4"/>
    <n v="0.15"/>
    <x v="1"/>
    <s v="Matthew Juarez"/>
    <x v="27"/>
    <x v="1"/>
    <x v="3"/>
    <n v="1952.65"/>
    <n v="6639.01"/>
  </r>
  <r>
    <s v="T03989"/>
    <d v="2025-07-31T00:00:00"/>
    <s v="C051"/>
    <s v="P041"/>
    <s v="S003"/>
    <n v="5"/>
    <n v="0.05"/>
    <x v="2"/>
    <s v="Madison Sellers"/>
    <x v="30"/>
    <x v="1"/>
    <x v="0"/>
    <n v="1635.01"/>
    <n v="7766.2974999999997"/>
  </r>
  <r>
    <s v="T03990"/>
    <d v="2025-03-16T00:00:00"/>
    <s v="C146"/>
    <s v="P010"/>
    <s v="S004"/>
    <n v="3"/>
    <n v="0"/>
    <x v="0"/>
    <s v="John Johnson"/>
    <x v="36"/>
    <x v="1"/>
    <x v="1"/>
    <n v="1194.1199999999999"/>
    <n v="3582.3599999999997"/>
  </r>
  <r>
    <s v="T03991"/>
    <d v="2024-03-30T00:00:00"/>
    <s v="C166"/>
    <s v="P019"/>
    <s v="S005"/>
    <n v="4"/>
    <n v="0.05"/>
    <x v="1"/>
    <s v="Meagan Ali"/>
    <x v="26"/>
    <x v="1"/>
    <x v="4"/>
    <n v="1762.92"/>
    <n v="6699.0959999999995"/>
  </r>
  <r>
    <s v="T03992"/>
    <d v="2025-03-07T00:00:00"/>
    <s v="C049"/>
    <s v="P037"/>
    <s v="S002"/>
    <n v="2"/>
    <n v="0.15"/>
    <x v="2"/>
    <s v="Antonio Hamilton"/>
    <x v="27"/>
    <x v="1"/>
    <x v="2"/>
    <n v="1952.65"/>
    <n v="3319.5050000000001"/>
  </r>
  <r>
    <s v="T03993"/>
    <d v="2024-04-01T00:00:00"/>
    <s v="C112"/>
    <s v="P031"/>
    <s v="S001"/>
    <n v="1"/>
    <n v="0.1"/>
    <x v="2"/>
    <s v="Jeffrey Smith"/>
    <x v="39"/>
    <x v="2"/>
    <x v="3"/>
    <n v="1095.72"/>
    <n v="986.14800000000002"/>
  </r>
  <r>
    <s v="T03994"/>
    <d v="2023-10-28T00:00:00"/>
    <s v="C066"/>
    <s v="P012"/>
    <s v="S002"/>
    <n v="4"/>
    <n v="0.05"/>
    <x v="0"/>
    <s v="Jason Jenkins"/>
    <x v="38"/>
    <x v="1"/>
    <x v="2"/>
    <n v="1193.0899999999999"/>
    <n v="4533.7419999999993"/>
  </r>
  <r>
    <s v="T03995"/>
    <d v="2023-12-27T00:00:00"/>
    <s v="C168"/>
    <s v="P006"/>
    <s v="S005"/>
    <n v="3"/>
    <n v="0.1"/>
    <x v="2"/>
    <s v="Richard Jones"/>
    <x v="35"/>
    <x v="2"/>
    <x v="4"/>
    <n v="318.05"/>
    <n v="858.73500000000013"/>
  </r>
  <r>
    <s v="T03996"/>
    <d v="2025-02-12T00:00:00"/>
    <s v="C026"/>
    <s v="P029"/>
    <s v="S005"/>
    <n v="5"/>
    <n v="0"/>
    <x v="1"/>
    <s v="Justin Macdonald"/>
    <x v="47"/>
    <x v="0"/>
    <x v="4"/>
    <n v="1485.05"/>
    <n v="7425.25"/>
  </r>
  <r>
    <s v="T03997"/>
    <d v="2024-05-22T00:00:00"/>
    <s v="C153"/>
    <s v="P031"/>
    <s v="S005"/>
    <n v="1"/>
    <n v="0.15"/>
    <x v="2"/>
    <s v="Nancy Gordon"/>
    <x v="39"/>
    <x v="2"/>
    <x v="4"/>
    <n v="1095.72"/>
    <n v="931.36199999999997"/>
  </r>
  <r>
    <s v="T03998"/>
    <d v="2024-01-08T00:00:00"/>
    <s v="C164"/>
    <s v="P033"/>
    <s v="S002"/>
    <n v="3"/>
    <n v="0"/>
    <x v="1"/>
    <s v="Linda Vasquez"/>
    <x v="16"/>
    <x v="0"/>
    <x v="2"/>
    <n v="1798.97"/>
    <n v="5396.91"/>
  </r>
  <r>
    <s v="T03999"/>
    <d v="2025-02-03T00:00:00"/>
    <s v="C068"/>
    <s v="P014"/>
    <s v="S002"/>
    <n v="2"/>
    <n v="0.1"/>
    <x v="2"/>
    <s v="Alexandra Montoya"/>
    <x v="0"/>
    <x v="0"/>
    <x v="2"/>
    <n v="1342.75"/>
    <n v="2416.9500000000003"/>
  </r>
  <r>
    <s v="T04000"/>
    <d v="2025-04-08T00:00:00"/>
    <s v="C035"/>
    <s v="P031"/>
    <s v="S003"/>
    <n v="4"/>
    <n v="0.05"/>
    <x v="0"/>
    <s v="Kimberly King"/>
    <x v="39"/>
    <x v="2"/>
    <x v="0"/>
    <n v="1095.72"/>
    <n v="4163.7359999999999"/>
  </r>
  <r>
    <s v="T04001"/>
    <d v="2024-03-22T00:00:00"/>
    <s v="C171"/>
    <s v="P028"/>
    <s v="S001"/>
    <n v="3"/>
    <n v="0.05"/>
    <x v="2"/>
    <s v="Christina Dominguez"/>
    <x v="25"/>
    <x v="1"/>
    <x v="3"/>
    <n v="673.78"/>
    <n v="1920.2729999999999"/>
  </r>
  <r>
    <s v="T04002"/>
    <d v="2025-07-06T00:00:00"/>
    <s v="C063"/>
    <s v="P026"/>
    <s v="S003"/>
    <n v="2"/>
    <n v="0"/>
    <x v="2"/>
    <s v="Michael Johnson"/>
    <x v="15"/>
    <x v="2"/>
    <x v="0"/>
    <n v="1015.76"/>
    <n v="2031.52"/>
  </r>
  <r>
    <s v="T04003"/>
    <d v="2024-08-13T00:00:00"/>
    <s v="C020"/>
    <s v="P008"/>
    <s v="S001"/>
    <n v="3"/>
    <n v="0.15"/>
    <x v="1"/>
    <s v="Ryan Cole"/>
    <x v="48"/>
    <x v="0"/>
    <x v="3"/>
    <n v="109.78"/>
    <n v="279.93900000000002"/>
  </r>
  <r>
    <s v="T04004"/>
    <d v="2024-08-02T00:00:00"/>
    <s v="C008"/>
    <s v="P004"/>
    <s v="S003"/>
    <n v="3"/>
    <n v="0.1"/>
    <x v="1"/>
    <s v="Isaiah Williams"/>
    <x v="49"/>
    <x v="0"/>
    <x v="0"/>
    <n v="1853.77"/>
    <n v="5005.1790000000001"/>
  </r>
  <r>
    <s v="T04005"/>
    <d v="2025-06-03T00:00:00"/>
    <s v="C200"/>
    <s v="P014"/>
    <s v="S004"/>
    <n v="5"/>
    <n v="0.1"/>
    <x v="1"/>
    <s v="Ronald Haley"/>
    <x v="0"/>
    <x v="0"/>
    <x v="1"/>
    <n v="1342.75"/>
    <n v="6042.375"/>
  </r>
  <r>
    <s v="T04006"/>
    <d v="2025-04-01T00:00:00"/>
    <s v="C085"/>
    <s v="P047"/>
    <s v="S004"/>
    <n v="4"/>
    <n v="0.1"/>
    <x v="0"/>
    <s v="Juan Ramirez"/>
    <x v="28"/>
    <x v="1"/>
    <x v="1"/>
    <n v="1197.18"/>
    <n v="4309.848"/>
  </r>
  <r>
    <s v="T04007"/>
    <d v="2023-12-04T00:00:00"/>
    <s v="C052"/>
    <s v="P033"/>
    <s v="S003"/>
    <n v="2"/>
    <n v="0.15"/>
    <x v="0"/>
    <s v="Billy Hernandez"/>
    <x v="16"/>
    <x v="0"/>
    <x v="0"/>
    <n v="1798.97"/>
    <n v="3058.2489999999998"/>
  </r>
  <r>
    <s v="T04008"/>
    <d v="2024-06-01T00:00:00"/>
    <s v="C145"/>
    <s v="P015"/>
    <s v="S004"/>
    <n v="3"/>
    <n v="0.15"/>
    <x v="1"/>
    <s v="Paige Osborne"/>
    <x v="40"/>
    <x v="0"/>
    <x v="1"/>
    <n v="270.45"/>
    <n v="689.64749999999992"/>
  </r>
  <r>
    <s v="T04009"/>
    <d v="2024-07-14T00:00:00"/>
    <s v="C187"/>
    <s v="P037"/>
    <s v="S005"/>
    <n v="5"/>
    <n v="0.15"/>
    <x v="3"/>
    <s v="Cynthia Cherry"/>
    <x v="27"/>
    <x v="1"/>
    <x v="4"/>
    <n v="1952.65"/>
    <n v="8298.7624999999989"/>
  </r>
  <r>
    <s v="T04010"/>
    <d v="2024-08-06T00:00:00"/>
    <s v="C111"/>
    <s v="P046"/>
    <s v="S002"/>
    <n v="3"/>
    <n v="0.05"/>
    <x v="3"/>
    <s v="Dylan Booker"/>
    <x v="42"/>
    <x v="0"/>
    <x v="2"/>
    <n v="1165.3699999999999"/>
    <n v="3321.3044999999997"/>
  </r>
  <r>
    <s v="T04011"/>
    <d v="2024-11-06T00:00:00"/>
    <s v="C046"/>
    <s v="P046"/>
    <s v="S003"/>
    <n v="3"/>
    <n v="0.1"/>
    <x v="3"/>
    <s v="Dennis Poole"/>
    <x v="42"/>
    <x v="0"/>
    <x v="0"/>
    <n v="1165.3699999999999"/>
    <n v="3146.4989999999998"/>
  </r>
  <r>
    <s v="T04012"/>
    <d v="2023-10-19T00:00:00"/>
    <s v="C138"/>
    <s v="P018"/>
    <s v="S001"/>
    <n v="5"/>
    <n v="0.1"/>
    <x v="0"/>
    <s v="Breanna Moore"/>
    <x v="19"/>
    <x v="1"/>
    <x v="3"/>
    <n v="1079.8900000000001"/>
    <n v="4859.505000000001"/>
  </r>
  <r>
    <s v="T04013"/>
    <d v="2025-02-13T00:00:00"/>
    <s v="C131"/>
    <s v="P043"/>
    <s v="S001"/>
    <n v="3"/>
    <n v="0.05"/>
    <x v="1"/>
    <s v="Denise Jackson"/>
    <x v="45"/>
    <x v="0"/>
    <x v="3"/>
    <n v="564.41999999999996"/>
    <n v="1608.5969999999998"/>
  </r>
  <r>
    <s v="T04014"/>
    <d v="2024-05-18T00:00:00"/>
    <s v="C153"/>
    <s v="P049"/>
    <s v="S002"/>
    <n v="3"/>
    <n v="0.1"/>
    <x v="1"/>
    <s v="Nancy Gordon"/>
    <x v="29"/>
    <x v="0"/>
    <x v="2"/>
    <n v="388.26"/>
    <n v="1048.3019999999999"/>
  </r>
  <r>
    <s v="T04015"/>
    <d v="2024-07-29T00:00:00"/>
    <s v="C102"/>
    <s v="P049"/>
    <s v="S003"/>
    <n v="4"/>
    <n v="0.05"/>
    <x v="3"/>
    <s v="Carolyn Perez"/>
    <x v="29"/>
    <x v="0"/>
    <x v="0"/>
    <n v="388.26"/>
    <n v="1475.3879999999999"/>
  </r>
  <r>
    <s v="T04016"/>
    <d v="2025-08-25T00:00:00"/>
    <s v="C062"/>
    <s v="P009"/>
    <s v="S001"/>
    <n v="4"/>
    <n v="0.1"/>
    <x v="2"/>
    <s v="Susan Salinas"/>
    <x v="5"/>
    <x v="2"/>
    <x v="3"/>
    <n v="123.19"/>
    <n v="443.48399999999998"/>
  </r>
  <r>
    <s v="T04017"/>
    <d v="2025-01-02T00:00:00"/>
    <s v="C062"/>
    <s v="P040"/>
    <s v="S003"/>
    <n v="5"/>
    <n v="0"/>
    <x v="0"/>
    <s v="Susan Salinas"/>
    <x v="37"/>
    <x v="1"/>
    <x v="0"/>
    <n v="1745.61"/>
    <n v="8728.0499999999993"/>
  </r>
  <r>
    <s v="T04018"/>
    <d v="2023-12-04T00:00:00"/>
    <s v="C047"/>
    <s v="P024"/>
    <s v="S004"/>
    <n v="1"/>
    <n v="0.1"/>
    <x v="3"/>
    <s v="Mary Decker"/>
    <x v="14"/>
    <x v="1"/>
    <x v="1"/>
    <n v="1487.41"/>
    <n v="1338.6690000000001"/>
  </r>
  <r>
    <s v="T04019"/>
    <d v="2023-11-18T00:00:00"/>
    <s v="C171"/>
    <s v="P023"/>
    <s v="S003"/>
    <n v="5"/>
    <n v="0.05"/>
    <x v="2"/>
    <s v="Christina Dominguez"/>
    <x v="20"/>
    <x v="0"/>
    <x v="0"/>
    <n v="1878.47"/>
    <n v="8922.7325000000001"/>
  </r>
  <r>
    <s v="T04020"/>
    <d v="2024-08-06T00:00:00"/>
    <s v="C041"/>
    <s v="P017"/>
    <s v="S004"/>
    <n v="1"/>
    <n v="0.1"/>
    <x v="0"/>
    <s v="Melissa Rodgers"/>
    <x v="43"/>
    <x v="1"/>
    <x v="1"/>
    <n v="1246.1099999999999"/>
    <n v="1121.499"/>
  </r>
  <r>
    <s v="T04021"/>
    <d v="2024-05-30T00:00:00"/>
    <s v="C080"/>
    <s v="P032"/>
    <s v="S002"/>
    <n v="1"/>
    <n v="0.15"/>
    <x v="1"/>
    <s v="Grace Garcia"/>
    <x v="44"/>
    <x v="2"/>
    <x v="2"/>
    <n v="304.70999999999998"/>
    <n v="259.00349999999997"/>
  </r>
  <r>
    <s v="T04022"/>
    <d v="2024-07-04T00:00:00"/>
    <s v="C057"/>
    <s v="P029"/>
    <s v="S004"/>
    <n v="2"/>
    <n v="0"/>
    <x v="3"/>
    <s v="Julie Gibson"/>
    <x v="47"/>
    <x v="0"/>
    <x v="1"/>
    <n v="1485.05"/>
    <n v="2970.1"/>
  </r>
  <r>
    <s v="T04023"/>
    <d v="2024-04-16T00:00:00"/>
    <s v="C008"/>
    <s v="P025"/>
    <s v="S005"/>
    <n v="1"/>
    <n v="0.15"/>
    <x v="0"/>
    <s v="Isaiah Williams"/>
    <x v="33"/>
    <x v="0"/>
    <x v="4"/>
    <n v="429.15"/>
    <n v="364.77749999999997"/>
  </r>
  <r>
    <s v="T04024"/>
    <d v="2023-09-22T00:00:00"/>
    <s v="C043"/>
    <s v="P007"/>
    <s v="S002"/>
    <n v="1"/>
    <n v="0"/>
    <x v="0"/>
    <s v="Kenneth Allen"/>
    <x v="18"/>
    <x v="1"/>
    <x v="2"/>
    <n v="1474.12"/>
    <n v="1474.12"/>
  </r>
  <r>
    <s v="T04025"/>
    <d v="2023-11-16T00:00:00"/>
    <s v="C187"/>
    <s v="P034"/>
    <s v="S005"/>
    <n v="4"/>
    <n v="0"/>
    <x v="0"/>
    <s v="Cynthia Cherry"/>
    <x v="12"/>
    <x v="1"/>
    <x v="4"/>
    <n v="428.05"/>
    <n v="1712.2"/>
  </r>
  <r>
    <s v="T04026"/>
    <d v="2024-11-14T00:00:00"/>
    <s v="C082"/>
    <s v="P042"/>
    <s v="S002"/>
    <n v="2"/>
    <n v="0.1"/>
    <x v="0"/>
    <s v="Amy Haley"/>
    <x v="10"/>
    <x v="0"/>
    <x v="2"/>
    <n v="453.62"/>
    <n v="816.51600000000008"/>
  </r>
  <r>
    <s v="T04027"/>
    <d v="2024-12-11T00:00:00"/>
    <s v="C190"/>
    <s v="P014"/>
    <s v="S002"/>
    <n v="4"/>
    <n v="0.15"/>
    <x v="0"/>
    <s v="Daniel Lawson"/>
    <x v="0"/>
    <x v="0"/>
    <x v="2"/>
    <n v="1342.75"/>
    <n v="4565.3499999999995"/>
  </r>
  <r>
    <s v="T04028"/>
    <d v="2025-06-03T00:00:00"/>
    <s v="C069"/>
    <s v="P046"/>
    <s v="S004"/>
    <n v="1"/>
    <n v="0"/>
    <x v="1"/>
    <s v="Gabriel Daugherty"/>
    <x v="42"/>
    <x v="0"/>
    <x v="1"/>
    <n v="1165.3699999999999"/>
    <n v="1165.3699999999999"/>
  </r>
  <r>
    <s v="T04029"/>
    <d v="2024-05-01T00:00:00"/>
    <s v="C050"/>
    <s v="P036"/>
    <s v="S002"/>
    <n v="1"/>
    <n v="0.15"/>
    <x v="0"/>
    <s v="Kelly Mcmillan"/>
    <x v="4"/>
    <x v="0"/>
    <x v="2"/>
    <n v="1501.46"/>
    <n v="1276.241"/>
  </r>
  <r>
    <s v="T04030"/>
    <d v="2024-01-21T00:00:00"/>
    <s v="C190"/>
    <s v="P040"/>
    <s v="S002"/>
    <n v="2"/>
    <n v="0.15"/>
    <x v="1"/>
    <s v="Daniel Lawson"/>
    <x v="37"/>
    <x v="1"/>
    <x v="2"/>
    <n v="1745.61"/>
    <n v="2967.5369999999998"/>
  </r>
  <r>
    <s v="T04031"/>
    <d v="2023-11-06T00:00:00"/>
    <s v="C116"/>
    <s v="P046"/>
    <s v="S002"/>
    <n v="5"/>
    <n v="0.15"/>
    <x v="1"/>
    <s v="Jamie Webb"/>
    <x v="42"/>
    <x v="0"/>
    <x v="2"/>
    <n v="1165.3699999999999"/>
    <n v="4952.8224999999993"/>
  </r>
  <r>
    <s v="T04032"/>
    <d v="2025-06-15T00:00:00"/>
    <s v="C175"/>
    <s v="P011"/>
    <s v="S003"/>
    <n v="4"/>
    <n v="0.05"/>
    <x v="2"/>
    <s v="Stacey Thompson"/>
    <x v="17"/>
    <x v="1"/>
    <x v="0"/>
    <n v="248.57"/>
    <n v="944.56599999999992"/>
  </r>
  <r>
    <s v="T04033"/>
    <d v="2024-07-10T00:00:00"/>
    <s v="C120"/>
    <s v="P039"/>
    <s v="S001"/>
    <n v="1"/>
    <n v="0.1"/>
    <x v="3"/>
    <s v="Curtis Faulkner"/>
    <x v="22"/>
    <x v="0"/>
    <x v="3"/>
    <n v="540.94000000000005"/>
    <n v="486.84600000000006"/>
  </r>
  <r>
    <s v="T04034"/>
    <d v="2023-09-10T00:00:00"/>
    <s v="C166"/>
    <s v="P034"/>
    <s v="S001"/>
    <n v="3"/>
    <n v="0.05"/>
    <x v="1"/>
    <s v="Meagan Ali"/>
    <x v="12"/>
    <x v="1"/>
    <x v="3"/>
    <n v="428.05"/>
    <n v="1219.9425000000001"/>
  </r>
  <r>
    <s v="T04035"/>
    <d v="2025-06-16T00:00:00"/>
    <s v="C138"/>
    <s v="P036"/>
    <s v="S001"/>
    <n v="1"/>
    <n v="0.1"/>
    <x v="0"/>
    <s v="Breanna Moore"/>
    <x v="4"/>
    <x v="0"/>
    <x v="3"/>
    <n v="1501.46"/>
    <n v="1351.3140000000001"/>
  </r>
  <r>
    <s v="T04036"/>
    <d v="2025-03-11T00:00:00"/>
    <s v="C167"/>
    <s v="P046"/>
    <s v="S005"/>
    <n v="1"/>
    <n v="0"/>
    <x v="3"/>
    <s v="Kimberly Lin"/>
    <x v="42"/>
    <x v="0"/>
    <x v="4"/>
    <n v="1165.3699999999999"/>
    <n v="1165.3699999999999"/>
  </r>
  <r>
    <s v="T04037"/>
    <d v="2024-04-14T00:00:00"/>
    <s v="C039"/>
    <s v="P017"/>
    <s v="S004"/>
    <n v="2"/>
    <n v="0.05"/>
    <x v="3"/>
    <s v="Nancy Savage"/>
    <x v="43"/>
    <x v="1"/>
    <x v="1"/>
    <n v="1246.1099999999999"/>
    <n v="2367.6089999999999"/>
  </r>
  <r>
    <s v="T04038"/>
    <d v="2024-11-07T00:00:00"/>
    <s v="C080"/>
    <s v="P046"/>
    <s v="S002"/>
    <n v="3"/>
    <n v="0.15"/>
    <x v="2"/>
    <s v="Grace Garcia"/>
    <x v="42"/>
    <x v="0"/>
    <x v="2"/>
    <n v="1165.3699999999999"/>
    <n v="2971.6934999999999"/>
  </r>
  <r>
    <s v="T04039"/>
    <d v="2023-09-22T00:00:00"/>
    <s v="C031"/>
    <s v="P043"/>
    <s v="S004"/>
    <n v="1"/>
    <n v="0.1"/>
    <x v="2"/>
    <s v="Ashley Gibson"/>
    <x v="45"/>
    <x v="0"/>
    <x v="1"/>
    <n v="564.41999999999996"/>
    <n v="507.97799999999995"/>
  </r>
  <r>
    <s v="T04040"/>
    <d v="2024-02-20T00:00:00"/>
    <s v="C147"/>
    <s v="P016"/>
    <s v="S001"/>
    <n v="2"/>
    <n v="0.15"/>
    <x v="3"/>
    <s v="Crystal Garrison"/>
    <x v="13"/>
    <x v="0"/>
    <x v="3"/>
    <n v="1858.75"/>
    <n v="3159.875"/>
  </r>
  <r>
    <s v="T04041"/>
    <d v="2025-01-21T00:00:00"/>
    <s v="C127"/>
    <s v="P027"/>
    <s v="S002"/>
    <n v="1"/>
    <n v="0.05"/>
    <x v="3"/>
    <s v="John Allen"/>
    <x v="34"/>
    <x v="1"/>
    <x v="2"/>
    <n v="1272.23"/>
    <n v="1208.6185"/>
  </r>
  <r>
    <s v="T04042"/>
    <d v="2025-01-13T00:00:00"/>
    <s v="C051"/>
    <s v="P014"/>
    <s v="S004"/>
    <n v="5"/>
    <n v="0.1"/>
    <x v="0"/>
    <s v="Madison Sellers"/>
    <x v="0"/>
    <x v="0"/>
    <x v="1"/>
    <n v="1342.75"/>
    <n v="6042.375"/>
  </r>
  <r>
    <s v="T04043"/>
    <d v="2023-12-04T00:00:00"/>
    <s v="C182"/>
    <s v="P020"/>
    <s v="S002"/>
    <n v="5"/>
    <n v="0.15"/>
    <x v="2"/>
    <s v="Meghan Wright"/>
    <x v="24"/>
    <x v="0"/>
    <x v="2"/>
    <n v="323.92"/>
    <n v="1376.66"/>
  </r>
  <r>
    <s v="T04044"/>
    <d v="2024-02-10T00:00:00"/>
    <s v="C185"/>
    <s v="P030"/>
    <s v="S001"/>
    <n v="5"/>
    <n v="0.05"/>
    <x v="1"/>
    <s v="Joe Vincent"/>
    <x v="1"/>
    <x v="0"/>
    <x v="3"/>
    <n v="29.24"/>
    <n v="138.88999999999999"/>
  </r>
  <r>
    <s v="T04045"/>
    <d v="2024-07-06T00:00:00"/>
    <s v="C064"/>
    <s v="P030"/>
    <s v="S003"/>
    <n v="2"/>
    <n v="0.1"/>
    <x v="0"/>
    <s v="Amanda Hoover"/>
    <x v="1"/>
    <x v="0"/>
    <x v="0"/>
    <n v="29.24"/>
    <n v="52.631999999999998"/>
  </r>
  <r>
    <s v="T04046"/>
    <d v="2024-10-30T00:00:00"/>
    <s v="C169"/>
    <s v="P040"/>
    <s v="S002"/>
    <n v="2"/>
    <n v="0.05"/>
    <x v="2"/>
    <s v="Travis Watson"/>
    <x v="37"/>
    <x v="1"/>
    <x v="2"/>
    <n v="1745.61"/>
    <n v="3316.6589999999997"/>
  </r>
  <r>
    <s v="T04047"/>
    <d v="2025-01-10T00:00:00"/>
    <s v="C039"/>
    <s v="P030"/>
    <s v="S004"/>
    <n v="2"/>
    <n v="0.05"/>
    <x v="2"/>
    <s v="Nancy Savage"/>
    <x v="1"/>
    <x v="0"/>
    <x v="1"/>
    <n v="29.24"/>
    <n v="55.555999999999997"/>
  </r>
  <r>
    <s v="T04048"/>
    <d v="2025-07-06T00:00:00"/>
    <s v="C001"/>
    <s v="P004"/>
    <s v="S003"/>
    <n v="3"/>
    <n v="0.15"/>
    <x v="2"/>
    <s v="Michael Davis"/>
    <x v="49"/>
    <x v="0"/>
    <x v="0"/>
    <n v="1853.77"/>
    <n v="4727.1134999999995"/>
  </r>
  <r>
    <s v="T04049"/>
    <d v="2025-07-05T00:00:00"/>
    <s v="C091"/>
    <s v="P001"/>
    <s v="S002"/>
    <n v="2"/>
    <n v="0.05"/>
    <x v="1"/>
    <s v="Brian Fowler"/>
    <x v="31"/>
    <x v="1"/>
    <x v="2"/>
    <n v="1673.69"/>
    <n v="3180.011"/>
  </r>
  <r>
    <s v="T04050"/>
    <d v="2024-05-20T00:00:00"/>
    <s v="C110"/>
    <s v="P049"/>
    <s v="S001"/>
    <n v="5"/>
    <n v="0.1"/>
    <x v="3"/>
    <s v="Travis Peters"/>
    <x v="29"/>
    <x v="0"/>
    <x v="3"/>
    <n v="388.26"/>
    <n v="1747.17"/>
  </r>
  <r>
    <s v="T04051"/>
    <d v="2025-04-06T00:00:00"/>
    <s v="C121"/>
    <s v="P013"/>
    <s v="S004"/>
    <n v="1"/>
    <n v="0"/>
    <x v="1"/>
    <s v="John Bell"/>
    <x v="21"/>
    <x v="0"/>
    <x v="1"/>
    <n v="1134.8"/>
    <n v="1134.8"/>
  </r>
  <r>
    <s v="T04052"/>
    <d v="2025-02-14T00:00:00"/>
    <s v="C012"/>
    <s v="P023"/>
    <s v="S005"/>
    <n v="2"/>
    <n v="0.15"/>
    <x v="1"/>
    <s v="Dale Perry"/>
    <x v="20"/>
    <x v="0"/>
    <x v="4"/>
    <n v="1878.47"/>
    <n v="3193.3989999999999"/>
  </r>
  <r>
    <s v="T04053"/>
    <d v="2025-07-13T00:00:00"/>
    <s v="C031"/>
    <s v="P036"/>
    <s v="S005"/>
    <n v="2"/>
    <n v="0.05"/>
    <x v="1"/>
    <s v="Ashley Gibson"/>
    <x v="4"/>
    <x v="0"/>
    <x v="4"/>
    <n v="1501.46"/>
    <n v="2852.7739999999999"/>
  </r>
  <r>
    <s v="T04054"/>
    <d v="2024-09-16T00:00:00"/>
    <s v="C010"/>
    <s v="P037"/>
    <s v="S001"/>
    <n v="1"/>
    <n v="0.15"/>
    <x v="3"/>
    <s v="Catherine Rice"/>
    <x v="27"/>
    <x v="1"/>
    <x v="3"/>
    <n v="1952.65"/>
    <n v="1659.7525000000001"/>
  </r>
  <r>
    <s v="T04055"/>
    <d v="2024-10-02T00:00:00"/>
    <s v="C040"/>
    <s v="P017"/>
    <s v="S004"/>
    <n v="1"/>
    <n v="0.1"/>
    <x v="2"/>
    <s v="Scott Powell"/>
    <x v="43"/>
    <x v="1"/>
    <x v="1"/>
    <n v="1246.1099999999999"/>
    <n v="1121.499"/>
  </r>
  <r>
    <s v="T04056"/>
    <d v="2024-10-28T00:00:00"/>
    <s v="C143"/>
    <s v="P014"/>
    <s v="S005"/>
    <n v="2"/>
    <n v="0"/>
    <x v="1"/>
    <s v="Cynthia Carlson"/>
    <x v="0"/>
    <x v="0"/>
    <x v="4"/>
    <n v="1342.75"/>
    <n v="2685.5"/>
  </r>
  <r>
    <s v="T04057"/>
    <d v="2025-04-03T00:00:00"/>
    <s v="C171"/>
    <s v="P002"/>
    <s v="S004"/>
    <n v="3"/>
    <n v="0.1"/>
    <x v="1"/>
    <s v="Christina Dominguez"/>
    <x v="2"/>
    <x v="1"/>
    <x v="1"/>
    <n v="818.76"/>
    <n v="2210.652"/>
  </r>
  <r>
    <s v="T04058"/>
    <d v="2024-04-05T00:00:00"/>
    <s v="C123"/>
    <s v="P001"/>
    <s v="S002"/>
    <n v="3"/>
    <n v="0.15"/>
    <x v="0"/>
    <s v="Peter Edwards"/>
    <x v="31"/>
    <x v="1"/>
    <x v="2"/>
    <n v="1673.69"/>
    <n v="4267.9094999999998"/>
  </r>
  <r>
    <s v="T04059"/>
    <d v="2024-09-03T00:00:00"/>
    <s v="C034"/>
    <s v="P014"/>
    <s v="S002"/>
    <n v="2"/>
    <n v="0.05"/>
    <x v="2"/>
    <s v="Kari Miller"/>
    <x v="0"/>
    <x v="0"/>
    <x v="2"/>
    <n v="1342.75"/>
    <n v="2551.2249999999999"/>
  </r>
  <r>
    <s v="T04060"/>
    <d v="2024-07-18T00:00:00"/>
    <s v="C037"/>
    <s v="P027"/>
    <s v="S002"/>
    <n v="5"/>
    <n v="0"/>
    <x v="3"/>
    <s v="Miranda Nelson"/>
    <x v="34"/>
    <x v="1"/>
    <x v="2"/>
    <n v="1272.23"/>
    <n v="6361.15"/>
  </r>
  <r>
    <s v="T04061"/>
    <d v="2024-06-21T00:00:00"/>
    <s v="C194"/>
    <s v="P034"/>
    <s v="S005"/>
    <n v="3"/>
    <n v="0.1"/>
    <x v="2"/>
    <s v="Ann West"/>
    <x v="12"/>
    <x v="1"/>
    <x v="4"/>
    <n v="428.05"/>
    <n v="1155.7350000000001"/>
  </r>
  <r>
    <s v="T04062"/>
    <d v="2024-12-31T00:00:00"/>
    <s v="C089"/>
    <s v="P005"/>
    <s v="S005"/>
    <n v="5"/>
    <n v="0.05"/>
    <x v="2"/>
    <s v="William Warner"/>
    <x v="6"/>
    <x v="0"/>
    <x v="4"/>
    <n v="1396.22"/>
    <n v="6632.0450000000001"/>
  </r>
  <r>
    <s v="T04063"/>
    <d v="2024-12-22T00:00:00"/>
    <s v="C046"/>
    <s v="P015"/>
    <s v="S003"/>
    <n v="4"/>
    <n v="0"/>
    <x v="1"/>
    <s v="Dennis Poole"/>
    <x v="40"/>
    <x v="0"/>
    <x v="0"/>
    <n v="270.45"/>
    <n v="1081.8"/>
  </r>
  <r>
    <s v="T04064"/>
    <d v="2023-09-18T00:00:00"/>
    <s v="C047"/>
    <s v="P019"/>
    <s v="S005"/>
    <n v="3"/>
    <n v="0.05"/>
    <x v="0"/>
    <s v="Mary Decker"/>
    <x v="26"/>
    <x v="1"/>
    <x v="4"/>
    <n v="1762.92"/>
    <n v="5024.3220000000001"/>
  </r>
  <r>
    <s v="T04065"/>
    <d v="2023-12-05T00:00:00"/>
    <s v="C168"/>
    <s v="P014"/>
    <s v="S001"/>
    <n v="4"/>
    <n v="0.05"/>
    <x v="1"/>
    <s v="Richard Jones"/>
    <x v="0"/>
    <x v="0"/>
    <x v="3"/>
    <n v="1342.75"/>
    <n v="5102.45"/>
  </r>
  <r>
    <s v="T04066"/>
    <d v="2024-01-04T00:00:00"/>
    <s v="C063"/>
    <s v="P011"/>
    <s v="S001"/>
    <n v="1"/>
    <n v="0"/>
    <x v="0"/>
    <s v="Michael Johnson"/>
    <x v="17"/>
    <x v="1"/>
    <x v="3"/>
    <n v="248.57"/>
    <n v="248.57"/>
  </r>
  <r>
    <s v="T04067"/>
    <d v="2025-02-16T00:00:00"/>
    <s v="C102"/>
    <s v="P040"/>
    <s v="S004"/>
    <n v="3"/>
    <n v="0"/>
    <x v="2"/>
    <s v="Carolyn Perez"/>
    <x v="37"/>
    <x v="1"/>
    <x v="1"/>
    <n v="1745.61"/>
    <n v="5236.83"/>
  </r>
  <r>
    <s v="T04068"/>
    <d v="2024-06-06T00:00:00"/>
    <s v="C002"/>
    <s v="P006"/>
    <s v="S004"/>
    <n v="3"/>
    <n v="0.05"/>
    <x v="0"/>
    <s v="Michael Miller"/>
    <x v="35"/>
    <x v="2"/>
    <x v="1"/>
    <n v="318.05"/>
    <n v="906.4425"/>
  </r>
  <r>
    <s v="T04069"/>
    <d v="2025-02-03T00:00:00"/>
    <s v="C198"/>
    <s v="P035"/>
    <s v="S001"/>
    <n v="5"/>
    <n v="0.1"/>
    <x v="2"/>
    <s v="Jessica Mullins"/>
    <x v="7"/>
    <x v="1"/>
    <x v="3"/>
    <n v="1562.43"/>
    <n v="7030.9350000000004"/>
  </r>
  <r>
    <s v="T04070"/>
    <d v="2023-11-08T00:00:00"/>
    <s v="C004"/>
    <s v="P037"/>
    <s v="S001"/>
    <n v="2"/>
    <n v="0.15"/>
    <x v="2"/>
    <s v="Joseph Ward"/>
    <x v="27"/>
    <x v="1"/>
    <x v="3"/>
    <n v="1952.65"/>
    <n v="3319.5050000000001"/>
  </r>
  <r>
    <s v="T04071"/>
    <d v="2023-09-30T00:00:00"/>
    <s v="C103"/>
    <s v="P039"/>
    <s v="S001"/>
    <n v="5"/>
    <n v="0.1"/>
    <x v="1"/>
    <s v="David Burns"/>
    <x v="22"/>
    <x v="0"/>
    <x v="3"/>
    <n v="540.94000000000005"/>
    <n v="2434.2300000000005"/>
  </r>
  <r>
    <s v="T04072"/>
    <d v="2024-01-27T00:00:00"/>
    <s v="C059"/>
    <s v="P040"/>
    <s v="S005"/>
    <n v="4"/>
    <n v="0.1"/>
    <x v="1"/>
    <s v="Scott Wyatt"/>
    <x v="37"/>
    <x v="1"/>
    <x v="4"/>
    <n v="1745.61"/>
    <n v="6284.1959999999999"/>
  </r>
  <r>
    <s v="T04073"/>
    <d v="2024-01-30T00:00:00"/>
    <s v="C017"/>
    <s v="P042"/>
    <s v="S003"/>
    <n v="3"/>
    <n v="0.15"/>
    <x v="3"/>
    <s v="Vanessa Anderson"/>
    <x v="10"/>
    <x v="0"/>
    <x v="0"/>
    <n v="453.62"/>
    <n v="1156.731"/>
  </r>
  <r>
    <s v="T04074"/>
    <d v="2023-12-09T00:00:00"/>
    <s v="C093"/>
    <s v="P023"/>
    <s v="S003"/>
    <n v="3"/>
    <n v="0"/>
    <x v="2"/>
    <s v="Stanley Brown"/>
    <x v="20"/>
    <x v="0"/>
    <x v="0"/>
    <n v="1878.47"/>
    <n v="5635.41"/>
  </r>
  <r>
    <s v="T04075"/>
    <d v="2025-05-05T00:00:00"/>
    <s v="C161"/>
    <s v="P021"/>
    <s v="S001"/>
    <n v="3"/>
    <n v="0"/>
    <x v="1"/>
    <s v="Michael Perez"/>
    <x v="23"/>
    <x v="2"/>
    <x v="3"/>
    <n v="1227.24"/>
    <n v="3681.7200000000003"/>
  </r>
  <r>
    <s v="T04076"/>
    <d v="2024-05-12T00:00:00"/>
    <s v="C185"/>
    <s v="P023"/>
    <s v="S003"/>
    <n v="1"/>
    <n v="0"/>
    <x v="0"/>
    <s v="Joe Vincent"/>
    <x v="20"/>
    <x v="0"/>
    <x v="0"/>
    <n v="1878.47"/>
    <n v="1878.47"/>
  </r>
  <r>
    <s v="T04077"/>
    <d v="2025-08-05T00:00:00"/>
    <s v="C085"/>
    <s v="P028"/>
    <s v="S004"/>
    <n v="3"/>
    <n v="0"/>
    <x v="3"/>
    <s v="Juan Ramirez"/>
    <x v="25"/>
    <x v="1"/>
    <x v="1"/>
    <n v="673.78"/>
    <n v="2021.34"/>
  </r>
  <r>
    <s v="T04078"/>
    <d v="2024-10-29T00:00:00"/>
    <s v="C148"/>
    <s v="P006"/>
    <s v="S004"/>
    <n v="5"/>
    <n v="0.05"/>
    <x v="0"/>
    <s v="John Foster"/>
    <x v="35"/>
    <x v="2"/>
    <x v="1"/>
    <n v="318.05"/>
    <n v="1510.7375"/>
  </r>
  <r>
    <s v="T04079"/>
    <d v="2025-08-24T00:00:00"/>
    <s v="C116"/>
    <s v="P016"/>
    <s v="S005"/>
    <n v="4"/>
    <n v="0.1"/>
    <x v="2"/>
    <s v="Jamie Webb"/>
    <x v="13"/>
    <x v="0"/>
    <x v="4"/>
    <n v="1858.75"/>
    <n v="6691.5"/>
  </r>
  <r>
    <s v="T04080"/>
    <d v="2024-09-08T00:00:00"/>
    <s v="C016"/>
    <s v="P018"/>
    <s v="S004"/>
    <n v="1"/>
    <n v="0.05"/>
    <x v="3"/>
    <s v="Miguel Johnson"/>
    <x v="19"/>
    <x v="1"/>
    <x v="1"/>
    <n v="1079.8900000000001"/>
    <n v="1025.8955000000001"/>
  </r>
  <r>
    <s v="T04081"/>
    <d v="2025-04-10T00:00:00"/>
    <s v="C065"/>
    <s v="P022"/>
    <s v="S002"/>
    <n v="4"/>
    <n v="0.05"/>
    <x v="3"/>
    <s v="Scott Duke"/>
    <x v="9"/>
    <x v="2"/>
    <x v="2"/>
    <n v="25.57"/>
    <n v="97.165999999999997"/>
  </r>
  <r>
    <s v="T04082"/>
    <d v="2024-04-18T00:00:00"/>
    <s v="C019"/>
    <s v="P015"/>
    <s v="S005"/>
    <n v="4"/>
    <n v="0"/>
    <x v="2"/>
    <s v="John Smith"/>
    <x v="40"/>
    <x v="0"/>
    <x v="4"/>
    <n v="270.45"/>
    <n v="1081.8"/>
  </r>
  <r>
    <s v="T04083"/>
    <d v="2024-02-08T00:00:00"/>
    <s v="C187"/>
    <s v="P007"/>
    <s v="S001"/>
    <n v="2"/>
    <n v="0.1"/>
    <x v="3"/>
    <s v="Cynthia Cherry"/>
    <x v="18"/>
    <x v="1"/>
    <x v="3"/>
    <n v="1474.12"/>
    <n v="2653.4159999999997"/>
  </r>
  <r>
    <s v="T04084"/>
    <d v="2023-11-05T00:00:00"/>
    <s v="C052"/>
    <s v="P031"/>
    <s v="S005"/>
    <n v="2"/>
    <n v="0.15"/>
    <x v="1"/>
    <s v="Billy Hernandez"/>
    <x v="39"/>
    <x v="2"/>
    <x v="4"/>
    <n v="1095.72"/>
    <n v="1862.7239999999999"/>
  </r>
  <r>
    <s v="T04085"/>
    <d v="2025-08-24T00:00:00"/>
    <s v="C119"/>
    <s v="P014"/>
    <s v="S005"/>
    <n v="5"/>
    <n v="0.15"/>
    <x v="1"/>
    <s v="Jason Lloyd"/>
    <x v="0"/>
    <x v="0"/>
    <x v="4"/>
    <n v="1342.75"/>
    <n v="5706.6875"/>
  </r>
  <r>
    <s v="T04086"/>
    <d v="2024-11-08T00:00:00"/>
    <s v="C010"/>
    <s v="P040"/>
    <s v="S005"/>
    <n v="5"/>
    <n v="0.15"/>
    <x v="2"/>
    <s v="Catherine Rice"/>
    <x v="37"/>
    <x v="1"/>
    <x v="4"/>
    <n v="1745.61"/>
    <n v="7418.8424999999988"/>
  </r>
  <r>
    <s v="T04087"/>
    <d v="2024-04-26T00:00:00"/>
    <s v="C019"/>
    <s v="P047"/>
    <s v="S002"/>
    <n v="4"/>
    <n v="0.15"/>
    <x v="1"/>
    <s v="John Smith"/>
    <x v="28"/>
    <x v="1"/>
    <x v="2"/>
    <n v="1197.18"/>
    <n v="4070.4120000000003"/>
  </r>
  <r>
    <s v="T04088"/>
    <d v="2025-05-12T00:00:00"/>
    <s v="C060"/>
    <s v="P048"/>
    <s v="S001"/>
    <n v="5"/>
    <n v="0.05"/>
    <x v="2"/>
    <s v="Anthony Conway"/>
    <x v="11"/>
    <x v="0"/>
    <x v="3"/>
    <n v="1216.3599999999999"/>
    <n v="5777.7099999999991"/>
  </r>
  <r>
    <s v="T04089"/>
    <d v="2024-04-01T00:00:00"/>
    <s v="C113"/>
    <s v="P049"/>
    <s v="S004"/>
    <n v="1"/>
    <n v="0.15"/>
    <x v="0"/>
    <s v="Heidi Wilson"/>
    <x v="29"/>
    <x v="0"/>
    <x v="1"/>
    <n v="388.26"/>
    <n v="330.02099999999996"/>
  </r>
  <r>
    <s v="T04090"/>
    <d v="2024-04-20T00:00:00"/>
    <s v="C179"/>
    <s v="P012"/>
    <s v="S005"/>
    <n v="5"/>
    <n v="0.15"/>
    <x v="1"/>
    <s v="Dennis Wallace"/>
    <x v="38"/>
    <x v="1"/>
    <x v="4"/>
    <n v="1193.0899999999999"/>
    <n v="5070.6324999999997"/>
  </r>
  <r>
    <s v="T04091"/>
    <d v="2025-04-04T00:00:00"/>
    <s v="C091"/>
    <s v="P034"/>
    <s v="S002"/>
    <n v="2"/>
    <n v="0.1"/>
    <x v="2"/>
    <s v="Brian Fowler"/>
    <x v="12"/>
    <x v="1"/>
    <x v="2"/>
    <n v="428.05"/>
    <n v="770.49"/>
  </r>
  <r>
    <s v="T04092"/>
    <d v="2024-02-07T00:00:00"/>
    <s v="C030"/>
    <s v="P029"/>
    <s v="S005"/>
    <n v="1"/>
    <n v="0.15"/>
    <x v="0"/>
    <s v="Lacey Hall"/>
    <x v="47"/>
    <x v="0"/>
    <x v="4"/>
    <n v="1485.05"/>
    <n v="1262.2925"/>
  </r>
  <r>
    <s v="T04093"/>
    <d v="2023-09-29T00:00:00"/>
    <s v="C080"/>
    <s v="P010"/>
    <s v="S002"/>
    <n v="1"/>
    <n v="0.1"/>
    <x v="2"/>
    <s v="Grace Garcia"/>
    <x v="36"/>
    <x v="1"/>
    <x v="2"/>
    <n v="1194.1199999999999"/>
    <n v="1074.7079999999999"/>
  </r>
  <r>
    <s v="T04094"/>
    <d v="2023-09-26T00:00:00"/>
    <s v="C060"/>
    <s v="P028"/>
    <s v="S001"/>
    <n v="2"/>
    <n v="0"/>
    <x v="2"/>
    <s v="Anthony Conway"/>
    <x v="25"/>
    <x v="1"/>
    <x v="3"/>
    <n v="673.78"/>
    <n v="1347.56"/>
  </r>
  <r>
    <s v="T04095"/>
    <d v="2024-11-22T00:00:00"/>
    <s v="C031"/>
    <s v="P030"/>
    <s v="S005"/>
    <n v="1"/>
    <n v="0.1"/>
    <x v="3"/>
    <s v="Ashley Gibson"/>
    <x v="1"/>
    <x v="0"/>
    <x v="4"/>
    <n v="29.24"/>
    <n v="26.315999999999999"/>
  </r>
  <r>
    <s v="T04096"/>
    <d v="2023-11-25T00:00:00"/>
    <s v="C199"/>
    <s v="P013"/>
    <s v="S003"/>
    <n v="4"/>
    <n v="0.15"/>
    <x v="0"/>
    <s v="Juan Johnson"/>
    <x v="21"/>
    <x v="0"/>
    <x v="0"/>
    <n v="1134.8"/>
    <n v="3858.3199999999997"/>
  </r>
  <r>
    <s v="T04097"/>
    <d v="2025-08-21T00:00:00"/>
    <s v="C073"/>
    <s v="P038"/>
    <s v="S005"/>
    <n v="4"/>
    <n v="0.1"/>
    <x v="1"/>
    <s v="Carl Armstrong"/>
    <x v="41"/>
    <x v="0"/>
    <x v="4"/>
    <n v="366.93"/>
    <n v="1320.9480000000001"/>
  </r>
  <r>
    <s v="T04098"/>
    <d v="2025-01-12T00:00:00"/>
    <s v="C002"/>
    <s v="P028"/>
    <s v="S001"/>
    <n v="1"/>
    <n v="0.05"/>
    <x v="1"/>
    <s v="Michael Miller"/>
    <x v="25"/>
    <x v="1"/>
    <x v="3"/>
    <n v="673.78"/>
    <n v="640.09099999999989"/>
  </r>
  <r>
    <s v="T04099"/>
    <d v="2025-04-26T00:00:00"/>
    <s v="C144"/>
    <s v="P026"/>
    <s v="S004"/>
    <n v="4"/>
    <n v="0.1"/>
    <x v="0"/>
    <s v="Betty Johnson"/>
    <x v="15"/>
    <x v="2"/>
    <x v="1"/>
    <n v="1015.76"/>
    <n v="3656.7359999999999"/>
  </r>
  <r>
    <s v="T04100"/>
    <d v="2024-03-21T00:00:00"/>
    <s v="C140"/>
    <s v="P043"/>
    <s v="S004"/>
    <n v="4"/>
    <n v="0.15"/>
    <x v="0"/>
    <s v="Stacy Williams"/>
    <x v="45"/>
    <x v="0"/>
    <x v="1"/>
    <n v="564.41999999999996"/>
    <n v="1919.0279999999998"/>
  </r>
  <r>
    <s v="T04101"/>
    <d v="2025-06-18T00:00:00"/>
    <s v="C147"/>
    <s v="P043"/>
    <s v="S004"/>
    <n v="5"/>
    <n v="0.15"/>
    <x v="0"/>
    <s v="Crystal Garrison"/>
    <x v="45"/>
    <x v="0"/>
    <x v="1"/>
    <n v="564.41999999999996"/>
    <n v="2398.7849999999999"/>
  </r>
  <r>
    <s v="T04102"/>
    <d v="2025-08-25T00:00:00"/>
    <s v="C023"/>
    <s v="P019"/>
    <s v="S004"/>
    <n v="2"/>
    <n v="0.15"/>
    <x v="0"/>
    <s v="Mark Martinez"/>
    <x v="26"/>
    <x v="1"/>
    <x v="1"/>
    <n v="1762.92"/>
    <n v="2996.9639999999999"/>
  </r>
  <r>
    <s v="T04103"/>
    <d v="2024-01-26T00:00:00"/>
    <s v="C110"/>
    <s v="P036"/>
    <s v="S001"/>
    <n v="3"/>
    <n v="0.1"/>
    <x v="3"/>
    <s v="Travis Peters"/>
    <x v="4"/>
    <x v="0"/>
    <x v="3"/>
    <n v="1501.46"/>
    <n v="4053.942"/>
  </r>
  <r>
    <s v="T04104"/>
    <d v="2023-12-15T00:00:00"/>
    <s v="C006"/>
    <s v="P014"/>
    <s v="S004"/>
    <n v="2"/>
    <n v="0.1"/>
    <x v="0"/>
    <s v="Danny Moore"/>
    <x v="0"/>
    <x v="0"/>
    <x v="1"/>
    <n v="1342.75"/>
    <n v="2416.9500000000003"/>
  </r>
  <r>
    <s v="T04105"/>
    <d v="2024-01-26T00:00:00"/>
    <s v="C179"/>
    <s v="P022"/>
    <s v="S002"/>
    <n v="4"/>
    <n v="0.05"/>
    <x v="3"/>
    <s v="Dennis Wallace"/>
    <x v="9"/>
    <x v="2"/>
    <x v="2"/>
    <n v="25.57"/>
    <n v="97.165999999999997"/>
  </r>
  <r>
    <s v="T04106"/>
    <d v="2025-03-27T00:00:00"/>
    <s v="C151"/>
    <s v="P001"/>
    <s v="S004"/>
    <n v="3"/>
    <n v="0.15"/>
    <x v="2"/>
    <s v="Dawn Fletcher"/>
    <x v="31"/>
    <x v="1"/>
    <x v="1"/>
    <n v="1673.69"/>
    <n v="4267.9094999999998"/>
  </r>
  <r>
    <s v="T04107"/>
    <d v="2024-05-04T00:00:00"/>
    <s v="C119"/>
    <s v="P022"/>
    <s v="S004"/>
    <n v="1"/>
    <n v="0"/>
    <x v="0"/>
    <s v="Jason Lloyd"/>
    <x v="9"/>
    <x v="2"/>
    <x v="1"/>
    <n v="25.57"/>
    <n v="25.57"/>
  </r>
  <r>
    <s v="T04108"/>
    <d v="2024-03-09T00:00:00"/>
    <s v="C036"/>
    <s v="P004"/>
    <s v="S005"/>
    <n v="4"/>
    <n v="0.05"/>
    <x v="0"/>
    <s v="Michael Cervantes"/>
    <x v="49"/>
    <x v="0"/>
    <x v="4"/>
    <n v="1853.77"/>
    <n v="7044.326"/>
  </r>
  <r>
    <s v="T04109"/>
    <d v="2025-05-15T00:00:00"/>
    <s v="C053"/>
    <s v="P045"/>
    <s v="S001"/>
    <n v="3"/>
    <n v="0.15"/>
    <x v="3"/>
    <s v="Felicia Morgan"/>
    <x v="8"/>
    <x v="2"/>
    <x v="3"/>
    <n v="1879.08"/>
    <n v="4791.6539999999995"/>
  </r>
  <r>
    <s v="T04110"/>
    <d v="2025-01-13T00:00:00"/>
    <s v="C046"/>
    <s v="P024"/>
    <s v="S003"/>
    <n v="3"/>
    <n v="0"/>
    <x v="2"/>
    <s v="Dennis Poole"/>
    <x v="14"/>
    <x v="1"/>
    <x v="0"/>
    <n v="1487.41"/>
    <n v="4462.2300000000005"/>
  </r>
  <r>
    <s v="T04111"/>
    <d v="2023-11-03T00:00:00"/>
    <s v="C136"/>
    <s v="P031"/>
    <s v="S002"/>
    <n v="4"/>
    <n v="0.15"/>
    <x v="2"/>
    <s v="Amanda Garcia"/>
    <x v="39"/>
    <x v="2"/>
    <x v="2"/>
    <n v="1095.72"/>
    <n v="3725.4479999999999"/>
  </r>
  <r>
    <s v="T04112"/>
    <d v="2025-05-11T00:00:00"/>
    <s v="C110"/>
    <s v="P016"/>
    <s v="S003"/>
    <n v="2"/>
    <n v="0"/>
    <x v="0"/>
    <s v="Travis Peters"/>
    <x v="13"/>
    <x v="0"/>
    <x v="0"/>
    <n v="1858.75"/>
    <n v="3717.5"/>
  </r>
  <r>
    <s v="T04113"/>
    <d v="2023-12-28T00:00:00"/>
    <s v="C158"/>
    <s v="P008"/>
    <s v="S003"/>
    <n v="5"/>
    <n v="0.1"/>
    <x v="1"/>
    <s v="Crystal Aguirre"/>
    <x v="48"/>
    <x v="0"/>
    <x v="0"/>
    <n v="109.78"/>
    <n v="494.01"/>
  </r>
  <r>
    <s v="T04114"/>
    <d v="2025-04-17T00:00:00"/>
    <s v="C090"/>
    <s v="P001"/>
    <s v="S003"/>
    <n v="4"/>
    <n v="0.15"/>
    <x v="2"/>
    <s v="Carrie Peterson"/>
    <x v="31"/>
    <x v="1"/>
    <x v="0"/>
    <n v="1673.69"/>
    <n v="5690.5460000000003"/>
  </r>
  <r>
    <s v="T04115"/>
    <d v="2024-12-19T00:00:00"/>
    <s v="C077"/>
    <s v="P015"/>
    <s v="S003"/>
    <n v="3"/>
    <n v="0.1"/>
    <x v="2"/>
    <s v="Matthew Juarez"/>
    <x v="40"/>
    <x v="0"/>
    <x v="0"/>
    <n v="270.45"/>
    <n v="730.21499999999992"/>
  </r>
  <r>
    <s v="T04116"/>
    <d v="2023-09-17T00:00:00"/>
    <s v="C079"/>
    <s v="P017"/>
    <s v="S003"/>
    <n v="1"/>
    <n v="0.1"/>
    <x v="3"/>
    <s v="Donald Marsh"/>
    <x v="43"/>
    <x v="1"/>
    <x v="0"/>
    <n v="1246.1099999999999"/>
    <n v="1121.499"/>
  </r>
  <r>
    <s v="T04117"/>
    <d v="2025-08-14T00:00:00"/>
    <s v="C102"/>
    <s v="P038"/>
    <s v="S005"/>
    <n v="5"/>
    <n v="0.05"/>
    <x v="2"/>
    <s v="Carolyn Perez"/>
    <x v="41"/>
    <x v="0"/>
    <x v="4"/>
    <n v="366.93"/>
    <n v="1742.9175"/>
  </r>
  <r>
    <s v="T04118"/>
    <d v="2023-12-28T00:00:00"/>
    <s v="C181"/>
    <s v="P031"/>
    <s v="S003"/>
    <n v="3"/>
    <n v="0.15"/>
    <x v="0"/>
    <s v="Brittany Oneal"/>
    <x v="39"/>
    <x v="2"/>
    <x v="0"/>
    <n v="1095.72"/>
    <n v="2794.0859999999998"/>
  </r>
  <r>
    <s v="T04119"/>
    <d v="2025-06-01T00:00:00"/>
    <s v="C058"/>
    <s v="P001"/>
    <s v="S005"/>
    <n v="3"/>
    <n v="0.15"/>
    <x v="0"/>
    <s v="Lawrence Stewart"/>
    <x v="31"/>
    <x v="1"/>
    <x v="4"/>
    <n v="1673.69"/>
    <n v="4267.9094999999998"/>
  </r>
  <r>
    <s v="T04120"/>
    <d v="2023-12-08T00:00:00"/>
    <s v="C005"/>
    <s v="P034"/>
    <s v="S005"/>
    <n v="5"/>
    <n v="0.05"/>
    <x v="2"/>
    <s v="Jamie Salinas"/>
    <x v="12"/>
    <x v="1"/>
    <x v="4"/>
    <n v="428.05"/>
    <n v="2033.2375"/>
  </r>
  <r>
    <s v="T04121"/>
    <d v="2025-01-04T00:00:00"/>
    <s v="C058"/>
    <s v="P018"/>
    <s v="S001"/>
    <n v="5"/>
    <n v="0.1"/>
    <x v="1"/>
    <s v="Lawrence Stewart"/>
    <x v="19"/>
    <x v="1"/>
    <x v="3"/>
    <n v="1079.8900000000001"/>
    <n v="4859.505000000001"/>
  </r>
  <r>
    <s v="T04122"/>
    <d v="2025-03-24T00:00:00"/>
    <s v="C033"/>
    <s v="P027"/>
    <s v="S005"/>
    <n v="4"/>
    <n v="0.05"/>
    <x v="0"/>
    <s v="Jenny Beck"/>
    <x v="34"/>
    <x v="1"/>
    <x v="4"/>
    <n v="1272.23"/>
    <n v="4834.4740000000002"/>
  </r>
  <r>
    <s v="T04123"/>
    <d v="2024-11-07T00:00:00"/>
    <s v="C026"/>
    <s v="P049"/>
    <s v="S002"/>
    <n v="2"/>
    <n v="0"/>
    <x v="3"/>
    <s v="Justin Macdonald"/>
    <x v="29"/>
    <x v="0"/>
    <x v="2"/>
    <n v="388.26"/>
    <n v="776.52"/>
  </r>
  <r>
    <s v="T04124"/>
    <d v="2024-04-15T00:00:00"/>
    <s v="C195"/>
    <s v="P033"/>
    <s v="S005"/>
    <n v="4"/>
    <n v="0.05"/>
    <x v="3"/>
    <s v="James Mitchell"/>
    <x v="16"/>
    <x v="0"/>
    <x v="4"/>
    <n v="1798.97"/>
    <n v="6836.0859999999993"/>
  </r>
  <r>
    <s v="T04125"/>
    <d v="2025-07-08T00:00:00"/>
    <s v="C177"/>
    <s v="P009"/>
    <s v="S002"/>
    <n v="1"/>
    <n v="0.15"/>
    <x v="3"/>
    <s v="Anthony Gould"/>
    <x v="5"/>
    <x v="2"/>
    <x v="2"/>
    <n v="123.19"/>
    <n v="104.7115"/>
  </r>
  <r>
    <s v="T04126"/>
    <d v="2024-05-31T00:00:00"/>
    <s v="C123"/>
    <s v="P027"/>
    <s v="S003"/>
    <n v="3"/>
    <n v="0.1"/>
    <x v="2"/>
    <s v="Peter Edwards"/>
    <x v="34"/>
    <x v="1"/>
    <x v="0"/>
    <n v="1272.23"/>
    <n v="3435.0210000000002"/>
  </r>
  <r>
    <s v="T04127"/>
    <d v="2025-02-22T00:00:00"/>
    <s v="C074"/>
    <s v="P015"/>
    <s v="S004"/>
    <n v="3"/>
    <n v="0.1"/>
    <x v="1"/>
    <s v="Jesus Singh"/>
    <x v="40"/>
    <x v="0"/>
    <x v="1"/>
    <n v="270.45"/>
    <n v="730.21499999999992"/>
  </r>
  <r>
    <s v="T04128"/>
    <d v="2024-04-13T00:00:00"/>
    <s v="C150"/>
    <s v="P004"/>
    <s v="S002"/>
    <n v="2"/>
    <n v="0"/>
    <x v="2"/>
    <s v="Francis Hernandez"/>
    <x v="49"/>
    <x v="0"/>
    <x v="2"/>
    <n v="1853.77"/>
    <n v="3707.54"/>
  </r>
  <r>
    <s v="T04129"/>
    <d v="2024-11-16T00:00:00"/>
    <s v="C003"/>
    <s v="P026"/>
    <s v="S001"/>
    <n v="3"/>
    <n v="0.1"/>
    <x v="1"/>
    <s v="Carol Hays"/>
    <x v="15"/>
    <x v="2"/>
    <x v="3"/>
    <n v="1015.76"/>
    <n v="2742.5519999999997"/>
  </r>
  <r>
    <s v="T04130"/>
    <d v="2024-12-28T00:00:00"/>
    <s v="C078"/>
    <s v="P014"/>
    <s v="S004"/>
    <n v="1"/>
    <n v="0.05"/>
    <x v="2"/>
    <s v="Jeanne Young"/>
    <x v="0"/>
    <x v="0"/>
    <x v="1"/>
    <n v="1342.75"/>
    <n v="1275.6125"/>
  </r>
  <r>
    <s v="T04131"/>
    <d v="2023-10-01T00:00:00"/>
    <s v="C146"/>
    <s v="P042"/>
    <s v="S001"/>
    <n v="1"/>
    <n v="0.05"/>
    <x v="0"/>
    <s v="John Johnson"/>
    <x v="10"/>
    <x v="0"/>
    <x v="3"/>
    <n v="453.62"/>
    <n v="430.93899999999996"/>
  </r>
  <r>
    <s v="T04132"/>
    <d v="2025-01-18T00:00:00"/>
    <s v="C028"/>
    <s v="P029"/>
    <s v="S002"/>
    <n v="1"/>
    <n v="0.05"/>
    <x v="1"/>
    <s v="John Carr"/>
    <x v="47"/>
    <x v="0"/>
    <x v="2"/>
    <n v="1485.05"/>
    <n v="1410.7974999999999"/>
  </r>
  <r>
    <s v="T04133"/>
    <d v="2024-05-29T00:00:00"/>
    <s v="C086"/>
    <s v="P033"/>
    <s v="S004"/>
    <n v="3"/>
    <n v="0.15"/>
    <x v="2"/>
    <s v="Lawrence Hunter"/>
    <x v="16"/>
    <x v="0"/>
    <x v="1"/>
    <n v="1798.97"/>
    <n v="4587.3734999999997"/>
  </r>
  <r>
    <s v="T04134"/>
    <d v="2024-11-29T00:00:00"/>
    <s v="C085"/>
    <s v="P006"/>
    <s v="S005"/>
    <n v="3"/>
    <n v="0.15"/>
    <x v="3"/>
    <s v="Juan Ramirez"/>
    <x v="35"/>
    <x v="2"/>
    <x v="4"/>
    <n v="318.05"/>
    <n v="811.02750000000003"/>
  </r>
  <r>
    <s v="T04135"/>
    <d v="2023-12-16T00:00:00"/>
    <s v="C143"/>
    <s v="P010"/>
    <s v="S004"/>
    <n v="1"/>
    <n v="0.05"/>
    <x v="3"/>
    <s v="Cynthia Carlson"/>
    <x v="36"/>
    <x v="1"/>
    <x v="1"/>
    <n v="1194.1199999999999"/>
    <n v="1134.4139999999998"/>
  </r>
  <r>
    <s v="T04136"/>
    <d v="2023-10-16T00:00:00"/>
    <s v="C067"/>
    <s v="P044"/>
    <s v="S003"/>
    <n v="5"/>
    <n v="0.1"/>
    <x v="2"/>
    <s v="Daniel Maldonado"/>
    <x v="32"/>
    <x v="0"/>
    <x v="0"/>
    <n v="1286.55"/>
    <n v="5789.4750000000004"/>
  </r>
  <r>
    <s v="T04137"/>
    <d v="2025-06-03T00:00:00"/>
    <s v="C067"/>
    <s v="P039"/>
    <s v="S003"/>
    <n v="4"/>
    <n v="0.15"/>
    <x v="2"/>
    <s v="Daniel Maldonado"/>
    <x v="22"/>
    <x v="0"/>
    <x v="0"/>
    <n v="540.94000000000005"/>
    <n v="1839.1960000000001"/>
  </r>
  <r>
    <s v="T04138"/>
    <d v="2024-09-13T00:00:00"/>
    <s v="C022"/>
    <s v="P030"/>
    <s v="S001"/>
    <n v="2"/>
    <n v="0.1"/>
    <x v="3"/>
    <s v="Megan Velasquez"/>
    <x v="1"/>
    <x v="0"/>
    <x v="3"/>
    <n v="29.24"/>
    <n v="52.631999999999998"/>
  </r>
  <r>
    <s v="T04139"/>
    <d v="2023-12-19T00:00:00"/>
    <s v="C053"/>
    <s v="P015"/>
    <s v="S003"/>
    <n v="2"/>
    <n v="0.05"/>
    <x v="1"/>
    <s v="Felicia Morgan"/>
    <x v="40"/>
    <x v="0"/>
    <x v="0"/>
    <n v="270.45"/>
    <n v="513.8549999999999"/>
  </r>
  <r>
    <s v="T04140"/>
    <d v="2024-06-24T00:00:00"/>
    <s v="C041"/>
    <s v="P013"/>
    <s v="S002"/>
    <n v="1"/>
    <n v="0.05"/>
    <x v="2"/>
    <s v="Melissa Rodgers"/>
    <x v="21"/>
    <x v="0"/>
    <x v="2"/>
    <n v="1134.8"/>
    <n v="1078.06"/>
  </r>
  <r>
    <s v="T04141"/>
    <d v="2025-05-15T00:00:00"/>
    <s v="C080"/>
    <s v="P010"/>
    <s v="S004"/>
    <n v="3"/>
    <n v="0.05"/>
    <x v="0"/>
    <s v="Grace Garcia"/>
    <x v="36"/>
    <x v="1"/>
    <x v="1"/>
    <n v="1194.1199999999999"/>
    <n v="3403.2419999999997"/>
  </r>
  <r>
    <s v="T04142"/>
    <d v="2025-04-18T00:00:00"/>
    <s v="C105"/>
    <s v="P024"/>
    <s v="S002"/>
    <n v="1"/>
    <n v="0"/>
    <x v="0"/>
    <s v="Kenneth Berg"/>
    <x v="14"/>
    <x v="1"/>
    <x v="2"/>
    <n v="1487.41"/>
    <n v="1487.41"/>
  </r>
  <r>
    <s v="T04143"/>
    <d v="2023-12-24T00:00:00"/>
    <s v="C060"/>
    <s v="P008"/>
    <s v="S004"/>
    <n v="5"/>
    <n v="0.15"/>
    <x v="1"/>
    <s v="Anthony Conway"/>
    <x v="48"/>
    <x v="0"/>
    <x v="1"/>
    <n v="109.78"/>
    <n v="466.56499999999994"/>
  </r>
  <r>
    <s v="T04144"/>
    <d v="2024-02-10T00:00:00"/>
    <s v="C139"/>
    <s v="P023"/>
    <s v="S001"/>
    <n v="1"/>
    <n v="0.1"/>
    <x v="2"/>
    <s v="Alexander Mcfarland"/>
    <x v="20"/>
    <x v="0"/>
    <x v="3"/>
    <n v="1878.47"/>
    <n v="1690.623"/>
  </r>
  <r>
    <s v="T04145"/>
    <d v="2023-10-07T00:00:00"/>
    <s v="C146"/>
    <s v="P024"/>
    <s v="S003"/>
    <n v="4"/>
    <n v="0"/>
    <x v="2"/>
    <s v="John Johnson"/>
    <x v="14"/>
    <x v="1"/>
    <x v="0"/>
    <n v="1487.41"/>
    <n v="5949.64"/>
  </r>
  <r>
    <s v="T04146"/>
    <d v="2023-12-07T00:00:00"/>
    <s v="C168"/>
    <s v="P035"/>
    <s v="S001"/>
    <n v="4"/>
    <n v="0.15"/>
    <x v="0"/>
    <s v="Richard Jones"/>
    <x v="7"/>
    <x v="1"/>
    <x v="3"/>
    <n v="1562.43"/>
    <n v="5312.2619999999997"/>
  </r>
  <r>
    <s v="T04147"/>
    <d v="2023-12-04T00:00:00"/>
    <s v="C017"/>
    <s v="P012"/>
    <s v="S004"/>
    <n v="3"/>
    <n v="0.05"/>
    <x v="3"/>
    <s v="Vanessa Anderson"/>
    <x v="38"/>
    <x v="1"/>
    <x v="1"/>
    <n v="1193.0899999999999"/>
    <n v="3400.3064999999992"/>
  </r>
  <r>
    <s v="T04148"/>
    <d v="2025-04-13T00:00:00"/>
    <s v="C078"/>
    <s v="P033"/>
    <s v="S002"/>
    <n v="3"/>
    <n v="0"/>
    <x v="2"/>
    <s v="Jeanne Young"/>
    <x v="16"/>
    <x v="0"/>
    <x v="2"/>
    <n v="1798.97"/>
    <n v="5396.91"/>
  </r>
  <r>
    <s v="T04149"/>
    <d v="2024-02-03T00:00:00"/>
    <s v="C059"/>
    <s v="P001"/>
    <s v="S005"/>
    <n v="3"/>
    <n v="0"/>
    <x v="2"/>
    <s v="Scott Wyatt"/>
    <x v="31"/>
    <x v="1"/>
    <x v="4"/>
    <n v="1673.69"/>
    <n v="5021.07"/>
  </r>
  <r>
    <s v="T04150"/>
    <d v="2024-12-20T00:00:00"/>
    <s v="C042"/>
    <s v="P007"/>
    <s v="S005"/>
    <n v="5"/>
    <n v="0.1"/>
    <x v="1"/>
    <s v="Anna Andrews"/>
    <x v="18"/>
    <x v="1"/>
    <x v="4"/>
    <n v="1474.12"/>
    <n v="6633.54"/>
  </r>
  <r>
    <s v="T04151"/>
    <d v="2023-10-03T00:00:00"/>
    <s v="C101"/>
    <s v="P001"/>
    <s v="S003"/>
    <n v="2"/>
    <n v="0.15"/>
    <x v="0"/>
    <s v="William Pope"/>
    <x v="31"/>
    <x v="1"/>
    <x v="0"/>
    <n v="1673.69"/>
    <n v="2845.2730000000001"/>
  </r>
  <r>
    <s v="T04152"/>
    <d v="2024-12-24T00:00:00"/>
    <s v="C187"/>
    <s v="P011"/>
    <s v="S002"/>
    <n v="2"/>
    <n v="0.05"/>
    <x v="2"/>
    <s v="Cynthia Cherry"/>
    <x v="17"/>
    <x v="1"/>
    <x v="2"/>
    <n v="248.57"/>
    <n v="472.28299999999996"/>
  </r>
  <r>
    <s v="T04153"/>
    <d v="2025-07-05T00:00:00"/>
    <s v="C134"/>
    <s v="P046"/>
    <s v="S002"/>
    <n v="5"/>
    <n v="0.05"/>
    <x v="3"/>
    <s v="Emily Hart"/>
    <x v="42"/>
    <x v="0"/>
    <x v="2"/>
    <n v="1165.3699999999999"/>
    <n v="5535.5074999999988"/>
  </r>
  <r>
    <s v="T04154"/>
    <d v="2024-04-22T00:00:00"/>
    <s v="C035"/>
    <s v="P048"/>
    <s v="S001"/>
    <n v="2"/>
    <n v="0.1"/>
    <x v="1"/>
    <s v="Kimberly King"/>
    <x v="11"/>
    <x v="0"/>
    <x v="3"/>
    <n v="1216.3599999999999"/>
    <n v="2189.4479999999999"/>
  </r>
  <r>
    <s v="T04155"/>
    <d v="2025-06-09T00:00:00"/>
    <s v="C147"/>
    <s v="P048"/>
    <s v="S001"/>
    <n v="2"/>
    <n v="0.05"/>
    <x v="3"/>
    <s v="Crystal Garrison"/>
    <x v="11"/>
    <x v="0"/>
    <x v="3"/>
    <n v="1216.3599999999999"/>
    <n v="2311.0839999999998"/>
  </r>
  <r>
    <s v="T04156"/>
    <d v="2025-03-06T00:00:00"/>
    <s v="C059"/>
    <s v="P039"/>
    <s v="S001"/>
    <n v="2"/>
    <n v="0.05"/>
    <x v="0"/>
    <s v="Scott Wyatt"/>
    <x v="22"/>
    <x v="0"/>
    <x v="3"/>
    <n v="540.94000000000005"/>
    <n v="1027.7860000000001"/>
  </r>
  <r>
    <s v="T04157"/>
    <d v="2023-12-26T00:00:00"/>
    <s v="C105"/>
    <s v="P010"/>
    <s v="S004"/>
    <n v="4"/>
    <n v="0"/>
    <x v="3"/>
    <s v="Kenneth Berg"/>
    <x v="36"/>
    <x v="1"/>
    <x v="1"/>
    <n v="1194.1199999999999"/>
    <n v="4776.4799999999996"/>
  </r>
  <r>
    <s v="T04158"/>
    <d v="2024-03-03T00:00:00"/>
    <s v="C172"/>
    <s v="P042"/>
    <s v="S004"/>
    <n v="4"/>
    <n v="0.1"/>
    <x v="3"/>
    <s v="Michelle Smith"/>
    <x v="10"/>
    <x v="0"/>
    <x v="1"/>
    <n v="453.62"/>
    <n v="1633.0320000000002"/>
  </r>
  <r>
    <s v="T04159"/>
    <d v="2025-08-19T00:00:00"/>
    <s v="C113"/>
    <s v="P045"/>
    <s v="S004"/>
    <n v="2"/>
    <n v="0.15"/>
    <x v="0"/>
    <s v="Heidi Wilson"/>
    <x v="8"/>
    <x v="2"/>
    <x v="1"/>
    <n v="1879.08"/>
    <n v="3194.4359999999997"/>
  </r>
  <r>
    <s v="T04160"/>
    <d v="2023-10-20T00:00:00"/>
    <s v="C193"/>
    <s v="P002"/>
    <s v="S003"/>
    <n v="2"/>
    <n v="0"/>
    <x v="2"/>
    <s v="Donald Meza"/>
    <x v="2"/>
    <x v="1"/>
    <x v="0"/>
    <n v="818.76"/>
    <n v="1637.52"/>
  </r>
  <r>
    <s v="T04161"/>
    <d v="2024-09-22T00:00:00"/>
    <s v="C072"/>
    <s v="P037"/>
    <s v="S003"/>
    <n v="2"/>
    <n v="0"/>
    <x v="3"/>
    <s v="Eric Watkins"/>
    <x v="27"/>
    <x v="1"/>
    <x v="0"/>
    <n v="1952.65"/>
    <n v="3905.3"/>
  </r>
  <r>
    <s v="T04162"/>
    <d v="2025-04-27T00:00:00"/>
    <s v="C045"/>
    <s v="P009"/>
    <s v="S002"/>
    <n v="5"/>
    <n v="0.1"/>
    <x v="1"/>
    <s v="Kelly Shaw"/>
    <x v="5"/>
    <x v="2"/>
    <x v="2"/>
    <n v="123.19"/>
    <n v="554.35500000000002"/>
  </r>
  <r>
    <s v="T04163"/>
    <d v="2024-03-06T00:00:00"/>
    <s v="C044"/>
    <s v="P005"/>
    <s v="S002"/>
    <n v="1"/>
    <n v="0.05"/>
    <x v="0"/>
    <s v="Parker Sparks"/>
    <x v="6"/>
    <x v="0"/>
    <x v="2"/>
    <n v="1396.22"/>
    <n v="1326.4089999999999"/>
  </r>
  <r>
    <s v="T04164"/>
    <d v="2025-07-09T00:00:00"/>
    <s v="C184"/>
    <s v="P046"/>
    <s v="S002"/>
    <n v="1"/>
    <n v="0.05"/>
    <x v="0"/>
    <s v="Daniel Mcintyre"/>
    <x v="42"/>
    <x v="0"/>
    <x v="2"/>
    <n v="1165.3699999999999"/>
    <n v="1107.1014999999998"/>
  </r>
  <r>
    <s v="T04165"/>
    <d v="2024-10-16T00:00:00"/>
    <s v="C118"/>
    <s v="P048"/>
    <s v="S001"/>
    <n v="5"/>
    <n v="0"/>
    <x v="3"/>
    <s v="Gina Bradford"/>
    <x v="11"/>
    <x v="0"/>
    <x v="3"/>
    <n v="1216.3599999999999"/>
    <n v="6081.7999999999993"/>
  </r>
  <r>
    <s v="T04166"/>
    <d v="2024-05-23T00:00:00"/>
    <s v="C117"/>
    <s v="P010"/>
    <s v="S002"/>
    <n v="2"/>
    <n v="0.05"/>
    <x v="0"/>
    <s v="Timothy Beck"/>
    <x v="36"/>
    <x v="1"/>
    <x v="2"/>
    <n v="1194.1199999999999"/>
    <n v="2268.8279999999995"/>
  </r>
  <r>
    <s v="T04167"/>
    <d v="2025-01-20T00:00:00"/>
    <s v="C014"/>
    <s v="P037"/>
    <s v="S003"/>
    <n v="1"/>
    <n v="0.15"/>
    <x v="1"/>
    <s v="Brittany Green"/>
    <x v="27"/>
    <x v="1"/>
    <x v="0"/>
    <n v="1952.65"/>
    <n v="1659.7525000000001"/>
  </r>
  <r>
    <s v="T04168"/>
    <d v="2023-09-22T00:00:00"/>
    <s v="C067"/>
    <s v="P043"/>
    <s v="S005"/>
    <n v="4"/>
    <n v="0"/>
    <x v="1"/>
    <s v="Daniel Maldonado"/>
    <x v="45"/>
    <x v="0"/>
    <x v="4"/>
    <n v="564.41999999999996"/>
    <n v="2257.6799999999998"/>
  </r>
  <r>
    <s v="T04169"/>
    <d v="2025-05-08T00:00:00"/>
    <s v="C165"/>
    <s v="P049"/>
    <s v="S004"/>
    <n v="3"/>
    <n v="0.1"/>
    <x v="1"/>
    <s v="Tanya Mueller"/>
    <x v="29"/>
    <x v="0"/>
    <x v="1"/>
    <n v="388.26"/>
    <n v="1048.3019999999999"/>
  </r>
  <r>
    <s v="T04170"/>
    <d v="2025-06-09T00:00:00"/>
    <s v="C028"/>
    <s v="P033"/>
    <s v="S005"/>
    <n v="5"/>
    <n v="0.05"/>
    <x v="0"/>
    <s v="John Carr"/>
    <x v="16"/>
    <x v="0"/>
    <x v="4"/>
    <n v="1798.97"/>
    <n v="8545.1075000000001"/>
  </r>
  <r>
    <s v="T04171"/>
    <d v="2023-11-20T00:00:00"/>
    <s v="C013"/>
    <s v="P004"/>
    <s v="S004"/>
    <n v="3"/>
    <n v="0.05"/>
    <x v="1"/>
    <s v="Robert Anderson"/>
    <x v="49"/>
    <x v="0"/>
    <x v="1"/>
    <n v="1853.77"/>
    <n v="5283.2444999999989"/>
  </r>
  <r>
    <s v="T04172"/>
    <d v="2024-02-20T00:00:00"/>
    <s v="C040"/>
    <s v="P022"/>
    <s v="S004"/>
    <n v="2"/>
    <n v="0.1"/>
    <x v="3"/>
    <s v="Scott Powell"/>
    <x v="9"/>
    <x v="2"/>
    <x v="1"/>
    <n v="25.57"/>
    <n v="46.026000000000003"/>
  </r>
  <r>
    <s v="T04173"/>
    <d v="2024-01-03T00:00:00"/>
    <s v="C047"/>
    <s v="P035"/>
    <s v="S002"/>
    <n v="3"/>
    <n v="0"/>
    <x v="0"/>
    <s v="Mary Decker"/>
    <x v="7"/>
    <x v="1"/>
    <x v="2"/>
    <n v="1562.43"/>
    <n v="4687.29"/>
  </r>
  <r>
    <s v="T04174"/>
    <d v="2025-06-26T00:00:00"/>
    <s v="C099"/>
    <s v="P002"/>
    <s v="S004"/>
    <n v="5"/>
    <n v="0.1"/>
    <x v="0"/>
    <s v="Kimberly Jones"/>
    <x v="2"/>
    <x v="1"/>
    <x v="1"/>
    <n v="818.76"/>
    <n v="3684.42"/>
  </r>
  <r>
    <s v="T04175"/>
    <d v="2025-05-07T00:00:00"/>
    <s v="C130"/>
    <s v="P043"/>
    <s v="S002"/>
    <n v="2"/>
    <n v="0.15"/>
    <x v="2"/>
    <s v="Aaron Bailey"/>
    <x v="45"/>
    <x v="0"/>
    <x v="2"/>
    <n v="564.41999999999996"/>
    <n v="959.5139999999999"/>
  </r>
  <r>
    <s v="T04176"/>
    <d v="2024-09-09T00:00:00"/>
    <s v="C161"/>
    <s v="P027"/>
    <s v="S002"/>
    <n v="4"/>
    <n v="0"/>
    <x v="2"/>
    <s v="Michael Perez"/>
    <x v="34"/>
    <x v="1"/>
    <x v="2"/>
    <n v="1272.23"/>
    <n v="5088.92"/>
  </r>
  <r>
    <s v="T04177"/>
    <d v="2023-09-16T00:00:00"/>
    <s v="C026"/>
    <s v="P009"/>
    <s v="S002"/>
    <n v="1"/>
    <n v="0"/>
    <x v="3"/>
    <s v="Justin Macdonald"/>
    <x v="5"/>
    <x v="2"/>
    <x v="2"/>
    <n v="123.19"/>
    <n v="123.19"/>
  </r>
  <r>
    <s v="T04178"/>
    <d v="2024-03-24T00:00:00"/>
    <s v="C031"/>
    <s v="P024"/>
    <s v="S005"/>
    <n v="4"/>
    <n v="0"/>
    <x v="2"/>
    <s v="Ashley Gibson"/>
    <x v="14"/>
    <x v="1"/>
    <x v="4"/>
    <n v="1487.41"/>
    <n v="5949.64"/>
  </r>
  <r>
    <s v="T04179"/>
    <d v="2025-08-26T00:00:00"/>
    <s v="C179"/>
    <s v="P037"/>
    <s v="S003"/>
    <n v="5"/>
    <n v="0.15"/>
    <x v="3"/>
    <s v="Dennis Wallace"/>
    <x v="27"/>
    <x v="1"/>
    <x v="0"/>
    <n v="1952.65"/>
    <n v="8298.7624999999989"/>
  </r>
  <r>
    <s v="T04180"/>
    <d v="2025-07-27T00:00:00"/>
    <s v="C172"/>
    <s v="P031"/>
    <s v="S001"/>
    <n v="4"/>
    <n v="0"/>
    <x v="1"/>
    <s v="Michelle Smith"/>
    <x v="39"/>
    <x v="2"/>
    <x v="3"/>
    <n v="1095.72"/>
    <n v="4382.88"/>
  </r>
  <r>
    <s v="T04181"/>
    <d v="2025-01-23T00:00:00"/>
    <s v="C075"/>
    <s v="P021"/>
    <s v="S001"/>
    <n v="2"/>
    <n v="0.05"/>
    <x v="0"/>
    <s v="Seth Moore"/>
    <x v="23"/>
    <x v="2"/>
    <x v="3"/>
    <n v="1227.24"/>
    <n v="2331.7559999999999"/>
  </r>
  <r>
    <s v="T04182"/>
    <d v="2025-04-21T00:00:00"/>
    <s v="C027"/>
    <s v="P039"/>
    <s v="S005"/>
    <n v="5"/>
    <n v="0.1"/>
    <x v="0"/>
    <s v="Jacqueline Martin"/>
    <x v="22"/>
    <x v="0"/>
    <x v="4"/>
    <n v="540.94000000000005"/>
    <n v="2434.2300000000005"/>
  </r>
  <r>
    <s v="T04183"/>
    <d v="2024-06-12T00:00:00"/>
    <s v="C046"/>
    <s v="P005"/>
    <s v="S005"/>
    <n v="3"/>
    <n v="0"/>
    <x v="1"/>
    <s v="Dennis Poole"/>
    <x v="6"/>
    <x v="0"/>
    <x v="4"/>
    <n v="1396.22"/>
    <n v="4188.66"/>
  </r>
  <r>
    <s v="T04184"/>
    <d v="2023-11-25T00:00:00"/>
    <s v="C027"/>
    <s v="P008"/>
    <s v="S002"/>
    <n v="2"/>
    <n v="0.05"/>
    <x v="1"/>
    <s v="Jacqueline Martin"/>
    <x v="48"/>
    <x v="0"/>
    <x v="2"/>
    <n v="109.78"/>
    <n v="208.58199999999999"/>
  </r>
  <r>
    <s v="T04185"/>
    <d v="2024-04-13T00:00:00"/>
    <s v="C100"/>
    <s v="P043"/>
    <s v="S003"/>
    <n v="2"/>
    <n v="0.05"/>
    <x v="1"/>
    <s v="Sean Hart"/>
    <x v="45"/>
    <x v="0"/>
    <x v="0"/>
    <n v="564.41999999999996"/>
    <n v="1072.3979999999999"/>
  </r>
  <r>
    <s v="T04186"/>
    <d v="2023-12-26T00:00:00"/>
    <s v="C047"/>
    <s v="P033"/>
    <s v="S002"/>
    <n v="1"/>
    <n v="0.1"/>
    <x v="0"/>
    <s v="Mary Decker"/>
    <x v="16"/>
    <x v="0"/>
    <x v="2"/>
    <n v="1798.97"/>
    <n v="1619.0730000000001"/>
  </r>
  <r>
    <s v="T04187"/>
    <d v="2024-05-31T00:00:00"/>
    <s v="C039"/>
    <s v="P047"/>
    <s v="S002"/>
    <n v="1"/>
    <n v="0.15"/>
    <x v="2"/>
    <s v="Nancy Savage"/>
    <x v="28"/>
    <x v="1"/>
    <x v="2"/>
    <n v="1197.18"/>
    <n v="1017.6030000000001"/>
  </r>
  <r>
    <s v="T04188"/>
    <d v="2024-05-18T00:00:00"/>
    <s v="C097"/>
    <s v="P024"/>
    <s v="S003"/>
    <n v="3"/>
    <n v="0.15"/>
    <x v="2"/>
    <s v="Evelyn Gray"/>
    <x v="14"/>
    <x v="1"/>
    <x v="0"/>
    <n v="1487.41"/>
    <n v="3792.8955000000001"/>
  </r>
  <r>
    <s v="T04189"/>
    <d v="2025-07-15T00:00:00"/>
    <s v="C050"/>
    <s v="P037"/>
    <s v="S001"/>
    <n v="5"/>
    <n v="0.05"/>
    <x v="2"/>
    <s v="Kelly Mcmillan"/>
    <x v="27"/>
    <x v="1"/>
    <x v="3"/>
    <n v="1952.65"/>
    <n v="9275.0874999999996"/>
  </r>
  <r>
    <s v="T04190"/>
    <d v="2024-10-11T00:00:00"/>
    <s v="C075"/>
    <s v="P005"/>
    <s v="S003"/>
    <n v="3"/>
    <n v="0.15"/>
    <x v="3"/>
    <s v="Seth Moore"/>
    <x v="6"/>
    <x v="0"/>
    <x v="0"/>
    <n v="1396.22"/>
    <n v="3560.3609999999999"/>
  </r>
  <r>
    <s v="T04191"/>
    <d v="2024-03-04T00:00:00"/>
    <s v="C079"/>
    <s v="P037"/>
    <s v="S005"/>
    <n v="5"/>
    <n v="0.15"/>
    <x v="0"/>
    <s v="Donald Marsh"/>
    <x v="27"/>
    <x v="1"/>
    <x v="4"/>
    <n v="1952.65"/>
    <n v="8298.7624999999989"/>
  </r>
  <r>
    <s v="T04192"/>
    <d v="2025-08-15T00:00:00"/>
    <s v="C004"/>
    <s v="P039"/>
    <s v="S003"/>
    <n v="4"/>
    <n v="0"/>
    <x v="2"/>
    <s v="Joseph Ward"/>
    <x v="22"/>
    <x v="0"/>
    <x v="0"/>
    <n v="540.94000000000005"/>
    <n v="2163.7600000000002"/>
  </r>
  <r>
    <s v="T04193"/>
    <d v="2023-09-15T00:00:00"/>
    <s v="C003"/>
    <s v="P006"/>
    <s v="S003"/>
    <n v="5"/>
    <n v="0.15"/>
    <x v="0"/>
    <s v="Carol Hays"/>
    <x v="35"/>
    <x v="2"/>
    <x v="0"/>
    <n v="318.05"/>
    <n v="1351.7124999999999"/>
  </r>
  <r>
    <s v="T04194"/>
    <d v="2025-03-06T00:00:00"/>
    <s v="C019"/>
    <s v="P013"/>
    <s v="S005"/>
    <n v="3"/>
    <n v="0.05"/>
    <x v="1"/>
    <s v="John Smith"/>
    <x v="21"/>
    <x v="0"/>
    <x v="4"/>
    <n v="1134.8"/>
    <n v="3234.1799999999994"/>
  </r>
  <r>
    <s v="T04195"/>
    <d v="2024-05-06T00:00:00"/>
    <s v="C128"/>
    <s v="P041"/>
    <s v="S003"/>
    <n v="5"/>
    <n v="0.05"/>
    <x v="1"/>
    <s v="Robert Collins"/>
    <x v="30"/>
    <x v="1"/>
    <x v="0"/>
    <n v="1635.01"/>
    <n v="7766.2974999999997"/>
  </r>
  <r>
    <s v="T04196"/>
    <d v="2024-04-19T00:00:00"/>
    <s v="C110"/>
    <s v="P024"/>
    <s v="S002"/>
    <n v="2"/>
    <n v="0.1"/>
    <x v="1"/>
    <s v="Travis Peters"/>
    <x v="14"/>
    <x v="1"/>
    <x v="2"/>
    <n v="1487.41"/>
    <n v="2677.3380000000002"/>
  </r>
  <r>
    <s v="T04197"/>
    <d v="2025-08-06T00:00:00"/>
    <s v="C060"/>
    <s v="P040"/>
    <s v="S003"/>
    <n v="2"/>
    <n v="0.15"/>
    <x v="1"/>
    <s v="Anthony Conway"/>
    <x v="37"/>
    <x v="1"/>
    <x v="0"/>
    <n v="1745.61"/>
    <n v="2967.5369999999998"/>
  </r>
  <r>
    <s v="T04198"/>
    <d v="2024-09-18T00:00:00"/>
    <s v="C122"/>
    <s v="P020"/>
    <s v="S003"/>
    <n v="2"/>
    <n v="0.05"/>
    <x v="0"/>
    <s v="Amy Smith"/>
    <x v="24"/>
    <x v="0"/>
    <x v="0"/>
    <n v="323.92"/>
    <n v="615.44799999999998"/>
  </r>
  <r>
    <s v="T04199"/>
    <d v="2025-08-18T00:00:00"/>
    <s v="C146"/>
    <s v="P004"/>
    <s v="S002"/>
    <n v="1"/>
    <n v="0.15"/>
    <x v="3"/>
    <s v="John Johnson"/>
    <x v="49"/>
    <x v="0"/>
    <x v="2"/>
    <n v="1853.77"/>
    <n v="1575.7045000000001"/>
  </r>
  <r>
    <s v="T04200"/>
    <d v="2024-07-10T00:00:00"/>
    <s v="C103"/>
    <s v="P019"/>
    <s v="S003"/>
    <n v="5"/>
    <n v="0"/>
    <x v="2"/>
    <s v="David Burns"/>
    <x v="26"/>
    <x v="1"/>
    <x v="0"/>
    <n v="1762.92"/>
    <n v="8814.6"/>
  </r>
  <r>
    <s v="T04201"/>
    <d v="2023-11-08T00:00:00"/>
    <s v="C155"/>
    <s v="P032"/>
    <s v="S002"/>
    <n v="1"/>
    <n v="0.1"/>
    <x v="2"/>
    <s v="Jill Mcconnell"/>
    <x v="44"/>
    <x v="2"/>
    <x v="2"/>
    <n v="304.70999999999998"/>
    <n v="274.23899999999998"/>
  </r>
  <r>
    <s v="T04202"/>
    <d v="2025-06-27T00:00:00"/>
    <s v="C039"/>
    <s v="P008"/>
    <s v="S005"/>
    <n v="3"/>
    <n v="0"/>
    <x v="3"/>
    <s v="Nancy Savage"/>
    <x v="48"/>
    <x v="0"/>
    <x v="4"/>
    <n v="109.78"/>
    <n v="329.34000000000003"/>
  </r>
  <r>
    <s v="T04203"/>
    <d v="2024-10-13T00:00:00"/>
    <s v="C083"/>
    <s v="P041"/>
    <s v="S004"/>
    <n v="2"/>
    <n v="0"/>
    <x v="2"/>
    <s v="Jeremy Robles"/>
    <x v="30"/>
    <x v="1"/>
    <x v="1"/>
    <n v="1635.01"/>
    <n v="3270.02"/>
  </r>
  <r>
    <s v="T04204"/>
    <d v="2024-07-22T00:00:00"/>
    <s v="C152"/>
    <s v="P048"/>
    <s v="S003"/>
    <n v="3"/>
    <n v="0.15"/>
    <x v="2"/>
    <s v="Brittany Green"/>
    <x v="11"/>
    <x v="0"/>
    <x v="0"/>
    <n v="1216.3599999999999"/>
    <n v="3101.7179999999998"/>
  </r>
  <r>
    <s v="T04205"/>
    <d v="2024-05-29T00:00:00"/>
    <s v="C112"/>
    <s v="P042"/>
    <s v="S002"/>
    <n v="4"/>
    <n v="0.05"/>
    <x v="1"/>
    <s v="Jeffrey Smith"/>
    <x v="10"/>
    <x v="0"/>
    <x v="2"/>
    <n v="453.62"/>
    <n v="1723.7559999999999"/>
  </r>
  <r>
    <s v="T04206"/>
    <d v="2024-10-02T00:00:00"/>
    <s v="C045"/>
    <s v="P004"/>
    <s v="S005"/>
    <n v="3"/>
    <n v="0.05"/>
    <x v="3"/>
    <s v="Kelly Shaw"/>
    <x v="49"/>
    <x v="0"/>
    <x v="4"/>
    <n v="1853.77"/>
    <n v="5283.2444999999989"/>
  </r>
  <r>
    <s v="T04207"/>
    <d v="2024-12-05T00:00:00"/>
    <s v="C111"/>
    <s v="P044"/>
    <s v="S004"/>
    <n v="1"/>
    <n v="0.1"/>
    <x v="0"/>
    <s v="Dylan Booker"/>
    <x v="32"/>
    <x v="0"/>
    <x v="1"/>
    <n v="1286.55"/>
    <n v="1157.895"/>
  </r>
  <r>
    <s v="T04208"/>
    <d v="2024-10-05T00:00:00"/>
    <s v="C160"/>
    <s v="P028"/>
    <s v="S005"/>
    <n v="1"/>
    <n v="0.1"/>
    <x v="3"/>
    <s v="Meagan Macdonald"/>
    <x v="25"/>
    <x v="1"/>
    <x v="4"/>
    <n v="673.78"/>
    <n v="606.40200000000004"/>
  </r>
  <r>
    <s v="T04209"/>
    <d v="2025-02-12T00:00:00"/>
    <s v="C050"/>
    <s v="P047"/>
    <s v="S002"/>
    <n v="1"/>
    <n v="0.05"/>
    <x v="3"/>
    <s v="Kelly Mcmillan"/>
    <x v="28"/>
    <x v="1"/>
    <x v="2"/>
    <n v="1197.18"/>
    <n v="1137.3209999999999"/>
  </r>
  <r>
    <s v="T04210"/>
    <d v="2025-09-09T00:00:00"/>
    <s v="C012"/>
    <s v="P036"/>
    <s v="S003"/>
    <n v="5"/>
    <n v="0.05"/>
    <x v="2"/>
    <s v="Dale Perry"/>
    <x v="4"/>
    <x v="0"/>
    <x v="0"/>
    <n v="1501.46"/>
    <n v="7131.9349999999995"/>
  </r>
  <r>
    <s v="T04211"/>
    <d v="2025-03-05T00:00:00"/>
    <s v="C017"/>
    <s v="P013"/>
    <s v="S001"/>
    <n v="2"/>
    <n v="0.05"/>
    <x v="3"/>
    <s v="Vanessa Anderson"/>
    <x v="21"/>
    <x v="0"/>
    <x v="3"/>
    <n v="1134.8"/>
    <n v="2156.12"/>
  </r>
  <r>
    <s v="T04212"/>
    <d v="2024-12-19T00:00:00"/>
    <s v="C045"/>
    <s v="P023"/>
    <s v="S001"/>
    <n v="3"/>
    <n v="0.1"/>
    <x v="3"/>
    <s v="Kelly Shaw"/>
    <x v="20"/>
    <x v="0"/>
    <x v="3"/>
    <n v="1878.47"/>
    <n v="5071.8689999999997"/>
  </r>
  <r>
    <s v="T04213"/>
    <d v="2024-03-12T00:00:00"/>
    <s v="C183"/>
    <s v="P030"/>
    <s v="S003"/>
    <n v="5"/>
    <n v="0.05"/>
    <x v="1"/>
    <s v="Mary Dawson"/>
    <x v="1"/>
    <x v="0"/>
    <x v="0"/>
    <n v="29.24"/>
    <n v="138.88999999999999"/>
  </r>
  <r>
    <s v="T04214"/>
    <d v="2025-04-29T00:00:00"/>
    <s v="C140"/>
    <s v="P033"/>
    <s v="S004"/>
    <n v="5"/>
    <n v="0.15"/>
    <x v="1"/>
    <s v="Stacy Williams"/>
    <x v="16"/>
    <x v="0"/>
    <x v="1"/>
    <n v="1798.97"/>
    <n v="7645.6225000000004"/>
  </r>
  <r>
    <s v="T04215"/>
    <d v="2025-04-13T00:00:00"/>
    <s v="C077"/>
    <s v="P046"/>
    <s v="S001"/>
    <n v="1"/>
    <n v="0"/>
    <x v="0"/>
    <s v="Matthew Juarez"/>
    <x v="42"/>
    <x v="0"/>
    <x v="3"/>
    <n v="1165.3699999999999"/>
    <n v="1165.3699999999999"/>
  </r>
  <r>
    <s v="T04216"/>
    <d v="2024-05-06T00:00:00"/>
    <s v="C068"/>
    <s v="P002"/>
    <s v="S005"/>
    <n v="5"/>
    <n v="0"/>
    <x v="1"/>
    <s v="Alexandra Montoya"/>
    <x v="2"/>
    <x v="1"/>
    <x v="4"/>
    <n v="818.76"/>
    <n v="4093.8"/>
  </r>
  <r>
    <s v="T04217"/>
    <d v="2024-12-04T00:00:00"/>
    <s v="C080"/>
    <s v="P002"/>
    <s v="S003"/>
    <n v="2"/>
    <n v="0"/>
    <x v="3"/>
    <s v="Grace Garcia"/>
    <x v="2"/>
    <x v="1"/>
    <x v="0"/>
    <n v="818.76"/>
    <n v="1637.52"/>
  </r>
  <r>
    <s v="T04218"/>
    <d v="2023-11-29T00:00:00"/>
    <s v="C100"/>
    <s v="P050"/>
    <s v="S002"/>
    <n v="5"/>
    <n v="0.15"/>
    <x v="1"/>
    <s v="Sean Hart"/>
    <x v="3"/>
    <x v="0"/>
    <x v="2"/>
    <n v="1044.6400000000001"/>
    <n v="4439.72"/>
  </r>
  <r>
    <s v="T04219"/>
    <d v="2024-11-19T00:00:00"/>
    <s v="C164"/>
    <s v="P024"/>
    <s v="S005"/>
    <n v="4"/>
    <n v="0.05"/>
    <x v="0"/>
    <s v="Linda Vasquez"/>
    <x v="14"/>
    <x v="1"/>
    <x v="4"/>
    <n v="1487.41"/>
    <n v="5652.1580000000004"/>
  </r>
  <r>
    <s v="T04220"/>
    <d v="2023-12-03T00:00:00"/>
    <s v="C134"/>
    <s v="P024"/>
    <s v="S003"/>
    <n v="4"/>
    <n v="0.15"/>
    <x v="0"/>
    <s v="Emily Hart"/>
    <x v="14"/>
    <x v="1"/>
    <x v="0"/>
    <n v="1487.41"/>
    <n v="5057.1940000000004"/>
  </r>
  <r>
    <s v="T04221"/>
    <d v="2024-04-19T00:00:00"/>
    <s v="C103"/>
    <s v="P044"/>
    <s v="S003"/>
    <n v="1"/>
    <n v="0.15"/>
    <x v="2"/>
    <s v="David Burns"/>
    <x v="32"/>
    <x v="0"/>
    <x v="0"/>
    <n v="1286.55"/>
    <n v="1093.5674999999999"/>
  </r>
  <r>
    <s v="T04222"/>
    <d v="2024-09-30T00:00:00"/>
    <s v="C056"/>
    <s v="P018"/>
    <s v="S003"/>
    <n v="2"/>
    <n v="0"/>
    <x v="2"/>
    <s v="Carl Wyatt"/>
    <x v="19"/>
    <x v="1"/>
    <x v="0"/>
    <n v="1079.8900000000001"/>
    <n v="2159.7800000000002"/>
  </r>
  <r>
    <s v="T04223"/>
    <d v="2023-12-23T00:00:00"/>
    <s v="C184"/>
    <s v="P027"/>
    <s v="S004"/>
    <n v="2"/>
    <n v="0.05"/>
    <x v="3"/>
    <s v="Daniel Mcintyre"/>
    <x v="34"/>
    <x v="1"/>
    <x v="1"/>
    <n v="1272.23"/>
    <n v="2417.2370000000001"/>
  </r>
  <r>
    <s v="T04224"/>
    <d v="2025-01-24T00:00:00"/>
    <s v="C050"/>
    <s v="P017"/>
    <s v="S002"/>
    <n v="1"/>
    <n v="0.1"/>
    <x v="3"/>
    <s v="Kelly Mcmillan"/>
    <x v="43"/>
    <x v="1"/>
    <x v="2"/>
    <n v="1246.1099999999999"/>
    <n v="1121.499"/>
  </r>
  <r>
    <s v="T04225"/>
    <d v="2024-03-30T00:00:00"/>
    <s v="C012"/>
    <s v="P003"/>
    <s v="S003"/>
    <n v="2"/>
    <n v="0.1"/>
    <x v="2"/>
    <s v="Dale Perry"/>
    <x v="46"/>
    <x v="0"/>
    <x v="0"/>
    <n v="337.63"/>
    <n v="607.73400000000004"/>
  </r>
  <r>
    <s v="T04226"/>
    <d v="2024-12-30T00:00:00"/>
    <s v="C029"/>
    <s v="P041"/>
    <s v="S003"/>
    <n v="4"/>
    <n v="0"/>
    <x v="3"/>
    <s v="Tyler Levine"/>
    <x v="30"/>
    <x v="1"/>
    <x v="0"/>
    <n v="1635.01"/>
    <n v="6540.04"/>
  </r>
  <r>
    <s v="T04227"/>
    <d v="2024-11-13T00:00:00"/>
    <s v="C121"/>
    <s v="P002"/>
    <s v="S005"/>
    <n v="4"/>
    <n v="0.05"/>
    <x v="1"/>
    <s v="John Bell"/>
    <x v="2"/>
    <x v="1"/>
    <x v="4"/>
    <n v="818.76"/>
    <n v="3111.288"/>
  </r>
  <r>
    <s v="T04228"/>
    <d v="2024-06-27T00:00:00"/>
    <s v="C151"/>
    <s v="P048"/>
    <s v="S005"/>
    <n v="5"/>
    <n v="0.1"/>
    <x v="3"/>
    <s v="Dawn Fletcher"/>
    <x v="11"/>
    <x v="0"/>
    <x v="4"/>
    <n v="1216.3599999999999"/>
    <n v="5473.62"/>
  </r>
  <r>
    <s v="T04229"/>
    <d v="2023-12-04T00:00:00"/>
    <s v="C167"/>
    <s v="P019"/>
    <s v="S002"/>
    <n v="5"/>
    <n v="0.05"/>
    <x v="3"/>
    <s v="Kimberly Lin"/>
    <x v="26"/>
    <x v="1"/>
    <x v="2"/>
    <n v="1762.92"/>
    <n v="8373.8700000000008"/>
  </r>
  <r>
    <s v="T04230"/>
    <d v="2023-10-13T00:00:00"/>
    <s v="C189"/>
    <s v="P041"/>
    <s v="S005"/>
    <n v="1"/>
    <n v="0"/>
    <x v="2"/>
    <s v="Steve Flynn"/>
    <x v="30"/>
    <x v="1"/>
    <x v="4"/>
    <n v="1635.01"/>
    <n v="1635.01"/>
  </r>
  <r>
    <s v="T04231"/>
    <d v="2024-11-22T00:00:00"/>
    <s v="C111"/>
    <s v="P009"/>
    <s v="S004"/>
    <n v="4"/>
    <n v="0"/>
    <x v="2"/>
    <s v="Dylan Booker"/>
    <x v="5"/>
    <x v="2"/>
    <x v="1"/>
    <n v="123.19"/>
    <n v="492.76"/>
  </r>
  <r>
    <s v="T04232"/>
    <d v="2025-03-15T00:00:00"/>
    <s v="C181"/>
    <s v="P031"/>
    <s v="S001"/>
    <n v="1"/>
    <n v="0"/>
    <x v="0"/>
    <s v="Brittany Oneal"/>
    <x v="39"/>
    <x v="2"/>
    <x v="3"/>
    <n v="1095.72"/>
    <n v="1095.72"/>
  </r>
  <r>
    <s v="T04233"/>
    <d v="2025-02-14T00:00:00"/>
    <s v="C051"/>
    <s v="P033"/>
    <s v="S002"/>
    <n v="5"/>
    <n v="0.1"/>
    <x v="2"/>
    <s v="Madison Sellers"/>
    <x v="16"/>
    <x v="0"/>
    <x v="2"/>
    <n v="1798.97"/>
    <n v="8095.3650000000007"/>
  </r>
  <r>
    <s v="T04234"/>
    <d v="2024-05-08T00:00:00"/>
    <s v="C140"/>
    <s v="P044"/>
    <s v="S004"/>
    <n v="2"/>
    <n v="0"/>
    <x v="3"/>
    <s v="Stacy Williams"/>
    <x v="32"/>
    <x v="0"/>
    <x v="1"/>
    <n v="1286.55"/>
    <n v="2573.1"/>
  </r>
  <r>
    <s v="T04235"/>
    <d v="2025-07-09T00:00:00"/>
    <s v="C083"/>
    <s v="P028"/>
    <s v="S001"/>
    <n v="3"/>
    <n v="0.05"/>
    <x v="0"/>
    <s v="Jeremy Robles"/>
    <x v="25"/>
    <x v="1"/>
    <x v="3"/>
    <n v="673.78"/>
    <n v="1920.2729999999999"/>
  </r>
  <r>
    <s v="T04236"/>
    <d v="2025-01-27T00:00:00"/>
    <s v="C063"/>
    <s v="P022"/>
    <s v="S005"/>
    <n v="2"/>
    <n v="0"/>
    <x v="0"/>
    <s v="Michael Johnson"/>
    <x v="9"/>
    <x v="2"/>
    <x v="4"/>
    <n v="25.57"/>
    <n v="51.14"/>
  </r>
  <r>
    <s v="T04237"/>
    <d v="2023-10-14T00:00:00"/>
    <s v="C142"/>
    <s v="P014"/>
    <s v="S002"/>
    <n v="4"/>
    <n v="0.05"/>
    <x v="3"/>
    <s v="Suzanne Fox"/>
    <x v="0"/>
    <x v="0"/>
    <x v="2"/>
    <n v="1342.75"/>
    <n v="5102.45"/>
  </r>
  <r>
    <s v="T04238"/>
    <d v="2024-01-12T00:00:00"/>
    <s v="C016"/>
    <s v="P003"/>
    <s v="S004"/>
    <n v="4"/>
    <n v="0.15"/>
    <x v="2"/>
    <s v="Miguel Johnson"/>
    <x v="46"/>
    <x v="0"/>
    <x v="1"/>
    <n v="337.63"/>
    <n v="1147.942"/>
  </r>
  <r>
    <s v="T04239"/>
    <d v="2025-03-05T00:00:00"/>
    <s v="C118"/>
    <s v="P037"/>
    <s v="S004"/>
    <n v="2"/>
    <n v="0.05"/>
    <x v="2"/>
    <s v="Gina Bradford"/>
    <x v="27"/>
    <x v="1"/>
    <x v="1"/>
    <n v="1952.65"/>
    <n v="3710.0349999999999"/>
  </r>
  <r>
    <s v="T04240"/>
    <d v="2025-09-08T00:00:00"/>
    <s v="C143"/>
    <s v="P027"/>
    <s v="S002"/>
    <n v="5"/>
    <n v="0.15"/>
    <x v="2"/>
    <s v="Cynthia Carlson"/>
    <x v="34"/>
    <x v="1"/>
    <x v="2"/>
    <n v="1272.23"/>
    <n v="5406.9775"/>
  </r>
  <r>
    <s v="T04241"/>
    <d v="2024-12-30T00:00:00"/>
    <s v="C055"/>
    <s v="P012"/>
    <s v="S004"/>
    <n v="4"/>
    <n v="0"/>
    <x v="0"/>
    <s v="Deborah Moody"/>
    <x v="38"/>
    <x v="1"/>
    <x v="1"/>
    <n v="1193.0899999999999"/>
    <n v="4772.3599999999997"/>
  </r>
  <r>
    <s v="T04242"/>
    <d v="2024-11-08T00:00:00"/>
    <s v="C163"/>
    <s v="P021"/>
    <s v="S001"/>
    <n v="5"/>
    <n v="0.15"/>
    <x v="2"/>
    <s v="Erin Rogers"/>
    <x v="23"/>
    <x v="2"/>
    <x v="3"/>
    <n v="1227.24"/>
    <n v="5215.7699999999995"/>
  </r>
  <r>
    <s v="T04243"/>
    <d v="2024-02-10T00:00:00"/>
    <s v="C102"/>
    <s v="P016"/>
    <s v="S004"/>
    <n v="1"/>
    <n v="0.05"/>
    <x v="1"/>
    <s v="Carolyn Perez"/>
    <x v="13"/>
    <x v="0"/>
    <x v="1"/>
    <n v="1858.75"/>
    <n v="1765.8125"/>
  </r>
  <r>
    <s v="T04244"/>
    <d v="2024-01-29T00:00:00"/>
    <s v="C142"/>
    <s v="P031"/>
    <s v="S003"/>
    <n v="1"/>
    <n v="0"/>
    <x v="3"/>
    <s v="Suzanne Fox"/>
    <x v="39"/>
    <x v="2"/>
    <x v="0"/>
    <n v="1095.72"/>
    <n v="1095.72"/>
  </r>
  <r>
    <s v="T04245"/>
    <d v="2024-12-05T00:00:00"/>
    <s v="C049"/>
    <s v="P020"/>
    <s v="S002"/>
    <n v="5"/>
    <n v="0.05"/>
    <x v="2"/>
    <s v="Antonio Hamilton"/>
    <x v="24"/>
    <x v="0"/>
    <x v="2"/>
    <n v="323.92"/>
    <n v="1538.6200000000001"/>
  </r>
  <r>
    <s v="T04246"/>
    <d v="2025-04-17T00:00:00"/>
    <s v="C058"/>
    <s v="P008"/>
    <s v="S005"/>
    <n v="2"/>
    <n v="0"/>
    <x v="2"/>
    <s v="Lawrence Stewart"/>
    <x v="48"/>
    <x v="0"/>
    <x v="4"/>
    <n v="109.78"/>
    <n v="219.56"/>
  </r>
  <r>
    <s v="T04247"/>
    <d v="2024-12-15T00:00:00"/>
    <s v="C090"/>
    <s v="P017"/>
    <s v="S002"/>
    <n v="4"/>
    <n v="0"/>
    <x v="1"/>
    <s v="Carrie Peterson"/>
    <x v="43"/>
    <x v="1"/>
    <x v="2"/>
    <n v="1246.1099999999999"/>
    <n v="4984.4399999999996"/>
  </r>
  <r>
    <s v="T04248"/>
    <d v="2024-12-05T00:00:00"/>
    <s v="C084"/>
    <s v="P041"/>
    <s v="S001"/>
    <n v="4"/>
    <n v="0.15"/>
    <x v="1"/>
    <s v="Amanda Lee"/>
    <x v="30"/>
    <x v="1"/>
    <x v="3"/>
    <n v="1635.01"/>
    <n v="5559.0339999999997"/>
  </r>
  <r>
    <s v="T04249"/>
    <d v="2025-02-04T00:00:00"/>
    <s v="C099"/>
    <s v="P040"/>
    <s v="S001"/>
    <n v="1"/>
    <n v="0.15"/>
    <x v="0"/>
    <s v="Kimberly Jones"/>
    <x v="37"/>
    <x v="1"/>
    <x v="3"/>
    <n v="1745.61"/>
    <n v="1483.7684999999999"/>
  </r>
  <r>
    <s v="T04250"/>
    <d v="2025-06-05T00:00:00"/>
    <s v="C149"/>
    <s v="P032"/>
    <s v="S002"/>
    <n v="1"/>
    <n v="0"/>
    <x v="0"/>
    <s v="Melissa Torres"/>
    <x v="44"/>
    <x v="2"/>
    <x v="2"/>
    <n v="304.70999999999998"/>
    <n v="304.70999999999998"/>
  </r>
  <r>
    <s v="T04251"/>
    <d v="2024-11-20T00:00:00"/>
    <s v="C064"/>
    <s v="P037"/>
    <s v="S001"/>
    <n v="5"/>
    <n v="0.05"/>
    <x v="1"/>
    <s v="Amanda Hoover"/>
    <x v="27"/>
    <x v="1"/>
    <x v="3"/>
    <n v="1952.65"/>
    <n v="9275.0874999999996"/>
  </r>
  <r>
    <s v="T04252"/>
    <d v="2023-11-22T00:00:00"/>
    <s v="C156"/>
    <s v="P041"/>
    <s v="S004"/>
    <n v="4"/>
    <n v="0"/>
    <x v="1"/>
    <s v="George Young"/>
    <x v="30"/>
    <x v="1"/>
    <x v="1"/>
    <n v="1635.01"/>
    <n v="6540.04"/>
  </r>
  <r>
    <s v="T04253"/>
    <d v="2025-03-12T00:00:00"/>
    <s v="C129"/>
    <s v="P018"/>
    <s v="S001"/>
    <n v="3"/>
    <n v="0.15"/>
    <x v="2"/>
    <s v="Gary Taylor"/>
    <x v="19"/>
    <x v="1"/>
    <x v="3"/>
    <n v="1079.8900000000001"/>
    <n v="2753.7195000000002"/>
  </r>
  <r>
    <s v="T04254"/>
    <d v="2024-04-03T00:00:00"/>
    <s v="C139"/>
    <s v="P012"/>
    <s v="S003"/>
    <n v="3"/>
    <n v="0.15"/>
    <x v="2"/>
    <s v="Alexander Mcfarland"/>
    <x v="38"/>
    <x v="1"/>
    <x v="0"/>
    <n v="1193.0899999999999"/>
    <n v="3042.3794999999996"/>
  </r>
  <r>
    <s v="T04255"/>
    <d v="2025-01-25T00:00:00"/>
    <s v="C189"/>
    <s v="P043"/>
    <s v="S001"/>
    <n v="2"/>
    <n v="0.15"/>
    <x v="1"/>
    <s v="Steve Flynn"/>
    <x v="45"/>
    <x v="0"/>
    <x v="3"/>
    <n v="564.41999999999996"/>
    <n v="959.5139999999999"/>
  </r>
  <r>
    <s v="T04256"/>
    <d v="2025-06-30T00:00:00"/>
    <s v="C095"/>
    <s v="P009"/>
    <s v="S004"/>
    <n v="5"/>
    <n v="0.15"/>
    <x v="2"/>
    <s v="Kevin Snyder"/>
    <x v="5"/>
    <x v="2"/>
    <x v="1"/>
    <n v="123.19"/>
    <n v="523.5575"/>
  </r>
  <r>
    <s v="T04257"/>
    <d v="2024-10-24T00:00:00"/>
    <s v="C157"/>
    <s v="P047"/>
    <s v="S003"/>
    <n v="5"/>
    <n v="0"/>
    <x v="2"/>
    <s v="Connie Terry"/>
    <x v="28"/>
    <x v="1"/>
    <x v="0"/>
    <n v="1197.18"/>
    <n v="5985.9000000000005"/>
  </r>
  <r>
    <s v="T04258"/>
    <d v="2024-08-13T00:00:00"/>
    <s v="C083"/>
    <s v="P008"/>
    <s v="S004"/>
    <n v="2"/>
    <n v="0.1"/>
    <x v="2"/>
    <s v="Jeremy Robles"/>
    <x v="48"/>
    <x v="0"/>
    <x v="1"/>
    <n v="109.78"/>
    <n v="197.60400000000001"/>
  </r>
  <r>
    <s v="T04259"/>
    <d v="2024-07-13T00:00:00"/>
    <s v="C088"/>
    <s v="P021"/>
    <s v="S003"/>
    <n v="2"/>
    <n v="0.1"/>
    <x v="1"/>
    <s v="Brenda Costa"/>
    <x v="23"/>
    <x v="2"/>
    <x v="0"/>
    <n v="1227.24"/>
    <n v="2209.0320000000002"/>
  </r>
  <r>
    <s v="T04260"/>
    <d v="2024-07-06T00:00:00"/>
    <s v="C161"/>
    <s v="P026"/>
    <s v="S001"/>
    <n v="4"/>
    <n v="0.1"/>
    <x v="2"/>
    <s v="Michael Perez"/>
    <x v="15"/>
    <x v="2"/>
    <x v="3"/>
    <n v="1015.76"/>
    <n v="3656.7359999999999"/>
  </r>
  <r>
    <s v="T04261"/>
    <d v="2025-05-10T00:00:00"/>
    <s v="C149"/>
    <s v="P016"/>
    <s v="S005"/>
    <n v="1"/>
    <n v="0.15"/>
    <x v="0"/>
    <s v="Melissa Torres"/>
    <x v="13"/>
    <x v="0"/>
    <x v="4"/>
    <n v="1858.75"/>
    <n v="1579.9375"/>
  </r>
  <r>
    <s v="T04262"/>
    <d v="2024-11-01T00:00:00"/>
    <s v="C161"/>
    <s v="P020"/>
    <s v="S004"/>
    <n v="2"/>
    <n v="0.15"/>
    <x v="1"/>
    <s v="Michael Perez"/>
    <x v="24"/>
    <x v="0"/>
    <x v="1"/>
    <n v="323.92"/>
    <n v="550.66399999999999"/>
  </r>
  <r>
    <s v="T04263"/>
    <d v="2023-10-07T00:00:00"/>
    <s v="C152"/>
    <s v="P028"/>
    <s v="S003"/>
    <n v="1"/>
    <n v="0.15"/>
    <x v="1"/>
    <s v="Brittany Green"/>
    <x v="25"/>
    <x v="1"/>
    <x v="0"/>
    <n v="673.78"/>
    <n v="572.71299999999997"/>
  </r>
  <r>
    <s v="T04264"/>
    <d v="2024-09-13T00:00:00"/>
    <s v="C125"/>
    <s v="P041"/>
    <s v="S001"/>
    <n v="5"/>
    <n v="0"/>
    <x v="1"/>
    <s v="Kimberly Parker"/>
    <x v="30"/>
    <x v="1"/>
    <x v="3"/>
    <n v="1635.01"/>
    <n v="8175.05"/>
  </r>
  <r>
    <s v="T04265"/>
    <d v="2024-08-04T00:00:00"/>
    <s v="C079"/>
    <s v="P004"/>
    <s v="S004"/>
    <n v="3"/>
    <n v="0.1"/>
    <x v="0"/>
    <s v="Donald Marsh"/>
    <x v="49"/>
    <x v="0"/>
    <x v="1"/>
    <n v="1853.77"/>
    <n v="5005.1790000000001"/>
  </r>
  <r>
    <s v="T04266"/>
    <d v="2025-03-02T00:00:00"/>
    <s v="C104"/>
    <s v="P046"/>
    <s v="S003"/>
    <n v="1"/>
    <n v="0.05"/>
    <x v="0"/>
    <s v="Brenda Dean"/>
    <x v="42"/>
    <x v="0"/>
    <x v="0"/>
    <n v="1165.3699999999999"/>
    <n v="1107.1014999999998"/>
  </r>
  <r>
    <s v="T04267"/>
    <d v="2023-09-27T00:00:00"/>
    <s v="C029"/>
    <s v="P037"/>
    <s v="S004"/>
    <n v="4"/>
    <n v="0.05"/>
    <x v="0"/>
    <s v="Tyler Levine"/>
    <x v="27"/>
    <x v="1"/>
    <x v="1"/>
    <n v="1952.65"/>
    <n v="7420.07"/>
  </r>
  <r>
    <s v="T04268"/>
    <d v="2023-09-20T00:00:00"/>
    <s v="C118"/>
    <s v="P005"/>
    <s v="S005"/>
    <n v="3"/>
    <n v="0.05"/>
    <x v="1"/>
    <s v="Gina Bradford"/>
    <x v="6"/>
    <x v="0"/>
    <x v="4"/>
    <n v="1396.22"/>
    <n v="3979.2269999999999"/>
  </r>
  <r>
    <s v="T04269"/>
    <d v="2024-11-03T00:00:00"/>
    <s v="C188"/>
    <s v="P043"/>
    <s v="S005"/>
    <n v="5"/>
    <n v="0"/>
    <x v="1"/>
    <s v="Ryan Flores"/>
    <x v="45"/>
    <x v="0"/>
    <x v="4"/>
    <n v="564.41999999999996"/>
    <n v="2822.1"/>
  </r>
  <r>
    <s v="T04270"/>
    <d v="2024-05-23T00:00:00"/>
    <s v="C075"/>
    <s v="P038"/>
    <s v="S005"/>
    <n v="5"/>
    <n v="0"/>
    <x v="0"/>
    <s v="Seth Moore"/>
    <x v="41"/>
    <x v="0"/>
    <x v="4"/>
    <n v="366.93"/>
    <n v="1834.65"/>
  </r>
  <r>
    <s v="T04271"/>
    <d v="2025-02-03T00:00:00"/>
    <s v="C075"/>
    <s v="P026"/>
    <s v="S003"/>
    <n v="1"/>
    <n v="0.05"/>
    <x v="1"/>
    <s v="Seth Moore"/>
    <x v="15"/>
    <x v="2"/>
    <x v="0"/>
    <n v="1015.76"/>
    <n v="964.97199999999998"/>
  </r>
  <r>
    <s v="T04272"/>
    <d v="2024-08-22T00:00:00"/>
    <s v="C003"/>
    <s v="P010"/>
    <s v="S003"/>
    <n v="2"/>
    <n v="0"/>
    <x v="3"/>
    <s v="Carol Hays"/>
    <x v="36"/>
    <x v="1"/>
    <x v="0"/>
    <n v="1194.1199999999999"/>
    <n v="2388.2399999999998"/>
  </r>
  <r>
    <s v="T04273"/>
    <d v="2024-10-29T00:00:00"/>
    <s v="C042"/>
    <s v="P010"/>
    <s v="S004"/>
    <n v="2"/>
    <n v="0.15"/>
    <x v="3"/>
    <s v="Anna Andrews"/>
    <x v="36"/>
    <x v="1"/>
    <x v="1"/>
    <n v="1194.1199999999999"/>
    <n v="2030.0039999999997"/>
  </r>
  <r>
    <s v="T04274"/>
    <d v="2024-03-29T00:00:00"/>
    <s v="C102"/>
    <s v="P012"/>
    <s v="S004"/>
    <n v="3"/>
    <n v="0"/>
    <x v="3"/>
    <s v="Carolyn Perez"/>
    <x v="38"/>
    <x v="1"/>
    <x v="1"/>
    <n v="1193.0899999999999"/>
    <n v="3579.2699999999995"/>
  </r>
  <r>
    <s v="T04275"/>
    <d v="2024-10-30T00:00:00"/>
    <s v="C140"/>
    <s v="P027"/>
    <s v="S002"/>
    <n v="3"/>
    <n v="0.1"/>
    <x v="0"/>
    <s v="Stacy Williams"/>
    <x v="34"/>
    <x v="1"/>
    <x v="2"/>
    <n v="1272.23"/>
    <n v="3435.0210000000002"/>
  </r>
  <r>
    <s v="T04276"/>
    <d v="2024-04-22T00:00:00"/>
    <s v="C134"/>
    <s v="P033"/>
    <s v="S001"/>
    <n v="2"/>
    <n v="0"/>
    <x v="2"/>
    <s v="Emily Hart"/>
    <x v="16"/>
    <x v="0"/>
    <x v="3"/>
    <n v="1798.97"/>
    <n v="3597.94"/>
  </r>
  <r>
    <s v="T04277"/>
    <d v="2024-12-27T00:00:00"/>
    <s v="C171"/>
    <s v="P003"/>
    <s v="S001"/>
    <n v="3"/>
    <n v="0.15"/>
    <x v="0"/>
    <s v="Christina Dominguez"/>
    <x v="46"/>
    <x v="0"/>
    <x v="3"/>
    <n v="337.63"/>
    <n v="860.95650000000001"/>
  </r>
  <r>
    <s v="T04278"/>
    <d v="2023-10-15T00:00:00"/>
    <s v="C171"/>
    <s v="P022"/>
    <s v="S005"/>
    <n v="5"/>
    <n v="0.05"/>
    <x v="1"/>
    <s v="Christina Dominguez"/>
    <x v="9"/>
    <x v="2"/>
    <x v="4"/>
    <n v="25.57"/>
    <n v="121.4575"/>
  </r>
  <r>
    <s v="T04279"/>
    <d v="2024-12-02T00:00:00"/>
    <s v="C068"/>
    <s v="P039"/>
    <s v="S001"/>
    <n v="5"/>
    <n v="0.1"/>
    <x v="1"/>
    <s v="Alexandra Montoya"/>
    <x v="22"/>
    <x v="0"/>
    <x v="3"/>
    <n v="540.94000000000005"/>
    <n v="2434.2300000000005"/>
  </r>
  <r>
    <s v="T04280"/>
    <d v="2025-05-19T00:00:00"/>
    <s v="C061"/>
    <s v="P033"/>
    <s v="S001"/>
    <n v="2"/>
    <n v="0.15"/>
    <x v="0"/>
    <s v="Heather Russell"/>
    <x v="16"/>
    <x v="0"/>
    <x v="3"/>
    <n v="1798.97"/>
    <n v="3058.2489999999998"/>
  </r>
  <r>
    <s v="T04281"/>
    <d v="2025-07-25T00:00:00"/>
    <s v="C004"/>
    <s v="P041"/>
    <s v="S001"/>
    <n v="1"/>
    <n v="0.05"/>
    <x v="3"/>
    <s v="Joseph Ward"/>
    <x v="30"/>
    <x v="1"/>
    <x v="3"/>
    <n v="1635.01"/>
    <n v="1553.2594999999999"/>
  </r>
  <r>
    <s v="T04282"/>
    <d v="2025-04-08T00:00:00"/>
    <s v="C174"/>
    <s v="P047"/>
    <s v="S003"/>
    <n v="4"/>
    <n v="0.15"/>
    <x v="3"/>
    <s v="Scott Howell"/>
    <x v="28"/>
    <x v="1"/>
    <x v="0"/>
    <n v="1197.18"/>
    <n v="4070.4120000000003"/>
  </r>
  <r>
    <s v="T04283"/>
    <d v="2024-02-17T00:00:00"/>
    <s v="C152"/>
    <s v="P048"/>
    <s v="S005"/>
    <n v="3"/>
    <n v="0.05"/>
    <x v="3"/>
    <s v="Brittany Green"/>
    <x v="11"/>
    <x v="0"/>
    <x v="4"/>
    <n v="1216.3599999999999"/>
    <n v="3466.6259999999997"/>
  </r>
  <r>
    <s v="T04284"/>
    <d v="2025-01-06T00:00:00"/>
    <s v="C092"/>
    <s v="P035"/>
    <s v="S004"/>
    <n v="3"/>
    <n v="0"/>
    <x v="0"/>
    <s v="Lindsey Holder"/>
    <x v="7"/>
    <x v="1"/>
    <x v="1"/>
    <n v="1562.43"/>
    <n v="4687.29"/>
  </r>
  <r>
    <s v="T04285"/>
    <d v="2025-08-15T00:00:00"/>
    <s v="C197"/>
    <s v="P027"/>
    <s v="S005"/>
    <n v="2"/>
    <n v="0.15"/>
    <x v="0"/>
    <s v="Matthew Dixon"/>
    <x v="34"/>
    <x v="1"/>
    <x v="4"/>
    <n v="1272.23"/>
    <n v="2162.7910000000002"/>
  </r>
  <r>
    <s v="T04286"/>
    <d v="2023-10-22T00:00:00"/>
    <s v="C111"/>
    <s v="P042"/>
    <s v="S004"/>
    <n v="5"/>
    <n v="0"/>
    <x v="1"/>
    <s v="Dylan Booker"/>
    <x v="10"/>
    <x v="0"/>
    <x v="1"/>
    <n v="453.62"/>
    <n v="2268.1"/>
  </r>
  <r>
    <s v="T04287"/>
    <d v="2025-05-30T00:00:00"/>
    <s v="C185"/>
    <s v="P028"/>
    <s v="S001"/>
    <n v="1"/>
    <n v="0.15"/>
    <x v="2"/>
    <s v="Joe Vincent"/>
    <x v="25"/>
    <x v="1"/>
    <x v="3"/>
    <n v="673.78"/>
    <n v="572.71299999999997"/>
  </r>
  <r>
    <s v="T04288"/>
    <d v="2024-09-09T00:00:00"/>
    <s v="C107"/>
    <s v="P015"/>
    <s v="S001"/>
    <n v="1"/>
    <n v="0"/>
    <x v="2"/>
    <s v="Victoria Hansen"/>
    <x v="40"/>
    <x v="0"/>
    <x v="3"/>
    <n v="270.45"/>
    <n v="270.45"/>
  </r>
  <r>
    <s v="T04289"/>
    <d v="2023-10-15T00:00:00"/>
    <s v="C110"/>
    <s v="P020"/>
    <s v="S003"/>
    <n v="1"/>
    <n v="0"/>
    <x v="2"/>
    <s v="Travis Peters"/>
    <x v="24"/>
    <x v="0"/>
    <x v="0"/>
    <n v="323.92"/>
    <n v="323.92"/>
  </r>
  <r>
    <s v="T04290"/>
    <d v="2024-01-07T00:00:00"/>
    <s v="C070"/>
    <s v="P033"/>
    <s v="S003"/>
    <n v="3"/>
    <n v="0.1"/>
    <x v="2"/>
    <s v="Eric Bryan"/>
    <x v="16"/>
    <x v="0"/>
    <x v="0"/>
    <n v="1798.97"/>
    <n v="4857.2190000000001"/>
  </r>
  <r>
    <s v="T04291"/>
    <d v="2024-09-06T00:00:00"/>
    <s v="C154"/>
    <s v="P029"/>
    <s v="S005"/>
    <n v="1"/>
    <n v="0.15"/>
    <x v="1"/>
    <s v="Lisa Martinez"/>
    <x v="47"/>
    <x v="0"/>
    <x v="4"/>
    <n v="1485.05"/>
    <n v="1262.2925"/>
  </r>
  <r>
    <s v="T04292"/>
    <d v="2024-10-26T00:00:00"/>
    <s v="C071"/>
    <s v="P039"/>
    <s v="S003"/>
    <n v="4"/>
    <n v="0.15"/>
    <x v="0"/>
    <s v="Denise Gutierrez"/>
    <x v="22"/>
    <x v="0"/>
    <x v="0"/>
    <n v="540.94000000000005"/>
    <n v="1839.1960000000001"/>
  </r>
  <r>
    <s v="T04293"/>
    <d v="2025-03-13T00:00:00"/>
    <s v="C043"/>
    <s v="P021"/>
    <s v="S003"/>
    <n v="1"/>
    <n v="0.15"/>
    <x v="2"/>
    <s v="Kenneth Allen"/>
    <x v="23"/>
    <x v="2"/>
    <x v="0"/>
    <n v="1227.24"/>
    <n v="1043.154"/>
  </r>
  <r>
    <s v="T04294"/>
    <d v="2024-05-12T00:00:00"/>
    <s v="C200"/>
    <s v="P041"/>
    <s v="S002"/>
    <n v="1"/>
    <n v="0.1"/>
    <x v="0"/>
    <s v="Ronald Haley"/>
    <x v="30"/>
    <x v="1"/>
    <x v="2"/>
    <n v="1635.01"/>
    <n v="1471.509"/>
  </r>
  <r>
    <s v="T04295"/>
    <d v="2025-03-24T00:00:00"/>
    <s v="C157"/>
    <s v="P012"/>
    <s v="S005"/>
    <n v="4"/>
    <n v="0.15"/>
    <x v="2"/>
    <s v="Connie Terry"/>
    <x v="38"/>
    <x v="1"/>
    <x v="4"/>
    <n v="1193.0899999999999"/>
    <n v="4056.5059999999994"/>
  </r>
  <r>
    <s v="T04296"/>
    <d v="2025-07-06T00:00:00"/>
    <s v="C081"/>
    <s v="P026"/>
    <s v="S004"/>
    <n v="2"/>
    <n v="0.05"/>
    <x v="2"/>
    <s v="Sarah Reynolds"/>
    <x v="15"/>
    <x v="2"/>
    <x v="1"/>
    <n v="1015.76"/>
    <n v="1929.944"/>
  </r>
  <r>
    <s v="T04297"/>
    <d v="2023-12-02T00:00:00"/>
    <s v="C032"/>
    <s v="P020"/>
    <s v="S005"/>
    <n v="1"/>
    <n v="0.1"/>
    <x v="2"/>
    <s v="Valerie Macdonald"/>
    <x v="24"/>
    <x v="0"/>
    <x v="4"/>
    <n v="323.92"/>
    <n v="291.52800000000002"/>
  </r>
  <r>
    <s v="T04298"/>
    <d v="2025-04-26T00:00:00"/>
    <s v="C056"/>
    <s v="P033"/>
    <s v="S003"/>
    <n v="4"/>
    <n v="0"/>
    <x v="0"/>
    <s v="Carl Wyatt"/>
    <x v="16"/>
    <x v="0"/>
    <x v="0"/>
    <n v="1798.97"/>
    <n v="7195.88"/>
  </r>
  <r>
    <s v="T04299"/>
    <d v="2023-11-10T00:00:00"/>
    <s v="C128"/>
    <s v="P042"/>
    <s v="S003"/>
    <n v="4"/>
    <n v="0.15"/>
    <x v="0"/>
    <s v="Robert Collins"/>
    <x v="10"/>
    <x v="0"/>
    <x v="0"/>
    <n v="453.62"/>
    <n v="1542.308"/>
  </r>
  <r>
    <s v="T04300"/>
    <d v="2023-09-22T00:00:00"/>
    <s v="C139"/>
    <s v="P005"/>
    <s v="S003"/>
    <n v="3"/>
    <n v="0.1"/>
    <x v="2"/>
    <s v="Alexander Mcfarland"/>
    <x v="6"/>
    <x v="0"/>
    <x v="0"/>
    <n v="1396.22"/>
    <n v="3769.7939999999999"/>
  </r>
  <r>
    <s v="T04301"/>
    <d v="2024-02-25T00:00:00"/>
    <s v="C154"/>
    <s v="P036"/>
    <s v="S004"/>
    <n v="3"/>
    <n v="0.05"/>
    <x v="3"/>
    <s v="Lisa Martinez"/>
    <x v="4"/>
    <x v="0"/>
    <x v="1"/>
    <n v="1501.46"/>
    <n v="4279.1610000000001"/>
  </r>
  <r>
    <s v="T04302"/>
    <d v="2024-04-01T00:00:00"/>
    <s v="C060"/>
    <s v="P036"/>
    <s v="S005"/>
    <n v="2"/>
    <n v="0.1"/>
    <x v="3"/>
    <s v="Anthony Conway"/>
    <x v="4"/>
    <x v="0"/>
    <x v="4"/>
    <n v="1501.46"/>
    <n v="2702.6280000000002"/>
  </r>
  <r>
    <s v="T04303"/>
    <d v="2025-06-01T00:00:00"/>
    <s v="C126"/>
    <s v="P001"/>
    <s v="S001"/>
    <n v="2"/>
    <n v="0.1"/>
    <x v="0"/>
    <s v="Monique Johnson"/>
    <x v="31"/>
    <x v="1"/>
    <x v="3"/>
    <n v="1673.69"/>
    <n v="3012.6420000000003"/>
  </r>
  <r>
    <s v="T04304"/>
    <d v="2024-09-13T00:00:00"/>
    <s v="C187"/>
    <s v="P012"/>
    <s v="S003"/>
    <n v="2"/>
    <n v="0"/>
    <x v="2"/>
    <s v="Cynthia Cherry"/>
    <x v="38"/>
    <x v="1"/>
    <x v="0"/>
    <n v="1193.0899999999999"/>
    <n v="2386.1799999999998"/>
  </r>
  <r>
    <s v="T04305"/>
    <d v="2024-07-15T00:00:00"/>
    <s v="C180"/>
    <s v="P002"/>
    <s v="S005"/>
    <n v="1"/>
    <n v="0"/>
    <x v="2"/>
    <s v="Nichole Calhoun"/>
    <x v="2"/>
    <x v="1"/>
    <x v="4"/>
    <n v="818.76"/>
    <n v="818.76"/>
  </r>
  <r>
    <s v="T04306"/>
    <d v="2025-07-05T00:00:00"/>
    <s v="C101"/>
    <s v="P004"/>
    <s v="S002"/>
    <n v="2"/>
    <n v="0"/>
    <x v="3"/>
    <s v="William Pope"/>
    <x v="49"/>
    <x v="0"/>
    <x v="2"/>
    <n v="1853.77"/>
    <n v="3707.54"/>
  </r>
  <r>
    <s v="T04307"/>
    <d v="2024-09-05T00:00:00"/>
    <s v="C184"/>
    <s v="P012"/>
    <s v="S004"/>
    <n v="2"/>
    <n v="0.05"/>
    <x v="1"/>
    <s v="Daniel Mcintyre"/>
    <x v="38"/>
    <x v="1"/>
    <x v="1"/>
    <n v="1193.0899999999999"/>
    <n v="2266.8709999999996"/>
  </r>
  <r>
    <s v="T04308"/>
    <d v="2024-05-29T00:00:00"/>
    <s v="C127"/>
    <s v="P005"/>
    <s v="S002"/>
    <n v="4"/>
    <n v="0.1"/>
    <x v="2"/>
    <s v="John Allen"/>
    <x v="6"/>
    <x v="0"/>
    <x v="2"/>
    <n v="1396.22"/>
    <n v="5026.3919999999998"/>
  </r>
  <r>
    <s v="T04309"/>
    <d v="2025-01-06T00:00:00"/>
    <s v="C159"/>
    <s v="P013"/>
    <s v="S003"/>
    <n v="5"/>
    <n v="0.1"/>
    <x v="0"/>
    <s v="Thomas Chung"/>
    <x v="21"/>
    <x v="0"/>
    <x v="0"/>
    <n v="1134.8"/>
    <n v="5106.6000000000004"/>
  </r>
  <r>
    <s v="T04310"/>
    <d v="2024-06-22T00:00:00"/>
    <s v="C142"/>
    <s v="P046"/>
    <s v="S003"/>
    <n v="2"/>
    <n v="0.05"/>
    <x v="0"/>
    <s v="Suzanne Fox"/>
    <x v="42"/>
    <x v="0"/>
    <x v="0"/>
    <n v="1165.3699999999999"/>
    <n v="2214.2029999999995"/>
  </r>
  <r>
    <s v="T04311"/>
    <d v="2025-07-05T00:00:00"/>
    <s v="C044"/>
    <s v="P041"/>
    <s v="S003"/>
    <n v="2"/>
    <n v="0.1"/>
    <x v="3"/>
    <s v="Parker Sparks"/>
    <x v="30"/>
    <x v="1"/>
    <x v="0"/>
    <n v="1635.01"/>
    <n v="2943.018"/>
  </r>
  <r>
    <s v="T04312"/>
    <d v="2024-12-22T00:00:00"/>
    <s v="C104"/>
    <s v="P019"/>
    <s v="S001"/>
    <n v="5"/>
    <n v="0.1"/>
    <x v="1"/>
    <s v="Brenda Dean"/>
    <x v="26"/>
    <x v="1"/>
    <x v="3"/>
    <n v="1762.92"/>
    <n v="7933.14"/>
  </r>
  <r>
    <s v="T04313"/>
    <d v="2024-04-26T00:00:00"/>
    <s v="C095"/>
    <s v="P026"/>
    <s v="S005"/>
    <n v="1"/>
    <n v="0.15"/>
    <x v="3"/>
    <s v="Kevin Snyder"/>
    <x v="15"/>
    <x v="2"/>
    <x v="4"/>
    <n v="1015.76"/>
    <n v="863.39599999999996"/>
  </r>
  <r>
    <s v="T04314"/>
    <d v="2024-01-04T00:00:00"/>
    <s v="C015"/>
    <s v="P008"/>
    <s v="S003"/>
    <n v="1"/>
    <n v="0"/>
    <x v="0"/>
    <s v="Matthew Molina"/>
    <x v="48"/>
    <x v="0"/>
    <x v="0"/>
    <n v="109.78"/>
    <n v="109.78"/>
  </r>
  <r>
    <s v="T04315"/>
    <d v="2023-12-19T00:00:00"/>
    <s v="C079"/>
    <s v="P029"/>
    <s v="S005"/>
    <n v="1"/>
    <n v="0.1"/>
    <x v="1"/>
    <s v="Donald Marsh"/>
    <x v="47"/>
    <x v="0"/>
    <x v="4"/>
    <n v="1485.05"/>
    <n v="1336.5450000000001"/>
  </r>
  <r>
    <s v="T04316"/>
    <d v="2023-10-29T00:00:00"/>
    <s v="C117"/>
    <s v="P040"/>
    <s v="S003"/>
    <n v="3"/>
    <n v="0.15"/>
    <x v="2"/>
    <s v="Timothy Beck"/>
    <x v="37"/>
    <x v="1"/>
    <x v="0"/>
    <n v="1745.61"/>
    <n v="4451.3054999999995"/>
  </r>
  <r>
    <s v="T04317"/>
    <d v="2024-03-28T00:00:00"/>
    <s v="C196"/>
    <s v="P008"/>
    <s v="S003"/>
    <n v="2"/>
    <n v="0.1"/>
    <x v="2"/>
    <s v="James Noble"/>
    <x v="48"/>
    <x v="0"/>
    <x v="0"/>
    <n v="109.78"/>
    <n v="197.60400000000001"/>
  </r>
  <r>
    <s v="T04318"/>
    <d v="2023-10-01T00:00:00"/>
    <s v="C077"/>
    <s v="P048"/>
    <s v="S004"/>
    <n v="5"/>
    <n v="0.1"/>
    <x v="3"/>
    <s v="Matthew Juarez"/>
    <x v="11"/>
    <x v="0"/>
    <x v="1"/>
    <n v="1216.3599999999999"/>
    <n v="5473.62"/>
  </r>
  <r>
    <s v="T04319"/>
    <d v="2024-12-10T00:00:00"/>
    <s v="C119"/>
    <s v="P035"/>
    <s v="S001"/>
    <n v="3"/>
    <n v="0.1"/>
    <x v="1"/>
    <s v="Jason Lloyd"/>
    <x v="7"/>
    <x v="1"/>
    <x v="3"/>
    <n v="1562.43"/>
    <n v="4218.5609999999997"/>
  </r>
  <r>
    <s v="T04320"/>
    <d v="2024-06-01T00:00:00"/>
    <s v="C052"/>
    <s v="P010"/>
    <s v="S003"/>
    <n v="3"/>
    <n v="0.05"/>
    <x v="3"/>
    <s v="Billy Hernandez"/>
    <x v="36"/>
    <x v="1"/>
    <x v="0"/>
    <n v="1194.1199999999999"/>
    <n v="3403.2419999999997"/>
  </r>
  <r>
    <s v="T04321"/>
    <d v="2024-12-02T00:00:00"/>
    <s v="C086"/>
    <s v="P032"/>
    <s v="S002"/>
    <n v="4"/>
    <n v="0"/>
    <x v="2"/>
    <s v="Lawrence Hunter"/>
    <x v="44"/>
    <x v="2"/>
    <x v="2"/>
    <n v="304.70999999999998"/>
    <n v="1218.8399999999999"/>
  </r>
  <r>
    <s v="T04322"/>
    <d v="2023-10-18T00:00:00"/>
    <s v="C050"/>
    <s v="P045"/>
    <s v="S001"/>
    <n v="5"/>
    <n v="0.05"/>
    <x v="1"/>
    <s v="Kelly Mcmillan"/>
    <x v="8"/>
    <x v="2"/>
    <x v="3"/>
    <n v="1879.08"/>
    <n v="8925.6299999999992"/>
  </r>
  <r>
    <s v="T04323"/>
    <d v="2025-03-16T00:00:00"/>
    <s v="C022"/>
    <s v="P035"/>
    <s v="S001"/>
    <n v="2"/>
    <n v="0.05"/>
    <x v="2"/>
    <s v="Megan Velasquez"/>
    <x v="7"/>
    <x v="1"/>
    <x v="3"/>
    <n v="1562.43"/>
    <n v="2968.6170000000002"/>
  </r>
  <r>
    <s v="T04324"/>
    <d v="2024-01-20T00:00:00"/>
    <s v="C110"/>
    <s v="P045"/>
    <s v="S001"/>
    <n v="5"/>
    <n v="0.15"/>
    <x v="2"/>
    <s v="Travis Peters"/>
    <x v="8"/>
    <x v="2"/>
    <x v="3"/>
    <n v="1879.08"/>
    <n v="7986.0899999999992"/>
  </r>
  <r>
    <s v="T04325"/>
    <d v="2023-12-20T00:00:00"/>
    <s v="C143"/>
    <s v="P028"/>
    <s v="S001"/>
    <n v="3"/>
    <n v="0.05"/>
    <x v="1"/>
    <s v="Cynthia Carlson"/>
    <x v="25"/>
    <x v="1"/>
    <x v="3"/>
    <n v="673.78"/>
    <n v="1920.2729999999999"/>
  </r>
  <r>
    <s v="T04326"/>
    <d v="2024-01-11T00:00:00"/>
    <s v="C140"/>
    <s v="P006"/>
    <s v="S004"/>
    <n v="2"/>
    <n v="0"/>
    <x v="0"/>
    <s v="Stacy Williams"/>
    <x v="35"/>
    <x v="2"/>
    <x v="1"/>
    <n v="318.05"/>
    <n v="636.1"/>
  </r>
  <r>
    <s v="T04327"/>
    <d v="2023-09-18T00:00:00"/>
    <s v="C143"/>
    <s v="P008"/>
    <s v="S004"/>
    <n v="2"/>
    <n v="0.1"/>
    <x v="3"/>
    <s v="Cynthia Carlson"/>
    <x v="48"/>
    <x v="0"/>
    <x v="1"/>
    <n v="109.78"/>
    <n v="197.60400000000001"/>
  </r>
  <r>
    <s v="T04328"/>
    <d v="2024-07-22T00:00:00"/>
    <s v="C081"/>
    <s v="P039"/>
    <s v="S002"/>
    <n v="1"/>
    <n v="0.15"/>
    <x v="0"/>
    <s v="Sarah Reynolds"/>
    <x v="22"/>
    <x v="0"/>
    <x v="2"/>
    <n v="540.94000000000005"/>
    <n v="459.79900000000004"/>
  </r>
  <r>
    <s v="T04329"/>
    <d v="2024-05-05T00:00:00"/>
    <s v="C105"/>
    <s v="P004"/>
    <s v="S003"/>
    <n v="2"/>
    <n v="0.1"/>
    <x v="2"/>
    <s v="Kenneth Berg"/>
    <x v="49"/>
    <x v="0"/>
    <x v="0"/>
    <n v="1853.77"/>
    <n v="3336.7860000000001"/>
  </r>
  <r>
    <s v="T04330"/>
    <d v="2024-12-02T00:00:00"/>
    <s v="C124"/>
    <s v="P047"/>
    <s v="S005"/>
    <n v="1"/>
    <n v="0"/>
    <x v="3"/>
    <s v="Chad Roberts"/>
    <x v="28"/>
    <x v="1"/>
    <x v="4"/>
    <n v="1197.18"/>
    <n v="1197.18"/>
  </r>
  <r>
    <s v="T04331"/>
    <d v="2024-08-14T00:00:00"/>
    <s v="C092"/>
    <s v="P016"/>
    <s v="S004"/>
    <n v="4"/>
    <n v="0.05"/>
    <x v="0"/>
    <s v="Lindsey Holder"/>
    <x v="13"/>
    <x v="0"/>
    <x v="1"/>
    <n v="1858.75"/>
    <n v="7063.25"/>
  </r>
  <r>
    <s v="T04332"/>
    <d v="2024-11-22T00:00:00"/>
    <s v="C072"/>
    <s v="P019"/>
    <s v="S004"/>
    <n v="4"/>
    <n v="0"/>
    <x v="1"/>
    <s v="Eric Watkins"/>
    <x v="26"/>
    <x v="1"/>
    <x v="1"/>
    <n v="1762.92"/>
    <n v="7051.68"/>
  </r>
  <r>
    <s v="T04333"/>
    <d v="2024-07-04T00:00:00"/>
    <s v="C114"/>
    <s v="P012"/>
    <s v="S004"/>
    <n v="2"/>
    <n v="0.15"/>
    <x v="3"/>
    <s v="Miranda Rodriguez"/>
    <x v="38"/>
    <x v="1"/>
    <x v="1"/>
    <n v="1193.0899999999999"/>
    <n v="2028.2529999999997"/>
  </r>
  <r>
    <s v="T04334"/>
    <d v="2024-03-11T00:00:00"/>
    <s v="C080"/>
    <s v="P010"/>
    <s v="S002"/>
    <n v="2"/>
    <n v="0.15"/>
    <x v="2"/>
    <s v="Grace Garcia"/>
    <x v="36"/>
    <x v="1"/>
    <x v="2"/>
    <n v="1194.1199999999999"/>
    <n v="2030.0039999999997"/>
  </r>
  <r>
    <s v="T04335"/>
    <d v="2025-05-27T00:00:00"/>
    <s v="C151"/>
    <s v="P041"/>
    <s v="S005"/>
    <n v="5"/>
    <n v="0.1"/>
    <x v="1"/>
    <s v="Dawn Fletcher"/>
    <x v="30"/>
    <x v="1"/>
    <x v="4"/>
    <n v="1635.01"/>
    <n v="7357.5450000000001"/>
  </r>
  <r>
    <s v="T04336"/>
    <d v="2025-08-29T00:00:00"/>
    <s v="C162"/>
    <s v="P024"/>
    <s v="S004"/>
    <n v="3"/>
    <n v="0.1"/>
    <x v="3"/>
    <s v="Jill Roach"/>
    <x v="14"/>
    <x v="1"/>
    <x v="1"/>
    <n v="1487.41"/>
    <n v="4016.0070000000005"/>
  </r>
  <r>
    <s v="T04337"/>
    <d v="2024-02-16T00:00:00"/>
    <s v="C157"/>
    <s v="P044"/>
    <s v="S005"/>
    <n v="5"/>
    <n v="0"/>
    <x v="3"/>
    <s v="Connie Terry"/>
    <x v="32"/>
    <x v="0"/>
    <x v="4"/>
    <n v="1286.55"/>
    <n v="6432.75"/>
  </r>
  <r>
    <s v="T04338"/>
    <d v="2024-05-25T00:00:00"/>
    <s v="C029"/>
    <s v="P008"/>
    <s v="S001"/>
    <n v="5"/>
    <n v="0.1"/>
    <x v="1"/>
    <s v="Tyler Levine"/>
    <x v="48"/>
    <x v="0"/>
    <x v="3"/>
    <n v="109.78"/>
    <n v="494.01"/>
  </r>
  <r>
    <s v="T04339"/>
    <d v="2024-11-04T00:00:00"/>
    <s v="C059"/>
    <s v="P018"/>
    <s v="S005"/>
    <n v="1"/>
    <n v="0.05"/>
    <x v="0"/>
    <s v="Scott Wyatt"/>
    <x v="19"/>
    <x v="1"/>
    <x v="4"/>
    <n v="1079.8900000000001"/>
    <n v="1025.8955000000001"/>
  </r>
  <r>
    <s v="T04340"/>
    <d v="2024-12-29T00:00:00"/>
    <s v="C042"/>
    <s v="P048"/>
    <s v="S001"/>
    <n v="1"/>
    <n v="0.15"/>
    <x v="0"/>
    <s v="Anna Andrews"/>
    <x v="11"/>
    <x v="0"/>
    <x v="3"/>
    <n v="1216.3599999999999"/>
    <n v="1033.9059999999999"/>
  </r>
  <r>
    <s v="T04341"/>
    <d v="2024-05-01T00:00:00"/>
    <s v="C074"/>
    <s v="P007"/>
    <s v="S002"/>
    <n v="3"/>
    <n v="0.15"/>
    <x v="0"/>
    <s v="Jesus Singh"/>
    <x v="18"/>
    <x v="1"/>
    <x v="2"/>
    <n v="1474.12"/>
    <n v="3759.0059999999994"/>
  </r>
  <r>
    <s v="T04342"/>
    <d v="2024-11-02T00:00:00"/>
    <s v="C189"/>
    <s v="P012"/>
    <s v="S005"/>
    <n v="5"/>
    <n v="0.1"/>
    <x v="1"/>
    <s v="Steve Flynn"/>
    <x v="38"/>
    <x v="1"/>
    <x v="4"/>
    <n v="1193.0899999999999"/>
    <n v="5368.9049999999997"/>
  </r>
  <r>
    <s v="T04343"/>
    <d v="2024-07-27T00:00:00"/>
    <s v="C150"/>
    <s v="P012"/>
    <s v="S003"/>
    <n v="4"/>
    <n v="0.05"/>
    <x v="0"/>
    <s v="Francis Hernandez"/>
    <x v="38"/>
    <x v="1"/>
    <x v="0"/>
    <n v="1193.0899999999999"/>
    <n v="4533.7419999999993"/>
  </r>
  <r>
    <s v="T04344"/>
    <d v="2025-04-01T00:00:00"/>
    <s v="C199"/>
    <s v="P003"/>
    <s v="S004"/>
    <n v="3"/>
    <n v="0.1"/>
    <x v="2"/>
    <s v="Juan Johnson"/>
    <x v="46"/>
    <x v="0"/>
    <x v="1"/>
    <n v="337.63"/>
    <n v="911.601"/>
  </r>
  <r>
    <s v="T04345"/>
    <d v="2024-05-12T00:00:00"/>
    <s v="C133"/>
    <s v="P045"/>
    <s v="S001"/>
    <n v="5"/>
    <n v="0"/>
    <x v="2"/>
    <s v="Yvette Roth"/>
    <x v="8"/>
    <x v="2"/>
    <x v="3"/>
    <n v="1879.08"/>
    <n v="9395.4"/>
  </r>
  <r>
    <s v="T04346"/>
    <d v="2025-04-09T00:00:00"/>
    <s v="C037"/>
    <s v="P006"/>
    <s v="S001"/>
    <n v="4"/>
    <n v="0.15"/>
    <x v="3"/>
    <s v="Miranda Nelson"/>
    <x v="35"/>
    <x v="2"/>
    <x v="3"/>
    <n v="318.05"/>
    <n v="1081.3700000000001"/>
  </r>
  <r>
    <s v="T04347"/>
    <d v="2025-02-08T00:00:00"/>
    <s v="C036"/>
    <s v="P019"/>
    <s v="S003"/>
    <n v="5"/>
    <n v="0.05"/>
    <x v="1"/>
    <s v="Michael Cervantes"/>
    <x v="26"/>
    <x v="1"/>
    <x v="0"/>
    <n v="1762.92"/>
    <n v="8373.8700000000008"/>
  </r>
  <r>
    <s v="T04348"/>
    <d v="2024-04-01T00:00:00"/>
    <s v="C021"/>
    <s v="P025"/>
    <s v="S004"/>
    <n v="1"/>
    <n v="0.1"/>
    <x v="0"/>
    <s v="Debbie Martin"/>
    <x v="33"/>
    <x v="0"/>
    <x v="1"/>
    <n v="429.15"/>
    <n v="386.23500000000001"/>
  </r>
  <r>
    <s v="T04349"/>
    <d v="2023-10-24T00:00:00"/>
    <s v="C068"/>
    <s v="P018"/>
    <s v="S003"/>
    <n v="1"/>
    <n v="0.1"/>
    <x v="2"/>
    <s v="Alexandra Montoya"/>
    <x v="19"/>
    <x v="1"/>
    <x v="0"/>
    <n v="1079.8900000000001"/>
    <n v="971.90100000000007"/>
  </r>
  <r>
    <s v="T04350"/>
    <d v="2023-09-17T00:00:00"/>
    <s v="C109"/>
    <s v="P044"/>
    <s v="S004"/>
    <n v="2"/>
    <n v="0.15"/>
    <x v="3"/>
    <s v="Austin Hogan"/>
    <x v="32"/>
    <x v="0"/>
    <x v="1"/>
    <n v="1286.55"/>
    <n v="2187.1349999999998"/>
  </r>
  <r>
    <s v="T04351"/>
    <d v="2025-06-28T00:00:00"/>
    <s v="C022"/>
    <s v="P013"/>
    <s v="S002"/>
    <n v="2"/>
    <n v="0"/>
    <x v="2"/>
    <s v="Megan Velasquez"/>
    <x v="21"/>
    <x v="0"/>
    <x v="2"/>
    <n v="1134.8"/>
    <n v="2269.6"/>
  </r>
  <r>
    <s v="T04352"/>
    <d v="2024-05-05T00:00:00"/>
    <s v="C136"/>
    <s v="P003"/>
    <s v="S005"/>
    <n v="3"/>
    <n v="0.15"/>
    <x v="3"/>
    <s v="Amanda Garcia"/>
    <x v="46"/>
    <x v="0"/>
    <x v="4"/>
    <n v="337.63"/>
    <n v="860.95650000000001"/>
  </r>
  <r>
    <s v="T04353"/>
    <d v="2023-11-19T00:00:00"/>
    <s v="C199"/>
    <s v="P034"/>
    <s v="S001"/>
    <n v="5"/>
    <n v="0.05"/>
    <x v="1"/>
    <s v="Juan Johnson"/>
    <x v="12"/>
    <x v="1"/>
    <x v="3"/>
    <n v="428.05"/>
    <n v="2033.2375"/>
  </r>
  <r>
    <s v="T04354"/>
    <d v="2024-10-22T00:00:00"/>
    <s v="C138"/>
    <s v="P020"/>
    <s v="S001"/>
    <n v="3"/>
    <n v="0.1"/>
    <x v="3"/>
    <s v="Breanna Moore"/>
    <x v="24"/>
    <x v="0"/>
    <x v="3"/>
    <n v="323.92"/>
    <n v="874.58400000000006"/>
  </r>
  <r>
    <s v="T04355"/>
    <d v="2023-12-21T00:00:00"/>
    <s v="C006"/>
    <s v="P018"/>
    <s v="S005"/>
    <n v="5"/>
    <n v="0.05"/>
    <x v="3"/>
    <s v="Danny Moore"/>
    <x v="19"/>
    <x v="1"/>
    <x v="4"/>
    <n v="1079.8900000000001"/>
    <n v="5129.4775000000009"/>
  </r>
  <r>
    <s v="T04356"/>
    <d v="2024-11-20T00:00:00"/>
    <s v="C114"/>
    <s v="P021"/>
    <s v="S004"/>
    <n v="5"/>
    <n v="0"/>
    <x v="0"/>
    <s v="Miranda Rodriguez"/>
    <x v="23"/>
    <x v="2"/>
    <x v="1"/>
    <n v="1227.24"/>
    <n v="6136.2"/>
  </r>
  <r>
    <s v="T04357"/>
    <d v="2024-07-12T00:00:00"/>
    <s v="C081"/>
    <s v="P034"/>
    <s v="S002"/>
    <n v="5"/>
    <n v="0.15"/>
    <x v="1"/>
    <s v="Sarah Reynolds"/>
    <x v="12"/>
    <x v="1"/>
    <x v="2"/>
    <n v="428.05"/>
    <n v="1819.2124999999999"/>
  </r>
  <r>
    <s v="T04358"/>
    <d v="2025-07-06T00:00:00"/>
    <s v="C150"/>
    <s v="P017"/>
    <s v="S002"/>
    <n v="2"/>
    <n v="0.1"/>
    <x v="3"/>
    <s v="Francis Hernandez"/>
    <x v="43"/>
    <x v="1"/>
    <x v="2"/>
    <n v="1246.1099999999999"/>
    <n v="2242.998"/>
  </r>
  <r>
    <s v="T04359"/>
    <d v="2024-12-04T00:00:00"/>
    <s v="C161"/>
    <s v="P034"/>
    <s v="S003"/>
    <n v="5"/>
    <n v="0"/>
    <x v="1"/>
    <s v="Michael Perez"/>
    <x v="12"/>
    <x v="1"/>
    <x v="0"/>
    <n v="428.05"/>
    <n v="2140.25"/>
  </r>
  <r>
    <s v="T04360"/>
    <d v="2023-11-20T00:00:00"/>
    <s v="C192"/>
    <s v="P027"/>
    <s v="S001"/>
    <n v="3"/>
    <n v="0.05"/>
    <x v="2"/>
    <s v="James Wilson"/>
    <x v="34"/>
    <x v="1"/>
    <x v="3"/>
    <n v="1272.23"/>
    <n v="3625.8554999999997"/>
  </r>
  <r>
    <s v="T04361"/>
    <d v="2025-05-13T00:00:00"/>
    <s v="C173"/>
    <s v="P049"/>
    <s v="S004"/>
    <n v="1"/>
    <n v="0"/>
    <x v="3"/>
    <s v="Lisa Ruiz"/>
    <x v="29"/>
    <x v="0"/>
    <x v="1"/>
    <n v="388.26"/>
    <n v="388.26"/>
  </r>
  <r>
    <s v="T04362"/>
    <d v="2024-04-22T00:00:00"/>
    <s v="C148"/>
    <s v="P026"/>
    <s v="S002"/>
    <n v="5"/>
    <n v="0"/>
    <x v="3"/>
    <s v="John Foster"/>
    <x v="15"/>
    <x v="2"/>
    <x v="2"/>
    <n v="1015.76"/>
    <n v="5078.8"/>
  </r>
  <r>
    <s v="T04363"/>
    <d v="2024-11-13T00:00:00"/>
    <s v="C064"/>
    <s v="P015"/>
    <s v="S005"/>
    <n v="2"/>
    <n v="0.15"/>
    <x v="0"/>
    <s v="Amanda Hoover"/>
    <x v="40"/>
    <x v="0"/>
    <x v="4"/>
    <n v="270.45"/>
    <n v="459.76499999999999"/>
  </r>
  <r>
    <s v="T04364"/>
    <d v="2024-08-26T00:00:00"/>
    <s v="C035"/>
    <s v="P040"/>
    <s v="S003"/>
    <n v="3"/>
    <n v="0"/>
    <x v="2"/>
    <s v="Kimberly King"/>
    <x v="37"/>
    <x v="1"/>
    <x v="0"/>
    <n v="1745.61"/>
    <n v="5236.83"/>
  </r>
  <r>
    <s v="T04365"/>
    <d v="2024-12-09T00:00:00"/>
    <s v="C186"/>
    <s v="P035"/>
    <s v="S004"/>
    <n v="1"/>
    <n v="0"/>
    <x v="0"/>
    <s v="Vicki Guzman"/>
    <x v="7"/>
    <x v="1"/>
    <x v="1"/>
    <n v="1562.43"/>
    <n v="1562.43"/>
  </r>
  <r>
    <s v="T04366"/>
    <d v="2024-11-09T00:00:00"/>
    <s v="C137"/>
    <s v="P008"/>
    <s v="S001"/>
    <n v="5"/>
    <n v="0"/>
    <x v="3"/>
    <s v="Gary Lopez"/>
    <x v="48"/>
    <x v="0"/>
    <x v="3"/>
    <n v="109.78"/>
    <n v="548.9"/>
  </r>
  <r>
    <s v="T04367"/>
    <d v="2024-12-17T00:00:00"/>
    <s v="C073"/>
    <s v="P045"/>
    <s v="S003"/>
    <n v="1"/>
    <n v="0.05"/>
    <x v="0"/>
    <s v="Carl Armstrong"/>
    <x v="8"/>
    <x v="2"/>
    <x v="0"/>
    <n v="1879.08"/>
    <n v="1785.1259999999997"/>
  </r>
  <r>
    <s v="T04368"/>
    <d v="2025-09-02T00:00:00"/>
    <s v="C055"/>
    <s v="P027"/>
    <s v="S004"/>
    <n v="2"/>
    <n v="0.15"/>
    <x v="3"/>
    <s v="Deborah Moody"/>
    <x v="34"/>
    <x v="1"/>
    <x v="1"/>
    <n v="1272.23"/>
    <n v="2162.7910000000002"/>
  </r>
  <r>
    <s v="T04369"/>
    <d v="2024-05-17T00:00:00"/>
    <s v="C088"/>
    <s v="P047"/>
    <s v="S005"/>
    <n v="4"/>
    <n v="0.05"/>
    <x v="1"/>
    <s v="Brenda Costa"/>
    <x v="28"/>
    <x v="1"/>
    <x v="4"/>
    <n v="1197.18"/>
    <n v="4549.2839999999997"/>
  </r>
  <r>
    <s v="T04370"/>
    <d v="2025-03-14T00:00:00"/>
    <s v="C194"/>
    <s v="P019"/>
    <s v="S004"/>
    <n v="2"/>
    <n v="0.15"/>
    <x v="3"/>
    <s v="Ann West"/>
    <x v="26"/>
    <x v="1"/>
    <x v="1"/>
    <n v="1762.92"/>
    <n v="2996.9639999999999"/>
  </r>
  <r>
    <s v="T04371"/>
    <d v="2024-09-13T00:00:00"/>
    <s v="C056"/>
    <s v="P050"/>
    <s v="S003"/>
    <n v="5"/>
    <n v="0.15"/>
    <x v="2"/>
    <s v="Carl Wyatt"/>
    <x v="3"/>
    <x v="0"/>
    <x v="0"/>
    <n v="1044.6400000000001"/>
    <n v="4439.72"/>
  </r>
  <r>
    <s v="T04372"/>
    <d v="2024-06-05T00:00:00"/>
    <s v="C054"/>
    <s v="P008"/>
    <s v="S003"/>
    <n v="2"/>
    <n v="0"/>
    <x v="3"/>
    <s v="Crystal Johnson"/>
    <x v="48"/>
    <x v="0"/>
    <x v="0"/>
    <n v="109.78"/>
    <n v="219.56"/>
  </r>
  <r>
    <s v="T04373"/>
    <d v="2023-12-03T00:00:00"/>
    <s v="C161"/>
    <s v="P013"/>
    <s v="S003"/>
    <n v="5"/>
    <n v="0.1"/>
    <x v="1"/>
    <s v="Michael Perez"/>
    <x v="21"/>
    <x v="0"/>
    <x v="0"/>
    <n v="1134.8"/>
    <n v="5106.6000000000004"/>
  </r>
  <r>
    <s v="T04374"/>
    <d v="2024-08-13T00:00:00"/>
    <s v="C024"/>
    <s v="P037"/>
    <s v="S003"/>
    <n v="3"/>
    <n v="0.15"/>
    <x v="2"/>
    <s v="Molly Murray"/>
    <x v="27"/>
    <x v="1"/>
    <x v="0"/>
    <n v="1952.65"/>
    <n v="4979.2575000000006"/>
  </r>
  <r>
    <s v="T04375"/>
    <d v="2025-08-10T00:00:00"/>
    <s v="C023"/>
    <s v="P034"/>
    <s v="S003"/>
    <n v="4"/>
    <n v="0.15"/>
    <x v="2"/>
    <s v="Mark Martinez"/>
    <x v="12"/>
    <x v="1"/>
    <x v="0"/>
    <n v="428.05"/>
    <n v="1455.37"/>
  </r>
  <r>
    <s v="T04376"/>
    <d v="2025-06-19T00:00:00"/>
    <s v="C150"/>
    <s v="P023"/>
    <s v="S004"/>
    <n v="5"/>
    <n v="0.05"/>
    <x v="0"/>
    <s v="Francis Hernandez"/>
    <x v="20"/>
    <x v="0"/>
    <x v="1"/>
    <n v="1878.47"/>
    <n v="8922.7325000000001"/>
  </r>
  <r>
    <s v="T04377"/>
    <d v="2024-12-25T00:00:00"/>
    <s v="C089"/>
    <s v="P042"/>
    <s v="S001"/>
    <n v="1"/>
    <n v="0.15"/>
    <x v="0"/>
    <s v="William Warner"/>
    <x v="10"/>
    <x v="0"/>
    <x v="3"/>
    <n v="453.62"/>
    <n v="385.577"/>
  </r>
  <r>
    <s v="T04378"/>
    <d v="2024-08-17T00:00:00"/>
    <s v="C064"/>
    <s v="P048"/>
    <s v="S004"/>
    <n v="5"/>
    <n v="0"/>
    <x v="2"/>
    <s v="Amanda Hoover"/>
    <x v="11"/>
    <x v="0"/>
    <x v="1"/>
    <n v="1216.3599999999999"/>
    <n v="6081.7999999999993"/>
  </r>
  <r>
    <s v="T04379"/>
    <d v="2025-01-05T00:00:00"/>
    <s v="C131"/>
    <s v="P030"/>
    <s v="S002"/>
    <n v="4"/>
    <n v="0.15"/>
    <x v="2"/>
    <s v="Denise Jackson"/>
    <x v="1"/>
    <x v="0"/>
    <x v="2"/>
    <n v="29.24"/>
    <n v="99.415999999999997"/>
  </r>
  <r>
    <s v="T04380"/>
    <d v="2024-09-11T00:00:00"/>
    <s v="C117"/>
    <s v="P017"/>
    <s v="S001"/>
    <n v="2"/>
    <n v="0.15"/>
    <x v="1"/>
    <s v="Timothy Beck"/>
    <x v="43"/>
    <x v="1"/>
    <x v="3"/>
    <n v="1246.1099999999999"/>
    <n v="2118.3869999999997"/>
  </r>
  <r>
    <s v="T04381"/>
    <d v="2024-06-15T00:00:00"/>
    <s v="C105"/>
    <s v="P012"/>
    <s v="S001"/>
    <n v="3"/>
    <n v="0.05"/>
    <x v="0"/>
    <s v="Kenneth Berg"/>
    <x v="38"/>
    <x v="1"/>
    <x v="3"/>
    <n v="1193.0899999999999"/>
    <n v="3400.3064999999992"/>
  </r>
  <r>
    <s v="T04382"/>
    <d v="2023-10-01T00:00:00"/>
    <s v="C046"/>
    <s v="P039"/>
    <s v="S005"/>
    <n v="1"/>
    <n v="0.15"/>
    <x v="0"/>
    <s v="Dennis Poole"/>
    <x v="22"/>
    <x v="0"/>
    <x v="4"/>
    <n v="540.94000000000005"/>
    <n v="459.79900000000004"/>
  </r>
  <r>
    <s v="T04383"/>
    <d v="2023-10-21T00:00:00"/>
    <s v="C066"/>
    <s v="P033"/>
    <s v="S001"/>
    <n v="4"/>
    <n v="0"/>
    <x v="3"/>
    <s v="Jason Jenkins"/>
    <x v="16"/>
    <x v="0"/>
    <x v="3"/>
    <n v="1798.97"/>
    <n v="7195.88"/>
  </r>
  <r>
    <s v="T04384"/>
    <d v="2025-02-23T00:00:00"/>
    <s v="C027"/>
    <s v="P013"/>
    <s v="S005"/>
    <n v="4"/>
    <n v="0.1"/>
    <x v="2"/>
    <s v="Jacqueline Martin"/>
    <x v="21"/>
    <x v="0"/>
    <x v="4"/>
    <n v="1134.8"/>
    <n v="4085.2799999999997"/>
  </r>
  <r>
    <s v="T04385"/>
    <d v="2024-04-30T00:00:00"/>
    <s v="C086"/>
    <s v="P040"/>
    <s v="S005"/>
    <n v="3"/>
    <n v="0.15"/>
    <x v="0"/>
    <s v="Lawrence Hunter"/>
    <x v="37"/>
    <x v="1"/>
    <x v="4"/>
    <n v="1745.61"/>
    <n v="4451.3054999999995"/>
  </r>
  <r>
    <s v="T04386"/>
    <d v="2024-09-06T00:00:00"/>
    <s v="C011"/>
    <s v="P043"/>
    <s v="S003"/>
    <n v="1"/>
    <n v="0"/>
    <x v="2"/>
    <s v="Haley Williams"/>
    <x v="45"/>
    <x v="0"/>
    <x v="0"/>
    <n v="564.41999999999996"/>
    <n v="564.41999999999996"/>
  </r>
  <r>
    <s v="T04387"/>
    <d v="2024-07-13T00:00:00"/>
    <s v="C172"/>
    <s v="P002"/>
    <s v="S005"/>
    <n v="5"/>
    <n v="0"/>
    <x v="2"/>
    <s v="Michelle Smith"/>
    <x v="2"/>
    <x v="1"/>
    <x v="4"/>
    <n v="818.76"/>
    <n v="4093.8"/>
  </r>
  <r>
    <s v="T04388"/>
    <d v="2025-02-17T00:00:00"/>
    <s v="C126"/>
    <s v="P028"/>
    <s v="S002"/>
    <n v="1"/>
    <n v="0.1"/>
    <x v="2"/>
    <s v="Monique Johnson"/>
    <x v="25"/>
    <x v="1"/>
    <x v="2"/>
    <n v="673.78"/>
    <n v="606.40200000000004"/>
  </r>
  <r>
    <s v="T04389"/>
    <d v="2023-12-11T00:00:00"/>
    <s v="C125"/>
    <s v="P012"/>
    <s v="S004"/>
    <n v="2"/>
    <n v="0.15"/>
    <x v="2"/>
    <s v="Kimberly Parker"/>
    <x v="38"/>
    <x v="1"/>
    <x v="1"/>
    <n v="1193.0899999999999"/>
    <n v="2028.2529999999997"/>
  </r>
  <r>
    <s v="T04390"/>
    <d v="2024-10-18T00:00:00"/>
    <s v="C131"/>
    <s v="P006"/>
    <s v="S001"/>
    <n v="3"/>
    <n v="0.1"/>
    <x v="0"/>
    <s v="Denise Jackson"/>
    <x v="35"/>
    <x v="2"/>
    <x v="3"/>
    <n v="318.05"/>
    <n v="858.73500000000013"/>
  </r>
  <r>
    <s v="T04391"/>
    <d v="2024-04-05T00:00:00"/>
    <s v="C117"/>
    <s v="P015"/>
    <s v="S001"/>
    <n v="5"/>
    <n v="0.05"/>
    <x v="0"/>
    <s v="Timothy Beck"/>
    <x v="40"/>
    <x v="0"/>
    <x v="3"/>
    <n v="270.45"/>
    <n v="1284.6375"/>
  </r>
  <r>
    <s v="T04392"/>
    <d v="2025-06-25T00:00:00"/>
    <s v="C055"/>
    <s v="P034"/>
    <s v="S001"/>
    <n v="5"/>
    <n v="0.15"/>
    <x v="3"/>
    <s v="Deborah Moody"/>
    <x v="12"/>
    <x v="1"/>
    <x v="3"/>
    <n v="428.05"/>
    <n v="1819.2124999999999"/>
  </r>
  <r>
    <s v="T04393"/>
    <d v="2023-10-28T00:00:00"/>
    <s v="C108"/>
    <s v="P009"/>
    <s v="S004"/>
    <n v="4"/>
    <n v="0.1"/>
    <x v="3"/>
    <s v="Samantha Hill"/>
    <x v="5"/>
    <x v="2"/>
    <x v="1"/>
    <n v="123.19"/>
    <n v="443.48399999999998"/>
  </r>
  <r>
    <s v="T04394"/>
    <d v="2024-06-11T00:00:00"/>
    <s v="C146"/>
    <s v="P035"/>
    <s v="S002"/>
    <n v="2"/>
    <n v="0.1"/>
    <x v="1"/>
    <s v="John Johnson"/>
    <x v="7"/>
    <x v="1"/>
    <x v="2"/>
    <n v="1562.43"/>
    <n v="2812.3740000000003"/>
  </r>
  <r>
    <s v="T04395"/>
    <d v="2024-09-28T00:00:00"/>
    <s v="C196"/>
    <s v="P030"/>
    <s v="S003"/>
    <n v="3"/>
    <n v="0.1"/>
    <x v="3"/>
    <s v="James Noble"/>
    <x v="1"/>
    <x v="0"/>
    <x v="0"/>
    <n v="29.24"/>
    <n v="78.948000000000008"/>
  </r>
  <r>
    <s v="T04396"/>
    <d v="2025-08-08T00:00:00"/>
    <s v="C181"/>
    <s v="P034"/>
    <s v="S002"/>
    <n v="3"/>
    <n v="0.15"/>
    <x v="2"/>
    <s v="Brittany Oneal"/>
    <x v="12"/>
    <x v="1"/>
    <x v="2"/>
    <n v="428.05"/>
    <n v="1091.5275000000001"/>
  </r>
  <r>
    <s v="T04397"/>
    <d v="2025-02-28T00:00:00"/>
    <s v="C126"/>
    <s v="P022"/>
    <s v="S001"/>
    <n v="4"/>
    <n v="0.1"/>
    <x v="2"/>
    <s v="Monique Johnson"/>
    <x v="9"/>
    <x v="2"/>
    <x v="3"/>
    <n v="25.57"/>
    <n v="92.052000000000007"/>
  </r>
  <r>
    <s v="T04398"/>
    <d v="2025-08-29T00:00:00"/>
    <s v="C006"/>
    <s v="P011"/>
    <s v="S004"/>
    <n v="5"/>
    <n v="0"/>
    <x v="3"/>
    <s v="Danny Moore"/>
    <x v="17"/>
    <x v="1"/>
    <x v="1"/>
    <n v="248.57"/>
    <n v="1242.8499999999999"/>
  </r>
  <r>
    <s v="T04399"/>
    <d v="2025-02-07T00:00:00"/>
    <s v="C194"/>
    <s v="P013"/>
    <s v="S004"/>
    <n v="3"/>
    <n v="0"/>
    <x v="2"/>
    <s v="Ann West"/>
    <x v="21"/>
    <x v="0"/>
    <x v="1"/>
    <n v="1134.8"/>
    <n v="3404.3999999999996"/>
  </r>
  <r>
    <s v="T04400"/>
    <d v="2025-06-15T00:00:00"/>
    <s v="C079"/>
    <s v="P047"/>
    <s v="S002"/>
    <n v="5"/>
    <n v="0"/>
    <x v="1"/>
    <s v="Donald Marsh"/>
    <x v="28"/>
    <x v="1"/>
    <x v="2"/>
    <n v="1197.18"/>
    <n v="5985.9000000000005"/>
  </r>
  <r>
    <s v="T04401"/>
    <d v="2025-02-25T00:00:00"/>
    <s v="C053"/>
    <s v="P045"/>
    <s v="S005"/>
    <n v="4"/>
    <n v="0.15"/>
    <x v="0"/>
    <s v="Felicia Morgan"/>
    <x v="8"/>
    <x v="2"/>
    <x v="4"/>
    <n v="1879.08"/>
    <n v="6388.8719999999994"/>
  </r>
  <r>
    <s v="T04402"/>
    <d v="2024-11-09T00:00:00"/>
    <s v="C132"/>
    <s v="P016"/>
    <s v="S002"/>
    <n v="2"/>
    <n v="0.05"/>
    <x v="1"/>
    <s v="Jared Ochoa"/>
    <x v="13"/>
    <x v="0"/>
    <x v="2"/>
    <n v="1858.75"/>
    <n v="3531.625"/>
  </r>
  <r>
    <s v="T04403"/>
    <d v="2025-04-26T00:00:00"/>
    <s v="C073"/>
    <s v="P027"/>
    <s v="S004"/>
    <n v="4"/>
    <n v="0"/>
    <x v="0"/>
    <s v="Carl Armstrong"/>
    <x v="34"/>
    <x v="1"/>
    <x v="1"/>
    <n v="1272.23"/>
    <n v="5088.92"/>
  </r>
  <r>
    <s v="T04404"/>
    <d v="2024-02-20T00:00:00"/>
    <s v="C025"/>
    <s v="P033"/>
    <s v="S002"/>
    <n v="1"/>
    <n v="0"/>
    <x v="3"/>
    <s v="Cheryl Gilbert"/>
    <x v="16"/>
    <x v="0"/>
    <x v="2"/>
    <n v="1798.97"/>
    <n v="1798.97"/>
  </r>
  <r>
    <s v="T04405"/>
    <d v="2023-10-18T00:00:00"/>
    <s v="C090"/>
    <s v="P002"/>
    <s v="S002"/>
    <n v="5"/>
    <n v="0.15"/>
    <x v="3"/>
    <s v="Carrie Peterson"/>
    <x v="2"/>
    <x v="1"/>
    <x v="2"/>
    <n v="818.76"/>
    <n v="3479.73"/>
  </r>
  <r>
    <s v="T04406"/>
    <d v="2024-10-06T00:00:00"/>
    <s v="C048"/>
    <s v="P008"/>
    <s v="S005"/>
    <n v="2"/>
    <n v="0.15"/>
    <x v="2"/>
    <s v="Alexis Crane"/>
    <x v="48"/>
    <x v="0"/>
    <x v="4"/>
    <n v="109.78"/>
    <n v="186.626"/>
  </r>
  <r>
    <s v="T04407"/>
    <d v="2024-10-24T00:00:00"/>
    <s v="C090"/>
    <s v="P009"/>
    <s v="S003"/>
    <n v="2"/>
    <n v="0"/>
    <x v="0"/>
    <s v="Carrie Peterson"/>
    <x v="5"/>
    <x v="2"/>
    <x v="0"/>
    <n v="123.19"/>
    <n v="246.38"/>
  </r>
  <r>
    <s v="T04408"/>
    <d v="2025-06-22T00:00:00"/>
    <s v="C018"/>
    <s v="P017"/>
    <s v="S002"/>
    <n v="2"/>
    <n v="0"/>
    <x v="3"/>
    <s v="Breanna Davis"/>
    <x v="43"/>
    <x v="1"/>
    <x v="2"/>
    <n v="1246.1099999999999"/>
    <n v="2492.2199999999998"/>
  </r>
  <r>
    <s v="T04409"/>
    <d v="2024-12-26T00:00:00"/>
    <s v="C186"/>
    <s v="P018"/>
    <s v="S003"/>
    <n v="4"/>
    <n v="0.15"/>
    <x v="2"/>
    <s v="Vicki Guzman"/>
    <x v="19"/>
    <x v="1"/>
    <x v="0"/>
    <n v="1079.8900000000001"/>
    <n v="3671.6260000000002"/>
  </r>
  <r>
    <s v="T04410"/>
    <d v="2024-10-05T00:00:00"/>
    <s v="C002"/>
    <s v="P029"/>
    <s v="S003"/>
    <n v="3"/>
    <n v="0"/>
    <x v="3"/>
    <s v="Michael Miller"/>
    <x v="47"/>
    <x v="0"/>
    <x v="0"/>
    <n v="1485.05"/>
    <n v="4455.1499999999996"/>
  </r>
  <r>
    <s v="T04411"/>
    <d v="2025-04-01T00:00:00"/>
    <s v="C015"/>
    <s v="P015"/>
    <s v="S004"/>
    <n v="5"/>
    <n v="0.1"/>
    <x v="3"/>
    <s v="Matthew Molina"/>
    <x v="40"/>
    <x v="0"/>
    <x v="1"/>
    <n v="270.45"/>
    <n v="1217.0250000000001"/>
  </r>
  <r>
    <s v="T04412"/>
    <d v="2025-09-05T00:00:00"/>
    <s v="C145"/>
    <s v="P027"/>
    <s v="S002"/>
    <n v="2"/>
    <n v="0.1"/>
    <x v="0"/>
    <s v="Paige Osborne"/>
    <x v="34"/>
    <x v="1"/>
    <x v="2"/>
    <n v="1272.23"/>
    <n v="2290.0140000000001"/>
  </r>
  <r>
    <s v="T04413"/>
    <d v="2023-12-31T00:00:00"/>
    <s v="C200"/>
    <s v="P008"/>
    <s v="S002"/>
    <n v="5"/>
    <n v="0"/>
    <x v="3"/>
    <s v="Ronald Haley"/>
    <x v="48"/>
    <x v="0"/>
    <x v="2"/>
    <n v="109.78"/>
    <n v="548.9"/>
  </r>
  <r>
    <s v="T04414"/>
    <d v="2025-02-13T00:00:00"/>
    <s v="C160"/>
    <s v="P004"/>
    <s v="S004"/>
    <n v="5"/>
    <n v="0.1"/>
    <x v="3"/>
    <s v="Meagan Macdonald"/>
    <x v="49"/>
    <x v="0"/>
    <x v="1"/>
    <n v="1853.77"/>
    <n v="8341.9650000000001"/>
  </r>
  <r>
    <s v="T04415"/>
    <d v="2024-09-03T00:00:00"/>
    <s v="C163"/>
    <s v="P020"/>
    <s v="S002"/>
    <n v="2"/>
    <n v="0.1"/>
    <x v="1"/>
    <s v="Erin Rogers"/>
    <x v="24"/>
    <x v="0"/>
    <x v="2"/>
    <n v="323.92"/>
    <n v="583.05600000000004"/>
  </r>
  <r>
    <s v="T04416"/>
    <d v="2023-11-19T00:00:00"/>
    <s v="C008"/>
    <s v="P003"/>
    <s v="S005"/>
    <n v="5"/>
    <n v="0.15"/>
    <x v="2"/>
    <s v="Isaiah Williams"/>
    <x v="46"/>
    <x v="0"/>
    <x v="4"/>
    <n v="337.63"/>
    <n v="1434.9275"/>
  </r>
  <r>
    <s v="T04417"/>
    <d v="2024-08-21T00:00:00"/>
    <s v="C191"/>
    <s v="P001"/>
    <s v="S004"/>
    <n v="3"/>
    <n v="0.15"/>
    <x v="2"/>
    <s v="Karen Quinn"/>
    <x v="31"/>
    <x v="1"/>
    <x v="1"/>
    <n v="1673.69"/>
    <n v="4267.9094999999998"/>
  </r>
  <r>
    <s v="T04418"/>
    <d v="2024-05-28T00:00:00"/>
    <s v="C047"/>
    <s v="P028"/>
    <s v="S002"/>
    <n v="3"/>
    <n v="0"/>
    <x v="1"/>
    <s v="Mary Decker"/>
    <x v="25"/>
    <x v="1"/>
    <x v="2"/>
    <n v="673.78"/>
    <n v="2021.34"/>
  </r>
  <r>
    <s v="T04419"/>
    <d v="2024-11-04T00:00:00"/>
    <s v="C077"/>
    <s v="P004"/>
    <s v="S002"/>
    <n v="2"/>
    <n v="0.1"/>
    <x v="3"/>
    <s v="Matthew Juarez"/>
    <x v="49"/>
    <x v="0"/>
    <x v="2"/>
    <n v="1853.77"/>
    <n v="3336.7860000000001"/>
  </r>
  <r>
    <s v="T04420"/>
    <d v="2025-04-26T00:00:00"/>
    <s v="C068"/>
    <s v="P035"/>
    <s v="S002"/>
    <n v="2"/>
    <n v="0.15"/>
    <x v="3"/>
    <s v="Alexandra Montoya"/>
    <x v="7"/>
    <x v="1"/>
    <x v="2"/>
    <n v="1562.43"/>
    <n v="2656.1309999999999"/>
  </r>
  <r>
    <s v="T04421"/>
    <d v="2023-12-11T00:00:00"/>
    <s v="C028"/>
    <s v="P029"/>
    <s v="S005"/>
    <n v="5"/>
    <n v="0"/>
    <x v="3"/>
    <s v="John Carr"/>
    <x v="47"/>
    <x v="0"/>
    <x v="4"/>
    <n v="1485.05"/>
    <n v="7425.25"/>
  </r>
  <r>
    <s v="T04422"/>
    <d v="2025-02-02T00:00:00"/>
    <s v="C050"/>
    <s v="P021"/>
    <s v="S003"/>
    <n v="4"/>
    <n v="0.15"/>
    <x v="3"/>
    <s v="Kelly Mcmillan"/>
    <x v="23"/>
    <x v="2"/>
    <x v="0"/>
    <n v="1227.24"/>
    <n v="4172.616"/>
  </r>
  <r>
    <s v="T04423"/>
    <d v="2025-06-28T00:00:00"/>
    <s v="C177"/>
    <s v="P039"/>
    <s v="S004"/>
    <n v="2"/>
    <n v="0"/>
    <x v="1"/>
    <s v="Anthony Gould"/>
    <x v="22"/>
    <x v="0"/>
    <x v="1"/>
    <n v="540.94000000000005"/>
    <n v="1081.8800000000001"/>
  </r>
  <r>
    <s v="T04424"/>
    <d v="2025-08-04T00:00:00"/>
    <s v="C004"/>
    <s v="P050"/>
    <s v="S002"/>
    <n v="5"/>
    <n v="0.15"/>
    <x v="1"/>
    <s v="Joseph Ward"/>
    <x v="3"/>
    <x v="0"/>
    <x v="2"/>
    <n v="1044.6400000000001"/>
    <n v="4439.72"/>
  </r>
  <r>
    <s v="T04425"/>
    <d v="2024-11-15T00:00:00"/>
    <s v="C178"/>
    <s v="P033"/>
    <s v="S002"/>
    <n v="1"/>
    <n v="0.05"/>
    <x v="3"/>
    <s v="Mark Mcdonald"/>
    <x v="16"/>
    <x v="0"/>
    <x v="2"/>
    <n v="1798.97"/>
    <n v="1709.0214999999998"/>
  </r>
  <r>
    <s v="T04426"/>
    <d v="2025-08-11T00:00:00"/>
    <s v="C009"/>
    <s v="P006"/>
    <s v="S005"/>
    <n v="3"/>
    <n v="0.05"/>
    <x v="1"/>
    <s v="Richard Pacheco"/>
    <x v="35"/>
    <x v="2"/>
    <x v="4"/>
    <n v="318.05"/>
    <n v="906.4425"/>
  </r>
  <r>
    <s v="T04427"/>
    <d v="2024-11-15T00:00:00"/>
    <s v="C107"/>
    <s v="P028"/>
    <s v="S002"/>
    <n v="1"/>
    <n v="0.1"/>
    <x v="2"/>
    <s v="Victoria Hansen"/>
    <x v="25"/>
    <x v="1"/>
    <x v="2"/>
    <n v="673.78"/>
    <n v="606.40200000000004"/>
  </r>
  <r>
    <s v="T04428"/>
    <d v="2024-02-11T00:00:00"/>
    <s v="C105"/>
    <s v="P013"/>
    <s v="S005"/>
    <n v="5"/>
    <n v="0"/>
    <x v="3"/>
    <s v="Kenneth Berg"/>
    <x v="21"/>
    <x v="0"/>
    <x v="4"/>
    <n v="1134.8"/>
    <n v="5674"/>
  </r>
  <r>
    <s v="T04429"/>
    <d v="2024-11-21T00:00:00"/>
    <s v="C087"/>
    <s v="P050"/>
    <s v="S004"/>
    <n v="4"/>
    <n v="0.1"/>
    <x v="3"/>
    <s v="Laurie Mason"/>
    <x v="3"/>
    <x v="0"/>
    <x v="1"/>
    <n v="1044.6400000000001"/>
    <n v="3760.7040000000006"/>
  </r>
  <r>
    <s v="T04430"/>
    <d v="2025-08-26T00:00:00"/>
    <s v="C016"/>
    <s v="P009"/>
    <s v="S001"/>
    <n v="4"/>
    <n v="0.05"/>
    <x v="2"/>
    <s v="Miguel Johnson"/>
    <x v="5"/>
    <x v="2"/>
    <x v="3"/>
    <n v="123.19"/>
    <n v="468.12199999999996"/>
  </r>
  <r>
    <s v="T04431"/>
    <d v="2023-12-15T00:00:00"/>
    <s v="C086"/>
    <s v="P028"/>
    <s v="S005"/>
    <n v="1"/>
    <n v="0"/>
    <x v="1"/>
    <s v="Lawrence Hunter"/>
    <x v="25"/>
    <x v="1"/>
    <x v="4"/>
    <n v="673.78"/>
    <n v="673.78"/>
  </r>
  <r>
    <s v="T04432"/>
    <d v="2024-06-26T00:00:00"/>
    <s v="C056"/>
    <s v="P042"/>
    <s v="S005"/>
    <n v="4"/>
    <n v="0"/>
    <x v="2"/>
    <s v="Carl Wyatt"/>
    <x v="10"/>
    <x v="0"/>
    <x v="4"/>
    <n v="453.62"/>
    <n v="1814.48"/>
  </r>
  <r>
    <s v="T04433"/>
    <d v="2024-08-08T00:00:00"/>
    <s v="C193"/>
    <s v="P040"/>
    <s v="S001"/>
    <n v="4"/>
    <n v="0.05"/>
    <x v="2"/>
    <s v="Donald Meza"/>
    <x v="37"/>
    <x v="1"/>
    <x v="3"/>
    <n v="1745.61"/>
    <n v="6633.3179999999993"/>
  </r>
  <r>
    <s v="T04434"/>
    <d v="2024-08-26T00:00:00"/>
    <s v="C024"/>
    <s v="P031"/>
    <s v="S001"/>
    <n v="2"/>
    <n v="0.15"/>
    <x v="3"/>
    <s v="Molly Murray"/>
    <x v="39"/>
    <x v="2"/>
    <x v="3"/>
    <n v="1095.72"/>
    <n v="1862.7239999999999"/>
  </r>
  <r>
    <s v="T04435"/>
    <d v="2025-08-26T00:00:00"/>
    <s v="C191"/>
    <s v="P016"/>
    <s v="S005"/>
    <n v="4"/>
    <n v="0"/>
    <x v="1"/>
    <s v="Karen Quinn"/>
    <x v="13"/>
    <x v="0"/>
    <x v="4"/>
    <n v="1858.75"/>
    <n v="7435"/>
  </r>
  <r>
    <s v="T04436"/>
    <d v="2023-12-15T00:00:00"/>
    <s v="C127"/>
    <s v="P003"/>
    <s v="S002"/>
    <n v="2"/>
    <n v="0"/>
    <x v="3"/>
    <s v="John Allen"/>
    <x v="46"/>
    <x v="0"/>
    <x v="2"/>
    <n v="337.63"/>
    <n v="675.26"/>
  </r>
  <r>
    <s v="T04437"/>
    <d v="2024-06-20T00:00:00"/>
    <s v="C065"/>
    <s v="P004"/>
    <s v="S003"/>
    <n v="3"/>
    <n v="0.15"/>
    <x v="3"/>
    <s v="Scott Duke"/>
    <x v="49"/>
    <x v="0"/>
    <x v="0"/>
    <n v="1853.77"/>
    <n v="4727.1134999999995"/>
  </r>
  <r>
    <s v="T04438"/>
    <d v="2024-06-29T00:00:00"/>
    <s v="C127"/>
    <s v="P017"/>
    <s v="S001"/>
    <n v="5"/>
    <n v="0.05"/>
    <x v="3"/>
    <s v="John Allen"/>
    <x v="43"/>
    <x v="1"/>
    <x v="3"/>
    <n v="1246.1099999999999"/>
    <n v="5919.0224999999991"/>
  </r>
  <r>
    <s v="T04439"/>
    <d v="2025-05-13T00:00:00"/>
    <s v="C122"/>
    <s v="P027"/>
    <s v="S001"/>
    <n v="4"/>
    <n v="0.1"/>
    <x v="0"/>
    <s v="Amy Smith"/>
    <x v="34"/>
    <x v="1"/>
    <x v="3"/>
    <n v="1272.23"/>
    <n v="4580.0280000000002"/>
  </r>
  <r>
    <s v="T04440"/>
    <d v="2025-06-17T00:00:00"/>
    <s v="C063"/>
    <s v="P045"/>
    <s v="S004"/>
    <n v="1"/>
    <n v="0.05"/>
    <x v="2"/>
    <s v="Michael Johnson"/>
    <x v="8"/>
    <x v="2"/>
    <x v="1"/>
    <n v="1879.08"/>
    <n v="1785.1259999999997"/>
  </r>
  <r>
    <s v="T04441"/>
    <d v="2023-12-18T00:00:00"/>
    <s v="C195"/>
    <s v="P010"/>
    <s v="S003"/>
    <n v="3"/>
    <n v="0.05"/>
    <x v="2"/>
    <s v="James Mitchell"/>
    <x v="36"/>
    <x v="1"/>
    <x v="0"/>
    <n v="1194.1199999999999"/>
    <n v="3403.2419999999997"/>
  </r>
  <r>
    <s v="T04442"/>
    <d v="2024-08-17T00:00:00"/>
    <s v="C093"/>
    <s v="P041"/>
    <s v="S002"/>
    <n v="1"/>
    <n v="0.15"/>
    <x v="3"/>
    <s v="Stanley Brown"/>
    <x v="30"/>
    <x v="1"/>
    <x v="2"/>
    <n v="1635.01"/>
    <n v="1389.7584999999999"/>
  </r>
  <r>
    <s v="T04443"/>
    <d v="2023-12-23T00:00:00"/>
    <s v="C037"/>
    <s v="P039"/>
    <s v="S003"/>
    <n v="2"/>
    <n v="0.05"/>
    <x v="0"/>
    <s v="Miranda Nelson"/>
    <x v="22"/>
    <x v="0"/>
    <x v="0"/>
    <n v="540.94000000000005"/>
    <n v="1027.7860000000001"/>
  </r>
  <r>
    <s v="T04444"/>
    <d v="2023-11-19T00:00:00"/>
    <s v="C194"/>
    <s v="P008"/>
    <s v="S001"/>
    <n v="2"/>
    <n v="0"/>
    <x v="0"/>
    <s v="Ann West"/>
    <x v="48"/>
    <x v="0"/>
    <x v="3"/>
    <n v="109.78"/>
    <n v="219.56"/>
  </r>
  <r>
    <s v="T04445"/>
    <d v="2024-11-03T00:00:00"/>
    <s v="C079"/>
    <s v="P049"/>
    <s v="S004"/>
    <n v="4"/>
    <n v="0.05"/>
    <x v="1"/>
    <s v="Donald Marsh"/>
    <x v="29"/>
    <x v="0"/>
    <x v="1"/>
    <n v="388.26"/>
    <n v="1475.3879999999999"/>
  </r>
  <r>
    <s v="T04446"/>
    <d v="2024-01-31T00:00:00"/>
    <s v="C158"/>
    <s v="P043"/>
    <s v="S001"/>
    <n v="2"/>
    <n v="0.05"/>
    <x v="1"/>
    <s v="Crystal Aguirre"/>
    <x v="45"/>
    <x v="0"/>
    <x v="3"/>
    <n v="564.41999999999996"/>
    <n v="1072.3979999999999"/>
  </r>
  <r>
    <s v="T04447"/>
    <d v="2025-04-11T00:00:00"/>
    <s v="C165"/>
    <s v="P049"/>
    <s v="S003"/>
    <n v="3"/>
    <n v="0"/>
    <x v="2"/>
    <s v="Tanya Mueller"/>
    <x v="29"/>
    <x v="0"/>
    <x v="0"/>
    <n v="388.26"/>
    <n v="1164.78"/>
  </r>
  <r>
    <s v="T04448"/>
    <d v="2024-04-10T00:00:00"/>
    <s v="C034"/>
    <s v="P014"/>
    <s v="S004"/>
    <n v="4"/>
    <n v="0"/>
    <x v="1"/>
    <s v="Kari Miller"/>
    <x v="0"/>
    <x v="0"/>
    <x v="1"/>
    <n v="1342.75"/>
    <n v="5371"/>
  </r>
  <r>
    <s v="T04449"/>
    <d v="2024-05-22T00:00:00"/>
    <s v="C155"/>
    <s v="P032"/>
    <s v="S003"/>
    <n v="5"/>
    <n v="0"/>
    <x v="2"/>
    <s v="Jill Mcconnell"/>
    <x v="44"/>
    <x v="2"/>
    <x v="0"/>
    <n v="304.70999999999998"/>
    <n v="1523.55"/>
  </r>
  <r>
    <s v="T04450"/>
    <d v="2024-11-25T00:00:00"/>
    <s v="C070"/>
    <s v="P036"/>
    <s v="S003"/>
    <n v="3"/>
    <n v="0.1"/>
    <x v="3"/>
    <s v="Eric Bryan"/>
    <x v="4"/>
    <x v="0"/>
    <x v="0"/>
    <n v="1501.46"/>
    <n v="4053.942"/>
  </r>
  <r>
    <s v="T04451"/>
    <d v="2025-01-19T00:00:00"/>
    <s v="C098"/>
    <s v="P020"/>
    <s v="S001"/>
    <n v="2"/>
    <n v="0"/>
    <x v="3"/>
    <s v="Lisa Vega"/>
    <x v="24"/>
    <x v="0"/>
    <x v="3"/>
    <n v="323.92"/>
    <n v="647.84"/>
  </r>
  <r>
    <s v="T04452"/>
    <d v="2024-05-09T00:00:00"/>
    <s v="C148"/>
    <s v="P033"/>
    <s v="S001"/>
    <n v="3"/>
    <n v="0"/>
    <x v="2"/>
    <s v="John Foster"/>
    <x v="16"/>
    <x v="0"/>
    <x v="3"/>
    <n v="1798.97"/>
    <n v="5396.91"/>
  </r>
  <r>
    <s v="T04453"/>
    <d v="2025-04-23T00:00:00"/>
    <s v="C111"/>
    <s v="P009"/>
    <s v="S005"/>
    <n v="4"/>
    <n v="0.1"/>
    <x v="1"/>
    <s v="Dylan Booker"/>
    <x v="5"/>
    <x v="2"/>
    <x v="4"/>
    <n v="123.19"/>
    <n v="443.48399999999998"/>
  </r>
  <r>
    <s v="T04454"/>
    <d v="2024-01-27T00:00:00"/>
    <s v="C066"/>
    <s v="P032"/>
    <s v="S004"/>
    <n v="5"/>
    <n v="0.15"/>
    <x v="1"/>
    <s v="Jason Jenkins"/>
    <x v="44"/>
    <x v="2"/>
    <x v="1"/>
    <n v="304.70999999999998"/>
    <n v="1295.0174999999999"/>
  </r>
  <r>
    <s v="T04455"/>
    <d v="2024-08-02T00:00:00"/>
    <s v="C033"/>
    <s v="P007"/>
    <s v="S002"/>
    <n v="4"/>
    <n v="0.15"/>
    <x v="3"/>
    <s v="Jenny Beck"/>
    <x v="18"/>
    <x v="1"/>
    <x v="2"/>
    <n v="1474.12"/>
    <n v="5012.0079999999998"/>
  </r>
  <r>
    <s v="T04456"/>
    <d v="2023-10-04T00:00:00"/>
    <s v="C003"/>
    <s v="P024"/>
    <s v="S005"/>
    <n v="5"/>
    <n v="0.1"/>
    <x v="0"/>
    <s v="Carol Hays"/>
    <x v="14"/>
    <x v="1"/>
    <x v="4"/>
    <n v="1487.41"/>
    <n v="6693.3450000000003"/>
  </r>
  <r>
    <s v="T04457"/>
    <d v="2024-01-11T00:00:00"/>
    <s v="C117"/>
    <s v="P007"/>
    <s v="S003"/>
    <n v="1"/>
    <n v="0.05"/>
    <x v="1"/>
    <s v="Timothy Beck"/>
    <x v="18"/>
    <x v="1"/>
    <x v="0"/>
    <n v="1474.12"/>
    <n v="1400.4139999999998"/>
  </r>
  <r>
    <s v="T04458"/>
    <d v="2023-11-10T00:00:00"/>
    <s v="C169"/>
    <s v="P004"/>
    <s v="S005"/>
    <n v="1"/>
    <n v="0"/>
    <x v="3"/>
    <s v="Travis Watson"/>
    <x v="49"/>
    <x v="0"/>
    <x v="4"/>
    <n v="1853.77"/>
    <n v="1853.77"/>
  </r>
  <r>
    <s v="T04459"/>
    <d v="2025-01-31T00:00:00"/>
    <s v="C126"/>
    <s v="P019"/>
    <s v="S003"/>
    <n v="5"/>
    <n v="0.05"/>
    <x v="3"/>
    <s v="Monique Johnson"/>
    <x v="26"/>
    <x v="1"/>
    <x v="0"/>
    <n v="1762.92"/>
    <n v="8373.8700000000008"/>
  </r>
  <r>
    <s v="T04460"/>
    <d v="2025-05-16T00:00:00"/>
    <s v="C112"/>
    <s v="P028"/>
    <s v="S003"/>
    <n v="1"/>
    <n v="0"/>
    <x v="1"/>
    <s v="Jeffrey Smith"/>
    <x v="25"/>
    <x v="1"/>
    <x v="0"/>
    <n v="673.78"/>
    <n v="673.78"/>
  </r>
  <r>
    <s v="T04461"/>
    <d v="2025-06-06T00:00:00"/>
    <s v="C147"/>
    <s v="P023"/>
    <s v="S005"/>
    <n v="2"/>
    <n v="0.15"/>
    <x v="2"/>
    <s v="Crystal Garrison"/>
    <x v="20"/>
    <x v="0"/>
    <x v="4"/>
    <n v="1878.47"/>
    <n v="3193.3989999999999"/>
  </r>
  <r>
    <s v="T04462"/>
    <d v="2025-06-17T00:00:00"/>
    <s v="C051"/>
    <s v="P034"/>
    <s v="S003"/>
    <n v="2"/>
    <n v="0.1"/>
    <x v="0"/>
    <s v="Madison Sellers"/>
    <x v="12"/>
    <x v="1"/>
    <x v="0"/>
    <n v="428.05"/>
    <n v="770.49"/>
  </r>
  <r>
    <s v="T04463"/>
    <d v="2024-12-25T00:00:00"/>
    <s v="C131"/>
    <s v="P011"/>
    <s v="S004"/>
    <n v="3"/>
    <n v="0.15"/>
    <x v="3"/>
    <s v="Denise Jackson"/>
    <x v="17"/>
    <x v="1"/>
    <x v="1"/>
    <n v="248.57"/>
    <n v="633.85350000000005"/>
  </r>
  <r>
    <s v="T04464"/>
    <d v="2025-03-27T00:00:00"/>
    <s v="C130"/>
    <s v="P045"/>
    <s v="S002"/>
    <n v="1"/>
    <n v="0.05"/>
    <x v="1"/>
    <s v="Aaron Bailey"/>
    <x v="8"/>
    <x v="2"/>
    <x v="2"/>
    <n v="1879.08"/>
    <n v="1785.1259999999997"/>
  </r>
  <r>
    <s v="T04465"/>
    <d v="2023-10-07T00:00:00"/>
    <s v="C082"/>
    <s v="P033"/>
    <s v="S003"/>
    <n v="4"/>
    <n v="0.05"/>
    <x v="2"/>
    <s v="Amy Haley"/>
    <x v="16"/>
    <x v="0"/>
    <x v="0"/>
    <n v="1798.97"/>
    <n v="6836.0859999999993"/>
  </r>
  <r>
    <s v="T04466"/>
    <d v="2025-06-15T00:00:00"/>
    <s v="C183"/>
    <s v="P001"/>
    <s v="S001"/>
    <n v="2"/>
    <n v="0"/>
    <x v="2"/>
    <s v="Mary Dawson"/>
    <x v="31"/>
    <x v="1"/>
    <x v="3"/>
    <n v="1673.69"/>
    <n v="3347.38"/>
  </r>
  <r>
    <s v="T04467"/>
    <d v="2024-10-04T00:00:00"/>
    <s v="C052"/>
    <s v="P034"/>
    <s v="S004"/>
    <n v="2"/>
    <n v="0"/>
    <x v="0"/>
    <s v="Billy Hernandez"/>
    <x v="12"/>
    <x v="1"/>
    <x v="1"/>
    <n v="428.05"/>
    <n v="856.1"/>
  </r>
  <r>
    <s v="T04468"/>
    <d v="2024-11-05T00:00:00"/>
    <s v="C085"/>
    <s v="P015"/>
    <s v="S001"/>
    <n v="2"/>
    <n v="0.05"/>
    <x v="3"/>
    <s v="Juan Ramirez"/>
    <x v="40"/>
    <x v="0"/>
    <x v="3"/>
    <n v="270.45"/>
    <n v="513.8549999999999"/>
  </r>
  <r>
    <s v="T04469"/>
    <d v="2024-01-28T00:00:00"/>
    <s v="C016"/>
    <s v="P013"/>
    <s v="S001"/>
    <n v="1"/>
    <n v="0.15"/>
    <x v="2"/>
    <s v="Miguel Johnson"/>
    <x v="21"/>
    <x v="0"/>
    <x v="3"/>
    <n v="1134.8"/>
    <n v="964.57999999999993"/>
  </r>
  <r>
    <s v="T04470"/>
    <d v="2025-06-01T00:00:00"/>
    <s v="C075"/>
    <s v="P036"/>
    <s v="S004"/>
    <n v="4"/>
    <n v="0.05"/>
    <x v="3"/>
    <s v="Seth Moore"/>
    <x v="4"/>
    <x v="0"/>
    <x v="1"/>
    <n v="1501.46"/>
    <n v="5705.5479999999998"/>
  </r>
  <r>
    <s v="T04471"/>
    <d v="2024-09-01T00:00:00"/>
    <s v="C157"/>
    <s v="P013"/>
    <s v="S001"/>
    <n v="1"/>
    <n v="0"/>
    <x v="3"/>
    <s v="Connie Terry"/>
    <x v="21"/>
    <x v="0"/>
    <x v="3"/>
    <n v="1134.8"/>
    <n v="1134.8"/>
  </r>
  <r>
    <s v="T04472"/>
    <d v="2024-02-26T00:00:00"/>
    <s v="C065"/>
    <s v="P034"/>
    <s v="S001"/>
    <n v="4"/>
    <n v="0"/>
    <x v="3"/>
    <s v="Scott Duke"/>
    <x v="12"/>
    <x v="1"/>
    <x v="3"/>
    <n v="428.05"/>
    <n v="1712.2"/>
  </r>
  <r>
    <s v="T04473"/>
    <d v="2024-11-29T00:00:00"/>
    <s v="C149"/>
    <s v="P025"/>
    <s v="S001"/>
    <n v="4"/>
    <n v="0.05"/>
    <x v="2"/>
    <s v="Melissa Torres"/>
    <x v="33"/>
    <x v="0"/>
    <x v="3"/>
    <n v="429.15"/>
    <n v="1630.7699999999998"/>
  </r>
  <r>
    <s v="T04474"/>
    <d v="2024-03-24T00:00:00"/>
    <s v="C036"/>
    <s v="P043"/>
    <s v="S004"/>
    <n v="2"/>
    <n v="0.15"/>
    <x v="1"/>
    <s v="Michael Cervantes"/>
    <x v="45"/>
    <x v="0"/>
    <x v="1"/>
    <n v="564.41999999999996"/>
    <n v="959.5139999999999"/>
  </r>
  <r>
    <s v="T04475"/>
    <d v="2025-02-06T00:00:00"/>
    <s v="C190"/>
    <s v="P001"/>
    <s v="S005"/>
    <n v="1"/>
    <n v="0.15"/>
    <x v="3"/>
    <s v="Daniel Lawson"/>
    <x v="31"/>
    <x v="1"/>
    <x v="4"/>
    <n v="1673.69"/>
    <n v="1422.6365000000001"/>
  </r>
  <r>
    <s v="T04476"/>
    <d v="2025-08-03T00:00:00"/>
    <s v="C139"/>
    <s v="P017"/>
    <s v="S003"/>
    <n v="3"/>
    <n v="0"/>
    <x v="1"/>
    <s v="Alexander Mcfarland"/>
    <x v="43"/>
    <x v="1"/>
    <x v="0"/>
    <n v="1246.1099999999999"/>
    <n v="3738.33"/>
  </r>
  <r>
    <s v="T04477"/>
    <d v="2025-06-06T00:00:00"/>
    <s v="C123"/>
    <s v="P047"/>
    <s v="S003"/>
    <n v="4"/>
    <n v="0.05"/>
    <x v="3"/>
    <s v="Peter Edwards"/>
    <x v="28"/>
    <x v="1"/>
    <x v="0"/>
    <n v="1197.18"/>
    <n v="4549.2839999999997"/>
  </r>
  <r>
    <s v="T04478"/>
    <d v="2024-12-11T00:00:00"/>
    <s v="C013"/>
    <s v="P025"/>
    <s v="S001"/>
    <n v="5"/>
    <n v="0.1"/>
    <x v="2"/>
    <s v="Robert Anderson"/>
    <x v="33"/>
    <x v="0"/>
    <x v="3"/>
    <n v="429.15"/>
    <n v="1931.175"/>
  </r>
  <r>
    <s v="T04479"/>
    <d v="2024-11-20T00:00:00"/>
    <s v="C064"/>
    <s v="P027"/>
    <s v="S004"/>
    <n v="1"/>
    <n v="0"/>
    <x v="2"/>
    <s v="Amanda Hoover"/>
    <x v="34"/>
    <x v="1"/>
    <x v="1"/>
    <n v="1272.23"/>
    <n v="1272.23"/>
  </r>
  <r>
    <s v="T04480"/>
    <d v="2024-08-14T00:00:00"/>
    <s v="C115"/>
    <s v="P037"/>
    <s v="S001"/>
    <n v="1"/>
    <n v="0"/>
    <x v="0"/>
    <s v="Jose Smith"/>
    <x v="27"/>
    <x v="1"/>
    <x v="3"/>
    <n v="1952.65"/>
    <n v="1952.65"/>
  </r>
  <r>
    <s v="T04481"/>
    <d v="2025-08-27T00:00:00"/>
    <s v="C024"/>
    <s v="P005"/>
    <s v="S005"/>
    <n v="5"/>
    <n v="0.1"/>
    <x v="0"/>
    <s v="Molly Murray"/>
    <x v="6"/>
    <x v="0"/>
    <x v="4"/>
    <n v="1396.22"/>
    <n v="6282.9900000000007"/>
  </r>
  <r>
    <s v="T04482"/>
    <d v="2024-01-31T00:00:00"/>
    <s v="C085"/>
    <s v="P035"/>
    <s v="S005"/>
    <n v="2"/>
    <n v="0.1"/>
    <x v="2"/>
    <s v="Juan Ramirez"/>
    <x v="7"/>
    <x v="1"/>
    <x v="4"/>
    <n v="1562.43"/>
    <n v="2812.3740000000003"/>
  </r>
  <r>
    <s v="T04483"/>
    <d v="2024-12-20T00:00:00"/>
    <s v="C005"/>
    <s v="P038"/>
    <s v="S002"/>
    <n v="3"/>
    <n v="0"/>
    <x v="3"/>
    <s v="Jamie Salinas"/>
    <x v="41"/>
    <x v="0"/>
    <x v="2"/>
    <n v="366.93"/>
    <n v="1100.79"/>
  </r>
  <r>
    <s v="T04484"/>
    <d v="2024-07-04T00:00:00"/>
    <s v="C093"/>
    <s v="P031"/>
    <s v="S002"/>
    <n v="3"/>
    <n v="0.05"/>
    <x v="0"/>
    <s v="Stanley Brown"/>
    <x v="39"/>
    <x v="2"/>
    <x v="2"/>
    <n v="1095.72"/>
    <n v="3122.8019999999997"/>
  </r>
  <r>
    <s v="T04485"/>
    <d v="2025-07-15T00:00:00"/>
    <s v="C106"/>
    <s v="P047"/>
    <s v="S004"/>
    <n v="1"/>
    <n v="0.15"/>
    <x v="0"/>
    <s v="Kevin Flores"/>
    <x v="28"/>
    <x v="1"/>
    <x v="1"/>
    <n v="1197.18"/>
    <n v="1017.6030000000001"/>
  </r>
  <r>
    <s v="T04486"/>
    <d v="2024-02-29T00:00:00"/>
    <s v="C097"/>
    <s v="P024"/>
    <s v="S005"/>
    <n v="5"/>
    <n v="0.1"/>
    <x v="0"/>
    <s v="Evelyn Gray"/>
    <x v="14"/>
    <x v="1"/>
    <x v="4"/>
    <n v="1487.41"/>
    <n v="6693.3450000000003"/>
  </r>
  <r>
    <s v="T04487"/>
    <d v="2024-04-21T00:00:00"/>
    <s v="C149"/>
    <s v="P019"/>
    <s v="S003"/>
    <n v="4"/>
    <n v="0.15"/>
    <x v="1"/>
    <s v="Melissa Torres"/>
    <x v="26"/>
    <x v="1"/>
    <x v="0"/>
    <n v="1762.92"/>
    <n v="5993.9279999999999"/>
  </r>
  <r>
    <s v="T04488"/>
    <d v="2025-01-14T00:00:00"/>
    <s v="C038"/>
    <s v="P026"/>
    <s v="S001"/>
    <n v="1"/>
    <n v="0"/>
    <x v="2"/>
    <s v="Tracey Davis"/>
    <x v="15"/>
    <x v="2"/>
    <x v="3"/>
    <n v="1015.76"/>
    <n v="1015.76"/>
  </r>
  <r>
    <s v="T04489"/>
    <d v="2024-08-20T00:00:00"/>
    <s v="C069"/>
    <s v="P008"/>
    <s v="S001"/>
    <n v="2"/>
    <n v="0"/>
    <x v="2"/>
    <s v="Gabriel Daugherty"/>
    <x v="48"/>
    <x v="0"/>
    <x v="3"/>
    <n v="109.78"/>
    <n v="219.56"/>
  </r>
  <r>
    <s v="T04490"/>
    <d v="2024-03-13T00:00:00"/>
    <s v="C036"/>
    <s v="P026"/>
    <s v="S002"/>
    <n v="5"/>
    <n v="0.15"/>
    <x v="0"/>
    <s v="Michael Cervantes"/>
    <x v="15"/>
    <x v="2"/>
    <x v="2"/>
    <n v="1015.76"/>
    <n v="4316.9800000000005"/>
  </r>
  <r>
    <s v="T04491"/>
    <d v="2025-05-30T00:00:00"/>
    <s v="C001"/>
    <s v="P013"/>
    <s v="S002"/>
    <n v="4"/>
    <n v="0.05"/>
    <x v="3"/>
    <s v="Michael Davis"/>
    <x v="21"/>
    <x v="0"/>
    <x v="2"/>
    <n v="1134.8"/>
    <n v="4312.24"/>
  </r>
  <r>
    <s v="T04492"/>
    <d v="2024-02-15T00:00:00"/>
    <s v="C136"/>
    <s v="P002"/>
    <s v="S003"/>
    <n v="5"/>
    <n v="0"/>
    <x v="1"/>
    <s v="Amanda Garcia"/>
    <x v="2"/>
    <x v="1"/>
    <x v="0"/>
    <n v="818.76"/>
    <n v="4093.8"/>
  </r>
  <r>
    <s v="T04493"/>
    <d v="2025-07-06T00:00:00"/>
    <s v="C068"/>
    <s v="P042"/>
    <s v="S003"/>
    <n v="2"/>
    <n v="0.15"/>
    <x v="2"/>
    <s v="Alexandra Montoya"/>
    <x v="10"/>
    <x v="0"/>
    <x v="0"/>
    <n v="453.62"/>
    <n v="771.154"/>
  </r>
  <r>
    <s v="T04494"/>
    <d v="2024-06-27T00:00:00"/>
    <s v="C092"/>
    <s v="P043"/>
    <s v="S002"/>
    <n v="4"/>
    <n v="0.1"/>
    <x v="2"/>
    <s v="Lindsey Holder"/>
    <x v="45"/>
    <x v="0"/>
    <x v="2"/>
    <n v="564.41999999999996"/>
    <n v="2031.9119999999998"/>
  </r>
  <r>
    <s v="T04495"/>
    <d v="2023-09-18T00:00:00"/>
    <s v="C057"/>
    <s v="P034"/>
    <s v="S003"/>
    <n v="4"/>
    <n v="0"/>
    <x v="3"/>
    <s v="Julie Gibson"/>
    <x v="12"/>
    <x v="1"/>
    <x v="0"/>
    <n v="428.05"/>
    <n v="1712.2"/>
  </r>
  <r>
    <s v="T04496"/>
    <d v="2024-01-10T00:00:00"/>
    <s v="C076"/>
    <s v="P002"/>
    <s v="S001"/>
    <n v="2"/>
    <n v="0"/>
    <x v="2"/>
    <s v="Phyllis Durham"/>
    <x v="2"/>
    <x v="1"/>
    <x v="3"/>
    <n v="818.76"/>
    <n v="1637.52"/>
  </r>
  <r>
    <s v="T04497"/>
    <d v="2024-03-17T00:00:00"/>
    <s v="C142"/>
    <s v="P025"/>
    <s v="S003"/>
    <n v="1"/>
    <n v="0"/>
    <x v="1"/>
    <s v="Suzanne Fox"/>
    <x v="33"/>
    <x v="0"/>
    <x v="0"/>
    <n v="429.15"/>
    <n v="429.15"/>
  </r>
  <r>
    <s v="T04498"/>
    <d v="2023-10-15T00:00:00"/>
    <s v="C018"/>
    <s v="P023"/>
    <s v="S002"/>
    <n v="3"/>
    <n v="0.1"/>
    <x v="3"/>
    <s v="Breanna Davis"/>
    <x v="20"/>
    <x v="0"/>
    <x v="2"/>
    <n v="1878.47"/>
    <n v="5071.8689999999997"/>
  </r>
  <r>
    <s v="T04499"/>
    <d v="2025-04-02T00:00:00"/>
    <s v="C074"/>
    <s v="P037"/>
    <s v="S004"/>
    <n v="1"/>
    <n v="0"/>
    <x v="3"/>
    <s v="Jesus Singh"/>
    <x v="27"/>
    <x v="1"/>
    <x v="1"/>
    <n v="1952.65"/>
    <n v="1952.65"/>
  </r>
  <r>
    <s v="T04500"/>
    <d v="2025-03-01T00:00:00"/>
    <s v="C119"/>
    <s v="P045"/>
    <s v="S005"/>
    <n v="2"/>
    <n v="0.05"/>
    <x v="3"/>
    <s v="Jason Lloyd"/>
    <x v="8"/>
    <x v="2"/>
    <x v="4"/>
    <n v="1879.08"/>
    <n v="3570.2519999999995"/>
  </r>
  <r>
    <s v="T04501"/>
    <d v="2023-09-30T00:00:00"/>
    <s v="C068"/>
    <s v="P049"/>
    <s v="S004"/>
    <n v="4"/>
    <n v="0"/>
    <x v="3"/>
    <s v="Alexandra Montoya"/>
    <x v="29"/>
    <x v="0"/>
    <x v="1"/>
    <n v="388.26"/>
    <n v="1553.04"/>
  </r>
  <r>
    <s v="T04502"/>
    <d v="2025-04-17T00:00:00"/>
    <s v="C022"/>
    <s v="P008"/>
    <s v="S002"/>
    <n v="5"/>
    <n v="0.05"/>
    <x v="2"/>
    <s v="Megan Velasquez"/>
    <x v="48"/>
    <x v="0"/>
    <x v="2"/>
    <n v="109.78"/>
    <n v="521.45499999999993"/>
  </r>
  <r>
    <s v="T04503"/>
    <d v="2025-03-15T00:00:00"/>
    <s v="C118"/>
    <s v="P006"/>
    <s v="S001"/>
    <n v="1"/>
    <n v="0"/>
    <x v="2"/>
    <s v="Gina Bradford"/>
    <x v="35"/>
    <x v="2"/>
    <x v="3"/>
    <n v="318.05"/>
    <n v="318.05"/>
  </r>
  <r>
    <s v="T04504"/>
    <d v="2025-05-17T00:00:00"/>
    <s v="C052"/>
    <s v="P002"/>
    <s v="S002"/>
    <n v="5"/>
    <n v="0.15"/>
    <x v="3"/>
    <s v="Billy Hernandez"/>
    <x v="2"/>
    <x v="1"/>
    <x v="2"/>
    <n v="818.76"/>
    <n v="3479.73"/>
  </r>
  <r>
    <s v="T04505"/>
    <d v="2024-12-04T00:00:00"/>
    <s v="C090"/>
    <s v="P029"/>
    <s v="S001"/>
    <n v="2"/>
    <n v="0"/>
    <x v="0"/>
    <s v="Carrie Peterson"/>
    <x v="47"/>
    <x v="0"/>
    <x v="3"/>
    <n v="1485.05"/>
    <n v="2970.1"/>
  </r>
  <r>
    <s v="T04506"/>
    <d v="2023-09-11T00:00:00"/>
    <s v="C137"/>
    <s v="P026"/>
    <s v="S003"/>
    <n v="1"/>
    <n v="0.15"/>
    <x v="1"/>
    <s v="Gary Lopez"/>
    <x v="15"/>
    <x v="2"/>
    <x v="0"/>
    <n v="1015.76"/>
    <n v="863.39599999999996"/>
  </r>
  <r>
    <s v="T04507"/>
    <d v="2023-10-08T00:00:00"/>
    <s v="C112"/>
    <s v="P032"/>
    <s v="S003"/>
    <n v="2"/>
    <n v="0.1"/>
    <x v="0"/>
    <s v="Jeffrey Smith"/>
    <x v="44"/>
    <x v="2"/>
    <x v="0"/>
    <n v="304.70999999999998"/>
    <n v="548.47799999999995"/>
  </r>
  <r>
    <s v="T04508"/>
    <d v="2024-12-24T00:00:00"/>
    <s v="C098"/>
    <s v="P018"/>
    <s v="S001"/>
    <n v="3"/>
    <n v="0.05"/>
    <x v="2"/>
    <s v="Lisa Vega"/>
    <x v="19"/>
    <x v="1"/>
    <x v="3"/>
    <n v="1079.8900000000001"/>
    <n v="3077.6864999999998"/>
  </r>
  <r>
    <s v="T04509"/>
    <d v="2024-12-17T00:00:00"/>
    <s v="C113"/>
    <s v="P035"/>
    <s v="S004"/>
    <n v="2"/>
    <n v="0.1"/>
    <x v="1"/>
    <s v="Heidi Wilson"/>
    <x v="7"/>
    <x v="1"/>
    <x v="1"/>
    <n v="1562.43"/>
    <n v="2812.3740000000003"/>
  </r>
  <r>
    <s v="T04510"/>
    <d v="2024-09-09T00:00:00"/>
    <s v="C007"/>
    <s v="P038"/>
    <s v="S001"/>
    <n v="5"/>
    <n v="0"/>
    <x v="0"/>
    <s v="Erin Walker"/>
    <x v="41"/>
    <x v="0"/>
    <x v="3"/>
    <n v="366.93"/>
    <n v="1834.65"/>
  </r>
  <r>
    <s v="T04511"/>
    <d v="2025-03-15T00:00:00"/>
    <s v="C061"/>
    <s v="P031"/>
    <s v="S001"/>
    <n v="3"/>
    <n v="0.15"/>
    <x v="2"/>
    <s v="Heather Russell"/>
    <x v="39"/>
    <x v="2"/>
    <x v="3"/>
    <n v="1095.72"/>
    <n v="2794.0859999999998"/>
  </r>
  <r>
    <s v="T04512"/>
    <d v="2023-09-24T00:00:00"/>
    <s v="C188"/>
    <s v="P026"/>
    <s v="S003"/>
    <n v="4"/>
    <n v="0.05"/>
    <x v="0"/>
    <s v="Ryan Flores"/>
    <x v="15"/>
    <x v="2"/>
    <x v="0"/>
    <n v="1015.76"/>
    <n v="3859.8879999999999"/>
  </r>
  <r>
    <s v="T04513"/>
    <d v="2023-12-11T00:00:00"/>
    <s v="C061"/>
    <s v="P046"/>
    <s v="S003"/>
    <n v="5"/>
    <n v="0.15"/>
    <x v="3"/>
    <s v="Heather Russell"/>
    <x v="42"/>
    <x v="0"/>
    <x v="0"/>
    <n v="1165.3699999999999"/>
    <n v="4952.8224999999993"/>
  </r>
  <r>
    <s v="T04514"/>
    <d v="2025-03-02T00:00:00"/>
    <s v="C126"/>
    <s v="P024"/>
    <s v="S004"/>
    <n v="5"/>
    <n v="0.05"/>
    <x v="2"/>
    <s v="Monique Johnson"/>
    <x v="14"/>
    <x v="1"/>
    <x v="1"/>
    <n v="1487.41"/>
    <n v="7065.1975000000002"/>
  </r>
  <r>
    <s v="T04515"/>
    <d v="2025-06-03T00:00:00"/>
    <s v="C082"/>
    <s v="P001"/>
    <s v="S001"/>
    <n v="2"/>
    <n v="0.15"/>
    <x v="2"/>
    <s v="Amy Haley"/>
    <x v="31"/>
    <x v="1"/>
    <x v="3"/>
    <n v="1673.69"/>
    <n v="2845.2730000000001"/>
  </r>
  <r>
    <s v="T04516"/>
    <d v="2024-08-03T00:00:00"/>
    <s v="C101"/>
    <s v="P005"/>
    <s v="S004"/>
    <n v="1"/>
    <n v="0.15"/>
    <x v="1"/>
    <s v="William Pope"/>
    <x v="6"/>
    <x v="0"/>
    <x v="1"/>
    <n v="1396.22"/>
    <n v="1186.787"/>
  </r>
  <r>
    <s v="T04517"/>
    <d v="2024-05-18T00:00:00"/>
    <s v="C181"/>
    <s v="P029"/>
    <s v="S004"/>
    <n v="3"/>
    <n v="0.15"/>
    <x v="2"/>
    <s v="Brittany Oneal"/>
    <x v="47"/>
    <x v="0"/>
    <x v="1"/>
    <n v="1485.05"/>
    <n v="3786.8774999999996"/>
  </r>
  <r>
    <s v="T04518"/>
    <d v="2024-05-16T00:00:00"/>
    <s v="C034"/>
    <s v="P036"/>
    <s v="S003"/>
    <n v="1"/>
    <n v="0.15"/>
    <x v="1"/>
    <s v="Kari Miller"/>
    <x v="4"/>
    <x v="0"/>
    <x v="0"/>
    <n v="1501.46"/>
    <n v="1276.241"/>
  </r>
  <r>
    <s v="T04519"/>
    <d v="2024-06-24T00:00:00"/>
    <s v="C140"/>
    <s v="P005"/>
    <s v="S004"/>
    <n v="5"/>
    <n v="0.1"/>
    <x v="0"/>
    <s v="Stacy Williams"/>
    <x v="6"/>
    <x v="0"/>
    <x v="1"/>
    <n v="1396.22"/>
    <n v="6282.9900000000007"/>
  </r>
  <r>
    <s v="T04520"/>
    <d v="2025-06-09T00:00:00"/>
    <s v="C122"/>
    <s v="P040"/>
    <s v="S004"/>
    <n v="1"/>
    <n v="0.05"/>
    <x v="3"/>
    <s v="Amy Smith"/>
    <x v="37"/>
    <x v="1"/>
    <x v="1"/>
    <n v="1745.61"/>
    <n v="1658.3294999999998"/>
  </r>
  <r>
    <s v="T04521"/>
    <d v="2024-06-12T00:00:00"/>
    <s v="C164"/>
    <s v="P049"/>
    <s v="S002"/>
    <n v="3"/>
    <n v="0"/>
    <x v="3"/>
    <s v="Linda Vasquez"/>
    <x v="29"/>
    <x v="0"/>
    <x v="2"/>
    <n v="388.26"/>
    <n v="1164.78"/>
  </r>
  <r>
    <s v="T04522"/>
    <d v="2025-03-07T00:00:00"/>
    <s v="C106"/>
    <s v="P002"/>
    <s v="S001"/>
    <n v="5"/>
    <n v="0.1"/>
    <x v="1"/>
    <s v="Kevin Flores"/>
    <x v="2"/>
    <x v="1"/>
    <x v="3"/>
    <n v="818.76"/>
    <n v="3684.42"/>
  </r>
  <r>
    <s v="T04523"/>
    <d v="2025-04-05T00:00:00"/>
    <s v="C078"/>
    <s v="P019"/>
    <s v="S002"/>
    <n v="2"/>
    <n v="0.05"/>
    <x v="0"/>
    <s v="Jeanne Young"/>
    <x v="26"/>
    <x v="1"/>
    <x v="2"/>
    <n v="1762.92"/>
    <n v="3349.5479999999998"/>
  </r>
  <r>
    <s v="T04524"/>
    <d v="2025-08-28T00:00:00"/>
    <s v="C070"/>
    <s v="P049"/>
    <s v="S002"/>
    <n v="3"/>
    <n v="0"/>
    <x v="0"/>
    <s v="Eric Bryan"/>
    <x v="29"/>
    <x v="0"/>
    <x v="2"/>
    <n v="388.26"/>
    <n v="1164.78"/>
  </r>
  <r>
    <s v="T04525"/>
    <d v="2024-04-24T00:00:00"/>
    <s v="C186"/>
    <s v="P009"/>
    <s v="S004"/>
    <n v="4"/>
    <n v="0.05"/>
    <x v="3"/>
    <s v="Vicki Guzman"/>
    <x v="5"/>
    <x v="2"/>
    <x v="1"/>
    <n v="123.19"/>
    <n v="468.12199999999996"/>
  </r>
  <r>
    <s v="T04526"/>
    <d v="2024-03-15T00:00:00"/>
    <s v="C039"/>
    <s v="P002"/>
    <s v="S001"/>
    <n v="3"/>
    <n v="0.15"/>
    <x v="0"/>
    <s v="Nancy Savage"/>
    <x v="2"/>
    <x v="1"/>
    <x v="3"/>
    <n v="818.76"/>
    <n v="2087.8379999999997"/>
  </r>
  <r>
    <s v="T04527"/>
    <d v="2024-10-06T00:00:00"/>
    <s v="C155"/>
    <s v="P042"/>
    <s v="S003"/>
    <n v="2"/>
    <n v="0.1"/>
    <x v="0"/>
    <s v="Jill Mcconnell"/>
    <x v="10"/>
    <x v="0"/>
    <x v="0"/>
    <n v="453.62"/>
    <n v="816.51600000000008"/>
  </r>
  <r>
    <s v="T04528"/>
    <d v="2025-07-15T00:00:00"/>
    <s v="C148"/>
    <s v="P016"/>
    <s v="S002"/>
    <n v="1"/>
    <n v="0.15"/>
    <x v="0"/>
    <s v="John Foster"/>
    <x v="13"/>
    <x v="0"/>
    <x v="2"/>
    <n v="1858.75"/>
    <n v="1579.9375"/>
  </r>
  <r>
    <s v="T04529"/>
    <d v="2025-02-23T00:00:00"/>
    <s v="C073"/>
    <s v="P007"/>
    <s v="S001"/>
    <n v="1"/>
    <n v="0"/>
    <x v="1"/>
    <s v="Carl Armstrong"/>
    <x v="18"/>
    <x v="1"/>
    <x v="3"/>
    <n v="1474.12"/>
    <n v="1474.12"/>
  </r>
  <r>
    <s v="T04530"/>
    <d v="2025-05-31T00:00:00"/>
    <s v="C199"/>
    <s v="P045"/>
    <s v="S002"/>
    <n v="5"/>
    <n v="0"/>
    <x v="2"/>
    <s v="Juan Johnson"/>
    <x v="8"/>
    <x v="2"/>
    <x v="2"/>
    <n v="1879.08"/>
    <n v="9395.4"/>
  </r>
  <r>
    <s v="T04531"/>
    <d v="2024-04-05T00:00:00"/>
    <s v="C119"/>
    <s v="P005"/>
    <s v="S002"/>
    <n v="1"/>
    <n v="0.15"/>
    <x v="2"/>
    <s v="Jason Lloyd"/>
    <x v="6"/>
    <x v="0"/>
    <x v="2"/>
    <n v="1396.22"/>
    <n v="1186.787"/>
  </r>
  <r>
    <s v="T04532"/>
    <d v="2025-06-18T00:00:00"/>
    <s v="C079"/>
    <s v="P044"/>
    <s v="S002"/>
    <n v="3"/>
    <n v="0.1"/>
    <x v="2"/>
    <s v="Donald Marsh"/>
    <x v="32"/>
    <x v="0"/>
    <x v="2"/>
    <n v="1286.55"/>
    <n v="3473.6849999999999"/>
  </r>
  <r>
    <s v="T04533"/>
    <d v="2025-04-02T00:00:00"/>
    <s v="C186"/>
    <s v="P011"/>
    <s v="S001"/>
    <n v="5"/>
    <n v="0.1"/>
    <x v="1"/>
    <s v="Vicki Guzman"/>
    <x v="17"/>
    <x v="1"/>
    <x v="3"/>
    <n v="248.57"/>
    <n v="1118.5650000000001"/>
  </r>
  <r>
    <s v="T04534"/>
    <d v="2024-12-15T00:00:00"/>
    <s v="C138"/>
    <s v="P006"/>
    <s v="S001"/>
    <n v="4"/>
    <n v="0.15"/>
    <x v="0"/>
    <s v="Breanna Moore"/>
    <x v="35"/>
    <x v="2"/>
    <x v="3"/>
    <n v="318.05"/>
    <n v="1081.3700000000001"/>
  </r>
  <r>
    <s v="T04535"/>
    <d v="2025-04-25T00:00:00"/>
    <s v="C199"/>
    <s v="P018"/>
    <s v="S001"/>
    <n v="3"/>
    <n v="0"/>
    <x v="3"/>
    <s v="Juan Johnson"/>
    <x v="19"/>
    <x v="1"/>
    <x v="3"/>
    <n v="1079.8900000000001"/>
    <n v="3239.67"/>
  </r>
  <r>
    <s v="T04536"/>
    <d v="2024-09-11T00:00:00"/>
    <s v="C012"/>
    <s v="P031"/>
    <s v="S002"/>
    <n v="1"/>
    <n v="0.05"/>
    <x v="0"/>
    <s v="Dale Perry"/>
    <x v="39"/>
    <x v="2"/>
    <x v="2"/>
    <n v="1095.72"/>
    <n v="1040.934"/>
  </r>
  <r>
    <s v="T04537"/>
    <d v="2023-11-19T00:00:00"/>
    <s v="C080"/>
    <s v="P020"/>
    <s v="S002"/>
    <n v="3"/>
    <n v="0"/>
    <x v="2"/>
    <s v="Grace Garcia"/>
    <x v="24"/>
    <x v="0"/>
    <x v="2"/>
    <n v="323.92"/>
    <n v="971.76"/>
  </r>
  <r>
    <s v="T04538"/>
    <d v="2024-08-02T00:00:00"/>
    <s v="C064"/>
    <s v="P018"/>
    <s v="S001"/>
    <n v="1"/>
    <n v="0.15"/>
    <x v="3"/>
    <s v="Amanda Hoover"/>
    <x v="19"/>
    <x v="1"/>
    <x v="3"/>
    <n v="1079.8900000000001"/>
    <n v="917.90650000000005"/>
  </r>
  <r>
    <s v="T04539"/>
    <d v="2024-09-30T00:00:00"/>
    <s v="C080"/>
    <s v="P020"/>
    <s v="S005"/>
    <n v="5"/>
    <n v="0.15"/>
    <x v="3"/>
    <s v="Grace Garcia"/>
    <x v="24"/>
    <x v="0"/>
    <x v="4"/>
    <n v="323.92"/>
    <n v="1376.66"/>
  </r>
  <r>
    <s v="T04540"/>
    <d v="2025-08-16T00:00:00"/>
    <s v="C062"/>
    <s v="P022"/>
    <s v="S004"/>
    <n v="2"/>
    <n v="0"/>
    <x v="1"/>
    <s v="Susan Salinas"/>
    <x v="9"/>
    <x v="2"/>
    <x v="1"/>
    <n v="25.57"/>
    <n v="51.14"/>
  </r>
  <r>
    <s v="T04541"/>
    <d v="2024-12-19T00:00:00"/>
    <s v="C014"/>
    <s v="P043"/>
    <s v="S001"/>
    <n v="2"/>
    <n v="0.05"/>
    <x v="3"/>
    <s v="Brittany Green"/>
    <x v="45"/>
    <x v="0"/>
    <x v="3"/>
    <n v="564.41999999999996"/>
    <n v="1072.3979999999999"/>
  </r>
  <r>
    <s v="T04542"/>
    <d v="2025-01-06T00:00:00"/>
    <s v="C179"/>
    <s v="P026"/>
    <s v="S002"/>
    <n v="1"/>
    <n v="0.15"/>
    <x v="3"/>
    <s v="Dennis Wallace"/>
    <x v="15"/>
    <x v="2"/>
    <x v="2"/>
    <n v="1015.76"/>
    <n v="863.39599999999996"/>
  </r>
  <r>
    <s v="T04543"/>
    <d v="2024-06-09T00:00:00"/>
    <s v="C021"/>
    <s v="P044"/>
    <s v="S001"/>
    <n v="3"/>
    <n v="0"/>
    <x v="3"/>
    <s v="Debbie Martin"/>
    <x v="32"/>
    <x v="0"/>
    <x v="3"/>
    <n v="1286.55"/>
    <n v="3859.6499999999996"/>
  </r>
  <r>
    <s v="T04544"/>
    <d v="2023-10-28T00:00:00"/>
    <s v="C054"/>
    <s v="P019"/>
    <s v="S003"/>
    <n v="4"/>
    <n v="0"/>
    <x v="2"/>
    <s v="Crystal Johnson"/>
    <x v="26"/>
    <x v="1"/>
    <x v="0"/>
    <n v="1762.92"/>
    <n v="7051.68"/>
  </r>
  <r>
    <s v="T04545"/>
    <d v="2023-09-29T00:00:00"/>
    <s v="C028"/>
    <s v="P020"/>
    <s v="S004"/>
    <n v="1"/>
    <n v="0.15"/>
    <x v="1"/>
    <s v="John Carr"/>
    <x v="24"/>
    <x v="0"/>
    <x v="1"/>
    <n v="323.92"/>
    <n v="275.33199999999999"/>
  </r>
  <r>
    <s v="T04546"/>
    <d v="2025-08-23T00:00:00"/>
    <s v="C012"/>
    <s v="P043"/>
    <s v="S001"/>
    <n v="4"/>
    <n v="0.05"/>
    <x v="0"/>
    <s v="Dale Perry"/>
    <x v="45"/>
    <x v="0"/>
    <x v="3"/>
    <n v="564.41999999999996"/>
    <n v="2144.7959999999998"/>
  </r>
  <r>
    <s v="T04547"/>
    <d v="2025-05-29T00:00:00"/>
    <s v="C176"/>
    <s v="P042"/>
    <s v="S005"/>
    <n v="1"/>
    <n v="0.1"/>
    <x v="3"/>
    <s v="Peter Garcia"/>
    <x v="10"/>
    <x v="0"/>
    <x v="4"/>
    <n v="453.62"/>
    <n v="408.25800000000004"/>
  </r>
  <r>
    <s v="T04548"/>
    <d v="2024-01-13T00:00:00"/>
    <s v="C149"/>
    <s v="P036"/>
    <s v="S003"/>
    <n v="4"/>
    <n v="0.1"/>
    <x v="0"/>
    <s v="Melissa Torres"/>
    <x v="4"/>
    <x v="0"/>
    <x v="0"/>
    <n v="1501.46"/>
    <n v="5405.2560000000003"/>
  </r>
  <r>
    <s v="T04549"/>
    <d v="2024-05-27T00:00:00"/>
    <s v="C003"/>
    <s v="P034"/>
    <s v="S001"/>
    <n v="1"/>
    <n v="0.05"/>
    <x v="1"/>
    <s v="Carol Hays"/>
    <x v="12"/>
    <x v="1"/>
    <x v="3"/>
    <n v="428.05"/>
    <n v="406.64749999999998"/>
  </r>
  <r>
    <s v="T04550"/>
    <d v="2024-05-02T00:00:00"/>
    <s v="C088"/>
    <s v="P019"/>
    <s v="S002"/>
    <n v="3"/>
    <n v="0.05"/>
    <x v="3"/>
    <s v="Brenda Costa"/>
    <x v="26"/>
    <x v="1"/>
    <x v="2"/>
    <n v="1762.92"/>
    <n v="5024.3220000000001"/>
  </r>
  <r>
    <s v="T04551"/>
    <d v="2023-12-04T00:00:00"/>
    <s v="C006"/>
    <s v="P007"/>
    <s v="S004"/>
    <n v="2"/>
    <n v="0.15"/>
    <x v="3"/>
    <s v="Danny Moore"/>
    <x v="18"/>
    <x v="1"/>
    <x v="1"/>
    <n v="1474.12"/>
    <n v="2506.0039999999999"/>
  </r>
  <r>
    <s v="T04552"/>
    <d v="2023-09-29T00:00:00"/>
    <s v="C121"/>
    <s v="P034"/>
    <s v="S002"/>
    <n v="4"/>
    <n v="0"/>
    <x v="2"/>
    <s v="John Bell"/>
    <x v="12"/>
    <x v="1"/>
    <x v="2"/>
    <n v="428.05"/>
    <n v="1712.2"/>
  </r>
  <r>
    <s v="T04553"/>
    <d v="2023-12-26T00:00:00"/>
    <s v="C120"/>
    <s v="P049"/>
    <s v="S001"/>
    <n v="4"/>
    <n v="0"/>
    <x v="1"/>
    <s v="Curtis Faulkner"/>
    <x v="29"/>
    <x v="0"/>
    <x v="3"/>
    <n v="388.26"/>
    <n v="1553.04"/>
  </r>
  <r>
    <s v="T04554"/>
    <d v="2025-03-24T00:00:00"/>
    <s v="C008"/>
    <s v="P037"/>
    <s v="S005"/>
    <n v="5"/>
    <n v="0"/>
    <x v="1"/>
    <s v="Isaiah Williams"/>
    <x v="27"/>
    <x v="1"/>
    <x v="4"/>
    <n v="1952.65"/>
    <n v="9763.25"/>
  </r>
  <r>
    <s v="T04555"/>
    <d v="2025-03-30T00:00:00"/>
    <s v="C040"/>
    <s v="P006"/>
    <s v="S002"/>
    <n v="2"/>
    <n v="0.15"/>
    <x v="0"/>
    <s v="Scott Powell"/>
    <x v="35"/>
    <x v="2"/>
    <x v="2"/>
    <n v="318.05"/>
    <n v="540.68500000000006"/>
  </r>
  <r>
    <s v="T04556"/>
    <d v="2024-11-26T00:00:00"/>
    <s v="C124"/>
    <s v="P048"/>
    <s v="S004"/>
    <n v="1"/>
    <n v="0.05"/>
    <x v="1"/>
    <s v="Chad Roberts"/>
    <x v="11"/>
    <x v="0"/>
    <x v="1"/>
    <n v="1216.3599999999999"/>
    <n v="1155.5419999999999"/>
  </r>
  <r>
    <s v="T04557"/>
    <d v="2024-01-01T00:00:00"/>
    <s v="C087"/>
    <s v="P049"/>
    <s v="S002"/>
    <n v="1"/>
    <n v="0.15"/>
    <x v="1"/>
    <s v="Laurie Mason"/>
    <x v="29"/>
    <x v="0"/>
    <x v="2"/>
    <n v="388.26"/>
    <n v="330.02099999999996"/>
  </r>
  <r>
    <s v="T04558"/>
    <d v="2025-04-02T00:00:00"/>
    <s v="C144"/>
    <s v="P005"/>
    <s v="S001"/>
    <n v="1"/>
    <n v="0.05"/>
    <x v="0"/>
    <s v="Betty Johnson"/>
    <x v="6"/>
    <x v="0"/>
    <x v="3"/>
    <n v="1396.22"/>
    <n v="1326.4089999999999"/>
  </r>
  <r>
    <s v="T04559"/>
    <d v="2024-04-20T00:00:00"/>
    <s v="C141"/>
    <s v="P007"/>
    <s v="S001"/>
    <n v="5"/>
    <n v="0.1"/>
    <x v="0"/>
    <s v="Adam Lucas"/>
    <x v="18"/>
    <x v="1"/>
    <x v="3"/>
    <n v="1474.12"/>
    <n v="6633.54"/>
  </r>
  <r>
    <s v="T04560"/>
    <d v="2023-09-12T00:00:00"/>
    <s v="C120"/>
    <s v="P046"/>
    <s v="S005"/>
    <n v="1"/>
    <n v="0"/>
    <x v="2"/>
    <s v="Curtis Faulkner"/>
    <x v="42"/>
    <x v="0"/>
    <x v="4"/>
    <n v="1165.3699999999999"/>
    <n v="1165.3699999999999"/>
  </r>
  <r>
    <s v="T04561"/>
    <d v="2024-08-04T00:00:00"/>
    <s v="C167"/>
    <s v="P041"/>
    <s v="S003"/>
    <n v="3"/>
    <n v="0.05"/>
    <x v="2"/>
    <s v="Kimberly Lin"/>
    <x v="30"/>
    <x v="1"/>
    <x v="0"/>
    <n v="1635.01"/>
    <n v="4659.7784999999994"/>
  </r>
  <r>
    <s v="T04562"/>
    <d v="2023-12-02T00:00:00"/>
    <s v="C055"/>
    <s v="P046"/>
    <s v="S004"/>
    <n v="2"/>
    <n v="0.05"/>
    <x v="3"/>
    <s v="Deborah Moody"/>
    <x v="42"/>
    <x v="0"/>
    <x v="1"/>
    <n v="1165.3699999999999"/>
    <n v="2214.2029999999995"/>
  </r>
  <r>
    <s v="T04563"/>
    <d v="2023-09-24T00:00:00"/>
    <s v="C101"/>
    <s v="P038"/>
    <s v="S005"/>
    <n v="1"/>
    <n v="0.15"/>
    <x v="1"/>
    <s v="William Pope"/>
    <x v="41"/>
    <x v="0"/>
    <x v="4"/>
    <n v="366.93"/>
    <n v="311.89049999999997"/>
  </r>
  <r>
    <s v="T04564"/>
    <d v="2025-07-11T00:00:00"/>
    <s v="C142"/>
    <s v="P009"/>
    <s v="S003"/>
    <n v="4"/>
    <n v="0.1"/>
    <x v="1"/>
    <s v="Suzanne Fox"/>
    <x v="5"/>
    <x v="2"/>
    <x v="0"/>
    <n v="123.19"/>
    <n v="443.48399999999998"/>
  </r>
  <r>
    <s v="T04565"/>
    <d v="2025-06-02T00:00:00"/>
    <s v="C171"/>
    <s v="P004"/>
    <s v="S004"/>
    <n v="1"/>
    <n v="0.15"/>
    <x v="1"/>
    <s v="Christina Dominguez"/>
    <x v="49"/>
    <x v="0"/>
    <x v="1"/>
    <n v="1853.77"/>
    <n v="1575.7045000000001"/>
  </r>
  <r>
    <s v="T04566"/>
    <d v="2023-10-15T00:00:00"/>
    <s v="C175"/>
    <s v="P027"/>
    <s v="S003"/>
    <n v="1"/>
    <n v="0.15"/>
    <x v="3"/>
    <s v="Stacey Thompson"/>
    <x v="34"/>
    <x v="1"/>
    <x v="0"/>
    <n v="1272.23"/>
    <n v="1081.3955000000001"/>
  </r>
  <r>
    <s v="T04567"/>
    <d v="2024-04-25T00:00:00"/>
    <s v="C063"/>
    <s v="P030"/>
    <s v="S005"/>
    <n v="3"/>
    <n v="0.05"/>
    <x v="3"/>
    <s v="Michael Johnson"/>
    <x v="1"/>
    <x v="0"/>
    <x v="4"/>
    <n v="29.24"/>
    <n v="83.333999999999989"/>
  </r>
  <r>
    <s v="T04568"/>
    <d v="2023-11-29T00:00:00"/>
    <s v="C083"/>
    <s v="P031"/>
    <s v="S001"/>
    <n v="1"/>
    <n v="0.15"/>
    <x v="0"/>
    <s v="Jeremy Robles"/>
    <x v="39"/>
    <x v="2"/>
    <x v="3"/>
    <n v="1095.72"/>
    <n v="931.36199999999997"/>
  </r>
  <r>
    <s v="T04569"/>
    <d v="2025-02-08T00:00:00"/>
    <s v="C038"/>
    <s v="P014"/>
    <s v="S004"/>
    <n v="1"/>
    <n v="0"/>
    <x v="1"/>
    <s v="Tracey Davis"/>
    <x v="0"/>
    <x v="0"/>
    <x v="1"/>
    <n v="1342.75"/>
    <n v="1342.75"/>
  </r>
  <r>
    <s v="T04570"/>
    <d v="2025-06-25T00:00:00"/>
    <s v="C003"/>
    <s v="P021"/>
    <s v="S002"/>
    <n v="2"/>
    <n v="0.1"/>
    <x v="3"/>
    <s v="Carol Hays"/>
    <x v="23"/>
    <x v="2"/>
    <x v="2"/>
    <n v="1227.24"/>
    <n v="2209.0320000000002"/>
  </r>
  <r>
    <s v="T04571"/>
    <d v="2024-07-31T00:00:00"/>
    <s v="C167"/>
    <s v="P005"/>
    <s v="S005"/>
    <n v="3"/>
    <n v="0.05"/>
    <x v="0"/>
    <s v="Kimberly Lin"/>
    <x v="6"/>
    <x v="0"/>
    <x v="4"/>
    <n v="1396.22"/>
    <n v="3979.2269999999999"/>
  </r>
  <r>
    <s v="T04572"/>
    <d v="2023-11-22T00:00:00"/>
    <s v="C055"/>
    <s v="P029"/>
    <s v="S001"/>
    <n v="5"/>
    <n v="0.05"/>
    <x v="2"/>
    <s v="Deborah Moody"/>
    <x v="47"/>
    <x v="0"/>
    <x v="3"/>
    <n v="1485.05"/>
    <n v="7053.9874999999993"/>
  </r>
  <r>
    <s v="T04573"/>
    <d v="2025-02-04T00:00:00"/>
    <s v="C074"/>
    <s v="P050"/>
    <s v="S005"/>
    <n v="3"/>
    <n v="0"/>
    <x v="2"/>
    <s v="Jesus Singh"/>
    <x v="3"/>
    <x v="0"/>
    <x v="4"/>
    <n v="1044.6400000000001"/>
    <n v="3133.92"/>
  </r>
  <r>
    <s v="T04574"/>
    <d v="2024-12-06T00:00:00"/>
    <s v="C007"/>
    <s v="P006"/>
    <s v="S001"/>
    <n v="3"/>
    <n v="0"/>
    <x v="1"/>
    <s v="Erin Walker"/>
    <x v="35"/>
    <x v="2"/>
    <x v="3"/>
    <n v="318.05"/>
    <n v="954.15000000000009"/>
  </r>
  <r>
    <s v="T04575"/>
    <d v="2025-02-19T00:00:00"/>
    <s v="C154"/>
    <s v="P050"/>
    <s v="S001"/>
    <n v="1"/>
    <n v="0.1"/>
    <x v="2"/>
    <s v="Lisa Martinez"/>
    <x v="3"/>
    <x v="0"/>
    <x v="3"/>
    <n v="1044.6400000000001"/>
    <n v="940.17600000000016"/>
  </r>
  <r>
    <s v="T04576"/>
    <d v="2023-11-15T00:00:00"/>
    <s v="C012"/>
    <s v="P009"/>
    <s v="S002"/>
    <n v="1"/>
    <n v="0.1"/>
    <x v="3"/>
    <s v="Dale Perry"/>
    <x v="5"/>
    <x v="2"/>
    <x v="2"/>
    <n v="123.19"/>
    <n v="110.871"/>
  </r>
  <r>
    <s v="T04577"/>
    <d v="2025-02-06T00:00:00"/>
    <s v="C097"/>
    <s v="P031"/>
    <s v="S004"/>
    <n v="3"/>
    <n v="0.15"/>
    <x v="0"/>
    <s v="Evelyn Gray"/>
    <x v="39"/>
    <x v="2"/>
    <x v="1"/>
    <n v="1095.72"/>
    <n v="2794.0859999999998"/>
  </r>
  <r>
    <s v="T04578"/>
    <d v="2024-09-19T00:00:00"/>
    <s v="C104"/>
    <s v="P043"/>
    <s v="S002"/>
    <n v="2"/>
    <n v="0.1"/>
    <x v="2"/>
    <s v="Brenda Dean"/>
    <x v="45"/>
    <x v="0"/>
    <x v="2"/>
    <n v="564.41999999999996"/>
    <n v="1015.9559999999999"/>
  </r>
  <r>
    <s v="T04579"/>
    <d v="2024-10-29T00:00:00"/>
    <s v="C080"/>
    <s v="P037"/>
    <s v="S005"/>
    <n v="1"/>
    <n v="0"/>
    <x v="3"/>
    <s v="Grace Garcia"/>
    <x v="27"/>
    <x v="1"/>
    <x v="4"/>
    <n v="1952.65"/>
    <n v="1952.65"/>
  </r>
  <r>
    <s v="T04580"/>
    <d v="2025-03-29T00:00:00"/>
    <s v="C084"/>
    <s v="P019"/>
    <s v="S001"/>
    <n v="1"/>
    <n v="0.1"/>
    <x v="1"/>
    <s v="Amanda Lee"/>
    <x v="26"/>
    <x v="1"/>
    <x v="3"/>
    <n v="1762.92"/>
    <n v="1586.6280000000002"/>
  </r>
  <r>
    <s v="T04581"/>
    <d v="2025-07-09T00:00:00"/>
    <s v="C108"/>
    <s v="P028"/>
    <s v="S003"/>
    <n v="2"/>
    <n v="0.15"/>
    <x v="1"/>
    <s v="Samantha Hill"/>
    <x v="25"/>
    <x v="1"/>
    <x v="0"/>
    <n v="673.78"/>
    <n v="1145.4259999999999"/>
  </r>
  <r>
    <s v="T04582"/>
    <d v="2025-07-02T00:00:00"/>
    <s v="C032"/>
    <s v="P030"/>
    <s v="S003"/>
    <n v="4"/>
    <n v="0.05"/>
    <x v="0"/>
    <s v="Valerie Macdonald"/>
    <x v="1"/>
    <x v="0"/>
    <x v="0"/>
    <n v="29.24"/>
    <n v="111.11199999999999"/>
  </r>
  <r>
    <s v="T04583"/>
    <d v="2024-06-11T00:00:00"/>
    <s v="C083"/>
    <s v="P001"/>
    <s v="S001"/>
    <n v="2"/>
    <n v="0"/>
    <x v="1"/>
    <s v="Jeremy Robles"/>
    <x v="31"/>
    <x v="1"/>
    <x v="3"/>
    <n v="1673.69"/>
    <n v="3347.38"/>
  </r>
  <r>
    <s v="T04584"/>
    <d v="2024-09-22T00:00:00"/>
    <s v="C127"/>
    <s v="P034"/>
    <s v="S003"/>
    <n v="1"/>
    <n v="0.05"/>
    <x v="2"/>
    <s v="John Allen"/>
    <x v="12"/>
    <x v="1"/>
    <x v="0"/>
    <n v="428.05"/>
    <n v="406.64749999999998"/>
  </r>
  <r>
    <s v="T04585"/>
    <d v="2024-06-17T00:00:00"/>
    <s v="C152"/>
    <s v="P010"/>
    <s v="S003"/>
    <n v="5"/>
    <n v="0.15"/>
    <x v="3"/>
    <s v="Brittany Green"/>
    <x v="36"/>
    <x v="1"/>
    <x v="0"/>
    <n v="1194.1199999999999"/>
    <n v="5075.0099999999993"/>
  </r>
  <r>
    <s v="T04586"/>
    <d v="2025-01-11T00:00:00"/>
    <s v="C088"/>
    <s v="P018"/>
    <s v="S003"/>
    <n v="3"/>
    <n v="0.05"/>
    <x v="1"/>
    <s v="Brenda Costa"/>
    <x v="19"/>
    <x v="1"/>
    <x v="0"/>
    <n v="1079.8900000000001"/>
    <n v="3077.6864999999998"/>
  </r>
  <r>
    <s v="T04587"/>
    <d v="2025-05-21T00:00:00"/>
    <s v="C164"/>
    <s v="P040"/>
    <s v="S001"/>
    <n v="5"/>
    <n v="0.15"/>
    <x v="2"/>
    <s v="Linda Vasquez"/>
    <x v="37"/>
    <x v="1"/>
    <x v="3"/>
    <n v="1745.61"/>
    <n v="7418.8424999999988"/>
  </r>
  <r>
    <s v="T04588"/>
    <d v="2024-07-03T00:00:00"/>
    <s v="C059"/>
    <s v="P037"/>
    <s v="S004"/>
    <n v="1"/>
    <n v="0.05"/>
    <x v="0"/>
    <s v="Scott Wyatt"/>
    <x v="27"/>
    <x v="1"/>
    <x v="1"/>
    <n v="1952.65"/>
    <n v="1855.0174999999999"/>
  </r>
  <r>
    <s v="T04589"/>
    <d v="2025-02-17T00:00:00"/>
    <s v="C075"/>
    <s v="P044"/>
    <s v="S004"/>
    <n v="3"/>
    <n v="0.1"/>
    <x v="1"/>
    <s v="Seth Moore"/>
    <x v="32"/>
    <x v="0"/>
    <x v="1"/>
    <n v="1286.55"/>
    <n v="3473.6849999999999"/>
  </r>
  <r>
    <s v="T04590"/>
    <d v="2025-05-24T00:00:00"/>
    <s v="C198"/>
    <s v="P037"/>
    <s v="S004"/>
    <n v="4"/>
    <n v="0.05"/>
    <x v="3"/>
    <s v="Jessica Mullins"/>
    <x v="27"/>
    <x v="1"/>
    <x v="1"/>
    <n v="1952.65"/>
    <n v="7420.07"/>
  </r>
  <r>
    <s v="T04591"/>
    <d v="2025-04-07T00:00:00"/>
    <s v="C092"/>
    <s v="P048"/>
    <s v="S001"/>
    <n v="4"/>
    <n v="0"/>
    <x v="3"/>
    <s v="Lindsey Holder"/>
    <x v="11"/>
    <x v="0"/>
    <x v="3"/>
    <n v="1216.3599999999999"/>
    <n v="4865.4399999999996"/>
  </r>
  <r>
    <s v="T04592"/>
    <d v="2025-06-23T00:00:00"/>
    <s v="C118"/>
    <s v="P042"/>
    <s v="S002"/>
    <n v="1"/>
    <n v="0.15"/>
    <x v="3"/>
    <s v="Gina Bradford"/>
    <x v="10"/>
    <x v="0"/>
    <x v="2"/>
    <n v="453.62"/>
    <n v="385.577"/>
  </r>
  <r>
    <s v="T04593"/>
    <d v="2025-07-23T00:00:00"/>
    <s v="C093"/>
    <s v="P038"/>
    <s v="S004"/>
    <n v="3"/>
    <n v="0.15"/>
    <x v="2"/>
    <s v="Stanley Brown"/>
    <x v="41"/>
    <x v="0"/>
    <x v="1"/>
    <n v="366.93"/>
    <n v="935.67149999999992"/>
  </r>
  <r>
    <s v="T04594"/>
    <d v="2025-01-09T00:00:00"/>
    <s v="C124"/>
    <s v="P029"/>
    <s v="S001"/>
    <n v="2"/>
    <n v="0"/>
    <x v="1"/>
    <s v="Chad Roberts"/>
    <x v="47"/>
    <x v="0"/>
    <x v="3"/>
    <n v="1485.05"/>
    <n v="2970.1"/>
  </r>
  <r>
    <s v="T04595"/>
    <d v="2025-03-16T00:00:00"/>
    <s v="C082"/>
    <s v="P005"/>
    <s v="S003"/>
    <n v="2"/>
    <n v="0"/>
    <x v="2"/>
    <s v="Amy Haley"/>
    <x v="6"/>
    <x v="0"/>
    <x v="0"/>
    <n v="1396.22"/>
    <n v="2792.44"/>
  </r>
  <r>
    <s v="T04596"/>
    <d v="2025-01-06T00:00:00"/>
    <s v="C114"/>
    <s v="P018"/>
    <s v="S003"/>
    <n v="1"/>
    <n v="0.1"/>
    <x v="0"/>
    <s v="Miranda Rodriguez"/>
    <x v="19"/>
    <x v="1"/>
    <x v="0"/>
    <n v="1079.8900000000001"/>
    <n v="971.90100000000007"/>
  </r>
  <r>
    <s v="T04597"/>
    <d v="2025-05-21T00:00:00"/>
    <s v="C181"/>
    <s v="P012"/>
    <s v="S004"/>
    <n v="2"/>
    <n v="0.15"/>
    <x v="3"/>
    <s v="Brittany Oneal"/>
    <x v="38"/>
    <x v="1"/>
    <x v="1"/>
    <n v="1193.0899999999999"/>
    <n v="2028.2529999999997"/>
  </r>
  <r>
    <s v="T04598"/>
    <d v="2025-06-24T00:00:00"/>
    <s v="C042"/>
    <s v="P017"/>
    <s v="S005"/>
    <n v="2"/>
    <n v="0.1"/>
    <x v="0"/>
    <s v="Anna Andrews"/>
    <x v="43"/>
    <x v="1"/>
    <x v="4"/>
    <n v="1246.1099999999999"/>
    <n v="2242.998"/>
  </r>
  <r>
    <s v="T04599"/>
    <d v="2024-03-15T00:00:00"/>
    <s v="C198"/>
    <s v="P006"/>
    <s v="S004"/>
    <n v="5"/>
    <n v="0.15"/>
    <x v="2"/>
    <s v="Jessica Mullins"/>
    <x v="35"/>
    <x v="2"/>
    <x v="1"/>
    <n v="318.05"/>
    <n v="1351.7124999999999"/>
  </r>
  <r>
    <s v="T04600"/>
    <d v="2024-12-19T00:00:00"/>
    <s v="C116"/>
    <s v="P021"/>
    <s v="S002"/>
    <n v="5"/>
    <n v="0.1"/>
    <x v="3"/>
    <s v="Jamie Webb"/>
    <x v="23"/>
    <x v="2"/>
    <x v="2"/>
    <n v="1227.24"/>
    <n v="5522.58"/>
  </r>
  <r>
    <s v="T04601"/>
    <d v="2025-05-30T00:00:00"/>
    <s v="C115"/>
    <s v="P049"/>
    <s v="S004"/>
    <n v="4"/>
    <n v="0.1"/>
    <x v="2"/>
    <s v="Jose Smith"/>
    <x v="29"/>
    <x v="0"/>
    <x v="1"/>
    <n v="388.26"/>
    <n v="1397.7360000000001"/>
  </r>
  <r>
    <s v="T04602"/>
    <d v="2024-03-23T00:00:00"/>
    <s v="C003"/>
    <s v="P003"/>
    <s v="S004"/>
    <n v="4"/>
    <n v="0.05"/>
    <x v="2"/>
    <s v="Carol Hays"/>
    <x v="46"/>
    <x v="0"/>
    <x v="1"/>
    <n v="337.63"/>
    <n v="1282.9939999999999"/>
  </r>
  <r>
    <s v="T04603"/>
    <d v="2023-12-01T00:00:00"/>
    <s v="C123"/>
    <s v="P024"/>
    <s v="S001"/>
    <n v="2"/>
    <n v="0.1"/>
    <x v="2"/>
    <s v="Peter Edwards"/>
    <x v="14"/>
    <x v="1"/>
    <x v="3"/>
    <n v="1487.41"/>
    <n v="2677.3380000000002"/>
  </r>
  <r>
    <s v="T04604"/>
    <d v="2025-02-15T00:00:00"/>
    <s v="C187"/>
    <s v="P007"/>
    <s v="S005"/>
    <n v="4"/>
    <n v="0.15"/>
    <x v="1"/>
    <s v="Cynthia Cherry"/>
    <x v="18"/>
    <x v="1"/>
    <x v="4"/>
    <n v="1474.12"/>
    <n v="5012.0079999999998"/>
  </r>
  <r>
    <s v="T04605"/>
    <d v="2024-10-08T00:00:00"/>
    <s v="C178"/>
    <s v="P031"/>
    <s v="S002"/>
    <n v="3"/>
    <n v="0.05"/>
    <x v="2"/>
    <s v="Mark Mcdonald"/>
    <x v="39"/>
    <x v="2"/>
    <x v="2"/>
    <n v="1095.72"/>
    <n v="3122.8019999999997"/>
  </r>
  <r>
    <s v="T04606"/>
    <d v="2025-03-25T00:00:00"/>
    <s v="C136"/>
    <s v="P044"/>
    <s v="S004"/>
    <n v="5"/>
    <n v="0.15"/>
    <x v="3"/>
    <s v="Amanda Garcia"/>
    <x v="32"/>
    <x v="0"/>
    <x v="1"/>
    <n v="1286.55"/>
    <n v="5467.8374999999996"/>
  </r>
  <r>
    <s v="T04607"/>
    <d v="2024-11-27T00:00:00"/>
    <s v="C105"/>
    <s v="P043"/>
    <s v="S001"/>
    <n v="3"/>
    <n v="0.15"/>
    <x v="2"/>
    <s v="Kenneth Berg"/>
    <x v="45"/>
    <x v="0"/>
    <x v="3"/>
    <n v="564.41999999999996"/>
    <n v="1439.2709999999997"/>
  </r>
  <r>
    <s v="T04608"/>
    <d v="2025-05-15T00:00:00"/>
    <s v="C046"/>
    <s v="P008"/>
    <s v="S001"/>
    <n v="3"/>
    <n v="0.1"/>
    <x v="2"/>
    <s v="Dennis Poole"/>
    <x v="48"/>
    <x v="0"/>
    <x v="3"/>
    <n v="109.78"/>
    <n v="296.40600000000006"/>
  </r>
  <r>
    <s v="T04609"/>
    <d v="2024-12-17T00:00:00"/>
    <s v="C067"/>
    <s v="P010"/>
    <s v="S001"/>
    <n v="3"/>
    <n v="0"/>
    <x v="2"/>
    <s v="Daniel Maldonado"/>
    <x v="36"/>
    <x v="1"/>
    <x v="3"/>
    <n v="1194.1199999999999"/>
    <n v="3582.3599999999997"/>
  </r>
  <r>
    <s v="T04610"/>
    <d v="2024-06-28T00:00:00"/>
    <s v="C122"/>
    <s v="P034"/>
    <s v="S002"/>
    <n v="5"/>
    <n v="0.15"/>
    <x v="3"/>
    <s v="Amy Smith"/>
    <x v="12"/>
    <x v="1"/>
    <x v="2"/>
    <n v="428.05"/>
    <n v="1819.2124999999999"/>
  </r>
  <r>
    <s v="T04611"/>
    <d v="2025-08-24T00:00:00"/>
    <s v="C084"/>
    <s v="P007"/>
    <s v="S005"/>
    <n v="4"/>
    <n v="0.15"/>
    <x v="0"/>
    <s v="Amanda Lee"/>
    <x v="18"/>
    <x v="1"/>
    <x v="4"/>
    <n v="1474.12"/>
    <n v="5012.0079999999998"/>
  </r>
  <r>
    <s v="T04612"/>
    <d v="2025-02-19T00:00:00"/>
    <s v="C199"/>
    <s v="P031"/>
    <s v="S001"/>
    <n v="3"/>
    <n v="0.05"/>
    <x v="0"/>
    <s v="Juan Johnson"/>
    <x v="39"/>
    <x v="2"/>
    <x v="3"/>
    <n v="1095.72"/>
    <n v="3122.8019999999997"/>
  </r>
  <r>
    <s v="T04613"/>
    <d v="2024-01-06T00:00:00"/>
    <s v="C106"/>
    <s v="P003"/>
    <s v="S004"/>
    <n v="1"/>
    <n v="0.15"/>
    <x v="1"/>
    <s v="Kevin Flores"/>
    <x v="46"/>
    <x v="0"/>
    <x v="1"/>
    <n v="337.63"/>
    <n v="286.9855"/>
  </r>
  <r>
    <s v="T04614"/>
    <d v="2024-09-29T00:00:00"/>
    <s v="C128"/>
    <s v="P045"/>
    <s v="S003"/>
    <n v="3"/>
    <n v="0.1"/>
    <x v="2"/>
    <s v="Robert Collins"/>
    <x v="8"/>
    <x v="2"/>
    <x v="0"/>
    <n v="1879.08"/>
    <n v="5073.5159999999996"/>
  </r>
  <r>
    <s v="T04615"/>
    <d v="2023-12-19T00:00:00"/>
    <s v="C112"/>
    <s v="P041"/>
    <s v="S001"/>
    <n v="5"/>
    <n v="0"/>
    <x v="2"/>
    <s v="Jeffrey Smith"/>
    <x v="30"/>
    <x v="1"/>
    <x v="3"/>
    <n v="1635.01"/>
    <n v="8175.05"/>
  </r>
  <r>
    <s v="T04616"/>
    <d v="2023-11-16T00:00:00"/>
    <s v="C135"/>
    <s v="P015"/>
    <s v="S003"/>
    <n v="2"/>
    <n v="0.05"/>
    <x v="1"/>
    <s v="Mario Cuevas"/>
    <x v="40"/>
    <x v="0"/>
    <x v="0"/>
    <n v="270.45"/>
    <n v="513.8549999999999"/>
  </r>
  <r>
    <s v="T04617"/>
    <d v="2023-09-15T00:00:00"/>
    <s v="C054"/>
    <s v="P012"/>
    <s v="S004"/>
    <n v="2"/>
    <n v="0.15"/>
    <x v="2"/>
    <s v="Crystal Johnson"/>
    <x v="38"/>
    <x v="1"/>
    <x v="1"/>
    <n v="1193.0899999999999"/>
    <n v="2028.2529999999997"/>
  </r>
  <r>
    <s v="T04618"/>
    <d v="2025-07-14T00:00:00"/>
    <s v="C047"/>
    <s v="P045"/>
    <s v="S001"/>
    <n v="2"/>
    <n v="0.05"/>
    <x v="2"/>
    <s v="Mary Decker"/>
    <x v="8"/>
    <x v="2"/>
    <x v="3"/>
    <n v="1879.08"/>
    <n v="3570.2519999999995"/>
  </r>
  <r>
    <s v="T04619"/>
    <d v="2025-02-10T00:00:00"/>
    <s v="C124"/>
    <s v="P004"/>
    <s v="S001"/>
    <n v="1"/>
    <n v="0"/>
    <x v="1"/>
    <s v="Chad Roberts"/>
    <x v="49"/>
    <x v="0"/>
    <x v="3"/>
    <n v="1853.77"/>
    <n v="1853.77"/>
  </r>
  <r>
    <s v="T04620"/>
    <d v="2024-02-22T00:00:00"/>
    <s v="C095"/>
    <s v="P027"/>
    <s v="S004"/>
    <n v="4"/>
    <n v="0"/>
    <x v="1"/>
    <s v="Kevin Snyder"/>
    <x v="34"/>
    <x v="1"/>
    <x v="1"/>
    <n v="1272.23"/>
    <n v="5088.92"/>
  </r>
  <r>
    <s v="T04621"/>
    <d v="2023-11-15T00:00:00"/>
    <s v="C028"/>
    <s v="P003"/>
    <s v="S004"/>
    <n v="2"/>
    <n v="0"/>
    <x v="0"/>
    <s v="John Carr"/>
    <x v="46"/>
    <x v="0"/>
    <x v="1"/>
    <n v="337.63"/>
    <n v="675.26"/>
  </r>
  <r>
    <s v="T04622"/>
    <d v="2023-11-19T00:00:00"/>
    <s v="C041"/>
    <s v="P023"/>
    <s v="S005"/>
    <n v="5"/>
    <n v="0.1"/>
    <x v="3"/>
    <s v="Melissa Rodgers"/>
    <x v="20"/>
    <x v="0"/>
    <x v="4"/>
    <n v="1878.47"/>
    <n v="8453.1149999999998"/>
  </r>
  <r>
    <s v="T04623"/>
    <d v="2025-06-02T00:00:00"/>
    <s v="C074"/>
    <s v="P013"/>
    <s v="S003"/>
    <n v="5"/>
    <n v="0.15"/>
    <x v="2"/>
    <s v="Jesus Singh"/>
    <x v="21"/>
    <x v="0"/>
    <x v="0"/>
    <n v="1134.8"/>
    <n v="4822.8999999999996"/>
  </r>
  <r>
    <s v="T04624"/>
    <d v="2025-07-06T00:00:00"/>
    <s v="C009"/>
    <s v="P018"/>
    <s v="S003"/>
    <n v="2"/>
    <n v="0"/>
    <x v="1"/>
    <s v="Richard Pacheco"/>
    <x v="19"/>
    <x v="1"/>
    <x v="0"/>
    <n v="1079.8900000000001"/>
    <n v="2159.7800000000002"/>
  </r>
  <r>
    <s v="T04625"/>
    <d v="2024-04-21T00:00:00"/>
    <s v="C149"/>
    <s v="P041"/>
    <s v="S001"/>
    <n v="2"/>
    <n v="0.05"/>
    <x v="2"/>
    <s v="Melissa Torres"/>
    <x v="30"/>
    <x v="1"/>
    <x v="3"/>
    <n v="1635.01"/>
    <n v="3106.5189999999998"/>
  </r>
  <r>
    <s v="T04626"/>
    <d v="2024-02-23T00:00:00"/>
    <s v="C008"/>
    <s v="P049"/>
    <s v="S002"/>
    <n v="4"/>
    <n v="0"/>
    <x v="3"/>
    <s v="Isaiah Williams"/>
    <x v="29"/>
    <x v="0"/>
    <x v="2"/>
    <n v="388.26"/>
    <n v="1553.04"/>
  </r>
  <r>
    <s v="T04627"/>
    <d v="2025-06-17T00:00:00"/>
    <s v="C069"/>
    <s v="P025"/>
    <s v="S002"/>
    <n v="4"/>
    <n v="0.1"/>
    <x v="1"/>
    <s v="Gabriel Daugherty"/>
    <x v="33"/>
    <x v="0"/>
    <x v="2"/>
    <n v="429.15"/>
    <n v="1544.94"/>
  </r>
  <r>
    <s v="T04628"/>
    <d v="2025-04-06T00:00:00"/>
    <s v="C020"/>
    <s v="P017"/>
    <s v="S001"/>
    <n v="4"/>
    <n v="0"/>
    <x v="3"/>
    <s v="Ryan Cole"/>
    <x v="43"/>
    <x v="1"/>
    <x v="3"/>
    <n v="1246.1099999999999"/>
    <n v="4984.4399999999996"/>
  </r>
  <r>
    <s v="T04629"/>
    <d v="2025-07-01T00:00:00"/>
    <s v="C116"/>
    <s v="P032"/>
    <s v="S004"/>
    <n v="1"/>
    <n v="0.05"/>
    <x v="3"/>
    <s v="Jamie Webb"/>
    <x v="44"/>
    <x v="2"/>
    <x v="1"/>
    <n v="304.70999999999998"/>
    <n v="289.47449999999998"/>
  </r>
  <r>
    <s v="T04630"/>
    <d v="2023-11-28T00:00:00"/>
    <s v="C103"/>
    <s v="P024"/>
    <s v="S002"/>
    <n v="4"/>
    <n v="0"/>
    <x v="0"/>
    <s v="David Burns"/>
    <x v="14"/>
    <x v="1"/>
    <x v="2"/>
    <n v="1487.41"/>
    <n v="5949.64"/>
  </r>
  <r>
    <s v="T04631"/>
    <d v="2024-07-24T00:00:00"/>
    <s v="C176"/>
    <s v="P010"/>
    <s v="S001"/>
    <n v="1"/>
    <n v="0.1"/>
    <x v="2"/>
    <s v="Peter Garcia"/>
    <x v="36"/>
    <x v="1"/>
    <x v="3"/>
    <n v="1194.1199999999999"/>
    <n v="1074.7079999999999"/>
  </r>
  <r>
    <s v="T04632"/>
    <d v="2023-12-30T00:00:00"/>
    <s v="C054"/>
    <s v="P018"/>
    <s v="S002"/>
    <n v="4"/>
    <n v="0.15"/>
    <x v="2"/>
    <s v="Crystal Johnson"/>
    <x v="19"/>
    <x v="1"/>
    <x v="2"/>
    <n v="1079.8900000000001"/>
    <n v="3671.6260000000002"/>
  </r>
  <r>
    <s v="T04633"/>
    <d v="2025-02-09T00:00:00"/>
    <s v="C065"/>
    <s v="P044"/>
    <s v="S003"/>
    <n v="4"/>
    <n v="0.05"/>
    <x v="3"/>
    <s v="Scott Duke"/>
    <x v="32"/>
    <x v="0"/>
    <x v="0"/>
    <n v="1286.55"/>
    <n v="4888.8899999999994"/>
  </r>
  <r>
    <s v="T04634"/>
    <d v="2024-07-22T00:00:00"/>
    <s v="C113"/>
    <s v="P013"/>
    <s v="S002"/>
    <n v="5"/>
    <n v="0.1"/>
    <x v="1"/>
    <s v="Heidi Wilson"/>
    <x v="21"/>
    <x v="0"/>
    <x v="2"/>
    <n v="1134.8"/>
    <n v="5106.6000000000004"/>
  </r>
  <r>
    <s v="T04635"/>
    <d v="2025-01-16T00:00:00"/>
    <s v="C111"/>
    <s v="P037"/>
    <s v="S002"/>
    <n v="5"/>
    <n v="0"/>
    <x v="2"/>
    <s v="Dylan Booker"/>
    <x v="27"/>
    <x v="1"/>
    <x v="2"/>
    <n v="1952.65"/>
    <n v="9763.25"/>
  </r>
  <r>
    <s v="T04636"/>
    <d v="2024-08-18T00:00:00"/>
    <s v="C145"/>
    <s v="P049"/>
    <s v="S001"/>
    <n v="4"/>
    <n v="0.1"/>
    <x v="0"/>
    <s v="Paige Osborne"/>
    <x v="29"/>
    <x v="0"/>
    <x v="3"/>
    <n v="388.26"/>
    <n v="1397.7360000000001"/>
  </r>
  <r>
    <s v="T04637"/>
    <d v="2024-08-06T00:00:00"/>
    <s v="C016"/>
    <s v="P016"/>
    <s v="S002"/>
    <n v="3"/>
    <n v="0.1"/>
    <x v="3"/>
    <s v="Miguel Johnson"/>
    <x v="13"/>
    <x v="0"/>
    <x v="2"/>
    <n v="1858.75"/>
    <n v="5018.625"/>
  </r>
  <r>
    <s v="T04638"/>
    <d v="2025-04-10T00:00:00"/>
    <s v="C179"/>
    <s v="P035"/>
    <s v="S005"/>
    <n v="2"/>
    <n v="0.05"/>
    <x v="2"/>
    <s v="Dennis Wallace"/>
    <x v="7"/>
    <x v="1"/>
    <x v="4"/>
    <n v="1562.43"/>
    <n v="2968.6170000000002"/>
  </r>
  <r>
    <s v="T04639"/>
    <d v="2024-03-22T00:00:00"/>
    <s v="C119"/>
    <s v="P011"/>
    <s v="S002"/>
    <n v="4"/>
    <n v="0.05"/>
    <x v="3"/>
    <s v="Jason Lloyd"/>
    <x v="17"/>
    <x v="1"/>
    <x v="2"/>
    <n v="248.57"/>
    <n v="944.56599999999992"/>
  </r>
  <r>
    <s v="T04640"/>
    <d v="2024-04-24T00:00:00"/>
    <s v="C041"/>
    <s v="P045"/>
    <s v="S005"/>
    <n v="1"/>
    <n v="0.15"/>
    <x v="2"/>
    <s v="Melissa Rodgers"/>
    <x v="8"/>
    <x v="2"/>
    <x v="4"/>
    <n v="1879.08"/>
    <n v="1597.2179999999998"/>
  </r>
  <r>
    <s v="T04641"/>
    <d v="2024-05-28T00:00:00"/>
    <s v="C090"/>
    <s v="P039"/>
    <s v="S001"/>
    <n v="3"/>
    <n v="0.15"/>
    <x v="3"/>
    <s v="Carrie Peterson"/>
    <x v="22"/>
    <x v="0"/>
    <x v="3"/>
    <n v="540.94000000000005"/>
    <n v="1379.3970000000002"/>
  </r>
  <r>
    <s v="T04642"/>
    <d v="2024-12-05T00:00:00"/>
    <s v="C033"/>
    <s v="P026"/>
    <s v="S004"/>
    <n v="4"/>
    <n v="0.15"/>
    <x v="1"/>
    <s v="Jenny Beck"/>
    <x v="15"/>
    <x v="2"/>
    <x v="1"/>
    <n v="1015.76"/>
    <n v="3453.5839999999998"/>
  </r>
  <r>
    <s v="T04643"/>
    <d v="2025-08-21T00:00:00"/>
    <s v="C166"/>
    <s v="P047"/>
    <s v="S003"/>
    <n v="2"/>
    <n v="0.15"/>
    <x v="2"/>
    <s v="Meagan Ali"/>
    <x v="28"/>
    <x v="1"/>
    <x v="0"/>
    <n v="1197.18"/>
    <n v="2035.2060000000001"/>
  </r>
  <r>
    <s v="T04644"/>
    <d v="2024-05-03T00:00:00"/>
    <s v="C142"/>
    <s v="P005"/>
    <s v="S003"/>
    <n v="3"/>
    <n v="0.05"/>
    <x v="1"/>
    <s v="Suzanne Fox"/>
    <x v="6"/>
    <x v="0"/>
    <x v="0"/>
    <n v="1396.22"/>
    <n v="3979.2269999999999"/>
  </r>
  <r>
    <s v="T04645"/>
    <d v="2024-11-20T00:00:00"/>
    <s v="C068"/>
    <s v="P004"/>
    <s v="S005"/>
    <n v="5"/>
    <n v="0.1"/>
    <x v="3"/>
    <s v="Alexandra Montoya"/>
    <x v="49"/>
    <x v="0"/>
    <x v="4"/>
    <n v="1853.77"/>
    <n v="8341.9650000000001"/>
  </r>
  <r>
    <s v="T04646"/>
    <d v="2025-04-11T00:00:00"/>
    <s v="C116"/>
    <s v="P039"/>
    <s v="S001"/>
    <n v="5"/>
    <n v="0.15"/>
    <x v="0"/>
    <s v="Jamie Webb"/>
    <x v="22"/>
    <x v="0"/>
    <x v="3"/>
    <n v="540.94000000000005"/>
    <n v="2298.9950000000003"/>
  </r>
  <r>
    <s v="T04647"/>
    <d v="2024-12-06T00:00:00"/>
    <s v="C001"/>
    <s v="P010"/>
    <s v="S004"/>
    <n v="4"/>
    <n v="0.1"/>
    <x v="1"/>
    <s v="Michael Davis"/>
    <x v="36"/>
    <x v="1"/>
    <x v="1"/>
    <n v="1194.1199999999999"/>
    <n v="4298.8319999999994"/>
  </r>
  <r>
    <s v="T04648"/>
    <d v="2023-09-14T00:00:00"/>
    <s v="C006"/>
    <s v="P034"/>
    <s v="S002"/>
    <n v="1"/>
    <n v="0"/>
    <x v="3"/>
    <s v="Danny Moore"/>
    <x v="12"/>
    <x v="1"/>
    <x v="2"/>
    <n v="428.05"/>
    <n v="428.05"/>
  </r>
  <r>
    <s v="T04649"/>
    <d v="2024-09-03T00:00:00"/>
    <s v="C145"/>
    <s v="P005"/>
    <s v="S002"/>
    <n v="5"/>
    <n v="0"/>
    <x v="2"/>
    <s v="Paige Osborne"/>
    <x v="6"/>
    <x v="0"/>
    <x v="2"/>
    <n v="1396.22"/>
    <n v="6981.1"/>
  </r>
  <r>
    <s v="T04650"/>
    <d v="2024-09-26T00:00:00"/>
    <s v="C048"/>
    <s v="P033"/>
    <s v="S001"/>
    <n v="3"/>
    <n v="0.1"/>
    <x v="2"/>
    <s v="Alexis Crane"/>
    <x v="16"/>
    <x v="0"/>
    <x v="3"/>
    <n v="1798.97"/>
    <n v="4857.2190000000001"/>
  </r>
  <r>
    <s v="T04651"/>
    <d v="2024-11-10T00:00:00"/>
    <s v="C159"/>
    <s v="P034"/>
    <s v="S001"/>
    <n v="3"/>
    <n v="0.1"/>
    <x v="3"/>
    <s v="Thomas Chung"/>
    <x v="12"/>
    <x v="1"/>
    <x v="3"/>
    <n v="428.05"/>
    <n v="1155.7350000000001"/>
  </r>
  <r>
    <s v="T04652"/>
    <d v="2024-08-04T00:00:00"/>
    <s v="C150"/>
    <s v="P030"/>
    <s v="S002"/>
    <n v="2"/>
    <n v="0.05"/>
    <x v="0"/>
    <s v="Francis Hernandez"/>
    <x v="1"/>
    <x v="0"/>
    <x v="2"/>
    <n v="29.24"/>
    <n v="55.555999999999997"/>
  </r>
  <r>
    <s v="T04653"/>
    <d v="2024-03-07T00:00:00"/>
    <s v="C050"/>
    <s v="P019"/>
    <s v="S002"/>
    <n v="2"/>
    <n v="0.05"/>
    <x v="3"/>
    <s v="Kelly Mcmillan"/>
    <x v="26"/>
    <x v="1"/>
    <x v="2"/>
    <n v="1762.92"/>
    <n v="3349.5479999999998"/>
  </r>
  <r>
    <s v="T04654"/>
    <d v="2024-07-05T00:00:00"/>
    <s v="C043"/>
    <s v="P028"/>
    <s v="S002"/>
    <n v="3"/>
    <n v="0"/>
    <x v="3"/>
    <s v="Kenneth Allen"/>
    <x v="25"/>
    <x v="1"/>
    <x v="2"/>
    <n v="673.78"/>
    <n v="2021.34"/>
  </r>
  <r>
    <s v="T04655"/>
    <d v="2024-06-27T00:00:00"/>
    <s v="C040"/>
    <s v="P043"/>
    <s v="S003"/>
    <n v="3"/>
    <n v="0.1"/>
    <x v="3"/>
    <s v="Scott Powell"/>
    <x v="45"/>
    <x v="0"/>
    <x v="0"/>
    <n v="564.41999999999996"/>
    <n v="1523.9339999999997"/>
  </r>
  <r>
    <s v="T04656"/>
    <d v="2025-05-26T00:00:00"/>
    <s v="C030"/>
    <s v="P038"/>
    <s v="S005"/>
    <n v="2"/>
    <n v="0.1"/>
    <x v="0"/>
    <s v="Lacey Hall"/>
    <x v="41"/>
    <x v="0"/>
    <x v="4"/>
    <n v="366.93"/>
    <n v="660.47400000000005"/>
  </r>
  <r>
    <s v="T04657"/>
    <d v="2024-01-04T00:00:00"/>
    <s v="C085"/>
    <s v="P011"/>
    <s v="S001"/>
    <n v="2"/>
    <n v="0.15"/>
    <x v="0"/>
    <s v="Juan Ramirez"/>
    <x v="17"/>
    <x v="1"/>
    <x v="3"/>
    <n v="248.57"/>
    <n v="422.56899999999996"/>
  </r>
  <r>
    <s v="T04658"/>
    <d v="2025-06-24T00:00:00"/>
    <s v="C178"/>
    <s v="P017"/>
    <s v="S002"/>
    <n v="5"/>
    <n v="0.05"/>
    <x v="2"/>
    <s v="Mark Mcdonald"/>
    <x v="43"/>
    <x v="1"/>
    <x v="2"/>
    <n v="1246.1099999999999"/>
    <n v="5919.0224999999991"/>
  </r>
  <r>
    <s v="T04659"/>
    <d v="2023-10-16T00:00:00"/>
    <s v="C050"/>
    <s v="P019"/>
    <s v="S002"/>
    <n v="3"/>
    <n v="0.05"/>
    <x v="1"/>
    <s v="Kelly Mcmillan"/>
    <x v="26"/>
    <x v="1"/>
    <x v="2"/>
    <n v="1762.92"/>
    <n v="5024.3220000000001"/>
  </r>
  <r>
    <s v="T04660"/>
    <d v="2024-06-19T00:00:00"/>
    <s v="C042"/>
    <s v="P031"/>
    <s v="S005"/>
    <n v="4"/>
    <n v="0.05"/>
    <x v="3"/>
    <s v="Anna Andrews"/>
    <x v="39"/>
    <x v="2"/>
    <x v="4"/>
    <n v="1095.72"/>
    <n v="4163.7359999999999"/>
  </r>
  <r>
    <s v="T04661"/>
    <d v="2024-03-13T00:00:00"/>
    <s v="C138"/>
    <s v="P034"/>
    <s v="S001"/>
    <n v="3"/>
    <n v="0.05"/>
    <x v="3"/>
    <s v="Breanna Moore"/>
    <x v="12"/>
    <x v="1"/>
    <x v="3"/>
    <n v="428.05"/>
    <n v="1219.9425000000001"/>
  </r>
  <r>
    <s v="T04662"/>
    <d v="2025-04-21T00:00:00"/>
    <s v="C033"/>
    <s v="P027"/>
    <s v="S003"/>
    <n v="3"/>
    <n v="0"/>
    <x v="2"/>
    <s v="Jenny Beck"/>
    <x v="34"/>
    <x v="1"/>
    <x v="0"/>
    <n v="1272.23"/>
    <n v="3816.69"/>
  </r>
  <r>
    <s v="T04663"/>
    <d v="2023-11-16T00:00:00"/>
    <s v="C149"/>
    <s v="P008"/>
    <s v="S001"/>
    <n v="4"/>
    <n v="0.1"/>
    <x v="1"/>
    <s v="Melissa Torres"/>
    <x v="48"/>
    <x v="0"/>
    <x v="3"/>
    <n v="109.78"/>
    <n v="395.20800000000003"/>
  </r>
  <r>
    <s v="T04664"/>
    <d v="2025-06-17T00:00:00"/>
    <s v="C081"/>
    <s v="P034"/>
    <s v="S005"/>
    <n v="5"/>
    <n v="0.05"/>
    <x v="3"/>
    <s v="Sarah Reynolds"/>
    <x v="12"/>
    <x v="1"/>
    <x v="4"/>
    <n v="428.05"/>
    <n v="2033.2375"/>
  </r>
  <r>
    <s v="T04665"/>
    <d v="2024-06-06T00:00:00"/>
    <s v="C031"/>
    <s v="P028"/>
    <s v="S002"/>
    <n v="2"/>
    <n v="0.15"/>
    <x v="1"/>
    <s v="Ashley Gibson"/>
    <x v="25"/>
    <x v="1"/>
    <x v="2"/>
    <n v="673.78"/>
    <n v="1145.4259999999999"/>
  </r>
  <r>
    <s v="T04666"/>
    <d v="2024-01-31T00:00:00"/>
    <s v="C051"/>
    <s v="P039"/>
    <s v="S001"/>
    <n v="4"/>
    <n v="0.15"/>
    <x v="0"/>
    <s v="Madison Sellers"/>
    <x v="22"/>
    <x v="0"/>
    <x v="3"/>
    <n v="540.94000000000005"/>
    <n v="1839.1960000000001"/>
  </r>
  <r>
    <s v="T04667"/>
    <d v="2025-08-28T00:00:00"/>
    <s v="C151"/>
    <s v="P025"/>
    <s v="S003"/>
    <n v="3"/>
    <n v="0.05"/>
    <x v="3"/>
    <s v="Dawn Fletcher"/>
    <x v="33"/>
    <x v="0"/>
    <x v="0"/>
    <n v="429.15"/>
    <n v="1223.0774999999999"/>
  </r>
  <r>
    <s v="T04668"/>
    <d v="2023-12-10T00:00:00"/>
    <s v="C004"/>
    <s v="P028"/>
    <s v="S004"/>
    <n v="2"/>
    <n v="0.1"/>
    <x v="3"/>
    <s v="Joseph Ward"/>
    <x v="25"/>
    <x v="1"/>
    <x v="1"/>
    <n v="673.78"/>
    <n v="1212.8040000000001"/>
  </r>
  <r>
    <s v="T04669"/>
    <d v="2025-02-27T00:00:00"/>
    <s v="C145"/>
    <s v="P045"/>
    <s v="S002"/>
    <n v="4"/>
    <n v="0.1"/>
    <x v="3"/>
    <s v="Paige Osborne"/>
    <x v="8"/>
    <x v="2"/>
    <x v="2"/>
    <n v="1879.08"/>
    <n v="6764.6880000000001"/>
  </r>
  <r>
    <s v="T04670"/>
    <d v="2024-02-26T00:00:00"/>
    <s v="C151"/>
    <s v="P010"/>
    <s v="S002"/>
    <n v="2"/>
    <n v="0.15"/>
    <x v="1"/>
    <s v="Dawn Fletcher"/>
    <x v="36"/>
    <x v="1"/>
    <x v="2"/>
    <n v="1194.1199999999999"/>
    <n v="2030.0039999999997"/>
  </r>
  <r>
    <s v="T04671"/>
    <d v="2025-05-26T00:00:00"/>
    <s v="C020"/>
    <s v="P046"/>
    <s v="S002"/>
    <n v="1"/>
    <n v="0.15"/>
    <x v="0"/>
    <s v="Ryan Cole"/>
    <x v="42"/>
    <x v="0"/>
    <x v="2"/>
    <n v="1165.3699999999999"/>
    <n v="990.56449999999984"/>
  </r>
  <r>
    <s v="T04672"/>
    <d v="2024-08-02T00:00:00"/>
    <s v="C060"/>
    <s v="P048"/>
    <s v="S004"/>
    <n v="2"/>
    <n v="0.15"/>
    <x v="0"/>
    <s v="Anthony Conway"/>
    <x v="11"/>
    <x v="0"/>
    <x v="1"/>
    <n v="1216.3599999999999"/>
    <n v="2067.8119999999999"/>
  </r>
  <r>
    <s v="T04673"/>
    <d v="2025-03-02T00:00:00"/>
    <s v="C122"/>
    <s v="P002"/>
    <s v="S003"/>
    <n v="2"/>
    <n v="0.15"/>
    <x v="0"/>
    <s v="Amy Smith"/>
    <x v="2"/>
    <x v="1"/>
    <x v="0"/>
    <n v="818.76"/>
    <n v="1391.8920000000001"/>
  </r>
  <r>
    <s v="T04674"/>
    <d v="2024-07-08T00:00:00"/>
    <s v="C099"/>
    <s v="P022"/>
    <s v="S001"/>
    <n v="2"/>
    <n v="0"/>
    <x v="1"/>
    <s v="Kimberly Jones"/>
    <x v="9"/>
    <x v="2"/>
    <x v="3"/>
    <n v="25.57"/>
    <n v="51.14"/>
  </r>
  <r>
    <s v="T04675"/>
    <d v="2023-11-12T00:00:00"/>
    <s v="C031"/>
    <s v="P017"/>
    <s v="S004"/>
    <n v="2"/>
    <n v="0"/>
    <x v="3"/>
    <s v="Ashley Gibson"/>
    <x v="43"/>
    <x v="1"/>
    <x v="1"/>
    <n v="1246.1099999999999"/>
    <n v="2492.2199999999998"/>
  </r>
  <r>
    <s v="T04676"/>
    <d v="2023-11-25T00:00:00"/>
    <s v="C147"/>
    <s v="P020"/>
    <s v="S005"/>
    <n v="2"/>
    <n v="0.1"/>
    <x v="0"/>
    <s v="Crystal Garrison"/>
    <x v="24"/>
    <x v="0"/>
    <x v="4"/>
    <n v="323.92"/>
    <n v="583.05600000000004"/>
  </r>
  <r>
    <s v="T04677"/>
    <d v="2025-06-01T00:00:00"/>
    <s v="C036"/>
    <s v="P012"/>
    <s v="S003"/>
    <n v="1"/>
    <n v="0.05"/>
    <x v="2"/>
    <s v="Michael Cervantes"/>
    <x v="38"/>
    <x v="1"/>
    <x v="0"/>
    <n v="1193.0899999999999"/>
    <n v="1133.4354999999998"/>
  </r>
  <r>
    <s v="T04678"/>
    <d v="2025-01-09T00:00:00"/>
    <s v="C181"/>
    <s v="P007"/>
    <s v="S001"/>
    <n v="1"/>
    <n v="0.1"/>
    <x v="2"/>
    <s v="Brittany Oneal"/>
    <x v="18"/>
    <x v="1"/>
    <x v="3"/>
    <n v="1474.12"/>
    <n v="1326.7079999999999"/>
  </r>
  <r>
    <s v="T04679"/>
    <d v="2025-05-15T00:00:00"/>
    <s v="C085"/>
    <s v="P021"/>
    <s v="S003"/>
    <n v="1"/>
    <n v="0.1"/>
    <x v="3"/>
    <s v="Juan Ramirez"/>
    <x v="23"/>
    <x v="2"/>
    <x v="0"/>
    <n v="1227.24"/>
    <n v="1104.5160000000001"/>
  </r>
  <r>
    <s v="T04680"/>
    <d v="2025-07-25T00:00:00"/>
    <s v="C070"/>
    <s v="P007"/>
    <s v="S002"/>
    <n v="2"/>
    <n v="0"/>
    <x v="3"/>
    <s v="Eric Bryan"/>
    <x v="18"/>
    <x v="1"/>
    <x v="2"/>
    <n v="1474.12"/>
    <n v="2948.24"/>
  </r>
  <r>
    <s v="T04681"/>
    <d v="2025-01-24T00:00:00"/>
    <s v="C077"/>
    <s v="P001"/>
    <s v="S002"/>
    <n v="1"/>
    <n v="0.15"/>
    <x v="1"/>
    <s v="Matthew Juarez"/>
    <x v="31"/>
    <x v="1"/>
    <x v="2"/>
    <n v="1673.69"/>
    <n v="1422.6365000000001"/>
  </r>
  <r>
    <s v="T04682"/>
    <d v="2025-07-03T00:00:00"/>
    <s v="C152"/>
    <s v="P047"/>
    <s v="S004"/>
    <n v="2"/>
    <n v="0.1"/>
    <x v="1"/>
    <s v="Brittany Green"/>
    <x v="28"/>
    <x v="1"/>
    <x v="1"/>
    <n v="1197.18"/>
    <n v="2154.924"/>
  </r>
  <r>
    <s v="T04683"/>
    <d v="2024-06-28T00:00:00"/>
    <s v="C155"/>
    <s v="P006"/>
    <s v="S002"/>
    <n v="3"/>
    <n v="0.1"/>
    <x v="2"/>
    <s v="Jill Mcconnell"/>
    <x v="35"/>
    <x v="2"/>
    <x v="2"/>
    <n v="318.05"/>
    <n v="858.73500000000013"/>
  </r>
  <r>
    <s v="T04684"/>
    <d v="2023-11-15T00:00:00"/>
    <s v="C040"/>
    <s v="P006"/>
    <s v="S001"/>
    <n v="5"/>
    <n v="0.05"/>
    <x v="0"/>
    <s v="Scott Powell"/>
    <x v="35"/>
    <x v="2"/>
    <x v="3"/>
    <n v="318.05"/>
    <n v="1510.7375"/>
  </r>
  <r>
    <s v="T04685"/>
    <d v="2025-05-19T00:00:00"/>
    <s v="C161"/>
    <s v="P011"/>
    <s v="S003"/>
    <n v="5"/>
    <n v="0"/>
    <x v="2"/>
    <s v="Michael Perez"/>
    <x v="17"/>
    <x v="1"/>
    <x v="0"/>
    <n v="248.57"/>
    <n v="1242.8499999999999"/>
  </r>
  <r>
    <s v="T04686"/>
    <d v="2024-10-03T00:00:00"/>
    <s v="C189"/>
    <s v="P009"/>
    <s v="S001"/>
    <n v="3"/>
    <n v="0.15"/>
    <x v="1"/>
    <s v="Steve Flynn"/>
    <x v="5"/>
    <x v="2"/>
    <x v="3"/>
    <n v="123.19"/>
    <n v="314.1345"/>
  </r>
  <r>
    <s v="T04687"/>
    <d v="2024-08-11T00:00:00"/>
    <s v="C011"/>
    <s v="P032"/>
    <s v="S004"/>
    <n v="4"/>
    <n v="0.15"/>
    <x v="2"/>
    <s v="Haley Williams"/>
    <x v="44"/>
    <x v="2"/>
    <x v="1"/>
    <n v="304.70999999999998"/>
    <n v="1036.0139999999999"/>
  </r>
  <r>
    <s v="T04688"/>
    <d v="2025-08-07T00:00:00"/>
    <s v="C054"/>
    <s v="P047"/>
    <s v="S002"/>
    <n v="2"/>
    <n v="0.15"/>
    <x v="0"/>
    <s v="Crystal Johnson"/>
    <x v="28"/>
    <x v="1"/>
    <x v="2"/>
    <n v="1197.18"/>
    <n v="2035.2060000000001"/>
  </r>
  <r>
    <s v="T04689"/>
    <d v="2023-09-22T00:00:00"/>
    <s v="C025"/>
    <s v="P023"/>
    <s v="S003"/>
    <n v="5"/>
    <n v="0"/>
    <x v="2"/>
    <s v="Cheryl Gilbert"/>
    <x v="20"/>
    <x v="0"/>
    <x v="0"/>
    <n v="1878.47"/>
    <n v="9392.35"/>
  </r>
  <r>
    <s v="T04690"/>
    <d v="2024-07-16T00:00:00"/>
    <s v="C088"/>
    <s v="P007"/>
    <s v="S004"/>
    <n v="5"/>
    <n v="0.1"/>
    <x v="1"/>
    <s v="Brenda Costa"/>
    <x v="18"/>
    <x v="1"/>
    <x v="1"/>
    <n v="1474.12"/>
    <n v="6633.54"/>
  </r>
  <r>
    <s v="T04691"/>
    <d v="2023-10-08T00:00:00"/>
    <s v="C071"/>
    <s v="P010"/>
    <s v="S001"/>
    <n v="5"/>
    <n v="0.1"/>
    <x v="0"/>
    <s v="Denise Gutierrez"/>
    <x v="36"/>
    <x v="1"/>
    <x v="3"/>
    <n v="1194.1199999999999"/>
    <n v="5373.54"/>
  </r>
  <r>
    <s v="T04692"/>
    <d v="2025-06-18T00:00:00"/>
    <s v="C189"/>
    <s v="P050"/>
    <s v="S005"/>
    <n v="5"/>
    <n v="0.05"/>
    <x v="2"/>
    <s v="Steve Flynn"/>
    <x v="3"/>
    <x v="0"/>
    <x v="4"/>
    <n v="1044.6400000000001"/>
    <n v="4962.0400000000009"/>
  </r>
  <r>
    <s v="T04693"/>
    <d v="2024-09-01T00:00:00"/>
    <s v="C199"/>
    <s v="P019"/>
    <s v="S003"/>
    <n v="4"/>
    <n v="0.15"/>
    <x v="2"/>
    <s v="Juan Johnson"/>
    <x v="26"/>
    <x v="1"/>
    <x v="0"/>
    <n v="1762.92"/>
    <n v="5993.9279999999999"/>
  </r>
  <r>
    <s v="T04694"/>
    <d v="2024-03-06T00:00:00"/>
    <s v="C104"/>
    <s v="P031"/>
    <s v="S002"/>
    <n v="1"/>
    <n v="0.1"/>
    <x v="1"/>
    <s v="Brenda Dean"/>
    <x v="39"/>
    <x v="2"/>
    <x v="2"/>
    <n v="1095.72"/>
    <n v="986.14800000000002"/>
  </r>
  <r>
    <s v="T04695"/>
    <d v="2024-07-30T00:00:00"/>
    <s v="C124"/>
    <s v="P008"/>
    <s v="S002"/>
    <n v="5"/>
    <n v="0.05"/>
    <x v="0"/>
    <s v="Chad Roberts"/>
    <x v="48"/>
    <x v="0"/>
    <x v="2"/>
    <n v="109.78"/>
    <n v="521.45499999999993"/>
  </r>
  <r>
    <s v="T04696"/>
    <d v="2023-11-05T00:00:00"/>
    <s v="C079"/>
    <s v="P035"/>
    <s v="S002"/>
    <n v="3"/>
    <n v="0.1"/>
    <x v="3"/>
    <s v="Donald Marsh"/>
    <x v="7"/>
    <x v="1"/>
    <x v="2"/>
    <n v="1562.43"/>
    <n v="4218.5609999999997"/>
  </r>
  <r>
    <s v="T04697"/>
    <d v="2024-07-18T00:00:00"/>
    <s v="C150"/>
    <s v="P005"/>
    <s v="S004"/>
    <n v="2"/>
    <n v="0.05"/>
    <x v="2"/>
    <s v="Francis Hernandez"/>
    <x v="6"/>
    <x v="0"/>
    <x v="1"/>
    <n v="1396.22"/>
    <n v="2652.8179999999998"/>
  </r>
  <r>
    <s v="T04698"/>
    <d v="2023-10-25T00:00:00"/>
    <s v="C047"/>
    <s v="P035"/>
    <s v="S003"/>
    <n v="1"/>
    <n v="0"/>
    <x v="2"/>
    <s v="Mary Decker"/>
    <x v="7"/>
    <x v="1"/>
    <x v="0"/>
    <n v="1562.43"/>
    <n v="1562.43"/>
  </r>
  <r>
    <s v="T04699"/>
    <d v="2024-04-02T00:00:00"/>
    <s v="C091"/>
    <s v="P032"/>
    <s v="S004"/>
    <n v="2"/>
    <n v="0.1"/>
    <x v="1"/>
    <s v="Brian Fowler"/>
    <x v="44"/>
    <x v="2"/>
    <x v="1"/>
    <n v="304.70999999999998"/>
    <n v="548.47799999999995"/>
  </r>
  <r>
    <s v="T04700"/>
    <d v="2023-09-19T00:00:00"/>
    <s v="C045"/>
    <s v="P024"/>
    <s v="S005"/>
    <n v="4"/>
    <n v="0.05"/>
    <x v="0"/>
    <s v="Kelly Shaw"/>
    <x v="14"/>
    <x v="1"/>
    <x v="4"/>
    <n v="1487.41"/>
    <n v="5652.1580000000004"/>
  </r>
  <r>
    <s v="T04701"/>
    <d v="2024-10-09T00:00:00"/>
    <s v="C047"/>
    <s v="P037"/>
    <s v="S001"/>
    <n v="1"/>
    <n v="0.05"/>
    <x v="2"/>
    <s v="Mary Decker"/>
    <x v="27"/>
    <x v="1"/>
    <x v="3"/>
    <n v="1952.65"/>
    <n v="1855.0174999999999"/>
  </r>
  <r>
    <s v="T04702"/>
    <d v="2024-03-21T00:00:00"/>
    <s v="C063"/>
    <s v="P048"/>
    <s v="S003"/>
    <n v="1"/>
    <n v="0.1"/>
    <x v="2"/>
    <s v="Michael Johnson"/>
    <x v="11"/>
    <x v="0"/>
    <x v="0"/>
    <n v="1216.3599999999999"/>
    <n v="1094.7239999999999"/>
  </r>
  <r>
    <s v="T04703"/>
    <d v="2024-04-14T00:00:00"/>
    <s v="C153"/>
    <s v="P012"/>
    <s v="S001"/>
    <n v="1"/>
    <n v="0.15"/>
    <x v="1"/>
    <s v="Nancy Gordon"/>
    <x v="38"/>
    <x v="1"/>
    <x v="3"/>
    <n v="1193.0899999999999"/>
    <n v="1014.1264999999999"/>
  </r>
  <r>
    <s v="T04704"/>
    <d v="2024-05-21T00:00:00"/>
    <s v="C044"/>
    <s v="P041"/>
    <s v="S004"/>
    <n v="1"/>
    <n v="0.05"/>
    <x v="1"/>
    <s v="Parker Sparks"/>
    <x v="30"/>
    <x v="1"/>
    <x v="1"/>
    <n v="1635.01"/>
    <n v="1553.2594999999999"/>
  </r>
  <r>
    <s v="T04705"/>
    <d v="2024-04-25T00:00:00"/>
    <s v="C103"/>
    <s v="P030"/>
    <s v="S001"/>
    <n v="3"/>
    <n v="0.1"/>
    <x v="3"/>
    <s v="David Burns"/>
    <x v="1"/>
    <x v="0"/>
    <x v="3"/>
    <n v="29.24"/>
    <n v="78.948000000000008"/>
  </r>
  <r>
    <s v="T04706"/>
    <d v="2023-09-15T00:00:00"/>
    <s v="C149"/>
    <s v="P045"/>
    <s v="S003"/>
    <n v="4"/>
    <n v="0.05"/>
    <x v="2"/>
    <s v="Melissa Torres"/>
    <x v="8"/>
    <x v="2"/>
    <x v="0"/>
    <n v="1879.08"/>
    <n v="7140.503999999999"/>
  </r>
  <r>
    <s v="T04707"/>
    <d v="2024-01-14T00:00:00"/>
    <s v="C018"/>
    <s v="P017"/>
    <s v="S004"/>
    <n v="3"/>
    <n v="0"/>
    <x v="3"/>
    <s v="Breanna Davis"/>
    <x v="43"/>
    <x v="1"/>
    <x v="1"/>
    <n v="1246.1099999999999"/>
    <n v="3738.33"/>
  </r>
  <r>
    <s v="T04708"/>
    <d v="2024-06-22T00:00:00"/>
    <s v="C184"/>
    <s v="P050"/>
    <s v="S002"/>
    <n v="5"/>
    <n v="0"/>
    <x v="3"/>
    <s v="Daniel Mcintyre"/>
    <x v="3"/>
    <x v="0"/>
    <x v="2"/>
    <n v="1044.6400000000001"/>
    <n v="5223.2000000000007"/>
  </r>
  <r>
    <s v="T04709"/>
    <d v="2024-06-24T00:00:00"/>
    <s v="C189"/>
    <s v="P050"/>
    <s v="S001"/>
    <n v="5"/>
    <n v="0.05"/>
    <x v="2"/>
    <s v="Steve Flynn"/>
    <x v="3"/>
    <x v="0"/>
    <x v="3"/>
    <n v="1044.6400000000001"/>
    <n v="4962.0400000000009"/>
  </r>
  <r>
    <s v="T04710"/>
    <d v="2024-08-15T00:00:00"/>
    <s v="C095"/>
    <s v="P015"/>
    <s v="S002"/>
    <n v="5"/>
    <n v="0.05"/>
    <x v="2"/>
    <s v="Kevin Snyder"/>
    <x v="40"/>
    <x v="0"/>
    <x v="2"/>
    <n v="270.45"/>
    <n v="1284.6375"/>
  </r>
  <r>
    <s v="T04711"/>
    <d v="2024-09-21T00:00:00"/>
    <s v="C042"/>
    <s v="P041"/>
    <s v="S003"/>
    <n v="4"/>
    <n v="0"/>
    <x v="3"/>
    <s v="Anna Andrews"/>
    <x v="30"/>
    <x v="1"/>
    <x v="0"/>
    <n v="1635.01"/>
    <n v="6540.04"/>
  </r>
  <r>
    <s v="T04712"/>
    <d v="2024-06-24T00:00:00"/>
    <s v="C152"/>
    <s v="P027"/>
    <s v="S002"/>
    <n v="4"/>
    <n v="0"/>
    <x v="3"/>
    <s v="Brittany Green"/>
    <x v="34"/>
    <x v="1"/>
    <x v="2"/>
    <n v="1272.23"/>
    <n v="5088.92"/>
  </r>
  <r>
    <s v="T04713"/>
    <d v="2023-12-28T00:00:00"/>
    <s v="C108"/>
    <s v="P050"/>
    <s v="S001"/>
    <n v="5"/>
    <n v="0.05"/>
    <x v="1"/>
    <s v="Samantha Hill"/>
    <x v="3"/>
    <x v="0"/>
    <x v="3"/>
    <n v="1044.6400000000001"/>
    <n v="4962.0400000000009"/>
  </r>
  <r>
    <s v="T04714"/>
    <d v="2024-05-06T00:00:00"/>
    <s v="C125"/>
    <s v="P024"/>
    <s v="S001"/>
    <n v="3"/>
    <n v="0.15"/>
    <x v="0"/>
    <s v="Kimberly Parker"/>
    <x v="14"/>
    <x v="1"/>
    <x v="3"/>
    <n v="1487.41"/>
    <n v="3792.8955000000001"/>
  </r>
  <r>
    <s v="T04715"/>
    <d v="2025-08-11T00:00:00"/>
    <s v="C103"/>
    <s v="P046"/>
    <s v="S001"/>
    <n v="4"/>
    <n v="0"/>
    <x v="1"/>
    <s v="David Burns"/>
    <x v="42"/>
    <x v="0"/>
    <x v="3"/>
    <n v="1165.3699999999999"/>
    <n v="4661.4799999999996"/>
  </r>
  <r>
    <s v="T04716"/>
    <d v="2024-06-05T00:00:00"/>
    <s v="C112"/>
    <s v="P049"/>
    <s v="S002"/>
    <n v="4"/>
    <n v="0.1"/>
    <x v="2"/>
    <s v="Jeffrey Smith"/>
    <x v="29"/>
    <x v="0"/>
    <x v="2"/>
    <n v="388.26"/>
    <n v="1397.7360000000001"/>
  </r>
  <r>
    <s v="T04717"/>
    <d v="2024-06-16T00:00:00"/>
    <s v="C182"/>
    <s v="P050"/>
    <s v="S005"/>
    <n v="3"/>
    <n v="0"/>
    <x v="3"/>
    <s v="Meghan Wright"/>
    <x v="3"/>
    <x v="0"/>
    <x v="4"/>
    <n v="1044.6400000000001"/>
    <n v="3133.92"/>
  </r>
  <r>
    <s v="T04718"/>
    <d v="2024-01-08T00:00:00"/>
    <s v="C147"/>
    <s v="P019"/>
    <s v="S003"/>
    <n v="2"/>
    <n v="0.15"/>
    <x v="2"/>
    <s v="Crystal Garrison"/>
    <x v="26"/>
    <x v="1"/>
    <x v="0"/>
    <n v="1762.92"/>
    <n v="2996.9639999999999"/>
  </r>
  <r>
    <s v="T04719"/>
    <d v="2024-06-30T00:00:00"/>
    <s v="C052"/>
    <s v="P028"/>
    <s v="S003"/>
    <n v="4"/>
    <n v="0"/>
    <x v="1"/>
    <s v="Billy Hernandez"/>
    <x v="25"/>
    <x v="1"/>
    <x v="0"/>
    <n v="673.78"/>
    <n v="2695.12"/>
  </r>
  <r>
    <s v="T04720"/>
    <d v="2023-10-17T00:00:00"/>
    <s v="C109"/>
    <s v="P016"/>
    <s v="S002"/>
    <n v="2"/>
    <n v="0"/>
    <x v="2"/>
    <s v="Austin Hogan"/>
    <x v="13"/>
    <x v="0"/>
    <x v="2"/>
    <n v="1858.75"/>
    <n v="3717.5"/>
  </r>
  <r>
    <s v="T04721"/>
    <d v="2024-04-14T00:00:00"/>
    <s v="C051"/>
    <s v="P026"/>
    <s v="S004"/>
    <n v="1"/>
    <n v="0"/>
    <x v="0"/>
    <s v="Madison Sellers"/>
    <x v="15"/>
    <x v="2"/>
    <x v="1"/>
    <n v="1015.76"/>
    <n v="1015.76"/>
  </r>
  <r>
    <s v="T04722"/>
    <d v="2024-09-25T00:00:00"/>
    <s v="C073"/>
    <s v="P045"/>
    <s v="S001"/>
    <n v="4"/>
    <n v="0.1"/>
    <x v="2"/>
    <s v="Carl Armstrong"/>
    <x v="8"/>
    <x v="2"/>
    <x v="3"/>
    <n v="1879.08"/>
    <n v="6764.6880000000001"/>
  </r>
  <r>
    <s v="T04723"/>
    <d v="2025-05-12T00:00:00"/>
    <s v="C052"/>
    <s v="P012"/>
    <s v="S001"/>
    <n v="4"/>
    <n v="0.1"/>
    <x v="0"/>
    <s v="Billy Hernandez"/>
    <x v="38"/>
    <x v="1"/>
    <x v="3"/>
    <n v="1193.0899999999999"/>
    <n v="4295.1239999999998"/>
  </r>
  <r>
    <s v="T04724"/>
    <d v="2025-03-18T00:00:00"/>
    <s v="C074"/>
    <s v="P025"/>
    <s v="S001"/>
    <n v="2"/>
    <n v="0.15"/>
    <x v="2"/>
    <s v="Jesus Singh"/>
    <x v="33"/>
    <x v="0"/>
    <x v="3"/>
    <n v="429.15"/>
    <n v="729.55499999999995"/>
  </r>
  <r>
    <s v="T04725"/>
    <d v="2024-05-28T00:00:00"/>
    <s v="C119"/>
    <s v="P047"/>
    <s v="S004"/>
    <n v="4"/>
    <n v="0.1"/>
    <x v="1"/>
    <s v="Jason Lloyd"/>
    <x v="28"/>
    <x v="1"/>
    <x v="1"/>
    <n v="1197.18"/>
    <n v="4309.848"/>
  </r>
  <r>
    <s v="T04726"/>
    <d v="2024-03-22T00:00:00"/>
    <s v="C108"/>
    <s v="P048"/>
    <s v="S001"/>
    <n v="4"/>
    <n v="0.05"/>
    <x v="0"/>
    <s v="Samantha Hill"/>
    <x v="11"/>
    <x v="0"/>
    <x v="3"/>
    <n v="1216.3599999999999"/>
    <n v="4622.1679999999997"/>
  </r>
  <r>
    <s v="T04727"/>
    <d v="2025-01-02T00:00:00"/>
    <s v="C155"/>
    <s v="P035"/>
    <s v="S003"/>
    <n v="2"/>
    <n v="0"/>
    <x v="0"/>
    <s v="Jill Mcconnell"/>
    <x v="7"/>
    <x v="1"/>
    <x v="0"/>
    <n v="1562.43"/>
    <n v="3124.86"/>
  </r>
  <r>
    <s v="T04728"/>
    <d v="2024-09-22T00:00:00"/>
    <s v="C110"/>
    <s v="P035"/>
    <s v="S001"/>
    <n v="4"/>
    <n v="0.1"/>
    <x v="0"/>
    <s v="Travis Peters"/>
    <x v="7"/>
    <x v="1"/>
    <x v="3"/>
    <n v="1562.43"/>
    <n v="5624.7480000000005"/>
  </r>
  <r>
    <s v="T04729"/>
    <d v="2025-04-30T00:00:00"/>
    <s v="C026"/>
    <s v="P044"/>
    <s v="S005"/>
    <n v="5"/>
    <n v="0.15"/>
    <x v="3"/>
    <s v="Justin Macdonald"/>
    <x v="32"/>
    <x v="0"/>
    <x v="4"/>
    <n v="1286.55"/>
    <n v="5467.8374999999996"/>
  </r>
  <r>
    <s v="T04730"/>
    <d v="2024-09-17T00:00:00"/>
    <s v="C023"/>
    <s v="P019"/>
    <s v="S004"/>
    <n v="5"/>
    <n v="0.05"/>
    <x v="2"/>
    <s v="Mark Martinez"/>
    <x v="26"/>
    <x v="1"/>
    <x v="1"/>
    <n v="1762.92"/>
    <n v="8373.8700000000008"/>
  </r>
  <r>
    <s v="T04731"/>
    <d v="2024-07-01T00:00:00"/>
    <s v="C077"/>
    <s v="P022"/>
    <s v="S002"/>
    <n v="1"/>
    <n v="0.05"/>
    <x v="0"/>
    <s v="Matthew Juarez"/>
    <x v="9"/>
    <x v="2"/>
    <x v="2"/>
    <n v="25.57"/>
    <n v="24.291499999999999"/>
  </r>
  <r>
    <s v="T04732"/>
    <d v="2024-12-01T00:00:00"/>
    <s v="C144"/>
    <s v="P007"/>
    <s v="S002"/>
    <n v="4"/>
    <n v="0.1"/>
    <x v="0"/>
    <s v="Betty Johnson"/>
    <x v="18"/>
    <x v="1"/>
    <x v="2"/>
    <n v="1474.12"/>
    <n v="5306.8319999999994"/>
  </r>
  <r>
    <s v="T04733"/>
    <d v="2024-10-26T00:00:00"/>
    <s v="C198"/>
    <s v="P009"/>
    <s v="S003"/>
    <n v="1"/>
    <n v="0.15"/>
    <x v="2"/>
    <s v="Jessica Mullins"/>
    <x v="5"/>
    <x v="2"/>
    <x v="0"/>
    <n v="123.19"/>
    <n v="104.7115"/>
  </r>
  <r>
    <s v="T04734"/>
    <d v="2024-08-16T00:00:00"/>
    <s v="C057"/>
    <s v="P024"/>
    <s v="S003"/>
    <n v="3"/>
    <n v="0.15"/>
    <x v="0"/>
    <s v="Julie Gibson"/>
    <x v="14"/>
    <x v="1"/>
    <x v="0"/>
    <n v="1487.41"/>
    <n v="3792.8955000000001"/>
  </r>
  <r>
    <s v="T04735"/>
    <d v="2024-11-18T00:00:00"/>
    <s v="C051"/>
    <s v="P015"/>
    <s v="S005"/>
    <n v="4"/>
    <n v="0.1"/>
    <x v="1"/>
    <s v="Madison Sellers"/>
    <x v="40"/>
    <x v="0"/>
    <x v="4"/>
    <n v="270.45"/>
    <n v="973.62"/>
  </r>
  <r>
    <s v="T04736"/>
    <d v="2025-06-02T00:00:00"/>
    <s v="C146"/>
    <s v="P014"/>
    <s v="S001"/>
    <n v="2"/>
    <n v="0.1"/>
    <x v="0"/>
    <s v="John Johnson"/>
    <x v="0"/>
    <x v="0"/>
    <x v="3"/>
    <n v="1342.75"/>
    <n v="2416.9500000000003"/>
  </r>
  <r>
    <s v="T04737"/>
    <d v="2024-01-14T00:00:00"/>
    <s v="C198"/>
    <s v="P023"/>
    <s v="S005"/>
    <n v="3"/>
    <n v="0.05"/>
    <x v="1"/>
    <s v="Jessica Mullins"/>
    <x v="20"/>
    <x v="0"/>
    <x v="4"/>
    <n v="1878.47"/>
    <n v="5353.6394999999993"/>
  </r>
  <r>
    <s v="T04738"/>
    <d v="2024-06-23T00:00:00"/>
    <s v="C195"/>
    <s v="P011"/>
    <s v="S002"/>
    <n v="4"/>
    <n v="0"/>
    <x v="0"/>
    <s v="James Mitchell"/>
    <x v="17"/>
    <x v="1"/>
    <x v="2"/>
    <n v="248.57"/>
    <n v="994.28"/>
  </r>
  <r>
    <s v="T04739"/>
    <d v="2023-11-23T00:00:00"/>
    <s v="C177"/>
    <s v="P026"/>
    <s v="S004"/>
    <n v="2"/>
    <n v="0.05"/>
    <x v="1"/>
    <s v="Anthony Gould"/>
    <x v="15"/>
    <x v="2"/>
    <x v="1"/>
    <n v="1015.76"/>
    <n v="1929.944"/>
  </r>
  <r>
    <s v="T04740"/>
    <d v="2025-08-19T00:00:00"/>
    <s v="C188"/>
    <s v="P005"/>
    <s v="S003"/>
    <n v="1"/>
    <n v="0"/>
    <x v="3"/>
    <s v="Ryan Flores"/>
    <x v="6"/>
    <x v="0"/>
    <x v="0"/>
    <n v="1396.22"/>
    <n v="1396.22"/>
  </r>
  <r>
    <s v="T04741"/>
    <d v="2025-01-26T00:00:00"/>
    <s v="C153"/>
    <s v="P019"/>
    <s v="S003"/>
    <n v="2"/>
    <n v="0.1"/>
    <x v="0"/>
    <s v="Nancy Gordon"/>
    <x v="26"/>
    <x v="1"/>
    <x v="0"/>
    <n v="1762.92"/>
    <n v="3173.2560000000003"/>
  </r>
  <r>
    <s v="T04742"/>
    <d v="2025-05-05T00:00:00"/>
    <s v="C124"/>
    <s v="P014"/>
    <s v="S003"/>
    <n v="2"/>
    <n v="0"/>
    <x v="1"/>
    <s v="Chad Roberts"/>
    <x v="0"/>
    <x v="0"/>
    <x v="0"/>
    <n v="1342.75"/>
    <n v="2685.5"/>
  </r>
  <r>
    <s v="T04743"/>
    <d v="2024-05-19T00:00:00"/>
    <s v="C186"/>
    <s v="P028"/>
    <s v="S003"/>
    <n v="2"/>
    <n v="0.1"/>
    <x v="3"/>
    <s v="Vicki Guzman"/>
    <x v="25"/>
    <x v="1"/>
    <x v="0"/>
    <n v="673.78"/>
    <n v="1212.8040000000001"/>
  </r>
  <r>
    <s v="T04744"/>
    <d v="2025-06-07T00:00:00"/>
    <s v="C009"/>
    <s v="P031"/>
    <s v="S005"/>
    <n v="2"/>
    <n v="0.15"/>
    <x v="3"/>
    <s v="Richard Pacheco"/>
    <x v="39"/>
    <x v="2"/>
    <x v="4"/>
    <n v="1095.72"/>
    <n v="1862.7239999999999"/>
  </r>
  <r>
    <s v="T04745"/>
    <d v="2024-02-12T00:00:00"/>
    <s v="C068"/>
    <s v="P013"/>
    <s v="S004"/>
    <n v="1"/>
    <n v="0.1"/>
    <x v="1"/>
    <s v="Alexandra Montoya"/>
    <x v="21"/>
    <x v="0"/>
    <x v="1"/>
    <n v="1134.8"/>
    <n v="1021.3199999999999"/>
  </r>
  <r>
    <s v="T04746"/>
    <d v="2025-01-05T00:00:00"/>
    <s v="C166"/>
    <s v="P047"/>
    <s v="S004"/>
    <n v="1"/>
    <n v="0.1"/>
    <x v="2"/>
    <s v="Meagan Ali"/>
    <x v="28"/>
    <x v="1"/>
    <x v="1"/>
    <n v="1197.18"/>
    <n v="1077.462"/>
  </r>
  <r>
    <s v="T04747"/>
    <d v="2024-10-20T00:00:00"/>
    <s v="C117"/>
    <s v="P016"/>
    <s v="S005"/>
    <n v="5"/>
    <n v="0.1"/>
    <x v="0"/>
    <s v="Timothy Beck"/>
    <x v="13"/>
    <x v="0"/>
    <x v="4"/>
    <n v="1858.75"/>
    <n v="8364.375"/>
  </r>
  <r>
    <s v="T04748"/>
    <d v="2025-07-13T00:00:00"/>
    <s v="C055"/>
    <s v="P048"/>
    <s v="S004"/>
    <n v="1"/>
    <n v="0.15"/>
    <x v="1"/>
    <s v="Deborah Moody"/>
    <x v="11"/>
    <x v="0"/>
    <x v="1"/>
    <n v="1216.3599999999999"/>
    <n v="1033.9059999999999"/>
  </r>
  <r>
    <s v="T04749"/>
    <d v="2024-01-20T00:00:00"/>
    <s v="C022"/>
    <s v="P023"/>
    <s v="S005"/>
    <n v="4"/>
    <n v="0.1"/>
    <x v="1"/>
    <s v="Megan Velasquez"/>
    <x v="20"/>
    <x v="0"/>
    <x v="4"/>
    <n v="1878.47"/>
    <n v="6762.4920000000002"/>
  </r>
  <r>
    <s v="T04750"/>
    <d v="2023-11-07T00:00:00"/>
    <s v="C066"/>
    <s v="P031"/>
    <s v="S004"/>
    <n v="4"/>
    <n v="0.05"/>
    <x v="1"/>
    <s v="Jason Jenkins"/>
    <x v="39"/>
    <x v="2"/>
    <x v="1"/>
    <n v="1095.72"/>
    <n v="4163.7359999999999"/>
  </r>
  <r>
    <s v="T04751"/>
    <d v="2024-03-13T00:00:00"/>
    <s v="C194"/>
    <s v="P012"/>
    <s v="S002"/>
    <n v="4"/>
    <n v="0"/>
    <x v="0"/>
    <s v="Ann West"/>
    <x v="38"/>
    <x v="1"/>
    <x v="2"/>
    <n v="1193.0899999999999"/>
    <n v="4772.3599999999997"/>
  </r>
  <r>
    <s v="T04752"/>
    <d v="2025-01-22T00:00:00"/>
    <s v="C169"/>
    <s v="P020"/>
    <s v="S003"/>
    <n v="1"/>
    <n v="0.1"/>
    <x v="3"/>
    <s v="Travis Watson"/>
    <x v="24"/>
    <x v="0"/>
    <x v="0"/>
    <n v="323.92"/>
    <n v="291.52800000000002"/>
  </r>
  <r>
    <s v="T04753"/>
    <d v="2024-10-27T00:00:00"/>
    <s v="C016"/>
    <s v="P029"/>
    <s v="S002"/>
    <n v="4"/>
    <n v="0.15"/>
    <x v="2"/>
    <s v="Miguel Johnson"/>
    <x v="47"/>
    <x v="0"/>
    <x v="2"/>
    <n v="1485.05"/>
    <n v="5049.17"/>
  </r>
  <r>
    <s v="T04754"/>
    <d v="2025-02-14T00:00:00"/>
    <s v="C148"/>
    <s v="P023"/>
    <s v="S001"/>
    <n v="1"/>
    <n v="0.1"/>
    <x v="0"/>
    <s v="John Foster"/>
    <x v="20"/>
    <x v="0"/>
    <x v="3"/>
    <n v="1878.47"/>
    <n v="1690.623"/>
  </r>
  <r>
    <s v="T04755"/>
    <d v="2024-03-11T00:00:00"/>
    <s v="C011"/>
    <s v="P003"/>
    <s v="S004"/>
    <n v="5"/>
    <n v="0.15"/>
    <x v="3"/>
    <s v="Haley Williams"/>
    <x v="46"/>
    <x v="0"/>
    <x v="1"/>
    <n v="337.63"/>
    <n v="1434.9275"/>
  </r>
  <r>
    <s v="T04756"/>
    <d v="2024-11-11T00:00:00"/>
    <s v="C075"/>
    <s v="P038"/>
    <s v="S002"/>
    <n v="3"/>
    <n v="0.15"/>
    <x v="1"/>
    <s v="Seth Moore"/>
    <x v="41"/>
    <x v="0"/>
    <x v="2"/>
    <n v="366.93"/>
    <n v="935.67149999999992"/>
  </r>
  <r>
    <s v="T04757"/>
    <d v="2025-07-11T00:00:00"/>
    <s v="C009"/>
    <s v="P010"/>
    <s v="S003"/>
    <n v="1"/>
    <n v="0.05"/>
    <x v="2"/>
    <s v="Richard Pacheco"/>
    <x v="36"/>
    <x v="1"/>
    <x v="0"/>
    <n v="1194.1199999999999"/>
    <n v="1134.4139999999998"/>
  </r>
  <r>
    <s v="T04758"/>
    <d v="2025-05-19T00:00:00"/>
    <s v="C114"/>
    <s v="P047"/>
    <s v="S003"/>
    <n v="4"/>
    <n v="0.05"/>
    <x v="2"/>
    <s v="Miranda Rodriguez"/>
    <x v="28"/>
    <x v="1"/>
    <x v="0"/>
    <n v="1197.18"/>
    <n v="4549.2839999999997"/>
  </r>
  <r>
    <s v="T04759"/>
    <d v="2025-05-09T00:00:00"/>
    <s v="C007"/>
    <s v="P023"/>
    <s v="S004"/>
    <n v="4"/>
    <n v="0.15"/>
    <x v="2"/>
    <s v="Erin Walker"/>
    <x v="20"/>
    <x v="0"/>
    <x v="1"/>
    <n v="1878.47"/>
    <n v="6386.7979999999998"/>
  </r>
  <r>
    <s v="T04760"/>
    <d v="2024-04-15T00:00:00"/>
    <s v="C006"/>
    <s v="P013"/>
    <s v="S004"/>
    <n v="4"/>
    <n v="0"/>
    <x v="2"/>
    <s v="Danny Moore"/>
    <x v="21"/>
    <x v="0"/>
    <x v="1"/>
    <n v="1134.8"/>
    <n v="4539.2"/>
  </r>
  <r>
    <s v="T04761"/>
    <d v="2025-02-10T00:00:00"/>
    <s v="C047"/>
    <s v="P028"/>
    <s v="S002"/>
    <n v="4"/>
    <n v="0.15"/>
    <x v="1"/>
    <s v="Mary Decker"/>
    <x v="25"/>
    <x v="1"/>
    <x v="2"/>
    <n v="673.78"/>
    <n v="2290.8519999999999"/>
  </r>
  <r>
    <s v="T04762"/>
    <d v="2025-08-29T00:00:00"/>
    <s v="C148"/>
    <s v="P045"/>
    <s v="S003"/>
    <n v="1"/>
    <n v="0"/>
    <x v="1"/>
    <s v="John Foster"/>
    <x v="8"/>
    <x v="2"/>
    <x v="0"/>
    <n v="1879.08"/>
    <n v="1879.08"/>
  </r>
  <r>
    <s v="T04763"/>
    <d v="2025-08-22T00:00:00"/>
    <s v="C131"/>
    <s v="P050"/>
    <s v="S005"/>
    <n v="4"/>
    <n v="0.1"/>
    <x v="2"/>
    <s v="Denise Jackson"/>
    <x v="3"/>
    <x v="0"/>
    <x v="4"/>
    <n v="1044.6400000000001"/>
    <n v="3760.7040000000006"/>
  </r>
  <r>
    <s v="T04764"/>
    <d v="2025-02-21T00:00:00"/>
    <s v="C129"/>
    <s v="P043"/>
    <s v="S003"/>
    <n v="5"/>
    <n v="0"/>
    <x v="1"/>
    <s v="Gary Taylor"/>
    <x v="45"/>
    <x v="0"/>
    <x v="0"/>
    <n v="564.41999999999996"/>
    <n v="2822.1"/>
  </r>
  <r>
    <s v="T04765"/>
    <d v="2025-06-13T00:00:00"/>
    <s v="C121"/>
    <s v="P020"/>
    <s v="S002"/>
    <n v="5"/>
    <n v="0.15"/>
    <x v="2"/>
    <s v="John Bell"/>
    <x v="24"/>
    <x v="0"/>
    <x v="2"/>
    <n v="323.92"/>
    <n v="1376.66"/>
  </r>
  <r>
    <s v="T04766"/>
    <d v="2023-12-09T00:00:00"/>
    <s v="C078"/>
    <s v="P012"/>
    <s v="S002"/>
    <n v="5"/>
    <n v="0.15"/>
    <x v="1"/>
    <s v="Jeanne Young"/>
    <x v="38"/>
    <x v="1"/>
    <x v="2"/>
    <n v="1193.0899999999999"/>
    <n v="5070.6324999999997"/>
  </r>
  <r>
    <s v="T04767"/>
    <d v="2024-09-19T00:00:00"/>
    <s v="C007"/>
    <s v="P047"/>
    <s v="S003"/>
    <n v="3"/>
    <n v="0"/>
    <x v="0"/>
    <s v="Erin Walker"/>
    <x v="28"/>
    <x v="1"/>
    <x v="0"/>
    <n v="1197.18"/>
    <n v="3591.54"/>
  </r>
  <r>
    <s v="T04768"/>
    <d v="2024-07-10T00:00:00"/>
    <s v="C147"/>
    <s v="P001"/>
    <s v="S002"/>
    <n v="2"/>
    <n v="0"/>
    <x v="1"/>
    <s v="Crystal Garrison"/>
    <x v="31"/>
    <x v="1"/>
    <x v="2"/>
    <n v="1673.69"/>
    <n v="3347.38"/>
  </r>
  <r>
    <s v="T04769"/>
    <d v="2024-02-24T00:00:00"/>
    <s v="C016"/>
    <s v="P045"/>
    <s v="S003"/>
    <n v="5"/>
    <n v="0.15"/>
    <x v="3"/>
    <s v="Miguel Johnson"/>
    <x v="8"/>
    <x v="2"/>
    <x v="0"/>
    <n v="1879.08"/>
    <n v="7986.0899999999992"/>
  </r>
  <r>
    <s v="T04770"/>
    <d v="2024-07-28T00:00:00"/>
    <s v="C140"/>
    <s v="P001"/>
    <s v="S004"/>
    <n v="4"/>
    <n v="0"/>
    <x v="1"/>
    <s v="Stacy Williams"/>
    <x v="31"/>
    <x v="1"/>
    <x v="1"/>
    <n v="1673.69"/>
    <n v="6694.76"/>
  </r>
  <r>
    <s v="T04771"/>
    <d v="2025-06-07T00:00:00"/>
    <s v="C101"/>
    <s v="P021"/>
    <s v="S002"/>
    <n v="2"/>
    <n v="0"/>
    <x v="3"/>
    <s v="William Pope"/>
    <x v="23"/>
    <x v="2"/>
    <x v="2"/>
    <n v="1227.24"/>
    <n v="2454.48"/>
  </r>
  <r>
    <s v="T04772"/>
    <d v="2024-09-26T00:00:00"/>
    <s v="C103"/>
    <s v="P041"/>
    <s v="S002"/>
    <n v="5"/>
    <n v="0"/>
    <x v="1"/>
    <s v="David Burns"/>
    <x v="30"/>
    <x v="1"/>
    <x v="2"/>
    <n v="1635.01"/>
    <n v="8175.05"/>
  </r>
  <r>
    <s v="T04773"/>
    <d v="2025-06-20T00:00:00"/>
    <s v="C050"/>
    <s v="P024"/>
    <s v="S005"/>
    <n v="5"/>
    <n v="0.05"/>
    <x v="3"/>
    <s v="Kelly Mcmillan"/>
    <x v="14"/>
    <x v="1"/>
    <x v="4"/>
    <n v="1487.41"/>
    <n v="7065.1975000000002"/>
  </r>
  <r>
    <s v="T04774"/>
    <d v="2023-09-30T00:00:00"/>
    <s v="C173"/>
    <s v="P004"/>
    <s v="S005"/>
    <n v="5"/>
    <n v="0.05"/>
    <x v="1"/>
    <s v="Lisa Ruiz"/>
    <x v="49"/>
    <x v="0"/>
    <x v="4"/>
    <n v="1853.77"/>
    <n v="8805.4074999999993"/>
  </r>
  <r>
    <s v="T04775"/>
    <d v="2024-02-22T00:00:00"/>
    <s v="C031"/>
    <s v="P005"/>
    <s v="S005"/>
    <n v="2"/>
    <n v="0.15"/>
    <x v="0"/>
    <s v="Ashley Gibson"/>
    <x v="6"/>
    <x v="0"/>
    <x v="4"/>
    <n v="1396.22"/>
    <n v="2373.5740000000001"/>
  </r>
  <r>
    <s v="T04776"/>
    <d v="2024-06-18T00:00:00"/>
    <s v="C197"/>
    <s v="P016"/>
    <s v="S002"/>
    <n v="2"/>
    <n v="0.15"/>
    <x v="3"/>
    <s v="Matthew Dixon"/>
    <x v="13"/>
    <x v="0"/>
    <x v="2"/>
    <n v="1858.75"/>
    <n v="3159.875"/>
  </r>
  <r>
    <s v="T04777"/>
    <d v="2025-09-08T00:00:00"/>
    <s v="C118"/>
    <s v="P018"/>
    <s v="S001"/>
    <n v="5"/>
    <n v="0.15"/>
    <x v="0"/>
    <s v="Gina Bradford"/>
    <x v="19"/>
    <x v="1"/>
    <x v="3"/>
    <n v="1079.8900000000001"/>
    <n v="4589.5325000000003"/>
  </r>
  <r>
    <s v="T04778"/>
    <d v="2024-06-21T00:00:00"/>
    <s v="C157"/>
    <s v="P002"/>
    <s v="S003"/>
    <n v="2"/>
    <n v="0.15"/>
    <x v="0"/>
    <s v="Connie Terry"/>
    <x v="2"/>
    <x v="1"/>
    <x v="0"/>
    <n v="818.76"/>
    <n v="1391.8920000000001"/>
  </r>
  <r>
    <s v="T04779"/>
    <d v="2024-10-27T00:00:00"/>
    <s v="C041"/>
    <s v="P049"/>
    <s v="S001"/>
    <n v="2"/>
    <n v="0.05"/>
    <x v="3"/>
    <s v="Melissa Rodgers"/>
    <x v="29"/>
    <x v="0"/>
    <x v="3"/>
    <n v="388.26"/>
    <n v="737.69399999999996"/>
  </r>
  <r>
    <s v="T04780"/>
    <d v="2024-11-05T00:00:00"/>
    <s v="C173"/>
    <s v="P011"/>
    <s v="S002"/>
    <n v="3"/>
    <n v="0.1"/>
    <x v="3"/>
    <s v="Lisa Ruiz"/>
    <x v="17"/>
    <x v="1"/>
    <x v="2"/>
    <n v="248.57"/>
    <n v="671.13900000000001"/>
  </r>
  <r>
    <s v="T04781"/>
    <d v="2024-05-28T00:00:00"/>
    <s v="C029"/>
    <s v="P024"/>
    <s v="S003"/>
    <n v="3"/>
    <n v="0.15"/>
    <x v="1"/>
    <s v="Tyler Levine"/>
    <x v="14"/>
    <x v="1"/>
    <x v="0"/>
    <n v="1487.41"/>
    <n v="3792.8955000000001"/>
  </r>
  <r>
    <s v="T04782"/>
    <d v="2024-04-01T00:00:00"/>
    <s v="C007"/>
    <s v="P008"/>
    <s v="S004"/>
    <n v="5"/>
    <n v="0.05"/>
    <x v="3"/>
    <s v="Erin Walker"/>
    <x v="48"/>
    <x v="0"/>
    <x v="1"/>
    <n v="109.78"/>
    <n v="521.45499999999993"/>
  </r>
  <r>
    <s v="T04783"/>
    <d v="2023-12-10T00:00:00"/>
    <s v="C158"/>
    <s v="P008"/>
    <s v="S003"/>
    <n v="5"/>
    <n v="0.15"/>
    <x v="2"/>
    <s v="Crystal Aguirre"/>
    <x v="48"/>
    <x v="0"/>
    <x v="0"/>
    <n v="109.78"/>
    <n v="466.56499999999994"/>
  </r>
  <r>
    <s v="T04784"/>
    <d v="2025-07-03T00:00:00"/>
    <s v="C001"/>
    <s v="P017"/>
    <s v="S003"/>
    <n v="3"/>
    <n v="0.05"/>
    <x v="0"/>
    <s v="Michael Davis"/>
    <x v="43"/>
    <x v="1"/>
    <x v="0"/>
    <n v="1246.1099999999999"/>
    <n v="3551.4134999999997"/>
  </r>
  <r>
    <s v="T04785"/>
    <d v="2024-10-29T00:00:00"/>
    <s v="C060"/>
    <s v="P020"/>
    <s v="S005"/>
    <n v="5"/>
    <n v="0.1"/>
    <x v="2"/>
    <s v="Anthony Conway"/>
    <x v="24"/>
    <x v="0"/>
    <x v="4"/>
    <n v="323.92"/>
    <n v="1457.64"/>
  </r>
  <r>
    <s v="T04786"/>
    <d v="2024-04-23T00:00:00"/>
    <s v="C014"/>
    <s v="P020"/>
    <s v="S002"/>
    <n v="1"/>
    <n v="0.15"/>
    <x v="3"/>
    <s v="Brittany Green"/>
    <x v="24"/>
    <x v="0"/>
    <x v="2"/>
    <n v="323.92"/>
    <n v="275.33199999999999"/>
  </r>
  <r>
    <s v="T04787"/>
    <d v="2024-09-16T00:00:00"/>
    <s v="C107"/>
    <s v="P017"/>
    <s v="S004"/>
    <n v="5"/>
    <n v="0"/>
    <x v="1"/>
    <s v="Victoria Hansen"/>
    <x v="43"/>
    <x v="1"/>
    <x v="1"/>
    <n v="1246.1099999999999"/>
    <n v="6230.5499999999993"/>
  </r>
  <r>
    <s v="T04788"/>
    <d v="2023-10-29T00:00:00"/>
    <s v="C163"/>
    <s v="P006"/>
    <s v="S004"/>
    <n v="3"/>
    <n v="0.05"/>
    <x v="3"/>
    <s v="Erin Rogers"/>
    <x v="35"/>
    <x v="2"/>
    <x v="1"/>
    <n v="318.05"/>
    <n v="906.4425"/>
  </r>
  <r>
    <s v="T04789"/>
    <d v="2025-03-15T00:00:00"/>
    <s v="C088"/>
    <s v="P048"/>
    <s v="S005"/>
    <n v="5"/>
    <n v="0"/>
    <x v="3"/>
    <s v="Brenda Costa"/>
    <x v="11"/>
    <x v="0"/>
    <x v="4"/>
    <n v="1216.3599999999999"/>
    <n v="6081.7999999999993"/>
  </r>
  <r>
    <s v="T04790"/>
    <d v="2024-03-30T00:00:00"/>
    <s v="C098"/>
    <s v="P032"/>
    <s v="S003"/>
    <n v="5"/>
    <n v="0.05"/>
    <x v="3"/>
    <s v="Lisa Vega"/>
    <x v="44"/>
    <x v="2"/>
    <x v="0"/>
    <n v="304.70999999999998"/>
    <n v="1447.3724999999999"/>
  </r>
  <r>
    <s v="T04791"/>
    <d v="2025-01-18T00:00:00"/>
    <s v="C085"/>
    <s v="P029"/>
    <s v="S001"/>
    <n v="2"/>
    <n v="0.15"/>
    <x v="3"/>
    <s v="Juan Ramirez"/>
    <x v="47"/>
    <x v="0"/>
    <x v="3"/>
    <n v="1485.05"/>
    <n v="2524.585"/>
  </r>
  <r>
    <s v="T04792"/>
    <d v="2024-01-20T00:00:00"/>
    <s v="C030"/>
    <s v="P032"/>
    <s v="S004"/>
    <n v="1"/>
    <n v="0.05"/>
    <x v="1"/>
    <s v="Lacey Hall"/>
    <x v="44"/>
    <x v="2"/>
    <x v="1"/>
    <n v="304.70999999999998"/>
    <n v="289.47449999999998"/>
  </r>
  <r>
    <s v="T04793"/>
    <d v="2024-07-02T00:00:00"/>
    <s v="C162"/>
    <s v="P024"/>
    <s v="S003"/>
    <n v="1"/>
    <n v="0.15"/>
    <x v="3"/>
    <s v="Jill Roach"/>
    <x v="14"/>
    <x v="1"/>
    <x v="0"/>
    <n v="1487.41"/>
    <n v="1264.2985000000001"/>
  </r>
  <r>
    <s v="T04794"/>
    <d v="2025-03-18T00:00:00"/>
    <s v="C053"/>
    <s v="P023"/>
    <s v="S001"/>
    <n v="5"/>
    <n v="0"/>
    <x v="3"/>
    <s v="Felicia Morgan"/>
    <x v="20"/>
    <x v="0"/>
    <x v="3"/>
    <n v="1878.47"/>
    <n v="9392.35"/>
  </r>
  <r>
    <s v="T04795"/>
    <d v="2024-12-16T00:00:00"/>
    <s v="C117"/>
    <s v="P034"/>
    <s v="S002"/>
    <n v="4"/>
    <n v="0.05"/>
    <x v="2"/>
    <s v="Timothy Beck"/>
    <x v="12"/>
    <x v="1"/>
    <x v="2"/>
    <n v="428.05"/>
    <n v="1626.59"/>
  </r>
  <r>
    <s v="T04796"/>
    <d v="2024-05-20T00:00:00"/>
    <s v="C154"/>
    <s v="P041"/>
    <s v="S004"/>
    <n v="5"/>
    <n v="0.05"/>
    <x v="0"/>
    <s v="Lisa Martinez"/>
    <x v="30"/>
    <x v="1"/>
    <x v="1"/>
    <n v="1635.01"/>
    <n v="7766.2974999999997"/>
  </r>
  <r>
    <s v="T04797"/>
    <d v="2023-09-13T00:00:00"/>
    <s v="C077"/>
    <s v="P001"/>
    <s v="S005"/>
    <n v="3"/>
    <n v="0"/>
    <x v="3"/>
    <s v="Matthew Juarez"/>
    <x v="31"/>
    <x v="1"/>
    <x v="4"/>
    <n v="1673.69"/>
    <n v="5021.07"/>
  </r>
  <r>
    <s v="T04798"/>
    <d v="2024-04-08T00:00:00"/>
    <s v="C118"/>
    <s v="P006"/>
    <s v="S002"/>
    <n v="5"/>
    <n v="0.1"/>
    <x v="2"/>
    <s v="Gina Bradford"/>
    <x v="35"/>
    <x v="2"/>
    <x v="2"/>
    <n v="318.05"/>
    <n v="1431.2250000000001"/>
  </r>
  <r>
    <s v="T04799"/>
    <d v="2024-09-22T00:00:00"/>
    <s v="C165"/>
    <s v="P020"/>
    <s v="S004"/>
    <n v="3"/>
    <n v="0"/>
    <x v="3"/>
    <s v="Tanya Mueller"/>
    <x v="24"/>
    <x v="0"/>
    <x v="1"/>
    <n v="323.92"/>
    <n v="971.76"/>
  </r>
  <r>
    <s v="T04800"/>
    <d v="2024-10-21T00:00:00"/>
    <s v="C108"/>
    <s v="P015"/>
    <s v="S005"/>
    <n v="1"/>
    <n v="0.15"/>
    <x v="3"/>
    <s v="Samantha Hill"/>
    <x v="40"/>
    <x v="0"/>
    <x v="4"/>
    <n v="270.45"/>
    <n v="229.88249999999999"/>
  </r>
  <r>
    <s v="T04801"/>
    <d v="2025-04-07T00:00:00"/>
    <s v="C185"/>
    <s v="P004"/>
    <s v="S005"/>
    <n v="4"/>
    <n v="0"/>
    <x v="2"/>
    <s v="Joe Vincent"/>
    <x v="49"/>
    <x v="0"/>
    <x v="4"/>
    <n v="1853.77"/>
    <n v="7415.08"/>
  </r>
  <r>
    <s v="T04802"/>
    <d v="2025-07-03T00:00:00"/>
    <s v="C121"/>
    <s v="P021"/>
    <s v="S004"/>
    <n v="4"/>
    <n v="0.05"/>
    <x v="3"/>
    <s v="John Bell"/>
    <x v="23"/>
    <x v="2"/>
    <x v="1"/>
    <n v="1227.24"/>
    <n v="4663.5119999999997"/>
  </r>
  <r>
    <s v="T04803"/>
    <d v="2025-02-03T00:00:00"/>
    <s v="C143"/>
    <s v="P005"/>
    <s v="S001"/>
    <n v="5"/>
    <n v="0.05"/>
    <x v="3"/>
    <s v="Cynthia Carlson"/>
    <x v="6"/>
    <x v="0"/>
    <x v="3"/>
    <n v="1396.22"/>
    <n v="6632.0450000000001"/>
  </r>
  <r>
    <s v="T04804"/>
    <d v="2023-11-17T00:00:00"/>
    <s v="C062"/>
    <s v="P033"/>
    <s v="S005"/>
    <n v="1"/>
    <n v="0.15"/>
    <x v="3"/>
    <s v="Susan Salinas"/>
    <x v="16"/>
    <x v="0"/>
    <x v="4"/>
    <n v="1798.97"/>
    <n v="1529.1244999999999"/>
  </r>
  <r>
    <s v="T04805"/>
    <d v="2025-08-08T00:00:00"/>
    <s v="C163"/>
    <s v="P016"/>
    <s v="S002"/>
    <n v="4"/>
    <n v="0.05"/>
    <x v="0"/>
    <s v="Erin Rogers"/>
    <x v="13"/>
    <x v="0"/>
    <x v="2"/>
    <n v="1858.75"/>
    <n v="7063.25"/>
  </r>
  <r>
    <s v="T04806"/>
    <d v="2025-07-31T00:00:00"/>
    <s v="C072"/>
    <s v="P012"/>
    <s v="S003"/>
    <n v="2"/>
    <n v="0.1"/>
    <x v="1"/>
    <s v="Eric Watkins"/>
    <x v="38"/>
    <x v="1"/>
    <x v="0"/>
    <n v="1193.0899999999999"/>
    <n v="2147.5619999999999"/>
  </r>
  <r>
    <s v="T04807"/>
    <d v="2025-08-21T00:00:00"/>
    <s v="C162"/>
    <s v="P020"/>
    <s v="S002"/>
    <n v="3"/>
    <n v="0.1"/>
    <x v="1"/>
    <s v="Jill Roach"/>
    <x v="24"/>
    <x v="0"/>
    <x v="2"/>
    <n v="323.92"/>
    <n v="874.58400000000006"/>
  </r>
  <r>
    <s v="T04808"/>
    <d v="2024-05-23T00:00:00"/>
    <s v="C002"/>
    <s v="P013"/>
    <s v="S001"/>
    <n v="2"/>
    <n v="0"/>
    <x v="0"/>
    <s v="Michael Miller"/>
    <x v="21"/>
    <x v="0"/>
    <x v="3"/>
    <n v="1134.8"/>
    <n v="2269.6"/>
  </r>
  <r>
    <s v="T04809"/>
    <d v="2024-10-17T00:00:00"/>
    <s v="C170"/>
    <s v="P006"/>
    <s v="S002"/>
    <n v="3"/>
    <n v="0.05"/>
    <x v="0"/>
    <s v="Amber Graham"/>
    <x v="35"/>
    <x v="2"/>
    <x v="2"/>
    <n v="318.05"/>
    <n v="906.4425"/>
  </r>
  <r>
    <s v="T04810"/>
    <d v="2024-05-11T00:00:00"/>
    <s v="C056"/>
    <s v="P034"/>
    <s v="S004"/>
    <n v="5"/>
    <n v="0"/>
    <x v="3"/>
    <s v="Carl Wyatt"/>
    <x v="12"/>
    <x v="1"/>
    <x v="1"/>
    <n v="428.05"/>
    <n v="2140.25"/>
  </r>
  <r>
    <s v="T04811"/>
    <d v="2024-05-18T00:00:00"/>
    <s v="C040"/>
    <s v="P040"/>
    <s v="S002"/>
    <n v="4"/>
    <n v="0.1"/>
    <x v="2"/>
    <s v="Scott Powell"/>
    <x v="37"/>
    <x v="1"/>
    <x v="2"/>
    <n v="1745.61"/>
    <n v="6284.1959999999999"/>
  </r>
  <r>
    <s v="T04812"/>
    <d v="2023-11-18T00:00:00"/>
    <s v="C003"/>
    <s v="P003"/>
    <s v="S002"/>
    <n v="5"/>
    <n v="0.1"/>
    <x v="1"/>
    <s v="Carol Hays"/>
    <x v="46"/>
    <x v="0"/>
    <x v="2"/>
    <n v="337.63"/>
    <n v="1519.335"/>
  </r>
  <r>
    <s v="T04813"/>
    <d v="2024-05-04T00:00:00"/>
    <s v="C104"/>
    <s v="P016"/>
    <s v="S001"/>
    <n v="2"/>
    <n v="0.15"/>
    <x v="1"/>
    <s v="Brenda Dean"/>
    <x v="13"/>
    <x v="0"/>
    <x v="3"/>
    <n v="1858.75"/>
    <n v="3159.875"/>
  </r>
  <r>
    <s v="T04814"/>
    <d v="2023-12-21T00:00:00"/>
    <s v="C001"/>
    <s v="P001"/>
    <s v="S002"/>
    <n v="3"/>
    <n v="0.05"/>
    <x v="1"/>
    <s v="Michael Davis"/>
    <x v="31"/>
    <x v="1"/>
    <x v="2"/>
    <n v="1673.69"/>
    <n v="4770.0164999999997"/>
  </r>
  <r>
    <s v="T04815"/>
    <d v="2024-04-18T00:00:00"/>
    <s v="C082"/>
    <s v="P047"/>
    <s v="S002"/>
    <n v="3"/>
    <n v="0"/>
    <x v="0"/>
    <s v="Amy Haley"/>
    <x v="28"/>
    <x v="1"/>
    <x v="2"/>
    <n v="1197.18"/>
    <n v="3591.54"/>
  </r>
  <r>
    <s v="T04816"/>
    <d v="2024-05-28T00:00:00"/>
    <s v="C091"/>
    <s v="P045"/>
    <s v="S002"/>
    <n v="4"/>
    <n v="0.1"/>
    <x v="3"/>
    <s v="Brian Fowler"/>
    <x v="8"/>
    <x v="2"/>
    <x v="2"/>
    <n v="1879.08"/>
    <n v="6764.6880000000001"/>
  </r>
  <r>
    <s v="T04817"/>
    <d v="2024-01-17T00:00:00"/>
    <s v="C180"/>
    <s v="P007"/>
    <s v="S005"/>
    <n v="4"/>
    <n v="0.1"/>
    <x v="0"/>
    <s v="Nichole Calhoun"/>
    <x v="18"/>
    <x v="1"/>
    <x v="4"/>
    <n v="1474.12"/>
    <n v="5306.8319999999994"/>
  </r>
  <r>
    <s v="T04818"/>
    <d v="2024-03-19T00:00:00"/>
    <s v="C174"/>
    <s v="P036"/>
    <s v="S001"/>
    <n v="2"/>
    <n v="0.15"/>
    <x v="0"/>
    <s v="Scott Howell"/>
    <x v="4"/>
    <x v="0"/>
    <x v="3"/>
    <n v="1501.46"/>
    <n v="2552.482"/>
  </r>
  <r>
    <s v="T04819"/>
    <d v="2024-12-04T00:00:00"/>
    <s v="C131"/>
    <s v="P041"/>
    <s v="S005"/>
    <n v="2"/>
    <n v="0"/>
    <x v="0"/>
    <s v="Denise Jackson"/>
    <x v="30"/>
    <x v="1"/>
    <x v="4"/>
    <n v="1635.01"/>
    <n v="3270.02"/>
  </r>
  <r>
    <s v="T04820"/>
    <d v="2024-10-17T00:00:00"/>
    <s v="C184"/>
    <s v="P004"/>
    <s v="S005"/>
    <n v="4"/>
    <n v="0.15"/>
    <x v="2"/>
    <s v="Daniel Mcintyre"/>
    <x v="49"/>
    <x v="0"/>
    <x v="4"/>
    <n v="1853.77"/>
    <n v="6302.8180000000002"/>
  </r>
  <r>
    <s v="T04821"/>
    <d v="2025-04-03T00:00:00"/>
    <s v="C133"/>
    <s v="P029"/>
    <s v="S003"/>
    <n v="3"/>
    <n v="0.15"/>
    <x v="1"/>
    <s v="Yvette Roth"/>
    <x v="47"/>
    <x v="0"/>
    <x v="0"/>
    <n v="1485.05"/>
    <n v="3786.8774999999996"/>
  </r>
  <r>
    <s v="T04822"/>
    <d v="2025-04-27T00:00:00"/>
    <s v="C039"/>
    <s v="P004"/>
    <s v="S002"/>
    <n v="2"/>
    <n v="0.05"/>
    <x v="1"/>
    <s v="Nancy Savage"/>
    <x v="49"/>
    <x v="0"/>
    <x v="2"/>
    <n v="1853.77"/>
    <n v="3522.163"/>
  </r>
  <r>
    <s v="T04823"/>
    <d v="2024-03-17T00:00:00"/>
    <s v="C010"/>
    <s v="P028"/>
    <s v="S004"/>
    <n v="4"/>
    <n v="0.15"/>
    <x v="1"/>
    <s v="Catherine Rice"/>
    <x v="25"/>
    <x v="1"/>
    <x v="1"/>
    <n v="673.78"/>
    <n v="2290.8519999999999"/>
  </r>
  <r>
    <s v="T04824"/>
    <d v="2024-05-09T00:00:00"/>
    <s v="C073"/>
    <s v="P007"/>
    <s v="S005"/>
    <n v="1"/>
    <n v="0.05"/>
    <x v="0"/>
    <s v="Carl Armstrong"/>
    <x v="18"/>
    <x v="1"/>
    <x v="4"/>
    <n v="1474.12"/>
    <n v="1400.4139999999998"/>
  </r>
  <r>
    <s v="T04825"/>
    <d v="2025-08-08T00:00:00"/>
    <s v="C149"/>
    <s v="P012"/>
    <s v="S003"/>
    <n v="5"/>
    <n v="0.15"/>
    <x v="2"/>
    <s v="Melissa Torres"/>
    <x v="38"/>
    <x v="1"/>
    <x v="0"/>
    <n v="1193.0899999999999"/>
    <n v="5070.6324999999997"/>
  </r>
  <r>
    <s v="T04826"/>
    <d v="2025-06-13T00:00:00"/>
    <s v="C035"/>
    <s v="P009"/>
    <s v="S001"/>
    <n v="3"/>
    <n v="0.05"/>
    <x v="1"/>
    <s v="Kimberly King"/>
    <x v="5"/>
    <x v="2"/>
    <x v="3"/>
    <n v="123.19"/>
    <n v="351.0915"/>
  </r>
  <r>
    <s v="T04827"/>
    <d v="2024-12-07T00:00:00"/>
    <s v="C048"/>
    <s v="P023"/>
    <s v="S002"/>
    <n v="4"/>
    <n v="0.05"/>
    <x v="3"/>
    <s v="Alexis Crane"/>
    <x v="20"/>
    <x v="0"/>
    <x v="2"/>
    <n v="1878.47"/>
    <n v="7138.1859999999997"/>
  </r>
  <r>
    <s v="T04828"/>
    <d v="2024-12-21T00:00:00"/>
    <s v="C099"/>
    <s v="P035"/>
    <s v="S004"/>
    <n v="4"/>
    <n v="0"/>
    <x v="1"/>
    <s v="Kimberly Jones"/>
    <x v="7"/>
    <x v="1"/>
    <x v="1"/>
    <n v="1562.43"/>
    <n v="6249.72"/>
  </r>
  <r>
    <s v="T04829"/>
    <d v="2024-10-21T00:00:00"/>
    <s v="C146"/>
    <s v="P010"/>
    <s v="S005"/>
    <n v="4"/>
    <n v="0.05"/>
    <x v="2"/>
    <s v="John Johnson"/>
    <x v="36"/>
    <x v="1"/>
    <x v="4"/>
    <n v="1194.1199999999999"/>
    <n v="4537.655999999999"/>
  </r>
  <r>
    <s v="T04830"/>
    <d v="2025-06-07T00:00:00"/>
    <s v="C089"/>
    <s v="P029"/>
    <s v="S004"/>
    <n v="5"/>
    <n v="0.05"/>
    <x v="2"/>
    <s v="William Warner"/>
    <x v="47"/>
    <x v="0"/>
    <x v="1"/>
    <n v="1485.05"/>
    <n v="7053.9874999999993"/>
  </r>
  <r>
    <s v="T04831"/>
    <d v="2025-04-19T00:00:00"/>
    <s v="C056"/>
    <s v="P031"/>
    <s v="S003"/>
    <n v="5"/>
    <n v="0.15"/>
    <x v="1"/>
    <s v="Carl Wyatt"/>
    <x v="39"/>
    <x v="2"/>
    <x v="0"/>
    <n v="1095.72"/>
    <n v="4656.8100000000004"/>
  </r>
  <r>
    <s v="T04832"/>
    <d v="2024-09-04T00:00:00"/>
    <s v="C143"/>
    <s v="P037"/>
    <s v="S005"/>
    <n v="4"/>
    <n v="0.15"/>
    <x v="1"/>
    <s v="Cynthia Carlson"/>
    <x v="27"/>
    <x v="1"/>
    <x v="4"/>
    <n v="1952.65"/>
    <n v="6639.01"/>
  </r>
  <r>
    <s v="T04833"/>
    <d v="2024-06-26T00:00:00"/>
    <s v="C157"/>
    <s v="P008"/>
    <s v="S002"/>
    <n v="3"/>
    <n v="0.15"/>
    <x v="3"/>
    <s v="Connie Terry"/>
    <x v="48"/>
    <x v="0"/>
    <x v="2"/>
    <n v="109.78"/>
    <n v="279.93900000000002"/>
  </r>
  <r>
    <s v="T04834"/>
    <d v="2025-03-14T00:00:00"/>
    <s v="C078"/>
    <s v="P050"/>
    <s v="S001"/>
    <n v="2"/>
    <n v="0.1"/>
    <x v="2"/>
    <s v="Jeanne Young"/>
    <x v="3"/>
    <x v="0"/>
    <x v="3"/>
    <n v="1044.6400000000001"/>
    <n v="1880.3520000000003"/>
  </r>
  <r>
    <s v="T04835"/>
    <d v="2025-03-14T00:00:00"/>
    <s v="C013"/>
    <s v="P036"/>
    <s v="S005"/>
    <n v="3"/>
    <n v="0.05"/>
    <x v="3"/>
    <s v="Robert Anderson"/>
    <x v="4"/>
    <x v="0"/>
    <x v="4"/>
    <n v="1501.46"/>
    <n v="4279.1610000000001"/>
  </r>
  <r>
    <s v="T04836"/>
    <d v="2025-08-07T00:00:00"/>
    <s v="C084"/>
    <s v="P022"/>
    <s v="S002"/>
    <n v="5"/>
    <n v="0.05"/>
    <x v="3"/>
    <s v="Amanda Lee"/>
    <x v="9"/>
    <x v="2"/>
    <x v="2"/>
    <n v="25.57"/>
    <n v="121.4575"/>
  </r>
  <r>
    <s v="T04837"/>
    <d v="2025-04-10T00:00:00"/>
    <s v="C040"/>
    <s v="P037"/>
    <s v="S002"/>
    <n v="4"/>
    <n v="0"/>
    <x v="3"/>
    <s v="Scott Powell"/>
    <x v="27"/>
    <x v="1"/>
    <x v="2"/>
    <n v="1952.65"/>
    <n v="7810.6"/>
  </r>
  <r>
    <s v="T04838"/>
    <d v="2024-04-08T00:00:00"/>
    <s v="C002"/>
    <s v="P032"/>
    <s v="S001"/>
    <n v="3"/>
    <n v="0.1"/>
    <x v="3"/>
    <s v="Michael Miller"/>
    <x v="44"/>
    <x v="2"/>
    <x v="3"/>
    <n v="304.70999999999998"/>
    <n v="822.71699999999987"/>
  </r>
  <r>
    <s v="T04839"/>
    <d v="2024-11-19T00:00:00"/>
    <s v="C168"/>
    <s v="P040"/>
    <s v="S004"/>
    <n v="4"/>
    <n v="0.05"/>
    <x v="3"/>
    <s v="Richard Jones"/>
    <x v="37"/>
    <x v="1"/>
    <x v="1"/>
    <n v="1745.61"/>
    <n v="6633.3179999999993"/>
  </r>
  <r>
    <s v="T04840"/>
    <d v="2024-02-23T00:00:00"/>
    <s v="C079"/>
    <s v="P032"/>
    <s v="S002"/>
    <n v="1"/>
    <n v="0.1"/>
    <x v="3"/>
    <s v="Donald Marsh"/>
    <x v="44"/>
    <x v="2"/>
    <x v="2"/>
    <n v="304.70999999999998"/>
    <n v="274.23899999999998"/>
  </r>
  <r>
    <s v="T04841"/>
    <d v="2024-01-22T00:00:00"/>
    <s v="C056"/>
    <s v="P001"/>
    <s v="S003"/>
    <n v="1"/>
    <n v="0"/>
    <x v="2"/>
    <s v="Carl Wyatt"/>
    <x v="31"/>
    <x v="1"/>
    <x v="0"/>
    <n v="1673.69"/>
    <n v="1673.69"/>
  </r>
  <r>
    <s v="T04842"/>
    <d v="2024-12-09T00:00:00"/>
    <s v="C133"/>
    <s v="P007"/>
    <s v="S005"/>
    <n v="4"/>
    <n v="0.1"/>
    <x v="2"/>
    <s v="Yvette Roth"/>
    <x v="18"/>
    <x v="1"/>
    <x v="4"/>
    <n v="1474.12"/>
    <n v="5306.8319999999994"/>
  </r>
  <r>
    <s v="T04843"/>
    <d v="2024-04-29T00:00:00"/>
    <s v="C163"/>
    <s v="P031"/>
    <s v="S005"/>
    <n v="4"/>
    <n v="0.05"/>
    <x v="3"/>
    <s v="Erin Rogers"/>
    <x v="39"/>
    <x v="2"/>
    <x v="4"/>
    <n v="1095.72"/>
    <n v="4163.7359999999999"/>
  </r>
  <r>
    <s v="T04844"/>
    <d v="2023-10-01T00:00:00"/>
    <s v="C152"/>
    <s v="P013"/>
    <s v="S005"/>
    <n v="5"/>
    <n v="0.15"/>
    <x v="0"/>
    <s v="Brittany Green"/>
    <x v="21"/>
    <x v="0"/>
    <x v="4"/>
    <n v="1134.8"/>
    <n v="4822.8999999999996"/>
  </r>
  <r>
    <s v="T04845"/>
    <d v="2023-12-31T00:00:00"/>
    <s v="C172"/>
    <s v="P018"/>
    <s v="S004"/>
    <n v="3"/>
    <n v="0.05"/>
    <x v="2"/>
    <s v="Michelle Smith"/>
    <x v="19"/>
    <x v="1"/>
    <x v="1"/>
    <n v="1079.8900000000001"/>
    <n v="3077.6864999999998"/>
  </r>
  <r>
    <s v="T04846"/>
    <d v="2024-03-09T00:00:00"/>
    <s v="C076"/>
    <s v="P018"/>
    <s v="S001"/>
    <n v="3"/>
    <n v="0.05"/>
    <x v="3"/>
    <s v="Phyllis Durham"/>
    <x v="19"/>
    <x v="1"/>
    <x v="3"/>
    <n v="1079.8900000000001"/>
    <n v="3077.6864999999998"/>
  </r>
  <r>
    <s v="T04847"/>
    <d v="2024-11-06T00:00:00"/>
    <s v="C133"/>
    <s v="P008"/>
    <s v="S002"/>
    <n v="2"/>
    <n v="0.1"/>
    <x v="2"/>
    <s v="Yvette Roth"/>
    <x v="48"/>
    <x v="0"/>
    <x v="2"/>
    <n v="109.78"/>
    <n v="197.60400000000001"/>
  </r>
  <r>
    <s v="T04848"/>
    <d v="2023-12-28T00:00:00"/>
    <s v="C008"/>
    <s v="P041"/>
    <s v="S005"/>
    <n v="4"/>
    <n v="0.15"/>
    <x v="1"/>
    <s v="Isaiah Williams"/>
    <x v="30"/>
    <x v="1"/>
    <x v="4"/>
    <n v="1635.01"/>
    <n v="5559.0339999999997"/>
  </r>
  <r>
    <s v="T04849"/>
    <d v="2024-04-17T00:00:00"/>
    <s v="C156"/>
    <s v="P022"/>
    <s v="S001"/>
    <n v="5"/>
    <n v="0.1"/>
    <x v="1"/>
    <s v="George Young"/>
    <x v="9"/>
    <x v="2"/>
    <x v="3"/>
    <n v="25.57"/>
    <n v="115.065"/>
  </r>
  <r>
    <s v="T04850"/>
    <d v="2025-08-31T00:00:00"/>
    <s v="C033"/>
    <s v="P029"/>
    <s v="S005"/>
    <n v="5"/>
    <n v="0"/>
    <x v="0"/>
    <s v="Jenny Beck"/>
    <x v="47"/>
    <x v="0"/>
    <x v="4"/>
    <n v="1485.05"/>
    <n v="7425.25"/>
  </r>
  <r>
    <s v="T04851"/>
    <d v="2024-05-29T00:00:00"/>
    <s v="C103"/>
    <s v="P037"/>
    <s v="S005"/>
    <n v="2"/>
    <n v="0"/>
    <x v="3"/>
    <s v="David Burns"/>
    <x v="27"/>
    <x v="1"/>
    <x v="4"/>
    <n v="1952.65"/>
    <n v="3905.3"/>
  </r>
  <r>
    <s v="T04852"/>
    <d v="2025-04-08T00:00:00"/>
    <s v="C122"/>
    <s v="P006"/>
    <s v="S003"/>
    <n v="2"/>
    <n v="0"/>
    <x v="1"/>
    <s v="Amy Smith"/>
    <x v="35"/>
    <x v="2"/>
    <x v="0"/>
    <n v="318.05"/>
    <n v="636.1"/>
  </r>
  <r>
    <s v="T04853"/>
    <d v="2024-08-20T00:00:00"/>
    <s v="C158"/>
    <s v="P043"/>
    <s v="S004"/>
    <n v="4"/>
    <n v="0"/>
    <x v="1"/>
    <s v="Crystal Aguirre"/>
    <x v="45"/>
    <x v="0"/>
    <x v="1"/>
    <n v="564.41999999999996"/>
    <n v="2257.6799999999998"/>
  </r>
  <r>
    <s v="T04854"/>
    <d v="2025-02-02T00:00:00"/>
    <s v="C147"/>
    <s v="P020"/>
    <s v="S003"/>
    <n v="4"/>
    <n v="0.05"/>
    <x v="0"/>
    <s v="Crystal Garrison"/>
    <x v="24"/>
    <x v="0"/>
    <x v="0"/>
    <n v="323.92"/>
    <n v="1230.896"/>
  </r>
  <r>
    <s v="T04855"/>
    <d v="2025-03-25T00:00:00"/>
    <s v="C002"/>
    <s v="P018"/>
    <s v="S003"/>
    <n v="2"/>
    <n v="0.1"/>
    <x v="1"/>
    <s v="Michael Miller"/>
    <x v="19"/>
    <x v="1"/>
    <x v="0"/>
    <n v="1079.8900000000001"/>
    <n v="1943.8020000000001"/>
  </r>
  <r>
    <s v="T04856"/>
    <d v="2025-01-01T00:00:00"/>
    <s v="C066"/>
    <s v="P012"/>
    <s v="S001"/>
    <n v="2"/>
    <n v="0.1"/>
    <x v="2"/>
    <s v="Jason Jenkins"/>
    <x v="38"/>
    <x v="1"/>
    <x v="3"/>
    <n v="1193.0899999999999"/>
    <n v="2147.5619999999999"/>
  </r>
  <r>
    <s v="T04857"/>
    <d v="2024-01-16T00:00:00"/>
    <s v="C019"/>
    <s v="P014"/>
    <s v="S002"/>
    <n v="4"/>
    <n v="0.1"/>
    <x v="1"/>
    <s v="John Smith"/>
    <x v="0"/>
    <x v="0"/>
    <x v="2"/>
    <n v="1342.75"/>
    <n v="4833.9000000000005"/>
  </r>
  <r>
    <s v="T04858"/>
    <d v="2025-05-05T00:00:00"/>
    <s v="C025"/>
    <s v="P010"/>
    <s v="S001"/>
    <n v="1"/>
    <n v="0.15"/>
    <x v="1"/>
    <s v="Cheryl Gilbert"/>
    <x v="36"/>
    <x v="1"/>
    <x v="3"/>
    <n v="1194.1199999999999"/>
    <n v="1015.0019999999998"/>
  </r>
  <r>
    <s v="T04859"/>
    <d v="2024-05-02T00:00:00"/>
    <s v="C127"/>
    <s v="P017"/>
    <s v="S002"/>
    <n v="2"/>
    <n v="0"/>
    <x v="1"/>
    <s v="John Allen"/>
    <x v="43"/>
    <x v="1"/>
    <x v="2"/>
    <n v="1246.1099999999999"/>
    <n v="2492.2199999999998"/>
  </r>
  <r>
    <s v="T04860"/>
    <d v="2025-01-17T00:00:00"/>
    <s v="C090"/>
    <s v="P041"/>
    <s v="S001"/>
    <n v="2"/>
    <n v="0.15"/>
    <x v="3"/>
    <s v="Carrie Peterson"/>
    <x v="30"/>
    <x v="1"/>
    <x v="3"/>
    <n v="1635.01"/>
    <n v="2779.5169999999998"/>
  </r>
  <r>
    <s v="T04861"/>
    <d v="2023-11-18T00:00:00"/>
    <s v="C194"/>
    <s v="P010"/>
    <s v="S005"/>
    <n v="2"/>
    <n v="0"/>
    <x v="2"/>
    <s v="Ann West"/>
    <x v="36"/>
    <x v="1"/>
    <x v="4"/>
    <n v="1194.1199999999999"/>
    <n v="2388.2399999999998"/>
  </r>
  <r>
    <s v="T04862"/>
    <d v="2024-02-29T00:00:00"/>
    <s v="C178"/>
    <s v="P003"/>
    <s v="S003"/>
    <n v="5"/>
    <n v="0"/>
    <x v="2"/>
    <s v="Mark Mcdonald"/>
    <x v="46"/>
    <x v="0"/>
    <x v="0"/>
    <n v="337.63"/>
    <n v="1688.15"/>
  </r>
  <r>
    <s v="T04863"/>
    <d v="2025-08-11T00:00:00"/>
    <s v="C133"/>
    <s v="P050"/>
    <s v="S004"/>
    <n v="2"/>
    <n v="0.05"/>
    <x v="1"/>
    <s v="Yvette Roth"/>
    <x v="3"/>
    <x v="0"/>
    <x v="1"/>
    <n v="1044.6400000000001"/>
    <n v="1984.816"/>
  </r>
  <r>
    <s v="T04864"/>
    <d v="2023-12-13T00:00:00"/>
    <s v="C011"/>
    <s v="P010"/>
    <s v="S002"/>
    <n v="3"/>
    <n v="0.05"/>
    <x v="0"/>
    <s v="Haley Williams"/>
    <x v="36"/>
    <x v="1"/>
    <x v="2"/>
    <n v="1194.1199999999999"/>
    <n v="3403.2419999999997"/>
  </r>
  <r>
    <s v="T04865"/>
    <d v="2023-09-12T00:00:00"/>
    <s v="C080"/>
    <s v="P002"/>
    <s v="S003"/>
    <n v="4"/>
    <n v="0.1"/>
    <x v="3"/>
    <s v="Grace Garcia"/>
    <x v="2"/>
    <x v="1"/>
    <x v="0"/>
    <n v="818.76"/>
    <n v="2947.5360000000001"/>
  </r>
  <r>
    <s v="T04866"/>
    <d v="2025-04-09T00:00:00"/>
    <s v="C200"/>
    <s v="P007"/>
    <s v="S003"/>
    <n v="4"/>
    <n v="0.15"/>
    <x v="3"/>
    <s v="Ronald Haley"/>
    <x v="18"/>
    <x v="1"/>
    <x v="0"/>
    <n v="1474.12"/>
    <n v="5012.0079999999998"/>
  </r>
  <r>
    <s v="T04867"/>
    <d v="2025-08-31T00:00:00"/>
    <s v="C114"/>
    <s v="P030"/>
    <s v="S005"/>
    <n v="4"/>
    <n v="0.05"/>
    <x v="2"/>
    <s v="Miranda Rodriguez"/>
    <x v="1"/>
    <x v="0"/>
    <x v="4"/>
    <n v="29.24"/>
    <n v="111.11199999999999"/>
  </r>
  <r>
    <s v="T04868"/>
    <d v="2024-05-15T00:00:00"/>
    <s v="C081"/>
    <s v="P002"/>
    <s v="S001"/>
    <n v="1"/>
    <n v="0.15"/>
    <x v="1"/>
    <s v="Sarah Reynolds"/>
    <x v="2"/>
    <x v="1"/>
    <x v="3"/>
    <n v="818.76"/>
    <n v="695.94600000000003"/>
  </r>
  <r>
    <s v="T04869"/>
    <d v="2025-06-23T00:00:00"/>
    <s v="C083"/>
    <s v="P049"/>
    <s v="S001"/>
    <n v="5"/>
    <n v="0"/>
    <x v="1"/>
    <s v="Jeremy Robles"/>
    <x v="29"/>
    <x v="0"/>
    <x v="3"/>
    <n v="388.26"/>
    <n v="1941.3"/>
  </r>
  <r>
    <s v="T04870"/>
    <d v="2024-08-22T00:00:00"/>
    <s v="C162"/>
    <s v="P035"/>
    <s v="S001"/>
    <n v="5"/>
    <n v="0.1"/>
    <x v="3"/>
    <s v="Jill Roach"/>
    <x v="7"/>
    <x v="1"/>
    <x v="3"/>
    <n v="1562.43"/>
    <n v="7030.9350000000004"/>
  </r>
  <r>
    <s v="T04871"/>
    <d v="2025-05-22T00:00:00"/>
    <s v="C124"/>
    <s v="P031"/>
    <s v="S002"/>
    <n v="2"/>
    <n v="0.1"/>
    <x v="3"/>
    <s v="Chad Roberts"/>
    <x v="39"/>
    <x v="2"/>
    <x v="2"/>
    <n v="1095.72"/>
    <n v="1972.296"/>
  </r>
  <r>
    <s v="T04872"/>
    <d v="2025-02-14T00:00:00"/>
    <s v="C069"/>
    <s v="P015"/>
    <s v="S003"/>
    <n v="4"/>
    <n v="0.05"/>
    <x v="0"/>
    <s v="Gabriel Daugherty"/>
    <x v="40"/>
    <x v="0"/>
    <x v="0"/>
    <n v="270.45"/>
    <n v="1027.7099999999998"/>
  </r>
  <r>
    <s v="T04873"/>
    <d v="2024-03-16T00:00:00"/>
    <s v="C010"/>
    <s v="P037"/>
    <s v="S005"/>
    <n v="1"/>
    <n v="0.1"/>
    <x v="3"/>
    <s v="Catherine Rice"/>
    <x v="27"/>
    <x v="1"/>
    <x v="4"/>
    <n v="1952.65"/>
    <n v="1757.3850000000002"/>
  </r>
  <r>
    <s v="T04874"/>
    <d v="2023-12-16T00:00:00"/>
    <s v="C089"/>
    <s v="P023"/>
    <s v="S003"/>
    <n v="5"/>
    <n v="0"/>
    <x v="3"/>
    <s v="William Warner"/>
    <x v="20"/>
    <x v="0"/>
    <x v="0"/>
    <n v="1878.47"/>
    <n v="9392.35"/>
  </r>
  <r>
    <s v="T04875"/>
    <d v="2024-11-12T00:00:00"/>
    <s v="C083"/>
    <s v="P007"/>
    <s v="S004"/>
    <n v="3"/>
    <n v="0.1"/>
    <x v="1"/>
    <s v="Jeremy Robles"/>
    <x v="18"/>
    <x v="1"/>
    <x v="1"/>
    <n v="1474.12"/>
    <n v="3980.1239999999998"/>
  </r>
  <r>
    <s v="T04876"/>
    <d v="2025-08-09T00:00:00"/>
    <s v="C172"/>
    <s v="P035"/>
    <s v="S003"/>
    <n v="2"/>
    <n v="0"/>
    <x v="1"/>
    <s v="Michelle Smith"/>
    <x v="7"/>
    <x v="1"/>
    <x v="0"/>
    <n v="1562.43"/>
    <n v="3124.86"/>
  </r>
  <r>
    <s v="T04877"/>
    <d v="2024-04-04T00:00:00"/>
    <s v="C013"/>
    <s v="P007"/>
    <s v="S004"/>
    <n v="4"/>
    <n v="0"/>
    <x v="3"/>
    <s v="Robert Anderson"/>
    <x v="18"/>
    <x v="1"/>
    <x v="1"/>
    <n v="1474.12"/>
    <n v="5896.48"/>
  </r>
  <r>
    <s v="T04878"/>
    <d v="2024-10-10T00:00:00"/>
    <s v="C073"/>
    <s v="P015"/>
    <s v="S001"/>
    <n v="5"/>
    <n v="0.05"/>
    <x v="3"/>
    <s v="Carl Armstrong"/>
    <x v="40"/>
    <x v="0"/>
    <x v="3"/>
    <n v="270.45"/>
    <n v="1284.6375"/>
  </r>
  <r>
    <s v="T04879"/>
    <d v="2024-01-22T00:00:00"/>
    <s v="C184"/>
    <s v="P007"/>
    <s v="S003"/>
    <n v="3"/>
    <n v="0.1"/>
    <x v="3"/>
    <s v="Daniel Mcintyre"/>
    <x v="18"/>
    <x v="1"/>
    <x v="0"/>
    <n v="1474.12"/>
    <n v="3980.1239999999998"/>
  </r>
  <r>
    <s v="T04880"/>
    <d v="2023-12-30T00:00:00"/>
    <s v="C139"/>
    <s v="P045"/>
    <s v="S003"/>
    <n v="1"/>
    <n v="0.05"/>
    <x v="2"/>
    <s v="Alexander Mcfarland"/>
    <x v="8"/>
    <x v="2"/>
    <x v="0"/>
    <n v="1879.08"/>
    <n v="1785.1259999999997"/>
  </r>
  <r>
    <s v="T04881"/>
    <d v="2025-05-26T00:00:00"/>
    <s v="C046"/>
    <s v="P022"/>
    <s v="S001"/>
    <n v="5"/>
    <n v="0"/>
    <x v="2"/>
    <s v="Dennis Poole"/>
    <x v="9"/>
    <x v="2"/>
    <x v="3"/>
    <n v="25.57"/>
    <n v="127.85"/>
  </r>
  <r>
    <s v="T04882"/>
    <d v="2024-11-02T00:00:00"/>
    <s v="C151"/>
    <s v="P002"/>
    <s v="S004"/>
    <n v="4"/>
    <n v="0.05"/>
    <x v="3"/>
    <s v="Dawn Fletcher"/>
    <x v="2"/>
    <x v="1"/>
    <x v="1"/>
    <n v="818.76"/>
    <n v="3111.288"/>
  </r>
  <r>
    <s v="T04883"/>
    <d v="2025-03-23T00:00:00"/>
    <s v="C062"/>
    <s v="P047"/>
    <s v="S005"/>
    <n v="3"/>
    <n v="0.15"/>
    <x v="0"/>
    <s v="Susan Salinas"/>
    <x v="28"/>
    <x v="1"/>
    <x v="4"/>
    <n v="1197.18"/>
    <n v="3052.8089999999997"/>
  </r>
  <r>
    <s v="T04884"/>
    <d v="2025-06-18T00:00:00"/>
    <s v="C161"/>
    <s v="P044"/>
    <s v="S001"/>
    <n v="4"/>
    <n v="0"/>
    <x v="2"/>
    <s v="Michael Perez"/>
    <x v="32"/>
    <x v="0"/>
    <x v="3"/>
    <n v="1286.55"/>
    <n v="5146.2"/>
  </r>
  <r>
    <s v="T04885"/>
    <d v="2024-05-28T00:00:00"/>
    <s v="C101"/>
    <s v="P032"/>
    <s v="S003"/>
    <n v="2"/>
    <n v="0.1"/>
    <x v="3"/>
    <s v="William Pope"/>
    <x v="44"/>
    <x v="2"/>
    <x v="0"/>
    <n v="304.70999999999998"/>
    <n v="548.47799999999995"/>
  </r>
  <r>
    <s v="T04886"/>
    <d v="2024-12-24T00:00:00"/>
    <s v="C098"/>
    <s v="P001"/>
    <s v="S003"/>
    <n v="4"/>
    <n v="0.05"/>
    <x v="2"/>
    <s v="Lisa Vega"/>
    <x v="31"/>
    <x v="1"/>
    <x v="0"/>
    <n v="1673.69"/>
    <n v="6360.0219999999999"/>
  </r>
  <r>
    <s v="T04887"/>
    <d v="2023-12-15T00:00:00"/>
    <s v="C185"/>
    <s v="P015"/>
    <s v="S002"/>
    <n v="3"/>
    <n v="0.15"/>
    <x v="2"/>
    <s v="Joe Vincent"/>
    <x v="40"/>
    <x v="0"/>
    <x v="2"/>
    <n v="270.45"/>
    <n v="689.64749999999992"/>
  </r>
  <r>
    <s v="T04888"/>
    <d v="2023-09-17T00:00:00"/>
    <s v="C052"/>
    <s v="P033"/>
    <s v="S001"/>
    <n v="2"/>
    <n v="0.15"/>
    <x v="0"/>
    <s v="Billy Hernandez"/>
    <x v="16"/>
    <x v="0"/>
    <x v="3"/>
    <n v="1798.97"/>
    <n v="3058.2489999999998"/>
  </r>
  <r>
    <s v="T04889"/>
    <d v="2025-04-22T00:00:00"/>
    <s v="C068"/>
    <s v="P022"/>
    <s v="S001"/>
    <n v="5"/>
    <n v="0"/>
    <x v="1"/>
    <s v="Alexandra Montoya"/>
    <x v="9"/>
    <x v="2"/>
    <x v="3"/>
    <n v="25.57"/>
    <n v="127.85"/>
  </r>
  <r>
    <s v="T04890"/>
    <d v="2024-05-11T00:00:00"/>
    <s v="C125"/>
    <s v="P001"/>
    <s v="S001"/>
    <n v="5"/>
    <n v="0.15"/>
    <x v="3"/>
    <s v="Kimberly Parker"/>
    <x v="31"/>
    <x v="1"/>
    <x v="3"/>
    <n v="1673.69"/>
    <n v="7113.1825000000008"/>
  </r>
  <r>
    <s v="T04891"/>
    <d v="2025-01-15T00:00:00"/>
    <s v="C153"/>
    <s v="P033"/>
    <s v="S002"/>
    <n v="1"/>
    <n v="0"/>
    <x v="3"/>
    <s v="Nancy Gordon"/>
    <x v="16"/>
    <x v="0"/>
    <x v="2"/>
    <n v="1798.97"/>
    <n v="1798.97"/>
  </r>
  <r>
    <s v="T04892"/>
    <d v="2025-01-28T00:00:00"/>
    <s v="C139"/>
    <s v="P020"/>
    <s v="S003"/>
    <n v="2"/>
    <n v="0"/>
    <x v="3"/>
    <s v="Alexander Mcfarland"/>
    <x v="24"/>
    <x v="0"/>
    <x v="0"/>
    <n v="323.92"/>
    <n v="647.84"/>
  </r>
  <r>
    <s v="T04893"/>
    <d v="2024-01-15T00:00:00"/>
    <s v="C052"/>
    <s v="P030"/>
    <s v="S002"/>
    <n v="4"/>
    <n v="0.15"/>
    <x v="3"/>
    <s v="Billy Hernandez"/>
    <x v="1"/>
    <x v="0"/>
    <x v="2"/>
    <n v="29.24"/>
    <n v="99.415999999999997"/>
  </r>
  <r>
    <s v="T04894"/>
    <d v="2023-11-10T00:00:00"/>
    <s v="C025"/>
    <s v="P018"/>
    <s v="S003"/>
    <n v="5"/>
    <n v="0.1"/>
    <x v="0"/>
    <s v="Cheryl Gilbert"/>
    <x v="19"/>
    <x v="1"/>
    <x v="0"/>
    <n v="1079.8900000000001"/>
    <n v="4859.505000000001"/>
  </r>
  <r>
    <s v="T04895"/>
    <d v="2025-05-03T00:00:00"/>
    <s v="C144"/>
    <s v="P029"/>
    <s v="S001"/>
    <n v="3"/>
    <n v="0.05"/>
    <x v="1"/>
    <s v="Betty Johnson"/>
    <x v="47"/>
    <x v="0"/>
    <x v="3"/>
    <n v="1485.05"/>
    <n v="4232.392499999999"/>
  </r>
  <r>
    <s v="T04896"/>
    <d v="2024-04-22T00:00:00"/>
    <s v="C062"/>
    <s v="P018"/>
    <s v="S002"/>
    <n v="1"/>
    <n v="0"/>
    <x v="1"/>
    <s v="Susan Salinas"/>
    <x v="19"/>
    <x v="1"/>
    <x v="2"/>
    <n v="1079.8900000000001"/>
    <n v="1079.8900000000001"/>
  </r>
  <r>
    <s v="T04897"/>
    <d v="2025-03-10T00:00:00"/>
    <s v="C009"/>
    <s v="P002"/>
    <s v="S003"/>
    <n v="4"/>
    <n v="0.05"/>
    <x v="2"/>
    <s v="Richard Pacheco"/>
    <x v="2"/>
    <x v="1"/>
    <x v="0"/>
    <n v="818.76"/>
    <n v="3111.288"/>
  </r>
  <r>
    <s v="T04898"/>
    <d v="2025-03-09T00:00:00"/>
    <s v="C005"/>
    <s v="P031"/>
    <s v="S003"/>
    <n v="2"/>
    <n v="0.15"/>
    <x v="3"/>
    <s v="Jamie Salinas"/>
    <x v="39"/>
    <x v="2"/>
    <x v="0"/>
    <n v="1095.72"/>
    <n v="1862.7239999999999"/>
  </r>
  <r>
    <s v="T04899"/>
    <d v="2023-11-27T00:00:00"/>
    <s v="C122"/>
    <s v="P036"/>
    <s v="S004"/>
    <n v="3"/>
    <n v="0.1"/>
    <x v="0"/>
    <s v="Amy Smith"/>
    <x v="4"/>
    <x v="0"/>
    <x v="1"/>
    <n v="1501.46"/>
    <n v="4053.942"/>
  </r>
  <r>
    <s v="T04900"/>
    <d v="2024-01-31T00:00:00"/>
    <s v="C076"/>
    <s v="P009"/>
    <s v="S004"/>
    <n v="1"/>
    <n v="0.05"/>
    <x v="2"/>
    <s v="Phyllis Durham"/>
    <x v="5"/>
    <x v="2"/>
    <x v="1"/>
    <n v="123.19"/>
    <n v="117.03049999999999"/>
  </r>
  <r>
    <s v="T04901"/>
    <d v="2025-07-10T00:00:00"/>
    <s v="C021"/>
    <s v="P036"/>
    <s v="S004"/>
    <n v="1"/>
    <n v="0.1"/>
    <x v="1"/>
    <s v="Debbie Martin"/>
    <x v="4"/>
    <x v="0"/>
    <x v="1"/>
    <n v="1501.46"/>
    <n v="1351.3140000000001"/>
  </r>
  <r>
    <s v="T04902"/>
    <d v="2024-12-11T00:00:00"/>
    <s v="C191"/>
    <s v="P010"/>
    <s v="S001"/>
    <n v="5"/>
    <n v="0.1"/>
    <x v="2"/>
    <s v="Karen Quinn"/>
    <x v="36"/>
    <x v="1"/>
    <x v="3"/>
    <n v="1194.1199999999999"/>
    <n v="5373.54"/>
  </r>
  <r>
    <s v="T04903"/>
    <d v="2025-03-10T00:00:00"/>
    <s v="C148"/>
    <s v="P009"/>
    <s v="S003"/>
    <n v="4"/>
    <n v="0.15"/>
    <x v="1"/>
    <s v="John Foster"/>
    <x v="5"/>
    <x v="2"/>
    <x v="0"/>
    <n v="123.19"/>
    <n v="418.846"/>
  </r>
  <r>
    <s v="T04904"/>
    <d v="2024-06-15T00:00:00"/>
    <s v="C105"/>
    <s v="P048"/>
    <s v="S002"/>
    <n v="4"/>
    <n v="0.05"/>
    <x v="2"/>
    <s v="Kenneth Berg"/>
    <x v="11"/>
    <x v="0"/>
    <x v="2"/>
    <n v="1216.3599999999999"/>
    <n v="4622.1679999999997"/>
  </r>
  <r>
    <s v="T04905"/>
    <d v="2025-05-19T00:00:00"/>
    <s v="C084"/>
    <s v="P012"/>
    <s v="S005"/>
    <n v="4"/>
    <n v="0"/>
    <x v="0"/>
    <s v="Amanda Lee"/>
    <x v="38"/>
    <x v="1"/>
    <x v="4"/>
    <n v="1193.0899999999999"/>
    <n v="4772.3599999999997"/>
  </r>
  <r>
    <s v="T04906"/>
    <d v="2024-11-07T00:00:00"/>
    <s v="C060"/>
    <s v="P036"/>
    <s v="S001"/>
    <n v="2"/>
    <n v="0.15"/>
    <x v="3"/>
    <s v="Anthony Conway"/>
    <x v="4"/>
    <x v="0"/>
    <x v="3"/>
    <n v="1501.46"/>
    <n v="2552.482"/>
  </r>
  <r>
    <s v="T04907"/>
    <d v="2025-04-01T00:00:00"/>
    <s v="C190"/>
    <s v="P017"/>
    <s v="S005"/>
    <n v="3"/>
    <n v="0"/>
    <x v="2"/>
    <s v="Daniel Lawson"/>
    <x v="43"/>
    <x v="1"/>
    <x v="4"/>
    <n v="1246.1099999999999"/>
    <n v="3738.33"/>
  </r>
  <r>
    <s v="T04908"/>
    <d v="2024-09-30T00:00:00"/>
    <s v="C096"/>
    <s v="P029"/>
    <s v="S004"/>
    <n v="5"/>
    <n v="0.15"/>
    <x v="3"/>
    <s v="Eric King"/>
    <x v="47"/>
    <x v="0"/>
    <x v="1"/>
    <n v="1485.05"/>
    <n v="6311.4624999999996"/>
  </r>
  <r>
    <s v="T04909"/>
    <d v="2024-06-30T00:00:00"/>
    <s v="C056"/>
    <s v="P006"/>
    <s v="S004"/>
    <n v="5"/>
    <n v="0.15"/>
    <x v="3"/>
    <s v="Carl Wyatt"/>
    <x v="35"/>
    <x v="2"/>
    <x v="1"/>
    <n v="318.05"/>
    <n v="1351.7124999999999"/>
  </r>
  <r>
    <s v="T04910"/>
    <d v="2024-03-14T00:00:00"/>
    <s v="C085"/>
    <s v="P029"/>
    <s v="S001"/>
    <n v="4"/>
    <n v="0.05"/>
    <x v="3"/>
    <s v="Juan Ramirez"/>
    <x v="47"/>
    <x v="0"/>
    <x v="3"/>
    <n v="1485.05"/>
    <n v="5643.19"/>
  </r>
  <r>
    <s v="T04911"/>
    <d v="2024-10-20T00:00:00"/>
    <s v="C102"/>
    <s v="P029"/>
    <s v="S004"/>
    <n v="2"/>
    <n v="0.15"/>
    <x v="3"/>
    <s v="Carolyn Perez"/>
    <x v="47"/>
    <x v="0"/>
    <x v="1"/>
    <n v="1485.05"/>
    <n v="2524.585"/>
  </r>
  <r>
    <s v="T04912"/>
    <d v="2024-01-06T00:00:00"/>
    <s v="C095"/>
    <s v="P019"/>
    <s v="S001"/>
    <n v="2"/>
    <n v="0"/>
    <x v="1"/>
    <s v="Kevin Snyder"/>
    <x v="26"/>
    <x v="1"/>
    <x v="3"/>
    <n v="1762.92"/>
    <n v="3525.84"/>
  </r>
  <r>
    <s v="T04913"/>
    <d v="2024-09-23T00:00:00"/>
    <s v="C069"/>
    <s v="P007"/>
    <s v="S001"/>
    <n v="5"/>
    <n v="0"/>
    <x v="3"/>
    <s v="Gabriel Daugherty"/>
    <x v="18"/>
    <x v="1"/>
    <x v="3"/>
    <n v="1474.12"/>
    <n v="7370.5999999999995"/>
  </r>
  <r>
    <s v="T04914"/>
    <d v="2025-05-09T00:00:00"/>
    <s v="C056"/>
    <s v="P044"/>
    <s v="S005"/>
    <n v="1"/>
    <n v="0"/>
    <x v="2"/>
    <s v="Carl Wyatt"/>
    <x v="32"/>
    <x v="0"/>
    <x v="4"/>
    <n v="1286.55"/>
    <n v="1286.55"/>
  </r>
  <r>
    <s v="T04915"/>
    <d v="2024-05-13T00:00:00"/>
    <s v="C016"/>
    <s v="P015"/>
    <s v="S002"/>
    <n v="1"/>
    <n v="0.05"/>
    <x v="0"/>
    <s v="Miguel Johnson"/>
    <x v="40"/>
    <x v="0"/>
    <x v="2"/>
    <n v="270.45"/>
    <n v="256.92749999999995"/>
  </r>
  <r>
    <s v="T04916"/>
    <d v="2024-09-08T00:00:00"/>
    <s v="C035"/>
    <s v="P005"/>
    <s v="S001"/>
    <n v="5"/>
    <n v="0.1"/>
    <x v="0"/>
    <s v="Kimberly King"/>
    <x v="6"/>
    <x v="0"/>
    <x v="3"/>
    <n v="1396.22"/>
    <n v="6282.9900000000007"/>
  </r>
  <r>
    <s v="T04917"/>
    <d v="2024-08-30T00:00:00"/>
    <s v="C041"/>
    <s v="P025"/>
    <s v="S002"/>
    <n v="4"/>
    <n v="0.1"/>
    <x v="1"/>
    <s v="Melissa Rodgers"/>
    <x v="33"/>
    <x v="0"/>
    <x v="2"/>
    <n v="429.15"/>
    <n v="1544.94"/>
  </r>
  <r>
    <s v="T04918"/>
    <d v="2024-10-14T00:00:00"/>
    <s v="C179"/>
    <s v="P002"/>
    <s v="S005"/>
    <n v="3"/>
    <n v="0.05"/>
    <x v="3"/>
    <s v="Dennis Wallace"/>
    <x v="2"/>
    <x v="1"/>
    <x v="4"/>
    <n v="818.76"/>
    <n v="2333.4659999999994"/>
  </r>
  <r>
    <s v="T04919"/>
    <d v="2025-02-27T00:00:00"/>
    <s v="C148"/>
    <s v="P011"/>
    <s v="S002"/>
    <n v="4"/>
    <n v="0"/>
    <x v="3"/>
    <s v="John Foster"/>
    <x v="17"/>
    <x v="1"/>
    <x v="2"/>
    <n v="248.57"/>
    <n v="994.28"/>
  </r>
  <r>
    <s v="T04920"/>
    <d v="2024-05-19T00:00:00"/>
    <s v="C160"/>
    <s v="P014"/>
    <s v="S005"/>
    <n v="4"/>
    <n v="0"/>
    <x v="2"/>
    <s v="Meagan Macdonald"/>
    <x v="0"/>
    <x v="0"/>
    <x v="4"/>
    <n v="1342.75"/>
    <n v="5371"/>
  </r>
  <r>
    <s v="T04921"/>
    <d v="2024-12-03T00:00:00"/>
    <s v="C119"/>
    <s v="P047"/>
    <s v="S003"/>
    <n v="4"/>
    <n v="0.1"/>
    <x v="0"/>
    <s v="Jason Lloyd"/>
    <x v="28"/>
    <x v="1"/>
    <x v="0"/>
    <n v="1197.18"/>
    <n v="4309.848"/>
  </r>
  <r>
    <s v="T04922"/>
    <d v="2024-05-08T00:00:00"/>
    <s v="C066"/>
    <s v="P031"/>
    <s v="S003"/>
    <n v="5"/>
    <n v="0.05"/>
    <x v="3"/>
    <s v="Jason Jenkins"/>
    <x v="39"/>
    <x v="2"/>
    <x v="0"/>
    <n v="1095.72"/>
    <n v="5204.67"/>
  </r>
  <r>
    <s v="T04923"/>
    <d v="2025-02-11T00:00:00"/>
    <s v="C082"/>
    <s v="P003"/>
    <s v="S003"/>
    <n v="5"/>
    <n v="0.1"/>
    <x v="0"/>
    <s v="Amy Haley"/>
    <x v="46"/>
    <x v="0"/>
    <x v="0"/>
    <n v="337.63"/>
    <n v="1519.335"/>
  </r>
  <r>
    <s v="T04924"/>
    <d v="2025-08-27T00:00:00"/>
    <s v="C085"/>
    <s v="P012"/>
    <s v="S002"/>
    <n v="5"/>
    <n v="0"/>
    <x v="3"/>
    <s v="Juan Ramirez"/>
    <x v="38"/>
    <x v="1"/>
    <x v="2"/>
    <n v="1193.0899999999999"/>
    <n v="5965.45"/>
  </r>
  <r>
    <s v="T04925"/>
    <d v="2024-08-26T00:00:00"/>
    <s v="C143"/>
    <s v="P035"/>
    <s v="S001"/>
    <n v="5"/>
    <n v="0"/>
    <x v="1"/>
    <s v="Cynthia Carlson"/>
    <x v="7"/>
    <x v="1"/>
    <x v="3"/>
    <n v="1562.43"/>
    <n v="7812.1500000000005"/>
  </r>
  <r>
    <s v="T04926"/>
    <d v="2024-12-05T00:00:00"/>
    <s v="C090"/>
    <s v="P037"/>
    <s v="S003"/>
    <n v="5"/>
    <n v="0.05"/>
    <x v="0"/>
    <s v="Carrie Peterson"/>
    <x v="27"/>
    <x v="1"/>
    <x v="0"/>
    <n v="1952.65"/>
    <n v="9275.0874999999996"/>
  </r>
  <r>
    <s v="T04927"/>
    <d v="2025-08-21T00:00:00"/>
    <s v="C073"/>
    <s v="P048"/>
    <s v="S003"/>
    <n v="4"/>
    <n v="0.15"/>
    <x v="2"/>
    <s v="Carl Armstrong"/>
    <x v="11"/>
    <x v="0"/>
    <x v="0"/>
    <n v="1216.3599999999999"/>
    <n v="4135.6239999999998"/>
  </r>
  <r>
    <s v="T04928"/>
    <d v="2025-05-02T00:00:00"/>
    <s v="C043"/>
    <s v="P046"/>
    <s v="S005"/>
    <n v="3"/>
    <n v="0.05"/>
    <x v="3"/>
    <s v="Kenneth Allen"/>
    <x v="42"/>
    <x v="0"/>
    <x v="4"/>
    <n v="1165.3699999999999"/>
    <n v="3321.3044999999997"/>
  </r>
  <r>
    <s v="T04929"/>
    <d v="2025-04-28T00:00:00"/>
    <s v="C127"/>
    <s v="P015"/>
    <s v="S005"/>
    <n v="4"/>
    <n v="0"/>
    <x v="0"/>
    <s v="John Allen"/>
    <x v="40"/>
    <x v="0"/>
    <x v="4"/>
    <n v="270.45"/>
    <n v="1081.8"/>
  </r>
  <r>
    <s v="T04930"/>
    <d v="2024-05-04T00:00:00"/>
    <s v="C180"/>
    <s v="P003"/>
    <s v="S004"/>
    <n v="4"/>
    <n v="0"/>
    <x v="2"/>
    <s v="Nichole Calhoun"/>
    <x v="46"/>
    <x v="0"/>
    <x v="1"/>
    <n v="337.63"/>
    <n v="1350.52"/>
  </r>
  <r>
    <s v="T04931"/>
    <d v="2023-10-22T00:00:00"/>
    <s v="C105"/>
    <s v="P006"/>
    <s v="S001"/>
    <n v="4"/>
    <n v="0.05"/>
    <x v="0"/>
    <s v="Kenneth Berg"/>
    <x v="35"/>
    <x v="2"/>
    <x v="3"/>
    <n v="318.05"/>
    <n v="1208.5899999999999"/>
  </r>
  <r>
    <s v="T04932"/>
    <d v="2024-07-10T00:00:00"/>
    <s v="C139"/>
    <s v="P009"/>
    <s v="S004"/>
    <n v="1"/>
    <n v="0.15"/>
    <x v="3"/>
    <s v="Alexander Mcfarland"/>
    <x v="5"/>
    <x v="2"/>
    <x v="1"/>
    <n v="123.19"/>
    <n v="104.7115"/>
  </r>
  <r>
    <s v="T04933"/>
    <d v="2025-04-01T00:00:00"/>
    <s v="C076"/>
    <s v="P018"/>
    <s v="S004"/>
    <n v="2"/>
    <n v="0.15"/>
    <x v="1"/>
    <s v="Phyllis Durham"/>
    <x v="19"/>
    <x v="1"/>
    <x v="1"/>
    <n v="1079.8900000000001"/>
    <n v="1835.8130000000001"/>
  </r>
  <r>
    <s v="T04934"/>
    <d v="2024-01-22T00:00:00"/>
    <s v="C005"/>
    <s v="P025"/>
    <s v="S002"/>
    <n v="2"/>
    <n v="0.1"/>
    <x v="3"/>
    <s v="Jamie Salinas"/>
    <x v="33"/>
    <x v="0"/>
    <x v="2"/>
    <n v="429.15"/>
    <n v="772.47"/>
  </r>
  <r>
    <s v="T04935"/>
    <d v="2025-02-24T00:00:00"/>
    <s v="C094"/>
    <s v="P042"/>
    <s v="S005"/>
    <n v="3"/>
    <n v="0"/>
    <x v="3"/>
    <s v="Kimberly Stokes"/>
    <x v="10"/>
    <x v="0"/>
    <x v="4"/>
    <n v="453.62"/>
    <n v="1360.8600000000001"/>
  </r>
  <r>
    <s v="T04936"/>
    <d v="2024-03-02T00:00:00"/>
    <s v="C096"/>
    <s v="P027"/>
    <s v="S002"/>
    <n v="1"/>
    <n v="0"/>
    <x v="1"/>
    <s v="Eric King"/>
    <x v="34"/>
    <x v="1"/>
    <x v="2"/>
    <n v="1272.23"/>
    <n v="1272.23"/>
  </r>
  <r>
    <s v="T04937"/>
    <d v="2024-08-19T00:00:00"/>
    <s v="C059"/>
    <s v="P017"/>
    <s v="S001"/>
    <n v="4"/>
    <n v="0.15"/>
    <x v="3"/>
    <s v="Scott Wyatt"/>
    <x v="43"/>
    <x v="1"/>
    <x v="3"/>
    <n v="1246.1099999999999"/>
    <n v="4236.7739999999994"/>
  </r>
  <r>
    <s v="T04938"/>
    <d v="2025-01-18T00:00:00"/>
    <s v="C081"/>
    <s v="P046"/>
    <s v="S004"/>
    <n v="1"/>
    <n v="0.1"/>
    <x v="1"/>
    <s v="Sarah Reynolds"/>
    <x v="42"/>
    <x v="0"/>
    <x v="1"/>
    <n v="1165.3699999999999"/>
    <n v="1048.8329999999999"/>
  </r>
  <r>
    <s v="T04939"/>
    <d v="2024-09-21T00:00:00"/>
    <s v="C147"/>
    <s v="P021"/>
    <s v="S001"/>
    <n v="3"/>
    <n v="0.05"/>
    <x v="2"/>
    <s v="Crystal Garrison"/>
    <x v="23"/>
    <x v="2"/>
    <x v="3"/>
    <n v="1227.24"/>
    <n v="3497.634"/>
  </r>
  <r>
    <s v="T04940"/>
    <d v="2025-02-27T00:00:00"/>
    <s v="C066"/>
    <s v="P023"/>
    <s v="S003"/>
    <n v="1"/>
    <n v="0.05"/>
    <x v="2"/>
    <s v="Jason Jenkins"/>
    <x v="20"/>
    <x v="0"/>
    <x v="0"/>
    <n v="1878.47"/>
    <n v="1784.5464999999999"/>
  </r>
  <r>
    <s v="T04941"/>
    <d v="2025-01-10T00:00:00"/>
    <s v="C152"/>
    <s v="P028"/>
    <s v="S003"/>
    <n v="3"/>
    <n v="0.15"/>
    <x v="0"/>
    <s v="Brittany Green"/>
    <x v="25"/>
    <x v="1"/>
    <x v="0"/>
    <n v="673.78"/>
    <n v="1718.1389999999999"/>
  </r>
  <r>
    <s v="T04942"/>
    <d v="2024-01-04T00:00:00"/>
    <s v="C015"/>
    <s v="P044"/>
    <s v="S004"/>
    <n v="3"/>
    <n v="0.1"/>
    <x v="2"/>
    <s v="Matthew Molina"/>
    <x v="32"/>
    <x v="0"/>
    <x v="1"/>
    <n v="1286.55"/>
    <n v="3473.6849999999999"/>
  </r>
  <r>
    <s v="T04943"/>
    <d v="2023-12-23T00:00:00"/>
    <s v="C025"/>
    <s v="P028"/>
    <s v="S003"/>
    <n v="4"/>
    <n v="0"/>
    <x v="0"/>
    <s v="Cheryl Gilbert"/>
    <x v="25"/>
    <x v="1"/>
    <x v="0"/>
    <n v="673.78"/>
    <n v="2695.12"/>
  </r>
  <r>
    <s v="T04944"/>
    <d v="2024-01-11T00:00:00"/>
    <s v="C186"/>
    <s v="P047"/>
    <s v="S004"/>
    <n v="1"/>
    <n v="0"/>
    <x v="1"/>
    <s v="Vicki Guzman"/>
    <x v="28"/>
    <x v="1"/>
    <x v="1"/>
    <n v="1197.18"/>
    <n v="1197.18"/>
  </r>
  <r>
    <s v="T04945"/>
    <d v="2023-11-12T00:00:00"/>
    <s v="C112"/>
    <s v="P037"/>
    <s v="S003"/>
    <n v="4"/>
    <n v="0.05"/>
    <x v="1"/>
    <s v="Jeffrey Smith"/>
    <x v="27"/>
    <x v="1"/>
    <x v="0"/>
    <n v="1952.65"/>
    <n v="7420.07"/>
  </r>
  <r>
    <s v="T04946"/>
    <d v="2024-12-27T00:00:00"/>
    <s v="C085"/>
    <s v="P043"/>
    <s v="S004"/>
    <n v="1"/>
    <n v="0.05"/>
    <x v="2"/>
    <s v="Juan Ramirez"/>
    <x v="45"/>
    <x v="0"/>
    <x v="1"/>
    <n v="564.41999999999996"/>
    <n v="536.19899999999996"/>
  </r>
  <r>
    <s v="T04947"/>
    <d v="2025-08-30T00:00:00"/>
    <s v="C083"/>
    <s v="P013"/>
    <s v="S005"/>
    <n v="4"/>
    <n v="0.1"/>
    <x v="1"/>
    <s v="Jeremy Robles"/>
    <x v="21"/>
    <x v="0"/>
    <x v="4"/>
    <n v="1134.8"/>
    <n v="4085.2799999999997"/>
  </r>
  <r>
    <s v="T04948"/>
    <d v="2025-01-24T00:00:00"/>
    <s v="C102"/>
    <s v="P016"/>
    <s v="S005"/>
    <n v="1"/>
    <n v="0.1"/>
    <x v="1"/>
    <s v="Carolyn Perez"/>
    <x v="13"/>
    <x v="0"/>
    <x v="4"/>
    <n v="1858.75"/>
    <n v="1672.875"/>
  </r>
  <r>
    <s v="T04949"/>
    <d v="2024-05-10T00:00:00"/>
    <s v="C013"/>
    <s v="P001"/>
    <s v="S002"/>
    <n v="2"/>
    <n v="0.15"/>
    <x v="1"/>
    <s v="Robert Anderson"/>
    <x v="31"/>
    <x v="1"/>
    <x v="2"/>
    <n v="1673.69"/>
    <n v="2845.2730000000001"/>
  </r>
  <r>
    <s v="T04950"/>
    <d v="2024-11-10T00:00:00"/>
    <s v="C188"/>
    <s v="P015"/>
    <s v="S001"/>
    <n v="5"/>
    <n v="0.1"/>
    <x v="2"/>
    <s v="Ryan Flores"/>
    <x v="40"/>
    <x v="0"/>
    <x v="3"/>
    <n v="270.45"/>
    <n v="1217.0250000000001"/>
  </r>
  <r>
    <s v="T04951"/>
    <d v="2024-02-09T00:00:00"/>
    <s v="C002"/>
    <s v="P022"/>
    <s v="S001"/>
    <n v="5"/>
    <n v="0.05"/>
    <x v="2"/>
    <s v="Michael Miller"/>
    <x v="9"/>
    <x v="2"/>
    <x v="3"/>
    <n v="25.57"/>
    <n v="121.4575"/>
  </r>
  <r>
    <s v="T04952"/>
    <d v="2023-12-26T00:00:00"/>
    <s v="C007"/>
    <s v="P004"/>
    <s v="S005"/>
    <n v="3"/>
    <n v="0.15"/>
    <x v="1"/>
    <s v="Erin Walker"/>
    <x v="49"/>
    <x v="0"/>
    <x v="4"/>
    <n v="1853.77"/>
    <n v="4727.1134999999995"/>
  </r>
  <r>
    <s v="T04953"/>
    <d v="2025-02-02T00:00:00"/>
    <s v="C062"/>
    <s v="P046"/>
    <s v="S002"/>
    <n v="2"/>
    <n v="0.05"/>
    <x v="1"/>
    <s v="Susan Salinas"/>
    <x v="42"/>
    <x v="0"/>
    <x v="2"/>
    <n v="1165.3699999999999"/>
    <n v="2214.2029999999995"/>
  </r>
  <r>
    <s v="T04954"/>
    <d v="2024-01-04T00:00:00"/>
    <s v="C055"/>
    <s v="P028"/>
    <s v="S002"/>
    <n v="2"/>
    <n v="0.15"/>
    <x v="0"/>
    <s v="Deborah Moody"/>
    <x v="25"/>
    <x v="1"/>
    <x v="2"/>
    <n v="673.78"/>
    <n v="1145.4259999999999"/>
  </r>
  <r>
    <s v="T04955"/>
    <d v="2024-03-27T00:00:00"/>
    <s v="C067"/>
    <s v="P025"/>
    <s v="S001"/>
    <n v="2"/>
    <n v="0.05"/>
    <x v="0"/>
    <s v="Daniel Maldonado"/>
    <x v="33"/>
    <x v="0"/>
    <x v="3"/>
    <n v="429.15"/>
    <n v="815.38499999999988"/>
  </r>
  <r>
    <s v="T04956"/>
    <d v="2024-01-26T00:00:00"/>
    <s v="C062"/>
    <s v="P034"/>
    <s v="S002"/>
    <n v="4"/>
    <n v="0.15"/>
    <x v="1"/>
    <s v="Susan Salinas"/>
    <x v="12"/>
    <x v="1"/>
    <x v="2"/>
    <n v="428.05"/>
    <n v="1455.37"/>
  </r>
  <r>
    <s v="T04957"/>
    <d v="2023-10-28T00:00:00"/>
    <s v="C159"/>
    <s v="P031"/>
    <s v="S005"/>
    <n v="2"/>
    <n v="0.1"/>
    <x v="2"/>
    <s v="Thomas Chung"/>
    <x v="39"/>
    <x v="2"/>
    <x v="4"/>
    <n v="1095.72"/>
    <n v="1972.296"/>
  </r>
  <r>
    <s v="T04958"/>
    <d v="2024-09-19T00:00:00"/>
    <s v="C113"/>
    <s v="P019"/>
    <s v="S004"/>
    <n v="2"/>
    <n v="0.05"/>
    <x v="2"/>
    <s v="Heidi Wilson"/>
    <x v="26"/>
    <x v="1"/>
    <x v="1"/>
    <n v="1762.92"/>
    <n v="3349.5479999999998"/>
  </r>
  <r>
    <s v="T04959"/>
    <d v="2025-08-12T00:00:00"/>
    <s v="C185"/>
    <s v="P034"/>
    <s v="S005"/>
    <n v="3"/>
    <n v="0.05"/>
    <x v="3"/>
    <s v="Joe Vincent"/>
    <x v="12"/>
    <x v="1"/>
    <x v="4"/>
    <n v="428.05"/>
    <n v="1219.9425000000001"/>
  </r>
  <r>
    <s v="T04960"/>
    <d v="2024-03-21T00:00:00"/>
    <s v="C035"/>
    <s v="P004"/>
    <s v="S002"/>
    <n v="2"/>
    <n v="0"/>
    <x v="3"/>
    <s v="Kimberly King"/>
    <x v="49"/>
    <x v="0"/>
    <x v="2"/>
    <n v="1853.77"/>
    <n v="3707.54"/>
  </r>
  <r>
    <s v="T04961"/>
    <d v="2025-04-19T00:00:00"/>
    <s v="C065"/>
    <s v="P021"/>
    <s v="S001"/>
    <n v="1"/>
    <n v="0.15"/>
    <x v="2"/>
    <s v="Scott Duke"/>
    <x v="23"/>
    <x v="2"/>
    <x v="3"/>
    <n v="1227.24"/>
    <n v="1043.154"/>
  </r>
  <r>
    <s v="T04962"/>
    <d v="2025-07-06T00:00:00"/>
    <s v="C059"/>
    <s v="P009"/>
    <s v="S002"/>
    <n v="5"/>
    <n v="0.1"/>
    <x v="0"/>
    <s v="Scott Wyatt"/>
    <x v="5"/>
    <x v="2"/>
    <x v="2"/>
    <n v="123.19"/>
    <n v="554.35500000000002"/>
  </r>
  <r>
    <s v="T04963"/>
    <d v="2024-11-25T00:00:00"/>
    <s v="C036"/>
    <s v="P043"/>
    <s v="S002"/>
    <n v="3"/>
    <n v="0.15"/>
    <x v="3"/>
    <s v="Michael Cervantes"/>
    <x v="45"/>
    <x v="0"/>
    <x v="2"/>
    <n v="564.41999999999996"/>
    <n v="1439.2709999999997"/>
  </r>
  <r>
    <s v="T04964"/>
    <d v="2025-04-08T00:00:00"/>
    <s v="C155"/>
    <s v="P010"/>
    <s v="S005"/>
    <n v="5"/>
    <n v="0.05"/>
    <x v="3"/>
    <s v="Jill Mcconnell"/>
    <x v="36"/>
    <x v="1"/>
    <x v="4"/>
    <n v="1194.1199999999999"/>
    <n v="5672.0699999999988"/>
  </r>
  <r>
    <s v="T04965"/>
    <d v="2025-04-13T00:00:00"/>
    <s v="C173"/>
    <s v="P013"/>
    <s v="S004"/>
    <n v="3"/>
    <n v="0.1"/>
    <x v="3"/>
    <s v="Lisa Ruiz"/>
    <x v="21"/>
    <x v="0"/>
    <x v="1"/>
    <n v="1134.8"/>
    <n v="3063.9599999999996"/>
  </r>
  <r>
    <s v="T04966"/>
    <d v="2023-11-25T00:00:00"/>
    <s v="C085"/>
    <s v="P023"/>
    <s v="S003"/>
    <n v="3"/>
    <n v="0.05"/>
    <x v="1"/>
    <s v="Juan Ramirez"/>
    <x v="20"/>
    <x v="0"/>
    <x v="0"/>
    <n v="1878.47"/>
    <n v="5353.6394999999993"/>
  </r>
  <r>
    <s v="T04967"/>
    <d v="2025-05-04T00:00:00"/>
    <s v="C015"/>
    <s v="P024"/>
    <s v="S004"/>
    <n v="3"/>
    <n v="0.15"/>
    <x v="3"/>
    <s v="Matthew Molina"/>
    <x v="14"/>
    <x v="1"/>
    <x v="1"/>
    <n v="1487.41"/>
    <n v="3792.8955000000001"/>
  </r>
  <r>
    <s v="T04968"/>
    <d v="2023-12-21T00:00:00"/>
    <s v="C052"/>
    <s v="P012"/>
    <s v="S005"/>
    <n v="2"/>
    <n v="0"/>
    <x v="3"/>
    <s v="Billy Hernandez"/>
    <x v="38"/>
    <x v="1"/>
    <x v="4"/>
    <n v="1193.0899999999999"/>
    <n v="2386.1799999999998"/>
  </r>
  <r>
    <s v="T04969"/>
    <d v="2024-04-21T00:00:00"/>
    <s v="C001"/>
    <s v="P002"/>
    <s v="S004"/>
    <n v="3"/>
    <n v="0.05"/>
    <x v="2"/>
    <s v="Michael Davis"/>
    <x v="2"/>
    <x v="1"/>
    <x v="1"/>
    <n v="818.76"/>
    <n v="2333.4659999999994"/>
  </r>
  <r>
    <s v="T04970"/>
    <d v="2024-05-02T00:00:00"/>
    <s v="C173"/>
    <s v="P019"/>
    <s v="S002"/>
    <n v="2"/>
    <n v="0.15"/>
    <x v="2"/>
    <s v="Lisa Ruiz"/>
    <x v="26"/>
    <x v="1"/>
    <x v="2"/>
    <n v="1762.92"/>
    <n v="2996.9639999999999"/>
  </r>
  <r>
    <s v="T04971"/>
    <d v="2024-09-17T00:00:00"/>
    <s v="C033"/>
    <s v="P045"/>
    <s v="S004"/>
    <n v="4"/>
    <n v="0.15"/>
    <x v="1"/>
    <s v="Jenny Beck"/>
    <x v="8"/>
    <x v="2"/>
    <x v="1"/>
    <n v="1879.08"/>
    <n v="6388.8719999999994"/>
  </r>
  <r>
    <s v="T04972"/>
    <d v="2024-04-07T00:00:00"/>
    <s v="C056"/>
    <s v="P004"/>
    <s v="S002"/>
    <n v="1"/>
    <n v="0.15"/>
    <x v="3"/>
    <s v="Carl Wyatt"/>
    <x v="49"/>
    <x v="0"/>
    <x v="2"/>
    <n v="1853.77"/>
    <n v="1575.7045000000001"/>
  </r>
  <r>
    <s v="T04973"/>
    <d v="2025-07-04T00:00:00"/>
    <s v="C102"/>
    <s v="P046"/>
    <s v="S004"/>
    <n v="3"/>
    <n v="0.15"/>
    <x v="3"/>
    <s v="Carolyn Perez"/>
    <x v="42"/>
    <x v="0"/>
    <x v="1"/>
    <n v="1165.3699999999999"/>
    <n v="2971.6934999999999"/>
  </r>
  <r>
    <s v="T04974"/>
    <d v="2024-10-21T00:00:00"/>
    <s v="C114"/>
    <s v="P039"/>
    <s v="S001"/>
    <n v="2"/>
    <n v="0.1"/>
    <x v="3"/>
    <s v="Miranda Rodriguez"/>
    <x v="22"/>
    <x v="0"/>
    <x v="3"/>
    <n v="540.94000000000005"/>
    <n v="973.69200000000012"/>
  </r>
  <r>
    <s v="T04975"/>
    <d v="2024-07-12T00:00:00"/>
    <s v="C061"/>
    <s v="P010"/>
    <s v="S004"/>
    <n v="1"/>
    <n v="0.1"/>
    <x v="0"/>
    <s v="Heather Russell"/>
    <x v="36"/>
    <x v="1"/>
    <x v="1"/>
    <n v="1194.1199999999999"/>
    <n v="1074.7079999999999"/>
  </r>
  <r>
    <s v="T04976"/>
    <d v="2024-01-22T00:00:00"/>
    <s v="C044"/>
    <s v="P032"/>
    <s v="S005"/>
    <n v="5"/>
    <n v="0.1"/>
    <x v="2"/>
    <s v="Parker Sparks"/>
    <x v="44"/>
    <x v="2"/>
    <x v="4"/>
    <n v="304.70999999999998"/>
    <n v="1371.1949999999999"/>
  </r>
  <r>
    <s v="T04977"/>
    <d v="2024-02-07T00:00:00"/>
    <s v="C162"/>
    <s v="P011"/>
    <s v="S003"/>
    <n v="1"/>
    <n v="0"/>
    <x v="1"/>
    <s v="Jill Roach"/>
    <x v="17"/>
    <x v="1"/>
    <x v="0"/>
    <n v="248.57"/>
    <n v="248.57"/>
  </r>
  <r>
    <s v="T04978"/>
    <d v="2024-10-26T00:00:00"/>
    <s v="C182"/>
    <s v="P038"/>
    <s v="S003"/>
    <n v="1"/>
    <n v="0.05"/>
    <x v="1"/>
    <s v="Meghan Wright"/>
    <x v="41"/>
    <x v="0"/>
    <x v="0"/>
    <n v="366.93"/>
    <n v="348.58350000000002"/>
  </r>
  <r>
    <s v="T04979"/>
    <d v="2025-02-11T00:00:00"/>
    <s v="C070"/>
    <s v="P013"/>
    <s v="S001"/>
    <n v="4"/>
    <n v="0.15"/>
    <x v="0"/>
    <s v="Eric Bryan"/>
    <x v="21"/>
    <x v="0"/>
    <x v="3"/>
    <n v="1134.8"/>
    <n v="3858.3199999999997"/>
  </r>
  <r>
    <s v="T04980"/>
    <d v="2025-07-16T00:00:00"/>
    <s v="C130"/>
    <s v="P001"/>
    <s v="S002"/>
    <n v="4"/>
    <n v="0.15"/>
    <x v="1"/>
    <s v="Aaron Bailey"/>
    <x v="31"/>
    <x v="1"/>
    <x v="2"/>
    <n v="1673.69"/>
    <n v="5690.5460000000003"/>
  </r>
  <r>
    <s v="T04981"/>
    <d v="2024-08-31T00:00:00"/>
    <s v="C036"/>
    <s v="P022"/>
    <s v="S003"/>
    <n v="5"/>
    <n v="0"/>
    <x v="1"/>
    <s v="Michael Cervantes"/>
    <x v="9"/>
    <x v="2"/>
    <x v="0"/>
    <n v="25.57"/>
    <n v="127.85"/>
  </r>
  <r>
    <s v="T04982"/>
    <d v="2025-06-08T00:00:00"/>
    <s v="C041"/>
    <s v="P037"/>
    <s v="S001"/>
    <n v="1"/>
    <n v="0.05"/>
    <x v="1"/>
    <s v="Melissa Rodgers"/>
    <x v="27"/>
    <x v="1"/>
    <x v="3"/>
    <n v="1952.65"/>
    <n v="1855.0174999999999"/>
  </r>
  <r>
    <s v="T04983"/>
    <d v="2025-09-08T00:00:00"/>
    <s v="C049"/>
    <s v="P030"/>
    <s v="S005"/>
    <n v="3"/>
    <n v="0.15"/>
    <x v="0"/>
    <s v="Antonio Hamilton"/>
    <x v="1"/>
    <x v="0"/>
    <x v="4"/>
    <n v="29.24"/>
    <n v="74.561999999999998"/>
  </r>
  <r>
    <s v="T04984"/>
    <d v="2023-12-02T00:00:00"/>
    <s v="C106"/>
    <s v="P025"/>
    <s v="S001"/>
    <n v="3"/>
    <n v="0.15"/>
    <x v="0"/>
    <s v="Kevin Flores"/>
    <x v="33"/>
    <x v="0"/>
    <x v="3"/>
    <n v="429.15"/>
    <n v="1094.3324999999998"/>
  </r>
  <r>
    <s v="T04985"/>
    <d v="2024-09-26T00:00:00"/>
    <s v="C081"/>
    <s v="P006"/>
    <s v="S005"/>
    <n v="4"/>
    <n v="0.05"/>
    <x v="3"/>
    <s v="Sarah Reynolds"/>
    <x v="35"/>
    <x v="2"/>
    <x v="4"/>
    <n v="318.05"/>
    <n v="1208.5899999999999"/>
  </r>
  <r>
    <s v="T04986"/>
    <d v="2023-09-21T00:00:00"/>
    <s v="C134"/>
    <s v="P039"/>
    <s v="S002"/>
    <n v="5"/>
    <n v="0.15"/>
    <x v="0"/>
    <s v="Emily Hart"/>
    <x v="22"/>
    <x v="0"/>
    <x v="2"/>
    <n v="540.94000000000005"/>
    <n v="2298.9950000000003"/>
  </r>
  <r>
    <s v="T04987"/>
    <d v="2024-09-06T00:00:00"/>
    <s v="C154"/>
    <s v="P001"/>
    <s v="S001"/>
    <n v="3"/>
    <n v="0.15"/>
    <x v="3"/>
    <s v="Lisa Martinez"/>
    <x v="31"/>
    <x v="1"/>
    <x v="3"/>
    <n v="1673.69"/>
    <n v="4267.9094999999998"/>
  </r>
  <r>
    <s v="T04988"/>
    <d v="2023-09-20T00:00:00"/>
    <s v="C151"/>
    <s v="P023"/>
    <s v="S005"/>
    <n v="3"/>
    <n v="0.1"/>
    <x v="3"/>
    <s v="Dawn Fletcher"/>
    <x v="20"/>
    <x v="0"/>
    <x v="4"/>
    <n v="1878.47"/>
    <n v="5071.8689999999997"/>
  </r>
  <r>
    <s v="T04989"/>
    <d v="2024-02-09T00:00:00"/>
    <s v="C073"/>
    <s v="P035"/>
    <s v="S005"/>
    <n v="2"/>
    <n v="0.05"/>
    <x v="1"/>
    <s v="Carl Armstrong"/>
    <x v="7"/>
    <x v="1"/>
    <x v="4"/>
    <n v="1562.43"/>
    <n v="2968.6170000000002"/>
  </r>
  <r>
    <s v="T04990"/>
    <d v="2024-08-29T00:00:00"/>
    <s v="C199"/>
    <s v="P036"/>
    <s v="S004"/>
    <n v="3"/>
    <n v="0.05"/>
    <x v="2"/>
    <s v="Juan Johnson"/>
    <x v="4"/>
    <x v="0"/>
    <x v="1"/>
    <n v="1501.46"/>
    <n v="4279.1610000000001"/>
  </r>
  <r>
    <s v="T04991"/>
    <d v="2025-06-18T00:00:00"/>
    <s v="C034"/>
    <s v="P009"/>
    <s v="S002"/>
    <n v="5"/>
    <n v="0.1"/>
    <x v="1"/>
    <s v="Kari Miller"/>
    <x v="5"/>
    <x v="2"/>
    <x v="2"/>
    <n v="123.19"/>
    <n v="554.35500000000002"/>
  </r>
  <r>
    <s v="T04992"/>
    <d v="2024-09-17T00:00:00"/>
    <s v="C026"/>
    <s v="P040"/>
    <s v="S002"/>
    <n v="1"/>
    <n v="0.05"/>
    <x v="3"/>
    <s v="Justin Macdonald"/>
    <x v="37"/>
    <x v="1"/>
    <x v="2"/>
    <n v="1745.61"/>
    <n v="1658.3294999999998"/>
  </r>
  <r>
    <s v="T04993"/>
    <d v="2024-07-02T00:00:00"/>
    <s v="C170"/>
    <s v="P040"/>
    <s v="S001"/>
    <n v="3"/>
    <n v="0.1"/>
    <x v="0"/>
    <s v="Amber Graham"/>
    <x v="37"/>
    <x v="1"/>
    <x v="3"/>
    <n v="1745.61"/>
    <n v="4713.1469999999999"/>
  </r>
  <r>
    <s v="T04994"/>
    <d v="2024-07-25T00:00:00"/>
    <s v="C059"/>
    <s v="P004"/>
    <s v="S003"/>
    <n v="1"/>
    <n v="0"/>
    <x v="3"/>
    <s v="Scott Wyatt"/>
    <x v="49"/>
    <x v="0"/>
    <x v="0"/>
    <n v="1853.77"/>
    <n v="1853.77"/>
  </r>
  <r>
    <s v="T04995"/>
    <d v="2025-04-07T00:00:00"/>
    <s v="C047"/>
    <s v="P032"/>
    <s v="S004"/>
    <n v="4"/>
    <n v="0.05"/>
    <x v="2"/>
    <s v="Mary Decker"/>
    <x v="44"/>
    <x v="2"/>
    <x v="1"/>
    <n v="304.70999999999998"/>
    <n v="1157.8979999999999"/>
  </r>
  <r>
    <s v="T04996"/>
    <d v="2025-08-14T00:00:00"/>
    <s v="C050"/>
    <s v="P039"/>
    <s v="S005"/>
    <n v="5"/>
    <n v="0.1"/>
    <x v="1"/>
    <s v="Kelly Mcmillan"/>
    <x v="22"/>
    <x v="0"/>
    <x v="4"/>
    <n v="540.94000000000005"/>
    <n v="2434.2300000000005"/>
  </r>
  <r>
    <s v="T04997"/>
    <d v="2024-11-24T00:00:00"/>
    <s v="C077"/>
    <s v="P021"/>
    <s v="S002"/>
    <n v="2"/>
    <n v="0.1"/>
    <x v="1"/>
    <s v="Matthew Juarez"/>
    <x v="23"/>
    <x v="2"/>
    <x v="2"/>
    <n v="1227.24"/>
    <n v="2209.0320000000002"/>
  </r>
  <r>
    <s v="T04998"/>
    <d v="2025-08-08T00:00:00"/>
    <s v="C184"/>
    <s v="P005"/>
    <s v="S004"/>
    <n v="5"/>
    <n v="0.15"/>
    <x v="3"/>
    <s v="Daniel Mcintyre"/>
    <x v="6"/>
    <x v="0"/>
    <x v="1"/>
    <n v="1396.22"/>
    <n v="5933.9350000000004"/>
  </r>
  <r>
    <s v="T04999"/>
    <d v="2024-03-14T00:00:00"/>
    <s v="C132"/>
    <s v="P004"/>
    <s v="S005"/>
    <n v="5"/>
    <n v="0.05"/>
    <x v="2"/>
    <s v="Jared Ochoa"/>
    <x v="49"/>
    <x v="0"/>
    <x v="4"/>
    <n v="1853.77"/>
    <n v="8805.4074999999993"/>
  </r>
  <r>
    <s v="T05000"/>
    <d v="2024-07-16T00:00:00"/>
    <s v="C053"/>
    <s v="P034"/>
    <s v="S004"/>
    <n v="5"/>
    <n v="0.15"/>
    <x v="3"/>
    <s v="Felicia Morgan"/>
    <x v="12"/>
    <x v="1"/>
    <x v="1"/>
    <n v="428.05"/>
    <n v="1819.2124999999999"/>
  </r>
  <r>
    <m/>
    <m/>
    <m/>
    <m/>
    <m/>
    <m/>
    <m/>
    <x v="4"/>
    <m/>
    <x v="50"/>
    <x v="3"/>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656C4-705E-45B5-B09B-890F44C24B97}"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4">
    <pivotField showAll="0"/>
    <pivotField showAll="0"/>
    <pivotField showAll="0"/>
    <pivotField showAll="0"/>
    <pivotField showAll="0"/>
    <pivotField showAll="0"/>
    <pivotField showAll="0"/>
    <pivotField showAll="0"/>
    <pivotField showAll="0"/>
    <pivotField showAll="0"/>
    <pivotField axis="axisRow" showAll="0">
      <items count="5">
        <item x="1"/>
        <item x="0"/>
        <item x="2"/>
        <item h="1" x="3"/>
        <item t="default"/>
      </items>
    </pivotField>
    <pivotField showAll="0">
      <items count="7">
        <item x="1"/>
        <item x="3"/>
        <item x="4"/>
        <item x="0"/>
        <item x="2"/>
        <item h="1" x="5"/>
        <item t="default"/>
      </items>
    </pivotField>
    <pivotField showAll="0"/>
    <pivotField dataField="1" showAll="0"/>
  </pivotFields>
  <rowFields count="1">
    <field x="10"/>
  </rowFields>
  <rowItems count="4">
    <i>
      <x/>
    </i>
    <i>
      <x v="1"/>
    </i>
    <i>
      <x v="2"/>
    </i>
    <i t="grand">
      <x/>
    </i>
  </rowItems>
  <colItems count="1">
    <i/>
  </colItems>
  <dataFields count="1">
    <dataField name="Sum of Total Sales" fld="13" baseField="0" baseItem="0" numFmtId="1"/>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140070-6468-400A-AFE3-96D589646113}"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items count="5">
        <item x="1"/>
        <item x="0"/>
        <item x="2"/>
        <item h="1" x="3"/>
        <item t="default"/>
      </items>
    </pivotField>
    <pivotField axis="axisRow" showAll="0" sortType="descending">
      <items count="7">
        <item x="1"/>
        <item x="3"/>
        <item x="4"/>
        <item x="0"/>
        <item x="2"/>
        <item h="1" x="5"/>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1"/>
  </rowFields>
  <rowItems count="6">
    <i>
      <x v="3"/>
    </i>
    <i>
      <x/>
    </i>
    <i>
      <x v="1"/>
    </i>
    <i>
      <x v="2"/>
    </i>
    <i>
      <x v="4"/>
    </i>
    <i t="grand">
      <x/>
    </i>
  </rowItems>
  <colItems count="1">
    <i/>
  </colItems>
  <dataFields count="1">
    <dataField name="Sum of Total Sales" fld="13" baseField="0" baseItem="0" numFmtId="1"/>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DABE87-4075-4FE8-874B-A2F96F7C8A07}"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4">
    <pivotField showAll="0"/>
    <pivotField showAll="0"/>
    <pivotField showAll="0"/>
    <pivotField showAll="0"/>
    <pivotField showAll="0"/>
    <pivotField showAll="0"/>
    <pivotField showAll="0"/>
    <pivotField axis="axisRow" showAll="0" sortType="descending">
      <items count="6">
        <item x="0"/>
        <item x="3"/>
        <item x="2"/>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0"/>
        <item x="2"/>
        <item h="1" x="3"/>
        <item t="default"/>
      </items>
    </pivotField>
    <pivotField showAll="0">
      <items count="7">
        <item x="1"/>
        <item x="3"/>
        <item x="4"/>
        <item x="0"/>
        <item x="2"/>
        <item h="1" x="5"/>
        <item t="default"/>
      </items>
    </pivotField>
    <pivotField showAll="0"/>
    <pivotField dataField="1" showAll="0"/>
  </pivotFields>
  <rowFields count="1">
    <field x="7"/>
  </rowFields>
  <rowItems count="5">
    <i>
      <x v="1"/>
    </i>
    <i>
      <x v="2"/>
    </i>
    <i>
      <x v="3"/>
    </i>
    <i>
      <x/>
    </i>
    <i t="grand">
      <x/>
    </i>
  </rowItems>
  <colItems count="1">
    <i/>
  </colItems>
  <dataFields count="1">
    <dataField name="Sum of Total Sales" fld="13" baseField="0" baseItem="0" numFmtId="1"/>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81AC02-6A28-46C9-B0B1-9CE867A5E423}"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4">
    <pivotField showAll="0"/>
    <pivotField showAll="0"/>
    <pivotField showAll="0"/>
    <pivotField showAll="0"/>
    <pivotField showAll="0"/>
    <pivotField showAll="0"/>
    <pivotField showAll="0"/>
    <pivotField showAll="0"/>
    <pivotField showAll="0"/>
    <pivotField axis="axisRow" showAll="0" measureFilter="1" sortType="ascending">
      <items count="52">
        <item x="38"/>
        <item x="0"/>
        <item x="20"/>
        <item x="2"/>
        <item x="16"/>
        <item x="15"/>
        <item x="27"/>
        <item x="7"/>
        <item x="22"/>
        <item x="35"/>
        <item x="25"/>
        <item x="19"/>
        <item x="44"/>
        <item x="17"/>
        <item x="12"/>
        <item x="43"/>
        <item x="23"/>
        <item x="39"/>
        <item x="49"/>
        <item x="46"/>
        <item x="14"/>
        <item x="34"/>
        <item x="13"/>
        <item x="9"/>
        <item x="6"/>
        <item x="32"/>
        <item x="31"/>
        <item x="33"/>
        <item x="10"/>
        <item x="3"/>
        <item x="1"/>
        <item x="42"/>
        <item x="4"/>
        <item x="11"/>
        <item x="28"/>
        <item x="37"/>
        <item x="29"/>
        <item x="30"/>
        <item x="48"/>
        <item x="47"/>
        <item x="8"/>
        <item x="24"/>
        <item x="45"/>
        <item x="41"/>
        <item x="36"/>
        <item x="26"/>
        <item x="18"/>
        <item x="5"/>
        <item x="40"/>
        <item x="21"/>
        <item x="50"/>
        <item t="default"/>
      </items>
      <autoSortScope>
        <pivotArea dataOnly="0" outline="0" fieldPosition="0">
          <references count="1">
            <reference field="4294967294" count="1" selected="0">
              <x v="0"/>
            </reference>
          </references>
        </pivotArea>
      </autoSortScope>
    </pivotField>
    <pivotField showAll="0">
      <items count="5">
        <item x="1"/>
        <item x="0"/>
        <item x="2"/>
        <item h="1" x="3"/>
        <item t="default"/>
      </items>
    </pivotField>
    <pivotField showAll="0">
      <items count="7">
        <item x="1"/>
        <item x="3"/>
        <item x="4"/>
        <item x="0"/>
        <item x="2"/>
        <item h="1" x="5"/>
        <item t="default"/>
      </items>
    </pivotField>
    <pivotField showAll="0"/>
    <pivotField dataField="1" showAll="0"/>
  </pivotFields>
  <rowFields count="1">
    <field x="9"/>
  </rowFields>
  <rowItems count="11">
    <i>
      <x v="18"/>
    </i>
    <i>
      <x v="37"/>
    </i>
    <i>
      <x v="39"/>
    </i>
    <i>
      <x v="26"/>
    </i>
    <i>
      <x v="35"/>
    </i>
    <i>
      <x v="4"/>
    </i>
    <i>
      <x v="45"/>
    </i>
    <i>
      <x v="40"/>
    </i>
    <i>
      <x v="2"/>
    </i>
    <i>
      <x v="6"/>
    </i>
    <i t="grand">
      <x/>
    </i>
  </rowItems>
  <colItems count="1">
    <i/>
  </colItems>
  <dataFields count="1">
    <dataField name="Sum of Total Sales" fld="13" baseField="0" baseItem="0" numFmtId="1"/>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720856D-FBDE-4655-B70E-89047F9CD373}" sourceName="Category">
  <pivotTables>
    <pivotTable tabId="5" name="PivotTable1"/>
    <pivotTable tabId="6" name="PivotTable2"/>
    <pivotTable tabId="7" name="PivotTable3"/>
    <pivotTable tabId="8" name="PivotTable4"/>
  </pivotTables>
  <data>
    <tabular pivotCacheId="189265027">
      <items count="4">
        <i x="1" s="1"/>
        <i x="0" s="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E27F748A-F557-4273-9795-BE15FFF1CB6F}" sourceName="StoreLocation">
  <pivotTables>
    <pivotTable tabId="6" name="PivotTable2"/>
    <pivotTable tabId="5" name="PivotTable1"/>
    <pivotTable tabId="7" name="PivotTable3"/>
    <pivotTable tabId="8" name="PivotTable4"/>
  </pivotTables>
  <data>
    <tabular pivotCacheId="189265027">
      <items count="6">
        <i x="1" s="1"/>
        <i x="3" s="1"/>
        <i x="4" s="1"/>
        <i x="0" s="1"/>
        <i x="2"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D74402F-135D-448C-9CCB-E04B90CB42BF}" cache="Slicer_Category" caption="Category" rowHeight="234950"/>
  <slicer name="StoreLocation" xr10:uid="{E4D01292-2B52-4C59-AB8D-3FDCDBFDAD43}" cache="Slicer_StoreLocation" caption="StoreLo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workbookViewId="0">
      <selection activeCell="G18" sqref="G18"/>
    </sheetView>
  </sheetViews>
  <sheetFormatPr defaultRowHeight="14.4" x14ac:dyDescent="0.3"/>
  <cols>
    <col min="5" max="5" width="10.88671875" customWidth="1"/>
    <col min="7" max="7" width="11.109375"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s="2">
        <v>35319</v>
      </c>
      <c r="F2" t="s">
        <v>11</v>
      </c>
      <c r="G2" s="2">
        <v>44829</v>
      </c>
    </row>
    <row r="3" spans="1:7" x14ac:dyDescent="0.3">
      <c r="A3" t="s">
        <v>12</v>
      </c>
      <c r="B3" t="s">
        <v>8</v>
      </c>
      <c r="C3" t="s">
        <v>13</v>
      </c>
      <c r="D3" t="s">
        <v>10</v>
      </c>
      <c r="E3" s="2">
        <v>21780</v>
      </c>
      <c r="F3" t="s">
        <v>14</v>
      </c>
      <c r="G3" s="2">
        <v>44138</v>
      </c>
    </row>
    <row r="4" spans="1:7" x14ac:dyDescent="0.3">
      <c r="A4" t="s">
        <v>15</v>
      </c>
      <c r="B4" t="s">
        <v>16</v>
      </c>
      <c r="C4" t="s">
        <v>17</v>
      </c>
      <c r="D4" t="s">
        <v>18</v>
      </c>
      <c r="E4" s="2">
        <v>38461</v>
      </c>
      <c r="F4" t="s">
        <v>19</v>
      </c>
      <c r="G4" s="2">
        <v>45334</v>
      </c>
    </row>
    <row r="5" spans="1:7" x14ac:dyDescent="0.3">
      <c r="A5" t="s">
        <v>20</v>
      </c>
      <c r="B5" t="s">
        <v>21</v>
      </c>
      <c r="C5" t="s">
        <v>22</v>
      </c>
      <c r="D5" t="s">
        <v>10</v>
      </c>
      <c r="E5" s="2">
        <v>33771</v>
      </c>
      <c r="F5" t="s">
        <v>23</v>
      </c>
      <c r="G5" s="2">
        <v>45544</v>
      </c>
    </row>
    <row r="6" spans="1:7" x14ac:dyDescent="0.3">
      <c r="A6" t="s">
        <v>24</v>
      </c>
      <c r="B6" t="s">
        <v>25</v>
      </c>
      <c r="C6" t="s">
        <v>26</v>
      </c>
      <c r="D6" t="s">
        <v>10</v>
      </c>
      <c r="E6" s="2">
        <v>33773</v>
      </c>
      <c r="F6" t="s">
        <v>27</v>
      </c>
      <c r="G6" s="2">
        <v>44616</v>
      </c>
    </row>
    <row r="7" spans="1:7" x14ac:dyDescent="0.3">
      <c r="A7" t="s">
        <v>28</v>
      </c>
      <c r="B7" t="s">
        <v>29</v>
      </c>
      <c r="C7" t="s">
        <v>30</v>
      </c>
      <c r="D7" t="s">
        <v>10</v>
      </c>
      <c r="E7" s="2">
        <v>31688</v>
      </c>
      <c r="F7" t="s">
        <v>31</v>
      </c>
      <c r="G7" s="2">
        <v>44751</v>
      </c>
    </row>
    <row r="8" spans="1:7" x14ac:dyDescent="0.3">
      <c r="A8" t="s">
        <v>32</v>
      </c>
      <c r="B8" t="s">
        <v>33</v>
      </c>
      <c r="C8" t="s">
        <v>34</v>
      </c>
      <c r="D8" t="s">
        <v>10</v>
      </c>
      <c r="E8" s="2">
        <v>31058</v>
      </c>
      <c r="F8" t="s">
        <v>35</v>
      </c>
      <c r="G8" s="2">
        <v>44482</v>
      </c>
    </row>
    <row r="9" spans="1:7" x14ac:dyDescent="0.3">
      <c r="A9" t="s">
        <v>36</v>
      </c>
      <c r="B9" t="s">
        <v>37</v>
      </c>
      <c r="C9" t="s">
        <v>38</v>
      </c>
      <c r="D9" t="s">
        <v>10</v>
      </c>
      <c r="E9" s="2">
        <v>22233</v>
      </c>
      <c r="F9" t="s">
        <v>39</v>
      </c>
      <c r="G9" s="2">
        <v>45720</v>
      </c>
    </row>
    <row r="10" spans="1:7" x14ac:dyDescent="0.3">
      <c r="A10" t="s">
        <v>40</v>
      </c>
      <c r="B10" t="s">
        <v>41</v>
      </c>
      <c r="C10" t="s">
        <v>42</v>
      </c>
      <c r="D10" t="s">
        <v>18</v>
      </c>
      <c r="E10" s="2">
        <v>38214</v>
      </c>
      <c r="F10" t="s">
        <v>43</v>
      </c>
      <c r="G10" s="2">
        <v>45764</v>
      </c>
    </row>
    <row r="11" spans="1:7" x14ac:dyDescent="0.3">
      <c r="A11" t="s">
        <v>44</v>
      </c>
      <c r="B11" t="s">
        <v>45</v>
      </c>
      <c r="C11" t="s">
        <v>46</v>
      </c>
      <c r="D11" t="s">
        <v>10</v>
      </c>
      <c r="E11" s="2">
        <v>28106</v>
      </c>
      <c r="F11" t="s">
        <v>47</v>
      </c>
      <c r="G11" s="2">
        <v>45861</v>
      </c>
    </row>
    <row r="12" spans="1:7" x14ac:dyDescent="0.3">
      <c r="A12" t="s">
        <v>48</v>
      </c>
      <c r="B12" t="s">
        <v>49</v>
      </c>
      <c r="C12" t="s">
        <v>38</v>
      </c>
      <c r="D12" t="s">
        <v>10</v>
      </c>
      <c r="E12" s="2">
        <v>35492</v>
      </c>
      <c r="F12" t="s">
        <v>50</v>
      </c>
      <c r="G12" s="2">
        <v>45058</v>
      </c>
    </row>
    <row r="13" spans="1:7" x14ac:dyDescent="0.3">
      <c r="A13" t="s">
        <v>51</v>
      </c>
      <c r="B13" t="s">
        <v>52</v>
      </c>
      <c r="C13" t="s">
        <v>53</v>
      </c>
      <c r="D13" t="s">
        <v>10</v>
      </c>
      <c r="E13" s="2">
        <v>32850</v>
      </c>
      <c r="F13" t="s">
        <v>54</v>
      </c>
      <c r="G13" s="2">
        <v>44393</v>
      </c>
    </row>
    <row r="14" spans="1:7" x14ac:dyDescent="0.3">
      <c r="A14" t="s">
        <v>55</v>
      </c>
      <c r="B14" t="s">
        <v>56</v>
      </c>
      <c r="C14" t="s">
        <v>57</v>
      </c>
      <c r="D14" t="s">
        <v>10</v>
      </c>
      <c r="E14" s="2">
        <v>20117</v>
      </c>
      <c r="F14" t="s">
        <v>58</v>
      </c>
      <c r="G14" s="2">
        <v>45007</v>
      </c>
    </row>
    <row r="15" spans="1:7" x14ac:dyDescent="0.3">
      <c r="A15" t="s">
        <v>59</v>
      </c>
      <c r="B15" t="s">
        <v>60</v>
      </c>
      <c r="C15" t="s">
        <v>61</v>
      </c>
      <c r="D15" t="s">
        <v>10</v>
      </c>
      <c r="E15" s="2">
        <v>27205</v>
      </c>
      <c r="F15" t="s">
        <v>62</v>
      </c>
      <c r="G15" s="2">
        <v>44509</v>
      </c>
    </row>
    <row r="16" spans="1:7" x14ac:dyDescent="0.3">
      <c r="A16" t="s">
        <v>63</v>
      </c>
      <c r="B16" t="s">
        <v>64</v>
      </c>
      <c r="C16" t="s">
        <v>65</v>
      </c>
      <c r="D16" t="s">
        <v>10</v>
      </c>
      <c r="E16" s="2">
        <v>34315</v>
      </c>
      <c r="F16" t="s">
        <v>66</v>
      </c>
      <c r="G16" s="2">
        <v>44892</v>
      </c>
    </row>
    <row r="17" spans="1:7" x14ac:dyDescent="0.3">
      <c r="A17" t="s">
        <v>67</v>
      </c>
      <c r="B17" t="s">
        <v>68</v>
      </c>
      <c r="C17" t="s">
        <v>69</v>
      </c>
      <c r="D17" t="s">
        <v>10</v>
      </c>
      <c r="E17" s="2">
        <v>27877</v>
      </c>
      <c r="F17" t="s">
        <v>70</v>
      </c>
      <c r="G17" s="2">
        <v>44613</v>
      </c>
    </row>
    <row r="18" spans="1:7" x14ac:dyDescent="0.3">
      <c r="A18" t="s">
        <v>71</v>
      </c>
      <c r="B18" t="s">
        <v>72</v>
      </c>
      <c r="C18" t="s">
        <v>57</v>
      </c>
      <c r="D18" t="s">
        <v>18</v>
      </c>
      <c r="E18" s="2">
        <v>30021</v>
      </c>
      <c r="F18" t="s">
        <v>73</v>
      </c>
      <c r="G18" s="2">
        <v>45560</v>
      </c>
    </row>
    <row r="19" spans="1:7" x14ac:dyDescent="0.3">
      <c r="A19" t="s">
        <v>74</v>
      </c>
      <c r="B19" t="s">
        <v>75</v>
      </c>
      <c r="C19" t="s">
        <v>9</v>
      </c>
      <c r="D19" t="s">
        <v>10</v>
      </c>
      <c r="E19" s="2">
        <v>34565</v>
      </c>
      <c r="F19" t="s">
        <v>76</v>
      </c>
      <c r="G19" s="2">
        <v>45608</v>
      </c>
    </row>
    <row r="20" spans="1:7" x14ac:dyDescent="0.3">
      <c r="A20" t="s">
        <v>77</v>
      </c>
      <c r="B20" t="s">
        <v>78</v>
      </c>
      <c r="C20" t="s">
        <v>79</v>
      </c>
      <c r="D20" t="s">
        <v>18</v>
      </c>
      <c r="E20" s="2">
        <v>35931</v>
      </c>
      <c r="F20" t="s">
        <v>80</v>
      </c>
      <c r="G20" s="2">
        <v>45063</v>
      </c>
    </row>
    <row r="21" spans="1:7" x14ac:dyDescent="0.3">
      <c r="A21" t="s">
        <v>81</v>
      </c>
      <c r="B21" t="s">
        <v>82</v>
      </c>
      <c r="C21" t="s">
        <v>83</v>
      </c>
      <c r="D21" t="s">
        <v>18</v>
      </c>
      <c r="E21" s="2">
        <v>30128</v>
      </c>
      <c r="F21" t="s">
        <v>84</v>
      </c>
      <c r="G21" s="2">
        <v>45401</v>
      </c>
    </row>
    <row r="22" spans="1:7" x14ac:dyDescent="0.3">
      <c r="A22" t="s">
        <v>85</v>
      </c>
      <c r="B22" t="s">
        <v>86</v>
      </c>
      <c r="C22" t="s">
        <v>87</v>
      </c>
      <c r="D22" t="s">
        <v>10</v>
      </c>
      <c r="E22" s="2">
        <v>34290</v>
      </c>
      <c r="F22" t="s">
        <v>88</v>
      </c>
      <c r="G22" s="2">
        <v>44583</v>
      </c>
    </row>
    <row r="23" spans="1:7" x14ac:dyDescent="0.3">
      <c r="A23" t="s">
        <v>89</v>
      </c>
      <c r="B23" t="s">
        <v>90</v>
      </c>
      <c r="C23" t="s">
        <v>91</v>
      </c>
      <c r="D23" t="s">
        <v>10</v>
      </c>
      <c r="E23" s="2">
        <v>20409</v>
      </c>
      <c r="F23" t="s">
        <v>92</v>
      </c>
      <c r="G23" s="2">
        <v>44106</v>
      </c>
    </row>
    <row r="24" spans="1:7" x14ac:dyDescent="0.3">
      <c r="A24" t="s">
        <v>93</v>
      </c>
      <c r="B24" t="s">
        <v>94</v>
      </c>
      <c r="C24" t="s">
        <v>95</v>
      </c>
      <c r="D24" t="s">
        <v>18</v>
      </c>
      <c r="E24" s="2">
        <v>26428</v>
      </c>
      <c r="F24" t="s">
        <v>96</v>
      </c>
      <c r="G24" s="2">
        <v>44123</v>
      </c>
    </row>
    <row r="25" spans="1:7" x14ac:dyDescent="0.3">
      <c r="A25" t="s">
        <v>97</v>
      </c>
      <c r="B25" t="s">
        <v>98</v>
      </c>
      <c r="C25" t="s">
        <v>99</v>
      </c>
      <c r="D25" t="s">
        <v>18</v>
      </c>
      <c r="E25" s="2">
        <v>22610</v>
      </c>
      <c r="F25" t="s">
        <v>100</v>
      </c>
      <c r="G25" s="2">
        <v>45036</v>
      </c>
    </row>
    <row r="26" spans="1:7" x14ac:dyDescent="0.3">
      <c r="A26" t="s">
        <v>101</v>
      </c>
      <c r="B26" t="s">
        <v>102</v>
      </c>
      <c r="C26" t="s">
        <v>103</v>
      </c>
      <c r="D26" t="s">
        <v>18</v>
      </c>
      <c r="E26" s="2">
        <v>26004</v>
      </c>
      <c r="F26" t="s">
        <v>104</v>
      </c>
      <c r="G26" s="2">
        <v>44575</v>
      </c>
    </row>
    <row r="27" spans="1:7" x14ac:dyDescent="0.3">
      <c r="A27" t="s">
        <v>105</v>
      </c>
      <c r="B27" t="s">
        <v>106</v>
      </c>
      <c r="C27" t="s">
        <v>107</v>
      </c>
      <c r="D27" t="s">
        <v>10</v>
      </c>
      <c r="E27" s="2">
        <v>37990</v>
      </c>
      <c r="F27" t="s">
        <v>108</v>
      </c>
      <c r="G27" s="2">
        <v>45538</v>
      </c>
    </row>
    <row r="28" spans="1:7" x14ac:dyDescent="0.3">
      <c r="A28" t="s">
        <v>109</v>
      </c>
      <c r="B28" t="s">
        <v>110</v>
      </c>
      <c r="C28" t="s">
        <v>87</v>
      </c>
      <c r="D28" t="s">
        <v>10</v>
      </c>
      <c r="E28" s="2">
        <v>21586</v>
      </c>
      <c r="F28" t="s">
        <v>111</v>
      </c>
      <c r="G28" s="2">
        <v>45168</v>
      </c>
    </row>
    <row r="29" spans="1:7" x14ac:dyDescent="0.3">
      <c r="A29" t="s">
        <v>112</v>
      </c>
      <c r="B29" t="s">
        <v>78</v>
      </c>
      <c r="C29" t="s">
        <v>113</v>
      </c>
      <c r="D29" t="s">
        <v>18</v>
      </c>
      <c r="E29" s="2">
        <v>21956</v>
      </c>
      <c r="F29" t="s">
        <v>114</v>
      </c>
      <c r="G29" s="2">
        <v>44911</v>
      </c>
    </row>
    <row r="30" spans="1:7" x14ac:dyDescent="0.3">
      <c r="A30" t="s">
        <v>115</v>
      </c>
      <c r="B30" t="s">
        <v>116</v>
      </c>
      <c r="C30" t="s">
        <v>117</v>
      </c>
      <c r="D30" t="s">
        <v>10</v>
      </c>
      <c r="E30" s="2">
        <v>28630</v>
      </c>
      <c r="F30" t="s">
        <v>118</v>
      </c>
      <c r="G30" s="2">
        <v>44438</v>
      </c>
    </row>
    <row r="31" spans="1:7" x14ac:dyDescent="0.3">
      <c r="A31" t="s">
        <v>119</v>
      </c>
      <c r="B31" t="s">
        <v>120</v>
      </c>
      <c r="C31" t="s">
        <v>121</v>
      </c>
      <c r="D31" t="s">
        <v>10</v>
      </c>
      <c r="E31" s="2">
        <v>37417</v>
      </c>
      <c r="F31" t="s">
        <v>122</v>
      </c>
      <c r="G31" s="2">
        <v>44800</v>
      </c>
    </row>
    <row r="32" spans="1:7" x14ac:dyDescent="0.3">
      <c r="A32" t="s">
        <v>123</v>
      </c>
      <c r="B32" t="s">
        <v>124</v>
      </c>
      <c r="C32" t="s">
        <v>125</v>
      </c>
      <c r="D32" t="s">
        <v>18</v>
      </c>
      <c r="E32" s="2">
        <v>37694</v>
      </c>
      <c r="F32" t="s">
        <v>126</v>
      </c>
      <c r="G32" s="2">
        <v>45895</v>
      </c>
    </row>
    <row r="33" spans="1:7" x14ac:dyDescent="0.3">
      <c r="A33" t="s">
        <v>127</v>
      </c>
      <c r="B33" t="s">
        <v>128</v>
      </c>
      <c r="C33" t="s">
        <v>107</v>
      </c>
      <c r="D33" t="s">
        <v>10</v>
      </c>
      <c r="E33" s="2">
        <v>33917</v>
      </c>
      <c r="F33" t="s">
        <v>129</v>
      </c>
      <c r="G33" s="2">
        <v>44208</v>
      </c>
    </row>
    <row r="34" spans="1:7" x14ac:dyDescent="0.3">
      <c r="A34" t="s">
        <v>130</v>
      </c>
      <c r="B34" t="s">
        <v>131</v>
      </c>
      <c r="C34" t="s">
        <v>132</v>
      </c>
      <c r="D34" t="s">
        <v>18</v>
      </c>
      <c r="E34" s="2">
        <v>28698</v>
      </c>
      <c r="F34" t="s">
        <v>133</v>
      </c>
      <c r="G34" s="2">
        <v>45733</v>
      </c>
    </row>
    <row r="35" spans="1:7" x14ac:dyDescent="0.3">
      <c r="A35" t="s">
        <v>134</v>
      </c>
      <c r="B35" t="s">
        <v>135</v>
      </c>
      <c r="C35" t="s">
        <v>13</v>
      </c>
      <c r="D35" t="s">
        <v>18</v>
      </c>
      <c r="E35" s="2">
        <v>23730</v>
      </c>
      <c r="F35" t="s">
        <v>136</v>
      </c>
      <c r="G35" s="2">
        <v>45670</v>
      </c>
    </row>
    <row r="36" spans="1:7" x14ac:dyDescent="0.3">
      <c r="A36" t="s">
        <v>137</v>
      </c>
      <c r="B36" t="s">
        <v>138</v>
      </c>
      <c r="C36" t="s">
        <v>139</v>
      </c>
      <c r="D36" t="s">
        <v>18</v>
      </c>
      <c r="E36" s="2">
        <v>33347</v>
      </c>
      <c r="F36" t="s">
        <v>140</v>
      </c>
      <c r="G36" s="2">
        <v>45007</v>
      </c>
    </row>
    <row r="37" spans="1:7" x14ac:dyDescent="0.3">
      <c r="A37" t="s">
        <v>141</v>
      </c>
      <c r="B37" t="s">
        <v>8</v>
      </c>
      <c r="C37" t="s">
        <v>142</v>
      </c>
      <c r="D37" t="s">
        <v>10</v>
      </c>
      <c r="E37" s="2">
        <v>33546</v>
      </c>
      <c r="F37" t="s">
        <v>143</v>
      </c>
      <c r="G37" s="2">
        <v>44104</v>
      </c>
    </row>
    <row r="38" spans="1:7" x14ac:dyDescent="0.3">
      <c r="A38" t="s">
        <v>144</v>
      </c>
      <c r="B38" t="s">
        <v>145</v>
      </c>
      <c r="C38" t="s">
        <v>146</v>
      </c>
      <c r="D38" t="s">
        <v>18</v>
      </c>
      <c r="E38" s="2">
        <v>30193</v>
      </c>
      <c r="F38" t="s">
        <v>147</v>
      </c>
      <c r="G38" s="2">
        <v>45322</v>
      </c>
    </row>
    <row r="39" spans="1:7" x14ac:dyDescent="0.3">
      <c r="A39" t="s">
        <v>148</v>
      </c>
      <c r="B39" t="s">
        <v>149</v>
      </c>
      <c r="C39" t="s">
        <v>9</v>
      </c>
      <c r="D39" t="s">
        <v>10</v>
      </c>
      <c r="E39" s="2">
        <v>27138</v>
      </c>
      <c r="F39" t="s">
        <v>150</v>
      </c>
      <c r="G39" s="2">
        <v>44326</v>
      </c>
    </row>
    <row r="40" spans="1:7" x14ac:dyDescent="0.3">
      <c r="A40" t="s">
        <v>151</v>
      </c>
      <c r="B40" t="s">
        <v>152</v>
      </c>
      <c r="C40" t="s">
        <v>153</v>
      </c>
      <c r="D40" t="s">
        <v>18</v>
      </c>
      <c r="E40" s="2">
        <v>35371</v>
      </c>
      <c r="F40" t="s">
        <v>154</v>
      </c>
      <c r="G40" s="2">
        <v>44851</v>
      </c>
    </row>
    <row r="41" spans="1:7" x14ac:dyDescent="0.3">
      <c r="A41" t="s">
        <v>155</v>
      </c>
      <c r="B41" t="s">
        <v>156</v>
      </c>
      <c r="C41" t="s">
        <v>157</v>
      </c>
      <c r="D41" t="s">
        <v>10</v>
      </c>
      <c r="E41" s="2">
        <v>27339</v>
      </c>
      <c r="F41" t="s">
        <v>158</v>
      </c>
      <c r="G41" s="2">
        <v>44754</v>
      </c>
    </row>
    <row r="42" spans="1:7" x14ac:dyDescent="0.3">
      <c r="A42" t="s">
        <v>159</v>
      </c>
      <c r="B42" t="s">
        <v>160</v>
      </c>
      <c r="C42" t="s">
        <v>161</v>
      </c>
      <c r="D42" t="s">
        <v>18</v>
      </c>
      <c r="E42" s="2">
        <v>29405</v>
      </c>
      <c r="F42" t="s">
        <v>162</v>
      </c>
      <c r="G42" s="2">
        <v>44950</v>
      </c>
    </row>
    <row r="43" spans="1:7" x14ac:dyDescent="0.3">
      <c r="A43" t="s">
        <v>163</v>
      </c>
      <c r="B43" t="s">
        <v>164</v>
      </c>
      <c r="C43" t="s">
        <v>165</v>
      </c>
      <c r="D43" t="s">
        <v>18</v>
      </c>
      <c r="E43" s="2">
        <v>36564</v>
      </c>
      <c r="F43" t="s">
        <v>166</v>
      </c>
      <c r="G43" s="2">
        <v>44509</v>
      </c>
    </row>
    <row r="44" spans="1:7" x14ac:dyDescent="0.3">
      <c r="A44" t="s">
        <v>167</v>
      </c>
      <c r="B44" t="s">
        <v>168</v>
      </c>
      <c r="C44" t="s">
        <v>169</v>
      </c>
      <c r="D44" t="s">
        <v>10</v>
      </c>
      <c r="E44" s="2">
        <v>32400</v>
      </c>
      <c r="F44" t="s">
        <v>170</v>
      </c>
      <c r="G44" s="2">
        <v>45213</v>
      </c>
    </row>
    <row r="45" spans="1:7" x14ac:dyDescent="0.3">
      <c r="A45" t="s">
        <v>171</v>
      </c>
      <c r="B45" t="s">
        <v>172</v>
      </c>
      <c r="C45" t="s">
        <v>173</v>
      </c>
      <c r="D45" t="s">
        <v>10</v>
      </c>
      <c r="E45" s="2">
        <v>22326</v>
      </c>
      <c r="F45" t="s">
        <v>174</v>
      </c>
      <c r="G45" s="2">
        <v>45653</v>
      </c>
    </row>
    <row r="46" spans="1:7" x14ac:dyDescent="0.3">
      <c r="A46" t="s">
        <v>175</v>
      </c>
      <c r="B46" t="s">
        <v>176</v>
      </c>
      <c r="C46" t="s">
        <v>177</v>
      </c>
      <c r="D46" t="s">
        <v>10</v>
      </c>
      <c r="E46" s="2">
        <v>27756</v>
      </c>
      <c r="F46" t="s">
        <v>178</v>
      </c>
      <c r="G46" s="2">
        <v>45208</v>
      </c>
    </row>
    <row r="47" spans="1:7" x14ac:dyDescent="0.3">
      <c r="A47" t="s">
        <v>179</v>
      </c>
      <c r="B47" t="s">
        <v>180</v>
      </c>
      <c r="C47" t="s">
        <v>181</v>
      </c>
      <c r="D47" t="s">
        <v>10</v>
      </c>
      <c r="E47" s="2">
        <v>23397</v>
      </c>
      <c r="F47" t="s">
        <v>182</v>
      </c>
      <c r="G47" s="2">
        <v>44737</v>
      </c>
    </row>
    <row r="48" spans="1:7" x14ac:dyDescent="0.3">
      <c r="A48" t="s">
        <v>183</v>
      </c>
      <c r="B48" t="s">
        <v>184</v>
      </c>
      <c r="C48" t="s">
        <v>185</v>
      </c>
      <c r="D48" t="s">
        <v>18</v>
      </c>
      <c r="E48" s="2">
        <v>38901</v>
      </c>
      <c r="F48" t="s">
        <v>186</v>
      </c>
      <c r="G48" s="2">
        <v>45713</v>
      </c>
    </row>
    <row r="49" spans="1:7" x14ac:dyDescent="0.3">
      <c r="A49" t="s">
        <v>187</v>
      </c>
      <c r="B49" t="s">
        <v>188</v>
      </c>
      <c r="C49" t="s">
        <v>189</v>
      </c>
      <c r="D49" t="s">
        <v>10</v>
      </c>
      <c r="E49" s="2">
        <v>38351</v>
      </c>
      <c r="F49" t="s">
        <v>190</v>
      </c>
      <c r="G49" s="2">
        <v>44661</v>
      </c>
    </row>
    <row r="50" spans="1:7" x14ac:dyDescent="0.3">
      <c r="A50" t="s">
        <v>191</v>
      </c>
      <c r="B50" t="s">
        <v>192</v>
      </c>
      <c r="C50" t="s">
        <v>193</v>
      </c>
      <c r="D50" t="s">
        <v>10</v>
      </c>
      <c r="E50" s="2">
        <v>35433</v>
      </c>
      <c r="F50" t="s">
        <v>194</v>
      </c>
      <c r="G50" s="2">
        <v>44735</v>
      </c>
    </row>
    <row r="51" spans="1:7" x14ac:dyDescent="0.3">
      <c r="A51" t="s">
        <v>195</v>
      </c>
      <c r="B51" t="s">
        <v>176</v>
      </c>
      <c r="C51" t="s">
        <v>196</v>
      </c>
      <c r="D51" t="s">
        <v>10</v>
      </c>
      <c r="E51" s="2">
        <v>25009</v>
      </c>
      <c r="F51" t="s">
        <v>197</v>
      </c>
      <c r="G51" s="2">
        <v>44798</v>
      </c>
    </row>
    <row r="52" spans="1:7" x14ac:dyDescent="0.3">
      <c r="A52" t="s">
        <v>198</v>
      </c>
      <c r="B52" t="s">
        <v>199</v>
      </c>
      <c r="C52" t="s">
        <v>200</v>
      </c>
      <c r="D52" t="s">
        <v>18</v>
      </c>
      <c r="E52" s="2">
        <v>38340</v>
      </c>
      <c r="F52" t="s">
        <v>201</v>
      </c>
      <c r="G52" s="2">
        <v>45347</v>
      </c>
    </row>
    <row r="53" spans="1:7" x14ac:dyDescent="0.3">
      <c r="A53" t="s">
        <v>202</v>
      </c>
      <c r="B53" t="s">
        <v>203</v>
      </c>
      <c r="C53" t="s">
        <v>204</v>
      </c>
      <c r="D53" t="s">
        <v>18</v>
      </c>
      <c r="E53" s="2">
        <v>33492</v>
      </c>
      <c r="F53" t="s">
        <v>205</v>
      </c>
      <c r="G53" s="2">
        <v>45407</v>
      </c>
    </row>
    <row r="54" spans="1:7" x14ac:dyDescent="0.3">
      <c r="A54" t="s">
        <v>206</v>
      </c>
      <c r="B54" t="s">
        <v>207</v>
      </c>
      <c r="C54" t="s">
        <v>208</v>
      </c>
      <c r="D54" t="s">
        <v>18</v>
      </c>
      <c r="E54" s="2">
        <v>35905</v>
      </c>
      <c r="F54" t="s">
        <v>209</v>
      </c>
      <c r="G54" s="2">
        <v>45389</v>
      </c>
    </row>
    <row r="55" spans="1:7" x14ac:dyDescent="0.3">
      <c r="A55" t="s">
        <v>210</v>
      </c>
      <c r="B55" t="s">
        <v>211</v>
      </c>
      <c r="C55" t="s">
        <v>69</v>
      </c>
      <c r="D55" t="s">
        <v>18</v>
      </c>
      <c r="E55" s="2">
        <v>37570</v>
      </c>
      <c r="F55" t="s">
        <v>212</v>
      </c>
      <c r="G55" s="2">
        <v>44274</v>
      </c>
    </row>
    <row r="56" spans="1:7" x14ac:dyDescent="0.3">
      <c r="A56" t="s">
        <v>213</v>
      </c>
      <c r="B56" t="s">
        <v>214</v>
      </c>
      <c r="C56" t="s">
        <v>215</v>
      </c>
      <c r="D56" t="s">
        <v>10</v>
      </c>
      <c r="E56" s="2">
        <v>27950</v>
      </c>
      <c r="F56" t="s">
        <v>216</v>
      </c>
      <c r="G56" s="2">
        <v>44232</v>
      </c>
    </row>
    <row r="57" spans="1:7" x14ac:dyDescent="0.3">
      <c r="A57" t="s">
        <v>217</v>
      </c>
      <c r="B57" t="s">
        <v>218</v>
      </c>
      <c r="C57" t="s">
        <v>219</v>
      </c>
      <c r="D57" t="s">
        <v>18</v>
      </c>
      <c r="E57" s="2">
        <v>38253</v>
      </c>
      <c r="F57" t="s">
        <v>220</v>
      </c>
      <c r="G57" s="2">
        <v>44366</v>
      </c>
    </row>
    <row r="58" spans="1:7" x14ac:dyDescent="0.3">
      <c r="A58" t="s">
        <v>221</v>
      </c>
      <c r="B58" t="s">
        <v>222</v>
      </c>
      <c r="C58" t="s">
        <v>125</v>
      </c>
      <c r="D58" t="s">
        <v>18</v>
      </c>
      <c r="E58" s="2">
        <v>36064</v>
      </c>
      <c r="F58" t="s">
        <v>223</v>
      </c>
      <c r="G58" s="2">
        <v>45011</v>
      </c>
    </row>
    <row r="59" spans="1:7" x14ac:dyDescent="0.3">
      <c r="A59" t="s">
        <v>224</v>
      </c>
      <c r="B59" t="s">
        <v>225</v>
      </c>
      <c r="C59" t="s">
        <v>226</v>
      </c>
      <c r="D59" t="s">
        <v>10</v>
      </c>
      <c r="E59" s="2">
        <v>38555</v>
      </c>
      <c r="F59" t="s">
        <v>227</v>
      </c>
      <c r="G59" s="2">
        <v>44145</v>
      </c>
    </row>
    <row r="60" spans="1:7" x14ac:dyDescent="0.3">
      <c r="A60" t="s">
        <v>228</v>
      </c>
      <c r="B60" t="s">
        <v>156</v>
      </c>
      <c r="C60" t="s">
        <v>219</v>
      </c>
      <c r="D60" t="s">
        <v>18</v>
      </c>
      <c r="E60" s="2">
        <v>23142</v>
      </c>
      <c r="F60" t="s">
        <v>229</v>
      </c>
      <c r="G60" s="2">
        <v>45562</v>
      </c>
    </row>
    <row r="61" spans="1:7" x14ac:dyDescent="0.3">
      <c r="A61" t="s">
        <v>230</v>
      </c>
      <c r="B61" t="s">
        <v>231</v>
      </c>
      <c r="C61" t="s">
        <v>232</v>
      </c>
      <c r="D61" t="s">
        <v>10</v>
      </c>
      <c r="E61" s="2">
        <v>35712</v>
      </c>
      <c r="F61" t="s">
        <v>233</v>
      </c>
      <c r="G61" s="2">
        <v>45823</v>
      </c>
    </row>
    <row r="62" spans="1:7" x14ac:dyDescent="0.3">
      <c r="A62" t="s">
        <v>234</v>
      </c>
      <c r="B62" t="s">
        <v>235</v>
      </c>
      <c r="C62" t="s">
        <v>236</v>
      </c>
      <c r="D62" t="s">
        <v>10</v>
      </c>
      <c r="E62" s="2">
        <v>25132</v>
      </c>
      <c r="F62" t="s">
        <v>237</v>
      </c>
      <c r="G62" s="2">
        <v>44228</v>
      </c>
    </row>
    <row r="63" spans="1:7" x14ac:dyDescent="0.3">
      <c r="A63" t="s">
        <v>238</v>
      </c>
      <c r="B63" t="s">
        <v>239</v>
      </c>
      <c r="C63" t="s">
        <v>26</v>
      </c>
      <c r="D63" t="s">
        <v>10</v>
      </c>
      <c r="E63" s="2">
        <v>36698</v>
      </c>
      <c r="F63" t="s">
        <v>240</v>
      </c>
      <c r="G63" s="2">
        <v>44462</v>
      </c>
    </row>
    <row r="64" spans="1:7" x14ac:dyDescent="0.3">
      <c r="A64" t="s">
        <v>241</v>
      </c>
      <c r="B64" t="s">
        <v>8</v>
      </c>
      <c r="C64" t="s">
        <v>69</v>
      </c>
      <c r="D64" t="s">
        <v>10</v>
      </c>
      <c r="E64" s="2">
        <v>26671</v>
      </c>
      <c r="F64" t="s">
        <v>242</v>
      </c>
      <c r="G64" s="2">
        <v>45075</v>
      </c>
    </row>
    <row r="65" spans="1:7" x14ac:dyDescent="0.3">
      <c r="A65" t="s">
        <v>243</v>
      </c>
      <c r="B65" t="s">
        <v>244</v>
      </c>
      <c r="C65" t="s">
        <v>245</v>
      </c>
      <c r="D65" t="s">
        <v>18</v>
      </c>
      <c r="E65" s="2">
        <v>26908</v>
      </c>
      <c r="F65" t="s">
        <v>246</v>
      </c>
      <c r="G65" s="2">
        <v>45561</v>
      </c>
    </row>
    <row r="66" spans="1:7" x14ac:dyDescent="0.3">
      <c r="A66" t="s">
        <v>247</v>
      </c>
      <c r="B66" t="s">
        <v>156</v>
      </c>
      <c r="C66" t="s">
        <v>248</v>
      </c>
      <c r="D66" t="s">
        <v>18</v>
      </c>
      <c r="E66" s="2">
        <v>25547</v>
      </c>
      <c r="F66" t="s">
        <v>249</v>
      </c>
      <c r="G66" s="2">
        <v>45312</v>
      </c>
    </row>
    <row r="67" spans="1:7" x14ac:dyDescent="0.3">
      <c r="A67" t="s">
        <v>250</v>
      </c>
      <c r="B67" t="s">
        <v>251</v>
      </c>
      <c r="C67" t="s">
        <v>252</v>
      </c>
      <c r="D67" t="s">
        <v>18</v>
      </c>
      <c r="E67" s="2">
        <v>31304</v>
      </c>
      <c r="F67" t="s">
        <v>253</v>
      </c>
      <c r="G67" s="2">
        <v>44186</v>
      </c>
    </row>
    <row r="68" spans="1:7" x14ac:dyDescent="0.3">
      <c r="A68" t="s">
        <v>254</v>
      </c>
      <c r="B68" t="s">
        <v>255</v>
      </c>
      <c r="C68" t="s">
        <v>256</v>
      </c>
      <c r="D68" t="s">
        <v>10</v>
      </c>
      <c r="E68" s="2">
        <v>26914</v>
      </c>
      <c r="F68" t="s">
        <v>257</v>
      </c>
      <c r="G68" s="2">
        <v>44266</v>
      </c>
    </row>
    <row r="69" spans="1:7" x14ac:dyDescent="0.3">
      <c r="A69" t="s">
        <v>258</v>
      </c>
      <c r="B69" t="s">
        <v>259</v>
      </c>
      <c r="C69" t="s">
        <v>260</v>
      </c>
      <c r="D69" t="s">
        <v>18</v>
      </c>
      <c r="E69" s="2">
        <v>29746</v>
      </c>
      <c r="F69" t="s">
        <v>261</v>
      </c>
      <c r="G69" s="2">
        <v>45456</v>
      </c>
    </row>
    <row r="70" spans="1:7" x14ac:dyDescent="0.3">
      <c r="A70" t="s">
        <v>262</v>
      </c>
      <c r="B70" t="s">
        <v>263</v>
      </c>
      <c r="C70" t="s">
        <v>264</v>
      </c>
      <c r="D70" t="s">
        <v>10</v>
      </c>
      <c r="E70" s="2">
        <v>24029</v>
      </c>
      <c r="F70" t="s">
        <v>265</v>
      </c>
      <c r="G70" s="2">
        <v>44937</v>
      </c>
    </row>
    <row r="71" spans="1:7" x14ac:dyDescent="0.3">
      <c r="A71" t="s">
        <v>266</v>
      </c>
      <c r="B71" t="s">
        <v>267</v>
      </c>
      <c r="C71" t="s">
        <v>268</v>
      </c>
      <c r="D71" t="s">
        <v>10</v>
      </c>
      <c r="E71" s="2">
        <v>26230</v>
      </c>
      <c r="F71" t="s">
        <v>269</v>
      </c>
      <c r="G71" s="2">
        <v>44259</v>
      </c>
    </row>
    <row r="72" spans="1:7" x14ac:dyDescent="0.3">
      <c r="A72" t="s">
        <v>270</v>
      </c>
      <c r="B72" t="s">
        <v>271</v>
      </c>
      <c r="C72" t="s">
        <v>272</v>
      </c>
      <c r="D72" t="s">
        <v>10</v>
      </c>
      <c r="E72" s="2">
        <v>22815</v>
      </c>
      <c r="F72" t="s">
        <v>273</v>
      </c>
      <c r="G72" s="2">
        <v>44340</v>
      </c>
    </row>
    <row r="73" spans="1:7" x14ac:dyDescent="0.3">
      <c r="A73" t="s">
        <v>274</v>
      </c>
      <c r="B73" t="s">
        <v>267</v>
      </c>
      <c r="C73" t="s">
        <v>275</v>
      </c>
      <c r="D73" t="s">
        <v>18</v>
      </c>
      <c r="E73" s="2">
        <v>34856</v>
      </c>
      <c r="F73" t="s">
        <v>276</v>
      </c>
      <c r="G73" s="2">
        <v>44744</v>
      </c>
    </row>
    <row r="74" spans="1:7" x14ac:dyDescent="0.3">
      <c r="A74" t="s">
        <v>277</v>
      </c>
      <c r="B74" t="s">
        <v>218</v>
      </c>
      <c r="C74" t="s">
        <v>278</v>
      </c>
      <c r="D74" t="s">
        <v>18</v>
      </c>
      <c r="E74" s="2">
        <v>23715</v>
      </c>
      <c r="F74" t="s">
        <v>279</v>
      </c>
      <c r="G74" s="2">
        <v>44601</v>
      </c>
    </row>
    <row r="75" spans="1:7" x14ac:dyDescent="0.3">
      <c r="A75" t="s">
        <v>280</v>
      </c>
      <c r="B75" t="s">
        <v>281</v>
      </c>
      <c r="C75" t="s">
        <v>282</v>
      </c>
      <c r="D75" t="s">
        <v>18</v>
      </c>
      <c r="E75" s="2">
        <v>21701</v>
      </c>
      <c r="F75" t="s">
        <v>283</v>
      </c>
      <c r="G75" s="2">
        <v>44966</v>
      </c>
    </row>
    <row r="76" spans="1:7" x14ac:dyDescent="0.3">
      <c r="A76" t="s">
        <v>284</v>
      </c>
      <c r="B76" t="s">
        <v>285</v>
      </c>
      <c r="C76" t="s">
        <v>30</v>
      </c>
      <c r="D76" t="s">
        <v>10</v>
      </c>
      <c r="E76" s="2">
        <v>19984</v>
      </c>
      <c r="F76" t="s">
        <v>286</v>
      </c>
      <c r="G76" s="2">
        <v>44328</v>
      </c>
    </row>
    <row r="77" spans="1:7" x14ac:dyDescent="0.3">
      <c r="A77" t="s">
        <v>287</v>
      </c>
      <c r="B77" t="s">
        <v>288</v>
      </c>
      <c r="C77" t="s">
        <v>289</v>
      </c>
      <c r="D77" t="s">
        <v>10</v>
      </c>
      <c r="E77" s="2">
        <v>38700</v>
      </c>
      <c r="F77" t="s">
        <v>290</v>
      </c>
      <c r="G77" s="2">
        <v>44688</v>
      </c>
    </row>
    <row r="78" spans="1:7" x14ac:dyDescent="0.3">
      <c r="A78" t="s">
        <v>291</v>
      </c>
      <c r="B78" t="s">
        <v>64</v>
      </c>
      <c r="C78" t="s">
        <v>292</v>
      </c>
      <c r="D78" t="s">
        <v>18</v>
      </c>
      <c r="E78" s="2">
        <v>37614</v>
      </c>
      <c r="F78" t="s">
        <v>293</v>
      </c>
      <c r="G78" s="2">
        <v>44855</v>
      </c>
    </row>
    <row r="79" spans="1:7" x14ac:dyDescent="0.3">
      <c r="A79" t="s">
        <v>294</v>
      </c>
      <c r="B79" t="s">
        <v>295</v>
      </c>
      <c r="C79" t="s">
        <v>296</v>
      </c>
      <c r="D79" t="s">
        <v>10</v>
      </c>
      <c r="E79" s="2">
        <v>32411</v>
      </c>
      <c r="F79" t="s">
        <v>297</v>
      </c>
      <c r="G79" s="2">
        <v>45671</v>
      </c>
    </row>
    <row r="80" spans="1:7" x14ac:dyDescent="0.3">
      <c r="A80" t="s">
        <v>298</v>
      </c>
      <c r="B80" t="s">
        <v>299</v>
      </c>
      <c r="C80" t="s">
        <v>300</v>
      </c>
      <c r="D80" t="s">
        <v>18</v>
      </c>
      <c r="E80" s="2">
        <v>29021</v>
      </c>
      <c r="F80" t="s">
        <v>301</v>
      </c>
      <c r="G80" s="2">
        <v>45479</v>
      </c>
    </row>
    <row r="81" spans="1:7" x14ac:dyDescent="0.3">
      <c r="A81" t="s">
        <v>302</v>
      </c>
      <c r="B81" t="s">
        <v>303</v>
      </c>
      <c r="C81" t="s">
        <v>304</v>
      </c>
      <c r="D81" t="s">
        <v>18</v>
      </c>
      <c r="E81" s="2">
        <v>37929</v>
      </c>
      <c r="F81" t="s">
        <v>305</v>
      </c>
      <c r="G81" s="2">
        <v>44928</v>
      </c>
    </row>
    <row r="82" spans="1:7" x14ac:dyDescent="0.3">
      <c r="A82" t="s">
        <v>306</v>
      </c>
      <c r="B82" t="s">
        <v>307</v>
      </c>
      <c r="C82" t="s">
        <v>308</v>
      </c>
      <c r="D82" t="s">
        <v>18</v>
      </c>
      <c r="E82" s="2">
        <v>32344</v>
      </c>
      <c r="F82" t="s">
        <v>309</v>
      </c>
      <c r="G82" s="2">
        <v>44826</v>
      </c>
    </row>
    <row r="83" spans="1:7" x14ac:dyDescent="0.3">
      <c r="A83" t="s">
        <v>310</v>
      </c>
      <c r="B83" t="s">
        <v>311</v>
      </c>
      <c r="C83" t="s">
        <v>49</v>
      </c>
      <c r="D83" t="s">
        <v>10</v>
      </c>
      <c r="E83" s="2">
        <v>37752</v>
      </c>
      <c r="F83" t="s">
        <v>312</v>
      </c>
      <c r="G83" s="2">
        <v>45472</v>
      </c>
    </row>
    <row r="84" spans="1:7" x14ac:dyDescent="0.3">
      <c r="A84" t="s">
        <v>313</v>
      </c>
      <c r="B84" t="s">
        <v>314</v>
      </c>
      <c r="C84" t="s">
        <v>315</v>
      </c>
      <c r="D84" t="s">
        <v>18</v>
      </c>
      <c r="E84" s="2">
        <v>29674</v>
      </c>
      <c r="F84" t="s">
        <v>316</v>
      </c>
      <c r="G84" s="2">
        <v>44600</v>
      </c>
    </row>
    <row r="85" spans="1:7" x14ac:dyDescent="0.3">
      <c r="A85" t="s">
        <v>317</v>
      </c>
      <c r="B85" t="s">
        <v>244</v>
      </c>
      <c r="C85" t="s">
        <v>318</v>
      </c>
      <c r="D85" t="s">
        <v>10</v>
      </c>
      <c r="E85" s="2">
        <v>26377</v>
      </c>
      <c r="F85" t="s">
        <v>319</v>
      </c>
      <c r="G85" s="2">
        <v>45539</v>
      </c>
    </row>
    <row r="86" spans="1:7" x14ac:dyDescent="0.3">
      <c r="A86" t="s">
        <v>320</v>
      </c>
      <c r="B86" t="s">
        <v>321</v>
      </c>
      <c r="C86" t="s">
        <v>322</v>
      </c>
      <c r="D86" t="s">
        <v>10</v>
      </c>
      <c r="E86" s="2">
        <v>28937</v>
      </c>
      <c r="F86" t="s">
        <v>323</v>
      </c>
      <c r="G86" s="2">
        <v>45210</v>
      </c>
    </row>
    <row r="87" spans="1:7" x14ac:dyDescent="0.3">
      <c r="A87" t="s">
        <v>324</v>
      </c>
      <c r="B87" t="s">
        <v>225</v>
      </c>
      <c r="C87" t="s">
        <v>325</v>
      </c>
      <c r="D87" t="s">
        <v>18</v>
      </c>
      <c r="E87" s="2">
        <v>27663</v>
      </c>
      <c r="F87" t="s">
        <v>326</v>
      </c>
      <c r="G87" s="2">
        <v>45133</v>
      </c>
    </row>
    <row r="88" spans="1:7" x14ac:dyDescent="0.3">
      <c r="A88" t="s">
        <v>327</v>
      </c>
      <c r="B88" t="s">
        <v>328</v>
      </c>
      <c r="C88" t="s">
        <v>329</v>
      </c>
      <c r="D88" t="s">
        <v>18</v>
      </c>
      <c r="E88" s="2">
        <v>27567</v>
      </c>
      <c r="F88" t="s">
        <v>330</v>
      </c>
      <c r="G88" s="2">
        <v>45840</v>
      </c>
    </row>
    <row r="89" spans="1:7" x14ac:dyDescent="0.3">
      <c r="A89" t="s">
        <v>331</v>
      </c>
      <c r="B89" t="s">
        <v>332</v>
      </c>
      <c r="C89" t="s">
        <v>333</v>
      </c>
      <c r="D89" t="s">
        <v>18</v>
      </c>
      <c r="E89" s="2">
        <v>35714</v>
      </c>
      <c r="F89" t="s">
        <v>334</v>
      </c>
      <c r="G89" s="2">
        <v>44816</v>
      </c>
    </row>
    <row r="90" spans="1:7" x14ac:dyDescent="0.3">
      <c r="A90" t="s">
        <v>335</v>
      </c>
      <c r="B90" t="s">
        <v>336</v>
      </c>
      <c r="C90" t="s">
        <v>337</v>
      </c>
      <c r="D90" t="s">
        <v>18</v>
      </c>
      <c r="E90" s="2">
        <v>25396</v>
      </c>
      <c r="F90" t="s">
        <v>338</v>
      </c>
      <c r="G90" s="2">
        <v>44890</v>
      </c>
    </row>
    <row r="91" spans="1:7" x14ac:dyDescent="0.3">
      <c r="A91" t="s">
        <v>339</v>
      </c>
      <c r="B91" t="s">
        <v>340</v>
      </c>
      <c r="C91" t="s">
        <v>341</v>
      </c>
      <c r="D91" t="s">
        <v>10</v>
      </c>
      <c r="E91" s="2">
        <v>27624</v>
      </c>
      <c r="F91" t="s">
        <v>342</v>
      </c>
      <c r="G91" s="2">
        <v>44577</v>
      </c>
    </row>
    <row r="92" spans="1:7" x14ac:dyDescent="0.3">
      <c r="A92" t="s">
        <v>343</v>
      </c>
      <c r="B92" t="s">
        <v>344</v>
      </c>
      <c r="C92" t="s">
        <v>345</v>
      </c>
      <c r="D92" t="s">
        <v>10</v>
      </c>
      <c r="E92" s="2">
        <v>23046</v>
      </c>
      <c r="F92" t="s">
        <v>346</v>
      </c>
      <c r="G92" s="2">
        <v>44431</v>
      </c>
    </row>
    <row r="93" spans="1:7" x14ac:dyDescent="0.3">
      <c r="A93" t="s">
        <v>347</v>
      </c>
      <c r="B93" t="s">
        <v>348</v>
      </c>
      <c r="C93" t="s">
        <v>349</v>
      </c>
      <c r="D93" t="s">
        <v>18</v>
      </c>
      <c r="E93" s="2">
        <v>37223</v>
      </c>
      <c r="F93" t="s">
        <v>350</v>
      </c>
      <c r="G93" s="2">
        <v>45277</v>
      </c>
    </row>
    <row r="94" spans="1:7" x14ac:dyDescent="0.3">
      <c r="A94" t="s">
        <v>351</v>
      </c>
      <c r="B94" t="s">
        <v>352</v>
      </c>
      <c r="C94" t="s">
        <v>353</v>
      </c>
      <c r="D94" t="s">
        <v>10</v>
      </c>
      <c r="E94" s="2">
        <v>28594</v>
      </c>
      <c r="F94" t="s">
        <v>354</v>
      </c>
      <c r="G94" s="2">
        <v>44617</v>
      </c>
    </row>
    <row r="95" spans="1:7" x14ac:dyDescent="0.3">
      <c r="A95" t="s">
        <v>355</v>
      </c>
      <c r="B95" t="s">
        <v>138</v>
      </c>
      <c r="C95" t="s">
        <v>356</v>
      </c>
      <c r="D95" t="s">
        <v>10</v>
      </c>
      <c r="E95" s="2">
        <v>22937</v>
      </c>
      <c r="F95" t="s">
        <v>357</v>
      </c>
      <c r="G95" s="2">
        <v>45876</v>
      </c>
    </row>
    <row r="96" spans="1:7" x14ac:dyDescent="0.3">
      <c r="A96" t="s">
        <v>358</v>
      </c>
      <c r="B96" t="s">
        <v>359</v>
      </c>
      <c r="C96" t="s">
        <v>360</v>
      </c>
      <c r="D96" t="s">
        <v>10</v>
      </c>
      <c r="E96" s="2">
        <v>30183</v>
      </c>
      <c r="F96" t="s">
        <v>361</v>
      </c>
      <c r="G96" s="2">
        <v>44184</v>
      </c>
    </row>
    <row r="97" spans="1:7" x14ac:dyDescent="0.3">
      <c r="A97" t="s">
        <v>362</v>
      </c>
      <c r="B97" t="s">
        <v>267</v>
      </c>
      <c r="C97" t="s">
        <v>139</v>
      </c>
      <c r="D97" t="s">
        <v>10</v>
      </c>
      <c r="E97" s="2">
        <v>32514</v>
      </c>
      <c r="F97" t="s">
        <v>363</v>
      </c>
      <c r="G97" s="2">
        <v>44496</v>
      </c>
    </row>
    <row r="98" spans="1:7" x14ac:dyDescent="0.3">
      <c r="A98" t="s">
        <v>364</v>
      </c>
      <c r="B98" t="s">
        <v>365</v>
      </c>
      <c r="C98" t="s">
        <v>366</v>
      </c>
      <c r="D98" t="s">
        <v>10</v>
      </c>
      <c r="E98" s="2">
        <v>34560</v>
      </c>
      <c r="F98" t="s">
        <v>367</v>
      </c>
      <c r="G98" s="2">
        <v>45822</v>
      </c>
    </row>
    <row r="99" spans="1:7" x14ac:dyDescent="0.3">
      <c r="A99" t="s">
        <v>368</v>
      </c>
      <c r="B99" t="s">
        <v>369</v>
      </c>
      <c r="C99" t="s">
        <v>370</v>
      </c>
      <c r="D99" t="s">
        <v>18</v>
      </c>
      <c r="E99" s="2">
        <v>38361</v>
      </c>
      <c r="F99" t="s">
        <v>371</v>
      </c>
      <c r="G99" s="2">
        <v>45068</v>
      </c>
    </row>
    <row r="100" spans="1:7" x14ac:dyDescent="0.3">
      <c r="A100" t="s">
        <v>372</v>
      </c>
      <c r="B100" t="s">
        <v>138</v>
      </c>
      <c r="C100" t="s">
        <v>373</v>
      </c>
      <c r="D100" t="s">
        <v>10</v>
      </c>
      <c r="E100" s="2">
        <v>23580</v>
      </c>
      <c r="F100" t="s">
        <v>374</v>
      </c>
      <c r="G100" s="2">
        <v>44213</v>
      </c>
    </row>
    <row r="101" spans="1:7" x14ac:dyDescent="0.3">
      <c r="A101" t="s">
        <v>375</v>
      </c>
      <c r="B101" t="s">
        <v>376</v>
      </c>
      <c r="C101" t="s">
        <v>377</v>
      </c>
      <c r="D101" t="s">
        <v>18</v>
      </c>
      <c r="E101" s="2">
        <v>19995</v>
      </c>
      <c r="F101" t="s">
        <v>378</v>
      </c>
      <c r="G101" s="2">
        <v>45602</v>
      </c>
    </row>
    <row r="102" spans="1:7" x14ac:dyDescent="0.3">
      <c r="A102" t="s">
        <v>379</v>
      </c>
      <c r="B102" t="s">
        <v>336</v>
      </c>
      <c r="C102" t="s">
        <v>380</v>
      </c>
      <c r="D102" t="s">
        <v>18</v>
      </c>
      <c r="E102" s="2">
        <v>20604</v>
      </c>
      <c r="F102" t="s">
        <v>381</v>
      </c>
      <c r="G102" s="2">
        <v>45543</v>
      </c>
    </row>
    <row r="103" spans="1:7" x14ac:dyDescent="0.3">
      <c r="A103" t="s">
        <v>382</v>
      </c>
      <c r="B103" t="s">
        <v>383</v>
      </c>
      <c r="C103" t="s">
        <v>384</v>
      </c>
      <c r="D103" t="s">
        <v>18</v>
      </c>
      <c r="E103" s="2">
        <v>35236</v>
      </c>
      <c r="F103" t="s">
        <v>385</v>
      </c>
      <c r="G103" s="2">
        <v>45242</v>
      </c>
    </row>
    <row r="104" spans="1:7" x14ac:dyDescent="0.3">
      <c r="A104" t="s">
        <v>386</v>
      </c>
      <c r="B104" t="s">
        <v>387</v>
      </c>
      <c r="C104" t="s">
        <v>388</v>
      </c>
      <c r="D104" t="s">
        <v>18</v>
      </c>
      <c r="E104" s="2">
        <v>23676</v>
      </c>
      <c r="F104" t="s">
        <v>389</v>
      </c>
      <c r="G104" s="2">
        <v>44351</v>
      </c>
    </row>
    <row r="105" spans="1:7" x14ac:dyDescent="0.3">
      <c r="A105" t="s">
        <v>390</v>
      </c>
      <c r="B105" t="s">
        <v>332</v>
      </c>
      <c r="C105" t="s">
        <v>391</v>
      </c>
      <c r="D105" t="s">
        <v>10</v>
      </c>
      <c r="E105" s="2">
        <v>23821</v>
      </c>
      <c r="F105" t="s">
        <v>392</v>
      </c>
      <c r="G105" s="2">
        <v>45308</v>
      </c>
    </row>
    <row r="106" spans="1:7" x14ac:dyDescent="0.3">
      <c r="A106" t="s">
        <v>393</v>
      </c>
      <c r="B106" t="s">
        <v>168</v>
      </c>
      <c r="C106" t="s">
        <v>394</v>
      </c>
      <c r="D106" t="s">
        <v>10</v>
      </c>
      <c r="E106" s="2">
        <v>25566</v>
      </c>
      <c r="F106" t="s">
        <v>395</v>
      </c>
      <c r="G106" s="2">
        <v>45113</v>
      </c>
    </row>
    <row r="107" spans="1:7" x14ac:dyDescent="0.3">
      <c r="A107" t="s">
        <v>396</v>
      </c>
      <c r="B107" t="s">
        <v>359</v>
      </c>
      <c r="C107" t="s">
        <v>397</v>
      </c>
      <c r="D107" t="s">
        <v>18</v>
      </c>
      <c r="E107" s="2">
        <v>31890</v>
      </c>
      <c r="F107" t="s">
        <v>398</v>
      </c>
      <c r="G107" s="2">
        <v>45694</v>
      </c>
    </row>
    <row r="108" spans="1:7" x14ac:dyDescent="0.3">
      <c r="A108" t="s">
        <v>399</v>
      </c>
      <c r="B108" t="s">
        <v>400</v>
      </c>
      <c r="C108" t="s">
        <v>401</v>
      </c>
      <c r="D108" t="s">
        <v>18</v>
      </c>
      <c r="E108" s="2">
        <v>34980</v>
      </c>
      <c r="F108" t="s">
        <v>402</v>
      </c>
      <c r="G108" s="2">
        <v>45124</v>
      </c>
    </row>
    <row r="109" spans="1:7" x14ac:dyDescent="0.3">
      <c r="A109" t="s">
        <v>403</v>
      </c>
      <c r="B109" t="s">
        <v>404</v>
      </c>
      <c r="C109" t="s">
        <v>405</v>
      </c>
      <c r="D109" t="s">
        <v>10</v>
      </c>
      <c r="E109" s="2">
        <v>22241</v>
      </c>
      <c r="F109" t="s">
        <v>406</v>
      </c>
      <c r="G109" s="2">
        <v>44720</v>
      </c>
    </row>
    <row r="110" spans="1:7" x14ac:dyDescent="0.3">
      <c r="A110" t="s">
        <v>407</v>
      </c>
      <c r="B110" t="s">
        <v>408</v>
      </c>
      <c r="C110" t="s">
        <v>409</v>
      </c>
      <c r="D110" t="s">
        <v>18</v>
      </c>
      <c r="E110" s="2">
        <v>38779</v>
      </c>
      <c r="F110" t="s">
        <v>410</v>
      </c>
      <c r="G110" s="2">
        <v>44406</v>
      </c>
    </row>
    <row r="111" spans="1:7" x14ac:dyDescent="0.3">
      <c r="A111" t="s">
        <v>411</v>
      </c>
      <c r="B111" t="s">
        <v>412</v>
      </c>
      <c r="C111" t="s">
        <v>413</v>
      </c>
      <c r="D111" t="s">
        <v>18</v>
      </c>
      <c r="E111" s="2">
        <v>24112</v>
      </c>
      <c r="F111" t="s">
        <v>414</v>
      </c>
      <c r="G111" s="2">
        <v>44926</v>
      </c>
    </row>
    <row r="112" spans="1:7" x14ac:dyDescent="0.3">
      <c r="A112" t="s">
        <v>415</v>
      </c>
      <c r="B112" t="s">
        <v>416</v>
      </c>
      <c r="C112" t="s">
        <v>417</v>
      </c>
      <c r="D112" t="s">
        <v>10</v>
      </c>
      <c r="E112" s="2">
        <v>34163</v>
      </c>
      <c r="F112" t="s">
        <v>418</v>
      </c>
      <c r="G112" s="2">
        <v>44573</v>
      </c>
    </row>
    <row r="113" spans="1:7" x14ac:dyDescent="0.3">
      <c r="A113" t="s">
        <v>419</v>
      </c>
      <c r="B113" t="s">
        <v>420</v>
      </c>
      <c r="C113" t="s">
        <v>79</v>
      </c>
      <c r="D113" t="s">
        <v>18</v>
      </c>
      <c r="E113" s="2">
        <v>30679</v>
      </c>
      <c r="F113" t="s">
        <v>421</v>
      </c>
      <c r="G113" s="2">
        <v>45006</v>
      </c>
    </row>
    <row r="114" spans="1:7" x14ac:dyDescent="0.3">
      <c r="A114" t="s">
        <v>422</v>
      </c>
      <c r="B114" t="s">
        <v>423</v>
      </c>
      <c r="C114" t="s">
        <v>424</v>
      </c>
      <c r="D114" t="s">
        <v>10</v>
      </c>
      <c r="E114" s="2">
        <v>28268</v>
      </c>
      <c r="F114" t="s">
        <v>425</v>
      </c>
      <c r="G114" s="2">
        <v>44926</v>
      </c>
    </row>
    <row r="115" spans="1:7" x14ac:dyDescent="0.3">
      <c r="A115" t="s">
        <v>426</v>
      </c>
      <c r="B115" t="s">
        <v>145</v>
      </c>
      <c r="C115" t="s">
        <v>427</v>
      </c>
      <c r="D115" t="s">
        <v>18</v>
      </c>
      <c r="E115" s="2">
        <v>29406</v>
      </c>
      <c r="F115" t="s">
        <v>428</v>
      </c>
      <c r="G115" s="2">
        <v>45892</v>
      </c>
    </row>
    <row r="116" spans="1:7" x14ac:dyDescent="0.3">
      <c r="A116" t="s">
        <v>429</v>
      </c>
      <c r="B116" t="s">
        <v>430</v>
      </c>
      <c r="C116" t="s">
        <v>79</v>
      </c>
      <c r="D116" t="s">
        <v>10</v>
      </c>
      <c r="E116" s="2">
        <v>21971</v>
      </c>
      <c r="F116" t="s">
        <v>431</v>
      </c>
      <c r="G116" s="2">
        <v>45242</v>
      </c>
    </row>
    <row r="117" spans="1:7" x14ac:dyDescent="0.3">
      <c r="A117" t="s">
        <v>432</v>
      </c>
      <c r="B117" t="s">
        <v>25</v>
      </c>
      <c r="C117" t="s">
        <v>433</v>
      </c>
      <c r="D117" t="s">
        <v>10</v>
      </c>
      <c r="E117" s="2">
        <v>20358</v>
      </c>
      <c r="F117" t="s">
        <v>434</v>
      </c>
      <c r="G117" s="2">
        <v>45869</v>
      </c>
    </row>
    <row r="118" spans="1:7" x14ac:dyDescent="0.3">
      <c r="A118" t="s">
        <v>435</v>
      </c>
      <c r="B118" t="s">
        <v>436</v>
      </c>
      <c r="C118" t="s">
        <v>132</v>
      </c>
      <c r="D118" t="s">
        <v>18</v>
      </c>
      <c r="E118" s="2">
        <v>32027</v>
      </c>
      <c r="F118" t="s">
        <v>437</v>
      </c>
      <c r="G118" s="2">
        <v>44913</v>
      </c>
    </row>
    <row r="119" spans="1:7" x14ac:dyDescent="0.3">
      <c r="A119" t="s">
        <v>438</v>
      </c>
      <c r="B119" t="s">
        <v>439</v>
      </c>
      <c r="C119" t="s">
        <v>440</v>
      </c>
      <c r="D119" t="s">
        <v>10</v>
      </c>
      <c r="E119" s="2">
        <v>27633</v>
      </c>
      <c r="F119" t="s">
        <v>441</v>
      </c>
      <c r="G119" s="2">
        <v>45850</v>
      </c>
    </row>
    <row r="120" spans="1:7" x14ac:dyDescent="0.3">
      <c r="A120" t="s">
        <v>442</v>
      </c>
      <c r="B120" t="s">
        <v>251</v>
      </c>
      <c r="C120" t="s">
        <v>443</v>
      </c>
      <c r="D120" t="s">
        <v>10</v>
      </c>
      <c r="E120" s="2">
        <v>33450</v>
      </c>
      <c r="F120" t="s">
        <v>444</v>
      </c>
      <c r="G120" s="2">
        <v>45747</v>
      </c>
    </row>
    <row r="121" spans="1:7" x14ac:dyDescent="0.3">
      <c r="A121" t="s">
        <v>445</v>
      </c>
      <c r="B121" t="s">
        <v>446</v>
      </c>
      <c r="C121" t="s">
        <v>447</v>
      </c>
      <c r="D121" t="s">
        <v>18</v>
      </c>
      <c r="E121" s="2">
        <v>23386</v>
      </c>
      <c r="F121" t="s">
        <v>448</v>
      </c>
      <c r="G121" s="2">
        <v>44122</v>
      </c>
    </row>
    <row r="122" spans="1:7" x14ac:dyDescent="0.3">
      <c r="A122" t="s">
        <v>449</v>
      </c>
      <c r="B122" t="s">
        <v>78</v>
      </c>
      <c r="C122" t="s">
        <v>450</v>
      </c>
      <c r="D122" t="s">
        <v>10</v>
      </c>
      <c r="E122" s="2">
        <v>24531</v>
      </c>
      <c r="F122" t="s">
        <v>451</v>
      </c>
      <c r="G122" s="2">
        <v>44480</v>
      </c>
    </row>
    <row r="123" spans="1:7" x14ac:dyDescent="0.3">
      <c r="A123" t="s">
        <v>452</v>
      </c>
      <c r="B123" t="s">
        <v>311</v>
      </c>
      <c r="C123" t="s">
        <v>79</v>
      </c>
      <c r="D123" t="s">
        <v>10</v>
      </c>
      <c r="E123" s="2">
        <v>22556</v>
      </c>
      <c r="F123" t="s">
        <v>453</v>
      </c>
      <c r="G123" s="2">
        <v>45467</v>
      </c>
    </row>
    <row r="124" spans="1:7" x14ac:dyDescent="0.3">
      <c r="A124" t="s">
        <v>454</v>
      </c>
      <c r="B124" t="s">
        <v>455</v>
      </c>
      <c r="C124" t="s">
        <v>456</v>
      </c>
      <c r="D124" t="s">
        <v>18</v>
      </c>
      <c r="E124" s="2">
        <v>32818</v>
      </c>
      <c r="F124" t="s">
        <v>457</v>
      </c>
      <c r="G124" s="2">
        <v>44718</v>
      </c>
    </row>
    <row r="125" spans="1:7" x14ac:dyDescent="0.3">
      <c r="A125" t="s">
        <v>458</v>
      </c>
      <c r="B125" t="s">
        <v>459</v>
      </c>
      <c r="C125" t="s">
        <v>460</v>
      </c>
      <c r="D125" t="s">
        <v>18</v>
      </c>
      <c r="E125" s="2">
        <v>22804</v>
      </c>
      <c r="F125" t="s">
        <v>461</v>
      </c>
      <c r="G125" s="2">
        <v>44237</v>
      </c>
    </row>
    <row r="126" spans="1:7" x14ac:dyDescent="0.3">
      <c r="A126" t="s">
        <v>462</v>
      </c>
      <c r="B126" t="s">
        <v>138</v>
      </c>
      <c r="C126" t="s">
        <v>172</v>
      </c>
      <c r="D126" t="s">
        <v>10</v>
      </c>
      <c r="E126" s="2">
        <v>32966</v>
      </c>
      <c r="F126" t="s">
        <v>463</v>
      </c>
      <c r="G126" s="2">
        <v>44269</v>
      </c>
    </row>
    <row r="127" spans="1:7" x14ac:dyDescent="0.3">
      <c r="A127" t="s">
        <v>464</v>
      </c>
      <c r="B127" t="s">
        <v>465</v>
      </c>
      <c r="C127" t="s">
        <v>69</v>
      </c>
      <c r="D127" t="s">
        <v>10</v>
      </c>
      <c r="E127" s="2">
        <v>29315</v>
      </c>
      <c r="F127" t="s">
        <v>466</v>
      </c>
      <c r="G127" s="2">
        <v>45654</v>
      </c>
    </row>
    <row r="128" spans="1:7" x14ac:dyDescent="0.3">
      <c r="A128" t="s">
        <v>467</v>
      </c>
      <c r="B128" t="s">
        <v>78</v>
      </c>
      <c r="C128" t="s">
        <v>169</v>
      </c>
      <c r="D128" t="s">
        <v>18</v>
      </c>
      <c r="E128" s="2">
        <v>30272</v>
      </c>
      <c r="F128" t="s">
        <v>468</v>
      </c>
      <c r="G128" s="2">
        <v>44218</v>
      </c>
    </row>
    <row r="129" spans="1:7" x14ac:dyDescent="0.3">
      <c r="A129" t="s">
        <v>469</v>
      </c>
      <c r="B129" t="s">
        <v>56</v>
      </c>
      <c r="C129" t="s">
        <v>470</v>
      </c>
      <c r="D129" t="s">
        <v>18</v>
      </c>
      <c r="E129" s="2">
        <v>27978</v>
      </c>
      <c r="F129" t="s">
        <v>471</v>
      </c>
      <c r="G129" s="2">
        <v>45697</v>
      </c>
    </row>
    <row r="130" spans="1:7" x14ac:dyDescent="0.3">
      <c r="A130" t="s">
        <v>472</v>
      </c>
      <c r="B130" t="s">
        <v>473</v>
      </c>
      <c r="C130" t="s">
        <v>474</v>
      </c>
      <c r="D130" t="s">
        <v>10</v>
      </c>
      <c r="E130" s="2">
        <v>21466</v>
      </c>
      <c r="F130" t="s">
        <v>475</v>
      </c>
      <c r="G130" s="2">
        <v>45636</v>
      </c>
    </row>
    <row r="131" spans="1:7" x14ac:dyDescent="0.3">
      <c r="A131" t="s">
        <v>476</v>
      </c>
      <c r="B131" t="s">
        <v>477</v>
      </c>
      <c r="C131" t="s">
        <v>478</v>
      </c>
      <c r="D131" t="s">
        <v>10</v>
      </c>
      <c r="E131" s="2">
        <v>29985</v>
      </c>
      <c r="F131" t="s">
        <v>479</v>
      </c>
      <c r="G131" s="2">
        <v>45488</v>
      </c>
    </row>
    <row r="132" spans="1:7" x14ac:dyDescent="0.3">
      <c r="A132" t="s">
        <v>480</v>
      </c>
      <c r="B132" t="s">
        <v>271</v>
      </c>
      <c r="C132" t="s">
        <v>481</v>
      </c>
      <c r="D132" t="s">
        <v>10</v>
      </c>
      <c r="E132" s="2">
        <v>35356</v>
      </c>
      <c r="F132" t="s">
        <v>482</v>
      </c>
      <c r="G132" s="2">
        <v>44915</v>
      </c>
    </row>
    <row r="133" spans="1:7" x14ac:dyDescent="0.3">
      <c r="A133" t="s">
        <v>483</v>
      </c>
      <c r="B133" t="s">
        <v>484</v>
      </c>
      <c r="C133" t="s">
        <v>485</v>
      </c>
      <c r="D133" t="s">
        <v>10</v>
      </c>
      <c r="E133" s="2">
        <v>21543</v>
      </c>
      <c r="F133" t="s">
        <v>486</v>
      </c>
      <c r="G133" s="2">
        <v>45035</v>
      </c>
    </row>
    <row r="134" spans="1:7" x14ac:dyDescent="0.3">
      <c r="A134" t="s">
        <v>487</v>
      </c>
      <c r="B134" t="s">
        <v>488</v>
      </c>
      <c r="C134" t="s">
        <v>489</v>
      </c>
      <c r="D134" t="s">
        <v>10</v>
      </c>
      <c r="E134" s="2">
        <v>22750</v>
      </c>
      <c r="F134" t="s">
        <v>490</v>
      </c>
      <c r="G134" s="2">
        <v>45831</v>
      </c>
    </row>
    <row r="135" spans="1:7" x14ac:dyDescent="0.3">
      <c r="A135" t="s">
        <v>491</v>
      </c>
      <c r="B135" t="s">
        <v>492</v>
      </c>
      <c r="C135" t="s">
        <v>377</v>
      </c>
      <c r="D135" t="s">
        <v>18</v>
      </c>
      <c r="E135" s="2">
        <v>31076</v>
      </c>
      <c r="F135" t="s">
        <v>493</v>
      </c>
      <c r="G135" s="2">
        <v>45799</v>
      </c>
    </row>
    <row r="136" spans="1:7" x14ac:dyDescent="0.3">
      <c r="A136" t="s">
        <v>494</v>
      </c>
      <c r="B136" t="s">
        <v>495</v>
      </c>
      <c r="C136" t="s">
        <v>496</v>
      </c>
      <c r="D136" t="s">
        <v>10</v>
      </c>
      <c r="E136" s="2">
        <v>31478</v>
      </c>
      <c r="F136" t="s">
        <v>497</v>
      </c>
      <c r="G136" s="2">
        <v>45172</v>
      </c>
    </row>
    <row r="137" spans="1:7" x14ac:dyDescent="0.3">
      <c r="A137" t="s">
        <v>498</v>
      </c>
      <c r="B137" t="s">
        <v>244</v>
      </c>
      <c r="C137" t="s">
        <v>304</v>
      </c>
      <c r="D137" t="s">
        <v>10</v>
      </c>
      <c r="E137" s="2">
        <v>39260</v>
      </c>
      <c r="F137" t="s">
        <v>499</v>
      </c>
      <c r="G137" s="2">
        <v>45038</v>
      </c>
    </row>
    <row r="138" spans="1:7" x14ac:dyDescent="0.3">
      <c r="A138" t="s">
        <v>500</v>
      </c>
      <c r="B138" t="s">
        <v>473</v>
      </c>
      <c r="C138" t="s">
        <v>501</v>
      </c>
      <c r="D138" t="s">
        <v>10</v>
      </c>
      <c r="E138" s="2">
        <v>30899</v>
      </c>
      <c r="F138" t="s">
        <v>502</v>
      </c>
      <c r="G138" s="2">
        <v>45421</v>
      </c>
    </row>
    <row r="139" spans="1:7" x14ac:dyDescent="0.3">
      <c r="A139" t="s">
        <v>503</v>
      </c>
      <c r="B139" t="s">
        <v>75</v>
      </c>
      <c r="C139" t="s">
        <v>30</v>
      </c>
      <c r="D139" t="s">
        <v>18</v>
      </c>
      <c r="E139" s="2">
        <v>22552</v>
      </c>
      <c r="F139" t="s">
        <v>504</v>
      </c>
      <c r="G139" s="2">
        <v>44326</v>
      </c>
    </row>
    <row r="140" spans="1:7" x14ac:dyDescent="0.3">
      <c r="A140" t="s">
        <v>505</v>
      </c>
      <c r="B140" t="s">
        <v>506</v>
      </c>
      <c r="C140" t="s">
        <v>507</v>
      </c>
      <c r="D140" t="s">
        <v>10</v>
      </c>
      <c r="E140" s="2">
        <v>21996</v>
      </c>
      <c r="F140" t="s">
        <v>508</v>
      </c>
      <c r="G140" s="2">
        <v>44455</v>
      </c>
    </row>
    <row r="141" spans="1:7" x14ac:dyDescent="0.3">
      <c r="A141" t="s">
        <v>509</v>
      </c>
      <c r="B141" t="s">
        <v>510</v>
      </c>
      <c r="C141" t="s">
        <v>38</v>
      </c>
      <c r="D141" t="s">
        <v>18</v>
      </c>
      <c r="E141" s="2">
        <v>26827</v>
      </c>
      <c r="F141" t="s">
        <v>511</v>
      </c>
      <c r="G141" s="2">
        <v>45532</v>
      </c>
    </row>
    <row r="142" spans="1:7" x14ac:dyDescent="0.3">
      <c r="A142" t="s">
        <v>512</v>
      </c>
      <c r="B142" t="s">
        <v>513</v>
      </c>
      <c r="C142" t="s">
        <v>514</v>
      </c>
      <c r="D142" t="s">
        <v>18</v>
      </c>
      <c r="E142" s="2">
        <v>28708</v>
      </c>
      <c r="F142" t="s">
        <v>515</v>
      </c>
      <c r="G142" s="2">
        <v>45298</v>
      </c>
    </row>
    <row r="143" spans="1:7" x14ac:dyDescent="0.3">
      <c r="A143" t="s">
        <v>516</v>
      </c>
      <c r="B143" t="s">
        <v>517</v>
      </c>
      <c r="C143" t="s">
        <v>518</v>
      </c>
      <c r="D143" t="s">
        <v>10</v>
      </c>
      <c r="E143" s="2">
        <v>38558</v>
      </c>
      <c r="F143" t="s">
        <v>519</v>
      </c>
      <c r="G143" s="2">
        <v>44192</v>
      </c>
    </row>
    <row r="144" spans="1:7" x14ac:dyDescent="0.3">
      <c r="A144" t="s">
        <v>520</v>
      </c>
      <c r="B144" t="s">
        <v>521</v>
      </c>
      <c r="C144" t="s">
        <v>522</v>
      </c>
      <c r="D144" t="s">
        <v>10</v>
      </c>
      <c r="E144" s="2">
        <v>22435</v>
      </c>
      <c r="F144" t="s">
        <v>523</v>
      </c>
      <c r="G144" s="2">
        <v>45087</v>
      </c>
    </row>
    <row r="145" spans="1:7" x14ac:dyDescent="0.3">
      <c r="A145" t="s">
        <v>524</v>
      </c>
      <c r="B145" t="s">
        <v>525</v>
      </c>
      <c r="C145" t="s">
        <v>69</v>
      </c>
      <c r="D145" t="s">
        <v>18</v>
      </c>
      <c r="E145" s="2">
        <v>23256</v>
      </c>
      <c r="F145" t="s">
        <v>526</v>
      </c>
      <c r="G145" s="2">
        <v>44258</v>
      </c>
    </row>
    <row r="146" spans="1:7" x14ac:dyDescent="0.3">
      <c r="A146" t="s">
        <v>527</v>
      </c>
      <c r="B146" t="s">
        <v>528</v>
      </c>
      <c r="C146" t="s">
        <v>529</v>
      </c>
      <c r="D146" t="s">
        <v>18</v>
      </c>
      <c r="E146" s="2">
        <v>21861</v>
      </c>
      <c r="F146" t="s">
        <v>530</v>
      </c>
      <c r="G146" s="2">
        <v>44427</v>
      </c>
    </row>
    <row r="147" spans="1:7" x14ac:dyDescent="0.3">
      <c r="A147" t="s">
        <v>531</v>
      </c>
      <c r="B147" t="s">
        <v>78</v>
      </c>
      <c r="C147" t="s">
        <v>69</v>
      </c>
      <c r="D147" t="s">
        <v>18</v>
      </c>
      <c r="E147" s="2">
        <v>35515</v>
      </c>
      <c r="F147" t="s">
        <v>532</v>
      </c>
      <c r="G147" s="2">
        <v>44804</v>
      </c>
    </row>
    <row r="148" spans="1:7" x14ac:dyDescent="0.3">
      <c r="A148" t="s">
        <v>533</v>
      </c>
      <c r="B148" t="s">
        <v>211</v>
      </c>
      <c r="C148" t="s">
        <v>534</v>
      </c>
      <c r="D148" t="s">
        <v>18</v>
      </c>
      <c r="E148" s="2">
        <v>24506</v>
      </c>
      <c r="F148" t="s">
        <v>535</v>
      </c>
      <c r="G148" s="2">
        <v>45066</v>
      </c>
    </row>
    <row r="149" spans="1:7" x14ac:dyDescent="0.3">
      <c r="A149" t="s">
        <v>536</v>
      </c>
      <c r="B149" t="s">
        <v>78</v>
      </c>
      <c r="C149" t="s">
        <v>537</v>
      </c>
      <c r="D149" t="s">
        <v>18</v>
      </c>
      <c r="E149" s="2">
        <v>38541</v>
      </c>
      <c r="F149" t="s">
        <v>538</v>
      </c>
      <c r="G149" s="2">
        <v>45601</v>
      </c>
    </row>
    <row r="150" spans="1:7" x14ac:dyDescent="0.3">
      <c r="A150" t="s">
        <v>539</v>
      </c>
      <c r="B150" t="s">
        <v>160</v>
      </c>
      <c r="C150" t="s">
        <v>540</v>
      </c>
      <c r="D150" t="s">
        <v>10</v>
      </c>
      <c r="E150" s="2">
        <v>28514</v>
      </c>
      <c r="F150" t="s">
        <v>541</v>
      </c>
      <c r="G150" s="2">
        <v>45779</v>
      </c>
    </row>
    <row r="151" spans="1:7" x14ac:dyDescent="0.3">
      <c r="A151" t="s">
        <v>542</v>
      </c>
      <c r="B151" t="s">
        <v>543</v>
      </c>
      <c r="C151" t="s">
        <v>204</v>
      </c>
      <c r="D151" t="s">
        <v>10</v>
      </c>
      <c r="E151" s="2">
        <v>26101</v>
      </c>
      <c r="F151" t="s">
        <v>544</v>
      </c>
      <c r="G151" s="2">
        <v>44841</v>
      </c>
    </row>
    <row r="152" spans="1:7" x14ac:dyDescent="0.3">
      <c r="A152" t="s">
        <v>545</v>
      </c>
      <c r="B152" t="s">
        <v>546</v>
      </c>
      <c r="C152" t="s">
        <v>547</v>
      </c>
      <c r="D152" t="s">
        <v>10</v>
      </c>
      <c r="E152" s="2">
        <v>38959</v>
      </c>
      <c r="F152" t="s">
        <v>548</v>
      </c>
      <c r="G152" s="2">
        <v>44587</v>
      </c>
    </row>
    <row r="153" spans="1:7" x14ac:dyDescent="0.3">
      <c r="A153" t="s">
        <v>549</v>
      </c>
      <c r="B153" t="s">
        <v>60</v>
      </c>
      <c r="C153" t="s">
        <v>61</v>
      </c>
      <c r="D153" t="s">
        <v>10</v>
      </c>
      <c r="E153" s="2">
        <v>31945</v>
      </c>
      <c r="F153" t="s">
        <v>550</v>
      </c>
      <c r="G153" s="2">
        <v>44261</v>
      </c>
    </row>
    <row r="154" spans="1:7" x14ac:dyDescent="0.3">
      <c r="A154" t="s">
        <v>551</v>
      </c>
      <c r="B154" t="s">
        <v>152</v>
      </c>
      <c r="C154" t="s">
        <v>552</v>
      </c>
      <c r="D154" t="s">
        <v>18</v>
      </c>
      <c r="E154" s="2">
        <v>32240</v>
      </c>
      <c r="F154" t="s">
        <v>553</v>
      </c>
      <c r="G154" s="2">
        <v>44962</v>
      </c>
    </row>
    <row r="155" spans="1:7" x14ac:dyDescent="0.3">
      <c r="A155" t="s">
        <v>554</v>
      </c>
      <c r="B155" t="s">
        <v>369</v>
      </c>
      <c r="C155" t="s">
        <v>95</v>
      </c>
      <c r="D155" t="s">
        <v>10</v>
      </c>
      <c r="E155" s="2">
        <v>26178</v>
      </c>
      <c r="F155" t="s">
        <v>555</v>
      </c>
      <c r="G155" s="2">
        <v>45251</v>
      </c>
    </row>
    <row r="156" spans="1:7" x14ac:dyDescent="0.3">
      <c r="A156" t="s">
        <v>556</v>
      </c>
      <c r="B156" t="s">
        <v>557</v>
      </c>
      <c r="C156" t="s">
        <v>558</v>
      </c>
      <c r="D156" t="s">
        <v>10</v>
      </c>
      <c r="E156" s="2">
        <v>24005</v>
      </c>
      <c r="F156" t="s">
        <v>559</v>
      </c>
      <c r="G156" s="2">
        <v>45374</v>
      </c>
    </row>
    <row r="157" spans="1:7" x14ac:dyDescent="0.3">
      <c r="A157" t="s">
        <v>560</v>
      </c>
      <c r="B157" t="s">
        <v>561</v>
      </c>
      <c r="C157" t="s">
        <v>296</v>
      </c>
      <c r="D157" t="s">
        <v>10</v>
      </c>
      <c r="E157" s="2">
        <v>20787</v>
      </c>
      <c r="F157" t="s">
        <v>562</v>
      </c>
      <c r="G157" s="2">
        <v>45295</v>
      </c>
    </row>
    <row r="158" spans="1:7" x14ac:dyDescent="0.3">
      <c r="A158" t="s">
        <v>563</v>
      </c>
      <c r="B158" t="s">
        <v>564</v>
      </c>
      <c r="C158" t="s">
        <v>565</v>
      </c>
      <c r="D158" t="s">
        <v>10</v>
      </c>
      <c r="E158" s="2">
        <v>24092</v>
      </c>
      <c r="F158" t="s">
        <v>566</v>
      </c>
      <c r="G158" s="2">
        <v>44917</v>
      </c>
    </row>
    <row r="159" spans="1:7" x14ac:dyDescent="0.3">
      <c r="A159" t="s">
        <v>567</v>
      </c>
      <c r="B159" t="s">
        <v>211</v>
      </c>
      <c r="C159" t="s">
        <v>568</v>
      </c>
      <c r="D159" t="s">
        <v>10</v>
      </c>
      <c r="E159" s="2">
        <v>29791</v>
      </c>
      <c r="F159" t="s">
        <v>569</v>
      </c>
      <c r="G159" s="2">
        <v>45184</v>
      </c>
    </row>
    <row r="160" spans="1:7" x14ac:dyDescent="0.3">
      <c r="A160" t="s">
        <v>570</v>
      </c>
      <c r="B160" t="s">
        <v>571</v>
      </c>
      <c r="C160" t="s">
        <v>572</v>
      </c>
      <c r="D160" t="s">
        <v>10</v>
      </c>
      <c r="E160" s="2">
        <v>33160</v>
      </c>
      <c r="F160" t="s">
        <v>573</v>
      </c>
      <c r="G160" s="2">
        <v>44587</v>
      </c>
    </row>
    <row r="161" spans="1:7" x14ac:dyDescent="0.3">
      <c r="A161" t="s">
        <v>574</v>
      </c>
      <c r="B161" t="s">
        <v>575</v>
      </c>
      <c r="C161" t="s">
        <v>107</v>
      </c>
      <c r="D161" t="s">
        <v>10</v>
      </c>
      <c r="E161" s="2">
        <v>33491</v>
      </c>
      <c r="F161" t="s">
        <v>576</v>
      </c>
      <c r="G161" s="2">
        <v>44496</v>
      </c>
    </row>
    <row r="162" spans="1:7" x14ac:dyDescent="0.3">
      <c r="A162" t="s">
        <v>577</v>
      </c>
      <c r="B162" t="s">
        <v>8</v>
      </c>
      <c r="C162" t="s">
        <v>384</v>
      </c>
      <c r="D162" t="s">
        <v>10</v>
      </c>
      <c r="E162" s="2">
        <v>23030</v>
      </c>
      <c r="F162" t="s">
        <v>578</v>
      </c>
      <c r="G162" s="2">
        <v>44957</v>
      </c>
    </row>
    <row r="163" spans="1:7" x14ac:dyDescent="0.3">
      <c r="A163" t="s">
        <v>579</v>
      </c>
      <c r="B163" t="s">
        <v>557</v>
      </c>
      <c r="C163" t="s">
        <v>580</v>
      </c>
      <c r="D163" t="s">
        <v>10</v>
      </c>
      <c r="E163" s="2">
        <v>36768</v>
      </c>
      <c r="F163" t="s">
        <v>581</v>
      </c>
      <c r="G163" s="2">
        <v>44715</v>
      </c>
    </row>
    <row r="164" spans="1:7" x14ac:dyDescent="0.3">
      <c r="A164" t="s">
        <v>582</v>
      </c>
      <c r="B164" t="s">
        <v>33</v>
      </c>
      <c r="C164" t="s">
        <v>583</v>
      </c>
      <c r="D164" t="s">
        <v>18</v>
      </c>
      <c r="E164" s="2">
        <v>31328</v>
      </c>
      <c r="F164" t="s">
        <v>584</v>
      </c>
      <c r="G164" s="2">
        <v>45889</v>
      </c>
    </row>
    <row r="165" spans="1:7" x14ac:dyDescent="0.3">
      <c r="A165" t="s">
        <v>585</v>
      </c>
      <c r="B165" t="s">
        <v>586</v>
      </c>
      <c r="C165" t="s">
        <v>587</v>
      </c>
      <c r="D165" t="s">
        <v>10</v>
      </c>
      <c r="E165" s="2">
        <v>25047</v>
      </c>
      <c r="F165" t="s">
        <v>588</v>
      </c>
      <c r="G165" s="2">
        <v>44186</v>
      </c>
    </row>
    <row r="166" spans="1:7" x14ac:dyDescent="0.3">
      <c r="A166" t="s">
        <v>589</v>
      </c>
      <c r="B166" t="s">
        <v>590</v>
      </c>
      <c r="C166" t="s">
        <v>591</v>
      </c>
      <c r="D166" t="s">
        <v>10</v>
      </c>
      <c r="E166" s="2">
        <v>26659</v>
      </c>
      <c r="F166" t="s">
        <v>592</v>
      </c>
      <c r="G166" s="2">
        <v>45265</v>
      </c>
    </row>
    <row r="167" spans="1:7" x14ac:dyDescent="0.3">
      <c r="A167" t="s">
        <v>593</v>
      </c>
      <c r="B167" t="s">
        <v>575</v>
      </c>
      <c r="C167" t="s">
        <v>594</v>
      </c>
      <c r="D167" t="s">
        <v>18</v>
      </c>
      <c r="E167" s="2">
        <v>37024</v>
      </c>
      <c r="F167" t="s">
        <v>595</v>
      </c>
      <c r="G167" s="2">
        <v>45117</v>
      </c>
    </row>
    <row r="168" spans="1:7" x14ac:dyDescent="0.3">
      <c r="A168" t="s">
        <v>596</v>
      </c>
      <c r="B168" t="s">
        <v>138</v>
      </c>
      <c r="C168" t="s">
        <v>597</v>
      </c>
      <c r="D168" t="s">
        <v>18</v>
      </c>
      <c r="E168" s="2">
        <v>32848</v>
      </c>
      <c r="F168" t="s">
        <v>598</v>
      </c>
      <c r="G168" s="2">
        <v>44709</v>
      </c>
    </row>
    <row r="169" spans="1:7" x14ac:dyDescent="0.3">
      <c r="A169" t="s">
        <v>599</v>
      </c>
      <c r="B169" t="s">
        <v>41</v>
      </c>
      <c r="C169" t="s">
        <v>373</v>
      </c>
      <c r="D169" t="s">
        <v>10</v>
      </c>
      <c r="E169" s="2">
        <v>25414</v>
      </c>
      <c r="F169" t="s">
        <v>600</v>
      </c>
      <c r="G169" s="2">
        <v>44835</v>
      </c>
    </row>
    <row r="170" spans="1:7" x14ac:dyDescent="0.3">
      <c r="A170" t="s">
        <v>601</v>
      </c>
      <c r="B170" t="s">
        <v>412</v>
      </c>
      <c r="C170" t="s">
        <v>602</v>
      </c>
      <c r="D170" t="s">
        <v>10</v>
      </c>
      <c r="E170" s="2">
        <v>24638</v>
      </c>
      <c r="F170" t="s">
        <v>603</v>
      </c>
      <c r="G170" s="2">
        <v>44553</v>
      </c>
    </row>
    <row r="171" spans="1:7" x14ac:dyDescent="0.3">
      <c r="A171" t="s">
        <v>604</v>
      </c>
      <c r="B171" t="s">
        <v>605</v>
      </c>
      <c r="C171" t="s">
        <v>606</v>
      </c>
      <c r="D171" t="s">
        <v>18</v>
      </c>
      <c r="E171" s="2">
        <v>30807</v>
      </c>
      <c r="F171" t="s">
        <v>607</v>
      </c>
      <c r="G171" s="2">
        <v>45889</v>
      </c>
    </row>
    <row r="172" spans="1:7" x14ac:dyDescent="0.3">
      <c r="A172" t="s">
        <v>608</v>
      </c>
      <c r="B172" t="s">
        <v>609</v>
      </c>
      <c r="C172" t="s">
        <v>610</v>
      </c>
      <c r="D172" t="s">
        <v>10</v>
      </c>
      <c r="E172" s="2">
        <v>34043</v>
      </c>
      <c r="F172" t="s">
        <v>611</v>
      </c>
      <c r="G172" s="2">
        <v>45866</v>
      </c>
    </row>
    <row r="173" spans="1:7" x14ac:dyDescent="0.3">
      <c r="A173" t="s">
        <v>612</v>
      </c>
      <c r="B173" t="s">
        <v>613</v>
      </c>
      <c r="C173" t="s">
        <v>79</v>
      </c>
      <c r="D173" t="s">
        <v>18</v>
      </c>
      <c r="E173" s="2">
        <v>28198</v>
      </c>
      <c r="F173" t="s">
        <v>614</v>
      </c>
      <c r="G173" s="2">
        <v>45829</v>
      </c>
    </row>
    <row r="174" spans="1:7" x14ac:dyDescent="0.3">
      <c r="A174" t="s">
        <v>615</v>
      </c>
      <c r="B174" t="s">
        <v>369</v>
      </c>
      <c r="C174" t="s">
        <v>616</v>
      </c>
      <c r="D174" t="s">
        <v>18</v>
      </c>
      <c r="E174" s="2">
        <v>21425</v>
      </c>
      <c r="F174" t="s">
        <v>617</v>
      </c>
      <c r="G174" s="2">
        <v>45891</v>
      </c>
    </row>
    <row r="175" spans="1:7" x14ac:dyDescent="0.3">
      <c r="A175" t="s">
        <v>618</v>
      </c>
      <c r="B175" t="s">
        <v>156</v>
      </c>
      <c r="C175" t="s">
        <v>619</v>
      </c>
      <c r="D175" t="s">
        <v>10</v>
      </c>
      <c r="E175" s="2">
        <v>38540</v>
      </c>
      <c r="F175" t="s">
        <v>620</v>
      </c>
      <c r="G175" s="2">
        <v>45897</v>
      </c>
    </row>
    <row r="176" spans="1:7" x14ac:dyDescent="0.3">
      <c r="A176" t="s">
        <v>621</v>
      </c>
      <c r="B176" t="s">
        <v>622</v>
      </c>
      <c r="C176" t="s">
        <v>623</v>
      </c>
      <c r="D176" t="s">
        <v>10</v>
      </c>
      <c r="E176" s="2">
        <v>35802</v>
      </c>
      <c r="F176" t="s">
        <v>624</v>
      </c>
      <c r="G176" s="2">
        <v>44252</v>
      </c>
    </row>
    <row r="177" spans="1:7" x14ac:dyDescent="0.3">
      <c r="A177" t="s">
        <v>625</v>
      </c>
      <c r="B177" t="s">
        <v>455</v>
      </c>
      <c r="C177" t="s">
        <v>304</v>
      </c>
      <c r="D177" t="s">
        <v>10</v>
      </c>
      <c r="E177" s="2">
        <v>29135</v>
      </c>
      <c r="F177" t="s">
        <v>626</v>
      </c>
      <c r="G177" s="2">
        <v>44399</v>
      </c>
    </row>
    <row r="178" spans="1:7" x14ac:dyDescent="0.3">
      <c r="A178" t="s">
        <v>627</v>
      </c>
      <c r="B178" t="s">
        <v>231</v>
      </c>
      <c r="C178" t="s">
        <v>628</v>
      </c>
      <c r="D178" t="s">
        <v>18</v>
      </c>
      <c r="E178" s="2">
        <v>31052</v>
      </c>
      <c r="F178" t="s">
        <v>629</v>
      </c>
      <c r="G178" s="2">
        <v>44584</v>
      </c>
    </row>
    <row r="179" spans="1:7" x14ac:dyDescent="0.3">
      <c r="A179" t="s">
        <v>630</v>
      </c>
      <c r="B179" t="s">
        <v>94</v>
      </c>
      <c r="C179" t="s">
        <v>631</v>
      </c>
      <c r="D179" t="s">
        <v>18</v>
      </c>
      <c r="E179" s="2">
        <v>22255</v>
      </c>
      <c r="F179" t="s">
        <v>632</v>
      </c>
      <c r="G179" s="2">
        <v>45465</v>
      </c>
    </row>
    <row r="180" spans="1:7" x14ac:dyDescent="0.3">
      <c r="A180" t="s">
        <v>633</v>
      </c>
      <c r="B180" t="s">
        <v>180</v>
      </c>
      <c r="C180" t="s">
        <v>634</v>
      </c>
      <c r="D180" t="s">
        <v>18</v>
      </c>
      <c r="E180" s="2">
        <v>31092</v>
      </c>
      <c r="F180" t="s">
        <v>635</v>
      </c>
      <c r="G180" s="2">
        <v>45888</v>
      </c>
    </row>
    <row r="181" spans="1:7" x14ac:dyDescent="0.3">
      <c r="A181" t="s">
        <v>636</v>
      </c>
      <c r="B181" t="s">
        <v>637</v>
      </c>
      <c r="C181" t="s">
        <v>638</v>
      </c>
      <c r="D181" t="s">
        <v>18</v>
      </c>
      <c r="E181" s="2">
        <v>21899</v>
      </c>
      <c r="F181" t="s">
        <v>639</v>
      </c>
      <c r="G181" s="2">
        <v>44853</v>
      </c>
    </row>
    <row r="182" spans="1:7" x14ac:dyDescent="0.3">
      <c r="A182" t="s">
        <v>640</v>
      </c>
      <c r="B182" t="s">
        <v>60</v>
      </c>
      <c r="C182" t="s">
        <v>641</v>
      </c>
      <c r="D182" t="s">
        <v>18</v>
      </c>
      <c r="E182" s="2">
        <v>26631</v>
      </c>
      <c r="F182" t="s">
        <v>642</v>
      </c>
      <c r="G182" s="2">
        <v>45638</v>
      </c>
    </row>
    <row r="183" spans="1:7" x14ac:dyDescent="0.3">
      <c r="A183" t="s">
        <v>643</v>
      </c>
      <c r="B183" t="s">
        <v>644</v>
      </c>
      <c r="C183" t="s">
        <v>645</v>
      </c>
      <c r="D183" t="s">
        <v>10</v>
      </c>
      <c r="E183" s="2">
        <v>38193</v>
      </c>
      <c r="F183" t="s">
        <v>646</v>
      </c>
      <c r="G183" s="2">
        <v>44302</v>
      </c>
    </row>
    <row r="184" spans="1:7" x14ac:dyDescent="0.3">
      <c r="A184" t="s">
        <v>647</v>
      </c>
      <c r="B184" t="s">
        <v>184</v>
      </c>
      <c r="C184" t="s">
        <v>648</v>
      </c>
      <c r="D184" t="s">
        <v>10</v>
      </c>
      <c r="E184" s="2">
        <v>33196</v>
      </c>
      <c r="F184" t="s">
        <v>649</v>
      </c>
      <c r="G184" s="2">
        <v>44435</v>
      </c>
    </row>
    <row r="185" spans="1:7" x14ac:dyDescent="0.3">
      <c r="A185" t="s">
        <v>650</v>
      </c>
      <c r="B185" t="s">
        <v>255</v>
      </c>
      <c r="C185" t="s">
        <v>651</v>
      </c>
      <c r="D185" t="s">
        <v>10</v>
      </c>
      <c r="E185" s="2">
        <v>37724</v>
      </c>
      <c r="F185" t="s">
        <v>652</v>
      </c>
      <c r="G185" s="2">
        <v>44305</v>
      </c>
    </row>
    <row r="186" spans="1:7" x14ac:dyDescent="0.3">
      <c r="A186" t="s">
        <v>653</v>
      </c>
      <c r="B186" t="s">
        <v>654</v>
      </c>
      <c r="C186" t="s">
        <v>655</v>
      </c>
      <c r="D186" t="s">
        <v>18</v>
      </c>
      <c r="E186" s="2">
        <v>27579</v>
      </c>
      <c r="F186" t="s">
        <v>656</v>
      </c>
      <c r="G186" s="2">
        <v>45571</v>
      </c>
    </row>
    <row r="187" spans="1:7" x14ac:dyDescent="0.3">
      <c r="A187" t="s">
        <v>657</v>
      </c>
      <c r="B187" t="s">
        <v>658</v>
      </c>
      <c r="C187" t="s">
        <v>659</v>
      </c>
      <c r="D187" t="s">
        <v>18</v>
      </c>
      <c r="E187" s="2">
        <v>22041</v>
      </c>
      <c r="F187" t="s">
        <v>660</v>
      </c>
      <c r="G187" s="2">
        <v>45329</v>
      </c>
    </row>
    <row r="188" spans="1:7" x14ac:dyDescent="0.3">
      <c r="A188" t="s">
        <v>661</v>
      </c>
      <c r="B188" t="s">
        <v>521</v>
      </c>
      <c r="C188" t="s">
        <v>662</v>
      </c>
      <c r="D188" t="s">
        <v>10</v>
      </c>
      <c r="E188" s="2">
        <v>32522</v>
      </c>
      <c r="F188" t="s">
        <v>663</v>
      </c>
      <c r="G188" s="2">
        <v>45231</v>
      </c>
    </row>
    <row r="189" spans="1:7" x14ac:dyDescent="0.3">
      <c r="A189" t="s">
        <v>664</v>
      </c>
      <c r="B189" t="s">
        <v>82</v>
      </c>
      <c r="C189" t="s">
        <v>397</v>
      </c>
      <c r="D189" t="s">
        <v>10</v>
      </c>
      <c r="E189" s="2">
        <v>22243</v>
      </c>
      <c r="F189" t="s">
        <v>665</v>
      </c>
      <c r="G189" s="2">
        <v>45065</v>
      </c>
    </row>
    <row r="190" spans="1:7" x14ac:dyDescent="0.3">
      <c r="A190" t="s">
        <v>666</v>
      </c>
      <c r="B190" t="s">
        <v>667</v>
      </c>
      <c r="C190" t="s">
        <v>668</v>
      </c>
      <c r="D190" t="s">
        <v>10</v>
      </c>
      <c r="E190" s="2">
        <v>24326</v>
      </c>
      <c r="F190" t="s">
        <v>669</v>
      </c>
      <c r="G190" s="2">
        <v>44260</v>
      </c>
    </row>
    <row r="191" spans="1:7" x14ac:dyDescent="0.3">
      <c r="A191" t="s">
        <v>670</v>
      </c>
      <c r="B191" t="s">
        <v>255</v>
      </c>
      <c r="C191" t="s">
        <v>671</v>
      </c>
      <c r="D191" t="s">
        <v>10</v>
      </c>
      <c r="E191" s="2">
        <v>24703</v>
      </c>
      <c r="F191" t="s">
        <v>672</v>
      </c>
      <c r="G191" s="2">
        <v>45026</v>
      </c>
    </row>
    <row r="192" spans="1:7" x14ac:dyDescent="0.3">
      <c r="A192" t="s">
        <v>673</v>
      </c>
      <c r="B192" t="s">
        <v>674</v>
      </c>
      <c r="C192" t="s">
        <v>675</v>
      </c>
      <c r="D192" t="s">
        <v>18</v>
      </c>
      <c r="E192" s="2">
        <v>21380</v>
      </c>
      <c r="F192" t="s">
        <v>676</v>
      </c>
      <c r="G192" s="2">
        <v>44723</v>
      </c>
    </row>
    <row r="193" spans="1:7" x14ac:dyDescent="0.3">
      <c r="A193" t="s">
        <v>677</v>
      </c>
      <c r="B193" t="s">
        <v>678</v>
      </c>
      <c r="C193" t="s">
        <v>424</v>
      </c>
      <c r="D193" t="s">
        <v>10</v>
      </c>
      <c r="E193" s="2">
        <v>38926</v>
      </c>
      <c r="F193" t="s">
        <v>679</v>
      </c>
      <c r="G193" s="2">
        <v>45195</v>
      </c>
    </row>
    <row r="194" spans="1:7" x14ac:dyDescent="0.3">
      <c r="A194" t="s">
        <v>680</v>
      </c>
      <c r="B194" t="s">
        <v>299</v>
      </c>
      <c r="C194" t="s">
        <v>681</v>
      </c>
      <c r="D194" t="s">
        <v>18</v>
      </c>
      <c r="E194" s="2">
        <v>25513</v>
      </c>
      <c r="F194" t="s">
        <v>682</v>
      </c>
      <c r="G194" s="2">
        <v>44173</v>
      </c>
    </row>
    <row r="195" spans="1:7" x14ac:dyDescent="0.3">
      <c r="A195" t="s">
        <v>683</v>
      </c>
      <c r="B195" t="s">
        <v>684</v>
      </c>
      <c r="C195" t="s">
        <v>685</v>
      </c>
      <c r="D195" t="s">
        <v>10</v>
      </c>
      <c r="E195" s="2">
        <v>36771</v>
      </c>
      <c r="F195" t="s">
        <v>686</v>
      </c>
      <c r="G195" s="2">
        <v>44778</v>
      </c>
    </row>
    <row r="196" spans="1:7" x14ac:dyDescent="0.3">
      <c r="A196" t="s">
        <v>687</v>
      </c>
      <c r="B196" t="s">
        <v>678</v>
      </c>
      <c r="C196" t="s">
        <v>688</v>
      </c>
      <c r="D196" t="s">
        <v>18</v>
      </c>
      <c r="E196" s="2">
        <v>27995</v>
      </c>
      <c r="F196" t="s">
        <v>689</v>
      </c>
      <c r="G196" s="2">
        <v>45827</v>
      </c>
    </row>
    <row r="197" spans="1:7" x14ac:dyDescent="0.3">
      <c r="A197" t="s">
        <v>690</v>
      </c>
      <c r="B197" t="s">
        <v>678</v>
      </c>
      <c r="C197" t="s">
        <v>691</v>
      </c>
      <c r="D197" t="s">
        <v>18</v>
      </c>
      <c r="E197" s="2">
        <v>23491</v>
      </c>
      <c r="F197" t="s">
        <v>692</v>
      </c>
      <c r="G197" s="2">
        <v>45707</v>
      </c>
    </row>
    <row r="198" spans="1:7" x14ac:dyDescent="0.3">
      <c r="A198" t="s">
        <v>693</v>
      </c>
      <c r="B198" t="s">
        <v>64</v>
      </c>
      <c r="C198" t="s">
        <v>694</v>
      </c>
      <c r="D198" t="s">
        <v>10</v>
      </c>
      <c r="E198" s="2">
        <v>21086</v>
      </c>
      <c r="F198" t="s">
        <v>695</v>
      </c>
      <c r="G198" s="2">
        <v>44153</v>
      </c>
    </row>
    <row r="199" spans="1:7" x14ac:dyDescent="0.3">
      <c r="A199" t="s">
        <v>696</v>
      </c>
      <c r="B199" t="s">
        <v>697</v>
      </c>
      <c r="C199" t="s">
        <v>698</v>
      </c>
      <c r="D199" t="s">
        <v>10</v>
      </c>
      <c r="E199" s="2">
        <v>31435</v>
      </c>
      <c r="F199" t="s">
        <v>699</v>
      </c>
      <c r="G199" s="2">
        <v>44905</v>
      </c>
    </row>
    <row r="200" spans="1:7" x14ac:dyDescent="0.3">
      <c r="A200" t="s">
        <v>700</v>
      </c>
      <c r="B200" t="s">
        <v>321</v>
      </c>
      <c r="C200" t="s">
        <v>69</v>
      </c>
      <c r="D200" t="s">
        <v>18</v>
      </c>
      <c r="E200" s="2">
        <v>25706</v>
      </c>
      <c r="F200" t="s">
        <v>701</v>
      </c>
      <c r="G200" s="2">
        <v>44405</v>
      </c>
    </row>
    <row r="201" spans="1:7" x14ac:dyDescent="0.3">
      <c r="A201" t="s">
        <v>702</v>
      </c>
      <c r="B201" t="s">
        <v>703</v>
      </c>
      <c r="C201" t="s">
        <v>49</v>
      </c>
      <c r="D201" t="s">
        <v>10</v>
      </c>
      <c r="E201" s="2">
        <v>37249</v>
      </c>
      <c r="F201" t="s">
        <v>704</v>
      </c>
      <c r="G201" s="2">
        <v>45832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
  <sheetViews>
    <sheetView workbookViewId="0"/>
  </sheetViews>
  <sheetFormatPr defaultRowHeight="14.4" x14ac:dyDescent="0.3"/>
  <sheetData>
    <row r="1" spans="1:6" x14ac:dyDescent="0.3">
      <c r="A1" s="1" t="s">
        <v>705</v>
      </c>
      <c r="B1" s="1" t="s">
        <v>706</v>
      </c>
      <c r="C1" s="1" t="s">
        <v>707</v>
      </c>
      <c r="D1" s="1" t="s">
        <v>708</v>
      </c>
      <c r="E1" s="1" t="s">
        <v>709</v>
      </c>
      <c r="F1" s="1" t="s">
        <v>710</v>
      </c>
    </row>
    <row r="2" spans="1:6" x14ac:dyDescent="0.3">
      <c r="A2" t="s">
        <v>711</v>
      </c>
      <c r="B2" t="s">
        <v>712</v>
      </c>
      <c r="C2" t="s">
        <v>713</v>
      </c>
      <c r="D2" t="s">
        <v>714</v>
      </c>
      <c r="E2">
        <v>1673.69</v>
      </c>
      <c r="F2">
        <v>1323.38</v>
      </c>
    </row>
    <row r="3" spans="1:6" x14ac:dyDescent="0.3">
      <c r="A3" t="s">
        <v>715</v>
      </c>
      <c r="B3" t="s">
        <v>716</v>
      </c>
      <c r="C3" t="s">
        <v>713</v>
      </c>
      <c r="D3" t="s">
        <v>717</v>
      </c>
      <c r="E3">
        <v>818.76</v>
      </c>
      <c r="F3">
        <v>527.62</v>
      </c>
    </row>
    <row r="4" spans="1:6" x14ac:dyDescent="0.3">
      <c r="A4" t="s">
        <v>718</v>
      </c>
      <c r="B4" t="s">
        <v>719</v>
      </c>
      <c r="C4" t="s">
        <v>720</v>
      </c>
      <c r="D4" t="s">
        <v>721</v>
      </c>
      <c r="E4">
        <v>337.63</v>
      </c>
      <c r="F4">
        <v>169.03</v>
      </c>
    </row>
    <row r="5" spans="1:6" x14ac:dyDescent="0.3">
      <c r="A5" t="s">
        <v>722</v>
      </c>
      <c r="B5" t="s">
        <v>723</v>
      </c>
      <c r="C5" t="s">
        <v>720</v>
      </c>
      <c r="D5" t="s">
        <v>724</v>
      </c>
      <c r="E5">
        <v>1853.77</v>
      </c>
      <c r="F5">
        <v>1363.52</v>
      </c>
    </row>
    <row r="6" spans="1:6" x14ac:dyDescent="0.3">
      <c r="A6" t="s">
        <v>725</v>
      </c>
      <c r="B6" t="s">
        <v>726</v>
      </c>
      <c r="C6" t="s">
        <v>720</v>
      </c>
      <c r="D6" t="s">
        <v>727</v>
      </c>
      <c r="E6">
        <v>1396.22</v>
      </c>
      <c r="F6">
        <v>1004.09</v>
      </c>
    </row>
    <row r="7" spans="1:6" x14ac:dyDescent="0.3">
      <c r="A7" t="s">
        <v>728</v>
      </c>
      <c r="B7" t="s">
        <v>729</v>
      </c>
      <c r="C7" t="s">
        <v>730</v>
      </c>
      <c r="D7" t="s">
        <v>731</v>
      </c>
      <c r="E7">
        <v>318.05</v>
      </c>
      <c r="F7">
        <v>187.34</v>
      </c>
    </row>
    <row r="8" spans="1:6" x14ac:dyDescent="0.3">
      <c r="A8" t="s">
        <v>732</v>
      </c>
      <c r="B8" t="s">
        <v>733</v>
      </c>
      <c r="C8" t="s">
        <v>713</v>
      </c>
      <c r="D8" t="s">
        <v>714</v>
      </c>
      <c r="E8">
        <v>1474.12</v>
      </c>
      <c r="F8">
        <v>764.02</v>
      </c>
    </row>
    <row r="9" spans="1:6" x14ac:dyDescent="0.3">
      <c r="A9" t="s">
        <v>734</v>
      </c>
      <c r="B9" t="s">
        <v>735</v>
      </c>
      <c r="C9" t="s">
        <v>720</v>
      </c>
      <c r="D9" t="s">
        <v>721</v>
      </c>
      <c r="E9">
        <v>109.78</v>
      </c>
      <c r="F9">
        <v>70.59</v>
      </c>
    </row>
    <row r="10" spans="1:6" x14ac:dyDescent="0.3">
      <c r="A10" t="s">
        <v>736</v>
      </c>
      <c r="B10" t="s">
        <v>737</v>
      </c>
      <c r="C10" t="s">
        <v>730</v>
      </c>
      <c r="D10" t="s">
        <v>738</v>
      </c>
      <c r="E10">
        <v>123.19</v>
      </c>
      <c r="F10">
        <v>80.36</v>
      </c>
    </row>
    <row r="11" spans="1:6" x14ac:dyDescent="0.3">
      <c r="A11" t="s">
        <v>739</v>
      </c>
      <c r="B11" t="s">
        <v>740</v>
      </c>
      <c r="C11" t="s">
        <v>713</v>
      </c>
      <c r="D11" t="s">
        <v>741</v>
      </c>
      <c r="E11">
        <v>1194.1199999999999</v>
      </c>
      <c r="F11">
        <v>838.95</v>
      </c>
    </row>
    <row r="12" spans="1:6" x14ac:dyDescent="0.3">
      <c r="A12" t="s">
        <v>742</v>
      </c>
      <c r="B12" t="s">
        <v>743</v>
      </c>
      <c r="C12" t="s">
        <v>713</v>
      </c>
      <c r="D12" t="s">
        <v>744</v>
      </c>
      <c r="E12">
        <v>248.57</v>
      </c>
      <c r="F12">
        <v>190.67</v>
      </c>
    </row>
    <row r="13" spans="1:6" x14ac:dyDescent="0.3">
      <c r="A13" t="s">
        <v>745</v>
      </c>
      <c r="B13" t="s">
        <v>746</v>
      </c>
      <c r="C13" t="s">
        <v>713</v>
      </c>
      <c r="D13" t="s">
        <v>714</v>
      </c>
      <c r="E13">
        <v>1193.0899999999999</v>
      </c>
      <c r="F13">
        <v>818.24</v>
      </c>
    </row>
    <row r="14" spans="1:6" x14ac:dyDescent="0.3">
      <c r="A14" t="s">
        <v>747</v>
      </c>
      <c r="B14" t="s">
        <v>748</v>
      </c>
      <c r="C14" t="s">
        <v>720</v>
      </c>
      <c r="D14" t="s">
        <v>749</v>
      </c>
      <c r="E14">
        <v>1134.8</v>
      </c>
      <c r="F14">
        <v>675.1</v>
      </c>
    </row>
    <row r="15" spans="1:6" x14ac:dyDescent="0.3">
      <c r="A15" t="s">
        <v>750</v>
      </c>
      <c r="B15" t="s">
        <v>751</v>
      </c>
      <c r="C15" t="s">
        <v>720</v>
      </c>
      <c r="D15" t="s">
        <v>752</v>
      </c>
      <c r="E15">
        <v>1342.75</v>
      </c>
      <c r="F15">
        <v>797.94</v>
      </c>
    </row>
    <row r="16" spans="1:6" x14ac:dyDescent="0.3">
      <c r="A16" t="s">
        <v>753</v>
      </c>
      <c r="B16" t="s">
        <v>754</v>
      </c>
      <c r="C16" t="s">
        <v>720</v>
      </c>
      <c r="D16" t="s">
        <v>727</v>
      </c>
      <c r="E16">
        <v>270.45</v>
      </c>
      <c r="F16">
        <v>187.6</v>
      </c>
    </row>
    <row r="17" spans="1:6" x14ac:dyDescent="0.3">
      <c r="A17" t="s">
        <v>755</v>
      </c>
      <c r="B17" t="s">
        <v>756</v>
      </c>
      <c r="C17" t="s">
        <v>720</v>
      </c>
      <c r="D17" t="s">
        <v>724</v>
      </c>
      <c r="E17">
        <v>1858.75</v>
      </c>
      <c r="F17">
        <v>1451.16</v>
      </c>
    </row>
    <row r="18" spans="1:6" x14ac:dyDescent="0.3">
      <c r="A18" t="s">
        <v>757</v>
      </c>
      <c r="B18" t="s">
        <v>758</v>
      </c>
      <c r="C18" t="s">
        <v>713</v>
      </c>
      <c r="D18" t="s">
        <v>744</v>
      </c>
      <c r="E18">
        <v>1246.1099999999999</v>
      </c>
      <c r="F18">
        <v>833.52</v>
      </c>
    </row>
    <row r="19" spans="1:6" x14ac:dyDescent="0.3">
      <c r="A19" t="s">
        <v>759</v>
      </c>
      <c r="B19" t="s">
        <v>760</v>
      </c>
      <c r="C19" t="s">
        <v>713</v>
      </c>
      <c r="D19" t="s">
        <v>741</v>
      </c>
      <c r="E19">
        <v>1079.8900000000001</v>
      </c>
      <c r="F19">
        <v>703.83</v>
      </c>
    </row>
    <row r="20" spans="1:6" x14ac:dyDescent="0.3">
      <c r="A20" t="s">
        <v>761</v>
      </c>
      <c r="B20" t="s">
        <v>762</v>
      </c>
      <c r="C20" t="s">
        <v>713</v>
      </c>
      <c r="D20" t="s">
        <v>763</v>
      </c>
      <c r="E20">
        <v>1762.92</v>
      </c>
      <c r="F20">
        <v>1346.48</v>
      </c>
    </row>
    <row r="21" spans="1:6" x14ac:dyDescent="0.3">
      <c r="A21" t="s">
        <v>764</v>
      </c>
      <c r="B21" t="s">
        <v>765</v>
      </c>
      <c r="C21" t="s">
        <v>720</v>
      </c>
      <c r="D21" t="s">
        <v>724</v>
      </c>
      <c r="E21">
        <v>323.92</v>
      </c>
      <c r="F21">
        <v>242.98</v>
      </c>
    </row>
    <row r="22" spans="1:6" x14ac:dyDescent="0.3">
      <c r="A22" t="s">
        <v>766</v>
      </c>
      <c r="B22" t="s">
        <v>767</v>
      </c>
      <c r="C22" t="s">
        <v>730</v>
      </c>
      <c r="D22" t="s">
        <v>768</v>
      </c>
      <c r="E22">
        <v>1227.24</v>
      </c>
      <c r="F22">
        <v>977.09</v>
      </c>
    </row>
    <row r="23" spans="1:6" x14ac:dyDescent="0.3">
      <c r="A23" t="s">
        <v>769</v>
      </c>
      <c r="B23" t="s">
        <v>770</v>
      </c>
      <c r="C23" t="s">
        <v>730</v>
      </c>
      <c r="D23" t="s">
        <v>771</v>
      </c>
      <c r="E23">
        <v>25.57</v>
      </c>
      <c r="F23">
        <v>19.05</v>
      </c>
    </row>
    <row r="24" spans="1:6" x14ac:dyDescent="0.3">
      <c r="A24" t="s">
        <v>772</v>
      </c>
      <c r="B24" t="s">
        <v>773</v>
      </c>
      <c r="C24" t="s">
        <v>720</v>
      </c>
      <c r="D24" t="s">
        <v>721</v>
      </c>
      <c r="E24">
        <v>1878.47</v>
      </c>
      <c r="F24">
        <v>1014.91</v>
      </c>
    </row>
    <row r="25" spans="1:6" x14ac:dyDescent="0.3">
      <c r="A25" t="s">
        <v>774</v>
      </c>
      <c r="B25" t="s">
        <v>775</v>
      </c>
      <c r="C25" t="s">
        <v>713</v>
      </c>
      <c r="D25" t="s">
        <v>741</v>
      </c>
      <c r="E25">
        <v>1487.41</v>
      </c>
      <c r="F25">
        <v>813.07</v>
      </c>
    </row>
    <row r="26" spans="1:6" x14ac:dyDescent="0.3">
      <c r="A26" t="s">
        <v>776</v>
      </c>
      <c r="B26" t="s">
        <v>777</v>
      </c>
      <c r="C26" t="s">
        <v>720</v>
      </c>
      <c r="D26" t="s">
        <v>749</v>
      </c>
      <c r="E26">
        <v>429.15</v>
      </c>
      <c r="F26">
        <v>258.72000000000003</v>
      </c>
    </row>
    <row r="27" spans="1:6" x14ac:dyDescent="0.3">
      <c r="A27" t="s">
        <v>778</v>
      </c>
      <c r="B27" t="s">
        <v>779</v>
      </c>
      <c r="C27" t="s">
        <v>730</v>
      </c>
      <c r="D27" t="s">
        <v>768</v>
      </c>
      <c r="E27">
        <v>1015.76</v>
      </c>
      <c r="F27">
        <v>584.4</v>
      </c>
    </row>
    <row r="28" spans="1:6" x14ac:dyDescent="0.3">
      <c r="A28" t="s">
        <v>780</v>
      </c>
      <c r="B28" t="s">
        <v>781</v>
      </c>
      <c r="C28" t="s">
        <v>713</v>
      </c>
      <c r="D28" t="s">
        <v>741</v>
      </c>
      <c r="E28">
        <v>1272.23</v>
      </c>
      <c r="F28">
        <v>952.65</v>
      </c>
    </row>
    <row r="29" spans="1:6" x14ac:dyDescent="0.3">
      <c r="A29" t="s">
        <v>782</v>
      </c>
      <c r="B29" t="s">
        <v>783</v>
      </c>
      <c r="C29" t="s">
        <v>713</v>
      </c>
      <c r="D29" t="s">
        <v>741</v>
      </c>
      <c r="E29">
        <v>673.78</v>
      </c>
      <c r="F29">
        <v>363.33</v>
      </c>
    </row>
    <row r="30" spans="1:6" x14ac:dyDescent="0.3">
      <c r="A30" t="s">
        <v>784</v>
      </c>
      <c r="B30" t="s">
        <v>785</v>
      </c>
      <c r="C30" t="s">
        <v>720</v>
      </c>
      <c r="D30" t="s">
        <v>752</v>
      </c>
      <c r="E30">
        <v>1485.05</v>
      </c>
      <c r="F30">
        <v>988.31</v>
      </c>
    </row>
    <row r="31" spans="1:6" x14ac:dyDescent="0.3">
      <c r="A31" t="s">
        <v>786</v>
      </c>
      <c r="B31" t="s">
        <v>787</v>
      </c>
      <c r="C31" t="s">
        <v>720</v>
      </c>
      <c r="D31" t="s">
        <v>749</v>
      </c>
      <c r="E31">
        <v>29.24</v>
      </c>
      <c r="F31">
        <v>15.28</v>
      </c>
    </row>
    <row r="32" spans="1:6" x14ac:dyDescent="0.3">
      <c r="A32" t="s">
        <v>788</v>
      </c>
      <c r="B32" t="s">
        <v>789</v>
      </c>
      <c r="C32" t="s">
        <v>730</v>
      </c>
      <c r="D32" t="s">
        <v>738</v>
      </c>
      <c r="E32">
        <v>1095.72</v>
      </c>
      <c r="F32">
        <v>822.2</v>
      </c>
    </row>
    <row r="33" spans="1:6" x14ac:dyDescent="0.3">
      <c r="A33" t="s">
        <v>790</v>
      </c>
      <c r="B33" t="s">
        <v>791</v>
      </c>
      <c r="C33" t="s">
        <v>730</v>
      </c>
      <c r="D33" t="s">
        <v>771</v>
      </c>
      <c r="E33">
        <v>304.70999999999998</v>
      </c>
      <c r="F33">
        <v>164.01</v>
      </c>
    </row>
    <row r="34" spans="1:6" x14ac:dyDescent="0.3">
      <c r="A34" t="s">
        <v>792</v>
      </c>
      <c r="B34" t="s">
        <v>793</v>
      </c>
      <c r="C34" t="s">
        <v>720</v>
      </c>
      <c r="D34" t="s">
        <v>724</v>
      </c>
      <c r="E34">
        <v>1798.97</v>
      </c>
      <c r="F34">
        <v>1329.15</v>
      </c>
    </row>
    <row r="35" spans="1:6" x14ac:dyDescent="0.3">
      <c r="A35" t="s">
        <v>794</v>
      </c>
      <c r="B35" t="s">
        <v>795</v>
      </c>
      <c r="C35" t="s">
        <v>713</v>
      </c>
      <c r="D35" t="s">
        <v>763</v>
      </c>
      <c r="E35">
        <v>428.05</v>
      </c>
      <c r="F35">
        <v>246.07</v>
      </c>
    </row>
    <row r="36" spans="1:6" x14ac:dyDescent="0.3">
      <c r="A36" t="s">
        <v>796</v>
      </c>
      <c r="B36" t="s">
        <v>797</v>
      </c>
      <c r="C36" t="s">
        <v>713</v>
      </c>
      <c r="D36" t="s">
        <v>763</v>
      </c>
      <c r="E36">
        <v>1562.43</v>
      </c>
      <c r="F36">
        <v>1195.6300000000001</v>
      </c>
    </row>
    <row r="37" spans="1:6" x14ac:dyDescent="0.3">
      <c r="A37" t="s">
        <v>798</v>
      </c>
      <c r="B37" t="s">
        <v>799</v>
      </c>
      <c r="C37" t="s">
        <v>720</v>
      </c>
      <c r="D37" t="s">
        <v>749</v>
      </c>
      <c r="E37">
        <v>1501.46</v>
      </c>
      <c r="F37">
        <v>1167.73</v>
      </c>
    </row>
    <row r="38" spans="1:6" x14ac:dyDescent="0.3">
      <c r="A38" t="s">
        <v>800</v>
      </c>
      <c r="B38" t="s">
        <v>801</v>
      </c>
      <c r="C38" t="s">
        <v>713</v>
      </c>
      <c r="D38" t="s">
        <v>717</v>
      </c>
      <c r="E38">
        <v>1952.65</v>
      </c>
      <c r="F38">
        <v>1451.27</v>
      </c>
    </row>
    <row r="39" spans="1:6" x14ac:dyDescent="0.3">
      <c r="A39" t="s">
        <v>802</v>
      </c>
      <c r="B39" t="s">
        <v>803</v>
      </c>
      <c r="C39" t="s">
        <v>720</v>
      </c>
      <c r="D39" t="s">
        <v>721</v>
      </c>
      <c r="E39">
        <v>366.93</v>
      </c>
      <c r="F39">
        <v>285.23</v>
      </c>
    </row>
    <row r="40" spans="1:6" x14ac:dyDescent="0.3">
      <c r="A40" t="s">
        <v>804</v>
      </c>
      <c r="B40" t="s">
        <v>805</v>
      </c>
      <c r="C40" t="s">
        <v>720</v>
      </c>
      <c r="D40" t="s">
        <v>752</v>
      </c>
      <c r="E40">
        <v>540.94000000000005</v>
      </c>
      <c r="F40">
        <v>398.25</v>
      </c>
    </row>
    <row r="41" spans="1:6" x14ac:dyDescent="0.3">
      <c r="A41" t="s">
        <v>806</v>
      </c>
      <c r="B41" t="s">
        <v>807</v>
      </c>
      <c r="C41" t="s">
        <v>713</v>
      </c>
      <c r="D41" t="s">
        <v>744</v>
      </c>
      <c r="E41">
        <v>1745.61</v>
      </c>
      <c r="F41">
        <v>1322.44</v>
      </c>
    </row>
    <row r="42" spans="1:6" x14ac:dyDescent="0.3">
      <c r="A42" t="s">
        <v>808</v>
      </c>
      <c r="B42" t="s">
        <v>809</v>
      </c>
      <c r="C42" t="s">
        <v>713</v>
      </c>
      <c r="D42" t="s">
        <v>717</v>
      </c>
      <c r="E42">
        <v>1635.01</v>
      </c>
      <c r="F42">
        <v>1043.29</v>
      </c>
    </row>
    <row r="43" spans="1:6" x14ac:dyDescent="0.3">
      <c r="A43" t="s">
        <v>810</v>
      </c>
      <c r="B43" t="s">
        <v>811</v>
      </c>
      <c r="C43" t="s">
        <v>720</v>
      </c>
      <c r="D43" t="s">
        <v>752</v>
      </c>
      <c r="E43">
        <v>453.62</v>
      </c>
      <c r="F43">
        <v>316.63</v>
      </c>
    </row>
    <row r="44" spans="1:6" x14ac:dyDescent="0.3">
      <c r="A44" t="s">
        <v>812</v>
      </c>
      <c r="B44" t="s">
        <v>813</v>
      </c>
      <c r="C44" t="s">
        <v>720</v>
      </c>
      <c r="D44" t="s">
        <v>724</v>
      </c>
      <c r="E44">
        <v>564.41999999999996</v>
      </c>
      <c r="F44">
        <v>293.95999999999998</v>
      </c>
    </row>
    <row r="45" spans="1:6" x14ac:dyDescent="0.3">
      <c r="A45" t="s">
        <v>814</v>
      </c>
      <c r="B45" t="s">
        <v>815</v>
      </c>
      <c r="C45" t="s">
        <v>720</v>
      </c>
      <c r="D45" t="s">
        <v>724</v>
      </c>
      <c r="E45">
        <v>1286.55</v>
      </c>
      <c r="F45">
        <v>797.54</v>
      </c>
    </row>
    <row r="46" spans="1:6" x14ac:dyDescent="0.3">
      <c r="A46" t="s">
        <v>816</v>
      </c>
      <c r="B46" t="s">
        <v>817</v>
      </c>
      <c r="C46" t="s">
        <v>730</v>
      </c>
      <c r="D46" t="s">
        <v>768</v>
      </c>
      <c r="E46">
        <v>1879.08</v>
      </c>
      <c r="F46">
        <v>1004.56</v>
      </c>
    </row>
    <row r="47" spans="1:6" x14ac:dyDescent="0.3">
      <c r="A47" t="s">
        <v>818</v>
      </c>
      <c r="B47" t="s">
        <v>819</v>
      </c>
      <c r="C47" t="s">
        <v>720</v>
      </c>
      <c r="D47" t="s">
        <v>752</v>
      </c>
      <c r="E47">
        <v>1165.3699999999999</v>
      </c>
      <c r="F47">
        <v>926.55</v>
      </c>
    </row>
    <row r="48" spans="1:6" x14ac:dyDescent="0.3">
      <c r="A48" t="s">
        <v>820</v>
      </c>
      <c r="B48" t="s">
        <v>821</v>
      </c>
      <c r="C48" t="s">
        <v>713</v>
      </c>
      <c r="D48" t="s">
        <v>741</v>
      </c>
      <c r="E48">
        <v>1197.18</v>
      </c>
      <c r="F48">
        <v>722.74</v>
      </c>
    </row>
    <row r="49" spans="1:6" x14ac:dyDescent="0.3">
      <c r="A49" t="s">
        <v>822</v>
      </c>
      <c r="B49" t="s">
        <v>823</v>
      </c>
      <c r="C49" t="s">
        <v>720</v>
      </c>
      <c r="D49" t="s">
        <v>727</v>
      </c>
      <c r="E49">
        <v>1216.3599999999999</v>
      </c>
      <c r="F49">
        <v>794.8</v>
      </c>
    </row>
    <row r="50" spans="1:6" x14ac:dyDescent="0.3">
      <c r="A50" t="s">
        <v>824</v>
      </c>
      <c r="B50" t="s">
        <v>825</v>
      </c>
      <c r="C50" t="s">
        <v>720</v>
      </c>
      <c r="D50" t="s">
        <v>749</v>
      </c>
      <c r="E50">
        <v>388.26</v>
      </c>
      <c r="F50">
        <v>199.3</v>
      </c>
    </row>
    <row r="51" spans="1:6" x14ac:dyDescent="0.3">
      <c r="A51" t="s">
        <v>826</v>
      </c>
      <c r="B51" t="s">
        <v>827</v>
      </c>
      <c r="C51" t="s">
        <v>720</v>
      </c>
      <c r="D51" t="s">
        <v>721</v>
      </c>
      <c r="E51">
        <v>1044.6400000000001</v>
      </c>
      <c r="F51">
        <v>775.07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29" sqref="D29"/>
    </sheetView>
  </sheetViews>
  <sheetFormatPr defaultRowHeight="14.4" x14ac:dyDescent="0.3"/>
  <sheetData>
    <row r="1" spans="1:4" x14ac:dyDescent="0.3">
      <c r="A1" s="1" t="s">
        <v>828</v>
      </c>
      <c r="B1" s="1" t="s">
        <v>829</v>
      </c>
      <c r="C1" s="1" t="s">
        <v>5</v>
      </c>
      <c r="D1" s="1" t="s">
        <v>830</v>
      </c>
    </row>
    <row r="2" spans="1:4" x14ac:dyDescent="0.3">
      <c r="A2" t="s">
        <v>831</v>
      </c>
      <c r="B2" t="s">
        <v>832</v>
      </c>
      <c r="C2" t="s">
        <v>833</v>
      </c>
      <c r="D2" t="s">
        <v>834</v>
      </c>
    </row>
    <row r="3" spans="1:4" x14ac:dyDescent="0.3">
      <c r="A3" t="s">
        <v>835</v>
      </c>
      <c r="B3" t="s">
        <v>836</v>
      </c>
      <c r="C3" t="s">
        <v>837</v>
      </c>
      <c r="D3" t="s">
        <v>838</v>
      </c>
    </row>
    <row r="4" spans="1:4" x14ac:dyDescent="0.3">
      <c r="A4" t="s">
        <v>839</v>
      </c>
      <c r="B4" t="s">
        <v>840</v>
      </c>
      <c r="C4" t="s">
        <v>841</v>
      </c>
      <c r="D4" t="s">
        <v>685</v>
      </c>
    </row>
    <row r="5" spans="1:4" x14ac:dyDescent="0.3">
      <c r="A5" t="s">
        <v>842</v>
      </c>
      <c r="B5" t="s">
        <v>843</v>
      </c>
      <c r="C5" t="s">
        <v>844</v>
      </c>
      <c r="D5" t="s">
        <v>845</v>
      </c>
    </row>
    <row r="6" spans="1:4" x14ac:dyDescent="0.3">
      <c r="A6" t="s">
        <v>846</v>
      </c>
      <c r="B6" t="s">
        <v>847</v>
      </c>
      <c r="C6" t="s">
        <v>848</v>
      </c>
      <c r="D6" t="s">
        <v>838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E30E-E8D6-4192-BD41-2CB426F46E10}">
  <dimension ref="A3:B7"/>
  <sheetViews>
    <sheetView workbookViewId="0">
      <selection activeCell="B4" sqref="B4"/>
    </sheetView>
  </sheetViews>
  <sheetFormatPr defaultRowHeight="14.4" x14ac:dyDescent="0.3"/>
  <cols>
    <col min="1" max="1" width="12.5546875" bestFit="1" customWidth="1"/>
    <col min="2" max="2" width="16.44140625" bestFit="1" customWidth="1"/>
  </cols>
  <sheetData>
    <row r="3" spans="1:2" x14ac:dyDescent="0.3">
      <c r="A3" s="6" t="s">
        <v>5863</v>
      </c>
      <c r="B3" t="s">
        <v>5865</v>
      </c>
    </row>
    <row r="4" spans="1:2" x14ac:dyDescent="0.3">
      <c r="A4" s="7" t="s">
        <v>713</v>
      </c>
      <c r="B4" s="8">
        <v>6316917.3149999958</v>
      </c>
    </row>
    <row r="5" spans="1:2" x14ac:dyDescent="0.3">
      <c r="A5" s="7" t="s">
        <v>720</v>
      </c>
      <c r="B5" s="8">
        <v>6232279.7454999974</v>
      </c>
    </row>
    <row r="6" spans="1:2" x14ac:dyDescent="0.3">
      <c r="A6" s="7" t="s">
        <v>730</v>
      </c>
      <c r="B6" s="8">
        <v>1752706.0870000005</v>
      </c>
    </row>
    <row r="7" spans="1:2" x14ac:dyDescent="0.3">
      <c r="A7" s="7" t="s">
        <v>5864</v>
      </c>
      <c r="B7" s="8">
        <v>14301903.147499993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D4419-D4CF-4C1F-AD31-5B89AE9266FC}">
  <dimension ref="A3:B9"/>
  <sheetViews>
    <sheetView workbookViewId="0">
      <selection activeCell="B5" sqref="B5"/>
    </sheetView>
  </sheetViews>
  <sheetFormatPr defaultRowHeight="14.4" x14ac:dyDescent="0.3"/>
  <cols>
    <col min="1" max="1" width="23.5546875" bestFit="1" customWidth="1"/>
    <col min="2" max="2" width="16.44140625" bestFit="1" customWidth="1"/>
  </cols>
  <sheetData>
    <row r="3" spans="1:2" x14ac:dyDescent="0.3">
      <c r="A3" s="6" t="s">
        <v>5863</v>
      </c>
      <c r="B3" t="s">
        <v>5865</v>
      </c>
    </row>
    <row r="4" spans="1:2" x14ac:dyDescent="0.3">
      <c r="A4" s="7" t="s">
        <v>840</v>
      </c>
      <c r="B4" s="8">
        <v>2920406.930000003</v>
      </c>
    </row>
    <row r="5" spans="1:2" x14ac:dyDescent="0.3">
      <c r="A5" s="7" t="s">
        <v>843</v>
      </c>
      <c r="B5" s="8">
        <v>2900701.0779999983</v>
      </c>
    </row>
    <row r="6" spans="1:2" x14ac:dyDescent="0.3">
      <c r="A6" s="7" t="s">
        <v>832</v>
      </c>
      <c r="B6" s="8">
        <v>2880114.7260000007</v>
      </c>
    </row>
    <row r="7" spans="1:2" x14ac:dyDescent="0.3">
      <c r="A7" s="7" t="s">
        <v>847</v>
      </c>
      <c r="B7" s="8">
        <v>2847047.8029999961</v>
      </c>
    </row>
    <row r="8" spans="1:2" x14ac:dyDescent="0.3">
      <c r="A8" s="7" t="s">
        <v>836</v>
      </c>
      <c r="B8" s="8">
        <v>2753632.6105000065</v>
      </c>
    </row>
    <row r="9" spans="1:2" x14ac:dyDescent="0.3">
      <c r="A9" s="7" t="s">
        <v>5864</v>
      </c>
      <c r="B9" s="8">
        <v>14301903.147500005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B81E9-7285-4171-AD7E-2A5393FE4331}">
  <dimension ref="A3:B8"/>
  <sheetViews>
    <sheetView workbookViewId="0">
      <selection activeCell="H29" sqref="H29"/>
    </sheetView>
  </sheetViews>
  <sheetFormatPr defaultRowHeight="14.4" x14ac:dyDescent="0.3"/>
  <cols>
    <col min="1" max="1" width="12.77734375" bestFit="1" customWidth="1"/>
    <col min="2" max="2" width="16.44140625" bestFit="1" customWidth="1"/>
  </cols>
  <sheetData>
    <row r="3" spans="1:2" x14ac:dyDescent="0.3">
      <c r="A3" s="6" t="s">
        <v>5863</v>
      </c>
      <c r="B3" t="s">
        <v>5865</v>
      </c>
    </row>
    <row r="4" spans="1:2" x14ac:dyDescent="0.3">
      <c r="A4" s="7" t="s">
        <v>865</v>
      </c>
      <c r="B4" s="8">
        <v>3676072.8859999995</v>
      </c>
    </row>
    <row r="5" spans="1:2" x14ac:dyDescent="0.3">
      <c r="A5" s="7" t="s">
        <v>861</v>
      </c>
      <c r="B5" s="8">
        <v>3673746.7845000061</v>
      </c>
    </row>
    <row r="6" spans="1:2" x14ac:dyDescent="0.3">
      <c r="A6" s="7" t="s">
        <v>858</v>
      </c>
      <c r="B6" s="8">
        <v>3558433.4814999946</v>
      </c>
    </row>
    <row r="7" spans="1:2" x14ac:dyDescent="0.3">
      <c r="A7" s="7" t="s">
        <v>855</v>
      </c>
      <c r="B7" s="8">
        <v>3393649.9955000016</v>
      </c>
    </row>
    <row r="8" spans="1:2" x14ac:dyDescent="0.3">
      <c r="A8" s="7" t="s">
        <v>5864</v>
      </c>
      <c r="B8" s="8">
        <v>14301903.147500001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13020-3223-42A6-8806-332D3CCD9AE6}">
  <dimension ref="A3:B14"/>
  <sheetViews>
    <sheetView workbookViewId="0">
      <selection activeCell="B13" sqref="B13"/>
    </sheetView>
  </sheetViews>
  <sheetFormatPr defaultRowHeight="14.4" x14ac:dyDescent="0.3"/>
  <cols>
    <col min="1" max="1" width="16" bestFit="1" customWidth="1"/>
    <col min="2" max="2" width="16.44140625" bestFit="1" customWidth="1"/>
  </cols>
  <sheetData>
    <row r="3" spans="1:2" x14ac:dyDescent="0.3">
      <c r="A3" s="6" t="s">
        <v>5863</v>
      </c>
      <c r="B3" t="s">
        <v>5865</v>
      </c>
    </row>
    <row r="4" spans="1:2" x14ac:dyDescent="0.3">
      <c r="A4" s="7" t="s">
        <v>723</v>
      </c>
      <c r="B4" s="8">
        <v>471228.33399999986</v>
      </c>
    </row>
    <row r="5" spans="1:2" x14ac:dyDescent="0.3">
      <c r="A5" s="7" t="s">
        <v>809</v>
      </c>
      <c r="B5" s="8">
        <v>477913.4229999996</v>
      </c>
    </row>
    <row r="6" spans="1:2" x14ac:dyDescent="0.3">
      <c r="A6" s="7" t="s">
        <v>785</v>
      </c>
      <c r="B6" s="8">
        <v>479596.8974999999</v>
      </c>
    </row>
    <row r="7" spans="1:2" x14ac:dyDescent="0.3">
      <c r="A7" s="7" t="s">
        <v>712</v>
      </c>
      <c r="B7" s="8">
        <v>482608.51150000002</v>
      </c>
    </row>
    <row r="8" spans="1:2" x14ac:dyDescent="0.3">
      <c r="A8" s="7" t="s">
        <v>807</v>
      </c>
      <c r="B8" s="8">
        <v>497149.728</v>
      </c>
    </row>
    <row r="9" spans="1:2" x14ac:dyDescent="0.3">
      <c r="A9" s="7" t="s">
        <v>793</v>
      </c>
      <c r="B9" s="8">
        <v>498224.74149999977</v>
      </c>
    </row>
    <row r="10" spans="1:2" x14ac:dyDescent="0.3">
      <c r="A10" s="7" t="s">
        <v>762</v>
      </c>
      <c r="B10" s="8">
        <v>521031.00599999988</v>
      </c>
    </row>
    <row r="11" spans="1:2" x14ac:dyDescent="0.3">
      <c r="A11" s="7" t="s">
        <v>817</v>
      </c>
      <c r="B11" s="8">
        <v>573777.07799999986</v>
      </c>
    </row>
    <row r="12" spans="1:2" x14ac:dyDescent="0.3">
      <c r="A12" s="7" t="s">
        <v>773</v>
      </c>
      <c r="B12" s="8">
        <v>585613.02249999973</v>
      </c>
    </row>
    <row r="13" spans="1:2" x14ac:dyDescent="0.3">
      <c r="A13" s="7" t="s">
        <v>801</v>
      </c>
      <c r="B13" s="8">
        <v>605028.60250000004</v>
      </c>
    </row>
    <row r="14" spans="1:2" x14ac:dyDescent="0.3">
      <c r="A14" s="7" t="s">
        <v>5864</v>
      </c>
      <c r="B14" s="8">
        <v>5192171.3444999987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01"/>
  <sheetViews>
    <sheetView workbookViewId="0">
      <selection sqref="A1:XFD1048576"/>
    </sheetView>
  </sheetViews>
  <sheetFormatPr defaultRowHeight="14.4" x14ac:dyDescent="0.3"/>
  <cols>
    <col min="2" max="2" width="11.6640625" customWidth="1"/>
    <col min="8" max="8" width="14" customWidth="1"/>
    <col min="9" max="9" width="17.109375" customWidth="1"/>
    <col min="10" max="10" width="21.44140625" customWidth="1"/>
    <col min="11" max="11" width="10" customWidth="1"/>
    <col min="12" max="12" width="24.44140625" customWidth="1"/>
    <col min="14" max="14" width="9.88671875" style="5" customWidth="1"/>
  </cols>
  <sheetData>
    <row r="1" spans="1:14" x14ac:dyDescent="0.3">
      <c r="A1" s="1" t="s">
        <v>849</v>
      </c>
      <c r="B1" s="1" t="s">
        <v>850</v>
      </c>
      <c r="C1" s="1" t="s">
        <v>0</v>
      </c>
      <c r="D1" s="1" t="s">
        <v>705</v>
      </c>
      <c r="E1" s="1" t="s">
        <v>828</v>
      </c>
      <c r="F1" s="1" t="s">
        <v>851</v>
      </c>
      <c r="G1" s="1" t="s">
        <v>852</v>
      </c>
      <c r="H1" s="1" t="s">
        <v>853</v>
      </c>
      <c r="I1" s="3" t="s">
        <v>5858</v>
      </c>
      <c r="J1" s="3" t="s">
        <v>5859</v>
      </c>
      <c r="K1" s="3" t="s">
        <v>707</v>
      </c>
      <c r="L1" s="3" t="s">
        <v>5860</v>
      </c>
      <c r="M1" s="3" t="s">
        <v>5861</v>
      </c>
      <c r="N1" s="4" t="s">
        <v>5862</v>
      </c>
    </row>
    <row r="2" spans="1:14" x14ac:dyDescent="0.3">
      <c r="A2" t="s">
        <v>854</v>
      </c>
      <c r="B2" s="2">
        <v>45461</v>
      </c>
      <c r="C2" t="s">
        <v>574</v>
      </c>
      <c r="D2" t="s">
        <v>750</v>
      </c>
      <c r="E2" t="s">
        <v>839</v>
      </c>
      <c r="F2">
        <v>1</v>
      </c>
      <c r="G2">
        <v>0.1</v>
      </c>
      <c r="H2" t="s">
        <v>855</v>
      </c>
      <c r="I2" t="str">
        <f>VLOOKUP(C2,Customers!A:C,2,FALSE)&amp;" "&amp;VLOOKUP(C2,Customers!A:C,3,FALSE)</f>
        <v>Meagan Macdonald</v>
      </c>
      <c r="J2" t="str">
        <f>VLOOKUP(D2,Products!A:C,2,FALSE)</f>
        <v>Add Clothing</v>
      </c>
      <c r="K2" t="str">
        <f>VLOOKUP(D2,Products!A:C,3,FALSE)</f>
        <v>Fashion</v>
      </c>
      <c r="L2" t="str">
        <f>VLOOKUP(E2,Stores!A:B,2,FALSE)</f>
        <v>MegaMart New Michele</v>
      </c>
      <c r="M2">
        <f>VLOOKUP(D2,Products!A:E,5,FALSE)</f>
        <v>1342.75</v>
      </c>
      <c r="N2" s="5">
        <f>F2*M2*(1-G2)</f>
        <v>1208.4750000000001</v>
      </c>
    </row>
    <row r="3" spans="1:14" x14ac:dyDescent="0.3">
      <c r="A3" t="s">
        <v>856</v>
      </c>
      <c r="B3" s="2">
        <v>45232</v>
      </c>
      <c r="C3" t="s">
        <v>608</v>
      </c>
      <c r="D3" t="s">
        <v>786</v>
      </c>
      <c r="E3" t="s">
        <v>842</v>
      </c>
      <c r="F3">
        <v>3</v>
      </c>
      <c r="G3">
        <v>0.15</v>
      </c>
      <c r="H3" t="s">
        <v>855</v>
      </c>
      <c r="I3" t="str">
        <f>VLOOKUP(C3,Customers!A:C,2,FALSE)&amp;" "&amp;VLOOKUP(C3,Customers!A:C,3,FALSE)</f>
        <v>Christina Dominguez</v>
      </c>
      <c r="J3" t="str">
        <f>VLOOKUP(D3,Products!A:C,2,FALSE)</f>
        <v>National Watches</v>
      </c>
      <c r="K3" t="str">
        <f>VLOOKUP(D3,Products!A:C,3,FALSE)</f>
        <v>Fashion</v>
      </c>
      <c r="L3" t="str">
        <f>VLOOKUP(E3,Stores!A:B,2,FALSE)</f>
        <v>MegaMart Brianahaven</v>
      </c>
      <c r="M3">
        <f>VLOOKUP(D3,Products!A:E,5,FALSE)</f>
        <v>29.24</v>
      </c>
      <c r="N3" s="5">
        <f t="shared" ref="N3:N66" si="0">F3*M3*(1-G3)</f>
        <v>74.561999999999998</v>
      </c>
    </row>
    <row r="4" spans="1:14" x14ac:dyDescent="0.3">
      <c r="A4" t="s">
        <v>857</v>
      </c>
      <c r="B4" s="2">
        <v>45379</v>
      </c>
      <c r="C4" t="s">
        <v>516</v>
      </c>
      <c r="D4" t="s">
        <v>715</v>
      </c>
      <c r="E4" t="s">
        <v>835</v>
      </c>
      <c r="F4">
        <v>2</v>
      </c>
      <c r="G4">
        <v>0.15</v>
      </c>
      <c r="H4" t="s">
        <v>858</v>
      </c>
      <c r="I4" t="str">
        <f>VLOOKUP(C4,Customers!A:C,2,FALSE)&amp;" "&amp;VLOOKUP(C4,Customers!A:C,3,FALSE)</f>
        <v>Suzanne Fox</v>
      </c>
      <c r="J4" t="str">
        <f>VLOOKUP(D4,Products!A:C,2,FALSE)</f>
        <v>Audience Television</v>
      </c>
      <c r="K4" t="str">
        <f>VLOOKUP(D4,Products!A:C,3,FALSE)</f>
        <v>Electronics</v>
      </c>
      <c r="L4" t="str">
        <f>VLOOKUP(E4,Stores!A:B,2,FALSE)</f>
        <v>MegaMart Peckmouth</v>
      </c>
      <c r="M4">
        <f>VLOOKUP(D4,Products!A:E,5,FALSE)</f>
        <v>818.76</v>
      </c>
      <c r="N4" s="5">
        <f t="shared" si="0"/>
        <v>1391.8920000000001</v>
      </c>
    </row>
    <row r="5" spans="1:14" x14ac:dyDescent="0.3">
      <c r="A5" t="s">
        <v>859</v>
      </c>
      <c r="B5" s="2">
        <v>45458</v>
      </c>
      <c r="C5" t="s">
        <v>618</v>
      </c>
      <c r="D5" t="s">
        <v>826</v>
      </c>
      <c r="E5" t="s">
        <v>835</v>
      </c>
      <c r="F5">
        <v>5</v>
      </c>
      <c r="G5">
        <v>0.1</v>
      </c>
      <c r="H5" t="s">
        <v>858</v>
      </c>
      <c r="I5" t="str">
        <f>VLOOKUP(C5,Customers!A:C,2,FALSE)&amp;" "&amp;VLOOKUP(C5,Customers!A:C,3,FALSE)</f>
        <v>Scott Howell</v>
      </c>
      <c r="J5" t="str">
        <f>VLOOKUP(D5,Products!A:C,2,FALSE)</f>
        <v>Maybe Footwear</v>
      </c>
      <c r="K5" t="str">
        <f>VLOOKUP(D5,Products!A:C,3,FALSE)</f>
        <v>Fashion</v>
      </c>
      <c r="L5" t="str">
        <f>VLOOKUP(E5,Stores!A:B,2,FALSE)</f>
        <v>MegaMart Peckmouth</v>
      </c>
      <c r="M5">
        <f>VLOOKUP(D5,Products!A:E,5,FALSE)</f>
        <v>1044.6400000000001</v>
      </c>
      <c r="N5" s="5">
        <f t="shared" si="0"/>
        <v>4700.880000000001</v>
      </c>
    </row>
    <row r="6" spans="1:14" x14ac:dyDescent="0.3">
      <c r="A6" t="s">
        <v>860</v>
      </c>
      <c r="B6" s="2">
        <v>45533</v>
      </c>
      <c r="C6" t="s">
        <v>512</v>
      </c>
      <c r="D6" t="s">
        <v>798</v>
      </c>
      <c r="E6" t="s">
        <v>831</v>
      </c>
      <c r="F6">
        <v>3</v>
      </c>
      <c r="G6">
        <v>0.1</v>
      </c>
      <c r="H6" t="s">
        <v>861</v>
      </c>
      <c r="I6" t="str">
        <f>VLOOKUP(C6,Customers!A:C,2,FALSE)&amp;" "&amp;VLOOKUP(C6,Customers!A:C,3,FALSE)</f>
        <v>Adam Lucas</v>
      </c>
      <c r="J6" t="str">
        <f>VLOOKUP(D6,Products!A:C,2,FALSE)</f>
        <v>New Watches</v>
      </c>
      <c r="K6" t="str">
        <f>VLOOKUP(D6,Products!A:C,3,FALSE)</f>
        <v>Fashion</v>
      </c>
      <c r="L6" t="str">
        <f>VLOOKUP(E6,Stores!A:B,2,FALSE)</f>
        <v>MegaMart Jimenezborough</v>
      </c>
      <c r="M6">
        <f>VLOOKUP(D6,Products!A:E,5,FALSE)</f>
        <v>1501.46</v>
      </c>
      <c r="N6" s="5">
        <f t="shared" si="0"/>
        <v>4053.942</v>
      </c>
    </row>
    <row r="7" spans="1:14" x14ac:dyDescent="0.3">
      <c r="A7" t="s">
        <v>862</v>
      </c>
      <c r="B7" s="2">
        <v>45744</v>
      </c>
      <c r="C7" t="s">
        <v>415</v>
      </c>
      <c r="D7" t="s">
        <v>798</v>
      </c>
      <c r="E7" t="s">
        <v>846</v>
      </c>
      <c r="F7">
        <v>5</v>
      </c>
      <c r="G7">
        <v>0.1</v>
      </c>
      <c r="H7" t="s">
        <v>858</v>
      </c>
      <c r="I7" t="str">
        <f>VLOOKUP(C7,Customers!A:C,2,FALSE)&amp;" "&amp;VLOOKUP(C7,Customers!A:C,3,FALSE)</f>
        <v>Dylan Booker</v>
      </c>
      <c r="J7" t="str">
        <f>VLOOKUP(D7,Products!A:C,2,FALSE)</f>
        <v>New Watches</v>
      </c>
      <c r="K7" t="str">
        <f>VLOOKUP(D7,Products!A:C,3,FALSE)</f>
        <v>Fashion</v>
      </c>
      <c r="L7" t="str">
        <f>VLOOKUP(E7,Stores!A:B,2,FALSE)</f>
        <v>MegaMart Johnmouth</v>
      </c>
      <c r="M7">
        <f>VLOOKUP(D7,Products!A:E,5,FALSE)</f>
        <v>1501.46</v>
      </c>
      <c r="N7" s="5">
        <f t="shared" si="0"/>
        <v>6756.5700000000006</v>
      </c>
    </row>
    <row r="8" spans="1:14" x14ac:dyDescent="0.3">
      <c r="A8" t="s">
        <v>863</v>
      </c>
      <c r="B8" s="2">
        <v>45605</v>
      </c>
      <c r="C8" t="s">
        <v>426</v>
      </c>
      <c r="D8" t="s">
        <v>736</v>
      </c>
      <c r="E8" t="s">
        <v>842</v>
      </c>
      <c r="F8">
        <v>2</v>
      </c>
      <c r="G8">
        <v>0.15</v>
      </c>
      <c r="H8" t="s">
        <v>861</v>
      </c>
      <c r="I8" t="str">
        <f>VLOOKUP(C8,Customers!A:C,2,FALSE)&amp;" "&amp;VLOOKUP(C8,Customers!A:C,3,FALSE)</f>
        <v>Miranda Rodriguez</v>
      </c>
      <c r="J8" t="str">
        <f>VLOOKUP(D8,Products!A:C,2,FALSE)</f>
        <v>Us Snacks</v>
      </c>
      <c r="K8" t="str">
        <f>VLOOKUP(D8,Products!A:C,3,FALSE)</f>
        <v>Groceries</v>
      </c>
      <c r="L8" t="str">
        <f>VLOOKUP(E8,Stores!A:B,2,FALSE)</f>
        <v>MegaMart Brianahaven</v>
      </c>
      <c r="M8">
        <f>VLOOKUP(D8,Products!A:E,5,FALSE)</f>
        <v>123.19</v>
      </c>
      <c r="N8" s="5">
        <f t="shared" si="0"/>
        <v>209.423</v>
      </c>
    </row>
    <row r="9" spans="1:14" x14ac:dyDescent="0.3">
      <c r="A9" t="s">
        <v>864</v>
      </c>
      <c r="B9" s="2">
        <v>45440</v>
      </c>
      <c r="C9" t="s">
        <v>601</v>
      </c>
      <c r="D9" t="s">
        <v>725</v>
      </c>
      <c r="E9" t="s">
        <v>831</v>
      </c>
      <c r="F9">
        <v>3</v>
      </c>
      <c r="G9">
        <v>0.1</v>
      </c>
      <c r="H9" t="s">
        <v>865</v>
      </c>
      <c r="I9" t="str">
        <f>VLOOKUP(C9,Customers!A:C,2,FALSE)&amp;" "&amp;VLOOKUP(C9,Customers!A:C,3,FALSE)</f>
        <v>Travis Watson</v>
      </c>
      <c r="J9" t="str">
        <f>VLOOKUP(D9,Products!A:C,2,FALSE)</f>
        <v>Knowledge Bags</v>
      </c>
      <c r="K9" t="str">
        <f>VLOOKUP(D9,Products!A:C,3,FALSE)</f>
        <v>Fashion</v>
      </c>
      <c r="L9" t="str">
        <f>VLOOKUP(E9,Stores!A:B,2,FALSE)</f>
        <v>MegaMart Jimenezborough</v>
      </c>
      <c r="M9">
        <f>VLOOKUP(D9,Products!A:E,5,FALSE)</f>
        <v>1396.22</v>
      </c>
      <c r="N9" s="5">
        <f t="shared" si="0"/>
        <v>3769.7939999999999</v>
      </c>
    </row>
    <row r="10" spans="1:14" x14ac:dyDescent="0.3">
      <c r="A10" t="s">
        <v>866</v>
      </c>
      <c r="B10" s="2">
        <v>45539</v>
      </c>
      <c r="C10" t="s">
        <v>680</v>
      </c>
      <c r="D10" t="s">
        <v>796</v>
      </c>
      <c r="E10" t="s">
        <v>835</v>
      </c>
      <c r="F10">
        <v>3</v>
      </c>
      <c r="G10">
        <v>0.05</v>
      </c>
      <c r="H10" t="s">
        <v>861</v>
      </c>
      <c r="I10" t="str">
        <f>VLOOKUP(C10,Customers!A:C,2,FALSE)&amp;" "&amp;VLOOKUP(C10,Customers!A:C,3,FALSE)</f>
        <v>Donald Meza</v>
      </c>
      <c r="J10" t="str">
        <f>VLOOKUP(D10,Products!A:C,2,FALSE)</f>
        <v>Chair Laptop</v>
      </c>
      <c r="K10" t="str">
        <f>VLOOKUP(D10,Products!A:C,3,FALSE)</f>
        <v>Electronics</v>
      </c>
      <c r="L10" t="str">
        <f>VLOOKUP(E10,Stores!A:B,2,FALSE)</f>
        <v>MegaMart Peckmouth</v>
      </c>
      <c r="M10">
        <f>VLOOKUP(D10,Products!A:E,5,FALSE)</f>
        <v>1562.43</v>
      </c>
      <c r="N10" s="5">
        <f t="shared" si="0"/>
        <v>4452.9254999999994</v>
      </c>
    </row>
    <row r="11" spans="1:14" x14ac:dyDescent="0.3">
      <c r="A11" t="s">
        <v>867</v>
      </c>
      <c r="B11" s="2">
        <v>45459</v>
      </c>
      <c r="C11" t="s">
        <v>148</v>
      </c>
      <c r="D11" t="s">
        <v>816</v>
      </c>
      <c r="E11" t="s">
        <v>831</v>
      </c>
      <c r="F11">
        <v>1</v>
      </c>
      <c r="G11">
        <v>0.05</v>
      </c>
      <c r="H11" t="s">
        <v>858</v>
      </c>
      <c r="I11" t="str">
        <f>VLOOKUP(C11,Customers!A:C,2,FALSE)&amp;" "&amp;VLOOKUP(C11,Customers!A:C,3,FALSE)</f>
        <v>Tracey Davis</v>
      </c>
      <c r="J11" t="str">
        <f>VLOOKUP(D11,Products!A:C,2,FALSE)</f>
        <v>Set Dairy</v>
      </c>
      <c r="K11" t="str">
        <f>VLOOKUP(D11,Products!A:C,3,FALSE)</f>
        <v>Groceries</v>
      </c>
      <c r="L11" t="str">
        <f>VLOOKUP(E11,Stores!A:B,2,FALSE)</f>
        <v>MegaMart Jimenezborough</v>
      </c>
      <c r="M11">
        <f>VLOOKUP(D11,Products!A:E,5,FALSE)</f>
        <v>1879.08</v>
      </c>
      <c r="N11" s="5">
        <f t="shared" si="0"/>
        <v>1785.1259999999997</v>
      </c>
    </row>
    <row r="12" spans="1:14" x14ac:dyDescent="0.3">
      <c r="A12" t="s">
        <v>868</v>
      </c>
      <c r="B12" s="2">
        <v>45725</v>
      </c>
      <c r="C12" t="s">
        <v>563</v>
      </c>
      <c r="D12" t="s">
        <v>769</v>
      </c>
      <c r="E12" t="s">
        <v>831</v>
      </c>
      <c r="F12">
        <v>4</v>
      </c>
      <c r="G12">
        <v>0.15</v>
      </c>
      <c r="H12" t="s">
        <v>861</v>
      </c>
      <c r="I12" t="str">
        <f>VLOOKUP(C12,Customers!A:C,2,FALSE)&amp;" "&amp;VLOOKUP(C12,Customers!A:C,3,FALSE)</f>
        <v>Connie Terry</v>
      </c>
      <c r="J12" t="str">
        <f>VLOOKUP(D12,Products!A:C,2,FALSE)</f>
        <v>How Vegetables</v>
      </c>
      <c r="K12" t="str">
        <f>VLOOKUP(D12,Products!A:C,3,FALSE)</f>
        <v>Groceries</v>
      </c>
      <c r="L12" t="str">
        <f>VLOOKUP(E12,Stores!A:B,2,FALSE)</f>
        <v>MegaMart Jimenezborough</v>
      </c>
      <c r="M12">
        <f>VLOOKUP(D12,Products!A:E,5,FALSE)</f>
        <v>25.57</v>
      </c>
      <c r="N12" s="5">
        <f t="shared" si="0"/>
        <v>86.938000000000002</v>
      </c>
    </row>
    <row r="13" spans="1:14" x14ac:dyDescent="0.3">
      <c r="A13" t="s">
        <v>869</v>
      </c>
      <c r="B13" s="2">
        <v>45449</v>
      </c>
      <c r="C13" t="s">
        <v>650</v>
      </c>
      <c r="D13" t="s">
        <v>810</v>
      </c>
      <c r="E13" t="s">
        <v>842</v>
      </c>
      <c r="F13">
        <v>4</v>
      </c>
      <c r="G13">
        <v>0.15</v>
      </c>
      <c r="H13" t="s">
        <v>861</v>
      </c>
      <c r="I13" t="str">
        <f>VLOOKUP(C13,Customers!A:C,2,FALSE)&amp;" "&amp;VLOOKUP(C13,Customers!A:C,3,FALSE)</f>
        <v>Daniel Mcintyre</v>
      </c>
      <c r="J13" t="str">
        <f>VLOOKUP(D13,Products!A:C,2,FALSE)</f>
        <v>Maybe Clothing</v>
      </c>
      <c r="K13" t="str">
        <f>VLOOKUP(D13,Products!A:C,3,FALSE)</f>
        <v>Fashion</v>
      </c>
      <c r="L13" t="str">
        <f>VLOOKUP(E13,Stores!A:B,2,FALSE)</f>
        <v>MegaMart Brianahaven</v>
      </c>
      <c r="M13">
        <f>VLOOKUP(D13,Products!A:E,5,FALSE)</f>
        <v>453.62</v>
      </c>
      <c r="N13" s="5">
        <f t="shared" si="0"/>
        <v>1542.308</v>
      </c>
    </row>
    <row r="14" spans="1:14" x14ac:dyDescent="0.3">
      <c r="A14" t="s">
        <v>870</v>
      </c>
      <c r="B14" s="2">
        <v>45201</v>
      </c>
      <c r="C14" t="s">
        <v>148</v>
      </c>
      <c r="D14" t="s">
        <v>822</v>
      </c>
      <c r="E14" t="s">
        <v>831</v>
      </c>
      <c r="F14">
        <v>1</v>
      </c>
      <c r="G14">
        <v>0.15</v>
      </c>
      <c r="H14" t="s">
        <v>861</v>
      </c>
      <c r="I14" t="str">
        <f>VLOOKUP(C14,Customers!A:C,2,FALSE)&amp;" "&amp;VLOOKUP(C14,Customers!A:C,3,FALSE)</f>
        <v>Tracey Davis</v>
      </c>
      <c r="J14" t="str">
        <f>VLOOKUP(D14,Products!A:C,2,FALSE)</f>
        <v>Nor Bags</v>
      </c>
      <c r="K14" t="str">
        <f>VLOOKUP(D14,Products!A:C,3,FALSE)</f>
        <v>Fashion</v>
      </c>
      <c r="L14" t="str">
        <f>VLOOKUP(E14,Stores!A:B,2,FALSE)</f>
        <v>MegaMart Jimenezborough</v>
      </c>
      <c r="M14">
        <f>VLOOKUP(D14,Products!A:E,5,FALSE)</f>
        <v>1216.3599999999999</v>
      </c>
      <c r="N14" s="5">
        <f t="shared" si="0"/>
        <v>1033.9059999999999</v>
      </c>
    </row>
    <row r="15" spans="1:14" x14ac:dyDescent="0.3">
      <c r="A15" t="s">
        <v>871</v>
      </c>
      <c r="B15" s="2">
        <v>45593</v>
      </c>
      <c r="C15" t="s">
        <v>179</v>
      </c>
      <c r="D15" t="s">
        <v>794</v>
      </c>
      <c r="E15" t="s">
        <v>846</v>
      </c>
      <c r="F15">
        <v>4</v>
      </c>
      <c r="G15">
        <v>0</v>
      </c>
      <c r="H15" t="s">
        <v>861</v>
      </c>
      <c r="I15" t="str">
        <f>VLOOKUP(C15,Customers!A:C,2,FALSE)&amp;" "&amp;VLOOKUP(C15,Customers!A:C,3,FALSE)</f>
        <v>Dennis Poole</v>
      </c>
      <c r="J15" t="str">
        <f>VLOOKUP(D15,Products!A:C,2,FALSE)</f>
        <v>Everything Laptop</v>
      </c>
      <c r="K15" t="str">
        <f>VLOOKUP(D15,Products!A:C,3,FALSE)</f>
        <v>Electronics</v>
      </c>
      <c r="L15" t="str">
        <f>VLOOKUP(E15,Stores!A:B,2,FALSE)</f>
        <v>MegaMart Johnmouth</v>
      </c>
      <c r="M15">
        <f>VLOOKUP(D15,Products!A:E,5,FALSE)</f>
        <v>428.05</v>
      </c>
      <c r="N15" s="5">
        <f t="shared" si="0"/>
        <v>1712.2</v>
      </c>
    </row>
    <row r="16" spans="1:14" x14ac:dyDescent="0.3">
      <c r="A16" t="s">
        <v>872</v>
      </c>
      <c r="B16" s="2">
        <v>45739</v>
      </c>
      <c r="C16" t="s">
        <v>127</v>
      </c>
      <c r="D16" t="s">
        <v>755</v>
      </c>
      <c r="E16" t="s">
        <v>842</v>
      </c>
      <c r="F16">
        <v>2</v>
      </c>
      <c r="G16">
        <v>0.15</v>
      </c>
      <c r="H16" t="s">
        <v>855</v>
      </c>
      <c r="I16" t="str">
        <f>VLOOKUP(C16,Customers!A:C,2,FALSE)&amp;" "&amp;VLOOKUP(C16,Customers!A:C,3,FALSE)</f>
        <v>Valerie Macdonald</v>
      </c>
      <c r="J16" t="str">
        <f>VLOOKUP(D16,Products!A:C,2,FALSE)</f>
        <v>House Accessories</v>
      </c>
      <c r="K16" t="str">
        <f>VLOOKUP(D16,Products!A:C,3,FALSE)</f>
        <v>Fashion</v>
      </c>
      <c r="L16" t="str">
        <f>VLOOKUP(E16,Stores!A:B,2,FALSE)</f>
        <v>MegaMart Brianahaven</v>
      </c>
      <c r="M16">
        <f>VLOOKUP(D16,Products!A:E,5,FALSE)</f>
        <v>1858.75</v>
      </c>
      <c r="N16" s="5">
        <f t="shared" si="0"/>
        <v>3159.875</v>
      </c>
    </row>
    <row r="17" spans="1:14" x14ac:dyDescent="0.3">
      <c r="A17" t="s">
        <v>873</v>
      </c>
      <c r="B17" s="2">
        <v>45274</v>
      </c>
      <c r="C17" t="s">
        <v>683</v>
      </c>
      <c r="D17" t="s">
        <v>774</v>
      </c>
      <c r="E17" t="s">
        <v>842</v>
      </c>
      <c r="F17">
        <v>5</v>
      </c>
      <c r="G17">
        <v>0.15</v>
      </c>
      <c r="H17" t="s">
        <v>858</v>
      </c>
      <c r="I17" t="str">
        <f>VLOOKUP(C17,Customers!A:C,2,FALSE)&amp;" "&amp;VLOOKUP(C17,Customers!A:C,3,FALSE)</f>
        <v>Ann West</v>
      </c>
      <c r="J17" t="str">
        <f>VLOOKUP(D17,Products!A:C,2,FALSE)</f>
        <v>Him Smartphone</v>
      </c>
      <c r="K17" t="str">
        <f>VLOOKUP(D17,Products!A:C,3,FALSE)</f>
        <v>Electronics</v>
      </c>
      <c r="L17" t="str">
        <f>VLOOKUP(E17,Stores!A:B,2,FALSE)</f>
        <v>MegaMart Brianahaven</v>
      </c>
      <c r="M17">
        <f>VLOOKUP(D17,Products!A:E,5,FALSE)</f>
        <v>1487.41</v>
      </c>
      <c r="N17" s="5">
        <f t="shared" si="0"/>
        <v>6321.4925000000003</v>
      </c>
    </row>
    <row r="18" spans="1:14" x14ac:dyDescent="0.3">
      <c r="A18" t="s">
        <v>874</v>
      </c>
      <c r="B18" s="2">
        <v>45650</v>
      </c>
      <c r="C18" t="s">
        <v>159</v>
      </c>
      <c r="D18" t="s">
        <v>778</v>
      </c>
      <c r="E18" t="s">
        <v>842</v>
      </c>
      <c r="F18">
        <v>4</v>
      </c>
      <c r="G18">
        <v>0.1</v>
      </c>
      <c r="H18" t="s">
        <v>861</v>
      </c>
      <c r="I18" t="str">
        <f>VLOOKUP(C18,Customers!A:C,2,FALSE)&amp;" "&amp;VLOOKUP(C18,Customers!A:C,3,FALSE)</f>
        <v>Melissa Rodgers</v>
      </c>
      <c r="J18" t="str">
        <f>VLOOKUP(D18,Products!A:C,2,FALSE)</f>
        <v>Behavior Dairy</v>
      </c>
      <c r="K18" t="str">
        <f>VLOOKUP(D18,Products!A:C,3,FALSE)</f>
        <v>Groceries</v>
      </c>
      <c r="L18" t="str">
        <f>VLOOKUP(E18,Stores!A:B,2,FALSE)</f>
        <v>MegaMart Brianahaven</v>
      </c>
      <c r="M18">
        <f>VLOOKUP(D18,Products!A:E,5,FALSE)</f>
        <v>1015.76</v>
      </c>
      <c r="N18" s="5">
        <f t="shared" si="0"/>
        <v>3656.7359999999999</v>
      </c>
    </row>
    <row r="19" spans="1:14" x14ac:dyDescent="0.3">
      <c r="A19" t="s">
        <v>875</v>
      </c>
      <c r="B19" s="2">
        <v>45807</v>
      </c>
      <c r="C19" t="s">
        <v>585</v>
      </c>
      <c r="D19" t="s">
        <v>792</v>
      </c>
      <c r="E19" t="s">
        <v>839</v>
      </c>
      <c r="F19">
        <v>5</v>
      </c>
      <c r="G19">
        <v>0.15</v>
      </c>
      <c r="H19" t="s">
        <v>861</v>
      </c>
      <c r="I19" t="str">
        <f>VLOOKUP(C19,Customers!A:C,2,FALSE)&amp;" "&amp;VLOOKUP(C19,Customers!A:C,3,FALSE)</f>
        <v>Linda Vasquez</v>
      </c>
      <c r="J19" t="str">
        <f>VLOOKUP(D19,Products!A:C,2,FALSE)</f>
        <v>Beat Accessories</v>
      </c>
      <c r="K19" t="str">
        <f>VLOOKUP(D19,Products!A:C,3,FALSE)</f>
        <v>Fashion</v>
      </c>
      <c r="L19" t="str">
        <f>VLOOKUP(E19,Stores!A:B,2,FALSE)</f>
        <v>MegaMart New Michele</v>
      </c>
      <c r="M19">
        <f>VLOOKUP(D19,Products!A:E,5,FALSE)</f>
        <v>1798.97</v>
      </c>
      <c r="N19" s="5">
        <f t="shared" si="0"/>
        <v>7645.6225000000004</v>
      </c>
    </row>
    <row r="20" spans="1:14" x14ac:dyDescent="0.3">
      <c r="A20" t="s">
        <v>876</v>
      </c>
      <c r="B20" s="2">
        <v>45768</v>
      </c>
      <c r="C20" t="s">
        <v>270</v>
      </c>
      <c r="D20" t="s">
        <v>742</v>
      </c>
      <c r="E20" t="s">
        <v>842</v>
      </c>
      <c r="F20">
        <v>1</v>
      </c>
      <c r="G20">
        <v>0.1</v>
      </c>
      <c r="H20" t="s">
        <v>861</v>
      </c>
      <c r="I20" t="str">
        <f>VLOOKUP(C20,Customers!A:C,2,FALSE)&amp;" "&amp;VLOOKUP(C20,Customers!A:C,3,FALSE)</f>
        <v>Denise Gutierrez</v>
      </c>
      <c r="J20" t="str">
        <f>VLOOKUP(D20,Products!A:C,2,FALSE)</f>
        <v>Either Headphones</v>
      </c>
      <c r="K20" t="str">
        <f>VLOOKUP(D20,Products!A:C,3,FALSE)</f>
        <v>Electronics</v>
      </c>
      <c r="L20" t="str">
        <f>VLOOKUP(E20,Stores!A:B,2,FALSE)</f>
        <v>MegaMart Brianahaven</v>
      </c>
      <c r="M20">
        <f>VLOOKUP(D20,Products!A:E,5,FALSE)</f>
        <v>248.57</v>
      </c>
      <c r="N20" s="5">
        <f t="shared" si="0"/>
        <v>223.71299999999999</v>
      </c>
    </row>
    <row r="21" spans="1:14" x14ac:dyDescent="0.3">
      <c r="A21" t="s">
        <v>877</v>
      </c>
      <c r="B21" s="2">
        <v>45664</v>
      </c>
      <c r="C21" t="s">
        <v>266</v>
      </c>
      <c r="D21" t="s">
        <v>732</v>
      </c>
      <c r="E21" t="s">
        <v>839</v>
      </c>
      <c r="F21">
        <v>3</v>
      </c>
      <c r="G21">
        <v>0</v>
      </c>
      <c r="H21" t="s">
        <v>861</v>
      </c>
      <c r="I21" t="str">
        <f>VLOOKUP(C21,Customers!A:C,2,FALSE)&amp;" "&amp;VLOOKUP(C21,Customers!A:C,3,FALSE)</f>
        <v>Eric Bryan</v>
      </c>
      <c r="J21" t="str">
        <f>VLOOKUP(D21,Products!A:C,2,FALSE)</f>
        <v>Understand Camera</v>
      </c>
      <c r="K21" t="str">
        <f>VLOOKUP(D21,Products!A:C,3,FALSE)</f>
        <v>Electronics</v>
      </c>
      <c r="L21" t="str">
        <f>VLOOKUP(E21,Stores!A:B,2,FALSE)</f>
        <v>MegaMart New Michele</v>
      </c>
      <c r="M21">
        <f>VLOOKUP(D21,Products!A:E,5,FALSE)</f>
        <v>1474.12</v>
      </c>
      <c r="N21" s="5">
        <f t="shared" si="0"/>
        <v>4422.3599999999997</v>
      </c>
    </row>
    <row r="22" spans="1:14" x14ac:dyDescent="0.3">
      <c r="A22" t="s">
        <v>878</v>
      </c>
      <c r="B22" s="2">
        <v>45612</v>
      </c>
      <c r="C22" t="s">
        <v>151</v>
      </c>
      <c r="D22" t="s">
        <v>759</v>
      </c>
      <c r="E22" t="s">
        <v>835</v>
      </c>
      <c r="F22">
        <v>4</v>
      </c>
      <c r="G22">
        <v>0.05</v>
      </c>
      <c r="H22" t="s">
        <v>861</v>
      </c>
      <c r="I22" t="str">
        <f>VLOOKUP(C22,Customers!A:C,2,FALSE)&amp;" "&amp;VLOOKUP(C22,Customers!A:C,3,FALSE)</f>
        <v>Nancy Savage</v>
      </c>
      <c r="J22" t="str">
        <f>VLOOKUP(D22,Products!A:C,2,FALSE)</f>
        <v>Democratic Smartphone</v>
      </c>
      <c r="K22" t="str">
        <f>VLOOKUP(D22,Products!A:C,3,FALSE)</f>
        <v>Electronics</v>
      </c>
      <c r="L22" t="str">
        <f>VLOOKUP(E22,Stores!A:B,2,FALSE)</f>
        <v>MegaMart Peckmouth</v>
      </c>
      <c r="M22">
        <f>VLOOKUP(D22,Products!A:E,5,FALSE)</f>
        <v>1079.8900000000001</v>
      </c>
      <c r="N22" s="5">
        <f t="shared" si="0"/>
        <v>4103.5820000000003</v>
      </c>
    </row>
    <row r="23" spans="1:14" x14ac:dyDescent="0.3">
      <c r="A23" t="s">
        <v>879</v>
      </c>
      <c r="B23" s="2">
        <v>45622</v>
      </c>
      <c r="C23" t="s">
        <v>71</v>
      </c>
      <c r="D23" t="s">
        <v>769</v>
      </c>
      <c r="E23" t="s">
        <v>842</v>
      </c>
      <c r="F23">
        <v>4</v>
      </c>
      <c r="G23">
        <v>0.1</v>
      </c>
      <c r="H23" t="s">
        <v>858</v>
      </c>
      <c r="I23" t="str">
        <f>VLOOKUP(C23,Customers!A:C,2,FALSE)&amp;" "&amp;VLOOKUP(C23,Customers!A:C,3,FALSE)</f>
        <v>Vanessa Anderson</v>
      </c>
      <c r="J23" t="str">
        <f>VLOOKUP(D23,Products!A:C,2,FALSE)</f>
        <v>How Vegetables</v>
      </c>
      <c r="K23" t="str">
        <f>VLOOKUP(D23,Products!A:C,3,FALSE)</f>
        <v>Groceries</v>
      </c>
      <c r="L23" t="str">
        <f>VLOOKUP(E23,Stores!A:B,2,FALSE)</f>
        <v>MegaMart Brianahaven</v>
      </c>
      <c r="M23">
        <f>VLOOKUP(D23,Products!A:E,5,FALSE)</f>
        <v>25.57</v>
      </c>
      <c r="N23" s="5">
        <f t="shared" si="0"/>
        <v>92.052000000000007</v>
      </c>
    </row>
    <row r="24" spans="1:14" x14ac:dyDescent="0.3">
      <c r="A24" t="s">
        <v>880</v>
      </c>
      <c r="B24" s="2">
        <v>45506</v>
      </c>
      <c r="C24" t="s">
        <v>399</v>
      </c>
      <c r="D24" t="s">
        <v>772</v>
      </c>
      <c r="E24" t="s">
        <v>831</v>
      </c>
      <c r="F24">
        <v>2</v>
      </c>
      <c r="G24">
        <v>0.15</v>
      </c>
      <c r="H24" t="s">
        <v>858</v>
      </c>
      <c r="I24" t="str">
        <f>VLOOKUP(C24,Customers!A:C,2,FALSE)&amp;" "&amp;VLOOKUP(C24,Customers!A:C,3,FALSE)</f>
        <v>Victoria Hansen</v>
      </c>
      <c r="J24" t="str">
        <f>VLOOKUP(D24,Products!A:C,2,FALSE)</f>
        <v>And Footwear</v>
      </c>
      <c r="K24" t="str">
        <f>VLOOKUP(D24,Products!A:C,3,FALSE)</f>
        <v>Fashion</v>
      </c>
      <c r="L24" t="str">
        <f>VLOOKUP(E24,Stores!A:B,2,FALSE)</f>
        <v>MegaMart Jimenezborough</v>
      </c>
      <c r="M24">
        <f>VLOOKUP(D24,Products!A:E,5,FALSE)</f>
        <v>1878.47</v>
      </c>
      <c r="N24" s="5">
        <f t="shared" si="0"/>
        <v>3193.3989999999999</v>
      </c>
    </row>
    <row r="25" spans="1:14" x14ac:dyDescent="0.3">
      <c r="A25" t="s">
        <v>881</v>
      </c>
      <c r="B25" s="2">
        <v>45746</v>
      </c>
      <c r="C25" t="s">
        <v>696</v>
      </c>
      <c r="D25" t="s">
        <v>747</v>
      </c>
      <c r="E25" t="s">
        <v>846</v>
      </c>
      <c r="F25">
        <v>1</v>
      </c>
      <c r="G25">
        <v>0.15</v>
      </c>
      <c r="H25" t="s">
        <v>858</v>
      </c>
      <c r="I25" t="str">
        <f>VLOOKUP(C25,Customers!A:C,2,FALSE)&amp;" "&amp;VLOOKUP(C25,Customers!A:C,3,FALSE)</f>
        <v>Jessica Mullins</v>
      </c>
      <c r="J25" t="str">
        <f>VLOOKUP(D25,Products!A:C,2,FALSE)</f>
        <v>World Watches</v>
      </c>
      <c r="K25" t="str">
        <f>VLOOKUP(D25,Products!A:C,3,FALSE)</f>
        <v>Fashion</v>
      </c>
      <c r="L25" t="str">
        <f>VLOOKUP(E25,Stores!A:B,2,FALSE)</f>
        <v>MegaMart Johnmouth</v>
      </c>
      <c r="M25">
        <f>VLOOKUP(D25,Products!A:E,5,FALSE)</f>
        <v>1134.8</v>
      </c>
      <c r="N25" s="5">
        <f t="shared" si="0"/>
        <v>964.57999999999993</v>
      </c>
    </row>
    <row r="26" spans="1:14" x14ac:dyDescent="0.3">
      <c r="A26" t="s">
        <v>882</v>
      </c>
      <c r="B26" s="2">
        <v>45445</v>
      </c>
      <c r="C26" t="s">
        <v>12</v>
      </c>
      <c r="D26" t="s">
        <v>804</v>
      </c>
      <c r="E26" t="s">
        <v>839</v>
      </c>
      <c r="F26">
        <v>3</v>
      </c>
      <c r="G26">
        <v>0.15</v>
      </c>
      <c r="H26" t="s">
        <v>858</v>
      </c>
      <c r="I26" t="str">
        <f>VLOOKUP(C26,Customers!A:C,2,FALSE)&amp;" "&amp;VLOOKUP(C26,Customers!A:C,3,FALSE)</f>
        <v>Michael Miller</v>
      </c>
      <c r="J26" t="str">
        <f>VLOOKUP(D26,Products!A:C,2,FALSE)</f>
        <v>Church Clothing</v>
      </c>
      <c r="K26" t="str">
        <f>VLOOKUP(D26,Products!A:C,3,FALSE)</f>
        <v>Fashion</v>
      </c>
      <c r="L26" t="str">
        <f>VLOOKUP(E26,Stores!A:B,2,FALSE)</f>
        <v>MegaMart New Michele</v>
      </c>
      <c r="M26">
        <f>VLOOKUP(D26,Products!A:E,5,FALSE)</f>
        <v>540.94000000000005</v>
      </c>
      <c r="N26" s="5">
        <f t="shared" si="0"/>
        <v>1379.3970000000002</v>
      </c>
    </row>
    <row r="27" spans="1:14" x14ac:dyDescent="0.3">
      <c r="A27" t="s">
        <v>883</v>
      </c>
      <c r="B27" s="2">
        <v>45591</v>
      </c>
      <c r="C27" t="s">
        <v>503</v>
      </c>
      <c r="D27" t="s">
        <v>766</v>
      </c>
      <c r="E27" t="s">
        <v>846</v>
      </c>
      <c r="F27">
        <v>5</v>
      </c>
      <c r="G27">
        <v>0.05</v>
      </c>
      <c r="H27" t="s">
        <v>858</v>
      </c>
      <c r="I27" t="str">
        <f>VLOOKUP(C27,Customers!A:C,2,FALSE)&amp;" "&amp;VLOOKUP(C27,Customers!A:C,3,FALSE)</f>
        <v>Breanna Moore</v>
      </c>
      <c r="J27" t="str">
        <f>VLOOKUP(D27,Products!A:C,2,FALSE)</f>
        <v>Firm Dairy</v>
      </c>
      <c r="K27" t="str">
        <f>VLOOKUP(D27,Products!A:C,3,FALSE)</f>
        <v>Groceries</v>
      </c>
      <c r="L27" t="str">
        <f>VLOOKUP(E27,Stores!A:B,2,FALSE)</f>
        <v>MegaMart Johnmouth</v>
      </c>
      <c r="M27">
        <f>VLOOKUP(D27,Products!A:E,5,FALSE)</f>
        <v>1227.24</v>
      </c>
      <c r="N27" s="5">
        <f t="shared" si="0"/>
        <v>5829.3899999999994</v>
      </c>
    </row>
    <row r="28" spans="1:14" x14ac:dyDescent="0.3">
      <c r="A28" t="s">
        <v>884</v>
      </c>
      <c r="B28" s="2">
        <v>45314</v>
      </c>
      <c r="C28" t="s">
        <v>221</v>
      </c>
      <c r="D28" t="s">
        <v>804</v>
      </c>
      <c r="E28" t="s">
        <v>839</v>
      </c>
      <c r="F28">
        <v>4</v>
      </c>
      <c r="G28">
        <v>0.15</v>
      </c>
      <c r="H28" t="s">
        <v>865</v>
      </c>
      <c r="I28" t="str">
        <f>VLOOKUP(C28,Customers!A:C,2,FALSE)&amp;" "&amp;VLOOKUP(C28,Customers!A:C,3,FALSE)</f>
        <v>Julie Gibson</v>
      </c>
      <c r="J28" t="str">
        <f>VLOOKUP(D28,Products!A:C,2,FALSE)</f>
        <v>Church Clothing</v>
      </c>
      <c r="K28" t="str">
        <f>VLOOKUP(D28,Products!A:C,3,FALSE)</f>
        <v>Fashion</v>
      </c>
      <c r="L28" t="str">
        <f>VLOOKUP(E28,Stores!A:B,2,FALSE)</f>
        <v>MegaMart New Michele</v>
      </c>
      <c r="M28">
        <f>VLOOKUP(D28,Products!A:E,5,FALSE)</f>
        <v>540.94000000000005</v>
      </c>
      <c r="N28" s="5">
        <f t="shared" si="0"/>
        <v>1839.1960000000001</v>
      </c>
    </row>
    <row r="29" spans="1:14" x14ac:dyDescent="0.3">
      <c r="A29" t="s">
        <v>885</v>
      </c>
      <c r="B29" s="2">
        <v>45641</v>
      </c>
      <c r="C29" t="s">
        <v>375</v>
      </c>
      <c r="D29" t="s">
        <v>764</v>
      </c>
      <c r="E29" t="s">
        <v>839</v>
      </c>
      <c r="F29">
        <v>4</v>
      </c>
      <c r="G29">
        <v>0.05</v>
      </c>
      <c r="H29" t="s">
        <v>858</v>
      </c>
      <c r="I29" t="str">
        <f>VLOOKUP(C29,Customers!A:C,2,FALSE)&amp;" "&amp;VLOOKUP(C29,Customers!A:C,3,FALSE)</f>
        <v>Sean Hart</v>
      </c>
      <c r="J29" t="str">
        <f>VLOOKUP(D29,Products!A:C,2,FALSE)</f>
        <v>Simple Accessories</v>
      </c>
      <c r="K29" t="str">
        <f>VLOOKUP(D29,Products!A:C,3,FALSE)</f>
        <v>Fashion</v>
      </c>
      <c r="L29" t="str">
        <f>VLOOKUP(E29,Stores!A:B,2,FALSE)</f>
        <v>MegaMart New Michele</v>
      </c>
      <c r="M29">
        <f>VLOOKUP(D29,Products!A:E,5,FALSE)</f>
        <v>323.92</v>
      </c>
      <c r="N29" s="5">
        <f t="shared" si="0"/>
        <v>1230.896</v>
      </c>
    </row>
    <row r="30" spans="1:14" x14ac:dyDescent="0.3">
      <c r="A30" t="s">
        <v>886</v>
      </c>
      <c r="B30" s="2">
        <v>45756</v>
      </c>
      <c r="C30" t="s">
        <v>130</v>
      </c>
      <c r="D30" t="s">
        <v>747</v>
      </c>
      <c r="E30" t="s">
        <v>846</v>
      </c>
      <c r="F30">
        <v>5</v>
      </c>
      <c r="G30">
        <v>0</v>
      </c>
      <c r="H30" t="s">
        <v>858</v>
      </c>
      <c r="I30" t="str">
        <f>VLOOKUP(C30,Customers!A:C,2,FALSE)&amp;" "&amp;VLOOKUP(C30,Customers!A:C,3,FALSE)</f>
        <v>Jenny Beck</v>
      </c>
      <c r="J30" t="str">
        <f>VLOOKUP(D30,Products!A:C,2,FALSE)</f>
        <v>World Watches</v>
      </c>
      <c r="K30" t="str">
        <f>VLOOKUP(D30,Products!A:C,3,FALSE)</f>
        <v>Fashion</v>
      </c>
      <c r="L30" t="str">
        <f>VLOOKUP(E30,Stores!A:B,2,FALSE)</f>
        <v>MegaMart Johnmouth</v>
      </c>
      <c r="M30">
        <f>VLOOKUP(D30,Products!A:E,5,FALSE)</f>
        <v>1134.8</v>
      </c>
      <c r="N30" s="5">
        <f t="shared" si="0"/>
        <v>5674</v>
      </c>
    </row>
    <row r="31" spans="1:14" x14ac:dyDescent="0.3">
      <c r="A31" t="s">
        <v>887</v>
      </c>
      <c r="B31" s="2">
        <v>45714</v>
      </c>
      <c r="C31" t="s">
        <v>549</v>
      </c>
      <c r="D31" t="s">
        <v>782</v>
      </c>
      <c r="E31" t="s">
        <v>846</v>
      </c>
      <c r="F31">
        <v>1</v>
      </c>
      <c r="G31">
        <v>0</v>
      </c>
      <c r="H31" t="s">
        <v>858</v>
      </c>
      <c r="I31" t="str">
        <f>VLOOKUP(C31,Customers!A:C,2,FALSE)&amp;" "&amp;VLOOKUP(C31,Customers!A:C,3,FALSE)</f>
        <v>Brittany Green</v>
      </c>
      <c r="J31" t="str">
        <f>VLOOKUP(D31,Products!A:C,2,FALSE)</f>
        <v>Deal Smartphone</v>
      </c>
      <c r="K31" t="str">
        <f>VLOOKUP(D31,Products!A:C,3,FALSE)</f>
        <v>Electronics</v>
      </c>
      <c r="L31" t="str">
        <f>VLOOKUP(E31,Stores!A:B,2,FALSE)</f>
        <v>MegaMart Johnmouth</v>
      </c>
      <c r="M31">
        <f>VLOOKUP(D31,Products!A:E,5,FALSE)</f>
        <v>673.78</v>
      </c>
      <c r="N31" s="5">
        <f t="shared" si="0"/>
        <v>673.78</v>
      </c>
    </row>
    <row r="32" spans="1:14" x14ac:dyDescent="0.3">
      <c r="A32" t="s">
        <v>888</v>
      </c>
      <c r="B32" s="2">
        <v>45642</v>
      </c>
      <c r="C32" t="s">
        <v>137</v>
      </c>
      <c r="D32" t="s">
        <v>761</v>
      </c>
      <c r="E32" t="s">
        <v>842</v>
      </c>
      <c r="F32">
        <v>2</v>
      </c>
      <c r="G32">
        <v>0</v>
      </c>
      <c r="H32" t="s">
        <v>855</v>
      </c>
      <c r="I32" t="str">
        <f>VLOOKUP(C32,Customers!A:C,2,FALSE)&amp;" "&amp;VLOOKUP(C32,Customers!A:C,3,FALSE)</f>
        <v>Kimberly King</v>
      </c>
      <c r="J32" t="str">
        <f>VLOOKUP(D32,Products!A:C,2,FALSE)</f>
        <v>Traditional Laptop</v>
      </c>
      <c r="K32" t="str">
        <f>VLOOKUP(D32,Products!A:C,3,FALSE)</f>
        <v>Electronics</v>
      </c>
      <c r="L32" t="str">
        <f>VLOOKUP(E32,Stores!A:B,2,FALSE)</f>
        <v>MegaMart Brianahaven</v>
      </c>
      <c r="M32">
        <f>VLOOKUP(D32,Products!A:E,5,FALSE)</f>
        <v>1762.92</v>
      </c>
      <c r="N32" s="5">
        <f t="shared" si="0"/>
        <v>3525.84</v>
      </c>
    </row>
    <row r="33" spans="1:14" x14ac:dyDescent="0.3">
      <c r="A33" t="s">
        <v>889</v>
      </c>
      <c r="B33" s="2">
        <v>45673</v>
      </c>
      <c r="C33" t="s">
        <v>368</v>
      </c>
      <c r="D33" t="s">
        <v>782</v>
      </c>
      <c r="E33" t="s">
        <v>839</v>
      </c>
      <c r="F33">
        <v>2</v>
      </c>
      <c r="G33">
        <v>0.15</v>
      </c>
      <c r="H33" t="s">
        <v>855</v>
      </c>
      <c r="I33" t="str">
        <f>VLOOKUP(C33,Customers!A:C,2,FALSE)&amp;" "&amp;VLOOKUP(C33,Customers!A:C,3,FALSE)</f>
        <v>Lisa Vega</v>
      </c>
      <c r="J33" t="str">
        <f>VLOOKUP(D33,Products!A:C,2,FALSE)</f>
        <v>Deal Smartphone</v>
      </c>
      <c r="K33" t="str">
        <f>VLOOKUP(D33,Products!A:C,3,FALSE)</f>
        <v>Electronics</v>
      </c>
      <c r="L33" t="str">
        <f>VLOOKUP(E33,Stores!A:B,2,FALSE)</f>
        <v>MegaMart New Michele</v>
      </c>
      <c r="M33">
        <f>VLOOKUP(D33,Products!A:E,5,FALSE)</f>
        <v>673.78</v>
      </c>
      <c r="N33" s="5">
        <f t="shared" si="0"/>
        <v>1145.4259999999999</v>
      </c>
    </row>
    <row r="34" spans="1:14" x14ac:dyDescent="0.3">
      <c r="A34" t="s">
        <v>890</v>
      </c>
      <c r="B34" s="2">
        <v>45858</v>
      </c>
      <c r="C34" t="s">
        <v>327</v>
      </c>
      <c r="D34" t="s">
        <v>766</v>
      </c>
      <c r="E34" t="s">
        <v>842</v>
      </c>
      <c r="F34">
        <v>3</v>
      </c>
      <c r="G34">
        <v>0.15</v>
      </c>
      <c r="H34" t="s">
        <v>855</v>
      </c>
      <c r="I34" t="str">
        <f>VLOOKUP(C34,Customers!A:C,2,FALSE)&amp;" "&amp;VLOOKUP(C34,Customers!A:C,3,FALSE)</f>
        <v>Laurie Mason</v>
      </c>
      <c r="J34" t="str">
        <f>VLOOKUP(D34,Products!A:C,2,FALSE)</f>
        <v>Firm Dairy</v>
      </c>
      <c r="K34" t="str">
        <f>VLOOKUP(D34,Products!A:C,3,FALSE)</f>
        <v>Groceries</v>
      </c>
      <c r="L34" t="str">
        <f>VLOOKUP(E34,Stores!A:B,2,FALSE)</f>
        <v>MegaMart Brianahaven</v>
      </c>
      <c r="M34">
        <f>VLOOKUP(D34,Products!A:E,5,FALSE)</f>
        <v>1227.24</v>
      </c>
      <c r="N34" s="5">
        <f t="shared" si="0"/>
        <v>3129.462</v>
      </c>
    </row>
    <row r="35" spans="1:14" x14ac:dyDescent="0.3">
      <c r="A35" t="s">
        <v>891</v>
      </c>
      <c r="B35" s="2">
        <v>45243</v>
      </c>
      <c r="C35" t="s">
        <v>85</v>
      </c>
      <c r="D35" t="s">
        <v>800</v>
      </c>
      <c r="E35" t="s">
        <v>842</v>
      </c>
      <c r="F35">
        <v>1</v>
      </c>
      <c r="G35">
        <v>0</v>
      </c>
      <c r="H35" t="s">
        <v>855</v>
      </c>
      <c r="I35" t="str">
        <f>VLOOKUP(C35,Customers!A:C,2,FALSE)&amp;" "&amp;VLOOKUP(C35,Customers!A:C,3,FALSE)</f>
        <v>Debbie Martin</v>
      </c>
      <c r="J35" t="str">
        <f>VLOOKUP(D35,Products!A:C,2,FALSE)</f>
        <v>Book Television</v>
      </c>
      <c r="K35" t="str">
        <f>VLOOKUP(D35,Products!A:C,3,FALSE)</f>
        <v>Electronics</v>
      </c>
      <c r="L35" t="str">
        <f>VLOOKUP(E35,Stores!A:B,2,FALSE)</f>
        <v>MegaMart Brianahaven</v>
      </c>
      <c r="M35">
        <f>VLOOKUP(D35,Products!A:E,5,FALSE)</f>
        <v>1952.65</v>
      </c>
      <c r="N35" s="5">
        <f t="shared" si="0"/>
        <v>1952.65</v>
      </c>
    </row>
    <row r="36" spans="1:14" x14ac:dyDescent="0.3">
      <c r="A36" t="s">
        <v>892</v>
      </c>
      <c r="B36" s="2">
        <v>45338</v>
      </c>
      <c r="C36" t="s">
        <v>224</v>
      </c>
      <c r="D36" t="s">
        <v>820</v>
      </c>
      <c r="E36" t="s">
        <v>831</v>
      </c>
      <c r="F36">
        <v>1</v>
      </c>
      <c r="G36">
        <v>0</v>
      </c>
      <c r="H36" t="s">
        <v>861</v>
      </c>
      <c r="I36" t="str">
        <f>VLOOKUP(C36,Customers!A:C,2,FALSE)&amp;" "&amp;VLOOKUP(C36,Customers!A:C,3,FALSE)</f>
        <v>Lawrence Stewart</v>
      </c>
      <c r="J36" t="str">
        <f>VLOOKUP(D36,Products!A:C,2,FALSE)</f>
        <v>Or Smartphone</v>
      </c>
      <c r="K36" t="str">
        <f>VLOOKUP(D36,Products!A:C,3,FALSE)</f>
        <v>Electronics</v>
      </c>
      <c r="L36" t="str">
        <f>VLOOKUP(E36,Stores!A:B,2,FALSE)</f>
        <v>MegaMart Jimenezborough</v>
      </c>
      <c r="M36">
        <f>VLOOKUP(D36,Products!A:E,5,FALSE)</f>
        <v>1197.18</v>
      </c>
      <c r="N36" s="5">
        <f t="shared" si="0"/>
        <v>1197.18</v>
      </c>
    </row>
    <row r="37" spans="1:14" x14ac:dyDescent="0.3">
      <c r="A37" t="s">
        <v>893</v>
      </c>
      <c r="B37" s="2">
        <v>45811</v>
      </c>
      <c r="C37" t="s">
        <v>202</v>
      </c>
      <c r="D37" t="s">
        <v>824</v>
      </c>
      <c r="E37" t="s">
        <v>831</v>
      </c>
      <c r="F37">
        <v>5</v>
      </c>
      <c r="G37">
        <v>0.05</v>
      </c>
      <c r="H37" t="s">
        <v>861</v>
      </c>
      <c r="I37" t="str">
        <f>VLOOKUP(C37,Customers!A:C,2,FALSE)&amp;" "&amp;VLOOKUP(C37,Customers!A:C,3,FALSE)</f>
        <v>Billy Hernandez</v>
      </c>
      <c r="J37" t="str">
        <f>VLOOKUP(D37,Products!A:C,2,FALSE)</f>
        <v>Possible Watches</v>
      </c>
      <c r="K37" t="str">
        <f>VLOOKUP(D37,Products!A:C,3,FALSE)</f>
        <v>Fashion</v>
      </c>
      <c r="L37" t="str">
        <f>VLOOKUP(E37,Stores!A:B,2,FALSE)</f>
        <v>MegaMart Jimenezborough</v>
      </c>
      <c r="M37">
        <f>VLOOKUP(D37,Products!A:E,5,FALSE)</f>
        <v>388.26</v>
      </c>
      <c r="N37" s="5">
        <f t="shared" si="0"/>
        <v>1844.2349999999999</v>
      </c>
    </row>
    <row r="38" spans="1:14" x14ac:dyDescent="0.3">
      <c r="A38" t="s">
        <v>894</v>
      </c>
      <c r="B38" s="2">
        <v>45308</v>
      </c>
      <c r="C38" t="s">
        <v>130</v>
      </c>
      <c r="D38" t="s">
        <v>786</v>
      </c>
      <c r="E38" t="s">
        <v>842</v>
      </c>
      <c r="F38">
        <v>1</v>
      </c>
      <c r="G38">
        <v>0.05</v>
      </c>
      <c r="H38" t="s">
        <v>858</v>
      </c>
      <c r="I38" t="str">
        <f>VLOOKUP(C38,Customers!A:C,2,FALSE)&amp;" "&amp;VLOOKUP(C38,Customers!A:C,3,FALSE)</f>
        <v>Jenny Beck</v>
      </c>
      <c r="J38" t="str">
        <f>VLOOKUP(D38,Products!A:C,2,FALSE)</f>
        <v>National Watches</v>
      </c>
      <c r="K38" t="str">
        <f>VLOOKUP(D38,Products!A:C,3,FALSE)</f>
        <v>Fashion</v>
      </c>
      <c r="L38" t="str">
        <f>VLOOKUP(E38,Stores!A:B,2,FALSE)</f>
        <v>MegaMart Brianahaven</v>
      </c>
      <c r="M38">
        <f>VLOOKUP(D38,Products!A:E,5,FALSE)</f>
        <v>29.24</v>
      </c>
      <c r="N38" s="5">
        <f t="shared" si="0"/>
        <v>27.777999999999999</v>
      </c>
    </row>
    <row r="39" spans="1:14" x14ac:dyDescent="0.3">
      <c r="A39" t="s">
        <v>895</v>
      </c>
      <c r="B39" s="2">
        <v>45783</v>
      </c>
      <c r="C39" t="s">
        <v>636</v>
      </c>
      <c r="D39" t="s">
        <v>808</v>
      </c>
      <c r="E39" t="s">
        <v>839</v>
      </c>
      <c r="F39">
        <v>3</v>
      </c>
      <c r="G39">
        <v>0.05</v>
      </c>
      <c r="H39" t="s">
        <v>865</v>
      </c>
      <c r="I39" t="str">
        <f>VLOOKUP(C39,Customers!A:C,2,FALSE)&amp;" "&amp;VLOOKUP(C39,Customers!A:C,3,FALSE)</f>
        <v>Nichole Calhoun</v>
      </c>
      <c r="J39" t="str">
        <f>VLOOKUP(D39,Products!A:C,2,FALSE)</f>
        <v>Present Television</v>
      </c>
      <c r="K39" t="str">
        <f>VLOOKUP(D39,Products!A:C,3,FALSE)</f>
        <v>Electronics</v>
      </c>
      <c r="L39" t="str">
        <f>VLOOKUP(E39,Stores!A:B,2,FALSE)</f>
        <v>MegaMart New Michele</v>
      </c>
      <c r="M39">
        <f>VLOOKUP(D39,Products!A:E,5,FALSE)</f>
        <v>1635.01</v>
      </c>
      <c r="N39" s="5">
        <f t="shared" si="0"/>
        <v>4659.7784999999994</v>
      </c>
    </row>
    <row r="40" spans="1:14" x14ac:dyDescent="0.3">
      <c r="A40" t="s">
        <v>896</v>
      </c>
      <c r="B40" s="2">
        <v>45578</v>
      </c>
      <c r="C40" t="s">
        <v>702</v>
      </c>
      <c r="D40" t="s">
        <v>711</v>
      </c>
      <c r="E40" t="s">
        <v>835</v>
      </c>
      <c r="F40">
        <v>3</v>
      </c>
      <c r="G40">
        <v>0</v>
      </c>
      <c r="H40" t="s">
        <v>865</v>
      </c>
      <c r="I40" t="str">
        <f>VLOOKUP(C40,Customers!A:C,2,FALSE)&amp;" "&amp;VLOOKUP(C40,Customers!A:C,3,FALSE)</f>
        <v>Ronald Haley</v>
      </c>
      <c r="J40" t="str">
        <f>VLOOKUP(D40,Products!A:C,2,FALSE)</f>
        <v>Like Camera</v>
      </c>
      <c r="K40" t="str">
        <f>VLOOKUP(D40,Products!A:C,3,FALSE)</f>
        <v>Electronics</v>
      </c>
      <c r="L40" t="str">
        <f>VLOOKUP(E40,Stores!A:B,2,FALSE)</f>
        <v>MegaMart Peckmouth</v>
      </c>
      <c r="M40">
        <f>VLOOKUP(D40,Products!A:E,5,FALSE)</f>
        <v>1673.69</v>
      </c>
      <c r="N40" s="5">
        <f t="shared" si="0"/>
        <v>5021.07</v>
      </c>
    </row>
    <row r="41" spans="1:14" x14ac:dyDescent="0.3">
      <c r="A41" t="s">
        <v>897</v>
      </c>
      <c r="B41" s="2">
        <v>45506</v>
      </c>
      <c r="C41" t="s">
        <v>302</v>
      </c>
      <c r="D41" t="s">
        <v>742</v>
      </c>
      <c r="E41" t="s">
        <v>846</v>
      </c>
      <c r="F41">
        <v>4</v>
      </c>
      <c r="G41">
        <v>0.15</v>
      </c>
      <c r="H41" t="s">
        <v>861</v>
      </c>
      <c r="I41" t="str">
        <f>VLOOKUP(C41,Customers!A:C,2,FALSE)&amp;" "&amp;VLOOKUP(C41,Customers!A:C,3,FALSE)</f>
        <v>Grace Garcia</v>
      </c>
      <c r="J41" t="str">
        <f>VLOOKUP(D41,Products!A:C,2,FALSE)</f>
        <v>Either Headphones</v>
      </c>
      <c r="K41" t="str">
        <f>VLOOKUP(D41,Products!A:C,3,FALSE)</f>
        <v>Electronics</v>
      </c>
      <c r="L41" t="str">
        <f>VLOOKUP(E41,Stores!A:B,2,FALSE)</f>
        <v>MegaMart Johnmouth</v>
      </c>
      <c r="M41">
        <f>VLOOKUP(D41,Products!A:E,5,FALSE)</f>
        <v>248.57</v>
      </c>
      <c r="N41" s="5">
        <f t="shared" si="0"/>
        <v>845.13799999999992</v>
      </c>
    </row>
    <row r="42" spans="1:14" x14ac:dyDescent="0.3">
      <c r="A42" t="s">
        <v>898</v>
      </c>
      <c r="B42" s="2">
        <v>45280</v>
      </c>
      <c r="C42" t="s">
        <v>81</v>
      </c>
      <c r="D42" t="s">
        <v>814</v>
      </c>
      <c r="E42" t="s">
        <v>846</v>
      </c>
      <c r="F42">
        <v>2</v>
      </c>
      <c r="G42">
        <v>0</v>
      </c>
      <c r="H42" t="s">
        <v>855</v>
      </c>
      <c r="I42" t="str">
        <f>VLOOKUP(C42,Customers!A:C,2,FALSE)&amp;" "&amp;VLOOKUP(C42,Customers!A:C,3,FALSE)</f>
        <v>Ryan Cole</v>
      </c>
      <c r="J42" t="str">
        <f>VLOOKUP(D42,Products!A:C,2,FALSE)</f>
        <v>Least Accessories</v>
      </c>
      <c r="K42" t="str">
        <f>VLOOKUP(D42,Products!A:C,3,FALSE)</f>
        <v>Fashion</v>
      </c>
      <c r="L42" t="str">
        <f>VLOOKUP(E42,Stores!A:B,2,FALSE)</f>
        <v>MegaMart Johnmouth</v>
      </c>
      <c r="M42">
        <f>VLOOKUP(D42,Products!A:E,5,FALSE)</f>
        <v>1286.55</v>
      </c>
      <c r="N42" s="5">
        <f t="shared" si="0"/>
        <v>2573.1</v>
      </c>
    </row>
    <row r="43" spans="1:14" x14ac:dyDescent="0.3">
      <c r="A43" t="s">
        <v>899</v>
      </c>
      <c r="B43" s="2">
        <v>45446</v>
      </c>
      <c r="C43" t="s">
        <v>625</v>
      </c>
      <c r="D43" t="s">
        <v>776</v>
      </c>
      <c r="E43" t="s">
        <v>846</v>
      </c>
      <c r="F43">
        <v>1</v>
      </c>
      <c r="G43">
        <v>0</v>
      </c>
      <c r="H43" t="s">
        <v>855</v>
      </c>
      <c r="I43" t="str">
        <f>VLOOKUP(C43,Customers!A:C,2,FALSE)&amp;" "&amp;VLOOKUP(C43,Customers!A:C,3,FALSE)</f>
        <v>Peter Garcia</v>
      </c>
      <c r="J43" t="str">
        <f>VLOOKUP(D43,Products!A:C,2,FALSE)</f>
        <v>Little Watches</v>
      </c>
      <c r="K43" t="str">
        <f>VLOOKUP(D43,Products!A:C,3,FALSE)</f>
        <v>Fashion</v>
      </c>
      <c r="L43" t="str">
        <f>VLOOKUP(E43,Stores!A:B,2,FALSE)</f>
        <v>MegaMart Johnmouth</v>
      </c>
      <c r="M43">
        <f>VLOOKUP(D43,Products!A:E,5,FALSE)</f>
        <v>429.15</v>
      </c>
      <c r="N43" s="5">
        <f t="shared" si="0"/>
        <v>429.15</v>
      </c>
    </row>
    <row r="44" spans="1:14" x14ac:dyDescent="0.3">
      <c r="A44" t="s">
        <v>900</v>
      </c>
      <c r="B44" s="2">
        <v>45595</v>
      </c>
      <c r="C44" t="s">
        <v>500</v>
      </c>
      <c r="D44" t="s">
        <v>742</v>
      </c>
      <c r="E44" t="s">
        <v>842</v>
      </c>
      <c r="F44">
        <v>3</v>
      </c>
      <c r="G44">
        <v>0</v>
      </c>
      <c r="H44" t="s">
        <v>855</v>
      </c>
      <c r="I44" t="str">
        <f>VLOOKUP(C44,Customers!A:C,2,FALSE)&amp;" "&amp;VLOOKUP(C44,Customers!A:C,3,FALSE)</f>
        <v>Gary Lopez</v>
      </c>
      <c r="J44" t="str">
        <f>VLOOKUP(D44,Products!A:C,2,FALSE)</f>
        <v>Either Headphones</v>
      </c>
      <c r="K44" t="str">
        <f>VLOOKUP(D44,Products!A:C,3,FALSE)</f>
        <v>Electronics</v>
      </c>
      <c r="L44" t="str">
        <f>VLOOKUP(E44,Stores!A:B,2,FALSE)</f>
        <v>MegaMart Brianahaven</v>
      </c>
      <c r="M44">
        <f>VLOOKUP(D44,Products!A:E,5,FALSE)</f>
        <v>248.57</v>
      </c>
      <c r="N44" s="5">
        <f t="shared" si="0"/>
        <v>745.71</v>
      </c>
    </row>
    <row r="45" spans="1:14" x14ac:dyDescent="0.3">
      <c r="A45" t="s">
        <v>901</v>
      </c>
      <c r="B45" s="2">
        <v>45657</v>
      </c>
      <c r="C45" t="s">
        <v>20</v>
      </c>
      <c r="D45" t="s">
        <v>792</v>
      </c>
      <c r="E45" t="s">
        <v>842</v>
      </c>
      <c r="F45">
        <v>4</v>
      </c>
      <c r="G45">
        <v>0</v>
      </c>
      <c r="H45" t="s">
        <v>858</v>
      </c>
      <c r="I45" t="str">
        <f>VLOOKUP(C45,Customers!A:C,2,FALSE)&amp;" "&amp;VLOOKUP(C45,Customers!A:C,3,FALSE)</f>
        <v>Joseph Ward</v>
      </c>
      <c r="J45" t="str">
        <f>VLOOKUP(D45,Products!A:C,2,FALSE)</f>
        <v>Beat Accessories</v>
      </c>
      <c r="K45" t="str">
        <f>VLOOKUP(D45,Products!A:C,3,FALSE)</f>
        <v>Fashion</v>
      </c>
      <c r="L45" t="str">
        <f>VLOOKUP(E45,Stores!A:B,2,FALSE)</f>
        <v>MegaMart Brianahaven</v>
      </c>
      <c r="M45">
        <f>VLOOKUP(D45,Products!A:E,5,FALSE)</f>
        <v>1798.97</v>
      </c>
      <c r="N45" s="5">
        <f t="shared" si="0"/>
        <v>7195.88</v>
      </c>
    </row>
    <row r="46" spans="1:14" x14ac:dyDescent="0.3">
      <c r="A46" t="s">
        <v>902</v>
      </c>
      <c r="B46" s="2">
        <v>45565</v>
      </c>
      <c r="C46" t="s">
        <v>351</v>
      </c>
      <c r="D46" t="s">
        <v>816</v>
      </c>
      <c r="E46" t="s">
        <v>842</v>
      </c>
      <c r="F46">
        <v>2</v>
      </c>
      <c r="G46">
        <v>0.15</v>
      </c>
      <c r="H46" t="s">
        <v>861</v>
      </c>
      <c r="I46" t="str">
        <f>VLOOKUP(C46,Customers!A:C,2,FALSE)&amp;" "&amp;VLOOKUP(C46,Customers!A:C,3,FALSE)</f>
        <v>Stanley Brown</v>
      </c>
      <c r="J46" t="str">
        <f>VLOOKUP(D46,Products!A:C,2,FALSE)</f>
        <v>Set Dairy</v>
      </c>
      <c r="K46" t="str">
        <f>VLOOKUP(D46,Products!A:C,3,FALSE)</f>
        <v>Groceries</v>
      </c>
      <c r="L46" t="str">
        <f>VLOOKUP(E46,Stores!A:B,2,FALSE)</f>
        <v>MegaMart Brianahaven</v>
      </c>
      <c r="M46">
        <f>VLOOKUP(D46,Products!A:E,5,FALSE)</f>
        <v>1879.08</v>
      </c>
      <c r="N46" s="5">
        <f t="shared" si="0"/>
        <v>3194.4359999999997</v>
      </c>
    </row>
    <row r="47" spans="1:14" x14ac:dyDescent="0.3">
      <c r="A47" t="s">
        <v>903</v>
      </c>
      <c r="B47" s="2">
        <v>45257</v>
      </c>
      <c r="C47" t="s">
        <v>664</v>
      </c>
      <c r="D47" t="s">
        <v>780</v>
      </c>
      <c r="E47" t="s">
        <v>846</v>
      </c>
      <c r="F47">
        <v>3</v>
      </c>
      <c r="G47">
        <v>0.15</v>
      </c>
      <c r="H47" t="s">
        <v>858</v>
      </c>
      <c r="I47" t="str">
        <f>VLOOKUP(C47,Customers!A:C,2,FALSE)&amp;" "&amp;VLOOKUP(C47,Customers!A:C,3,FALSE)</f>
        <v>Ryan Flores</v>
      </c>
      <c r="J47" t="str">
        <f>VLOOKUP(D47,Products!A:C,2,FALSE)</f>
        <v>Hospital Smartphone</v>
      </c>
      <c r="K47" t="str">
        <f>VLOOKUP(D47,Products!A:C,3,FALSE)</f>
        <v>Electronics</v>
      </c>
      <c r="L47" t="str">
        <f>VLOOKUP(E47,Stores!A:B,2,FALSE)</f>
        <v>MegaMart Johnmouth</v>
      </c>
      <c r="M47">
        <f>VLOOKUP(D47,Products!A:E,5,FALSE)</f>
        <v>1272.23</v>
      </c>
      <c r="N47" s="5">
        <f t="shared" si="0"/>
        <v>3244.1864999999998</v>
      </c>
    </row>
    <row r="48" spans="1:14" x14ac:dyDescent="0.3">
      <c r="A48" t="s">
        <v>904</v>
      </c>
      <c r="B48" s="2">
        <v>45783</v>
      </c>
      <c r="C48" t="s">
        <v>419</v>
      </c>
      <c r="D48" t="s">
        <v>816</v>
      </c>
      <c r="E48" t="s">
        <v>846</v>
      </c>
      <c r="F48">
        <v>3</v>
      </c>
      <c r="G48">
        <v>0.1</v>
      </c>
      <c r="H48" t="s">
        <v>861</v>
      </c>
      <c r="I48" t="str">
        <f>VLOOKUP(C48,Customers!A:C,2,FALSE)&amp;" "&amp;VLOOKUP(C48,Customers!A:C,3,FALSE)</f>
        <v>Jeffrey Smith</v>
      </c>
      <c r="J48" t="str">
        <f>VLOOKUP(D48,Products!A:C,2,FALSE)</f>
        <v>Set Dairy</v>
      </c>
      <c r="K48" t="str">
        <f>VLOOKUP(D48,Products!A:C,3,FALSE)</f>
        <v>Groceries</v>
      </c>
      <c r="L48" t="str">
        <f>VLOOKUP(E48,Stores!A:B,2,FALSE)</f>
        <v>MegaMart Johnmouth</v>
      </c>
      <c r="M48">
        <f>VLOOKUP(D48,Products!A:E,5,FALSE)</f>
        <v>1879.08</v>
      </c>
      <c r="N48" s="5">
        <f t="shared" si="0"/>
        <v>5073.5159999999996</v>
      </c>
    </row>
    <row r="49" spans="1:14" x14ac:dyDescent="0.3">
      <c r="A49" t="s">
        <v>905</v>
      </c>
      <c r="B49" s="2">
        <v>45682</v>
      </c>
      <c r="C49" t="s">
        <v>93</v>
      </c>
      <c r="D49" t="s">
        <v>742</v>
      </c>
      <c r="E49" t="s">
        <v>839</v>
      </c>
      <c r="F49">
        <v>4</v>
      </c>
      <c r="G49">
        <v>0.05</v>
      </c>
      <c r="H49" t="s">
        <v>858</v>
      </c>
      <c r="I49" t="str">
        <f>VLOOKUP(C49,Customers!A:C,2,FALSE)&amp;" "&amp;VLOOKUP(C49,Customers!A:C,3,FALSE)</f>
        <v>Mark Martinez</v>
      </c>
      <c r="J49" t="str">
        <f>VLOOKUP(D49,Products!A:C,2,FALSE)</f>
        <v>Either Headphones</v>
      </c>
      <c r="K49" t="str">
        <f>VLOOKUP(D49,Products!A:C,3,FALSE)</f>
        <v>Electronics</v>
      </c>
      <c r="L49" t="str">
        <f>VLOOKUP(E49,Stores!A:B,2,FALSE)</f>
        <v>MegaMart New Michele</v>
      </c>
      <c r="M49">
        <f>VLOOKUP(D49,Products!A:E,5,FALSE)</f>
        <v>248.57</v>
      </c>
      <c r="N49" s="5">
        <f t="shared" si="0"/>
        <v>944.56599999999992</v>
      </c>
    </row>
    <row r="50" spans="1:14" x14ac:dyDescent="0.3">
      <c r="A50" t="s">
        <v>906</v>
      </c>
      <c r="B50" s="2">
        <v>45878</v>
      </c>
      <c r="C50" t="s">
        <v>531</v>
      </c>
      <c r="D50" t="s">
        <v>747</v>
      </c>
      <c r="E50" t="s">
        <v>846</v>
      </c>
      <c r="F50">
        <v>4</v>
      </c>
      <c r="G50">
        <v>0.1</v>
      </c>
      <c r="H50" t="s">
        <v>865</v>
      </c>
      <c r="I50" t="str">
        <f>VLOOKUP(C50,Customers!A:C,2,FALSE)&amp;" "&amp;VLOOKUP(C50,Customers!A:C,3,FALSE)</f>
        <v>John Johnson</v>
      </c>
      <c r="J50" t="str">
        <f>VLOOKUP(D50,Products!A:C,2,FALSE)</f>
        <v>World Watches</v>
      </c>
      <c r="K50" t="str">
        <f>VLOOKUP(D50,Products!A:C,3,FALSE)</f>
        <v>Fashion</v>
      </c>
      <c r="L50" t="str">
        <f>VLOOKUP(E50,Stores!A:B,2,FALSE)</f>
        <v>MegaMart Johnmouth</v>
      </c>
      <c r="M50">
        <f>VLOOKUP(D50,Products!A:E,5,FALSE)</f>
        <v>1134.8</v>
      </c>
      <c r="N50" s="5">
        <f t="shared" si="0"/>
        <v>4085.2799999999997</v>
      </c>
    </row>
    <row r="51" spans="1:14" x14ac:dyDescent="0.3">
      <c r="A51" t="s">
        <v>907</v>
      </c>
      <c r="B51" s="2">
        <v>45883</v>
      </c>
      <c r="C51" t="s">
        <v>467</v>
      </c>
      <c r="D51" t="s">
        <v>732</v>
      </c>
      <c r="E51" t="s">
        <v>839</v>
      </c>
      <c r="F51">
        <v>2</v>
      </c>
      <c r="G51">
        <v>0.15</v>
      </c>
      <c r="H51" t="s">
        <v>861</v>
      </c>
      <c r="I51" t="str">
        <f>VLOOKUP(C51,Customers!A:C,2,FALSE)&amp;" "&amp;VLOOKUP(C51,Customers!A:C,3,FALSE)</f>
        <v>John Allen</v>
      </c>
      <c r="J51" t="str">
        <f>VLOOKUP(D51,Products!A:C,2,FALSE)</f>
        <v>Understand Camera</v>
      </c>
      <c r="K51" t="str">
        <f>VLOOKUP(D51,Products!A:C,3,FALSE)</f>
        <v>Electronics</v>
      </c>
      <c r="L51" t="str">
        <f>VLOOKUP(E51,Stores!A:B,2,FALSE)</f>
        <v>MegaMart New Michele</v>
      </c>
      <c r="M51">
        <f>VLOOKUP(D51,Products!A:E,5,FALSE)</f>
        <v>1474.12</v>
      </c>
      <c r="N51" s="5">
        <f t="shared" si="0"/>
        <v>2506.0039999999999</v>
      </c>
    </row>
    <row r="52" spans="1:14" x14ac:dyDescent="0.3">
      <c r="A52" t="s">
        <v>908</v>
      </c>
      <c r="B52" s="2">
        <v>45560</v>
      </c>
      <c r="C52" t="s">
        <v>343</v>
      </c>
      <c r="D52" t="s">
        <v>778</v>
      </c>
      <c r="E52" t="s">
        <v>839</v>
      </c>
      <c r="F52">
        <v>3</v>
      </c>
      <c r="G52">
        <v>0.1</v>
      </c>
      <c r="H52" t="s">
        <v>855</v>
      </c>
      <c r="I52" t="str">
        <f>VLOOKUP(C52,Customers!A:C,2,FALSE)&amp;" "&amp;VLOOKUP(C52,Customers!A:C,3,FALSE)</f>
        <v>Brian Fowler</v>
      </c>
      <c r="J52" t="str">
        <f>VLOOKUP(D52,Products!A:C,2,FALSE)</f>
        <v>Behavior Dairy</v>
      </c>
      <c r="K52" t="str">
        <f>VLOOKUP(D52,Products!A:C,3,FALSE)</f>
        <v>Groceries</v>
      </c>
      <c r="L52" t="str">
        <f>VLOOKUP(E52,Stores!A:B,2,FALSE)</f>
        <v>MegaMart New Michele</v>
      </c>
      <c r="M52">
        <f>VLOOKUP(D52,Products!A:E,5,FALSE)</f>
        <v>1015.76</v>
      </c>
      <c r="N52" s="5">
        <f t="shared" si="0"/>
        <v>2742.5519999999997</v>
      </c>
    </row>
    <row r="53" spans="1:14" x14ac:dyDescent="0.3">
      <c r="A53" t="s">
        <v>909</v>
      </c>
      <c r="B53" s="2">
        <v>45786</v>
      </c>
      <c r="C53" t="s">
        <v>520</v>
      </c>
      <c r="D53" t="s">
        <v>769</v>
      </c>
      <c r="E53" t="s">
        <v>831</v>
      </c>
      <c r="F53">
        <v>5</v>
      </c>
      <c r="G53">
        <v>0.05</v>
      </c>
      <c r="H53" t="s">
        <v>865</v>
      </c>
      <c r="I53" t="str">
        <f>VLOOKUP(C53,Customers!A:C,2,FALSE)&amp;" "&amp;VLOOKUP(C53,Customers!A:C,3,FALSE)</f>
        <v>Cynthia Carlson</v>
      </c>
      <c r="J53" t="str">
        <f>VLOOKUP(D53,Products!A:C,2,FALSE)</f>
        <v>How Vegetables</v>
      </c>
      <c r="K53" t="str">
        <f>VLOOKUP(D53,Products!A:C,3,FALSE)</f>
        <v>Groceries</v>
      </c>
      <c r="L53" t="str">
        <f>VLOOKUP(E53,Stores!A:B,2,FALSE)</f>
        <v>MegaMart Jimenezborough</v>
      </c>
      <c r="M53">
        <f>VLOOKUP(D53,Products!A:E,5,FALSE)</f>
        <v>25.57</v>
      </c>
      <c r="N53" s="5">
        <f t="shared" si="0"/>
        <v>121.4575</v>
      </c>
    </row>
    <row r="54" spans="1:14" x14ac:dyDescent="0.3">
      <c r="A54" t="s">
        <v>910</v>
      </c>
      <c r="B54" s="2">
        <v>45565</v>
      </c>
      <c r="C54" t="s">
        <v>238</v>
      </c>
      <c r="D54" t="s">
        <v>820</v>
      </c>
      <c r="E54" t="s">
        <v>842</v>
      </c>
      <c r="F54">
        <v>4</v>
      </c>
      <c r="G54">
        <v>0.05</v>
      </c>
      <c r="H54" t="s">
        <v>858</v>
      </c>
      <c r="I54" t="str">
        <f>VLOOKUP(C54,Customers!A:C,2,FALSE)&amp;" "&amp;VLOOKUP(C54,Customers!A:C,3,FALSE)</f>
        <v>Susan Salinas</v>
      </c>
      <c r="J54" t="str">
        <f>VLOOKUP(D54,Products!A:C,2,FALSE)</f>
        <v>Or Smartphone</v>
      </c>
      <c r="K54" t="str">
        <f>VLOOKUP(D54,Products!A:C,3,FALSE)</f>
        <v>Electronics</v>
      </c>
      <c r="L54" t="str">
        <f>VLOOKUP(E54,Stores!A:B,2,FALSE)</f>
        <v>MegaMart Brianahaven</v>
      </c>
      <c r="M54">
        <f>VLOOKUP(D54,Products!A:E,5,FALSE)</f>
        <v>1197.18</v>
      </c>
      <c r="N54" s="5">
        <f t="shared" si="0"/>
        <v>4549.2839999999997</v>
      </c>
    </row>
    <row r="55" spans="1:14" x14ac:dyDescent="0.3">
      <c r="A55" t="s">
        <v>911</v>
      </c>
      <c r="B55" s="2">
        <v>45320</v>
      </c>
      <c r="C55" t="s">
        <v>593</v>
      </c>
      <c r="D55" t="s">
        <v>711</v>
      </c>
      <c r="E55" t="s">
        <v>842</v>
      </c>
      <c r="F55">
        <v>4</v>
      </c>
      <c r="G55">
        <v>0</v>
      </c>
      <c r="H55" t="s">
        <v>865</v>
      </c>
      <c r="I55" t="str">
        <f>VLOOKUP(C55,Customers!A:C,2,FALSE)&amp;" "&amp;VLOOKUP(C55,Customers!A:C,3,FALSE)</f>
        <v>Meagan Ali</v>
      </c>
      <c r="J55" t="str">
        <f>VLOOKUP(D55,Products!A:C,2,FALSE)</f>
        <v>Like Camera</v>
      </c>
      <c r="K55" t="str">
        <f>VLOOKUP(D55,Products!A:C,3,FALSE)</f>
        <v>Electronics</v>
      </c>
      <c r="L55" t="str">
        <f>VLOOKUP(E55,Stores!A:B,2,FALSE)</f>
        <v>MegaMart Brianahaven</v>
      </c>
      <c r="M55">
        <f>VLOOKUP(D55,Products!A:E,5,FALSE)</f>
        <v>1673.69</v>
      </c>
      <c r="N55" s="5">
        <f t="shared" si="0"/>
        <v>6694.76</v>
      </c>
    </row>
    <row r="56" spans="1:14" x14ac:dyDescent="0.3">
      <c r="A56" t="s">
        <v>912</v>
      </c>
      <c r="B56" s="2">
        <v>45470</v>
      </c>
      <c r="C56" t="s">
        <v>287</v>
      </c>
      <c r="D56" t="s">
        <v>736</v>
      </c>
      <c r="E56" t="s">
        <v>835</v>
      </c>
      <c r="F56">
        <v>4</v>
      </c>
      <c r="G56">
        <v>0.05</v>
      </c>
      <c r="H56" t="s">
        <v>855</v>
      </c>
      <c r="I56" t="str">
        <f>VLOOKUP(C56,Customers!A:C,2,FALSE)&amp;" "&amp;VLOOKUP(C56,Customers!A:C,3,FALSE)</f>
        <v>Phyllis Durham</v>
      </c>
      <c r="J56" t="str">
        <f>VLOOKUP(D56,Products!A:C,2,FALSE)</f>
        <v>Us Snacks</v>
      </c>
      <c r="K56" t="str">
        <f>VLOOKUP(D56,Products!A:C,3,FALSE)</f>
        <v>Groceries</v>
      </c>
      <c r="L56" t="str">
        <f>VLOOKUP(E56,Stores!A:B,2,FALSE)</f>
        <v>MegaMart Peckmouth</v>
      </c>
      <c r="M56">
        <f>VLOOKUP(D56,Products!A:E,5,FALSE)</f>
        <v>123.19</v>
      </c>
      <c r="N56" s="5">
        <f t="shared" si="0"/>
        <v>468.12199999999996</v>
      </c>
    </row>
    <row r="57" spans="1:14" x14ac:dyDescent="0.3">
      <c r="A57" t="s">
        <v>913</v>
      </c>
      <c r="B57" s="2">
        <v>45888</v>
      </c>
      <c r="C57" t="s">
        <v>604</v>
      </c>
      <c r="D57" t="s">
        <v>782</v>
      </c>
      <c r="E57" t="s">
        <v>846</v>
      </c>
      <c r="F57">
        <v>3</v>
      </c>
      <c r="G57">
        <v>0.15</v>
      </c>
      <c r="H57" t="s">
        <v>855</v>
      </c>
      <c r="I57" t="str">
        <f>VLOOKUP(C57,Customers!A:C,2,FALSE)&amp;" "&amp;VLOOKUP(C57,Customers!A:C,3,FALSE)</f>
        <v>Amber Graham</v>
      </c>
      <c r="J57" t="str">
        <f>VLOOKUP(D57,Products!A:C,2,FALSE)</f>
        <v>Deal Smartphone</v>
      </c>
      <c r="K57" t="str">
        <f>VLOOKUP(D57,Products!A:C,3,FALSE)</f>
        <v>Electronics</v>
      </c>
      <c r="L57" t="str">
        <f>VLOOKUP(E57,Stores!A:B,2,FALSE)</f>
        <v>MegaMart Johnmouth</v>
      </c>
      <c r="M57">
        <f>VLOOKUP(D57,Products!A:E,5,FALSE)</f>
        <v>673.78</v>
      </c>
      <c r="N57" s="5">
        <f t="shared" si="0"/>
        <v>1718.1389999999999</v>
      </c>
    </row>
    <row r="58" spans="1:14" x14ac:dyDescent="0.3">
      <c r="A58" t="s">
        <v>914</v>
      </c>
      <c r="B58" s="2">
        <v>45576</v>
      </c>
      <c r="C58" t="s">
        <v>407</v>
      </c>
      <c r="D58" t="s">
        <v>742</v>
      </c>
      <c r="E58" t="s">
        <v>846</v>
      </c>
      <c r="F58">
        <v>3</v>
      </c>
      <c r="G58">
        <v>0.1</v>
      </c>
      <c r="H58" t="s">
        <v>858</v>
      </c>
      <c r="I58" t="str">
        <f>VLOOKUP(C58,Customers!A:C,2,FALSE)&amp;" "&amp;VLOOKUP(C58,Customers!A:C,3,FALSE)</f>
        <v>Austin Hogan</v>
      </c>
      <c r="J58" t="str">
        <f>VLOOKUP(D58,Products!A:C,2,FALSE)</f>
        <v>Either Headphones</v>
      </c>
      <c r="K58" t="str">
        <f>VLOOKUP(D58,Products!A:C,3,FALSE)</f>
        <v>Electronics</v>
      </c>
      <c r="L58" t="str">
        <f>VLOOKUP(E58,Stores!A:B,2,FALSE)</f>
        <v>MegaMart Johnmouth</v>
      </c>
      <c r="M58">
        <f>VLOOKUP(D58,Products!A:E,5,FALSE)</f>
        <v>248.57</v>
      </c>
      <c r="N58" s="5">
        <f t="shared" si="0"/>
        <v>671.13900000000001</v>
      </c>
    </row>
    <row r="59" spans="1:14" x14ac:dyDescent="0.3">
      <c r="A59" t="s">
        <v>915</v>
      </c>
      <c r="B59" s="2">
        <v>45311</v>
      </c>
      <c r="C59" t="s">
        <v>266</v>
      </c>
      <c r="D59" t="s">
        <v>794</v>
      </c>
      <c r="E59" t="s">
        <v>839</v>
      </c>
      <c r="F59">
        <v>3</v>
      </c>
      <c r="G59">
        <v>0.05</v>
      </c>
      <c r="H59" t="s">
        <v>865</v>
      </c>
      <c r="I59" t="str">
        <f>VLOOKUP(C59,Customers!A:C,2,FALSE)&amp;" "&amp;VLOOKUP(C59,Customers!A:C,3,FALSE)</f>
        <v>Eric Bryan</v>
      </c>
      <c r="J59" t="str">
        <f>VLOOKUP(D59,Products!A:C,2,FALSE)</f>
        <v>Everything Laptop</v>
      </c>
      <c r="K59" t="str">
        <f>VLOOKUP(D59,Products!A:C,3,FALSE)</f>
        <v>Electronics</v>
      </c>
      <c r="L59" t="str">
        <f>VLOOKUP(E59,Stores!A:B,2,FALSE)</f>
        <v>MegaMart New Michele</v>
      </c>
      <c r="M59">
        <f>VLOOKUP(D59,Products!A:E,5,FALSE)</f>
        <v>428.05</v>
      </c>
      <c r="N59" s="5">
        <f t="shared" si="0"/>
        <v>1219.9425000000001</v>
      </c>
    </row>
    <row r="60" spans="1:14" x14ac:dyDescent="0.3">
      <c r="A60" t="s">
        <v>916</v>
      </c>
      <c r="B60" s="2">
        <v>45702</v>
      </c>
      <c r="C60" t="s">
        <v>653</v>
      </c>
      <c r="D60" t="s">
        <v>780</v>
      </c>
      <c r="E60" t="s">
        <v>835</v>
      </c>
      <c r="F60">
        <v>3</v>
      </c>
      <c r="G60">
        <v>0</v>
      </c>
      <c r="H60" t="s">
        <v>861</v>
      </c>
      <c r="I60" t="str">
        <f>VLOOKUP(C60,Customers!A:C,2,FALSE)&amp;" "&amp;VLOOKUP(C60,Customers!A:C,3,FALSE)</f>
        <v>Joe Vincent</v>
      </c>
      <c r="J60" t="str">
        <f>VLOOKUP(D60,Products!A:C,2,FALSE)</f>
        <v>Hospital Smartphone</v>
      </c>
      <c r="K60" t="str">
        <f>VLOOKUP(D60,Products!A:C,3,FALSE)</f>
        <v>Electronics</v>
      </c>
      <c r="L60" t="str">
        <f>VLOOKUP(E60,Stores!A:B,2,FALSE)</f>
        <v>MegaMart Peckmouth</v>
      </c>
      <c r="M60">
        <f>VLOOKUP(D60,Products!A:E,5,FALSE)</f>
        <v>1272.23</v>
      </c>
      <c r="N60" s="5">
        <f t="shared" si="0"/>
        <v>3816.69</v>
      </c>
    </row>
    <row r="61" spans="1:14" x14ac:dyDescent="0.3">
      <c r="A61" t="s">
        <v>917</v>
      </c>
      <c r="B61" s="2">
        <v>45622</v>
      </c>
      <c r="C61" t="s">
        <v>195</v>
      </c>
      <c r="D61" t="s">
        <v>814</v>
      </c>
      <c r="E61" t="s">
        <v>835</v>
      </c>
      <c r="F61">
        <v>4</v>
      </c>
      <c r="G61">
        <v>0.1</v>
      </c>
      <c r="H61" t="s">
        <v>855</v>
      </c>
      <c r="I61" t="str">
        <f>VLOOKUP(C61,Customers!A:C,2,FALSE)&amp;" "&amp;VLOOKUP(C61,Customers!A:C,3,FALSE)</f>
        <v>Kelly Mcmillan</v>
      </c>
      <c r="J61" t="str">
        <f>VLOOKUP(D61,Products!A:C,2,FALSE)</f>
        <v>Least Accessories</v>
      </c>
      <c r="K61" t="str">
        <f>VLOOKUP(D61,Products!A:C,3,FALSE)</f>
        <v>Fashion</v>
      </c>
      <c r="L61" t="str">
        <f>VLOOKUP(E61,Stores!A:B,2,FALSE)</f>
        <v>MegaMart Peckmouth</v>
      </c>
      <c r="M61">
        <f>VLOOKUP(D61,Products!A:E,5,FALSE)</f>
        <v>1286.55</v>
      </c>
      <c r="N61" s="5">
        <f t="shared" si="0"/>
        <v>4631.58</v>
      </c>
    </row>
    <row r="62" spans="1:14" x14ac:dyDescent="0.3">
      <c r="A62" t="s">
        <v>918</v>
      </c>
      <c r="B62" s="2">
        <v>45736</v>
      </c>
      <c r="C62" t="s">
        <v>105</v>
      </c>
      <c r="D62" t="s">
        <v>728</v>
      </c>
      <c r="E62" t="s">
        <v>835</v>
      </c>
      <c r="F62">
        <v>3</v>
      </c>
      <c r="G62">
        <v>0.05</v>
      </c>
      <c r="H62" t="s">
        <v>855</v>
      </c>
      <c r="I62" t="str">
        <f>VLOOKUP(C62,Customers!A:C,2,FALSE)&amp;" "&amp;VLOOKUP(C62,Customers!A:C,3,FALSE)</f>
        <v>Justin Macdonald</v>
      </c>
      <c r="J62" t="str">
        <f>VLOOKUP(D62,Products!A:C,2,FALSE)</f>
        <v>Company Fruits</v>
      </c>
      <c r="K62" t="str">
        <f>VLOOKUP(D62,Products!A:C,3,FALSE)</f>
        <v>Groceries</v>
      </c>
      <c r="L62" t="str">
        <f>VLOOKUP(E62,Stores!A:B,2,FALSE)</f>
        <v>MegaMart Peckmouth</v>
      </c>
      <c r="M62">
        <f>VLOOKUP(D62,Products!A:E,5,FALSE)</f>
        <v>318.05</v>
      </c>
      <c r="N62" s="5">
        <f t="shared" si="0"/>
        <v>906.4425</v>
      </c>
    </row>
    <row r="63" spans="1:14" x14ac:dyDescent="0.3">
      <c r="A63" t="s">
        <v>919</v>
      </c>
      <c r="B63" s="2">
        <v>45780</v>
      </c>
      <c r="C63" t="s">
        <v>179</v>
      </c>
      <c r="D63" t="s">
        <v>780</v>
      </c>
      <c r="E63" t="s">
        <v>839</v>
      </c>
      <c r="F63">
        <v>1</v>
      </c>
      <c r="G63">
        <v>0.05</v>
      </c>
      <c r="H63" t="s">
        <v>855</v>
      </c>
      <c r="I63" t="str">
        <f>VLOOKUP(C63,Customers!A:C,2,FALSE)&amp;" "&amp;VLOOKUP(C63,Customers!A:C,3,FALSE)</f>
        <v>Dennis Poole</v>
      </c>
      <c r="J63" t="str">
        <f>VLOOKUP(D63,Products!A:C,2,FALSE)</f>
        <v>Hospital Smartphone</v>
      </c>
      <c r="K63" t="str">
        <f>VLOOKUP(D63,Products!A:C,3,FALSE)</f>
        <v>Electronics</v>
      </c>
      <c r="L63" t="str">
        <f>VLOOKUP(E63,Stores!A:B,2,FALSE)</f>
        <v>MegaMart New Michele</v>
      </c>
      <c r="M63">
        <f>VLOOKUP(D63,Products!A:E,5,FALSE)</f>
        <v>1272.23</v>
      </c>
      <c r="N63" s="5">
        <f t="shared" si="0"/>
        <v>1208.6185</v>
      </c>
    </row>
    <row r="64" spans="1:14" x14ac:dyDescent="0.3">
      <c r="A64" t="s">
        <v>920</v>
      </c>
      <c r="B64" s="2">
        <v>45444</v>
      </c>
      <c r="C64" t="s">
        <v>51</v>
      </c>
      <c r="D64" t="s">
        <v>798</v>
      </c>
      <c r="E64" t="s">
        <v>831</v>
      </c>
      <c r="F64">
        <v>5</v>
      </c>
      <c r="G64">
        <v>0.1</v>
      </c>
      <c r="H64" t="s">
        <v>861</v>
      </c>
      <c r="I64" t="str">
        <f>VLOOKUP(C64,Customers!A:C,2,FALSE)&amp;" "&amp;VLOOKUP(C64,Customers!A:C,3,FALSE)</f>
        <v>Dale Perry</v>
      </c>
      <c r="J64" t="str">
        <f>VLOOKUP(D64,Products!A:C,2,FALSE)</f>
        <v>New Watches</v>
      </c>
      <c r="K64" t="str">
        <f>VLOOKUP(D64,Products!A:C,3,FALSE)</f>
        <v>Fashion</v>
      </c>
      <c r="L64" t="str">
        <f>VLOOKUP(E64,Stores!A:B,2,FALSE)</f>
        <v>MegaMart Jimenezborough</v>
      </c>
      <c r="M64">
        <f>VLOOKUP(D64,Products!A:E,5,FALSE)</f>
        <v>1501.46</v>
      </c>
      <c r="N64" s="5">
        <f t="shared" si="0"/>
        <v>6756.5700000000006</v>
      </c>
    </row>
    <row r="65" spans="1:14" x14ac:dyDescent="0.3">
      <c r="A65" t="s">
        <v>921</v>
      </c>
      <c r="B65" s="2">
        <v>45611</v>
      </c>
      <c r="C65" t="s">
        <v>585</v>
      </c>
      <c r="D65" t="s">
        <v>822</v>
      </c>
      <c r="E65" t="s">
        <v>842</v>
      </c>
      <c r="F65">
        <v>1</v>
      </c>
      <c r="G65">
        <v>0</v>
      </c>
      <c r="H65" t="s">
        <v>855</v>
      </c>
      <c r="I65" t="str">
        <f>VLOOKUP(C65,Customers!A:C,2,FALSE)&amp;" "&amp;VLOOKUP(C65,Customers!A:C,3,FALSE)</f>
        <v>Linda Vasquez</v>
      </c>
      <c r="J65" t="str">
        <f>VLOOKUP(D65,Products!A:C,2,FALSE)</f>
        <v>Nor Bags</v>
      </c>
      <c r="K65" t="str">
        <f>VLOOKUP(D65,Products!A:C,3,FALSE)</f>
        <v>Fashion</v>
      </c>
      <c r="L65" t="str">
        <f>VLOOKUP(E65,Stores!A:B,2,FALSE)</f>
        <v>MegaMart Brianahaven</v>
      </c>
      <c r="M65">
        <f>VLOOKUP(D65,Products!A:E,5,FALSE)</f>
        <v>1216.3599999999999</v>
      </c>
      <c r="N65" s="5">
        <f t="shared" si="0"/>
        <v>1216.3599999999999</v>
      </c>
    </row>
    <row r="66" spans="1:14" x14ac:dyDescent="0.3">
      <c r="A66" t="s">
        <v>922</v>
      </c>
      <c r="B66" s="2">
        <v>45438</v>
      </c>
      <c r="C66" t="s">
        <v>449</v>
      </c>
      <c r="D66" t="s">
        <v>782</v>
      </c>
      <c r="E66" t="s">
        <v>842</v>
      </c>
      <c r="F66">
        <v>4</v>
      </c>
      <c r="G66">
        <v>0.1</v>
      </c>
      <c r="H66" t="s">
        <v>861</v>
      </c>
      <c r="I66" t="str">
        <f>VLOOKUP(C66,Customers!A:C,2,FALSE)&amp;" "&amp;VLOOKUP(C66,Customers!A:C,3,FALSE)</f>
        <v>John Bell</v>
      </c>
      <c r="J66" t="str">
        <f>VLOOKUP(D66,Products!A:C,2,FALSE)</f>
        <v>Deal Smartphone</v>
      </c>
      <c r="K66" t="str">
        <f>VLOOKUP(D66,Products!A:C,3,FALSE)</f>
        <v>Electronics</v>
      </c>
      <c r="L66" t="str">
        <f>VLOOKUP(E66,Stores!A:B,2,FALSE)</f>
        <v>MegaMart Brianahaven</v>
      </c>
      <c r="M66">
        <f>VLOOKUP(D66,Products!A:E,5,FALSE)</f>
        <v>673.78</v>
      </c>
      <c r="N66" s="5">
        <f t="shared" si="0"/>
        <v>2425.6080000000002</v>
      </c>
    </row>
    <row r="67" spans="1:14" x14ac:dyDescent="0.3">
      <c r="A67" t="s">
        <v>923</v>
      </c>
      <c r="B67" s="2">
        <v>45402</v>
      </c>
      <c r="C67" t="s">
        <v>59</v>
      </c>
      <c r="D67" t="s">
        <v>739</v>
      </c>
      <c r="E67" t="s">
        <v>839</v>
      </c>
      <c r="F67">
        <v>4</v>
      </c>
      <c r="G67">
        <v>0</v>
      </c>
      <c r="H67" t="s">
        <v>865</v>
      </c>
      <c r="I67" t="str">
        <f>VLOOKUP(C67,Customers!A:C,2,FALSE)&amp;" "&amp;VLOOKUP(C67,Customers!A:C,3,FALSE)</f>
        <v>Brittany Green</v>
      </c>
      <c r="J67" t="str">
        <f>VLOOKUP(D67,Products!A:C,2,FALSE)</f>
        <v>Step Smartphone</v>
      </c>
      <c r="K67" t="str">
        <f>VLOOKUP(D67,Products!A:C,3,FALSE)</f>
        <v>Electronics</v>
      </c>
      <c r="L67" t="str">
        <f>VLOOKUP(E67,Stores!A:B,2,FALSE)</f>
        <v>MegaMart New Michele</v>
      </c>
      <c r="M67">
        <f>VLOOKUP(D67,Products!A:E,5,FALSE)</f>
        <v>1194.1199999999999</v>
      </c>
      <c r="N67" s="5">
        <f t="shared" ref="N67:N130" si="1">F67*M67*(1-G67)</f>
        <v>4776.4799999999996</v>
      </c>
    </row>
    <row r="68" spans="1:14" x14ac:dyDescent="0.3">
      <c r="A68" t="s">
        <v>924</v>
      </c>
      <c r="B68" s="2">
        <v>45704</v>
      </c>
      <c r="C68" t="s">
        <v>386</v>
      </c>
      <c r="D68" t="s">
        <v>810</v>
      </c>
      <c r="E68" t="s">
        <v>842</v>
      </c>
      <c r="F68">
        <v>1</v>
      </c>
      <c r="G68">
        <v>0</v>
      </c>
      <c r="H68" t="s">
        <v>861</v>
      </c>
      <c r="I68" t="str">
        <f>VLOOKUP(C68,Customers!A:C,2,FALSE)&amp;" "&amp;VLOOKUP(C68,Customers!A:C,3,FALSE)</f>
        <v>David Burns</v>
      </c>
      <c r="J68" t="str">
        <f>VLOOKUP(D68,Products!A:C,2,FALSE)</f>
        <v>Maybe Clothing</v>
      </c>
      <c r="K68" t="str">
        <f>VLOOKUP(D68,Products!A:C,3,FALSE)</f>
        <v>Fashion</v>
      </c>
      <c r="L68" t="str">
        <f>VLOOKUP(E68,Stores!A:B,2,FALSE)</f>
        <v>MegaMart Brianahaven</v>
      </c>
      <c r="M68">
        <f>VLOOKUP(D68,Products!A:E,5,FALSE)</f>
        <v>453.62</v>
      </c>
      <c r="N68" s="5">
        <f t="shared" si="1"/>
        <v>453.62</v>
      </c>
    </row>
    <row r="69" spans="1:14" x14ac:dyDescent="0.3">
      <c r="A69" t="s">
        <v>925</v>
      </c>
      <c r="B69" s="2">
        <v>45366</v>
      </c>
      <c r="C69" t="s">
        <v>151</v>
      </c>
      <c r="D69" t="s">
        <v>715</v>
      </c>
      <c r="E69" t="s">
        <v>846</v>
      </c>
      <c r="F69">
        <v>3</v>
      </c>
      <c r="G69">
        <v>0</v>
      </c>
      <c r="H69" t="s">
        <v>861</v>
      </c>
      <c r="I69" t="str">
        <f>VLOOKUP(C69,Customers!A:C,2,FALSE)&amp;" "&amp;VLOOKUP(C69,Customers!A:C,3,FALSE)</f>
        <v>Nancy Savage</v>
      </c>
      <c r="J69" t="str">
        <f>VLOOKUP(D69,Products!A:C,2,FALSE)</f>
        <v>Audience Television</v>
      </c>
      <c r="K69" t="str">
        <f>VLOOKUP(D69,Products!A:C,3,FALSE)</f>
        <v>Electronics</v>
      </c>
      <c r="L69" t="str">
        <f>VLOOKUP(E69,Stores!A:B,2,FALSE)</f>
        <v>MegaMart Johnmouth</v>
      </c>
      <c r="M69">
        <f>VLOOKUP(D69,Products!A:E,5,FALSE)</f>
        <v>818.76</v>
      </c>
      <c r="N69" s="5">
        <f t="shared" si="1"/>
        <v>2456.2799999999997</v>
      </c>
    </row>
    <row r="70" spans="1:14" x14ac:dyDescent="0.3">
      <c r="A70" t="s">
        <v>926</v>
      </c>
      <c r="B70" s="2">
        <v>45244</v>
      </c>
      <c r="C70" t="s">
        <v>123</v>
      </c>
      <c r="D70" t="s">
        <v>806</v>
      </c>
      <c r="E70" t="s">
        <v>846</v>
      </c>
      <c r="F70">
        <v>4</v>
      </c>
      <c r="G70">
        <v>0.05</v>
      </c>
      <c r="H70" t="s">
        <v>858</v>
      </c>
      <c r="I70" t="str">
        <f>VLOOKUP(C70,Customers!A:C,2,FALSE)&amp;" "&amp;VLOOKUP(C70,Customers!A:C,3,FALSE)</f>
        <v>Ashley Gibson</v>
      </c>
      <c r="J70" t="str">
        <f>VLOOKUP(D70,Products!A:C,2,FALSE)</f>
        <v>Piece Headphones</v>
      </c>
      <c r="K70" t="str">
        <f>VLOOKUP(D70,Products!A:C,3,FALSE)</f>
        <v>Electronics</v>
      </c>
      <c r="L70" t="str">
        <f>VLOOKUP(E70,Stores!A:B,2,FALSE)</f>
        <v>MegaMart Johnmouth</v>
      </c>
      <c r="M70">
        <f>VLOOKUP(D70,Products!A:E,5,FALSE)</f>
        <v>1745.61</v>
      </c>
      <c r="N70" s="5">
        <f t="shared" si="1"/>
        <v>6633.3179999999993</v>
      </c>
    </row>
    <row r="71" spans="1:14" x14ac:dyDescent="0.3">
      <c r="A71" t="s">
        <v>927</v>
      </c>
      <c r="B71" s="2">
        <v>45628</v>
      </c>
      <c r="C71" t="s">
        <v>432</v>
      </c>
      <c r="D71" t="s">
        <v>747</v>
      </c>
      <c r="E71" t="s">
        <v>842</v>
      </c>
      <c r="F71">
        <v>3</v>
      </c>
      <c r="G71">
        <v>0.15</v>
      </c>
      <c r="H71" t="s">
        <v>855</v>
      </c>
      <c r="I71" t="str">
        <f>VLOOKUP(C71,Customers!A:C,2,FALSE)&amp;" "&amp;VLOOKUP(C71,Customers!A:C,3,FALSE)</f>
        <v>Jamie Webb</v>
      </c>
      <c r="J71" t="str">
        <f>VLOOKUP(D71,Products!A:C,2,FALSE)</f>
        <v>World Watches</v>
      </c>
      <c r="K71" t="str">
        <f>VLOOKUP(D71,Products!A:C,3,FALSE)</f>
        <v>Fashion</v>
      </c>
      <c r="L71" t="str">
        <f>VLOOKUP(E71,Stores!A:B,2,FALSE)</f>
        <v>MegaMart Brianahaven</v>
      </c>
      <c r="M71">
        <f>VLOOKUP(D71,Products!A:E,5,FALSE)</f>
        <v>1134.8</v>
      </c>
      <c r="N71" s="5">
        <f t="shared" si="1"/>
        <v>2893.74</v>
      </c>
    </row>
    <row r="72" spans="1:14" x14ac:dyDescent="0.3">
      <c r="A72" t="s">
        <v>928</v>
      </c>
      <c r="B72" s="2">
        <v>45248</v>
      </c>
      <c r="C72" t="s">
        <v>531</v>
      </c>
      <c r="D72" t="s">
        <v>814</v>
      </c>
      <c r="E72" t="s">
        <v>846</v>
      </c>
      <c r="F72">
        <v>1</v>
      </c>
      <c r="G72">
        <v>0</v>
      </c>
      <c r="H72" t="s">
        <v>861</v>
      </c>
      <c r="I72" t="str">
        <f>VLOOKUP(C72,Customers!A:C,2,FALSE)&amp;" "&amp;VLOOKUP(C72,Customers!A:C,3,FALSE)</f>
        <v>John Johnson</v>
      </c>
      <c r="J72" t="str">
        <f>VLOOKUP(D72,Products!A:C,2,FALSE)</f>
        <v>Least Accessories</v>
      </c>
      <c r="K72" t="str">
        <f>VLOOKUP(D72,Products!A:C,3,FALSE)</f>
        <v>Fashion</v>
      </c>
      <c r="L72" t="str">
        <f>VLOOKUP(E72,Stores!A:B,2,FALSE)</f>
        <v>MegaMart Johnmouth</v>
      </c>
      <c r="M72">
        <f>VLOOKUP(D72,Products!A:E,5,FALSE)</f>
        <v>1286.55</v>
      </c>
      <c r="N72" s="5">
        <f t="shared" si="1"/>
        <v>1286.55</v>
      </c>
    </row>
    <row r="73" spans="1:14" x14ac:dyDescent="0.3">
      <c r="A73" t="s">
        <v>929</v>
      </c>
      <c r="B73" s="2">
        <v>45662</v>
      </c>
      <c r="C73" t="s">
        <v>577</v>
      </c>
      <c r="D73" t="s">
        <v>745</v>
      </c>
      <c r="E73" t="s">
        <v>835</v>
      </c>
      <c r="F73">
        <v>3</v>
      </c>
      <c r="G73">
        <v>0</v>
      </c>
      <c r="H73" t="s">
        <v>861</v>
      </c>
      <c r="I73" t="str">
        <f>VLOOKUP(C73,Customers!A:C,2,FALSE)&amp;" "&amp;VLOOKUP(C73,Customers!A:C,3,FALSE)</f>
        <v>Michael Perez</v>
      </c>
      <c r="J73" t="str">
        <f>VLOOKUP(D73,Products!A:C,2,FALSE)</f>
        <v>Above Camera</v>
      </c>
      <c r="K73" t="str">
        <f>VLOOKUP(D73,Products!A:C,3,FALSE)</f>
        <v>Electronics</v>
      </c>
      <c r="L73" t="str">
        <f>VLOOKUP(E73,Stores!A:B,2,FALSE)</f>
        <v>MegaMart Peckmouth</v>
      </c>
      <c r="M73">
        <f>VLOOKUP(D73,Products!A:E,5,FALSE)</f>
        <v>1193.0899999999999</v>
      </c>
      <c r="N73" s="5">
        <f t="shared" si="1"/>
        <v>3579.2699999999995</v>
      </c>
    </row>
    <row r="74" spans="1:14" x14ac:dyDescent="0.3">
      <c r="A74" t="s">
        <v>930</v>
      </c>
      <c r="B74" s="2">
        <v>45573</v>
      </c>
      <c r="C74" t="s">
        <v>238</v>
      </c>
      <c r="D74" t="s">
        <v>769</v>
      </c>
      <c r="E74" t="s">
        <v>835</v>
      </c>
      <c r="F74">
        <v>5</v>
      </c>
      <c r="G74">
        <v>0</v>
      </c>
      <c r="H74" t="s">
        <v>861</v>
      </c>
      <c r="I74" t="str">
        <f>VLOOKUP(C74,Customers!A:C,2,FALSE)&amp;" "&amp;VLOOKUP(C74,Customers!A:C,3,FALSE)</f>
        <v>Susan Salinas</v>
      </c>
      <c r="J74" t="str">
        <f>VLOOKUP(D74,Products!A:C,2,FALSE)</f>
        <v>How Vegetables</v>
      </c>
      <c r="K74" t="str">
        <f>VLOOKUP(D74,Products!A:C,3,FALSE)</f>
        <v>Groceries</v>
      </c>
      <c r="L74" t="str">
        <f>VLOOKUP(E74,Stores!A:B,2,FALSE)</f>
        <v>MegaMart Peckmouth</v>
      </c>
      <c r="M74">
        <f>VLOOKUP(D74,Products!A:E,5,FALSE)</f>
        <v>25.57</v>
      </c>
      <c r="N74" s="5">
        <f t="shared" si="1"/>
        <v>127.85</v>
      </c>
    </row>
    <row r="75" spans="1:14" x14ac:dyDescent="0.3">
      <c r="A75" t="s">
        <v>931</v>
      </c>
      <c r="B75" s="2">
        <v>45474</v>
      </c>
      <c r="C75" t="s">
        <v>7</v>
      </c>
      <c r="D75" t="s">
        <v>750</v>
      </c>
      <c r="E75" t="s">
        <v>842</v>
      </c>
      <c r="F75">
        <v>4</v>
      </c>
      <c r="G75">
        <v>0.15</v>
      </c>
      <c r="H75" t="s">
        <v>855</v>
      </c>
      <c r="I75" t="str">
        <f>VLOOKUP(C75,Customers!A:C,2,FALSE)&amp;" "&amp;VLOOKUP(C75,Customers!A:C,3,FALSE)</f>
        <v>Michael Davis</v>
      </c>
      <c r="J75" t="str">
        <f>VLOOKUP(D75,Products!A:C,2,FALSE)</f>
        <v>Add Clothing</v>
      </c>
      <c r="K75" t="str">
        <f>VLOOKUP(D75,Products!A:C,3,FALSE)</f>
        <v>Fashion</v>
      </c>
      <c r="L75" t="str">
        <f>VLOOKUP(E75,Stores!A:B,2,FALSE)</f>
        <v>MegaMart Brianahaven</v>
      </c>
      <c r="M75">
        <f>VLOOKUP(D75,Products!A:E,5,FALSE)</f>
        <v>1342.75</v>
      </c>
      <c r="N75" s="5">
        <f t="shared" si="1"/>
        <v>4565.3499999999995</v>
      </c>
    </row>
    <row r="76" spans="1:14" x14ac:dyDescent="0.3">
      <c r="A76" t="s">
        <v>932</v>
      </c>
      <c r="B76" s="2">
        <v>45406</v>
      </c>
      <c r="C76" t="s">
        <v>40</v>
      </c>
      <c r="D76" t="s">
        <v>759</v>
      </c>
      <c r="E76" t="s">
        <v>835</v>
      </c>
      <c r="F76">
        <v>3</v>
      </c>
      <c r="G76">
        <v>0.1</v>
      </c>
      <c r="H76" t="s">
        <v>858</v>
      </c>
      <c r="I76" t="str">
        <f>VLOOKUP(C76,Customers!A:C,2,FALSE)&amp;" "&amp;VLOOKUP(C76,Customers!A:C,3,FALSE)</f>
        <v>Richard Pacheco</v>
      </c>
      <c r="J76" t="str">
        <f>VLOOKUP(D76,Products!A:C,2,FALSE)</f>
        <v>Democratic Smartphone</v>
      </c>
      <c r="K76" t="str">
        <f>VLOOKUP(D76,Products!A:C,3,FALSE)</f>
        <v>Electronics</v>
      </c>
      <c r="L76" t="str">
        <f>VLOOKUP(E76,Stores!A:B,2,FALSE)</f>
        <v>MegaMart Peckmouth</v>
      </c>
      <c r="M76">
        <f>VLOOKUP(D76,Products!A:E,5,FALSE)</f>
        <v>1079.8900000000001</v>
      </c>
      <c r="N76" s="5">
        <f t="shared" si="1"/>
        <v>2915.703</v>
      </c>
    </row>
    <row r="77" spans="1:14" x14ac:dyDescent="0.3">
      <c r="A77" t="s">
        <v>933</v>
      </c>
      <c r="B77" s="2">
        <v>45797</v>
      </c>
      <c r="C77" t="s">
        <v>77</v>
      </c>
      <c r="D77" t="s">
        <v>725</v>
      </c>
      <c r="E77" t="s">
        <v>835</v>
      </c>
      <c r="F77">
        <v>3</v>
      </c>
      <c r="G77">
        <v>0.05</v>
      </c>
      <c r="H77" t="s">
        <v>858</v>
      </c>
      <c r="I77" t="str">
        <f>VLOOKUP(C77,Customers!A:C,2,FALSE)&amp;" "&amp;VLOOKUP(C77,Customers!A:C,3,FALSE)</f>
        <v>John Smith</v>
      </c>
      <c r="J77" t="str">
        <f>VLOOKUP(D77,Products!A:C,2,FALSE)</f>
        <v>Knowledge Bags</v>
      </c>
      <c r="K77" t="str">
        <f>VLOOKUP(D77,Products!A:C,3,FALSE)</f>
        <v>Fashion</v>
      </c>
      <c r="L77" t="str">
        <f>VLOOKUP(E77,Stores!A:B,2,FALSE)</f>
        <v>MegaMart Peckmouth</v>
      </c>
      <c r="M77">
        <f>VLOOKUP(D77,Products!A:E,5,FALSE)</f>
        <v>1396.22</v>
      </c>
      <c r="N77" s="5">
        <f t="shared" si="1"/>
        <v>3979.2269999999999</v>
      </c>
    </row>
    <row r="78" spans="1:14" x14ac:dyDescent="0.3">
      <c r="A78" t="s">
        <v>934</v>
      </c>
      <c r="B78" s="2">
        <v>45827</v>
      </c>
      <c r="C78" t="s">
        <v>119</v>
      </c>
      <c r="D78" t="s">
        <v>788</v>
      </c>
      <c r="E78" t="s">
        <v>846</v>
      </c>
      <c r="F78">
        <v>2</v>
      </c>
      <c r="G78">
        <v>0.05</v>
      </c>
      <c r="H78" t="s">
        <v>855</v>
      </c>
      <c r="I78" t="str">
        <f>VLOOKUP(C78,Customers!A:C,2,FALSE)&amp;" "&amp;VLOOKUP(C78,Customers!A:C,3,FALSE)</f>
        <v>Lacey Hall</v>
      </c>
      <c r="J78" t="str">
        <f>VLOOKUP(D78,Products!A:C,2,FALSE)</f>
        <v>Foot Snacks</v>
      </c>
      <c r="K78" t="str">
        <f>VLOOKUP(D78,Products!A:C,3,FALSE)</f>
        <v>Groceries</v>
      </c>
      <c r="L78" t="str">
        <f>VLOOKUP(E78,Stores!A:B,2,FALSE)</f>
        <v>MegaMart Johnmouth</v>
      </c>
      <c r="M78">
        <f>VLOOKUP(D78,Products!A:E,5,FALSE)</f>
        <v>1095.72</v>
      </c>
      <c r="N78" s="5">
        <f t="shared" si="1"/>
        <v>2081.8679999999999</v>
      </c>
    </row>
    <row r="79" spans="1:14" x14ac:dyDescent="0.3">
      <c r="A79" t="s">
        <v>935</v>
      </c>
      <c r="B79" s="2">
        <v>45497</v>
      </c>
      <c r="C79" t="s">
        <v>144</v>
      </c>
      <c r="D79" t="s">
        <v>753</v>
      </c>
      <c r="E79" t="s">
        <v>831</v>
      </c>
      <c r="F79">
        <v>1</v>
      </c>
      <c r="G79">
        <v>0.05</v>
      </c>
      <c r="H79" t="s">
        <v>855</v>
      </c>
      <c r="I79" t="str">
        <f>VLOOKUP(C79,Customers!A:C,2,FALSE)&amp;" "&amp;VLOOKUP(C79,Customers!A:C,3,FALSE)</f>
        <v>Miranda Nelson</v>
      </c>
      <c r="J79" t="str">
        <f>VLOOKUP(D79,Products!A:C,2,FALSE)</f>
        <v>Whether Bags</v>
      </c>
      <c r="K79" t="str">
        <f>VLOOKUP(D79,Products!A:C,3,FALSE)</f>
        <v>Fashion</v>
      </c>
      <c r="L79" t="str">
        <f>VLOOKUP(E79,Stores!A:B,2,FALSE)</f>
        <v>MegaMart Jimenezborough</v>
      </c>
      <c r="M79">
        <f>VLOOKUP(D79,Products!A:E,5,FALSE)</f>
        <v>270.45</v>
      </c>
      <c r="N79" s="5">
        <f t="shared" si="1"/>
        <v>256.92749999999995</v>
      </c>
    </row>
    <row r="80" spans="1:14" x14ac:dyDescent="0.3">
      <c r="A80" t="s">
        <v>936</v>
      </c>
      <c r="B80" s="2">
        <v>45297</v>
      </c>
      <c r="C80" t="s">
        <v>551</v>
      </c>
      <c r="D80" t="s">
        <v>759</v>
      </c>
      <c r="E80" t="s">
        <v>846</v>
      </c>
      <c r="F80">
        <v>3</v>
      </c>
      <c r="G80">
        <v>0.15</v>
      </c>
      <c r="H80" t="s">
        <v>865</v>
      </c>
      <c r="I80" t="str">
        <f>VLOOKUP(C80,Customers!A:C,2,FALSE)&amp;" "&amp;VLOOKUP(C80,Customers!A:C,3,FALSE)</f>
        <v>Nancy Gordon</v>
      </c>
      <c r="J80" t="str">
        <f>VLOOKUP(D80,Products!A:C,2,FALSE)</f>
        <v>Democratic Smartphone</v>
      </c>
      <c r="K80" t="str">
        <f>VLOOKUP(D80,Products!A:C,3,FALSE)</f>
        <v>Electronics</v>
      </c>
      <c r="L80" t="str">
        <f>VLOOKUP(E80,Stores!A:B,2,FALSE)</f>
        <v>MegaMart Johnmouth</v>
      </c>
      <c r="M80">
        <f>VLOOKUP(D80,Products!A:E,5,FALSE)</f>
        <v>1079.8900000000001</v>
      </c>
      <c r="N80" s="5">
        <f t="shared" si="1"/>
        <v>2753.7195000000002</v>
      </c>
    </row>
    <row r="81" spans="1:14" x14ac:dyDescent="0.3">
      <c r="A81" t="s">
        <v>937</v>
      </c>
      <c r="B81" s="2">
        <v>45251</v>
      </c>
      <c r="C81" t="s">
        <v>445</v>
      </c>
      <c r="D81" t="s">
        <v>766</v>
      </c>
      <c r="E81" t="s">
        <v>839</v>
      </c>
      <c r="F81">
        <v>4</v>
      </c>
      <c r="G81">
        <v>0.1</v>
      </c>
      <c r="H81" t="s">
        <v>858</v>
      </c>
      <c r="I81" t="str">
        <f>VLOOKUP(C81,Customers!A:C,2,FALSE)&amp;" "&amp;VLOOKUP(C81,Customers!A:C,3,FALSE)</f>
        <v>Curtis Faulkner</v>
      </c>
      <c r="J81" t="str">
        <f>VLOOKUP(D81,Products!A:C,2,FALSE)</f>
        <v>Firm Dairy</v>
      </c>
      <c r="K81" t="str">
        <f>VLOOKUP(D81,Products!A:C,3,FALSE)</f>
        <v>Groceries</v>
      </c>
      <c r="L81" t="str">
        <f>VLOOKUP(E81,Stores!A:B,2,FALSE)</f>
        <v>MegaMart New Michele</v>
      </c>
      <c r="M81">
        <f>VLOOKUP(D81,Products!A:E,5,FALSE)</f>
        <v>1227.24</v>
      </c>
      <c r="N81" s="5">
        <f t="shared" si="1"/>
        <v>4418.0640000000003</v>
      </c>
    </row>
    <row r="82" spans="1:14" x14ac:dyDescent="0.3">
      <c r="A82" t="s">
        <v>938</v>
      </c>
      <c r="B82" s="2">
        <v>45463</v>
      </c>
      <c r="C82" t="s">
        <v>422</v>
      </c>
      <c r="D82" t="s">
        <v>736</v>
      </c>
      <c r="E82" t="s">
        <v>831</v>
      </c>
      <c r="F82">
        <v>5</v>
      </c>
      <c r="G82">
        <v>0</v>
      </c>
      <c r="H82" t="s">
        <v>858</v>
      </c>
      <c r="I82" t="str">
        <f>VLOOKUP(C82,Customers!A:C,2,FALSE)&amp;" "&amp;VLOOKUP(C82,Customers!A:C,3,FALSE)</f>
        <v>Heidi Wilson</v>
      </c>
      <c r="J82" t="str">
        <f>VLOOKUP(D82,Products!A:C,2,FALSE)</f>
        <v>Us Snacks</v>
      </c>
      <c r="K82" t="str">
        <f>VLOOKUP(D82,Products!A:C,3,FALSE)</f>
        <v>Groceries</v>
      </c>
      <c r="L82" t="str">
        <f>VLOOKUP(E82,Stores!A:B,2,FALSE)</f>
        <v>MegaMart Jimenezborough</v>
      </c>
      <c r="M82">
        <f>VLOOKUP(D82,Products!A:E,5,FALSE)</f>
        <v>123.19</v>
      </c>
      <c r="N82" s="5">
        <f t="shared" si="1"/>
        <v>615.95000000000005</v>
      </c>
    </row>
    <row r="83" spans="1:14" x14ac:dyDescent="0.3">
      <c r="A83" t="s">
        <v>939</v>
      </c>
      <c r="B83" s="2">
        <v>45222</v>
      </c>
      <c r="C83" t="s">
        <v>666</v>
      </c>
      <c r="D83" t="s">
        <v>736</v>
      </c>
      <c r="E83" t="s">
        <v>839</v>
      </c>
      <c r="F83">
        <v>5</v>
      </c>
      <c r="G83">
        <v>0.1</v>
      </c>
      <c r="H83" t="s">
        <v>865</v>
      </c>
      <c r="I83" t="str">
        <f>VLOOKUP(C83,Customers!A:C,2,FALSE)&amp;" "&amp;VLOOKUP(C83,Customers!A:C,3,FALSE)</f>
        <v>Steve Flynn</v>
      </c>
      <c r="J83" t="str">
        <f>VLOOKUP(D83,Products!A:C,2,FALSE)</f>
        <v>Us Snacks</v>
      </c>
      <c r="K83" t="str">
        <f>VLOOKUP(D83,Products!A:C,3,FALSE)</f>
        <v>Groceries</v>
      </c>
      <c r="L83" t="str">
        <f>VLOOKUP(E83,Stores!A:B,2,FALSE)</f>
        <v>MegaMart New Michele</v>
      </c>
      <c r="M83">
        <f>VLOOKUP(D83,Products!A:E,5,FALSE)</f>
        <v>123.19</v>
      </c>
      <c r="N83" s="5">
        <f t="shared" si="1"/>
        <v>554.35500000000002</v>
      </c>
    </row>
    <row r="84" spans="1:14" x14ac:dyDescent="0.3">
      <c r="A84" t="s">
        <v>940</v>
      </c>
      <c r="B84" s="2">
        <v>45520</v>
      </c>
      <c r="C84" t="s">
        <v>97</v>
      </c>
      <c r="D84" t="s">
        <v>804</v>
      </c>
      <c r="E84" t="s">
        <v>835</v>
      </c>
      <c r="F84">
        <v>5</v>
      </c>
      <c r="G84">
        <v>0</v>
      </c>
      <c r="H84" t="s">
        <v>855</v>
      </c>
      <c r="I84" t="str">
        <f>VLOOKUP(C84,Customers!A:C,2,FALSE)&amp;" "&amp;VLOOKUP(C84,Customers!A:C,3,FALSE)</f>
        <v>Molly Murray</v>
      </c>
      <c r="J84" t="str">
        <f>VLOOKUP(D84,Products!A:C,2,FALSE)</f>
        <v>Church Clothing</v>
      </c>
      <c r="K84" t="str">
        <f>VLOOKUP(D84,Products!A:C,3,FALSE)</f>
        <v>Fashion</v>
      </c>
      <c r="L84" t="str">
        <f>VLOOKUP(E84,Stores!A:B,2,FALSE)</f>
        <v>MegaMart Peckmouth</v>
      </c>
      <c r="M84">
        <f>VLOOKUP(D84,Products!A:E,5,FALSE)</f>
        <v>540.94000000000005</v>
      </c>
      <c r="N84" s="5">
        <f t="shared" si="1"/>
        <v>2704.7000000000003</v>
      </c>
    </row>
    <row r="85" spans="1:14" x14ac:dyDescent="0.3">
      <c r="A85" t="s">
        <v>941</v>
      </c>
      <c r="B85" s="2">
        <v>45805</v>
      </c>
      <c r="C85" t="s">
        <v>536</v>
      </c>
      <c r="D85" t="s">
        <v>802</v>
      </c>
      <c r="E85" t="s">
        <v>831</v>
      </c>
      <c r="F85">
        <v>2</v>
      </c>
      <c r="G85">
        <v>0.15</v>
      </c>
      <c r="H85" t="s">
        <v>858</v>
      </c>
      <c r="I85" t="str">
        <f>VLOOKUP(C85,Customers!A:C,2,FALSE)&amp;" "&amp;VLOOKUP(C85,Customers!A:C,3,FALSE)</f>
        <v>John Foster</v>
      </c>
      <c r="J85" t="str">
        <f>VLOOKUP(D85,Products!A:C,2,FALSE)</f>
        <v>Stage Footwear</v>
      </c>
      <c r="K85" t="str">
        <f>VLOOKUP(D85,Products!A:C,3,FALSE)</f>
        <v>Fashion</v>
      </c>
      <c r="L85" t="str">
        <f>VLOOKUP(E85,Stores!A:B,2,FALSE)</f>
        <v>MegaMart Jimenezborough</v>
      </c>
      <c r="M85">
        <f>VLOOKUP(D85,Products!A:E,5,FALSE)</f>
        <v>366.93</v>
      </c>
      <c r="N85" s="5">
        <f t="shared" si="1"/>
        <v>623.78099999999995</v>
      </c>
    </row>
    <row r="86" spans="1:14" x14ac:dyDescent="0.3">
      <c r="A86" t="s">
        <v>942</v>
      </c>
      <c r="B86" s="2">
        <v>45212</v>
      </c>
      <c r="C86" t="s">
        <v>274</v>
      </c>
      <c r="D86" t="s">
        <v>750</v>
      </c>
      <c r="E86" t="s">
        <v>835</v>
      </c>
      <c r="F86">
        <v>5</v>
      </c>
      <c r="G86">
        <v>0.15</v>
      </c>
      <c r="H86" t="s">
        <v>858</v>
      </c>
      <c r="I86" t="str">
        <f>VLOOKUP(C86,Customers!A:C,2,FALSE)&amp;" "&amp;VLOOKUP(C86,Customers!A:C,3,FALSE)</f>
        <v>Eric Watkins</v>
      </c>
      <c r="J86" t="str">
        <f>VLOOKUP(D86,Products!A:C,2,FALSE)</f>
        <v>Add Clothing</v>
      </c>
      <c r="K86" t="str">
        <f>VLOOKUP(D86,Products!A:C,3,FALSE)</f>
        <v>Fashion</v>
      </c>
      <c r="L86" t="str">
        <f>VLOOKUP(E86,Stores!A:B,2,FALSE)</f>
        <v>MegaMart Peckmouth</v>
      </c>
      <c r="M86">
        <f>VLOOKUP(D86,Products!A:E,5,FALSE)</f>
        <v>1342.75</v>
      </c>
      <c r="N86" s="5">
        <f t="shared" si="1"/>
        <v>5706.6875</v>
      </c>
    </row>
    <row r="87" spans="1:14" x14ac:dyDescent="0.3">
      <c r="A87" t="s">
        <v>943</v>
      </c>
      <c r="B87" s="2">
        <v>45186</v>
      </c>
      <c r="C87" t="s">
        <v>97</v>
      </c>
      <c r="D87" t="s">
        <v>759</v>
      </c>
      <c r="E87" t="s">
        <v>842</v>
      </c>
      <c r="F87">
        <v>3</v>
      </c>
      <c r="G87">
        <v>0.15</v>
      </c>
      <c r="H87" t="s">
        <v>855</v>
      </c>
      <c r="I87" t="str">
        <f>VLOOKUP(C87,Customers!A:C,2,FALSE)&amp;" "&amp;VLOOKUP(C87,Customers!A:C,3,FALSE)</f>
        <v>Molly Murray</v>
      </c>
      <c r="J87" t="str">
        <f>VLOOKUP(D87,Products!A:C,2,FALSE)</f>
        <v>Democratic Smartphone</v>
      </c>
      <c r="K87" t="str">
        <f>VLOOKUP(D87,Products!A:C,3,FALSE)</f>
        <v>Electronics</v>
      </c>
      <c r="L87" t="str">
        <f>VLOOKUP(E87,Stores!A:B,2,FALSE)</f>
        <v>MegaMart Brianahaven</v>
      </c>
      <c r="M87">
        <f>VLOOKUP(D87,Products!A:E,5,FALSE)</f>
        <v>1079.8900000000001</v>
      </c>
      <c r="N87" s="5">
        <f t="shared" si="1"/>
        <v>2753.7195000000002</v>
      </c>
    </row>
    <row r="88" spans="1:14" x14ac:dyDescent="0.3">
      <c r="A88" t="s">
        <v>944</v>
      </c>
      <c r="B88" s="2">
        <v>45582</v>
      </c>
      <c r="C88" t="s">
        <v>313</v>
      </c>
      <c r="D88" t="s">
        <v>798</v>
      </c>
      <c r="E88" t="s">
        <v>831</v>
      </c>
      <c r="F88">
        <v>2</v>
      </c>
      <c r="G88">
        <v>0.1</v>
      </c>
      <c r="H88" t="s">
        <v>858</v>
      </c>
      <c r="I88" t="str">
        <f>VLOOKUP(C88,Customers!A:C,2,FALSE)&amp;" "&amp;VLOOKUP(C88,Customers!A:C,3,FALSE)</f>
        <v>Jeremy Robles</v>
      </c>
      <c r="J88" t="str">
        <f>VLOOKUP(D88,Products!A:C,2,FALSE)</f>
        <v>New Watches</v>
      </c>
      <c r="K88" t="str">
        <f>VLOOKUP(D88,Products!A:C,3,FALSE)</f>
        <v>Fashion</v>
      </c>
      <c r="L88" t="str">
        <f>VLOOKUP(E88,Stores!A:B,2,FALSE)</f>
        <v>MegaMart Jimenezborough</v>
      </c>
      <c r="M88">
        <f>VLOOKUP(D88,Products!A:E,5,FALSE)</f>
        <v>1501.46</v>
      </c>
      <c r="N88" s="5">
        <f t="shared" si="1"/>
        <v>2702.6280000000002</v>
      </c>
    </row>
    <row r="89" spans="1:14" x14ac:dyDescent="0.3">
      <c r="A89" t="s">
        <v>945</v>
      </c>
      <c r="B89" s="2">
        <v>45800</v>
      </c>
      <c r="C89" t="s">
        <v>630</v>
      </c>
      <c r="D89" t="s">
        <v>774</v>
      </c>
      <c r="E89" t="s">
        <v>842</v>
      </c>
      <c r="F89">
        <v>3</v>
      </c>
      <c r="G89">
        <v>0.15</v>
      </c>
      <c r="H89" t="s">
        <v>865</v>
      </c>
      <c r="I89" t="str">
        <f>VLOOKUP(C89,Customers!A:C,2,FALSE)&amp;" "&amp;VLOOKUP(C89,Customers!A:C,3,FALSE)</f>
        <v>Mark Mcdonald</v>
      </c>
      <c r="J89" t="str">
        <f>VLOOKUP(D89,Products!A:C,2,FALSE)</f>
        <v>Him Smartphone</v>
      </c>
      <c r="K89" t="str">
        <f>VLOOKUP(D89,Products!A:C,3,FALSE)</f>
        <v>Electronics</v>
      </c>
      <c r="L89" t="str">
        <f>VLOOKUP(E89,Stores!A:B,2,FALSE)</f>
        <v>MegaMart Brianahaven</v>
      </c>
      <c r="M89">
        <f>VLOOKUP(D89,Products!A:E,5,FALSE)</f>
        <v>1487.41</v>
      </c>
      <c r="N89" s="5">
        <f t="shared" si="1"/>
        <v>3792.8955000000001</v>
      </c>
    </row>
    <row r="90" spans="1:14" x14ac:dyDescent="0.3">
      <c r="A90" t="s">
        <v>946</v>
      </c>
      <c r="B90" s="2">
        <v>45688</v>
      </c>
      <c r="C90" t="s">
        <v>435</v>
      </c>
      <c r="D90" t="s">
        <v>824</v>
      </c>
      <c r="E90" t="s">
        <v>831</v>
      </c>
      <c r="F90">
        <v>3</v>
      </c>
      <c r="G90">
        <v>0.1</v>
      </c>
      <c r="H90" t="s">
        <v>855</v>
      </c>
      <c r="I90" t="str">
        <f>VLOOKUP(C90,Customers!A:C,2,FALSE)&amp;" "&amp;VLOOKUP(C90,Customers!A:C,3,FALSE)</f>
        <v>Timothy Beck</v>
      </c>
      <c r="J90" t="str">
        <f>VLOOKUP(D90,Products!A:C,2,FALSE)</f>
        <v>Possible Watches</v>
      </c>
      <c r="K90" t="str">
        <f>VLOOKUP(D90,Products!A:C,3,FALSE)</f>
        <v>Fashion</v>
      </c>
      <c r="L90" t="str">
        <f>VLOOKUP(E90,Stores!A:B,2,FALSE)</f>
        <v>MegaMart Jimenezborough</v>
      </c>
      <c r="M90">
        <f>VLOOKUP(D90,Products!A:E,5,FALSE)</f>
        <v>388.26</v>
      </c>
      <c r="N90" s="5">
        <f t="shared" si="1"/>
        <v>1048.3019999999999</v>
      </c>
    </row>
    <row r="91" spans="1:14" x14ac:dyDescent="0.3">
      <c r="A91" t="s">
        <v>947</v>
      </c>
      <c r="B91" s="2">
        <v>45245</v>
      </c>
      <c r="C91" t="s">
        <v>119</v>
      </c>
      <c r="D91" t="s">
        <v>818</v>
      </c>
      <c r="E91" t="s">
        <v>842</v>
      </c>
      <c r="F91">
        <v>5</v>
      </c>
      <c r="G91">
        <v>0</v>
      </c>
      <c r="H91" t="s">
        <v>858</v>
      </c>
      <c r="I91" t="str">
        <f>VLOOKUP(C91,Customers!A:C,2,FALSE)&amp;" "&amp;VLOOKUP(C91,Customers!A:C,3,FALSE)</f>
        <v>Lacey Hall</v>
      </c>
      <c r="J91" t="str">
        <f>VLOOKUP(D91,Products!A:C,2,FALSE)</f>
        <v>Nature Clothing</v>
      </c>
      <c r="K91" t="str">
        <f>VLOOKUP(D91,Products!A:C,3,FALSE)</f>
        <v>Fashion</v>
      </c>
      <c r="L91" t="str">
        <f>VLOOKUP(E91,Stores!A:B,2,FALSE)</f>
        <v>MegaMart Brianahaven</v>
      </c>
      <c r="M91">
        <f>VLOOKUP(D91,Products!A:E,5,FALSE)</f>
        <v>1165.3699999999999</v>
      </c>
      <c r="N91" s="5">
        <f t="shared" si="1"/>
        <v>5826.8499999999995</v>
      </c>
    </row>
    <row r="92" spans="1:14" x14ac:dyDescent="0.3">
      <c r="A92" t="s">
        <v>948</v>
      </c>
      <c r="B92" s="2">
        <v>45864</v>
      </c>
      <c r="C92" t="s">
        <v>396</v>
      </c>
      <c r="D92" t="s">
        <v>804</v>
      </c>
      <c r="E92" t="s">
        <v>831</v>
      </c>
      <c r="F92">
        <v>2</v>
      </c>
      <c r="G92">
        <v>0.1</v>
      </c>
      <c r="H92" t="s">
        <v>858</v>
      </c>
      <c r="I92" t="str">
        <f>VLOOKUP(C92,Customers!A:C,2,FALSE)&amp;" "&amp;VLOOKUP(C92,Customers!A:C,3,FALSE)</f>
        <v>Kevin Flores</v>
      </c>
      <c r="J92" t="str">
        <f>VLOOKUP(D92,Products!A:C,2,FALSE)</f>
        <v>Church Clothing</v>
      </c>
      <c r="K92" t="str">
        <f>VLOOKUP(D92,Products!A:C,3,FALSE)</f>
        <v>Fashion</v>
      </c>
      <c r="L92" t="str">
        <f>VLOOKUP(E92,Stores!A:B,2,FALSE)</f>
        <v>MegaMart Jimenezborough</v>
      </c>
      <c r="M92">
        <f>VLOOKUP(D92,Products!A:E,5,FALSE)</f>
        <v>540.94000000000005</v>
      </c>
      <c r="N92" s="5">
        <f t="shared" si="1"/>
        <v>973.69200000000012</v>
      </c>
    </row>
    <row r="93" spans="1:14" x14ac:dyDescent="0.3">
      <c r="A93" t="s">
        <v>949</v>
      </c>
      <c r="B93" s="2">
        <v>45783</v>
      </c>
      <c r="C93" t="s">
        <v>577</v>
      </c>
      <c r="D93" t="s">
        <v>824</v>
      </c>
      <c r="E93" t="s">
        <v>842</v>
      </c>
      <c r="F93">
        <v>1</v>
      </c>
      <c r="G93">
        <v>0.05</v>
      </c>
      <c r="H93" t="s">
        <v>855</v>
      </c>
      <c r="I93" t="str">
        <f>VLOOKUP(C93,Customers!A:C,2,FALSE)&amp;" "&amp;VLOOKUP(C93,Customers!A:C,3,FALSE)</f>
        <v>Michael Perez</v>
      </c>
      <c r="J93" t="str">
        <f>VLOOKUP(D93,Products!A:C,2,FALSE)</f>
        <v>Possible Watches</v>
      </c>
      <c r="K93" t="str">
        <f>VLOOKUP(D93,Products!A:C,3,FALSE)</f>
        <v>Fashion</v>
      </c>
      <c r="L93" t="str">
        <f>VLOOKUP(E93,Stores!A:B,2,FALSE)</f>
        <v>MegaMart Brianahaven</v>
      </c>
      <c r="M93">
        <f>VLOOKUP(D93,Products!A:E,5,FALSE)</f>
        <v>388.26</v>
      </c>
      <c r="N93" s="5">
        <f t="shared" si="1"/>
        <v>368.84699999999998</v>
      </c>
    </row>
    <row r="94" spans="1:14" x14ac:dyDescent="0.3">
      <c r="A94" t="s">
        <v>950</v>
      </c>
      <c r="B94" s="2">
        <v>45192</v>
      </c>
      <c r="C94" t="s">
        <v>512</v>
      </c>
      <c r="D94" t="s">
        <v>822</v>
      </c>
      <c r="E94" t="s">
        <v>835</v>
      </c>
      <c r="F94">
        <v>3</v>
      </c>
      <c r="G94">
        <v>0.15</v>
      </c>
      <c r="H94" t="s">
        <v>858</v>
      </c>
      <c r="I94" t="str">
        <f>VLOOKUP(C94,Customers!A:C,2,FALSE)&amp;" "&amp;VLOOKUP(C94,Customers!A:C,3,FALSE)</f>
        <v>Adam Lucas</v>
      </c>
      <c r="J94" t="str">
        <f>VLOOKUP(D94,Products!A:C,2,FALSE)</f>
        <v>Nor Bags</v>
      </c>
      <c r="K94" t="str">
        <f>VLOOKUP(D94,Products!A:C,3,FALSE)</f>
        <v>Fashion</v>
      </c>
      <c r="L94" t="str">
        <f>VLOOKUP(E94,Stores!A:B,2,FALSE)</f>
        <v>MegaMart Peckmouth</v>
      </c>
      <c r="M94">
        <f>VLOOKUP(D94,Products!A:E,5,FALSE)</f>
        <v>1216.3599999999999</v>
      </c>
      <c r="N94" s="5">
        <f t="shared" si="1"/>
        <v>3101.7179999999998</v>
      </c>
    </row>
    <row r="95" spans="1:14" x14ac:dyDescent="0.3">
      <c r="A95" t="s">
        <v>951</v>
      </c>
      <c r="B95" s="2">
        <v>45284</v>
      </c>
      <c r="C95" t="s">
        <v>127</v>
      </c>
      <c r="D95" t="s">
        <v>761</v>
      </c>
      <c r="E95" t="s">
        <v>831</v>
      </c>
      <c r="F95">
        <v>5</v>
      </c>
      <c r="G95">
        <v>0.05</v>
      </c>
      <c r="H95" t="s">
        <v>861</v>
      </c>
      <c r="I95" t="str">
        <f>VLOOKUP(C95,Customers!A:C,2,FALSE)&amp;" "&amp;VLOOKUP(C95,Customers!A:C,3,FALSE)</f>
        <v>Valerie Macdonald</v>
      </c>
      <c r="J95" t="str">
        <f>VLOOKUP(D95,Products!A:C,2,FALSE)</f>
        <v>Traditional Laptop</v>
      </c>
      <c r="K95" t="str">
        <f>VLOOKUP(D95,Products!A:C,3,FALSE)</f>
        <v>Electronics</v>
      </c>
      <c r="L95" t="str">
        <f>VLOOKUP(E95,Stores!A:B,2,FALSE)</f>
        <v>MegaMart Jimenezborough</v>
      </c>
      <c r="M95">
        <f>VLOOKUP(D95,Products!A:E,5,FALSE)</f>
        <v>1762.92</v>
      </c>
      <c r="N95" s="5">
        <f t="shared" si="1"/>
        <v>8373.8700000000008</v>
      </c>
    </row>
    <row r="96" spans="1:14" x14ac:dyDescent="0.3">
      <c r="A96" t="s">
        <v>952</v>
      </c>
      <c r="B96" s="2">
        <v>45578</v>
      </c>
      <c r="C96" t="s">
        <v>302</v>
      </c>
      <c r="D96" t="s">
        <v>786</v>
      </c>
      <c r="E96" t="s">
        <v>846</v>
      </c>
      <c r="F96">
        <v>1</v>
      </c>
      <c r="G96">
        <v>0.15</v>
      </c>
      <c r="H96" t="s">
        <v>865</v>
      </c>
      <c r="I96" t="str">
        <f>VLOOKUP(C96,Customers!A:C,2,FALSE)&amp;" "&amp;VLOOKUP(C96,Customers!A:C,3,FALSE)</f>
        <v>Grace Garcia</v>
      </c>
      <c r="J96" t="str">
        <f>VLOOKUP(D96,Products!A:C,2,FALSE)</f>
        <v>National Watches</v>
      </c>
      <c r="K96" t="str">
        <f>VLOOKUP(D96,Products!A:C,3,FALSE)</f>
        <v>Fashion</v>
      </c>
      <c r="L96" t="str">
        <f>VLOOKUP(E96,Stores!A:B,2,FALSE)</f>
        <v>MegaMart Johnmouth</v>
      </c>
      <c r="M96">
        <f>VLOOKUP(D96,Products!A:E,5,FALSE)</f>
        <v>29.24</v>
      </c>
      <c r="N96" s="5">
        <f t="shared" si="1"/>
        <v>24.853999999999999</v>
      </c>
    </row>
    <row r="97" spans="1:14" x14ac:dyDescent="0.3">
      <c r="A97" t="s">
        <v>953</v>
      </c>
      <c r="B97" s="2">
        <v>45451</v>
      </c>
      <c r="C97" t="s">
        <v>224</v>
      </c>
      <c r="D97" t="s">
        <v>822</v>
      </c>
      <c r="E97" t="s">
        <v>831</v>
      </c>
      <c r="F97">
        <v>4</v>
      </c>
      <c r="G97">
        <v>0</v>
      </c>
      <c r="H97" t="s">
        <v>861</v>
      </c>
      <c r="I97" t="str">
        <f>VLOOKUP(C97,Customers!A:C,2,FALSE)&amp;" "&amp;VLOOKUP(C97,Customers!A:C,3,FALSE)</f>
        <v>Lawrence Stewart</v>
      </c>
      <c r="J97" t="str">
        <f>VLOOKUP(D97,Products!A:C,2,FALSE)</f>
        <v>Nor Bags</v>
      </c>
      <c r="K97" t="str">
        <f>VLOOKUP(D97,Products!A:C,3,FALSE)</f>
        <v>Fashion</v>
      </c>
      <c r="L97" t="str">
        <f>VLOOKUP(E97,Stores!A:B,2,FALSE)</f>
        <v>MegaMart Jimenezborough</v>
      </c>
      <c r="M97">
        <f>VLOOKUP(D97,Products!A:E,5,FALSE)</f>
        <v>1216.3599999999999</v>
      </c>
      <c r="N97" s="5">
        <f t="shared" si="1"/>
        <v>4865.4399999999996</v>
      </c>
    </row>
    <row r="98" spans="1:14" x14ac:dyDescent="0.3">
      <c r="A98" t="s">
        <v>954</v>
      </c>
      <c r="B98" s="2">
        <v>45367</v>
      </c>
      <c r="C98" t="s">
        <v>469</v>
      </c>
      <c r="D98" t="s">
        <v>802</v>
      </c>
      <c r="E98" t="s">
        <v>839</v>
      </c>
      <c r="F98">
        <v>5</v>
      </c>
      <c r="G98">
        <v>0.1</v>
      </c>
      <c r="H98" t="s">
        <v>858</v>
      </c>
      <c r="I98" t="str">
        <f>VLOOKUP(C98,Customers!A:C,2,FALSE)&amp;" "&amp;VLOOKUP(C98,Customers!A:C,3,FALSE)</f>
        <v>Robert Collins</v>
      </c>
      <c r="J98" t="str">
        <f>VLOOKUP(D98,Products!A:C,2,FALSE)</f>
        <v>Stage Footwear</v>
      </c>
      <c r="K98" t="str">
        <f>VLOOKUP(D98,Products!A:C,3,FALSE)</f>
        <v>Fashion</v>
      </c>
      <c r="L98" t="str">
        <f>VLOOKUP(E98,Stores!A:B,2,FALSE)</f>
        <v>MegaMart New Michele</v>
      </c>
      <c r="M98">
        <f>VLOOKUP(D98,Products!A:E,5,FALSE)</f>
        <v>366.93</v>
      </c>
      <c r="N98" s="5">
        <f t="shared" si="1"/>
        <v>1651.1850000000002</v>
      </c>
    </row>
    <row r="99" spans="1:14" x14ac:dyDescent="0.3">
      <c r="A99" t="s">
        <v>955</v>
      </c>
      <c r="B99" s="2">
        <v>45519</v>
      </c>
      <c r="C99" t="s">
        <v>458</v>
      </c>
      <c r="D99" t="s">
        <v>736</v>
      </c>
      <c r="E99" t="s">
        <v>842</v>
      </c>
      <c r="F99">
        <v>2</v>
      </c>
      <c r="G99">
        <v>0.15</v>
      </c>
      <c r="H99" t="s">
        <v>861</v>
      </c>
      <c r="I99" t="str">
        <f>VLOOKUP(C99,Customers!A:C,2,FALSE)&amp;" "&amp;VLOOKUP(C99,Customers!A:C,3,FALSE)</f>
        <v>Chad Roberts</v>
      </c>
      <c r="J99" t="str">
        <f>VLOOKUP(D99,Products!A:C,2,FALSE)</f>
        <v>Us Snacks</v>
      </c>
      <c r="K99" t="str">
        <f>VLOOKUP(D99,Products!A:C,3,FALSE)</f>
        <v>Groceries</v>
      </c>
      <c r="L99" t="str">
        <f>VLOOKUP(E99,Stores!A:B,2,FALSE)</f>
        <v>MegaMart Brianahaven</v>
      </c>
      <c r="M99">
        <f>VLOOKUP(D99,Products!A:E,5,FALSE)</f>
        <v>123.19</v>
      </c>
      <c r="N99" s="5">
        <f t="shared" si="1"/>
        <v>209.423</v>
      </c>
    </row>
    <row r="100" spans="1:14" x14ac:dyDescent="0.3">
      <c r="A100" t="s">
        <v>956</v>
      </c>
      <c r="B100" s="2">
        <v>45583</v>
      </c>
      <c r="C100" t="s">
        <v>372</v>
      </c>
      <c r="D100" t="s">
        <v>757</v>
      </c>
      <c r="E100" t="s">
        <v>835</v>
      </c>
      <c r="F100">
        <v>5</v>
      </c>
      <c r="G100">
        <v>0.05</v>
      </c>
      <c r="H100" t="s">
        <v>865</v>
      </c>
      <c r="I100" t="str">
        <f>VLOOKUP(C100,Customers!A:C,2,FALSE)&amp;" "&amp;VLOOKUP(C100,Customers!A:C,3,FALSE)</f>
        <v>Kimberly Jones</v>
      </c>
      <c r="J100" t="str">
        <f>VLOOKUP(D100,Products!A:C,2,FALSE)</f>
        <v>Find Headphones</v>
      </c>
      <c r="K100" t="str">
        <f>VLOOKUP(D100,Products!A:C,3,FALSE)</f>
        <v>Electronics</v>
      </c>
      <c r="L100" t="str">
        <f>VLOOKUP(E100,Stores!A:B,2,FALSE)</f>
        <v>MegaMart Peckmouth</v>
      </c>
      <c r="M100">
        <f>VLOOKUP(D100,Products!A:E,5,FALSE)</f>
        <v>1246.1099999999999</v>
      </c>
      <c r="N100" s="5">
        <f t="shared" si="1"/>
        <v>5919.0224999999991</v>
      </c>
    </row>
    <row r="101" spans="1:14" x14ac:dyDescent="0.3">
      <c r="A101" t="s">
        <v>957</v>
      </c>
      <c r="B101" s="2">
        <v>45845</v>
      </c>
      <c r="C101" t="s">
        <v>270</v>
      </c>
      <c r="D101" t="s">
        <v>772</v>
      </c>
      <c r="E101" t="s">
        <v>842</v>
      </c>
      <c r="F101">
        <v>3</v>
      </c>
      <c r="G101">
        <v>0.1</v>
      </c>
      <c r="H101" t="s">
        <v>865</v>
      </c>
      <c r="I101" t="str">
        <f>VLOOKUP(C101,Customers!A:C,2,FALSE)&amp;" "&amp;VLOOKUP(C101,Customers!A:C,3,FALSE)</f>
        <v>Denise Gutierrez</v>
      </c>
      <c r="J101" t="str">
        <f>VLOOKUP(D101,Products!A:C,2,FALSE)</f>
        <v>And Footwear</v>
      </c>
      <c r="K101" t="str">
        <f>VLOOKUP(D101,Products!A:C,3,FALSE)</f>
        <v>Fashion</v>
      </c>
      <c r="L101" t="str">
        <f>VLOOKUP(E101,Stores!A:B,2,FALSE)</f>
        <v>MegaMart Brianahaven</v>
      </c>
      <c r="M101">
        <f>VLOOKUP(D101,Products!A:E,5,FALSE)</f>
        <v>1878.47</v>
      </c>
      <c r="N101" s="5">
        <f t="shared" si="1"/>
        <v>5071.8689999999997</v>
      </c>
    </row>
    <row r="102" spans="1:14" x14ac:dyDescent="0.3">
      <c r="A102" t="s">
        <v>958</v>
      </c>
      <c r="B102" s="2">
        <v>45814</v>
      </c>
      <c r="C102" t="s">
        <v>277</v>
      </c>
      <c r="D102" t="s">
        <v>747</v>
      </c>
      <c r="E102" t="s">
        <v>839</v>
      </c>
      <c r="F102">
        <v>5</v>
      </c>
      <c r="G102">
        <v>0.15</v>
      </c>
      <c r="H102" t="s">
        <v>861</v>
      </c>
      <c r="I102" t="str">
        <f>VLOOKUP(C102,Customers!A:C,2,FALSE)&amp;" "&amp;VLOOKUP(C102,Customers!A:C,3,FALSE)</f>
        <v>Carl Armstrong</v>
      </c>
      <c r="J102" t="str">
        <f>VLOOKUP(D102,Products!A:C,2,FALSE)</f>
        <v>World Watches</v>
      </c>
      <c r="K102" t="str">
        <f>VLOOKUP(D102,Products!A:C,3,FALSE)</f>
        <v>Fashion</v>
      </c>
      <c r="L102" t="str">
        <f>VLOOKUP(E102,Stores!A:B,2,FALSE)</f>
        <v>MegaMart New Michele</v>
      </c>
      <c r="M102">
        <f>VLOOKUP(D102,Products!A:E,5,FALSE)</f>
        <v>1134.8</v>
      </c>
      <c r="N102" s="5">
        <f t="shared" si="1"/>
        <v>4822.8999999999996</v>
      </c>
    </row>
    <row r="103" spans="1:14" x14ac:dyDescent="0.3">
      <c r="A103" t="s">
        <v>959</v>
      </c>
      <c r="B103" s="2">
        <v>45854</v>
      </c>
      <c r="C103" t="s">
        <v>429</v>
      </c>
      <c r="D103" t="s">
        <v>728</v>
      </c>
      <c r="E103" t="s">
        <v>846</v>
      </c>
      <c r="F103">
        <v>4</v>
      </c>
      <c r="G103">
        <v>0.1</v>
      </c>
      <c r="H103" t="s">
        <v>855</v>
      </c>
      <c r="I103" t="str">
        <f>VLOOKUP(C103,Customers!A:C,2,FALSE)&amp;" "&amp;VLOOKUP(C103,Customers!A:C,3,FALSE)</f>
        <v>Jose Smith</v>
      </c>
      <c r="J103" t="str">
        <f>VLOOKUP(D103,Products!A:C,2,FALSE)</f>
        <v>Company Fruits</v>
      </c>
      <c r="K103" t="str">
        <f>VLOOKUP(D103,Products!A:C,3,FALSE)</f>
        <v>Groceries</v>
      </c>
      <c r="L103" t="str">
        <f>VLOOKUP(E103,Stores!A:B,2,FALSE)</f>
        <v>MegaMart Johnmouth</v>
      </c>
      <c r="M103">
        <f>VLOOKUP(D103,Products!A:E,5,FALSE)</f>
        <v>318.05</v>
      </c>
      <c r="N103" s="5">
        <f t="shared" si="1"/>
        <v>1144.98</v>
      </c>
    </row>
    <row r="104" spans="1:14" x14ac:dyDescent="0.3">
      <c r="A104" t="s">
        <v>960</v>
      </c>
      <c r="B104" s="2">
        <v>45655</v>
      </c>
      <c r="C104" t="s">
        <v>516</v>
      </c>
      <c r="D104" t="s">
        <v>755</v>
      </c>
      <c r="E104" t="s">
        <v>846</v>
      </c>
      <c r="F104">
        <v>4</v>
      </c>
      <c r="G104">
        <v>0.15</v>
      </c>
      <c r="H104" t="s">
        <v>855</v>
      </c>
      <c r="I104" t="str">
        <f>VLOOKUP(C104,Customers!A:C,2,FALSE)&amp;" "&amp;VLOOKUP(C104,Customers!A:C,3,FALSE)</f>
        <v>Suzanne Fox</v>
      </c>
      <c r="J104" t="str">
        <f>VLOOKUP(D104,Products!A:C,2,FALSE)</f>
        <v>House Accessories</v>
      </c>
      <c r="K104" t="str">
        <f>VLOOKUP(D104,Products!A:C,3,FALSE)</f>
        <v>Fashion</v>
      </c>
      <c r="L104" t="str">
        <f>VLOOKUP(E104,Stores!A:B,2,FALSE)</f>
        <v>MegaMart Johnmouth</v>
      </c>
      <c r="M104">
        <f>VLOOKUP(D104,Products!A:E,5,FALSE)</f>
        <v>1858.75</v>
      </c>
      <c r="N104" s="5">
        <f t="shared" si="1"/>
        <v>6319.75</v>
      </c>
    </row>
    <row r="105" spans="1:14" x14ac:dyDescent="0.3">
      <c r="A105" t="s">
        <v>961</v>
      </c>
      <c r="B105" s="2">
        <v>45675</v>
      </c>
      <c r="C105" t="s">
        <v>191</v>
      </c>
      <c r="D105" t="s">
        <v>790</v>
      </c>
      <c r="E105" t="s">
        <v>835</v>
      </c>
      <c r="F105">
        <v>5</v>
      </c>
      <c r="G105">
        <v>0.15</v>
      </c>
      <c r="H105" t="s">
        <v>861</v>
      </c>
      <c r="I105" t="str">
        <f>VLOOKUP(C105,Customers!A:C,2,FALSE)&amp;" "&amp;VLOOKUP(C105,Customers!A:C,3,FALSE)</f>
        <v>Antonio Hamilton</v>
      </c>
      <c r="J105" t="str">
        <f>VLOOKUP(D105,Products!A:C,2,FALSE)</f>
        <v>Difficult Vegetables</v>
      </c>
      <c r="K105" t="str">
        <f>VLOOKUP(D105,Products!A:C,3,FALSE)</f>
        <v>Groceries</v>
      </c>
      <c r="L105" t="str">
        <f>VLOOKUP(E105,Stores!A:B,2,FALSE)</f>
        <v>MegaMart Peckmouth</v>
      </c>
      <c r="M105">
        <f>VLOOKUP(D105,Products!A:E,5,FALSE)</f>
        <v>304.70999999999998</v>
      </c>
      <c r="N105" s="5">
        <f t="shared" si="1"/>
        <v>1295.0174999999999</v>
      </c>
    </row>
    <row r="106" spans="1:14" x14ac:dyDescent="0.3">
      <c r="A106" t="s">
        <v>962</v>
      </c>
      <c r="B106" s="2">
        <v>45305</v>
      </c>
      <c r="C106" t="s">
        <v>700</v>
      </c>
      <c r="D106" t="s">
        <v>742</v>
      </c>
      <c r="E106" t="s">
        <v>842</v>
      </c>
      <c r="F106">
        <v>1</v>
      </c>
      <c r="G106">
        <v>0.1</v>
      </c>
      <c r="H106" t="s">
        <v>858</v>
      </c>
      <c r="I106" t="str">
        <f>VLOOKUP(C106,Customers!A:C,2,FALSE)&amp;" "&amp;VLOOKUP(C106,Customers!A:C,3,FALSE)</f>
        <v>Juan Johnson</v>
      </c>
      <c r="J106" t="str">
        <f>VLOOKUP(D106,Products!A:C,2,FALSE)</f>
        <v>Either Headphones</v>
      </c>
      <c r="K106" t="str">
        <f>VLOOKUP(D106,Products!A:C,3,FALSE)</f>
        <v>Electronics</v>
      </c>
      <c r="L106" t="str">
        <f>VLOOKUP(E106,Stores!A:B,2,FALSE)</f>
        <v>MegaMart Brianahaven</v>
      </c>
      <c r="M106">
        <f>VLOOKUP(D106,Products!A:E,5,FALSE)</f>
        <v>248.57</v>
      </c>
      <c r="N106" s="5">
        <f t="shared" si="1"/>
        <v>223.71299999999999</v>
      </c>
    </row>
    <row r="107" spans="1:14" x14ac:dyDescent="0.3">
      <c r="A107" t="s">
        <v>963</v>
      </c>
      <c r="B107" s="2">
        <v>45686</v>
      </c>
      <c r="C107" t="s">
        <v>640</v>
      </c>
      <c r="D107" t="s">
        <v>824</v>
      </c>
      <c r="E107" t="s">
        <v>842</v>
      </c>
      <c r="F107">
        <v>4</v>
      </c>
      <c r="G107">
        <v>0.05</v>
      </c>
      <c r="H107" t="s">
        <v>858</v>
      </c>
      <c r="I107" t="str">
        <f>VLOOKUP(C107,Customers!A:C,2,FALSE)&amp;" "&amp;VLOOKUP(C107,Customers!A:C,3,FALSE)</f>
        <v>Brittany Oneal</v>
      </c>
      <c r="J107" t="str">
        <f>VLOOKUP(D107,Products!A:C,2,FALSE)</f>
        <v>Possible Watches</v>
      </c>
      <c r="K107" t="str">
        <f>VLOOKUP(D107,Products!A:C,3,FALSE)</f>
        <v>Fashion</v>
      </c>
      <c r="L107" t="str">
        <f>VLOOKUP(E107,Stores!A:B,2,FALSE)</f>
        <v>MegaMart Brianahaven</v>
      </c>
      <c r="M107">
        <f>VLOOKUP(D107,Products!A:E,5,FALSE)</f>
        <v>388.26</v>
      </c>
      <c r="N107" s="5">
        <f t="shared" si="1"/>
        <v>1475.3879999999999</v>
      </c>
    </row>
    <row r="108" spans="1:14" x14ac:dyDescent="0.3">
      <c r="A108" t="s">
        <v>964</v>
      </c>
      <c r="B108" s="2">
        <v>45723</v>
      </c>
      <c r="C108" t="s">
        <v>44</v>
      </c>
      <c r="D108" t="s">
        <v>739</v>
      </c>
      <c r="E108" t="s">
        <v>835</v>
      </c>
      <c r="F108">
        <v>5</v>
      </c>
      <c r="G108">
        <v>0.1</v>
      </c>
      <c r="H108" t="s">
        <v>865</v>
      </c>
      <c r="I108" t="str">
        <f>VLOOKUP(C108,Customers!A:C,2,FALSE)&amp;" "&amp;VLOOKUP(C108,Customers!A:C,3,FALSE)</f>
        <v>Catherine Rice</v>
      </c>
      <c r="J108" t="str">
        <f>VLOOKUP(D108,Products!A:C,2,FALSE)</f>
        <v>Step Smartphone</v>
      </c>
      <c r="K108" t="str">
        <f>VLOOKUP(D108,Products!A:C,3,FALSE)</f>
        <v>Electronics</v>
      </c>
      <c r="L108" t="str">
        <f>VLOOKUP(E108,Stores!A:B,2,FALSE)</f>
        <v>MegaMart Peckmouth</v>
      </c>
      <c r="M108">
        <f>VLOOKUP(D108,Products!A:E,5,FALSE)</f>
        <v>1194.1199999999999</v>
      </c>
      <c r="N108" s="5">
        <f t="shared" si="1"/>
        <v>5373.54</v>
      </c>
    </row>
    <row r="109" spans="1:14" x14ac:dyDescent="0.3">
      <c r="A109" t="s">
        <v>965</v>
      </c>
      <c r="B109" s="2">
        <v>45871</v>
      </c>
      <c r="C109" t="s">
        <v>422</v>
      </c>
      <c r="D109" t="s">
        <v>804</v>
      </c>
      <c r="E109" t="s">
        <v>831</v>
      </c>
      <c r="F109">
        <v>5</v>
      </c>
      <c r="G109">
        <v>0.15</v>
      </c>
      <c r="H109" t="s">
        <v>865</v>
      </c>
      <c r="I109" t="str">
        <f>VLOOKUP(C109,Customers!A:C,2,FALSE)&amp;" "&amp;VLOOKUP(C109,Customers!A:C,3,FALSE)</f>
        <v>Heidi Wilson</v>
      </c>
      <c r="J109" t="str">
        <f>VLOOKUP(D109,Products!A:C,2,FALSE)</f>
        <v>Church Clothing</v>
      </c>
      <c r="K109" t="str">
        <f>VLOOKUP(D109,Products!A:C,3,FALSE)</f>
        <v>Fashion</v>
      </c>
      <c r="L109" t="str">
        <f>VLOOKUP(E109,Stores!A:B,2,FALSE)</f>
        <v>MegaMart Jimenezborough</v>
      </c>
      <c r="M109">
        <f>VLOOKUP(D109,Products!A:E,5,FALSE)</f>
        <v>540.94000000000005</v>
      </c>
      <c r="N109" s="5">
        <f t="shared" si="1"/>
        <v>2298.9950000000003</v>
      </c>
    </row>
    <row r="110" spans="1:14" x14ac:dyDescent="0.3">
      <c r="A110" t="s">
        <v>966</v>
      </c>
      <c r="B110" s="2">
        <v>45239</v>
      </c>
      <c r="C110" t="s">
        <v>653</v>
      </c>
      <c r="D110" t="s">
        <v>786</v>
      </c>
      <c r="E110" t="s">
        <v>835</v>
      </c>
      <c r="F110">
        <v>4</v>
      </c>
      <c r="G110">
        <v>0.05</v>
      </c>
      <c r="H110" t="s">
        <v>865</v>
      </c>
      <c r="I110" t="str">
        <f>VLOOKUP(C110,Customers!A:C,2,FALSE)&amp;" "&amp;VLOOKUP(C110,Customers!A:C,3,FALSE)</f>
        <v>Joe Vincent</v>
      </c>
      <c r="J110" t="str">
        <f>VLOOKUP(D110,Products!A:C,2,FALSE)</f>
        <v>National Watches</v>
      </c>
      <c r="K110" t="str">
        <f>VLOOKUP(D110,Products!A:C,3,FALSE)</f>
        <v>Fashion</v>
      </c>
      <c r="L110" t="str">
        <f>VLOOKUP(E110,Stores!A:B,2,FALSE)</f>
        <v>MegaMart Peckmouth</v>
      </c>
      <c r="M110">
        <f>VLOOKUP(D110,Products!A:E,5,FALSE)</f>
        <v>29.24</v>
      </c>
      <c r="N110" s="5">
        <f t="shared" si="1"/>
        <v>111.11199999999999</v>
      </c>
    </row>
    <row r="111" spans="1:14" x14ac:dyDescent="0.3">
      <c r="A111" t="s">
        <v>967</v>
      </c>
      <c r="B111" s="2">
        <v>45494</v>
      </c>
      <c r="C111" t="s">
        <v>449</v>
      </c>
      <c r="D111" t="s">
        <v>750</v>
      </c>
      <c r="E111" t="s">
        <v>839</v>
      </c>
      <c r="F111">
        <v>3</v>
      </c>
      <c r="G111">
        <v>0.15</v>
      </c>
      <c r="H111" t="s">
        <v>865</v>
      </c>
      <c r="I111" t="str">
        <f>VLOOKUP(C111,Customers!A:C,2,FALSE)&amp;" "&amp;VLOOKUP(C111,Customers!A:C,3,FALSE)</f>
        <v>John Bell</v>
      </c>
      <c r="J111" t="str">
        <f>VLOOKUP(D111,Products!A:C,2,FALSE)</f>
        <v>Add Clothing</v>
      </c>
      <c r="K111" t="str">
        <f>VLOOKUP(D111,Products!A:C,3,FALSE)</f>
        <v>Fashion</v>
      </c>
      <c r="L111" t="str">
        <f>VLOOKUP(E111,Stores!A:B,2,FALSE)</f>
        <v>MegaMart New Michele</v>
      </c>
      <c r="M111">
        <f>VLOOKUP(D111,Products!A:E,5,FALSE)</f>
        <v>1342.75</v>
      </c>
      <c r="N111" s="5">
        <f t="shared" si="1"/>
        <v>3424.0124999999998</v>
      </c>
    </row>
    <row r="112" spans="1:14" x14ac:dyDescent="0.3">
      <c r="A112" t="s">
        <v>968</v>
      </c>
      <c r="B112" s="2">
        <v>45375</v>
      </c>
      <c r="C112" t="s">
        <v>320</v>
      </c>
      <c r="D112" t="s">
        <v>812</v>
      </c>
      <c r="E112" t="s">
        <v>846</v>
      </c>
      <c r="F112">
        <v>4</v>
      </c>
      <c r="G112">
        <v>0.1</v>
      </c>
      <c r="H112" t="s">
        <v>858</v>
      </c>
      <c r="I112" t="str">
        <f>VLOOKUP(C112,Customers!A:C,2,FALSE)&amp;" "&amp;VLOOKUP(C112,Customers!A:C,3,FALSE)</f>
        <v>Juan Ramirez</v>
      </c>
      <c r="J112" t="str">
        <f>VLOOKUP(D112,Products!A:C,2,FALSE)</f>
        <v>Soon Accessories</v>
      </c>
      <c r="K112" t="str">
        <f>VLOOKUP(D112,Products!A:C,3,FALSE)</f>
        <v>Fashion</v>
      </c>
      <c r="L112" t="str">
        <f>VLOOKUP(E112,Stores!A:B,2,FALSE)</f>
        <v>MegaMart Johnmouth</v>
      </c>
      <c r="M112">
        <f>VLOOKUP(D112,Products!A:E,5,FALSE)</f>
        <v>564.41999999999996</v>
      </c>
      <c r="N112" s="5">
        <f t="shared" si="1"/>
        <v>2031.9119999999998</v>
      </c>
    </row>
    <row r="113" spans="1:14" x14ac:dyDescent="0.3">
      <c r="A113" t="s">
        <v>969</v>
      </c>
      <c r="B113" s="2">
        <v>45300</v>
      </c>
      <c r="C113" t="s">
        <v>505</v>
      </c>
      <c r="D113" t="s">
        <v>769</v>
      </c>
      <c r="E113" t="s">
        <v>831</v>
      </c>
      <c r="F113">
        <v>5</v>
      </c>
      <c r="G113">
        <v>0</v>
      </c>
      <c r="H113" t="s">
        <v>861</v>
      </c>
      <c r="I113" t="str">
        <f>VLOOKUP(C113,Customers!A:C,2,FALSE)&amp;" "&amp;VLOOKUP(C113,Customers!A:C,3,FALSE)</f>
        <v>Alexander Mcfarland</v>
      </c>
      <c r="J113" t="str">
        <f>VLOOKUP(D113,Products!A:C,2,FALSE)</f>
        <v>How Vegetables</v>
      </c>
      <c r="K113" t="str">
        <f>VLOOKUP(D113,Products!A:C,3,FALSE)</f>
        <v>Groceries</v>
      </c>
      <c r="L113" t="str">
        <f>VLOOKUP(E113,Stores!A:B,2,FALSE)</f>
        <v>MegaMart Jimenezborough</v>
      </c>
      <c r="M113">
        <f>VLOOKUP(D113,Products!A:E,5,FALSE)</f>
        <v>25.57</v>
      </c>
      <c r="N113" s="5">
        <f t="shared" si="1"/>
        <v>127.85</v>
      </c>
    </row>
    <row r="114" spans="1:14" x14ac:dyDescent="0.3">
      <c r="A114" t="s">
        <v>970</v>
      </c>
      <c r="B114" s="2">
        <v>45572</v>
      </c>
      <c r="C114" t="s">
        <v>579</v>
      </c>
      <c r="D114" t="s">
        <v>774</v>
      </c>
      <c r="E114" t="s">
        <v>839</v>
      </c>
      <c r="F114">
        <v>2</v>
      </c>
      <c r="G114">
        <v>0</v>
      </c>
      <c r="H114" t="s">
        <v>858</v>
      </c>
      <c r="I114" t="str">
        <f>VLOOKUP(C114,Customers!A:C,2,FALSE)&amp;" "&amp;VLOOKUP(C114,Customers!A:C,3,FALSE)</f>
        <v>Jill Roach</v>
      </c>
      <c r="J114" t="str">
        <f>VLOOKUP(D114,Products!A:C,2,FALSE)</f>
        <v>Him Smartphone</v>
      </c>
      <c r="K114" t="str">
        <f>VLOOKUP(D114,Products!A:C,3,FALSE)</f>
        <v>Electronics</v>
      </c>
      <c r="L114" t="str">
        <f>VLOOKUP(E114,Stores!A:B,2,FALSE)</f>
        <v>MegaMart New Michele</v>
      </c>
      <c r="M114">
        <f>VLOOKUP(D114,Products!A:E,5,FALSE)</f>
        <v>1487.41</v>
      </c>
      <c r="N114" s="5">
        <f t="shared" si="1"/>
        <v>2974.82</v>
      </c>
    </row>
    <row r="115" spans="1:14" x14ac:dyDescent="0.3">
      <c r="A115" t="s">
        <v>971</v>
      </c>
      <c r="B115" s="2">
        <v>45675</v>
      </c>
      <c r="C115" t="s">
        <v>105</v>
      </c>
      <c r="D115" t="s">
        <v>780</v>
      </c>
      <c r="E115" t="s">
        <v>831</v>
      </c>
      <c r="F115">
        <v>4</v>
      </c>
      <c r="G115">
        <v>0.05</v>
      </c>
      <c r="H115" t="s">
        <v>855</v>
      </c>
      <c r="I115" t="str">
        <f>VLOOKUP(C115,Customers!A:C,2,FALSE)&amp;" "&amp;VLOOKUP(C115,Customers!A:C,3,FALSE)</f>
        <v>Justin Macdonald</v>
      </c>
      <c r="J115" t="str">
        <f>VLOOKUP(D115,Products!A:C,2,FALSE)</f>
        <v>Hospital Smartphone</v>
      </c>
      <c r="K115" t="str">
        <f>VLOOKUP(D115,Products!A:C,3,FALSE)</f>
        <v>Electronics</v>
      </c>
      <c r="L115" t="str">
        <f>VLOOKUP(E115,Stores!A:B,2,FALSE)</f>
        <v>MegaMart Jimenezborough</v>
      </c>
      <c r="M115">
        <f>VLOOKUP(D115,Products!A:E,5,FALSE)</f>
        <v>1272.23</v>
      </c>
      <c r="N115" s="5">
        <f t="shared" si="1"/>
        <v>4834.4740000000002</v>
      </c>
    </row>
    <row r="116" spans="1:14" x14ac:dyDescent="0.3">
      <c r="A116" t="s">
        <v>972</v>
      </c>
      <c r="B116" s="2">
        <v>45821</v>
      </c>
      <c r="C116" t="s">
        <v>36</v>
      </c>
      <c r="D116" t="s">
        <v>802</v>
      </c>
      <c r="E116" t="s">
        <v>831</v>
      </c>
      <c r="F116">
        <v>3</v>
      </c>
      <c r="G116">
        <v>0</v>
      </c>
      <c r="H116" t="s">
        <v>855</v>
      </c>
      <c r="I116" t="str">
        <f>VLOOKUP(C116,Customers!A:C,2,FALSE)&amp;" "&amp;VLOOKUP(C116,Customers!A:C,3,FALSE)</f>
        <v>Isaiah Williams</v>
      </c>
      <c r="J116" t="str">
        <f>VLOOKUP(D116,Products!A:C,2,FALSE)</f>
        <v>Stage Footwear</v>
      </c>
      <c r="K116" t="str">
        <f>VLOOKUP(D116,Products!A:C,3,FALSE)</f>
        <v>Fashion</v>
      </c>
      <c r="L116" t="str">
        <f>VLOOKUP(E116,Stores!A:B,2,FALSE)</f>
        <v>MegaMart Jimenezborough</v>
      </c>
      <c r="M116">
        <f>VLOOKUP(D116,Products!A:E,5,FALSE)</f>
        <v>366.93</v>
      </c>
      <c r="N116" s="5">
        <f t="shared" si="1"/>
        <v>1100.79</v>
      </c>
    </row>
    <row r="117" spans="1:14" x14ac:dyDescent="0.3">
      <c r="A117" t="s">
        <v>973</v>
      </c>
      <c r="B117" s="2">
        <v>45336</v>
      </c>
      <c r="C117" t="s">
        <v>347</v>
      </c>
      <c r="D117" t="s">
        <v>792</v>
      </c>
      <c r="E117" t="s">
        <v>839</v>
      </c>
      <c r="F117">
        <v>4</v>
      </c>
      <c r="G117">
        <v>0.05</v>
      </c>
      <c r="H117" t="s">
        <v>861</v>
      </c>
      <c r="I117" t="str">
        <f>VLOOKUP(C117,Customers!A:C,2,FALSE)&amp;" "&amp;VLOOKUP(C117,Customers!A:C,3,FALSE)</f>
        <v>Lindsey Holder</v>
      </c>
      <c r="J117" t="str">
        <f>VLOOKUP(D117,Products!A:C,2,FALSE)</f>
        <v>Beat Accessories</v>
      </c>
      <c r="K117" t="str">
        <f>VLOOKUP(D117,Products!A:C,3,FALSE)</f>
        <v>Fashion</v>
      </c>
      <c r="L117" t="str">
        <f>VLOOKUP(E117,Stores!A:B,2,FALSE)</f>
        <v>MegaMart New Michele</v>
      </c>
      <c r="M117">
        <f>VLOOKUP(D117,Products!A:E,5,FALSE)</f>
        <v>1798.97</v>
      </c>
      <c r="N117" s="5">
        <f t="shared" si="1"/>
        <v>6836.0859999999993</v>
      </c>
    </row>
    <row r="118" spans="1:14" x14ac:dyDescent="0.3">
      <c r="A118" t="s">
        <v>974</v>
      </c>
      <c r="B118" s="2">
        <v>45451</v>
      </c>
      <c r="C118" t="s">
        <v>498</v>
      </c>
      <c r="D118" t="s">
        <v>728</v>
      </c>
      <c r="E118" t="s">
        <v>842</v>
      </c>
      <c r="F118">
        <v>5</v>
      </c>
      <c r="G118">
        <v>0.05</v>
      </c>
      <c r="H118" t="s">
        <v>861</v>
      </c>
      <c r="I118" t="str">
        <f>VLOOKUP(C118,Customers!A:C,2,FALSE)&amp;" "&amp;VLOOKUP(C118,Customers!A:C,3,FALSE)</f>
        <v>Amanda Garcia</v>
      </c>
      <c r="J118" t="str">
        <f>VLOOKUP(D118,Products!A:C,2,FALSE)</f>
        <v>Company Fruits</v>
      </c>
      <c r="K118" t="str">
        <f>VLOOKUP(D118,Products!A:C,3,FALSE)</f>
        <v>Groceries</v>
      </c>
      <c r="L118" t="str">
        <f>VLOOKUP(E118,Stores!A:B,2,FALSE)</f>
        <v>MegaMart Brianahaven</v>
      </c>
      <c r="M118">
        <f>VLOOKUP(D118,Products!A:E,5,FALSE)</f>
        <v>318.05</v>
      </c>
      <c r="N118" s="5">
        <f t="shared" si="1"/>
        <v>1510.7375</v>
      </c>
    </row>
    <row r="119" spans="1:14" x14ac:dyDescent="0.3">
      <c r="A119" t="s">
        <v>975</v>
      </c>
      <c r="B119" s="2">
        <v>45474</v>
      </c>
      <c r="C119" t="s">
        <v>175</v>
      </c>
      <c r="D119" t="s">
        <v>800</v>
      </c>
      <c r="E119" t="s">
        <v>831</v>
      </c>
      <c r="F119">
        <v>5</v>
      </c>
      <c r="G119">
        <v>0.15</v>
      </c>
      <c r="H119" t="s">
        <v>861</v>
      </c>
      <c r="I119" t="str">
        <f>VLOOKUP(C119,Customers!A:C,2,FALSE)&amp;" "&amp;VLOOKUP(C119,Customers!A:C,3,FALSE)</f>
        <v>Kelly Shaw</v>
      </c>
      <c r="J119" t="str">
        <f>VLOOKUP(D119,Products!A:C,2,FALSE)</f>
        <v>Book Television</v>
      </c>
      <c r="K119" t="str">
        <f>VLOOKUP(D119,Products!A:C,3,FALSE)</f>
        <v>Electronics</v>
      </c>
      <c r="L119" t="str">
        <f>VLOOKUP(E119,Stores!A:B,2,FALSE)</f>
        <v>MegaMart Jimenezborough</v>
      </c>
      <c r="M119">
        <f>VLOOKUP(D119,Products!A:E,5,FALSE)</f>
        <v>1952.65</v>
      </c>
      <c r="N119" s="5">
        <f t="shared" si="1"/>
        <v>8298.7624999999989</v>
      </c>
    </row>
    <row r="120" spans="1:14" x14ac:dyDescent="0.3">
      <c r="A120" t="s">
        <v>976</v>
      </c>
      <c r="B120" s="2">
        <v>45551</v>
      </c>
      <c r="C120" t="s">
        <v>469</v>
      </c>
      <c r="D120" t="s">
        <v>792</v>
      </c>
      <c r="E120" t="s">
        <v>846</v>
      </c>
      <c r="F120">
        <v>2</v>
      </c>
      <c r="G120">
        <v>0.05</v>
      </c>
      <c r="H120" t="s">
        <v>858</v>
      </c>
      <c r="I120" t="str">
        <f>VLOOKUP(C120,Customers!A:C,2,FALSE)&amp;" "&amp;VLOOKUP(C120,Customers!A:C,3,FALSE)</f>
        <v>Robert Collins</v>
      </c>
      <c r="J120" t="str">
        <f>VLOOKUP(D120,Products!A:C,2,FALSE)</f>
        <v>Beat Accessories</v>
      </c>
      <c r="K120" t="str">
        <f>VLOOKUP(D120,Products!A:C,3,FALSE)</f>
        <v>Fashion</v>
      </c>
      <c r="L120" t="str">
        <f>VLOOKUP(E120,Stores!A:B,2,FALSE)</f>
        <v>MegaMart Johnmouth</v>
      </c>
      <c r="M120">
        <f>VLOOKUP(D120,Products!A:E,5,FALSE)</f>
        <v>1798.97</v>
      </c>
      <c r="N120" s="5">
        <f t="shared" si="1"/>
        <v>3418.0429999999997</v>
      </c>
    </row>
    <row r="121" spans="1:14" x14ac:dyDescent="0.3">
      <c r="A121" t="s">
        <v>977</v>
      </c>
      <c r="B121" s="2">
        <v>45591</v>
      </c>
      <c r="C121" t="s">
        <v>585</v>
      </c>
      <c r="D121" t="s">
        <v>774</v>
      </c>
      <c r="E121" t="s">
        <v>839</v>
      </c>
      <c r="F121">
        <v>4</v>
      </c>
      <c r="G121">
        <v>0.1</v>
      </c>
      <c r="H121" t="s">
        <v>865</v>
      </c>
      <c r="I121" t="str">
        <f>VLOOKUP(C121,Customers!A:C,2,FALSE)&amp;" "&amp;VLOOKUP(C121,Customers!A:C,3,FALSE)</f>
        <v>Linda Vasquez</v>
      </c>
      <c r="J121" t="str">
        <f>VLOOKUP(D121,Products!A:C,2,FALSE)</f>
        <v>Him Smartphone</v>
      </c>
      <c r="K121" t="str">
        <f>VLOOKUP(D121,Products!A:C,3,FALSE)</f>
        <v>Electronics</v>
      </c>
      <c r="L121" t="str">
        <f>VLOOKUP(E121,Stores!A:B,2,FALSE)</f>
        <v>MegaMart New Michele</v>
      </c>
      <c r="M121">
        <f>VLOOKUP(D121,Products!A:E,5,FALSE)</f>
        <v>1487.41</v>
      </c>
      <c r="N121" s="5">
        <f t="shared" si="1"/>
        <v>5354.6760000000004</v>
      </c>
    </row>
    <row r="122" spans="1:14" x14ac:dyDescent="0.3">
      <c r="A122" t="s">
        <v>978</v>
      </c>
      <c r="B122" s="2">
        <v>45735</v>
      </c>
      <c r="C122" t="s">
        <v>445</v>
      </c>
      <c r="D122" t="s">
        <v>759</v>
      </c>
      <c r="E122" t="s">
        <v>839</v>
      </c>
      <c r="F122">
        <v>5</v>
      </c>
      <c r="G122">
        <v>0.05</v>
      </c>
      <c r="H122" t="s">
        <v>865</v>
      </c>
      <c r="I122" t="str">
        <f>VLOOKUP(C122,Customers!A:C,2,FALSE)&amp;" "&amp;VLOOKUP(C122,Customers!A:C,3,FALSE)</f>
        <v>Curtis Faulkner</v>
      </c>
      <c r="J122" t="str">
        <f>VLOOKUP(D122,Products!A:C,2,FALSE)</f>
        <v>Democratic Smartphone</v>
      </c>
      <c r="K122" t="str">
        <f>VLOOKUP(D122,Products!A:C,3,FALSE)</f>
        <v>Electronics</v>
      </c>
      <c r="L122" t="str">
        <f>VLOOKUP(E122,Stores!A:B,2,FALSE)</f>
        <v>MegaMart New Michele</v>
      </c>
      <c r="M122">
        <f>VLOOKUP(D122,Products!A:E,5,FALSE)</f>
        <v>1079.8900000000001</v>
      </c>
      <c r="N122" s="5">
        <f t="shared" si="1"/>
        <v>5129.4775000000009</v>
      </c>
    </row>
    <row r="123" spans="1:14" x14ac:dyDescent="0.3">
      <c r="A123" t="s">
        <v>979</v>
      </c>
      <c r="B123" s="2">
        <v>45679</v>
      </c>
      <c r="C123" t="s">
        <v>426</v>
      </c>
      <c r="D123" t="s">
        <v>786</v>
      </c>
      <c r="E123" t="s">
        <v>839</v>
      </c>
      <c r="F123">
        <v>5</v>
      </c>
      <c r="G123">
        <v>0.1</v>
      </c>
      <c r="H123" t="s">
        <v>858</v>
      </c>
      <c r="I123" t="str">
        <f>VLOOKUP(C123,Customers!A:C,2,FALSE)&amp;" "&amp;VLOOKUP(C123,Customers!A:C,3,FALSE)</f>
        <v>Miranda Rodriguez</v>
      </c>
      <c r="J123" t="str">
        <f>VLOOKUP(D123,Products!A:C,2,FALSE)</f>
        <v>National Watches</v>
      </c>
      <c r="K123" t="str">
        <f>VLOOKUP(D123,Products!A:C,3,FALSE)</f>
        <v>Fashion</v>
      </c>
      <c r="L123" t="str">
        <f>VLOOKUP(E123,Stores!A:B,2,FALSE)</f>
        <v>MegaMart New Michele</v>
      </c>
      <c r="M123">
        <f>VLOOKUP(D123,Products!A:E,5,FALSE)</f>
        <v>29.24</v>
      </c>
      <c r="N123" s="5">
        <f t="shared" si="1"/>
        <v>131.57999999999998</v>
      </c>
    </row>
    <row r="124" spans="1:14" x14ac:dyDescent="0.3">
      <c r="A124" t="s">
        <v>980</v>
      </c>
      <c r="B124" s="2">
        <v>45746</v>
      </c>
      <c r="C124" t="s">
        <v>627</v>
      </c>
      <c r="D124" t="s">
        <v>810</v>
      </c>
      <c r="E124" t="s">
        <v>839</v>
      </c>
      <c r="F124">
        <v>4</v>
      </c>
      <c r="G124">
        <v>0.1</v>
      </c>
      <c r="H124" t="s">
        <v>861</v>
      </c>
      <c r="I124" t="str">
        <f>VLOOKUP(C124,Customers!A:C,2,FALSE)&amp;" "&amp;VLOOKUP(C124,Customers!A:C,3,FALSE)</f>
        <v>Anthony Gould</v>
      </c>
      <c r="J124" t="str">
        <f>VLOOKUP(D124,Products!A:C,2,FALSE)</f>
        <v>Maybe Clothing</v>
      </c>
      <c r="K124" t="str">
        <f>VLOOKUP(D124,Products!A:C,3,FALSE)</f>
        <v>Fashion</v>
      </c>
      <c r="L124" t="str">
        <f>VLOOKUP(E124,Stores!A:B,2,FALSE)</f>
        <v>MegaMart New Michele</v>
      </c>
      <c r="M124">
        <f>VLOOKUP(D124,Products!A:E,5,FALSE)</f>
        <v>453.62</v>
      </c>
      <c r="N124" s="5">
        <f t="shared" si="1"/>
        <v>1633.0320000000002</v>
      </c>
    </row>
    <row r="125" spans="1:14" x14ac:dyDescent="0.3">
      <c r="A125" t="s">
        <v>981</v>
      </c>
      <c r="B125" s="2">
        <v>45295</v>
      </c>
      <c r="C125" t="s">
        <v>372</v>
      </c>
      <c r="D125" t="s">
        <v>755</v>
      </c>
      <c r="E125" t="s">
        <v>842</v>
      </c>
      <c r="F125">
        <v>1</v>
      </c>
      <c r="G125">
        <v>0.05</v>
      </c>
      <c r="H125" t="s">
        <v>858</v>
      </c>
      <c r="I125" t="str">
        <f>VLOOKUP(C125,Customers!A:C,2,FALSE)&amp;" "&amp;VLOOKUP(C125,Customers!A:C,3,FALSE)</f>
        <v>Kimberly Jones</v>
      </c>
      <c r="J125" t="str">
        <f>VLOOKUP(D125,Products!A:C,2,FALSE)</f>
        <v>House Accessories</v>
      </c>
      <c r="K125" t="str">
        <f>VLOOKUP(D125,Products!A:C,3,FALSE)</f>
        <v>Fashion</v>
      </c>
      <c r="L125" t="str">
        <f>VLOOKUP(E125,Stores!A:B,2,FALSE)</f>
        <v>MegaMart Brianahaven</v>
      </c>
      <c r="M125">
        <f>VLOOKUP(D125,Products!A:E,5,FALSE)</f>
        <v>1858.75</v>
      </c>
      <c r="N125" s="5">
        <f t="shared" si="1"/>
        <v>1765.8125</v>
      </c>
    </row>
    <row r="126" spans="1:14" x14ac:dyDescent="0.3">
      <c r="A126" t="s">
        <v>982</v>
      </c>
      <c r="B126" s="2">
        <v>45457</v>
      </c>
      <c r="C126" t="s">
        <v>533</v>
      </c>
      <c r="D126" t="s">
        <v>718</v>
      </c>
      <c r="E126" t="s">
        <v>839</v>
      </c>
      <c r="F126">
        <v>5</v>
      </c>
      <c r="G126">
        <v>0.1</v>
      </c>
      <c r="H126" t="s">
        <v>855</v>
      </c>
      <c r="I126" t="str">
        <f>VLOOKUP(C126,Customers!A:C,2,FALSE)&amp;" "&amp;VLOOKUP(C126,Customers!A:C,3,FALSE)</f>
        <v>Crystal Garrison</v>
      </c>
      <c r="J126" t="str">
        <f>VLOOKUP(D126,Products!A:C,2,FALSE)</f>
        <v>Here Footwear</v>
      </c>
      <c r="K126" t="str">
        <f>VLOOKUP(D126,Products!A:C,3,FALSE)</f>
        <v>Fashion</v>
      </c>
      <c r="L126" t="str">
        <f>VLOOKUP(E126,Stores!A:B,2,FALSE)</f>
        <v>MegaMart New Michele</v>
      </c>
      <c r="M126">
        <f>VLOOKUP(D126,Products!A:E,5,FALSE)</f>
        <v>337.63</v>
      </c>
      <c r="N126" s="5">
        <f t="shared" si="1"/>
        <v>1519.335</v>
      </c>
    </row>
    <row r="127" spans="1:14" x14ac:dyDescent="0.3">
      <c r="A127" t="s">
        <v>983</v>
      </c>
      <c r="B127" s="2">
        <v>45220</v>
      </c>
      <c r="C127" t="s">
        <v>28</v>
      </c>
      <c r="D127" t="s">
        <v>711</v>
      </c>
      <c r="E127" t="s">
        <v>842</v>
      </c>
      <c r="F127">
        <v>3</v>
      </c>
      <c r="G127">
        <v>0</v>
      </c>
      <c r="H127" t="s">
        <v>865</v>
      </c>
      <c r="I127" t="str">
        <f>VLOOKUP(C127,Customers!A:C,2,FALSE)&amp;" "&amp;VLOOKUP(C127,Customers!A:C,3,FALSE)</f>
        <v>Danny Moore</v>
      </c>
      <c r="J127" t="str">
        <f>VLOOKUP(D127,Products!A:C,2,FALSE)</f>
        <v>Like Camera</v>
      </c>
      <c r="K127" t="str">
        <f>VLOOKUP(D127,Products!A:C,3,FALSE)</f>
        <v>Electronics</v>
      </c>
      <c r="L127" t="str">
        <f>VLOOKUP(E127,Stores!A:B,2,FALSE)</f>
        <v>MegaMart Brianahaven</v>
      </c>
      <c r="M127">
        <f>VLOOKUP(D127,Products!A:E,5,FALSE)</f>
        <v>1673.69</v>
      </c>
      <c r="N127" s="5">
        <f t="shared" si="1"/>
        <v>5021.07</v>
      </c>
    </row>
    <row r="128" spans="1:14" x14ac:dyDescent="0.3">
      <c r="A128" t="s">
        <v>984</v>
      </c>
      <c r="B128" s="2">
        <v>45686</v>
      </c>
      <c r="C128" t="s">
        <v>560</v>
      </c>
      <c r="D128" t="s">
        <v>769</v>
      </c>
      <c r="E128" t="s">
        <v>842</v>
      </c>
      <c r="F128">
        <v>3</v>
      </c>
      <c r="G128">
        <v>0.05</v>
      </c>
      <c r="H128" t="s">
        <v>855</v>
      </c>
      <c r="I128" t="str">
        <f>VLOOKUP(C128,Customers!A:C,2,FALSE)&amp;" "&amp;VLOOKUP(C128,Customers!A:C,3,FALSE)</f>
        <v>George Young</v>
      </c>
      <c r="J128" t="str">
        <f>VLOOKUP(D128,Products!A:C,2,FALSE)</f>
        <v>How Vegetables</v>
      </c>
      <c r="K128" t="str">
        <f>VLOOKUP(D128,Products!A:C,3,FALSE)</f>
        <v>Groceries</v>
      </c>
      <c r="L128" t="str">
        <f>VLOOKUP(E128,Stores!A:B,2,FALSE)</f>
        <v>MegaMart Brianahaven</v>
      </c>
      <c r="M128">
        <f>VLOOKUP(D128,Products!A:E,5,FALSE)</f>
        <v>25.57</v>
      </c>
      <c r="N128" s="5">
        <f t="shared" si="1"/>
        <v>72.874499999999998</v>
      </c>
    </row>
    <row r="129" spans="1:14" x14ac:dyDescent="0.3">
      <c r="A129" t="s">
        <v>985</v>
      </c>
      <c r="B129" s="2">
        <v>45552</v>
      </c>
      <c r="C129" t="s">
        <v>221</v>
      </c>
      <c r="D129" t="s">
        <v>784</v>
      </c>
      <c r="E129" t="s">
        <v>835</v>
      </c>
      <c r="F129">
        <v>5</v>
      </c>
      <c r="G129">
        <v>0.1</v>
      </c>
      <c r="H129" t="s">
        <v>861</v>
      </c>
      <c r="I129" t="str">
        <f>VLOOKUP(C129,Customers!A:C,2,FALSE)&amp;" "&amp;VLOOKUP(C129,Customers!A:C,3,FALSE)</f>
        <v>Julie Gibson</v>
      </c>
      <c r="J129" t="str">
        <f>VLOOKUP(D129,Products!A:C,2,FALSE)</f>
        <v>Road Clothing</v>
      </c>
      <c r="K129" t="str">
        <f>VLOOKUP(D129,Products!A:C,3,FALSE)</f>
        <v>Fashion</v>
      </c>
      <c r="L129" t="str">
        <f>VLOOKUP(E129,Stores!A:B,2,FALSE)</f>
        <v>MegaMart Peckmouth</v>
      </c>
      <c r="M129">
        <f>VLOOKUP(D129,Products!A:E,5,FALSE)</f>
        <v>1485.05</v>
      </c>
      <c r="N129" s="5">
        <f t="shared" si="1"/>
        <v>6682.7250000000004</v>
      </c>
    </row>
    <row r="130" spans="1:14" x14ac:dyDescent="0.3">
      <c r="A130" t="s">
        <v>986</v>
      </c>
      <c r="B130" s="2">
        <v>45608</v>
      </c>
      <c r="C130" t="s">
        <v>577</v>
      </c>
      <c r="D130" t="s">
        <v>739</v>
      </c>
      <c r="E130" t="s">
        <v>831</v>
      </c>
      <c r="F130">
        <v>1</v>
      </c>
      <c r="G130">
        <v>0.1</v>
      </c>
      <c r="H130" t="s">
        <v>858</v>
      </c>
      <c r="I130" t="str">
        <f>VLOOKUP(C130,Customers!A:C,2,FALSE)&amp;" "&amp;VLOOKUP(C130,Customers!A:C,3,FALSE)</f>
        <v>Michael Perez</v>
      </c>
      <c r="J130" t="str">
        <f>VLOOKUP(D130,Products!A:C,2,FALSE)</f>
        <v>Step Smartphone</v>
      </c>
      <c r="K130" t="str">
        <f>VLOOKUP(D130,Products!A:C,3,FALSE)</f>
        <v>Electronics</v>
      </c>
      <c r="L130" t="str">
        <f>VLOOKUP(E130,Stores!A:B,2,FALSE)</f>
        <v>MegaMart Jimenezborough</v>
      </c>
      <c r="M130">
        <f>VLOOKUP(D130,Products!A:E,5,FALSE)</f>
        <v>1194.1199999999999</v>
      </c>
      <c r="N130" s="5">
        <f t="shared" si="1"/>
        <v>1074.7079999999999</v>
      </c>
    </row>
    <row r="131" spans="1:14" x14ac:dyDescent="0.3">
      <c r="A131" t="s">
        <v>987</v>
      </c>
      <c r="B131" s="2">
        <v>45837</v>
      </c>
      <c r="C131" t="s">
        <v>40</v>
      </c>
      <c r="D131" t="s">
        <v>718</v>
      </c>
      <c r="E131" t="s">
        <v>846</v>
      </c>
      <c r="F131">
        <v>3</v>
      </c>
      <c r="G131">
        <v>0.05</v>
      </c>
      <c r="H131" t="s">
        <v>865</v>
      </c>
      <c r="I131" t="str">
        <f>VLOOKUP(C131,Customers!A:C,2,FALSE)&amp;" "&amp;VLOOKUP(C131,Customers!A:C,3,FALSE)</f>
        <v>Richard Pacheco</v>
      </c>
      <c r="J131" t="str">
        <f>VLOOKUP(D131,Products!A:C,2,FALSE)</f>
        <v>Here Footwear</v>
      </c>
      <c r="K131" t="str">
        <f>VLOOKUP(D131,Products!A:C,3,FALSE)</f>
        <v>Fashion</v>
      </c>
      <c r="L131" t="str">
        <f>VLOOKUP(E131,Stores!A:B,2,FALSE)</f>
        <v>MegaMart Johnmouth</v>
      </c>
      <c r="M131">
        <f>VLOOKUP(D131,Products!A:E,5,FALSE)</f>
        <v>337.63</v>
      </c>
      <c r="N131" s="5">
        <f t="shared" ref="N131:N194" si="2">F131*M131*(1-G131)</f>
        <v>962.24549999999999</v>
      </c>
    </row>
    <row r="132" spans="1:14" x14ac:dyDescent="0.3">
      <c r="A132" t="s">
        <v>988</v>
      </c>
      <c r="B132" s="2">
        <v>45301</v>
      </c>
      <c r="C132" t="s">
        <v>287</v>
      </c>
      <c r="D132" t="s">
        <v>753</v>
      </c>
      <c r="E132" t="s">
        <v>839</v>
      </c>
      <c r="F132">
        <v>4</v>
      </c>
      <c r="G132">
        <v>0.05</v>
      </c>
      <c r="H132" t="s">
        <v>861</v>
      </c>
      <c r="I132" t="str">
        <f>VLOOKUP(C132,Customers!A:C,2,FALSE)&amp;" "&amp;VLOOKUP(C132,Customers!A:C,3,FALSE)</f>
        <v>Phyllis Durham</v>
      </c>
      <c r="J132" t="str">
        <f>VLOOKUP(D132,Products!A:C,2,FALSE)</f>
        <v>Whether Bags</v>
      </c>
      <c r="K132" t="str">
        <f>VLOOKUP(D132,Products!A:C,3,FALSE)</f>
        <v>Fashion</v>
      </c>
      <c r="L132" t="str">
        <f>VLOOKUP(E132,Stores!A:B,2,FALSE)</f>
        <v>MegaMart New Michele</v>
      </c>
      <c r="M132">
        <f>VLOOKUP(D132,Products!A:E,5,FALSE)</f>
        <v>270.45</v>
      </c>
      <c r="N132" s="5">
        <f t="shared" si="2"/>
        <v>1027.7099999999998</v>
      </c>
    </row>
    <row r="133" spans="1:14" x14ac:dyDescent="0.3">
      <c r="A133" t="s">
        <v>989</v>
      </c>
      <c r="B133" s="2">
        <v>45797</v>
      </c>
      <c r="C133" t="s">
        <v>134</v>
      </c>
      <c r="D133" t="s">
        <v>732</v>
      </c>
      <c r="E133" t="s">
        <v>846</v>
      </c>
      <c r="F133">
        <v>3</v>
      </c>
      <c r="G133">
        <v>0.1</v>
      </c>
      <c r="H133" t="s">
        <v>861</v>
      </c>
      <c r="I133" t="str">
        <f>VLOOKUP(C133,Customers!A:C,2,FALSE)&amp;" "&amp;VLOOKUP(C133,Customers!A:C,3,FALSE)</f>
        <v>Kari Miller</v>
      </c>
      <c r="J133" t="str">
        <f>VLOOKUP(D133,Products!A:C,2,FALSE)</f>
        <v>Understand Camera</v>
      </c>
      <c r="K133" t="str">
        <f>VLOOKUP(D133,Products!A:C,3,FALSE)</f>
        <v>Electronics</v>
      </c>
      <c r="L133" t="str">
        <f>VLOOKUP(E133,Stores!A:B,2,FALSE)</f>
        <v>MegaMart Johnmouth</v>
      </c>
      <c r="M133">
        <f>VLOOKUP(D133,Products!A:E,5,FALSE)</f>
        <v>1474.12</v>
      </c>
      <c r="N133" s="5">
        <f t="shared" si="2"/>
        <v>3980.1239999999998</v>
      </c>
    </row>
    <row r="134" spans="1:14" x14ac:dyDescent="0.3">
      <c r="A134" t="s">
        <v>990</v>
      </c>
      <c r="B134" s="2">
        <v>45396</v>
      </c>
      <c r="C134" t="s">
        <v>250</v>
      </c>
      <c r="D134" t="s">
        <v>755</v>
      </c>
      <c r="E134" t="s">
        <v>842</v>
      </c>
      <c r="F134">
        <v>3</v>
      </c>
      <c r="G134">
        <v>0.1</v>
      </c>
      <c r="H134" t="s">
        <v>865</v>
      </c>
      <c r="I134" t="str">
        <f>VLOOKUP(C134,Customers!A:C,2,FALSE)&amp;" "&amp;VLOOKUP(C134,Customers!A:C,3,FALSE)</f>
        <v>Jason Jenkins</v>
      </c>
      <c r="J134" t="str">
        <f>VLOOKUP(D134,Products!A:C,2,FALSE)</f>
        <v>House Accessories</v>
      </c>
      <c r="K134" t="str">
        <f>VLOOKUP(D134,Products!A:C,3,FALSE)</f>
        <v>Fashion</v>
      </c>
      <c r="L134" t="str">
        <f>VLOOKUP(E134,Stores!A:B,2,FALSE)</f>
        <v>MegaMart Brianahaven</v>
      </c>
      <c r="M134">
        <f>VLOOKUP(D134,Products!A:E,5,FALSE)</f>
        <v>1858.75</v>
      </c>
      <c r="N134" s="5">
        <f t="shared" si="2"/>
        <v>5018.625</v>
      </c>
    </row>
    <row r="135" spans="1:14" x14ac:dyDescent="0.3">
      <c r="A135" t="s">
        <v>991</v>
      </c>
      <c r="B135" s="2">
        <v>45438</v>
      </c>
      <c r="C135" t="s">
        <v>445</v>
      </c>
      <c r="D135" t="s">
        <v>816</v>
      </c>
      <c r="E135" t="s">
        <v>831</v>
      </c>
      <c r="F135">
        <v>2</v>
      </c>
      <c r="G135">
        <v>0.05</v>
      </c>
      <c r="H135" t="s">
        <v>858</v>
      </c>
      <c r="I135" t="str">
        <f>VLOOKUP(C135,Customers!A:C,2,FALSE)&amp;" "&amp;VLOOKUP(C135,Customers!A:C,3,FALSE)</f>
        <v>Curtis Faulkner</v>
      </c>
      <c r="J135" t="str">
        <f>VLOOKUP(D135,Products!A:C,2,FALSE)</f>
        <v>Set Dairy</v>
      </c>
      <c r="K135" t="str">
        <f>VLOOKUP(D135,Products!A:C,3,FALSE)</f>
        <v>Groceries</v>
      </c>
      <c r="L135" t="str">
        <f>VLOOKUP(E135,Stores!A:B,2,FALSE)</f>
        <v>MegaMart Jimenezborough</v>
      </c>
      <c r="M135">
        <f>VLOOKUP(D135,Products!A:E,5,FALSE)</f>
        <v>1879.08</v>
      </c>
      <c r="N135" s="5">
        <f t="shared" si="2"/>
        <v>3570.2519999999995</v>
      </c>
    </row>
    <row r="136" spans="1:14" x14ac:dyDescent="0.3">
      <c r="A136" t="s">
        <v>992</v>
      </c>
      <c r="B136" s="2">
        <v>45534</v>
      </c>
      <c r="C136" t="s">
        <v>520</v>
      </c>
      <c r="D136" t="s">
        <v>776</v>
      </c>
      <c r="E136" t="s">
        <v>839</v>
      </c>
      <c r="F136">
        <v>1</v>
      </c>
      <c r="G136">
        <v>0.15</v>
      </c>
      <c r="H136" t="s">
        <v>865</v>
      </c>
      <c r="I136" t="str">
        <f>VLOOKUP(C136,Customers!A:C,2,FALSE)&amp;" "&amp;VLOOKUP(C136,Customers!A:C,3,FALSE)</f>
        <v>Cynthia Carlson</v>
      </c>
      <c r="J136" t="str">
        <f>VLOOKUP(D136,Products!A:C,2,FALSE)</f>
        <v>Little Watches</v>
      </c>
      <c r="K136" t="str">
        <f>VLOOKUP(D136,Products!A:C,3,FALSE)</f>
        <v>Fashion</v>
      </c>
      <c r="L136" t="str">
        <f>VLOOKUP(E136,Stores!A:B,2,FALSE)</f>
        <v>MegaMart New Michele</v>
      </c>
      <c r="M136">
        <f>VLOOKUP(D136,Products!A:E,5,FALSE)</f>
        <v>429.15</v>
      </c>
      <c r="N136" s="5">
        <f t="shared" si="2"/>
        <v>364.77749999999997</v>
      </c>
    </row>
    <row r="137" spans="1:14" x14ac:dyDescent="0.3">
      <c r="A137" t="s">
        <v>993</v>
      </c>
      <c r="B137" s="2">
        <v>45485</v>
      </c>
      <c r="C137" t="s">
        <v>258</v>
      </c>
      <c r="D137" t="s">
        <v>800</v>
      </c>
      <c r="E137" t="s">
        <v>846</v>
      </c>
      <c r="F137">
        <v>1</v>
      </c>
      <c r="G137">
        <v>0.15</v>
      </c>
      <c r="H137" t="s">
        <v>855</v>
      </c>
      <c r="I137" t="str">
        <f>VLOOKUP(C137,Customers!A:C,2,FALSE)&amp;" "&amp;VLOOKUP(C137,Customers!A:C,3,FALSE)</f>
        <v>Alexandra Montoya</v>
      </c>
      <c r="J137" t="str">
        <f>VLOOKUP(D137,Products!A:C,2,FALSE)</f>
        <v>Book Television</v>
      </c>
      <c r="K137" t="str">
        <f>VLOOKUP(D137,Products!A:C,3,FALSE)</f>
        <v>Electronics</v>
      </c>
      <c r="L137" t="str">
        <f>VLOOKUP(E137,Stores!A:B,2,FALSE)</f>
        <v>MegaMart Johnmouth</v>
      </c>
      <c r="M137">
        <f>VLOOKUP(D137,Products!A:E,5,FALSE)</f>
        <v>1952.65</v>
      </c>
      <c r="N137" s="5">
        <f t="shared" si="2"/>
        <v>1659.7525000000001</v>
      </c>
    </row>
    <row r="138" spans="1:14" x14ac:dyDescent="0.3">
      <c r="A138" t="s">
        <v>994</v>
      </c>
      <c r="B138" s="2">
        <v>45438</v>
      </c>
      <c r="C138" t="s">
        <v>615</v>
      </c>
      <c r="D138" t="s">
        <v>774</v>
      </c>
      <c r="E138" t="s">
        <v>839</v>
      </c>
      <c r="F138">
        <v>5</v>
      </c>
      <c r="G138">
        <v>0.15</v>
      </c>
      <c r="H138" t="s">
        <v>855</v>
      </c>
      <c r="I138" t="str">
        <f>VLOOKUP(C138,Customers!A:C,2,FALSE)&amp;" "&amp;VLOOKUP(C138,Customers!A:C,3,FALSE)</f>
        <v>Lisa Ruiz</v>
      </c>
      <c r="J138" t="str">
        <f>VLOOKUP(D138,Products!A:C,2,FALSE)</f>
        <v>Him Smartphone</v>
      </c>
      <c r="K138" t="str">
        <f>VLOOKUP(D138,Products!A:C,3,FALSE)</f>
        <v>Electronics</v>
      </c>
      <c r="L138" t="str">
        <f>VLOOKUP(E138,Stores!A:B,2,FALSE)</f>
        <v>MegaMart New Michele</v>
      </c>
      <c r="M138">
        <f>VLOOKUP(D138,Products!A:E,5,FALSE)</f>
        <v>1487.41</v>
      </c>
      <c r="N138" s="5">
        <f t="shared" si="2"/>
        <v>6321.4925000000003</v>
      </c>
    </row>
    <row r="139" spans="1:14" x14ac:dyDescent="0.3">
      <c r="A139" t="s">
        <v>995</v>
      </c>
      <c r="B139" s="2">
        <v>45312</v>
      </c>
      <c r="C139" t="s">
        <v>112</v>
      </c>
      <c r="D139" t="s">
        <v>782</v>
      </c>
      <c r="E139" t="s">
        <v>835</v>
      </c>
      <c r="F139">
        <v>4</v>
      </c>
      <c r="G139">
        <v>0</v>
      </c>
      <c r="H139" t="s">
        <v>855</v>
      </c>
      <c r="I139" t="str">
        <f>VLOOKUP(C139,Customers!A:C,2,FALSE)&amp;" "&amp;VLOOKUP(C139,Customers!A:C,3,FALSE)</f>
        <v>John Carr</v>
      </c>
      <c r="J139" t="str">
        <f>VLOOKUP(D139,Products!A:C,2,FALSE)</f>
        <v>Deal Smartphone</v>
      </c>
      <c r="K139" t="str">
        <f>VLOOKUP(D139,Products!A:C,3,FALSE)</f>
        <v>Electronics</v>
      </c>
      <c r="L139" t="str">
        <f>VLOOKUP(E139,Stores!A:B,2,FALSE)</f>
        <v>MegaMart Peckmouth</v>
      </c>
      <c r="M139">
        <f>VLOOKUP(D139,Products!A:E,5,FALSE)</f>
        <v>673.78</v>
      </c>
      <c r="N139" s="5">
        <f t="shared" si="2"/>
        <v>2695.12</v>
      </c>
    </row>
    <row r="140" spans="1:14" x14ac:dyDescent="0.3">
      <c r="A140" t="s">
        <v>996</v>
      </c>
      <c r="B140" s="2">
        <v>45291</v>
      </c>
      <c r="C140" t="s">
        <v>563</v>
      </c>
      <c r="D140" t="s">
        <v>780</v>
      </c>
      <c r="E140" t="s">
        <v>835</v>
      </c>
      <c r="F140">
        <v>1</v>
      </c>
      <c r="G140">
        <v>0.15</v>
      </c>
      <c r="H140" t="s">
        <v>855</v>
      </c>
      <c r="I140" t="str">
        <f>VLOOKUP(C140,Customers!A:C,2,FALSE)&amp;" "&amp;VLOOKUP(C140,Customers!A:C,3,FALSE)</f>
        <v>Connie Terry</v>
      </c>
      <c r="J140" t="str">
        <f>VLOOKUP(D140,Products!A:C,2,FALSE)</f>
        <v>Hospital Smartphone</v>
      </c>
      <c r="K140" t="str">
        <f>VLOOKUP(D140,Products!A:C,3,FALSE)</f>
        <v>Electronics</v>
      </c>
      <c r="L140" t="str">
        <f>VLOOKUP(E140,Stores!A:B,2,FALSE)</f>
        <v>MegaMart Peckmouth</v>
      </c>
      <c r="M140">
        <f>VLOOKUP(D140,Products!A:E,5,FALSE)</f>
        <v>1272.23</v>
      </c>
      <c r="N140" s="5">
        <f t="shared" si="2"/>
        <v>1081.3955000000001</v>
      </c>
    </row>
    <row r="141" spans="1:14" x14ac:dyDescent="0.3">
      <c r="A141" t="s">
        <v>997</v>
      </c>
      <c r="B141" s="2">
        <v>45691</v>
      </c>
      <c r="C141" t="s">
        <v>596</v>
      </c>
      <c r="D141" t="s">
        <v>786</v>
      </c>
      <c r="E141" t="s">
        <v>842</v>
      </c>
      <c r="F141">
        <v>1</v>
      </c>
      <c r="G141">
        <v>0.05</v>
      </c>
      <c r="H141" t="s">
        <v>865</v>
      </c>
      <c r="I141" t="str">
        <f>VLOOKUP(C141,Customers!A:C,2,FALSE)&amp;" "&amp;VLOOKUP(C141,Customers!A:C,3,FALSE)</f>
        <v>Kimberly Lin</v>
      </c>
      <c r="J141" t="str">
        <f>VLOOKUP(D141,Products!A:C,2,FALSE)</f>
        <v>National Watches</v>
      </c>
      <c r="K141" t="str">
        <f>VLOOKUP(D141,Products!A:C,3,FALSE)</f>
        <v>Fashion</v>
      </c>
      <c r="L141" t="str">
        <f>VLOOKUP(E141,Stores!A:B,2,FALSE)</f>
        <v>MegaMart Brianahaven</v>
      </c>
      <c r="M141">
        <f>VLOOKUP(D141,Products!A:E,5,FALSE)</f>
        <v>29.24</v>
      </c>
      <c r="N141" s="5">
        <f t="shared" si="2"/>
        <v>27.777999999999999</v>
      </c>
    </row>
    <row r="142" spans="1:14" x14ac:dyDescent="0.3">
      <c r="A142" t="s">
        <v>998</v>
      </c>
      <c r="B142" s="2">
        <v>45253</v>
      </c>
      <c r="C142" t="s">
        <v>44</v>
      </c>
      <c r="D142" t="s">
        <v>774</v>
      </c>
      <c r="E142" t="s">
        <v>839</v>
      </c>
      <c r="F142">
        <v>4</v>
      </c>
      <c r="G142">
        <v>0</v>
      </c>
      <c r="H142" t="s">
        <v>865</v>
      </c>
      <c r="I142" t="str">
        <f>VLOOKUP(C142,Customers!A:C,2,FALSE)&amp;" "&amp;VLOOKUP(C142,Customers!A:C,3,FALSE)</f>
        <v>Catherine Rice</v>
      </c>
      <c r="J142" t="str">
        <f>VLOOKUP(D142,Products!A:C,2,FALSE)</f>
        <v>Him Smartphone</v>
      </c>
      <c r="K142" t="str">
        <f>VLOOKUP(D142,Products!A:C,3,FALSE)</f>
        <v>Electronics</v>
      </c>
      <c r="L142" t="str">
        <f>VLOOKUP(E142,Stores!A:B,2,FALSE)</f>
        <v>MegaMart New Michele</v>
      </c>
      <c r="M142">
        <f>VLOOKUP(D142,Products!A:E,5,FALSE)</f>
        <v>1487.41</v>
      </c>
      <c r="N142" s="5">
        <f t="shared" si="2"/>
        <v>5949.64</v>
      </c>
    </row>
    <row r="143" spans="1:14" x14ac:dyDescent="0.3">
      <c r="A143" t="s">
        <v>999</v>
      </c>
      <c r="B143" s="2">
        <v>45562</v>
      </c>
      <c r="C143" t="s">
        <v>234</v>
      </c>
      <c r="D143" t="s">
        <v>824</v>
      </c>
      <c r="E143" t="s">
        <v>846</v>
      </c>
      <c r="F143">
        <v>2</v>
      </c>
      <c r="G143">
        <v>0.15</v>
      </c>
      <c r="H143" t="s">
        <v>858</v>
      </c>
      <c r="I143" t="str">
        <f>VLOOKUP(C143,Customers!A:C,2,FALSE)&amp;" "&amp;VLOOKUP(C143,Customers!A:C,3,FALSE)</f>
        <v>Heather Russell</v>
      </c>
      <c r="J143" t="str">
        <f>VLOOKUP(D143,Products!A:C,2,FALSE)</f>
        <v>Possible Watches</v>
      </c>
      <c r="K143" t="str">
        <f>VLOOKUP(D143,Products!A:C,3,FALSE)</f>
        <v>Fashion</v>
      </c>
      <c r="L143" t="str">
        <f>VLOOKUP(E143,Stores!A:B,2,FALSE)</f>
        <v>MegaMart Johnmouth</v>
      </c>
      <c r="M143">
        <f>VLOOKUP(D143,Products!A:E,5,FALSE)</f>
        <v>388.26</v>
      </c>
      <c r="N143" s="5">
        <f t="shared" si="2"/>
        <v>660.04199999999992</v>
      </c>
    </row>
    <row r="144" spans="1:14" x14ac:dyDescent="0.3">
      <c r="A144" t="s">
        <v>1000</v>
      </c>
      <c r="B144" s="2">
        <v>45878</v>
      </c>
      <c r="C144" t="s">
        <v>358</v>
      </c>
      <c r="D144" t="s">
        <v>792</v>
      </c>
      <c r="E144" t="s">
        <v>846</v>
      </c>
      <c r="F144">
        <v>4</v>
      </c>
      <c r="G144">
        <v>0.05</v>
      </c>
      <c r="H144" t="s">
        <v>858</v>
      </c>
      <c r="I144" t="str">
        <f>VLOOKUP(C144,Customers!A:C,2,FALSE)&amp;" "&amp;VLOOKUP(C144,Customers!A:C,3,FALSE)</f>
        <v>Kevin Snyder</v>
      </c>
      <c r="J144" t="str">
        <f>VLOOKUP(D144,Products!A:C,2,FALSE)</f>
        <v>Beat Accessories</v>
      </c>
      <c r="K144" t="str">
        <f>VLOOKUP(D144,Products!A:C,3,FALSE)</f>
        <v>Fashion</v>
      </c>
      <c r="L144" t="str">
        <f>VLOOKUP(E144,Stores!A:B,2,FALSE)</f>
        <v>MegaMart Johnmouth</v>
      </c>
      <c r="M144">
        <f>VLOOKUP(D144,Products!A:E,5,FALSE)</f>
        <v>1798.97</v>
      </c>
      <c r="N144" s="5">
        <f t="shared" si="2"/>
        <v>6836.0859999999993</v>
      </c>
    </row>
    <row r="145" spans="1:14" x14ac:dyDescent="0.3">
      <c r="A145" t="s">
        <v>1001</v>
      </c>
      <c r="B145" s="2">
        <v>45278</v>
      </c>
      <c r="C145" t="s">
        <v>599</v>
      </c>
      <c r="D145" t="s">
        <v>814</v>
      </c>
      <c r="E145" t="s">
        <v>831</v>
      </c>
      <c r="F145">
        <v>4</v>
      </c>
      <c r="G145">
        <v>0.15</v>
      </c>
      <c r="H145" t="s">
        <v>855</v>
      </c>
      <c r="I145" t="str">
        <f>VLOOKUP(C145,Customers!A:C,2,FALSE)&amp;" "&amp;VLOOKUP(C145,Customers!A:C,3,FALSE)</f>
        <v>Richard Jones</v>
      </c>
      <c r="J145" t="str">
        <f>VLOOKUP(D145,Products!A:C,2,FALSE)</f>
        <v>Least Accessories</v>
      </c>
      <c r="K145" t="str">
        <f>VLOOKUP(D145,Products!A:C,3,FALSE)</f>
        <v>Fashion</v>
      </c>
      <c r="L145" t="str">
        <f>VLOOKUP(E145,Stores!A:B,2,FALSE)</f>
        <v>MegaMart Jimenezborough</v>
      </c>
      <c r="M145">
        <f>VLOOKUP(D145,Products!A:E,5,FALSE)</f>
        <v>1286.55</v>
      </c>
      <c r="N145" s="5">
        <f t="shared" si="2"/>
        <v>4374.2699999999995</v>
      </c>
    </row>
    <row r="146" spans="1:14" x14ac:dyDescent="0.3">
      <c r="A146" t="s">
        <v>1002</v>
      </c>
      <c r="B146" s="2">
        <v>45726</v>
      </c>
      <c r="C146" t="s">
        <v>40</v>
      </c>
      <c r="D146" t="s">
        <v>736</v>
      </c>
      <c r="E146" t="s">
        <v>839</v>
      </c>
      <c r="F146">
        <v>2</v>
      </c>
      <c r="G146">
        <v>0.15</v>
      </c>
      <c r="H146" t="s">
        <v>858</v>
      </c>
      <c r="I146" t="str">
        <f>VLOOKUP(C146,Customers!A:C,2,FALSE)&amp;" "&amp;VLOOKUP(C146,Customers!A:C,3,FALSE)</f>
        <v>Richard Pacheco</v>
      </c>
      <c r="J146" t="str">
        <f>VLOOKUP(D146,Products!A:C,2,FALSE)</f>
        <v>Us Snacks</v>
      </c>
      <c r="K146" t="str">
        <f>VLOOKUP(D146,Products!A:C,3,FALSE)</f>
        <v>Groceries</v>
      </c>
      <c r="L146" t="str">
        <f>VLOOKUP(E146,Stores!A:B,2,FALSE)</f>
        <v>MegaMart New Michele</v>
      </c>
      <c r="M146">
        <f>VLOOKUP(D146,Products!A:E,5,FALSE)</f>
        <v>123.19</v>
      </c>
      <c r="N146" s="5">
        <f t="shared" si="2"/>
        <v>209.423</v>
      </c>
    </row>
    <row r="147" spans="1:14" x14ac:dyDescent="0.3">
      <c r="A147" t="s">
        <v>1003</v>
      </c>
      <c r="B147" s="2">
        <v>45424</v>
      </c>
      <c r="C147" t="s">
        <v>234</v>
      </c>
      <c r="D147" t="s">
        <v>804</v>
      </c>
      <c r="E147" t="s">
        <v>839</v>
      </c>
      <c r="F147">
        <v>1</v>
      </c>
      <c r="G147">
        <v>0.1</v>
      </c>
      <c r="H147" t="s">
        <v>855</v>
      </c>
      <c r="I147" t="str">
        <f>VLOOKUP(C147,Customers!A:C,2,FALSE)&amp;" "&amp;VLOOKUP(C147,Customers!A:C,3,FALSE)</f>
        <v>Heather Russell</v>
      </c>
      <c r="J147" t="str">
        <f>VLOOKUP(D147,Products!A:C,2,FALSE)</f>
        <v>Church Clothing</v>
      </c>
      <c r="K147" t="str">
        <f>VLOOKUP(D147,Products!A:C,3,FALSE)</f>
        <v>Fashion</v>
      </c>
      <c r="L147" t="str">
        <f>VLOOKUP(E147,Stores!A:B,2,FALSE)</f>
        <v>MegaMart New Michele</v>
      </c>
      <c r="M147">
        <f>VLOOKUP(D147,Products!A:E,5,FALSE)</f>
        <v>540.94000000000005</v>
      </c>
      <c r="N147" s="5">
        <f t="shared" si="2"/>
        <v>486.84600000000006</v>
      </c>
    </row>
    <row r="148" spans="1:14" x14ac:dyDescent="0.3">
      <c r="A148" t="s">
        <v>1004</v>
      </c>
      <c r="B148" s="2">
        <v>45552</v>
      </c>
      <c r="C148" t="s">
        <v>67</v>
      </c>
      <c r="D148" t="s">
        <v>796</v>
      </c>
      <c r="E148" t="s">
        <v>842</v>
      </c>
      <c r="F148">
        <v>3</v>
      </c>
      <c r="G148">
        <v>0.05</v>
      </c>
      <c r="H148" t="s">
        <v>865</v>
      </c>
      <c r="I148" t="str">
        <f>VLOOKUP(C148,Customers!A:C,2,FALSE)&amp;" "&amp;VLOOKUP(C148,Customers!A:C,3,FALSE)</f>
        <v>Miguel Johnson</v>
      </c>
      <c r="J148" t="str">
        <f>VLOOKUP(D148,Products!A:C,2,FALSE)</f>
        <v>Chair Laptop</v>
      </c>
      <c r="K148" t="str">
        <f>VLOOKUP(D148,Products!A:C,3,FALSE)</f>
        <v>Electronics</v>
      </c>
      <c r="L148" t="str">
        <f>VLOOKUP(E148,Stores!A:B,2,FALSE)</f>
        <v>MegaMart Brianahaven</v>
      </c>
      <c r="M148">
        <f>VLOOKUP(D148,Products!A:E,5,FALSE)</f>
        <v>1562.43</v>
      </c>
      <c r="N148" s="5">
        <f t="shared" si="2"/>
        <v>4452.9254999999994</v>
      </c>
    </row>
    <row r="149" spans="1:14" x14ac:dyDescent="0.3">
      <c r="A149" t="s">
        <v>1005</v>
      </c>
      <c r="B149" s="2">
        <v>45391</v>
      </c>
      <c r="C149" t="s">
        <v>435</v>
      </c>
      <c r="D149" t="s">
        <v>755</v>
      </c>
      <c r="E149" t="s">
        <v>831</v>
      </c>
      <c r="F149">
        <v>2</v>
      </c>
      <c r="G149">
        <v>0</v>
      </c>
      <c r="H149" t="s">
        <v>865</v>
      </c>
      <c r="I149" t="str">
        <f>VLOOKUP(C149,Customers!A:C,2,FALSE)&amp;" "&amp;VLOOKUP(C149,Customers!A:C,3,FALSE)</f>
        <v>Timothy Beck</v>
      </c>
      <c r="J149" t="str">
        <f>VLOOKUP(D149,Products!A:C,2,FALSE)</f>
        <v>House Accessories</v>
      </c>
      <c r="K149" t="str">
        <f>VLOOKUP(D149,Products!A:C,3,FALSE)</f>
        <v>Fashion</v>
      </c>
      <c r="L149" t="str">
        <f>VLOOKUP(E149,Stores!A:B,2,FALSE)</f>
        <v>MegaMart Jimenezborough</v>
      </c>
      <c r="M149">
        <f>VLOOKUP(D149,Products!A:E,5,FALSE)</f>
        <v>1858.75</v>
      </c>
      <c r="N149" s="5">
        <f t="shared" si="2"/>
        <v>3717.5</v>
      </c>
    </row>
    <row r="150" spans="1:14" x14ac:dyDescent="0.3">
      <c r="A150" t="s">
        <v>1006</v>
      </c>
      <c r="B150" s="2">
        <v>45215</v>
      </c>
      <c r="C150" t="s">
        <v>324</v>
      </c>
      <c r="D150" t="s">
        <v>750</v>
      </c>
      <c r="E150" t="s">
        <v>835</v>
      </c>
      <c r="F150">
        <v>2</v>
      </c>
      <c r="G150">
        <v>0.05</v>
      </c>
      <c r="H150" t="s">
        <v>865</v>
      </c>
      <c r="I150" t="str">
        <f>VLOOKUP(C150,Customers!A:C,2,FALSE)&amp;" "&amp;VLOOKUP(C150,Customers!A:C,3,FALSE)</f>
        <v>Lawrence Hunter</v>
      </c>
      <c r="J150" t="str">
        <f>VLOOKUP(D150,Products!A:C,2,FALSE)</f>
        <v>Add Clothing</v>
      </c>
      <c r="K150" t="str">
        <f>VLOOKUP(D150,Products!A:C,3,FALSE)</f>
        <v>Fashion</v>
      </c>
      <c r="L150" t="str">
        <f>VLOOKUP(E150,Stores!A:B,2,FALSE)</f>
        <v>MegaMart Peckmouth</v>
      </c>
      <c r="M150">
        <f>VLOOKUP(D150,Products!A:E,5,FALSE)</f>
        <v>1342.75</v>
      </c>
      <c r="N150" s="5">
        <f t="shared" si="2"/>
        <v>2551.2249999999999</v>
      </c>
    </row>
    <row r="151" spans="1:14" x14ac:dyDescent="0.3">
      <c r="A151" t="s">
        <v>1007</v>
      </c>
      <c r="B151" s="2">
        <v>45534</v>
      </c>
      <c r="C151" t="s">
        <v>690</v>
      </c>
      <c r="D151" t="s">
        <v>784</v>
      </c>
      <c r="E151" t="s">
        <v>846</v>
      </c>
      <c r="F151">
        <v>2</v>
      </c>
      <c r="G151">
        <v>0.05</v>
      </c>
      <c r="H151" t="s">
        <v>861</v>
      </c>
      <c r="I151" t="str">
        <f>VLOOKUP(C151,Customers!A:C,2,FALSE)&amp;" "&amp;VLOOKUP(C151,Customers!A:C,3,FALSE)</f>
        <v>James Noble</v>
      </c>
      <c r="J151" t="str">
        <f>VLOOKUP(D151,Products!A:C,2,FALSE)</f>
        <v>Road Clothing</v>
      </c>
      <c r="K151" t="str">
        <f>VLOOKUP(D151,Products!A:C,3,FALSE)</f>
        <v>Fashion</v>
      </c>
      <c r="L151" t="str">
        <f>VLOOKUP(E151,Stores!A:B,2,FALSE)</f>
        <v>MegaMart Johnmouth</v>
      </c>
      <c r="M151">
        <f>VLOOKUP(D151,Products!A:E,5,FALSE)</f>
        <v>1485.05</v>
      </c>
      <c r="N151" s="5">
        <f t="shared" si="2"/>
        <v>2821.5949999999998</v>
      </c>
    </row>
    <row r="152" spans="1:14" x14ac:dyDescent="0.3">
      <c r="A152" t="s">
        <v>1008</v>
      </c>
      <c r="B152" s="2">
        <v>45539</v>
      </c>
      <c r="C152" t="s">
        <v>320</v>
      </c>
      <c r="D152" t="s">
        <v>766</v>
      </c>
      <c r="E152" t="s">
        <v>835</v>
      </c>
      <c r="F152">
        <v>5</v>
      </c>
      <c r="G152">
        <v>0</v>
      </c>
      <c r="H152" t="s">
        <v>855</v>
      </c>
      <c r="I152" t="str">
        <f>VLOOKUP(C152,Customers!A:C,2,FALSE)&amp;" "&amp;VLOOKUP(C152,Customers!A:C,3,FALSE)</f>
        <v>Juan Ramirez</v>
      </c>
      <c r="J152" t="str">
        <f>VLOOKUP(D152,Products!A:C,2,FALSE)</f>
        <v>Firm Dairy</v>
      </c>
      <c r="K152" t="str">
        <f>VLOOKUP(D152,Products!A:C,3,FALSE)</f>
        <v>Groceries</v>
      </c>
      <c r="L152" t="str">
        <f>VLOOKUP(E152,Stores!A:B,2,FALSE)</f>
        <v>MegaMart Peckmouth</v>
      </c>
      <c r="M152">
        <f>VLOOKUP(D152,Products!A:E,5,FALSE)</f>
        <v>1227.24</v>
      </c>
      <c r="N152" s="5">
        <f t="shared" si="2"/>
        <v>6136.2</v>
      </c>
    </row>
    <row r="153" spans="1:14" x14ac:dyDescent="0.3">
      <c r="A153" t="s">
        <v>1009</v>
      </c>
      <c r="B153" s="2">
        <v>45586</v>
      </c>
      <c r="C153" t="s">
        <v>148</v>
      </c>
      <c r="D153" t="s">
        <v>814</v>
      </c>
      <c r="E153" t="s">
        <v>835</v>
      </c>
      <c r="F153">
        <v>5</v>
      </c>
      <c r="G153">
        <v>0.1</v>
      </c>
      <c r="H153" t="s">
        <v>861</v>
      </c>
      <c r="I153" t="str">
        <f>VLOOKUP(C153,Customers!A:C,2,FALSE)&amp;" "&amp;VLOOKUP(C153,Customers!A:C,3,FALSE)</f>
        <v>Tracey Davis</v>
      </c>
      <c r="J153" t="str">
        <f>VLOOKUP(D153,Products!A:C,2,FALSE)</f>
        <v>Least Accessories</v>
      </c>
      <c r="K153" t="str">
        <f>VLOOKUP(D153,Products!A:C,3,FALSE)</f>
        <v>Fashion</v>
      </c>
      <c r="L153" t="str">
        <f>VLOOKUP(E153,Stores!A:B,2,FALSE)</f>
        <v>MegaMart Peckmouth</v>
      </c>
      <c r="M153">
        <f>VLOOKUP(D153,Products!A:E,5,FALSE)</f>
        <v>1286.55</v>
      </c>
      <c r="N153" s="5">
        <f t="shared" si="2"/>
        <v>5789.4750000000004</v>
      </c>
    </row>
    <row r="154" spans="1:14" x14ac:dyDescent="0.3">
      <c r="A154" t="s">
        <v>1010</v>
      </c>
      <c r="B154" s="2">
        <v>45402</v>
      </c>
      <c r="C154" t="s">
        <v>115</v>
      </c>
      <c r="D154" t="s">
        <v>728</v>
      </c>
      <c r="E154" t="s">
        <v>831</v>
      </c>
      <c r="F154">
        <v>2</v>
      </c>
      <c r="G154">
        <v>0</v>
      </c>
      <c r="H154" t="s">
        <v>855</v>
      </c>
      <c r="I154" t="str">
        <f>VLOOKUP(C154,Customers!A:C,2,FALSE)&amp;" "&amp;VLOOKUP(C154,Customers!A:C,3,FALSE)</f>
        <v>Tyler Levine</v>
      </c>
      <c r="J154" t="str">
        <f>VLOOKUP(D154,Products!A:C,2,FALSE)</f>
        <v>Company Fruits</v>
      </c>
      <c r="K154" t="str">
        <f>VLOOKUP(D154,Products!A:C,3,FALSE)</f>
        <v>Groceries</v>
      </c>
      <c r="L154" t="str">
        <f>VLOOKUP(E154,Stores!A:B,2,FALSE)</f>
        <v>MegaMart Jimenezborough</v>
      </c>
      <c r="M154">
        <f>VLOOKUP(D154,Products!A:E,5,FALSE)</f>
        <v>318.05</v>
      </c>
      <c r="N154" s="5">
        <f t="shared" si="2"/>
        <v>636.1</v>
      </c>
    </row>
    <row r="155" spans="1:14" x14ac:dyDescent="0.3">
      <c r="A155" t="s">
        <v>1011</v>
      </c>
      <c r="B155" s="2">
        <v>45840</v>
      </c>
      <c r="C155" t="s">
        <v>234</v>
      </c>
      <c r="D155" t="s">
        <v>778</v>
      </c>
      <c r="E155" t="s">
        <v>846</v>
      </c>
      <c r="F155">
        <v>3</v>
      </c>
      <c r="G155">
        <v>0</v>
      </c>
      <c r="H155" t="s">
        <v>861</v>
      </c>
      <c r="I155" t="str">
        <f>VLOOKUP(C155,Customers!A:C,2,FALSE)&amp;" "&amp;VLOOKUP(C155,Customers!A:C,3,FALSE)</f>
        <v>Heather Russell</v>
      </c>
      <c r="J155" t="str">
        <f>VLOOKUP(D155,Products!A:C,2,FALSE)</f>
        <v>Behavior Dairy</v>
      </c>
      <c r="K155" t="str">
        <f>VLOOKUP(D155,Products!A:C,3,FALSE)</f>
        <v>Groceries</v>
      </c>
      <c r="L155" t="str">
        <f>VLOOKUP(E155,Stores!A:B,2,FALSE)</f>
        <v>MegaMart Johnmouth</v>
      </c>
      <c r="M155">
        <f>VLOOKUP(D155,Products!A:E,5,FALSE)</f>
        <v>1015.76</v>
      </c>
      <c r="N155" s="5">
        <f t="shared" si="2"/>
        <v>3047.2799999999997</v>
      </c>
    </row>
    <row r="156" spans="1:14" x14ac:dyDescent="0.3">
      <c r="A156" t="s">
        <v>1012</v>
      </c>
      <c r="B156" s="2">
        <v>45498</v>
      </c>
      <c r="C156" t="s">
        <v>258</v>
      </c>
      <c r="D156" t="s">
        <v>750</v>
      </c>
      <c r="E156" t="s">
        <v>831</v>
      </c>
      <c r="F156">
        <v>2</v>
      </c>
      <c r="G156">
        <v>0.15</v>
      </c>
      <c r="H156" t="s">
        <v>865</v>
      </c>
      <c r="I156" t="str">
        <f>VLOOKUP(C156,Customers!A:C,2,FALSE)&amp;" "&amp;VLOOKUP(C156,Customers!A:C,3,FALSE)</f>
        <v>Alexandra Montoya</v>
      </c>
      <c r="J156" t="str">
        <f>VLOOKUP(D156,Products!A:C,2,FALSE)</f>
        <v>Add Clothing</v>
      </c>
      <c r="K156" t="str">
        <f>VLOOKUP(D156,Products!A:C,3,FALSE)</f>
        <v>Fashion</v>
      </c>
      <c r="L156" t="str">
        <f>VLOOKUP(E156,Stores!A:B,2,FALSE)</f>
        <v>MegaMart Jimenezborough</v>
      </c>
      <c r="M156">
        <f>VLOOKUP(D156,Products!A:E,5,FALSE)</f>
        <v>1342.75</v>
      </c>
      <c r="N156" s="5">
        <f t="shared" si="2"/>
        <v>2282.6749999999997</v>
      </c>
    </row>
    <row r="157" spans="1:14" x14ac:dyDescent="0.3">
      <c r="A157" t="s">
        <v>1013</v>
      </c>
      <c r="B157" s="2">
        <v>45615</v>
      </c>
      <c r="C157" t="s">
        <v>673</v>
      </c>
      <c r="D157" t="s">
        <v>734</v>
      </c>
      <c r="E157" t="s">
        <v>831</v>
      </c>
      <c r="F157">
        <v>4</v>
      </c>
      <c r="G157">
        <v>0.15</v>
      </c>
      <c r="H157" t="s">
        <v>855</v>
      </c>
      <c r="I157" t="str">
        <f>VLOOKUP(C157,Customers!A:C,2,FALSE)&amp;" "&amp;VLOOKUP(C157,Customers!A:C,3,FALSE)</f>
        <v>Karen Quinn</v>
      </c>
      <c r="J157" t="str">
        <f>VLOOKUP(D157,Products!A:C,2,FALSE)</f>
        <v>Recognize Footwear</v>
      </c>
      <c r="K157" t="str">
        <f>VLOOKUP(D157,Products!A:C,3,FALSE)</f>
        <v>Fashion</v>
      </c>
      <c r="L157" t="str">
        <f>VLOOKUP(E157,Stores!A:B,2,FALSE)</f>
        <v>MegaMart Jimenezborough</v>
      </c>
      <c r="M157">
        <f>VLOOKUP(D157,Products!A:E,5,FALSE)</f>
        <v>109.78</v>
      </c>
      <c r="N157" s="5">
        <f t="shared" si="2"/>
        <v>373.25200000000001</v>
      </c>
    </row>
    <row r="158" spans="1:14" x14ac:dyDescent="0.3">
      <c r="A158" t="s">
        <v>1014</v>
      </c>
      <c r="B158" s="2">
        <v>45564</v>
      </c>
      <c r="C158" t="s">
        <v>483</v>
      </c>
      <c r="D158" t="s">
        <v>718</v>
      </c>
      <c r="E158" t="s">
        <v>846</v>
      </c>
      <c r="F158">
        <v>1</v>
      </c>
      <c r="G158">
        <v>0.15</v>
      </c>
      <c r="H158" t="s">
        <v>861</v>
      </c>
      <c r="I158" t="str">
        <f>VLOOKUP(C158,Customers!A:C,2,FALSE)&amp;" "&amp;VLOOKUP(C158,Customers!A:C,3,FALSE)</f>
        <v>Jared Ochoa</v>
      </c>
      <c r="J158" t="str">
        <f>VLOOKUP(D158,Products!A:C,2,FALSE)</f>
        <v>Here Footwear</v>
      </c>
      <c r="K158" t="str">
        <f>VLOOKUP(D158,Products!A:C,3,FALSE)</f>
        <v>Fashion</v>
      </c>
      <c r="L158" t="str">
        <f>VLOOKUP(E158,Stores!A:B,2,FALSE)</f>
        <v>MegaMart Johnmouth</v>
      </c>
      <c r="M158">
        <f>VLOOKUP(D158,Products!A:E,5,FALSE)</f>
        <v>337.63</v>
      </c>
      <c r="N158" s="5">
        <f t="shared" si="2"/>
        <v>286.9855</v>
      </c>
    </row>
    <row r="159" spans="1:14" x14ac:dyDescent="0.3">
      <c r="A159" t="s">
        <v>1015</v>
      </c>
      <c r="B159" s="2">
        <v>45526</v>
      </c>
      <c r="C159" t="s">
        <v>567</v>
      </c>
      <c r="D159" t="s">
        <v>772</v>
      </c>
      <c r="E159" t="s">
        <v>831</v>
      </c>
      <c r="F159">
        <v>5</v>
      </c>
      <c r="G159">
        <v>0.1</v>
      </c>
      <c r="H159" t="s">
        <v>858</v>
      </c>
      <c r="I159" t="str">
        <f>VLOOKUP(C159,Customers!A:C,2,FALSE)&amp;" "&amp;VLOOKUP(C159,Customers!A:C,3,FALSE)</f>
        <v>Crystal Aguirre</v>
      </c>
      <c r="J159" t="str">
        <f>VLOOKUP(D159,Products!A:C,2,FALSE)</f>
        <v>And Footwear</v>
      </c>
      <c r="K159" t="str">
        <f>VLOOKUP(D159,Products!A:C,3,FALSE)</f>
        <v>Fashion</v>
      </c>
      <c r="L159" t="str">
        <f>VLOOKUP(E159,Stores!A:B,2,FALSE)</f>
        <v>MegaMart Jimenezborough</v>
      </c>
      <c r="M159">
        <f>VLOOKUP(D159,Products!A:E,5,FALSE)</f>
        <v>1878.47</v>
      </c>
      <c r="N159" s="5">
        <f t="shared" si="2"/>
        <v>8453.1149999999998</v>
      </c>
    </row>
    <row r="160" spans="1:14" x14ac:dyDescent="0.3">
      <c r="A160" t="s">
        <v>1016</v>
      </c>
      <c r="B160" s="2">
        <v>45872</v>
      </c>
      <c r="C160" t="s">
        <v>589</v>
      </c>
      <c r="D160" t="s">
        <v>810</v>
      </c>
      <c r="E160" t="s">
        <v>831</v>
      </c>
      <c r="F160">
        <v>1</v>
      </c>
      <c r="G160">
        <v>0.15</v>
      </c>
      <c r="H160" t="s">
        <v>858</v>
      </c>
      <c r="I160" t="str">
        <f>VLOOKUP(C160,Customers!A:C,2,FALSE)&amp;" "&amp;VLOOKUP(C160,Customers!A:C,3,FALSE)</f>
        <v>Tanya Mueller</v>
      </c>
      <c r="J160" t="str">
        <f>VLOOKUP(D160,Products!A:C,2,FALSE)</f>
        <v>Maybe Clothing</v>
      </c>
      <c r="K160" t="str">
        <f>VLOOKUP(D160,Products!A:C,3,FALSE)</f>
        <v>Fashion</v>
      </c>
      <c r="L160" t="str">
        <f>VLOOKUP(E160,Stores!A:B,2,FALSE)</f>
        <v>MegaMart Jimenezborough</v>
      </c>
      <c r="M160">
        <f>VLOOKUP(D160,Products!A:E,5,FALSE)</f>
        <v>453.62</v>
      </c>
      <c r="N160" s="5">
        <f t="shared" si="2"/>
        <v>385.577</v>
      </c>
    </row>
    <row r="161" spans="1:14" x14ac:dyDescent="0.3">
      <c r="A161" t="s">
        <v>1017</v>
      </c>
      <c r="B161" s="2">
        <v>45205</v>
      </c>
      <c r="C161" t="s">
        <v>411</v>
      </c>
      <c r="D161" t="s">
        <v>766</v>
      </c>
      <c r="E161" t="s">
        <v>831</v>
      </c>
      <c r="F161">
        <v>4</v>
      </c>
      <c r="G161">
        <v>0.15</v>
      </c>
      <c r="H161" t="s">
        <v>865</v>
      </c>
      <c r="I161" t="str">
        <f>VLOOKUP(C161,Customers!A:C,2,FALSE)&amp;" "&amp;VLOOKUP(C161,Customers!A:C,3,FALSE)</f>
        <v>Travis Peters</v>
      </c>
      <c r="J161" t="str">
        <f>VLOOKUP(D161,Products!A:C,2,FALSE)</f>
        <v>Firm Dairy</v>
      </c>
      <c r="K161" t="str">
        <f>VLOOKUP(D161,Products!A:C,3,FALSE)</f>
        <v>Groceries</v>
      </c>
      <c r="L161" t="str">
        <f>VLOOKUP(E161,Stores!A:B,2,FALSE)</f>
        <v>MegaMart Jimenezborough</v>
      </c>
      <c r="M161">
        <f>VLOOKUP(D161,Products!A:E,5,FALSE)</f>
        <v>1227.24</v>
      </c>
      <c r="N161" s="5">
        <f t="shared" si="2"/>
        <v>4172.616</v>
      </c>
    </row>
    <row r="162" spans="1:14" x14ac:dyDescent="0.3">
      <c r="A162" t="s">
        <v>1018</v>
      </c>
      <c r="B162" s="2">
        <v>45794</v>
      </c>
      <c r="C162" t="s">
        <v>85</v>
      </c>
      <c r="D162" t="s">
        <v>818</v>
      </c>
      <c r="E162" t="s">
        <v>839</v>
      </c>
      <c r="F162">
        <v>5</v>
      </c>
      <c r="G162">
        <v>0.05</v>
      </c>
      <c r="H162" t="s">
        <v>865</v>
      </c>
      <c r="I162" t="str">
        <f>VLOOKUP(C162,Customers!A:C,2,FALSE)&amp;" "&amp;VLOOKUP(C162,Customers!A:C,3,FALSE)</f>
        <v>Debbie Martin</v>
      </c>
      <c r="J162" t="str">
        <f>VLOOKUP(D162,Products!A:C,2,FALSE)</f>
        <v>Nature Clothing</v>
      </c>
      <c r="K162" t="str">
        <f>VLOOKUP(D162,Products!A:C,3,FALSE)</f>
        <v>Fashion</v>
      </c>
      <c r="L162" t="str">
        <f>VLOOKUP(E162,Stores!A:B,2,FALSE)</f>
        <v>MegaMart New Michele</v>
      </c>
      <c r="M162">
        <f>VLOOKUP(D162,Products!A:E,5,FALSE)</f>
        <v>1165.3699999999999</v>
      </c>
      <c r="N162" s="5">
        <f t="shared" si="2"/>
        <v>5535.5074999999988</v>
      </c>
    </row>
    <row r="163" spans="1:14" x14ac:dyDescent="0.3">
      <c r="A163" t="s">
        <v>1019</v>
      </c>
      <c r="B163" s="2">
        <v>45415</v>
      </c>
      <c r="C163" t="s">
        <v>130</v>
      </c>
      <c r="D163" t="s">
        <v>784</v>
      </c>
      <c r="E163" t="s">
        <v>839</v>
      </c>
      <c r="F163">
        <v>5</v>
      </c>
      <c r="G163">
        <v>0.1</v>
      </c>
      <c r="H163" t="s">
        <v>858</v>
      </c>
      <c r="I163" t="str">
        <f>VLOOKUP(C163,Customers!A:C,2,FALSE)&amp;" "&amp;VLOOKUP(C163,Customers!A:C,3,FALSE)</f>
        <v>Jenny Beck</v>
      </c>
      <c r="J163" t="str">
        <f>VLOOKUP(D163,Products!A:C,2,FALSE)</f>
        <v>Road Clothing</v>
      </c>
      <c r="K163" t="str">
        <f>VLOOKUP(D163,Products!A:C,3,FALSE)</f>
        <v>Fashion</v>
      </c>
      <c r="L163" t="str">
        <f>VLOOKUP(E163,Stores!A:B,2,FALSE)</f>
        <v>MegaMart New Michele</v>
      </c>
      <c r="M163">
        <f>VLOOKUP(D163,Products!A:E,5,FALSE)</f>
        <v>1485.05</v>
      </c>
      <c r="N163" s="5">
        <f t="shared" si="2"/>
        <v>6682.7250000000004</v>
      </c>
    </row>
    <row r="164" spans="1:14" x14ac:dyDescent="0.3">
      <c r="A164" t="s">
        <v>1020</v>
      </c>
      <c r="B164" s="2">
        <v>45732</v>
      </c>
      <c r="C164" t="s">
        <v>551</v>
      </c>
      <c r="D164" t="s">
        <v>792</v>
      </c>
      <c r="E164" t="s">
        <v>846</v>
      </c>
      <c r="F164">
        <v>3</v>
      </c>
      <c r="G164">
        <v>0.15</v>
      </c>
      <c r="H164" t="s">
        <v>858</v>
      </c>
      <c r="I164" t="str">
        <f>VLOOKUP(C164,Customers!A:C,2,FALSE)&amp;" "&amp;VLOOKUP(C164,Customers!A:C,3,FALSE)</f>
        <v>Nancy Gordon</v>
      </c>
      <c r="J164" t="str">
        <f>VLOOKUP(D164,Products!A:C,2,FALSE)</f>
        <v>Beat Accessories</v>
      </c>
      <c r="K164" t="str">
        <f>VLOOKUP(D164,Products!A:C,3,FALSE)</f>
        <v>Fashion</v>
      </c>
      <c r="L164" t="str">
        <f>VLOOKUP(E164,Stores!A:B,2,FALSE)</f>
        <v>MegaMart Johnmouth</v>
      </c>
      <c r="M164">
        <f>VLOOKUP(D164,Products!A:E,5,FALSE)</f>
        <v>1798.97</v>
      </c>
      <c r="N164" s="5">
        <f t="shared" si="2"/>
        <v>4587.3734999999997</v>
      </c>
    </row>
    <row r="165" spans="1:14" x14ac:dyDescent="0.3">
      <c r="A165" t="s">
        <v>1021</v>
      </c>
      <c r="B165" s="2">
        <v>45501</v>
      </c>
      <c r="C165" t="s">
        <v>105</v>
      </c>
      <c r="D165" t="s">
        <v>718</v>
      </c>
      <c r="E165" t="s">
        <v>831</v>
      </c>
      <c r="F165">
        <v>5</v>
      </c>
      <c r="G165">
        <v>0.05</v>
      </c>
      <c r="H165" t="s">
        <v>858</v>
      </c>
      <c r="I165" t="str">
        <f>VLOOKUP(C165,Customers!A:C,2,FALSE)&amp;" "&amp;VLOOKUP(C165,Customers!A:C,3,FALSE)</f>
        <v>Justin Macdonald</v>
      </c>
      <c r="J165" t="str">
        <f>VLOOKUP(D165,Products!A:C,2,FALSE)</f>
        <v>Here Footwear</v>
      </c>
      <c r="K165" t="str">
        <f>VLOOKUP(D165,Products!A:C,3,FALSE)</f>
        <v>Fashion</v>
      </c>
      <c r="L165" t="str">
        <f>VLOOKUP(E165,Stores!A:B,2,FALSE)</f>
        <v>MegaMart Jimenezborough</v>
      </c>
      <c r="M165">
        <f>VLOOKUP(D165,Products!A:E,5,FALSE)</f>
        <v>337.63</v>
      </c>
      <c r="N165" s="5">
        <f t="shared" si="2"/>
        <v>1603.7425000000001</v>
      </c>
    </row>
    <row r="166" spans="1:14" x14ac:dyDescent="0.3">
      <c r="A166" t="s">
        <v>1022</v>
      </c>
      <c r="B166" s="2">
        <v>45888</v>
      </c>
      <c r="C166" t="s">
        <v>432</v>
      </c>
      <c r="D166" t="s">
        <v>725</v>
      </c>
      <c r="E166" t="s">
        <v>835</v>
      </c>
      <c r="F166">
        <v>4</v>
      </c>
      <c r="G166">
        <v>0.1</v>
      </c>
      <c r="H166" t="s">
        <v>858</v>
      </c>
      <c r="I166" t="str">
        <f>VLOOKUP(C166,Customers!A:C,2,FALSE)&amp;" "&amp;VLOOKUP(C166,Customers!A:C,3,FALSE)</f>
        <v>Jamie Webb</v>
      </c>
      <c r="J166" t="str">
        <f>VLOOKUP(D166,Products!A:C,2,FALSE)</f>
        <v>Knowledge Bags</v>
      </c>
      <c r="K166" t="str">
        <f>VLOOKUP(D166,Products!A:C,3,FALSE)</f>
        <v>Fashion</v>
      </c>
      <c r="L166" t="str">
        <f>VLOOKUP(E166,Stores!A:B,2,FALSE)</f>
        <v>MegaMart Peckmouth</v>
      </c>
      <c r="M166">
        <f>VLOOKUP(D166,Products!A:E,5,FALSE)</f>
        <v>1396.22</v>
      </c>
      <c r="N166" s="5">
        <f t="shared" si="2"/>
        <v>5026.3919999999998</v>
      </c>
    </row>
    <row r="167" spans="1:14" x14ac:dyDescent="0.3">
      <c r="A167" t="s">
        <v>1023</v>
      </c>
      <c r="B167" s="2">
        <v>45685</v>
      </c>
      <c r="C167" t="s">
        <v>386</v>
      </c>
      <c r="D167" t="s">
        <v>786</v>
      </c>
      <c r="E167" t="s">
        <v>842</v>
      </c>
      <c r="F167">
        <v>1</v>
      </c>
      <c r="G167">
        <v>0.1</v>
      </c>
      <c r="H167" t="s">
        <v>858</v>
      </c>
      <c r="I167" t="str">
        <f>VLOOKUP(C167,Customers!A:C,2,FALSE)&amp;" "&amp;VLOOKUP(C167,Customers!A:C,3,FALSE)</f>
        <v>David Burns</v>
      </c>
      <c r="J167" t="str">
        <f>VLOOKUP(D167,Products!A:C,2,FALSE)</f>
        <v>National Watches</v>
      </c>
      <c r="K167" t="str">
        <f>VLOOKUP(D167,Products!A:C,3,FALSE)</f>
        <v>Fashion</v>
      </c>
      <c r="L167" t="str">
        <f>VLOOKUP(E167,Stores!A:B,2,FALSE)</f>
        <v>MegaMart Brianahaven</v>
      </c>
      <c r="M167">
        <f>VLOOKUP(D167,Products!A:E,5,FALSE)</f>
        <v>29.24</v>
      </c>
      <c r="N167" s="5">
        <f t="shared" si="2"/>
        <v>26.315999999999999</v>
      </c>
    </row>
    <row r="168" spans="1:14" x14ac:dyDescent="0.3">
      <c r="A168" t="s">
        <v>1024</v>
      </c>
      <c r="B168" s="2">
        <v>45221</v>
      </c>
      <c r="C168" t="s">
        <v>306</v>
      </c>
      <c r="D168" t="s">
        <v>802</v>
      </c>
      <c r="E168" t="s">
        <v>839</v>
      </c>
      <c r="F168">
        <v>3</v>
      </c>
      <c r="G168">
        <v>0.05</v>
      </c>
      <c r="H168" t="s">
        <v>858</v>
      </c>
      <c r="I168" t="str">
        <f>VLOOKUP(C168,Customers!A:C,2,FALSE)&amp;" "&amp;VLOOKUP(C168,Customers!A:C,3,FALSE)</f>
        <v>Sarah Reynolds</v>
      </c>
      <c r="J168" t="str">
        <f>VLOOKUP(D168,Products!A:C,2,FALSE)</f>
        <v>Stage Footwear</v>
      </c>
      <c r="K168" t="str">
        <f>VLOOKUP(D168,Products!A:C,3,FALSE)</f>
        <v>Fashion</v>
      </c>
      <c r="L168" t="str">
        <f>VLOOKUP(E168,Stores!A:B,2,FALSE)</f>
        <v>MegaMart New Michele</v>
      </c>
      <c r="M168">
        <f>VLOOKUP(D168,Products!A:E,5,FALSE)</f>
        <v>366.93</v>
      </c>
      <c r="N168" s="5">
        <f t="shared" si="2"/>
        <v>1045.7504999999999</v>
      </c>
    </row>
    <row r="169" spans="1:14" x14ac:dyDescent="0.3">
      <c r="A169" t="s">
        <v>1025</v>
      </c>
      <c r="B169" s="2">
        <v>45362</v>
      </c>
      <c r="C169" t="s">
        <v>74</v>
      </c>
      <c r="D169" t="s">
        <v>769</v>
      </c>
      <c r="E169" t="s">
        <v>831</v>
      </c>
      <c r="F169">
        <v>1</v>
      </c>
      <c r="G169">
        <v>0</v>
      </c>
      <c r="H169" t="s">
        <v>858</v>
      </c>
      <c r="I169" t="str">
        <f>VLOOKUP(C169,Customers!A:C,2,FALSE)&amp;" "&amp;VLOOKUP(C169,Customers!A:C,3,FALSE)</f>
        <v>Breanna Davis</v>
      </c>
      <c r="J169" t="str">
        <f>VLOOKUP(D169,Products!A:C,2,FALSE)</f>
        <v>How Vegetables</v>
      </c>
      <c r="K169" t="str">
        <f>VLOOKUP(D169,Products!A:C,3,FALSE)</f>
        <v>Groceries</v>
      </c>
      <c r="L169" t="str">
        <f>VLOOKUP(E169,Stores!A:B,2,FALSE)</f>
        <v>MegaMart Jimenezborough</v>
      </c>
      <c r="M169">
        <f>VLOOKUP(D169,Products!A:E,5,FALSE)</f>
        <v>25.57</v>
      </c>
      <c r="N169" s="5">
        <f t="shared" si="2"/>
        <v>25.57</v>
      </c>
    </row>
    <row r="170" spans="1:14" x14ac:dyDescent="0.3">
      <c r="A170" t="s">
        <v>1026</v>
      </c>
      <c r="B170" s="2">
        <v>45505</v>
      </c>
      <c r="C170" t="s">
        <v>101</v>
      </c>
      <c r="D170" t="s">
        <v>759</v>
      </c>
      <c r="E170" t="s">
        <v>839</v>
      </c>
      <c r="F170">
        <v>2</v>
      </c>
      <c r="G170">
        <v>0</v>
      </c>
      <c r="H170" t="s">
        <v>855</v>
      </c>
      <c r="I170" t="str">
        <f>VLOOKUP(C170,Customers!A:C,2,FALSE)&amp;" "&amp;VLOOKUP(C170,Customers!A:C,3,FALSE)</f>
        <v>Cheryl Gilbert</v>
      </c>
      <c r="J170" t="str">
        <f>VLOOKUP(D170,Products!A:C,2,FALSE)</f>
        <v>Democratic Smartphone</v>
      </c>
      <c r="K170" t="str">
        <f>VLOOKUP(D170,Products!A:C,3,FALSE)</f>
        <v>Electronics</v>
      </c>
      <c r="L170" t="str">
        <f>VLOOKUP(E170,Stores!A:B,2,FALSE)</f>
        <v>MegaMart New Michele</v>
      </c>
      <c r="M170">
        <f>VLOOKUP(D170,Products!A:E,5,FALSE)</f>
        <v>1079.8900000000001</v>
      </c>
      <c r="N170" s="5">
        <f t="shared" si="2"/>
        <v>2159.7800000000002</v>
      </c>
    </row>
    <row r="171" spans="1:14" x14ac:dyDescent="0.3">
      <c r="A171" t="s">
        <v>1027</v>
      </c>
      <c r="B171" s="2">
        <v>45347</v>
      </c>
      <c r="C171" t="s">
        <v>612</v>
      </c>
      <c r="D171" t="s">
        <v>814</v>
      </c>
      <c r="E171" t="s">
        <v>831</v>
      </c>
      <c r="F171">
        <v>4</v>
      </c>
      <c r="G171">
        <v>0.1</v>
      </c>
      <c r="H171" t="s">
        <v>858</v>
      </c>
      <c r="I171" t="str">
        <f>VLOOKUP(C171,Customers!A:C,2,FALSE)&amp;" "&amp;VLOOKUP(C171,Customers!A:C,3,FALSE)</f>
        <v>Michelle Smith</v>
      </c>
      <c r="J171" t="str">
        <f>VLOOKUP(D171,Products!A:C,2,FALSE)</f>
        <v>Least Accessories</v>
      </c>
      <c r="K171" t="str">
        <f>VLOOKUP(D171,Products!A:C,3,FALSE)</f>
        <v>Fashion</v>
      </c>
      <c r="L171" t="str">
        <f>VLOOKUP(E171,Stores!A:B,2,FALSE)</f>
        <v>MegaMart Jimenezborough</v>
      </c>
      <c r="M171">
        <f>VLOOKUP(D171,Products!A:E,5,FALSE)</f>
        <v>1286.55</v>
      </c>
      <c r="N171" s="5">
        <f t="shared" si="2"/>
        <v>4631.58</v>
      </c>
    </row>
    <row r="172" spans="1:14" x14ac:dyDescent="0.3">
      <c r="A172" t="s">
        <v>1028</v>
      </c>
      <c r="B172" s="2">
        <v>45283</v>
      </c>
      <c r="C172" t="s">
        <v>653</v>
      </c>
      <c r="D172" t="s">
        <v>796</v>
      </c>
      <c r="E172" t="s">
        <v>831</v>
      </c>
      <c r="F172">
        <v>3</v>
      </c>
      <c r="G172">
        <v>0.1</v>
      </c>
      <c r="H172" t="s">
        <v>855</v>
      </c>
      <c r="I172" t="str">
        <f>VLOOKUP(C172,Customers!A:C,2,FALSE)&amp;" "&amp;VLOOKUP(C172,Customers!A:C,3,FALSE)</f>
        <v>Joe Vincent</v>
      </c>
      <c r="J172" t="str">
        <f>VLOOKUP(D172,Products!A:C,2,FALSE)</f>
        <v>Chair Laptop</v>
      </c>
      <c r="K172" t="str">
        <f>VLOOKUP(D172,Products!A:C,3,FALSE)</f>
        <v>Electronics</v>
      </c>
      <c r="L172" t="str">
        <f>VLOOKUP(E172,Stores!A:B,2,FALSE)</f>
        <v>MegaMart Jimenezborough</v>
      </c>
      <c r="M172">
        <f>VLOOKUP(D172,Products!A:E,5,FALSE)</f>
        <v>1562.43</v>
      </c>
      <c r="N172" s="5">
        <f t="shared" si="2"/>
        <v>4218.5609999999997</v>
      </c>
    </row>
    <row r="173" spans="1:14" x14ac:dyDescent="0.3">
      <c r="A173" t="s">
        <v>1029</v>
      </c>
      <c r="B173" s="2">
        <v>45675</v>
      </c>
      <c r="C173" t="s">
        <v>109</v>
      </c>
      <c r="D173" t="s">
        <v>816</v>
      </c>
      <c r="E173" t="s">
        <v>846</v>
      </c>
      <c r="F173">
        <v>5</v>
      </c>
      <c r="G173">
        <v>0.05</v>
      </c>
      <c r="H173" t="s">
        <v>861</v>
      </c>
      <c r="I173" t="str">
        <f>VLOOKUP(C173,Customers!A:C,2,FALSE)&amp;" "&amp;VLOOKUP(C173,Customers!A:C,3,FALSE)</f>
        <v>Jacqueline Martin</v>
      </c>
      <c r="J173" t="str">
        <f>VLOOKUP(D173,Products!A:C,2,FALSE)</f>
        <v>Set Dairy</v>
      </c>
      <c r="K173" t="str">
        <f>VLOOKUP(D173,Products!A:C,3,FALSE)</f>
        <v>Groceries</v>
      </c>
      <c r="L173" t="str">
        <f>VLOOKUP(E173,Stores!A:B,2,FALSE)</f>
        <v>MegaMart Johnmouth</v>
      </c>
      <c r="M173">
        <f>VLOOKUP(D173,Products!A:E,5,FALSE)</f>
        <v>1879.08</v>
      </c>
      <c r="N173" s="5">
        <f t="shared" si="2"/>
        <v>8925.6299999999992</v>
      </c>
    </row>
    <row r="174" spans="1:14" x14ac:dyDescent="0.3">
      <c r="A174" t="s">
        <v>1030</v>
      </c>
      <c r="B174" s="2">
        <v>45537</v>
      </c>
      <c r="C174" t="s">
        <v>601</v>
      </c>
      <c r="D174" t="s">
        <v>780</v>
      </c>
      <c r="E174" t="s">
        <v>842</v>
      </c>
      <c r="F174">
        <v>2</v>
      </c>
      <c r="G174">
        <v>0</v>
      </c>
      <c r="H174" t="s">
        <v>855</v>
      </c>
      <c r="I174" t="str">
        <f>VLOOKUP(C174,Customers!A:C,2,FALSE)&amp;" "&amp;VLOOKUP(C174,Customers!A:C,3,FALSE)</f>
        <v>Travis Watson</v>
      </c>
      <c r="J174" t="str">
        <f>VLOOKUP(D174,Products!A:C,2,FALSE)</f>
        <v>Hospital Smartphone</v>
      </c>
      <c r="K174" t="str">
        <f>VLOOKUP(D174,Products!A:C,3,FALSE)</f>
        <v>Electronics</v>
      </c>
      <c r="L174" t="str">
        <f>VLOOKUP(E174,Stores!A:B,2,FALSE)</f>
        <v>MegaMart Brianahaven</v>
      </c>
      <c r="M174">
        <f>VLOOKUP(D174,Products!A:E,5,FALSE)</f>
        <v>1272.23</v>
      </c>
      <c r="N174" s="5">
        <f t="shared" si="2"/>
        <v>2544.46</v>
      </c>
    </row>
    <row r="175" spans="1:14" x14ac:dyDescent="0.3">
      <c r="A175" t="s">
        <v>1031</v>
      </c>
      <c r="B175" s="2">
        <v>45799</v>
      </c>
      <c r="C175" t="s">
        <v>520</v>
      </c>
      <c r="D175" t="s">
        <v>739</v>
      </c>
      <c r="E175" t="s">
        <v>839</v>
      </c>
      <c r="F175">
        <v>1</v>
      </c>
      <c r="G175">
        <v>0.1</v>
      </c>
      <c r="H175" t="s">
        <v>861</v>
      </c>
      <c r="I175" t="str">
        <f>VLOOKUP(C175,Customers!A:C,2,FALSE)&amp;" "&amp;VLOOKUP(C175,Customers!A:C,3,FALSE)</f>
        <v>Cynthia Carlson</v>
      </c>
      <c r="J175" t="str">
        <f>VLOOKUP(D175,Products!A:C,2,FALSE)</f>
        <v>Step Smartphone</v>
      </c>
      <c r="K175" t="str">
        <f>VLOOKUP(D175,Products!A:C,3,FALSE)</f>
        <v>Electronics</v>
      </c>
      <c r="L175" t="str">
        <f>VLOOKUP(E175,Stores!A:B,2,FALSE)</f>
        <v>MegaMart New Michele</v>
      </c>
      <c r="M175">
        <f>VLOOKUP(D175,Products!A:E,5,FALSE)</f>
        <v>1194.1199999999999</v>
      </c>
      <c r="N175" s="5">
        <f t="shared" si="2"/>
        <v>1074.7079999999999</v>
      </c>
    </row>
    <row r="176" spans="1:14" x14ac:dyDescent="0.3">
      <c r="A176" t="s">
        <v>1032</v>
      </c>
      <c r="B176" s="2">
        <v>45623</v>
      </c>
      <c r="C176" t="s">
        <v>411</v>
      </c>
      <c r="D176" t="s">
        <v>728</v>
      </c>
      <c r="E176" t="s">
        <v>846</v>
      </c>
      <c r="F176">
        <v>5</v>
      </c>
      <c r="G176">
        <v>0</v>
      </c>
      <c r="H176" t="s">
        <v>855</v>
      </c>
      <c r="I176" t="str">
        <f>VLOOKUP(C176,Customers!A:C,2,FALSE)&amp;" "&amp;VLOOKUP(C176,Customers!A:C,3,FALSE)</f>
        <v>Travis Peters</v>
      </c>
      <c r="J176" t="str">
        <f>VLOOKUP(D176,Products!A:C,2,FALSE)</f>
        <v>Company Fruits</v>
      </c>
      <c r="K176" t="str">
        <f>VLOOKUP(D176,Products!A:C,3,FALSE)</f>
        <v>Groceries</v>
      </c>
      <c r="L176" t="str">
        <f>VLOOKUP(E176,Stores!A:B,2,FALSE)</f>
        <v>MegaMart Johnmouth</v>
      </c>
      <c r="M176">
        <f>VLOOKUP(D176,Products!A:E,5,FALSE)</f>
        <v>318.05</v>
      </c>
      <c r="N176" s="5">
        <f t="shared" si="2"/>
        <v>1590.25</v>
      </c>
    </row>
    <row r="177" spans="1:14" x14ac:dyDescent="0.3">
      <c r="A177" t="s">
        <v>1033</v>
      </c>
      <c r="B177" s="2">
        <v>45882</v>
      </c>
      <c r="C177" t="s">
        <v>36</v>
      </c>
      <c r="D177" t="s">
        <v>745</v>
      </c>
      <c r="E177" t="s">
        <v>835</v>
      </c>
      <c r="F177">
        <v>3</v>
      </c>
      <c r="G177">
        <v>0.1</v>
      </c>
      <c r="H177" t="s">
        <v>855</v>
      </c>
      <c r="I177" t="str">
        <f>VLOOKUP(C177,Customers!A:C,2,FALSE)&amp;" "&amp;VLOOKUP(C177,Customers!A:C,3,FALSE)</f>
        <v>Isaiah Williams</v>
      </c>
      <c r="J177" t="str">
        <f>VLOOKUP(D177,Products!A:C,2,FALSE)</f>
        <v>Above Camera</v>
      </c>
      <c r="K177" t="str">
        <f>VLOOKUP(D177,Products!A:C,3,FALSE)</f>
        <v>Electronics</v>
      </c>
      <c r="L177" t="str">
        <f>VLOOKUP(E177,Stores!A:B,2,FALSE)</f>
        <v>MegaMart Peckmouth</v>
      </c>
      <c r="M177">
        <f>VLOOKUP(D177,Products!A:E,5,FALSE)</f>
        <v>1193.0899999999999</v>
      </c>
      <c r="N177" s="5">
        <f t="shared" si="2"/>
        <v>3221.3429999999998</v>
      </c>
    </row>
    <row r="178" spans="1:14" x14ac:dyDescent="0.3">
      <c r="A178" t="s">
        <v>1034</v>
      </c>
      <c r="B178" s="2">
        <v>45886</v>
      </c>
      <c r="C178" t="s">
        <v>339</v>
      </c>
      <c r="D178" t="s">
        <v>772</v>
      </c>
      <c r="E178" t="s">
        <v>831</v>
      </c>
      <c r="F178">
        <v>2</v>
      </c>
      <c r="G178">
        <v>0.05</v>
      </c>
      <c r="H178" t="s">
        <v>858</v>
      </c>
      <c r="I178" t="str">
        <f>VLOOKUP(C178,Customers!A:C,2,FALSE)&amp;" "&amp;VLOOKUP(C178,Customers!A:C,3,FALSE)</f>
        <v>Carrie Peterson</v>
      </c>
      <c r="J178" t="str">
        <f>VLOOKUP(D178,Products!A:C,2,FALSE)</f>
        <v>And Footwear</v>
      </c>
      <c r="K178" t="str">
        <f>VLOOKUP(D178,Products!A:C,3,FALSE)</f>
        <v>Fashion</v>
      </c>
      <c r="L178" t="str">
        <f>VLOOKUP(E178,Stores!A:B,2,FALSE)</f>
        <v>MegaMart Jimenezborough</v>
      </c>
      <c r="M178">
        <f>VLOOKUP(D178,Products!A:E,5,FALSE)</f>
        <v>1878.47</v>
      </c>
      <c r="N178" s="5">
        <f t="shared" si="2"/>
        <v>3569.0929999999998</v>
      </c>
    </row>
    <row r="179" spans="1:14" x14ac:dyDescent="0.3">
      <c r="A179" t="s">
        <v>1035</v>
      </c>
      <c r="B179" s="2">
        <v>45390</v>
      </c>
      <c r="C179" t="s">
        <v>74</v>
      </c>
      <c r="D179" t="s">
        <v>755</v>
      </c>
      <c r="E179" t="s">
        <v>835</v>
      </c>
      <c r="F179">
        <v>1</v>
      </c>
      <c r="G179">
        <v>0</v>
      </c>
      <c r="H179" t="s">
        <v>861</v>
      </c>
      <c r="I179" t="str">
        <f>VLOOKUP(C179,Customers!A:C,2,FALSE)&amp;" "&amp;VLOOKUP(C179,Customers!A:C,3,FALSE)</f>
        <v>Breanna Davis</v>
      </c>
      <c r="J179" t="str">
        <f>VLOOKUP(D179,Products!A:C,2,FALSE)</f>
        <v>House Accessories</v>
      </c>
      <c r="K179" t="str">
        <f>VLOOKUP(D179,Products!A:C,3,FALSE)</f>
        <v>Fashion</v>
      </c>
      <c r="L179" t="str">
        <f>VLOOKUP(E179,Stores!A:B,2,FALSE)</f>
        <v>MegaMart Peckmouth</v>
      </c>
      <c r="M179">
        <f>VLOOKUP(D179,Products!A:E,5,FALSE)</f>
        <v>1858.75</v>
      </c>
      <c r="N179" s="5">
        <f t="shared" si="2"/>
        <v>1858.75</v>
      </c>
    </row>
    <row r="180" spans="1:14" x14ac:dyDescent="0.3">
      <c r="A180" t="s">
        <v>1036</v>
      </c>
      <c r="B180" s="2">
        <v>45387</v>
      </c>
      <c r="C180" t="s">
        <v>364</v>
      </c>
      <c r="D180" t="s">
        <v>764</v>
      </c>
      <c r="E180" t="s">
        <v>842</v>
      </c>
      <c r="F180">
        <v>4</v>
      </c>
      <c r="G180">
        <v>0.1</v>
      </c>
      <c r="H180" t="s">
        <v>861</v>
      </c>
      <c r="I180" t="str">
        <f>VLOOKUP(C180,Customers!A:C,2,FALSE)&amp;" "&amp;VLOOKUP(C180,Customers!A:C,3,FALSE)</f>
        <v>Evelyn Gray</v>
      </c>
      <c r="J180" t="str">
        <f>VLOOKUP(D180,Products!A:C,2,FALSE)</f>
        <v>Simple Accessories</v>
      </c>
      <c r="K180" t="str">
        <f>VLOOKUP(D180,Products!A:C,3,FALSE)</f>
        <v>Fashion</v>
      </c>
      <c r="L180" t="str">
        <f>VLOOKUP(E180,Stores!A:B,2,FALSE)</f>
        <v>MegaMart Brianahaven</v>
      </c>
      <c r="M180">
        <f>VLOOKUP(D180,Products!A:E,5,FALSE)</f>
        <v>323.92</v>
      </c>
      <c r="N180" s="5">
        <f t="shared" si="2"/>
        <v>1166.1120000000001</v>
      </c>
    </row>
    <row r="181" spans="1:14" x14ac:dyDescent="0.3">
      <c r="A181" t="s">
        <v>1037</v>
      </c>
      <c r="B181" s="2">
        <v>45447</v>
      </c>
      <c r="C181" t="s">
        <v>358</v>
      </c>
      <c r="D181" t="s">
        <v>736</v>
      </c>
      <c r="E181" t="s">
        <v>839</v>
      </c>
      <c r="F181">
        <v>3</v>
      </c>
      <c r="G181">
        <v>0</v>
      </c>
      <c r="H181" t="s">
        <v>865</v>
      </c>
      <c r="I181" t="str">
        <f>VLOOKUP(C181,Customers!A:C,2,FALSE)&amp;" "&amp;VLOOKUP(C181,Customers!A:C,3,FALSE)</f>
        <v>Kevin Snyder</v>
      </c>
      <c r="J181" t="str">
        <f>VLOOKUP(D181,Products!A:C,2,FALSE)</f>
        <v>Us Snacks</v>
      </c>
      <c r="K181" t="str">
        <f>VLOOKUP(D181,Products!A:C,3,FALSE)</f>
        <v>Groceries</v>
      </c>
      <c r="L181" t="str">
        <f>VLOOKUP(E181,Stores!A:B,2,FALSE)</f>
        <v>MegaMart New Michele</v>
      </c>
      <c r="M181">
        <f>VLOOKUP(D181,Products!A:E,5,FALSE)</f>
        <v>123.19</v>
      </c>
      <c r="N181" s="5">
        <f t="shared" si="2"/>
        <v>369.57</v>
      </c>
    </row>
    <row r="182" spans="1:14" x14ac:dyDescent="0.3">
      <c r="A182" t="s">
        <v>1038</v>
      </c>
      <c r="B182" s="2">
        <v>45471</v>
      </c>
      <c r="C182" t="s">
        <v>155</v>
      </c>
      <c r="D182" t="s">
        <v>786</v>
      </c>
      <c r="E182" t="s">
        <v>835</v>
      </c>
      <c r="F182">
        <v>5</v>
      </c>
      <c r="G182">
        <v>0</v>
      </c>
      <c r="H182" t="s">
        <v>865</v>
      </c>
      <c r="I182" t="str">
        <f>VLOOKUP(C182,Customers!A:C,2,FALSE)&amp;" "&amp;VLOOKUP(C182,Customers!A:C,3,FALSE)</f>
        <v>Scott Powell</v>
      </c>
      <c r="J182" t="str">
        <f>VLOOKUP(D182,Products!A:C,2,FALSE)</f>
        <v>National Watches</v>
      </c>
      <c r="K182" t="str">
        <f>VLOOKUP(D182,Products!A:C,3,FALSE)</f>
        <v>Fashion</v>
      </c>
      <c r="L182" t="str">
        <f>VLOOKUP(E182,Stores!A:B,2,FALSE)</f>
        <v>MegaMart Peckmouth</v>
      </c>
      <c r="M182">
        <f>VLOOKUP(D182,Products!A:E,5,FALSE)</f>
        <v>29.24</v>
      </c>
      <c r="N182" s="5">
        <f t="shared" si="2"/>
        <v>146.19999999999999</v>
      </c>
    </row>
    <row r="183" spans="1:14" x14ac:dyDescent="0.3">
      <c r="A183" t="s">
        <v>1039</v>
      </c>
      <c r="B183" s="2">
        <v>45291</v>
      </c>
      <c r="C183" t="s">
        <v>266</v>
      </c>
      <c r="D183" t="s">
        <v>784</v>
      </c>
      <c r="E183" t="s">
        <v>842</v>
      </c>
      <c r="F183">
        <v>4</v>
      </c>
      <c r="G183">
        <v>0.15</v>
      </c>
      <c r="H183" t="s">
        <v>858</v>
      </c>
      <c r="I183" t="str">
        <f>VLOOKUP(C183,Customers!A:C,2,FALSE)&amp;" "&amp;VLOOKUP(C183,Customers!A:C,3,FALSE)</f>
        <v>Eric Bryan</v>
      </c>
      <c r="J183" t="str">
        <f>VLOOKUP(D183,Products!A:C,2,FALSE)</f>
        <v>Road Clothing</v>
      </c>
      <c r="K183" t="str">
        <f>VLOOKUP(D183,Products!A:C,3,FALSE)</f>
        <v>Fashion</v>
      </c>
      <c r="L183" t="str">
        <f>VLOOKUP(E183,Stores!A:B,2,FALSE)</f>
        <v>MegaMart Brianahaven</v>
      </c>
      <c r="M183">
        <f>VLOOKUP(D183,Products!A:E,5,FALSE)</f>
        <v>1485.05</v>
      </c>
      <c r="N183" s="5">
        <f t="shared" si="2"/>
        <v>5049.17</v>
      </c>
    </row>
    <row r="184" spans="1:14" x14ac:dyDescent="0.3">
      <c r="A184" t="s">
        <v>1040</v>
      </c>
      <c r="B184" s="2">
        <v>45798</v>
      </c>
      <c r="C184" t="s">
        <v>399</v>
      </c>
      <c r="D184" t="s">
        <v>745</v>
      </c>
      <c r="E184" t="s">
        <v>839</v>
      </c>
      <c r="F184">
        <v>2</v>
      </c>
      <c r="G184">
        <v>0</v>
      </c>
      <c r="H184" t="s">
        <v>855</v>
      </c>
      <c r="I184" t="str">
        <f>VLOOKUP(C184,Customers!A:C,2,FALSE)&amp;" "&amp;VLOOKUP(C184,Customers!A:C,3,FALSE)</f>
        <v>Victoria Hansen</v>
      </c>
      <c r="J184" t="str">
        <f>VLOOKUP(D184,Products!A:C,2,FALSE)</f>
        <v>Above Camera</v>
      </c>
      <c r="K184" t="str">
        <f>VLOOKUP(D184,Products!A:C,3,FALSE)</f>
        <v>Electronics</v>
      </c>
      <c r="L184" t="str">
        <f>VLOOKUP(E184,Stores!A:B,2,FALSE)</f>
        <v>MegaMart New Michele</v>
      </c>
      <c r="M184">
        <f>VLOOKUP(D184,Products!A:E,5,FALSE)</f>
        <v>1193.0899999999999</v>
      </c>
      <c r="N184" s="5">
        <f t="shared" si="2"/>
        <v>2386.1799999999998</v>
      </c>
    </row>
    <row r="185" spans="1:14" x14ac:dyDescent="0.3">
      <c r="A185" t="s">
        <v>1041</v>
      </c>
      <c r="B185" s="2">
        <v>45527</v>
      </c>
      <c r="C185" t="s">
        <v>415</v>
      </c>
      <c r="D185" t="s">
        <v>715</v>
      </c>
      <c r="E185" t="s">
        <v>831</v>
      </c>
      <c r="F185">
        <v>3</v>
      </c>
      <c r="G185">
        <v>0.15</v>
      </c>
      <c r="H185" t="s">
        <v>855</v>
      </c>
      <c r="I185" t="str">
        <f>VLOOKUP(C185,Customers!A:C,2,FALSE)&amp;" "&amp;VLOOKUP(C185,Customers!A:C,3,FALSE)</f>
        <v>Dylan Booker</v>
      </c>
      <c r="J185" t="str">
        <f>VLOOKUP(D185,Products!A:C,2,FALSE)</f>
        <v>Audience Television</v>
      </c>
      <c r="K185" t="str">
        <f>VLOOKUP(D185,Products!A:C,3,FALSE)</f>
        <v>Electronics</v>
      </c>
      <c r="L185" t="str">
        <f>VLOOKUP(E185,Stores!A:B,2,FALSE)</f>
        <v>MegaMart Jimenezborough</v>
      </c>
      <c r="M185">
        <f>VLOOKUP(D185,Products!A:E,5,FALSE)</f>
        <v>818.76</v>
      </c>
      <c r="N185" s="5">
        <f t="shared" si="2"/>
        <v>2087.8379999999997</v>
      </c>
    </row>
    <row r="186" spans="1:14" x14ac:dyDescent="0.3">
      <c r="A186" t="s">
        <v>1042</v>
      </c>
      <c r="B186" s="2">
        <v>45840</v>
      </c>
      <c r="C186" t="s">
        <v>51</v>
      </c>
      <c r="D186" t="s">
        <v>786</v>
      </c>
      <c r="E186" t="s">
        <v>835</v>
      </c>
      <c r="F186">
        <v>4</v>
      </c>
      <c r="G186">
        <v>0</v>
      </c>
      <c r="H186" t="s">
        <v>865</v>
      </c>
      <c r="I186" t="str">
        <f>VLOOKUP(C186,Customers!A:C,2,FALSE)&amp;" "&amp;VLOOKUP(C186,Customers!A:C,3,FALSE)</f>
        <v>Dale Perry</v>
      </c>
      <c r="J186" t="str">
        <f>VLOOKUP(D186,Products!A:C,2,FALSE)</f>
        <v>National Watches</v>
      </c>
      <c r="K186" t="str">
        <f>VLOOKUP(D186,Products!A:C,3,FALSE)</f>
        <v>Fashion</v>
      </c>
      <c r="L186" t="str">
        <f>VLOOKUP(E186,Stores!A:B,2,FALSE)</f>
        <v>MegaMart Peckmouth</v>
      </c>
      <c r="M186">
        <f>VLOOKUP(D186,Products!A:E,5,FALSE)</f>
        <v>29.24</v>
      </c>
      <c r="N186" s="5">
        <f t="shared" si="2"/>
        <v>116.96</v>
      </c>
    </row>
    <row r="187" spans="1:14" x14ac:dyDescent="0.3">
      <c r="A187" t="s">
        <v>1043</v>
      </c>
      <c r="B187" s="2">
        <v>45464</v>
      </c>
      <c r="C187" t="s">
        <v>206</v>
      </c>
      <c r="D187" t="s">
        <v>784</v>
      </c>
      <c r="E187" t="s">
        <v>839</v>
      </c>
      <c r="F187">
        <v>2</v>
      </c>
      <c r="G187">
        <v>0.05</v>
      </c>
      <c r="H187" t="s">
        <v>855</v>
      </c>
      <c r="I187" t="str">
        <f>VLOOKUP(C187,Customers!A:C,2,FALSE)&amp;" "&amp;VLOOKUP(C187,Customers!A:C,3,FALSE)</f>
        <v>Felicia Morgan</v>
      </c>
      <c r="J187" t="str">
        <f>VLOOKUP(D187,Products!A:C,2,FALSE)</f>
        <v>Road Clothing</v>
      </c>
      <c r="K187" t="str">
        <f>VLOOKUP(D187,Products!A:C,3,FALSE)</f>
        <v>Fashion</v>
      </c>
      <c r="L187" t="str">
        <f>VLOOKUP(E187,Stores!A:B,2,FALSE)</f>
        <v>MegaMart New Michele</v>
      </c>
      <c r="M187">
        <f>VLOOKUP(D187,Products!A:E,5,FALSE)</f>
        <v>1485.05</v>
      </c>
      <c r="N187" s="5">
        <f t="shared" si="2"/>
        <v>2821.5949999999998</v>
      </c>
    </row>
    <row r="188" spans="1:14" x14ac:dyDescent="0.3">
      <c r="A188" t="s">
        <v>1044</v>
      </c>
      <c r="B188" s="2">
        <v>45561</v>
      </c>
      <c r="C188" t="s">
        <v>284</v>
      </c>
      <c r="D188" t="s">
        <v>747</v>
      </c>
      <c r="E188" t="s">
        <v>839</v>
      </c>
      <c r="F188">
        <v>1</v>
      </c>
      <c r="G188">
        <v>0</v>
      </c>
      <c r="H188" t="s">
        <v>858</v>
      </c>
      <c r="I188" t="str">
        <f>VLOOKUP(C188,Customers!A:C,2,FALSE)&amp;" "&amp;VLOOKUP(C188,Customers!A:C,3,FALSE)</f>
        <v>Seth Moore</v>
      </c>
      <c r="J188" t="str">
        <f>VLOOKUP(D188,Products!A:C,2,FALSE)</f>
        <v>World Watches</v>
      </c>
      <c r="K188" t="str">
        <f>VLOOKUP(D188,Products!A:C,3,FALSE)</f>
        <v>Fashion</v>
      </c>
      <c r="L188" t="str">
        <f>VLOOKUP(E188,Stores!A:B,2,FALSE)</f>
        <v>MegaMart New Michele</v>
      </c>
      <c r="M188">
        <f>VLOOKUP(D188,Products!A:E,5,FALSE)</f>
        <v>1134.8</v>
      </c>
      <c r="N188" s="5">
        <f t="shared" si="2"/>
        <v>1134.8</v>
      </c>
    </row>
    <row r="189" spans="1:14" x14ac:dyDescent="0.3">
      <c r="A189" t="s">
        <v>1045</v>
      </c>
      <c r="B189" s="2">
        <v>45404</v>
      </c>
      <c r="C189" t="s">
        <v>677</v>
      </c>
      <c r="D189" t="s">
        <v>755</v>
      </c>
      <c r="E189" t="s">
        <v>842</v>
      </c>
      <c r="F189">
        <v>2</v>
      </c>
      <c r="G189">
        <v>0.05</v>
      </c>
      <c r="H189" t="s">
        <v>858</v>
      </c>
      <c r="I189" t="str">
        <f>VLOOKUP(C189,Customers!A:C,2,FALSE)&amp;" "&amp;VLOOKUP(C189,Customers!A:C,3,FALSE)</f>
        <v>James Wilson</v>
      </c>
      <c r="J189" t="str">
        <f>VLOOKUP(D189,Products!A:C,2,FALSE)</f>
        <v>House Accessories</v>
      </c>
      <c r="K189" t="str">
        <f>VLOOKUP(D189,Products!A:C,3,FALSE)</f>
        <v>Fashion</v>
      </c>
      <c r="L189" t="str">
        <f>VLOOKUP(E189,Stores!A:B,2,FALSE)</f>
        <v>MegaMart Brianahaven</v>
      </c>
      <c r="M189">
        <f>VLOOKUP(D189,Products!A:E,5,FALSE)</f>
        <v>1858.75</v>
      </c>
      <c r="N189" s="5">
        <f t="shared" si="2"/>
        <v>3531.625</v>
      </c>
    </row>
    <row r="190" spans="1:14" x14ac:dyDescent="0.3">
      <c r="A190" t="s">
        <v>1046</v>
      </c>
      <c r="B190" s="2">
        <v>45742</v>
      </c>
      <c r="C190" t="s">
        <v>500</v>
      </c>
      <c r="D190" t="s">
        <v>814</v>
      </c>
      <c r="E190" t="s">
        <v>835</v>
      </c>
      <c r="F190">
        <v>5</v>
      </c>
      <c r="G190">
        <v>0.1</v>
      </c>
      <c r="H190" t="s">
        <v>865</v>
      </c>
      <c r="I190" t="str">
        <f>VLOOKUP(C190,Customers!A:C,2,FALSE)&amp;" "&amp;VLOOKUP(C190,Customers!A:C,3,FALSE)</f>
        <v>Gary Lopez</v>
      </c>
      <c r="J190" t="str">
        <f>VLOOKUP(D190,Products!A:C,2,FALSE)</f>
        <v>Least Accessories</v>
      </c>
      <c r="K190" t="str">
        <f>VLOOKUP(D190,Products!A:C,3,FALSE)</f>
        <v>Fashion</v>
      </c>
      <c r="L190" t="str">
        <f>VLOOKUP(E190,Stores!A:B,2,FALSE)</f>
        <v>MegaMart Peckmouth</v>
      </c>
      <c r="M190">
        <f>VLOOKUP(D190,Products!A:E,5,FALSE)</f>
        <v>1286.55</v>
      </c>
      <c r="N190" s="5">
        <f t="shared" si="2"/>
        <v>5789.4750000000004</v>
      </c>
    </row>
    <row r="191" spans="1:14" x14ac:dyDescent="0.3">
      <c r="A191" t="s">
        <v>1047</v>
      </c>
      <c r="B191" s="2">
        <v>45807</v>
      </c>
      <c r="C191" t="s">
        <v>382</v>
      </c>
      <c r="D191" t="s">
        <v>764</v>
      </c>
      <c r="E191" t="s">
        <v>831</v>
      </c>
      <c r="F191">
        <v>4</v>
      </c>
      <c r="G191">
        <v>0</v>
      </c>
      <c r="H191" t="s">
        <v>858</v>
      </c>
      <c r="I191" t="str">
        <f>VLOOKUP(C191,Customers!A:C,2,FALSE)&amp;" "&amp;VLOOKUP(C191,Customers!A:C,3,FALSE)</f>
        <v>Carolyn Perez</v>
      </c>
      <c r="J191" t="str">
        <f>VLOOKUP(D191,Products!A:C,2,FALSE)</f>
        <v>Simple Accessories</v>
      </c>
      <c r="K191" t="str">
        <f>VLOOKUP(D191,Products!A:C,3,FALSE)</f>
        <v>Fashion</v>
      </c>
      <c r="L191" t="str">
        <f>VLOOKUP(E191,Stores!A:B,2,FALSE)</f>
        <v>MegaMart Jimenezborough</v>
      </c>
      <c r="M191">
        <f>VLOOKUP(D191,Products!A:E,5,FALSE)</f>
        <v>323.92</v>
      </c>
      <c r="N191" s="5">
        <f t="shared" si="2"/>
        <v>1295.68</v>
      </c>
    </row>
    <row r="192" spans="1:14" x14ac:dyDescent="0.3">
      <c r="A192" t="s">
        <v>1048</v>
      </c>
      <c r="B192" s="2">
        <v>45193</v>
      </c>
      <c r="C192" t="s">
        <v>81</v>
      </c>
      <c r="D192" t="s">
        <v>732</v>
      </c>
      <c r="E192" t="s">
        <v>839</v>
      </c>
      <c r="F192">
        <v>5</v>
      </c>
      <c r="G192">
        <v>0.15</v>
      </c>
      <c r="H192" t="s">
        <v>858</v>
      </c>
      <c r="I192" t="str">
        <f>VLOOKUP(C192,Customers!A:C,2,FALSE)&amp;" "&amp;VLOOKUP(C192,Customers!A:C,3,FALSE)</f>
        <v>Ryan Cole</v>
      </c>
      <c r="J192" t="str">
        <f>VLOOKUP(D192,Products!A:C,2,FALSE)</f>
        <v>Understand Camera</v>
      </c>
      <c r="K192" t="str">
        <f>VLOOKUP(D192,Products!A:C,3,FALSE)</f>
        <v>Electronics</v>
      </c>
      <c r="L192" t="str">
        <f>VLOOKUP(E192,Stores!A:B,2,FALSE)</f>
        <v>MegaMart New Michele</v>
      </c>
      <c r="M192">
        <f>VLOOKUP(D192,Products!A:E,5,FALSE)</f>
        <v>1474.12</v>
      </c>
      <c r="N192" s="5">
        <f t="shared" si="2"/>
        <v>6265.0099999999993</v>
      </c>
    </row>
    <row r="193" spans="1:14" x14ac:dyDescent="0.3">
      <c r="A193" t="s">
        <v>1049</v>
      </c>
      <c r="B193" s="2">
        <v>45226</v>
      </c>
      <c r="C193" t="s">
        <v>643</v>
      </c>
      <c r="D193" t="s">
        <v>761</v>
      </c>
      <c r="E193" t="s">
        <v>842</v>
      </c>
      <c r="F193">
        <v>3</v>
      </c>
      <c r="G193">
        <v>0</v>
      </c>
      <c r="H193" t="s">
        <v>858</v>
      </c>
      <c r="I193" t="str">
        <f>VLOOKUP(C193,Customers!A:C,2,FALSE)&amp;" "&amp;VLOOKUP(C193,Customers!A:C,3,FALSE)</f>
        <v>Meghan Wright</v>
      </c>
      <c r="J193" t="str">
        <f>VLOOKUP(D193,Products!A:C,2,FALSE)</f>
        <v>Traditional Laptop</v>
      </c>
      <c r="K193" t="str">
        <f>VLOOKUP(D193,Products!A:C,3,FALSE)</f>
        <v>Electronics</v>
      </c>
      <c r="L193" t="str">
        <f>VLOOKUP(E193,Stores!A:B,2,FALSE)</f>
        <v>MegaMart Brianahaven</v>
      </c>
      <c r="M193">
        <f>VLOOKUP(D193,Products!A:E,5,FALSE)</f>
        <v>1762.92</v>
      </c>
      <c r="N193" s="5">
        <f t="shared" si="2"/>
        <v>5288.76</v>
      </c>
    </row>
    <row r="194" spans="1:14" x14ac:dyDescent="0.3">
      <c r="A194" t="s">
        <v>1050</v>
      </c>
      <c r="B194" s="2">
        <v>45670</v>
      </c>
      <c r="C194" t="s">
        <v>28</v>
      </c>
      <c r="D194" t="s">
        <v>780</v>
      </c>
      <c r="E194" t="s">
        <v>839</v>
      </c>
      <c r="F194">
        <v>2</v>
      </c>
      <c r="G194">
        <v>0.15</v>
      </c>
      <c r="H194" t="s">
        <v>855</v>
      </c>
      <c r="I194" t="str">
        <f>VLOOKUP(C194,Customers!A:C,2,FALSE)&amp;" "&amp;VLOOKUP(C194,Customers!A:C,3,FALSE)</f>
        <v>Danny Moore</v>
      </c>
      <c r="J194" t="str">
        <f>VLOOKUP(D194,Products!A:C,2,FALSE)</f>
        <v>Hospital Smartphone</v>
      </c>
      <c r="K194" t="str">
        <f>VLOOKUP(D194,Products!A:C,3,FALSE)</f>
        <v>Electronics</v>
      </c>
      <c r="L194" t="str">
        <f>VLOOKUP(E194,Stores!A:B,2,FALSE)</f>
        <v>MegaMart New Michele</v>
      </c>
      <c r="M194">
        <f>VLOOKUP(D194,Products!A:E,5,FALSE)</f>
        <v>1272.23</v>
      </c>
      <c r="N194" s="5">
        <f t="shared" si="2"/>
        <v>2162.7910000000002</v>
      </c>
    </row>
    <row r="195" spans="1:14" x14ac:dyDescent="0.3">
      <c r="A195" t="s">
        <v>1051</v>
      </c>
      <c r="B195" s="2">
        <v>45268</v>
      </c>
      <c r="C195" t="s">
        <v>93</v>
      </c>
      <c r="D195" t="s">
        <v>739</v>
      </c>
      <c r="E195" t="s">
        <v>842</v>
      </c>
      <c r="F195">
        <v>1</v>
      </c>
      <c r="G195">
        <v>0.05</v>
      </c>
      <c r="H195" t="s">
        <v>858</v>
      </c>
      <c r="I195" t="str">
        <f>VLOOKUP(C195,Customers!A:C,2,FALSE)&amp;" "&amp;VLOOKUP(C195,Customers!A:C,3,FALSE)</f>
        <v>Mark Martinez</v>
      </c>
      <c r="J195" t="str">
        <f>VLOOKUP(D195,Products!A:C,2,FALSE)</f>
        <v>Step Smartphone</v>
      </c>
      <c r="K195" t="str">
        <f>VLOOKUP(D195,Products!A:C,3,FALSE)</f>
        <v>Electronics</v>
      </c>
      <c r="L195" t="str">
        <f>VLOOKUP(E195,Stores!A:B,2,FALSE)</f>
        <v>MegaMart Brianahaven</v>
      </c>
      <c r="M195">
        <f>VLOOKUP(D195,Products!A:E,5,FALSE)</f>
        <v>1194.1199999999999</v>
      </c>
      <c r="N195" s="5">
        <f t="shared" ref="N195:N258" si="3">F195*M195*(1-G195)</f>
        <v>1134.4139999999998</v>
      </c>
    </row>
    <row r="196" spans="1:14" x14ac:dyDescent="0.3">
      <c r="A196" t="s">
        <v>1052</v>
      </c>
      <c r="B196" s="2">
        <v>45815</v>
      </c>
      <c r="C196" t="s">
        <v>545</v>
      </c>
      <c r="D196" t="s">
        <v>755</v>
      </c>
      <c r="E196" t="s">
        <v>842</v>
      </c>
      <c r="F196">
        <v>5</v>
      </c>
      <c r="G196">
        <v>0</v>
      </c>
      <c r="H196" t="s">
        <v>858</v>
      </c>
      <c r="I196" t="str">
        <f>VLOOKUP(C196,Customers!A:C,2,FALSE)&amp;" "&amp;VLOOKUP(C196,Customers!A:C,3,FALSE)</f>
        <v>Dawn Fletcher</v>
      </c>
      <c r="J196" t="str">
        <f>VLOOKUP(D196,Products!A:C,2,FALSE)</f>
        <v>House Accessories</v>
      </c>
      <c r="K196" t="str">
        <f>VLOOKUP(D196,Products!A:C,3,FALSE)</f>
        <v>Fashion</v>
      </c>
      <c r="L196" t="str">
        <f>VLOOKUP(E196,Stores!A:B,2,FALSE)</f>
        <v>MegaMart Brianahaven</v>
      </c>
      <c r="M196">
        <f>VLOOKUP(D196,Products!A:E,5,FALSE)</f>
        <v>1858.75</v>
      </c>
      <c r="N196" s="5">
        <f t="shared" si="3"/>
        <v>9293.75</v>
      </c>
    </row>
    <row r="197" spans="1:14" x14ac:dyDescent="0.3">
      <c r="A197" t="s">
        <v>1053</v>
      </c>
      <c r="B197" s="2">
        <v>45542</v>
      </c>
      <c r="C197" t="s">
        <v>302</v>
      </c>
      <c r="D197" t="s">
        <v>742</v>
      </c>
      <c r="E197" t="s">
        <v>839</v>
      </c>
      <c r="F197">
        <v>2</v>
      </c>
      <c r="G197">
        <v>0.1</v>
      </c>
      <c r="H197" t="s">
        <v>861</v>
      </c>
      <c r="I197" t="str">
        <f>VLOOKUP(C197,Customers!A:C,2,FALSE)&amp;" "&amp;VLOOKUP(C197,Customers!A:C,3,FALSE)</f>
        <v>Grace Garcia</v>
      </c>
      <c r="J197" t="str">
        <f>VLOOKUP(D197,Products!A:C,2,FALSE)</f>
        <v>Either Headphones</v>
      </c>
      <c r="K197" t="str">
        <f>VLOOKUP(D197,Products!A:C,3,FALSE)</f>
        <v>Electronics</v>
      </c>
      <c r="L197" t="str">
        <f>VLOOKUP(E197,Stores!A:B,2,FALSE)</f>
        <v>MegaMart New Michele</v>
      </c>
      <c r="M197">
        <f>VLOOKUP(D197,Products!A:E,5,FALSE)</f>
        <v>248.57</v>
      </c>
      <c r="N197" s="5">
        <f t="shared" si="3"/>
        <v>447.42599999999999</v>
      </c>
    </row>
    <row r="198" spans="1:14" x14ac:dyDescent="0.3">
      <c r="A198" t="s">
        <v>1054</v>
      </c>
      <c r="B198" s="2">
        <v>45435</v>
      </c>
      <c r="C198" t="s">
        <v>81</v>
      </c>
      <c r="D198" t="s">
        <v>776</v>
      </c>
      <c r="E198" t="s">
        <v>846</v>
      </c>
      <c r="F198">
        <v>1</v>
      </c>
      <c r="G198">
        <v>0.05</v>
      </c>
      <c r="H198" t="s">
        <v>855</v>
      </c>
      <c r="I198" t="str">
        <f>VLOOKUP(C198,Customers!A:C,2,FALSE)&amp;" "&amp;VLOOKUP(C198,Customers!A:C,3,FALSE)</f>
        <v>Ryan Cole</v>
      </c>
      <c r="J198" t="str">
        <f>VLOOKUP(D198,Products!A:C,2,FALSE)</f>
        <v>Little Watches</v>
      </c>
      <c r="K198" t="str">
        <f>VLOOKUP(D198,Products!A:C,3,FALSE)</f>
        <v>Fashion</v>
      </c>
      <c r="L198" t="str">
        <f>VLOOKUP(E198,Stores!A:B,2,FALSE)</f>
        <v>MegaMart Johnmouth</v>
      </c>
      <c r="M198">
        <f>VLOOKUP(D198,Products!A:E,5,FALSE)</f>
        <v>429.15</v>
      </c>
      <c r="N198" s="5">
        <f t="shared" si="3"/>
        <v>407.69249999999994</v>
      </c>
    </row>
    <row r="199" spans="1:14" x14ac:dyDescent="0.3">
      <c r="A199" t="s">
        <v>1055</v>
      </c>
      <c r="B199" s="2">
        <v>45730</v>
      </c>
      <c r="C199" t="s">
        <v>339</v>
      </c>
      <c r="D199" t="s">
        <v>776</v>
      </c>
      <c r="E199" t="s">
        <v>835</v>
      </c>
      <c r="F199">
        <v>2</v>
      </c>
      <c r="G199">
        <v>0</v>
      </c>
      <c r="H199" t="s">
        <v>861</v>
      </c>
      <c r="I199" t="str">
        <f>VLOOKUP(C199,Customers!A:C,2,FALSE)&amp;" "&amp;VLOOKUP(C199,Customers!A:C,3,FALSE)</f>
        <v>Carrie Peterson</v>
      </c>
      <c r="J199" t="str">
        <f>VLOOKUP(D199,Products!A:C,2,FALSE)</f>
        <v>Little Watches</v>
      </c>
      <c r="K199" t="str">
        <f>VLOOKUP(D199,Products!A:C,3,FALSE)</f>
        <v>Fashion</v>
      </c>
      <c r="L199" t="str">
        <f>VLOOKUP(E199,Stores!A:B,2,FALSE)</f>
        <v>MegaMart Peckmouth</v>
      </c>
      <c r="M199">
        <f>VLOOKUP(D199,Products!A:E,5,FALSE)</f>
        <v>429.15</v>
      </c>
      <c r="N199" s="5">
        <f t="shared" si="3"/>
        <v>858.3</v>
      </c>
    </row>
    <row r="200" spans="1:14" x14ac:dyDescent="0.3">
      <c r="A200" t="s">
        <v>1056</v>
      </c>
      <c r="B200" s="2">
        <v>45874</v>
      </c>
      <c r="C200" t="s">
        <v>250</v>
      </c>
      <c r="D200" t="s">
        <v>776</v>
      </c>
      <c r="E200" t="s">
        <v>835</v>
      </c>
      <c r="F200">
        <v>2</v>
      </c>
      <c r="G200">
        <v>0.05</v>
      </c>
      <c r="H200" t="s">
        <v>865</v>
      </c>
      <c r="I200" t="str">
        <f>VLOOKUP(C200,Customers!A:C,2,FALSE)&amp;" "&amp;VLOOKUP(C200,Customers!A:C,3,FALSE)</f>
        <v>Jason Jenkins</v>
      </c>
      <c r="J200" t="str">
        <f>VLOOKUP(D200,Products!A:C,2,FALSE)</f>
        <v>Little Watches</v>
      </c>
      <c r="K200" t="str">
        <f>VLOOKUP(D200,Products!A:C,3,FALSE)</f>
        <v>Fashion</v>
      </c>
      <c r="L200" t="str">
        <f>VLOOKUP(E200,Stores!A:B,2,FALSE)</f>
        <v>MegaMart Peckmouth</v>
      </c>
      <c r="M200">
        <f>VLOOKUP(D200,Products!A:E,5,FALSE)</f>
        <v>429.15</v>
      </c>
      <c r="N200" s="5">
        <f t="shared" si="3"/>
        <v>815.38499999999988</v>
      </c>
    </row>
    <row r="201" spans="1:14" x14ac:dyDescent="0.3">
      <c r="A201" t="s">
        <v>1057</v>
      </c>
      <c r="B201" s="2">
        <v>45260</v>
      </c>
      <c r="C201" t="s">
        <v>179</v>
      </c>
      <c r="D201" t="s">
        <v>814</v>
      </c>
      <c r="E201" t="s">
        <v>842</v>
      </c>
      <c r="F201">
        <v>4</v>
      </c>
      <c r="G201">
        <v>0.15</v>
      </c>
      <c r="H201" t="s">
        <v>855</v>
      </c>
      <c r="I201" t="str">
        <f>VLOOKUP(C201,Customers!A:C,2,FALSE)&amp;" "&amp;VLOOKUP(C201,Customers!A:C,3,FALSE)</f>
        <v>Dennis Poole</v>
      </c>
      <c r="J201" t="str">
        <f>VLOOKUP(D201,Products!A:C,2,FALSE)</f>
        <v>Least Accessories</v>
      </c>
      <c r="K201" t="str">
        <f>VLOOKUP(D201,Products!A:C,3,FALSE)</f>
        <v>Fashion</v>
      </c>
      <c r="L201" t="str">
        <f>VLOOKUP(E201,Stores!A:B,2,FALSE)</f>
        <v>MegaMart Brianahaven</v>
      </c>
      <c r="M201">
        <f>VLOOKUP(D201,Products!A:E,5,FALSE)</f>
        <v>1286.55</v>
      </c>
      <c r="N201" s="5">
        <f t="shared" si="3"/>
        <v>4374.2699999999995</v>
      </c>
    </row>
    <row r="202" spans="1:14" x14ac:dyDescent="0.3">
      <c r="A202" t="s">
        <v>1058</v>
      </c>
      <c r="B202" s="2">
        <v>45196</v>
      </c>
      <c r="C202" t="s">
        <v>577</v>
      </c>
      <c r="D202" t="s">
        <v>810</v>
      </c>
      <c r="E202" t="s">
        <v>839</v>
      </c>
      <c r="F202">
        <v>2</v>
      </c>
      <c r="G202">
        <v>0.15</v>
      </c>
      <c r="H202" t="s">
        <v>865</v>
      </c>
      <c r="I202" t="str">
        <f>VLOOKUP(C202,Customers!A:C,2,FALSE)&amp;" "&amp;VLOOKUP(C202,Customers!A:C,3,FALSE)</f>
        <v>Michael Perez</v>
      </c>
      <c r="J202" t="str">
        <f>VLOOKUP(D202,Products!A:C,2,FALSE)</f>
        <v>Maybe Clothing</v>
      </c>
      <c r="K202" t="str">
        <f>VLOOKUP(D202,Products!A:C,3,FALSE)</f>
        <v>Fashion</v>
      </c>
      <c r="L202" t="str">
        <f>VLOOKUP(E202,Stores!A:B,2,FALSE)</f>
        <v>MegaMart New Michele</v>
      </c>
      <c r="M202">
        <f>VLOOKUP(D202,Products!A:E,5,FALSE)</f>
        <v>453.62</v>
      </c>
      <c r="N202" s="5">
        <f t="shared" si="3"/>
        <v>771.154</v>
      </c>
    </row>
    <row r="203" spans="1:14" x14ac:dyDescent="0.3">
      <c r="A203" t="s">
        <v>1059</v>
      </c>
      <c r="B203" s="2">
        <v>45295</v>
      </c>
      <c r="C203" t="s">
        <v>449</v>
      </c>
      <c r="D203" t="s">
        <v>780</v>
      </c>
      <c r="E203" t="s">
        <v>842</v>
      </c>
      <c r="F203">
        <v>3</v>
      </c>
      <c r="G203">
        <v>0.1</v>
      </c>
      <c r="H203" t="s">
        <v>865</v>
      </c>
      <c r="I203" t="str">
        <f>VLOOKUP(C203,Customers!A:C,2,FALSE)&amp;" "&amp;VLOOKUP(C203,Customers!A:C,3,FALSE)</f>
        <v>John Bell</v>
      </c>
      <c r="J203" t="str">
        <f>VLOOKUP(D203,Products!A:C,2,FALSE)</f>
        <v>Hospital Smartphone</v>
      </c>
      <c r="K203" t="str">
        <f>VLOOKUP(D203,Products!A:C,3,FALSE)</f>
        <v>Electronics</v>
      </c>
      <c r="L203" t="str">
        <f>VLOOKUP(E203,Stores!A:B,2,FALSE)</f>
        <v>MegaMart Brianahaven</v>
      </c>
      <c r="M203">
        <f>VLOOKUP(D203,Products!A:E,5,FALSE)</f>
        <v>1272.23</v>
      </c>
      <c r="N203" s="5">
        <f t="shared" si="3"/>
        <v>3435.0210000000002</v>
      </c>
    </row>
    <row r="204" spans="1:14" x14ac:dyDescent="0.3">
      <c r="A204" t="s">
        <v>1060</v>
      </c>
      <c r="B204" s="2">
        <v>45299</v>
      </c>
      <c r="C204" t="s">
        <v>343</v>
      </c>
      <c r="D204" t="s">
        <v>757</v>
      </c>
      <c r="E204" t="s">
        <v>846</v>
      </c>
      <c r="F204">
        <v>1</v>
      </c>
      <c r="G204">
        <v>0.1</v>
      </c>
      <c r="H204" t="s">
        <v>858</v>
      </c>
      <c r="I204" t="str">
        <f>VLOOKUP(C204,Customers!A:C,2,FALSE)&amp;" "&amp;VLOOKUP(C204,Customers!A:C,3,FALSE)</f>
        <v>Brian Fowler</v>
      </c>
      <c r="J204" t="str">
        <f>VLOOKUP(D204,Products!A:C,2,FALSE)</f>
        <v>Find Headphones</v>
      </c>
      <c r="K204" t="str">
        <f>VLOOKUP(D204,Products!A:C,3,FALSE)</f>
        <v>Electronics</v>
      </c>
      <c r="L204" t="str">
        <f>VLOOKUP(E204,Stores!A:B,2,FALSE)</f>
        <v>MegaMart Johnmouth</v>
      </c>
      <c r="M204">
        <f>VLOOKUP(D204,Products!A:E,5,FALSE)</f>
        <v>1246.1099999999999</v>
      </c>
      <c r="N204" s="5">
        <f t="shared" si="3"/>
        <v>1121.499</v>
      </c>
    </row>
    <row r="205" spans="1:14" x14ac:dyDescent="0.3">
      <c r="A205" t="s">
        <v>1061</v>
      </c>
      <c r="B205" s="2">
        <v>45862</v>
      </c>
      <c r="C205" t="s">
        <v>432</v>
      </c>
      <c r="D205" t="s">
        <v>826</v>
      </c>
      <c r="E205" t="s">
        <v>831</v>
      </c>
      <c r="F205">
        <v>1</v>
      </c>
      <c r="G205">
        <v>0.1</v>
      </c>
      <c r="H205" t="s">
        <v>855</v>
      </c>
      <c r="I205" t="str">
        <f>VLOOKUP(C205,Customers!A:C,2,FALSE)&amp;" "&amp;VLOOKUP(C205,Customers!A:C,3,FALSE)</f>
        <v>Jamie Webb</v>
      </c>
      <c r="J205" t="str">
        <f>VLOOKUP(D205,Products!A:C,2,FALSE)</f>
        <v>Maybe Footwear</v>
      </c>
      <c r="K205" t="str">
        <f>VLOOKUP(D205,Products!A:C,3,FALSE)</f>
        <v>Fashion</v>
      </c>
      <c r="L205" t="str">
        <f>VLOOKUP(E205,Stores!A:B,2,FALSE)</f>
        <v>MegaMart Jimenezborough</v>
      </c>
      <c r="M205">
        <f>VLOOKUP(D205,Products!A:E,5,FALSE)</f>
        <v>1044.6400000000001</v>
      </c>
      <c r="N205" s="5">
        <f t="shared" si="3"/>
        <v>940.17600000000016</v>
      </c>
    </row>
    <row r="206" spans="1:14" x14ac:dyDescent="0.3">
      <c r="A206" t="s">
        <v>1062</v>
      </c>
      <c r="B206" s="2">
        <v>45766</v>
      </c>
      <c r="C206" t="s">
        <v>81</v>
      </c>
      <c r="D206" t="s">
        <v>722</v>
      </c>
      <c r="E206" t="s">
        <v>831</v>
      </c>
      <c r="F206">
        <v>5</v>
      </c>
      <c r="G206">
        <v>0.15</v>
      </c>
      <c r="H206" t="s">
        <v>858</v>
      </c>
      <c r="I206" t="str">
        <f>VLOOKUP(C206,Customers!A:C,2,FALSE)&amp;" "&amp;VLOOKUP(C206,Customers!A:C,3,FALSE)</f>
        <v>Ryan Cole</v>
      </c>
      <c r="J206" t="str">
        <f>VLOOKUP(D206,Products!A:C,2,FALSE)</f>
        <v>Four Accessories</v>
      </c>
      <c r="K206" t="str">
        <f>VLOOKUP(D206,Products!A:C,3,FALSE)</f>
        <v>Fashion</v>
      </c>
      <c r="L206" t="str">
        <f>VLOOKUP(E206,Stores!A:B,2,FALSE)</f>
        <v>MegaMart Jimenezborough</v>
      </c>
      <c r="M206">
        <f>VLOOKUP(D206,Products!A:E,5,FALSE)</f>
        <v>1853.77</v>
      </c>
      <c r="N206" s="5">
        <f t="shared" si="3"/>
        <v>7878.5225</v>
      </c>
    </row>
    <row r="207" spans="1:14" x14ac:dyDescent="0.3">
      <c r="A207" t="s">
        <v>1063</v>
      </c>
      <c r="B207" s="2">
        <v>45213</v>
      </c>
      <c r="C207" t="s">
        <v>539</v>
      </c>
      <c r="D207" t="s">
        <v>812</v>
      </c>
      <c r="E207" t="s">
        <v>846</v>
      </c>
      <c r="F207">
        <v>1</v>
      </c>
      <c r="G207">
        <v>0.15</v>
      </c>
      <c r="H207" t="s">
        <v>861</v>
      </c>
      <c r="I207" t="str">
        <f>VLOOKUP(C207,Customers!A:C,2,FALSE)&amp;" "&amp;VLOOKUP(C207,Customers!A:C,3,FALSE)</f>
        <v>Melissa Torres</v>
      </c>
      <c r="J207" t="str">
        <f>VLOOKUP(D207,Products!A:C,2,FALSE)</f>
        <v>Soon Accessories</v>
      </c>
      <c r="K207" t="str">
        <f>VLOOKUP(D207,Products!A:C,3,FALSE)</f>
        <v>Fashion</v>
      </c>
      <c r="L207" t="str">
        <f>VLOOKUP(E207,Stores!A:B,2,FALSE)</f>
        <v>MegaMart Johnmouth</v>
      </c>
      <c r="M207">
        <f>VLOOKUP(D207,Products!A:E,5,FALSE)</f>
        <v>564.41999999999996</v>
      </c>
      <c r="N207" s="5">
        <f t="shared" si="3"/>
        <v>479.75699999999995</v>
      </c>
    </row>
    <row r="208" spans="1:14" x14ac:dyDescent="0.3">
      <c r="A208" t="s">
        <v>1064</v>
      </c>
      <c r="B208" s="2">
        <v>45229</v>
      </c>
      <c r="C208" t="s">
        <v>313</v>
      </c>
      <c r="D208" t="s">
        <v>796</v>
      </c>
      <c r="E208" t="s">
        <v>846</v>
      </c>
      <c r="F208">
        <v>4</v>
      </c>
      <c r="G208">
        <v>0.05</v>
      </c>
      <c r="H208" t="s">
        <v>865</v>
      </c>
      <c r="I208" t="str">
        <f>VLOOKUP(C208,Customers!A:C,2,FALSE)&amp;" "&amp;VLOOKUP(C208,Customers!A:C,3,FALSE)</f>
        <v>Jeremy Robles</v>
      </c>
      <c r="J208" t="str">
        <f>VLOOKUP(D208,Products!A:C,2,FALSE)</f>
        <v>Chair Laptop</v>
      </c>
      <c r="K208" t="str">
        <f>VLOOKUP(D208,Products!A:C,3,FALSE)</f>
        <v>Electronics</v>
      </c>
      <c r="L208" t="str">
        <f>VLOOKUP(E208,Stores!A:B,2,FALSE)</f>
        <v>MegaMart Johnmouth</v>
      </c>
      <c r="M208">
        <f>VLOOKUP(D208,Products!A:E,5,FALSE)</f>
        <v>1562.43</v>
      </c>
      <c r="N208" s="5">
        <f t="shared" si="3"/>
        <v>5937.2340000000004</v>
      </c>
    </row>
    <row r="209" spans="1:14" x14ac:dyDescent="0.3">
      <c r="A209" t="s">
        <v>1065</v>
      </c>
      <c r="B209" s="2">
        <v>45737</v>
      </c>
      <c r="C209" t="s">
        <v>432</v>
      </c>
      <c r="D209" t="s">
        <v>722</v>
      </c>
      <c r="E209" t="s">
        <v>831</v>
      </c>
      <c r="F209">
        <v>3</v>
      </c>
      <c r="G209">
        <v>0</v>
      </c>
      <c r="H209" t="s">
        <v>861</v>
      </c>
      <c r="I209" t="str">
        <f>VLOOKUP(C209,Customers!A:C,2,FALSE)&amp;" "&amp;VLOOKUP(C209,Customers!A:C,3,FALSE)</f>
        <v>Jamie Webb</v>
      </c>
      <c r="J209" t="str">
        <f>VLOOKUP(D209,Products!A:C,2,FALSE)</f>
        <v>Four Accessories</v>
      </c>
      <c r="K209" t="str">
        <f>VLOOKUP(D209,Products!A:C,3,FALSE)</f>
        <v>Fashion</v>
      </c>
      <c r="L209" t="str">
        <f>VLOOKUP(E209,Stores!A:B,2,FALSE)</f>
        <v>MegaMart Jimenezborough</v>
      </c>
      <c r="M209">
        <f>VLOOKUP(D209,Products!A:E,5,FALSE)</f>
        <v>1853.77</v>
      </c>
      <c r="N209" s="5">
        <f t="shared" si="3"/>
        <v>5561.3099999999995</v>
      </c>
    </row>
    <row r="210" spans="1:14" x14ac:dyDescent="0.3">
      <c r="A210" t="s">
        <v>1066</v>
      </c>
      <c r="B210" s="2">
        <v>45717</v>
      </c>
      <c r="C210" t="s">
        <v>48</v>
      </c>
      <c r="D210" t="s">
        <v>782</v>
      </c>
      <c r="E210" t="s">
        <v>835</v>
      </c>
      <c r="F210">
        <v>4</v>
      </c>
      <c r="G210">
        <v>0.15</v>
      </c>
      <c r="H210" t="s">
        <v>861</v>
      </c>
      <c r="I210" t="str">
        <f>VLOOKUP(C210,Customers!A:C,2,FALSE)&amp;" "&amp;VLOOKUP(C210,Customers!A:C,3,FALSE)</f>
        <v>Haley Williams</v>
      </c>
      <c r="J210" t="str">
        <f>VLOOKUP(D210,Products!A:C,2,FALSE)</f>
        <v>Deal Smartphone</v>
      </c>
      <c r="K210" t="str">
        <f>VLOOKUP(D210,Products!A:C,3,FALSE)</f>
        <v>Electronics</v>
      </c>
      <c r="L210" t="str">
        <f>VLOOKUP(E210,Stores!A:B,2,FALSE)</f>
        <v>MegaMart Peckmouth</v>
      </c>
      <c r="M210">
        <f>VLOOKUP(D210,Products!A:E,5,FALSE)</f>
        <v>673.78</v>
      </c>
      <c r="N210" s="5">
        <f t="shared" si="3"/>
        <v>2290.8519999999999</v>
      </c>
    </row>
    <row r="211" spans="1:14" x14ac:dyDescent="0.3">
      <c r="A211" t="s">
        <v>1067</v>
      </c>
      <c r="B211" s="2">
        <v>45506</v>
      </c>
      <c r="C211" t="s">
        <v>355</v>
      </c>
      <c r="D211" t="s">
        <v>766</v>
      </c>
      <c r="E211" t="s">
        <v>839</v>
      </c>
      <c r="F211">
        <v>3</v>
      </c>
      <c r="G211">
        <v>0.15</v>
      </c>
      <c r="H211" t="s">
        <v>858</v>
      </c>
      <c r="I211" t="str">
        <f>VLOOKUP(C211,Customers!A:C,2,FALSE)&amp;" "&amp;VLOOKUP(C211,Customers!A:C,3,FALSE)</f>
        <v>Kimberly Stokes</v>
      </c>
      <c r="J211" t="str">
        <f>VLOOKUP(D211,Products!A:C,2,FALSE)</f>
        <v>Firm Dairy</v>
      </c>
      <c r="K211" t="str">
        <f>VLOOKUP(D211,Products!A:C,3,FALSE)</f>
        <v>Groceries</v>
      </c>
      <c r="L211" t="str">
        <f>VLOOKUP(E211,Stores!A:B,2,FALSE)</f>
        <v>MegaMart New Michele</v>
      </c>
      <c r="M211">
        <f>VLOOKUP(D211,Products!A:E,5,FALSE)</f>
        <v>1227.24</v>
      </c>
      <c r="N211" s="5">
        <f t="shared" si="3"/>
        <v>3129.462</v>
      </c>
    </row>
    <row r="212" spans="1:14" x14ac:dyDescent="0.3">
      <c r="A212" t="s">
        <v>1068</v>
      </c>
      <c r="B212" s="2">
        <v>45755</v>
      </c>
      <c r="C212" t="s">
        <v>700</v>
      </c>
      <c r="D212" t="s">
        <v>772</v>
      </c>
      <c r="E212" t="s">
        <v>839</v>
      </c>
      <c r="F212">
        <v>5</v>
      </c>
      <c r="G212">
        <v>0</v>
      </c>
      <c r="H212" t="s">
        <v>855</v>
      </c>
      <c r="I212" t="str">
        <f>VLOOKUP(C212,Customers!A:C,2,FALSE)&amp;" "&amp;VLOOKUP(C212,Customers!A:C,3,FALSE)</f>
        <v>Juan Johnson</v>
      </c>
      <c r="J212" t="str">
        <f>VLOOKUP(D212,Products!A:C,2,FALSE)</f>
        <v>And Footwear</v>
      </c>
      <c r="K212" t="str">
        <f>VLOOKUP(D212,Products!A:C,3,FALSE)</f>
        <v>Fashion</v>
      </c>
      <c r="L212" t="str">
        <f>VLOOKUP(E212,Stores!A:B,2,FALSE)</f>
        <v>MegaMart New Michele</v>
      </c>
      <c r="M212">
        <f>VLOOKUP(D212,Products!A:E,5,FALSE)</f>
        <v>1878.47</v>
      </c>
      <c r="N212" s="5">
        <f t="shared" si="3"/>
        <v>9392.35</v>
      </c>
    </row>
    <row r="213" spans="1:14" x14ac:dyDescent="0.3">
      <c r="A213" t="s">
        <v>1069</v>
      </c>
      <c r="B213" s="2">
        <v>45824</v>
      </c>
      <c r="C213" t="s">
        <v>71</v>
      </c>
      <c r="D213" t="s">
        <v>816</v>
      </c>
      <c r="E213" t="s">
        <v>839</v>
      </c>
      <c r="F213">
        <v>1</v>
      </c>
      <c r="G213">
        <v>0.15</v>
      </c>
      <c r="H213" t="s">
        <v>855</v>
      </c>
      <c r="I213" t="str">
        <f>VLOOKUP(C213,Customers!A:C,2,FALSE)&amp;" "&amp;VLOOKUP(C213,Customers!A:C,3,FALSE)</f>
        <v>Vanessa Anderson</v>
      </c>
      <c r="J213" t="str">
        <f>VLOOKUP(D213,Products!A:C,2,FALSE)</f>
        <v>Set Dairy</v>
      </c>
      <c r="K213" t="str">
        <f>VLOOKUP(D213,Products!A:C,3,FALSE)</f>
        <v>Groceries</v>
      </c>
      <c r="L213" t="str">
        <f>VLOOKUP(E213,Stores!A:B,2,FALSE)</f>
        <v>MegaMart New Michele</v>
      </c>
      <c r="M213">
        <f>VLOOKUP(D213,Products!A:E,5,FALSE)</f>
        <v>1879.08</v>
      </c>
      <c r="N213" s="5">
        <f t="shared" si="3"/>
        <v>1597.2179999999998</v>
      </c>
    </row>
    <row r="214" spans="1:14" x14ac:dyDescent="0.3">
      <c r="A214" t="s">
        <v>1070</v>
      </c>
      <c r="B214" s="2">
        <v>45624</v>
      </c>
      <c r="C214" t="s">
        <v>247</v>
      </c>
      <c r="D214" t="s">
        <v>734</v>
      </c>
      <c r="E214" t="s">
        <v>846</v>
      </c>
      <c r="F214">
        <v>2</v>
      </c>
      <c r="G214">
        <v>0.1</v>
      </c>
      <c r="H214" t="s">
        <v>865</v>
      </c>
      <c r="I214" t="str">
        <f>VLOOKUP(C214,Customers!A:C,2,FALSE)&amp;" "&amp;VLOOKUP(C214,Customers!A:C,3,FALSE)</f>
        <v>Scott Duke</v>
      </c>
      <c r="J214" t="str">
        <f>VLOOKUP(D214,Products!A:C,2,FALSE)</f>
        <v>Recognize Footwear</v>
      </c>
      <c r="K214" t="str">
        <f>VLOOKUP(D214,Products!A:C,3,FALSE)</f>
        <v>Fashion</v>
      </c>
      <c r="L214" t="str">
        <f>VLOOKUP(E214,Stores!A:B,2,FALSE)</f>
        <v>MegaMart Johnmouth</v>
      </c>
      <c r="M214">
        <f>VLOOKUP(D214,Products!A:E,5,FALSE)</f>
        <v>109.78</v>
      </c>
      <c r="N214" s="5">
        <f t="shared" si="3"/>
        <v>197.60400000000001</v>
      </c>
    </row>
    <row r="215" spans="1:14" x14ac:dyDescent="0.3">
      <c r="A215" t="s">
        <v>1071</v>
      </c>
      <c r="B215" s="2">
        <v>45575</v>
      </c>
      <c r="C215" t="s">
        <v>542</v>
      </c>
      <c r="D215" t="s">
        <v>776</v>
      </c>
      <c r="E215" t="s">
        <v>835</v>
      </c>
      <c r="F215">
        <v>3</v>
      </c>
      <c r="G215">
        <v>0.1</v>
      </c>
      <c r="H215" t="s">
        <v>858</v>
      </c>
      <c r="I215" t="str">
        <f>VLOOKUP(C215,Customers!A:C,2,FALSE)&amp;" "&amp;VLOOKUP(C215,Customers!A:C,3,FALSE)</f>
        <v>Francis Hernandez</v>
      </c>
      <c r="J215" t="str">
        <f>VLOOKUP(D215,Products!A:C,2,FALSE)</f>
        <v>Little Watches</v>
      </c>
      <c r="K215" t="str">
        <f>VLOOKUP(D215,Products!A:C,3,FALSE)</f>
        <v>Fashion</v>
      </c>
      <c r="L215" t="str">
        <f>VLOOKUP(E215,Stores!A:B,2,FALSE)</f>
        <v>MegaMart Peckmouth</v>
      </c>
      <c r="M215">
        <f>VLOOKUP(D215,Products!A:E,5,FALSE)</f>
        <v>429.15</v>
      </c>
      <c r="N215" s="5">
        <f t="shared" si="3"/>
        <v>1158.7049999999999</v>
      </c>
    </row>
    <row r="216" spans="1:14" x14ac:dyDescent="0.3">
      <c r="A216" t="s">
        <v>1072</v>
      </c>
      <c r="B216" s="2">
        <v>45818</v>
      </c>
      <c r="C216" t="s">
        <v>134</v>
      </c>
      <c r="D216" t="s">
        <v>794</v>
      </c>
      <c r="E216" t="s">
        <v>846</v>
      </c>
      <c r="F216">
        <v>1</v>
      </c>
      <c r="G216">
        <v>0.1</v>
      </c>
      <c r="H216" t="s">
        <v>858</v>
      </c>
      <c r="I216" t="str">
        <f>VLOOKUP(C216,Customers!A:C,2,FALSE)&amp;" "&amp;VLOOKUP(C216,Customers!A:C,3,FALSE)</f>
        <v>Kari Miller</v>
      </c>
      <c r="J216" t="str">
        <f>VLOOKUP(D216,Products!A:C,2,FALSE)</f>
        <v>Everything Laptop</v>
      </c>
      <c r="K216" t="str">
        <f>VLOOKUP(D216,Products!A:C,3,FALSE)</f>
        <v>Electronics</v>
      </c>
      <c r="L216" t="str">
        <f>VLOOKUP(E216,Stores!A:B,2,FALSE)</f>
        <v>MegaMart Johnmouth</v>
      </c>
      <c r="M216">
        <f>VLOOKUP(D216,Products!A:E,5,FALSE)</f>
        <v>428.05</v>
      </c>
      <c r="N216" s="5">
        <f t="shared" si="3"/>
        <v>385.245</v>
      </c>
    </row>
    <row r="217" spans="1:14" x14ac:dyDescent="0.3">
      <c r="A217" t="s">
        <v>1073</v>
      </c>
      <c r="B217" s="2">
        <v>45526</v>
      </c>
      <c r="C217" t="s">
        <v>589</v>
      </c>
      <c r="D217" t="s">
        <v>788</v>
      </c>
      <c r="E217" t="s">
        <v>839</v>
      </c>
      <c r="F217">
        <v>2</v>
      </c>
      <c r="G217">
        <v>0</v>
      </c>
      <c r="H217" t="s">
        <v>858</v>
      </c>
      <c r="I217" t="str">
        <f>VLOOKUP(C217,Customers!A:C,2,FALSE)&amp;" "&amp;VLOOKUP(C217,Customers!A:C,3,FALSE)</f>
        <v>Tanya Mueller</v>
      </c>
      <c r="J217" t="str">
        <f>VLOOKUP(D217,Products!A:C,2,FALSE)</f>
        <v>Foot Snacks</v>
      </c>
      <c r="K217" t="str">
        <f>VLOOKUP(D217,Products!A:C,3,FALSE)</f>
        <v>Groceries</v>
      </c>
      <c r="L217" t="str">
        <f>VLOOKUP(E217,Stores!A:B,2,FALSE)</f>
        <v>MegaMart New Michele</v>
      </c>
      <c r="M217">
        <f>VLOOKUP(D217,Products!A:E,5,FALSE)</f>
        <v>1095.72</v>
      </c>
      <c r="N217" s="5">
        <f t="shared" si="3"/>
        <v>2191.44</v>
      </c>
    </row>
    <row r="218" spans="1:14" x14ac:dyDescent="0.3">
      <c r="A218" t="s">
        <v>1074</v>
      </c>
      <c r="B218" s="2">
        <v>45653</v>
      </c>
      <c r="C218" t="s">
        <v>480</v>
      </c>
      <c r="D218" t="s">
        <v>822</v>
      </c>
      <c r="E218" t="s">
        <v>839</v>
      </c>
      <c r="F218">
        <v>1</v>
      </c>
      <c r="G218">
        <v>0.1</v>
      </c>
      <c r="H218" t="s">
        <v>855</v>
      </c>
      <c r="I218" t="str">
        <f>VLOOKUP(C218,Customers!A:C,2,FALSE)&amp;" "&amp;VLOOKUP(C218,Customers!A:C,3,FALSE)</f>
        <v>Denise Jackson</v>
      </c>
      <c r="J218" t="str">
        <f>VLOOKUP(D218,Products!A:C,2,FALSE)</f>
        <v>Nor Bags</v>
      </c>
      <c r="K218" t="str">
        <f>VLOOKUP(D218,Products!A:C,3,FALSE)</f>
        <v>Fashion</v>
      </c>
      <c r="L218" t="str">
        <f>VLOOKUP(E218,Stores!A:B,2,FALSE)</f>
        <v>MegaMart New Michele</v>
      </c>
      <c r="M218">
        <f>VLOOKUP(D218,Products!A:E,5,FALSE)</f>
        <v>1216.3599999999999</v>
      </c>
      <c r="N218" s="5">
        <f t="shared" si="3"/>
        <v>1094.7239999999999</v>
      </c>
    </row>
    <row r="219" spans="1:14" x14ac:dyDescent="0.3">
      <c r="A219" t="s">
        <v>1075</v>
      </c>
      <c r="B219" s="2">
        <v>45361</v>
      </c>
      <c r="C219" t="s">
        <v>183</v>
      </c>
      <c r="D219" t="s">
        <v>822</v>
      </c>
      <c r="E219" t="s">
        <v>835</v>
      </c>
      <c r="F219">
        <v>3</v>
      </c>
      <c r="G219">
        <v>0.15</v>
      </c>
      <c r="H219" t="s">
        <v>861</v>
      </c>
      <c r="I219" t="str">
        <f>VLOOKUP(C219,Customers!A:C,2,FALSE)&amp;" "&amp;VLOOKUP(C219,Customers!A:C,3,FALSE)</f>
        <v>Mary Decker</v>
      </c>
      <c r="J219" t="str">
        <f>VLOOKUP(D219,Products!A:C,2,FALSE)</f>
        <v>Nor Bags</v>
      </c>
      <c r="K219" t="str">
        <f>VLOOKUP(D219,Products!A:C,3,FALSE)</f>
        <v>Fashion</v>
      </c>
      <c r="L219" t="str">
        <f>VLOOKUP(E219,Stores!A:B,2,FALSE)</f>
        <v>MegaMart Peckmouth</v>
      </c>
      <c r="M219">
        <f>VLOOKUP(D219,Products!A:E,5,FALSE)</f>
        <v>1216.3599999999999</v>
      </c>
      <c r="N219" s="5">
        <f t="shared" si="3"/>
        <v>3101.7179999999998</v>
      </c>
    </row>
    <row r="220" spans="1:14" x14ac:dyDescent="0.3">
      <c r="A220" t="s">
        <v>1076</v>
      </c>
      <c r="B220" s="2">
        <v>45751</v>
      </c>
      <c r="C220" t="s">
        <v>224</v>
      </c>
      <c r="D220" t="s">
        <v>796</v>
      </c>
      <c r="E220" t="s">
        <v>835</v>
      </c>
      <c r="F220">
        <v>2</v>
      </c>
      <c r="G220">
        <v>0</v>
      </c>
      <c r="H220" t="s">
        <v>855</v>
      </c>
      <c r="I220" t="str">
        <f>VLOOKUP(C220,Customers!A:C,2,FALSE)&amp;" "&amp;VLOOKUP(C220,Customers!A:C,3,FALSE)</f>
        <v>Lawrence Stewart</v>
      </c>
      <c r="J220" t="str">
        <f>VLOOKUP(D220,Products!A:C,2,FALSE)</f>
        <v>Chair Laptop</v>
      </c>
      <c r="K220" t="str">
        <f>VLOOKUP(D220,Products!A:C,3,FALSE)</f>
        <v>Electronics</v>
      </c>
      <c r="L220" t="str">
        <f>VLOOKUP(E220,Stores!A:B,2,FALSE)</f>
        <v>MegaMart Peckmouth</v>
      </c>
      <c r="M220">
        <f>VLOOKUP(D220,Products!A:E,5,FALSE)</f>
        <v>1562.43</v>
      </c>
      <c r="N220" s="5">
        <f t="shared" si="3"/>
        <v>3124.86</v>
      </c>
    </row>
    <row r="221" spans="1:14" x14ac:dyDescent="0.3">
      <c r="A221" t="s">
        <v>1077</v>
      </c>
      <c r="B221" s="2">
        <v>45400</v>
      </c>
      <c r="C221" t="s">
        <v>105</v>
      </c>
      <c r="D221" t="s">
        <v>766</v>
      </c>
      <c r="E221" t="s">
        <v>846</v>
      </c>
      <c r="F221">
        <v>5</v>
      </c>
      <c r="G221">
        <v>0</v>
      </c>
      <c r="H221" t="s">
        <v>855</v>
      </c>
      <c r="I221" t="str">
        <f>VLOOKUP(C221,Customers!A:C,2,FALSE)&amp;" "&amp;VLOOKUP(C221,Customers!A:C,3,FALSE)</f>
        <v>Justin Macdonald</v>
      </c>
      <c r="J221" t="str">
        <f>VLOOKUP(D221,Products!A:C,2,FALSE)</f>
        <v>Firm Dairy</v>
      </c>
      <c r="K221" t="str">
        <f>VLOOKUP(D221,Products!A:C,3,FALSE)</f>
        <v>Groceries</v>
      </c>
      <c r="L221" t="str">
        <f>VLOOKUP(E221,Stores!A:B,2,FALSE)</f>
        <v>MegaMart Johnmouth</v>
      </c>
      <c r="M221">
        <f>VLOOKUP(D221,Products!A:E,5,FALSE)</f>
        <v>1227.24</v>
      </c>
      <c r="N221" s="5">
        <f t="shared" si="3"/>
        <v>6136.2</v>
      </c>
    </row>
    <row r="222" spans="1:14" x14ac:dyDescent="0.3">
      <c r="A222" t="s">
        <v>1078</v>
      </c>
      <c r="B222" s="2">
        <v>45867</v>
      </c>
      <c r="C222" t="s">
        <v>693</v>
      </c>
      <c r="D222" t="s">
        <v>715</v>
      </c>
      <c r="E222" t="s">
        <v>846</v>
      </c>
      <c r="F222">
        <v>2</v>
      </c>
      <c r="G222">
        <v>0.15</v>
      </c>
      <c r="H222" t="s">
        <v>861</v>
      </c>
      <c r="I222" t="str">
        <f>VLOOKUP(C222,Customers!A:C,2,FALSE)&amp;" "&amp;VLOOKUP(C222,Customers!A:C,3,FALSE)</f>
        <v>Matthew Dixon</v>
      </c>
      <c r="J222" t="str">
        <f>VLOOKUP(D222,Products!A:C,2,FALSE)</f>
        <v>Audience Television</v>
      </c>
      <c r="K222" t="str">
        <f>VLOOKUP(D222,Products!A:C,3,FALSE)</f>
        <v>Electronics</v>
      </c>
      <c r="L222" t="str">
        <f>VLOOKUP(E222,Stores!A:B,2,FALSE)</f>
        <v>MegaMart Johnmouth</v>
      </c>
      <c r="M222">
        <f>VLOOKUP(D222,Products!A:E,5,FALSE)</f>
        <v>818.76</v>
      </c>
      <c r="N222" s="5">
        <f t="shared" si="3"/>
        <v>1391.8920000000001</v>
      </c>
    </row>
    <row r="223" spans="1:14" x14ac:dyDescent="0.3">
      <c r="A223" t="s">
        <v>1079</v>
      </c>
      <c r="B223" s="2">
        <v>45754</v>
      </c>
      <c r="C223" t="s">
        <v>163</v>
      </c>
      <c r="D223" t="s">
        <v>816</v>
      </c>
      <c r="E223" t="s">
        <v>835</v>
      </c>
      <c r="F223">
        <v>5</v>
      </c>
      <c r="G223">
        <v>0.05</v>
      </c>
      <c r="H223" t="s">
        <v>858</v>
      </c>
      <c r="I223" t="str">
        <f>VLOOKUP(C223,Customers!A:C,2,FALSE)&amp;" "&amp;VLOOKUP(C223,Customers!A:C,3,FALSE)</f>
        <v>Anna Andrews</v>
      </c>
      <c r="J223" t="str">
        <f>VLOOKUP(D223,Products!A:C,2,FALSE)</f>
        <v>Set Dairy</v>
      </c>
      <c r="K223" t="str">
        <f>VLOOKUP(D223,Products!A:C,3,FALSE)</f>
        <v>Groceries</v>
      </c>
      <c r="L223" t="str">
        <f>VLOOKUP(E223,Stores!A:B,2,FALSE)</f>
        <v>MegaMart Peckmouth</v>
      </c>
      <c r="M223">
        <f>VLOOKUP(D223,Products!A:E,5,FALSE)</f>
        <v>1879.08</v>
      </c>
      <c r="N223" s="5">
        <f t="shared" si="3"/>
        <v>8925.6299999999992</v>
      </c>
    </row>
    <row r="224" spans="1:14" x14ac:dyDescent="0.3">
      <c r="A224" t="s">
        <v>1080</v>
      </c>
      <c r="B224" s="2">
        <v>45882</v>
      </c>
      <c r="C224" t="s">
        <v>51</v>
      </c>
      <c r="D224" t="s">
        <v>818</v>
      </c>
      <c r="E224" t="s">
        <v>842</v>
      </c>
      <c r="F224">
        <v>3</v>
      </c>
      <c r="G224">
        <v>0.05</v>
      </c>
      <c r="H224" t="s">
        <v>858</v>
      </c>
      <c r="I224" t="str">
        <f>VLOOKUP(C224,Customers!A:C,2,FALSE)&amp;" "&amp;VLOOKUP(C224,Customers!A:C,3,FALSE)</f>
        <v>Dale Perry</v>
      </c>
      <c r="J224" t="str">
        <f>VLOOKUP(D224,Products!A:C,2,FALSE)</f>
        <v>Nature Clothing</v>
      </c>
      <c r="K224" t="str">
        <f>VLOOKUP(D224,Products!A:C,3,FALSE)</f>
        <v>Fashion</v>
      </c>
      <c r="L224" t="str">
        <f>VLOOKUP(E224,Stores!A:B,2,FALSE)</f>
        <v>MegaMart Brianahaven</v>
      </c>
      <c r="M224">
        <f>VLOOKUP(D224,Products!A:E,5,FALSE)</f>
        <v>1165.3699999999999</v>
      </c>
      <c r="N224" s="5">
        <f t="shared" si="3"/>
        <v>3321.3044999999997</v>
      </c>
    </row>
    <row r="225" spans="1:14" x14ac:dyDescent="0.3">
      <c r="A225" t="s">
        <v>1081</v>
      </c>
      <c r="B225" s="2">
        <v>45832</v>
      </c>
      <c r="C225" t="s">
        <v>563</v>
      </c>
      <c r="D225" t="s">
        <v>757</v>
      </c>
      <c r="E225" t="s">
        <v>839</v>
      </c>
      <c r="F225">
        <v>4</v>
      </c>
      <c r="G225">
        <v>0.05</v>
      </c>
      <c r="H225" t="s">
        <v>861</v>
      </c>
      <c r="I225" t="str">
        <f>VLOOKUP(C225,Customers!A:C,2,FALSE)&amp;" "&amp;VLOOKUP(C225,Customers!A:C,3,FALSE)</f>
        <v>Connie Terry</v>
      </c>
      <c r="J225" t="str">
        <f>VLOOKUP(D225,Products!A:C,2,FALSE)</f>
        <v>Find Headphones</v>
      </c>
      <c r="K225" t="str">
        <f>VLOOKUP(D225,Products!A:C,3,FALSE)</f>
        <v>Electronics</v>
      </c>
      <c r="L225" t="str">
        <f>VLOOKUP(E225,Stores!A:B,2,FALSE)</f>
        <v>MegaMart New Michele</v>
      </c>
      <c r="M225">
        <f>VLOOKUP(D225,Products!A:E,5,FALSE)</f>
        <v>1246.1099999999999</v>
      </c>
      <c r="N225" s="5">
        <f t="shared" si="3"/>
        <v>4735.2179999999998</v>
      </c>
    </row>
    <row r="226" spans="1:14" x14ac:dyDescent="0.3">
      <c r="A226" t="s">
        <v>1082</v>
      </c>
      <c r="B226" s="2">
        <v>45260</v>
      </c>
      <c r="C226" t="s">
        <v>302</v>
      </c>
      <c r="D226" t="s">
        <v>764</v>
      </c>
      <c r="E226" t="s">
        <v>842</v>
      </c>
      <c r="F226">
        <v>2</v>
      </c>
      <c r="G226">
        <v>0.1</v>
      </c>
      <c r="H226" t="s">
        <v>858</v>
      </c>
      <c r="I226" t="str">
        <f>VLOOKUP(C226,Customers!A:C,2,FALSE)&amp;" "&amp;VLOOKUP(C226,Customers!A:C,3,FALSE)</f>
        <v>Grace Garcia</v>
      </c>
      <c r="J226" t="str">
        <f>VLOOKUP(D226,Products!A:C,2,FALSE)</f>
        <v>Simple Accessories</v>
      </c>
      <c r="K226" t="str">
        <f>VLOOKUP(D226,Products!A:C,3,FALSE)</f>
        <v>Fashion</v>
      </c>
      <c r="L226" t="str">
        <f>VLOOKUP(E226,Stores!A:B,2,FALSE)</f>
        <v>MegaMart Brianahaven</v>
      </c>
      <c r="M226">
        <f>VLOOKUP(D226,Products!A:E,5,FALSE)</f>
        <v>323.92</v>
      </c>
      <c r="N226" s="5">
        <f t="shared" si="3"/>
        <v>583.05600000000004</v>
      </c>
    </row>
    <row r="227" spans="1:14" x14ac:dyDescent="0.3">
      <c r="A227" t="s">
        <v>1083</v>
      </c>
      <c r="B227" s="2">
        <v>45430</v>
      </c>
      <c r="C227" t="s">
        <v>442</v>
      </c>
      <c r="D227" t="s">
        <v>764</v>
      </c>
      <c r="E227" t="s">
        <v>839</v>
      </c>
      <c r="F227">
        <v>4</v>
      </c>
      <c r="G227">
        <v>0.15</v>
      </c>
      <c r="H227" t="s">
        <v>861</v>
      </c>
      <c r="I227" t="str">
        <f>VLOOKUP(C227,Customers!A:C,2,FALSE)&amp;" "&amp;VLOOKUP(C227,Customers!A:C,3,FALSE)</f>
        <v>Jason Lloyd</v>
      </c>
      <c r="J227" t="str">
        <f>VLOOKUP(D227,Products!A:C,2,FALSE)</f>
        <v>Simple Accessories</v>
      </c>
      <c r="K227" t="str">
        <f>VLOOKUP(D227,Products!A:C,3,FALSE)</f>
        <v>Fashion</v>
      </c>
      <c r="L227" t="str">
        <f>VLOOKUP(E227,Stores!A:B,2,FALSE)</f>
        <v>MegaMart New Michele</v>
      </c>
      <c r="M227">
        <f>VLOOKUP(D227,Products!A:E,5,FALSE)</f>
        <v>323.92</v>
      </c>
      <c r="N227" s="5">
        <f t="shared" si="3"/>
        <v>1101.328</v>
      </c>
    </row>
    <row r="228" spans="1:14" x14ac:dyDescent="0.3">
      <c r="A228" t="s">
        <v>1084</v>
      </c>
      <c r="B228" s="2">
        <v>45529</v>
      </c>
      <c r="C228" t="s">
        <v>202</v>
      </c>
      <c r="D228" t="s">
        <v>790</v>
      </c>
      <c r="E228" t="s">
        <v>846</v>
      </c>
      <c r="F228">
        <v>2</v>
      </c>
      <c r="G228">
        <v>0.1</v>
      </c>
      <c r="H228" t="s">
        <v>865</v>
      </c>
      <c r="I228" t="str">
        <f>VLOOKUP(C228,Customers!A:C,2,FALSE)&amp;" "&amp;VLOOKUP(C228,Customers!A:C,3,FALSE)</f>
        <v>Billy Hernandez</v>
      </c>
      <c r="J228" t="str">
        <f>VLOOKUP(D228,Products!A:C,2,FALSE)</f>
        <v>Difficult Vegetables</v>
      </c>
      <c r="K228" t="str">
        <f>VLOOKUP(D228,Products!A:C,3,FALSE)</f>
        <v>Groceries</v>
      </c>
      <c r="L228" t="str">
        <f>VLOOKUP(E228,Stores!A:B,2,FALSE)</f>
        <v>MegaMart Johnmouth</v>
      </c>
      <c r="M228">
        <f>VLOOKUP(D228,Products!A:E,5,FALSE)</f>
        <v>304.70999999999998</v>
      </c>
      <c r="N228" s="5">
        <f t="shared" si="3"/>
        <v>548.47799999999995</v>
      </c>
    </row>
    <row r="229" spans="1:14" x14ac:dyDescent="0.3">
      <c r="A229" t="s">
        <v>1085</v>
      </c>
      <c r="B229" s="2">
        <v>45456</v>
      </c>
      <c r="C229" t="s">
        <v>589</v>
      </c>
      <c r="D229" t="s">
        <v>778</v>
      </c>
      <c r="E229" t="s">
        <v>842</v>
      </c>
      <c r="F229">
        <v>3</v>
      </c>
      <c r="G229">
        <v>0</v>
      </c>
      <c r="H229" t="s">
        <v>865</v>
      </c>
      <c r="I229" t="str">
        <f>VLOOKUP(C229,Customers!A:C,2,FALSE)&amp;" "&amp;VLOOKUP(C229,Customers!A:C,3,FALSE)</f>
        <v>Tanya Mueller</v>
      </c>
      <c r="J229" t="str">
        <f>VLOOKUP(D229,Products!A:C,2,FALSE)</f>
        <v>Behavior Dairy</v>
      </c>
      <c r="K229" t="str">
        <f>VLOOKUP(D229,Products!A:C,3,FALSE)</f>
        <v>Groceries</v>
      </c>
      <c r="L229" t="str">
        <f>VLOOKUP(E229,Stores!A:B,2,FALSE)</f>
        <v>MegaMart Brianahaven</v>
      </c>
      <c r="M229">
        <f>VLOOKUP(D229,Products!A:E,5,FALSE)</f>
        <v>1015.76</v>
      </c>
      <c r="N229" s="5">
        <f t="shared" si="3"/>
        <v>3047.2799999999997</v>
      </c>
    </row>
    <row r="230" spans="1:14" x14ac:dyDescent="0.3">
      <c r="A230" t="s">
        <v>1086</v>
      </c>
      <c r="B230" s="2">
        <v>45850</v>
      </c>
      <c r="C230" t="s">
        <v>277</v>
      </c>
      <c r="D230" t="s">
        <v>810</v>
      </c>
      <c r="E230" t="s">
        <v>831</v>
      </c>
      <c r="F230">
        <v>2</v>
      </c>
      <c r="G230">
        <v>0.1</v>
      </c>
      <c r="H230" t="s">
        <v>858</v>
      </c>
      <c r="I230" t="str">
        <f>VLOOKUP(C230,Customers!A:C,2,FALSE)&amp;" "&amp;VLOOKUP(C230,Customers!A:C,3,FALSE)</f>
        <v>Carl Armstrong</v>
      </c>
      <c r="J230" t="str">
        <f>VLOOKUP(D230,Products!A:C,2,FALSE)</f>
        <v>Maybe Clothing</v>
      </c>
      <c r="K230" t="str">
        <f>VLOOKUP(D230,Products!A:C,3,FALSE)</f>
        <v>Fashion</v>
      </c>
      <c r="L230" t="str">
        <f>VLOOKUP(E230,Stores!A:B,2,FALSE)</f>
        <v>MegaMart Jimenezborough</v>
      </c>
      <c r="M230">
        <f>VLOOKUP(D230,Products!A:E,5,FALSE)</f>
        <v>453.62</v>
      </c>
      <c r="N230" s="5">
        <f t="shared" si="3"/>
        <v>816.51600000000008</v>
      </c>
    </row>
    <row r="231" spans="1:14" x14ac:dyDescent="0.3">
      <c r="A231" t="s">
        <v>1087</v>
      </c>
      <c r="B231" s="2">
        <v>45631</v>
      </c>
      <c r="C231" t="s">
        <v>483</v>
      </c>
      <c r="D231" t="s">
        <v>769</v>
      </c>
      <c r="E231" t="s">
        <v>835</v>
      </c>
      <c r="F231">
        <v>4</v>
      </c>
      <c r="G231">
        <v>0</v>
      </c>
      <c r="H231" t="s">
        <v>861</v>
      </c>
      <c r="I231" t="str">
        <f>VLOOKUP(C231,Customers!A:C,2,FALSE)&amp;" "&amp;VLOOKUP(C231,Customers!A:C,3,FALSE)</f>
        <v>Jared Ochoa</v>
      </c>
      <c r="J231" t="str">
        <f>VLOOKUP(D231,Products!A:C,2,FALSE)</f>
        <v>How Vegetables</v>
      </c>
      <c r="K231" t="str">
        <f>VLOOKUP(D231,Products!A:C,3,FALSE)</f>
        <v>Groceries</v>
      </c>
      <c r="L231" t="str">
        <f>VLOOKUP(E231,Stores!A:B,2,FALSE)</f>
        <v>MegaMart Peckmouth</v>
      </c>
      <c r="M231">
        <f>VLOOKUP(D231,Products!A:E,5,FALSE)</f>
        <v>25.57</v>
      </c>
      <c r="N231" s="5">
        <f t="shared" si="3"/>
        <v>102.28</v>
      </c>
    </row>
    <row r="232" spans="1:14" x14ac:dyDescent="0.3">
      <c r="A232" t="s">
        <v>1088</v>
      </c>
      <c r="B232" s="2">
        <v>45828</v>
      </c>
      <c r="C232" t="s">
        <v>432</v>
      </c>
      <c r="D232" t="s">
        <v>818</v>
      </c>
      <c r="E232" t="s">
        <v>839</v>
      </c>
      <c r="F232">
        <v>1</v>
      </c>
      <c r="G232">
        <v>0.15</v>
      </c>
      <c r="H232" t="s">
        <v>865</v>
      </c>
      <c r="I232" t="str">
        <f>VLOOKUP(C232,Customers!A:C,2,FALSE)&amp;" "&amp;VLOOKUP(C232,Customers!A:C,3,FALSE)</f>
        <v>Jamie Webb</v>
      </c>
      <c r="J232" t="str">
        <f>VLOOKUP(D232,Products!A:C,2,FALSE)</f>
        <v>Nature Clothing</v>
      </c>
      <c r="K232" t="str">
        <f>VLOOKUP(D232,Products!A:C,3,FALSE)</f>
        <v>Fashion</v>
      </c>
      <c r="L232" t="str">
        <f>VLOOKUP(E232,Stores!A:B,2,FALSE)</f>
        <v>MegaMart New Michele</v>
      </c>
      <c r="M232">
        <f>VLOOKUP(D232,Products!A:E,5,FALSE)</f>
        <v>1165.3699999999999</v>
      </c>
      <c r="N232" s="5">
        <f t="shared" si="3"/>
        <v>990.56449999999984</v>
      </c>
    </row>
    <row r="233" spans="1:14" x14ac:dyDescent="0.3">
      <c r="A233" t="s">
        <v>1089</v>
      </c>
      <c r="B233" s="2">
        <v>45683</v>
      </c>
      <c r="C233" t="s">
        <v>382</v>
      </c>
      <c r="D233" t="s">
        <v>802</v>
      </c>
      <c r="E233" t="s">
        <v>846</v>
      </c>
      <c r="F233">
        <v>3</v>
      </c>
      <c r="G233">
        <v>0.05</v>
      </c>
      <c r="H233" t="s">
        <v>858</v>
      </c>
      <c r="I233" t="str">
        <f>VLOOKUP(C233,Customers!A:C,2,FALSE)&amp;" "&amp;VLOOKUP(C233,Customers!A:C,3,FALSE)</f>
        <v>Carolyn Perez</v>
      </c>
      <c r="J233" t="str">
        <f>VLOOKUP(D233,Products!A:C,2,FALSE)</f>
        <v>Stage Footwear</v>
      </c>
      <c r="K233" t="str">
        <f>VLOOKUP(D233,Products!A:C,3,FALSE)</f>
        <v>Fashion</v>
      </c>
      <c r="L233" t="str">
        <f>VLOOKUP(E233,Stores!A:B,2,FALSE)</f>
        <v>MegaMart Johnmouth</v>
      </c>
      <c r="M233">
        <f>VLOOKUP(D233,Products!A:E,5,FALSE)</f>
        <v>366.93</v>
      </c>
      <c r="N233" s="5">
        <f t="shared" si="3"/>
        <v>1045.7504999999999</v>
      </c>
    </row>
    <row r="234" spans="1:14" x14ac:dyDescent="0.3">
      <c r="A234" t="s">
        <v>1090</v>
      </c>
      <c r="B234" s="2">
        <v>45515</v>
      </c>
      <c r="C234" t="s">
        <v>85</v>
      </c>
      <c r="D234" t="s">
        <v>826</v>
      </c>
      <c r="E234" t="s">
        <v>839</v>
      </c>
      <c r="F234">
        <v>2</v>
      </c>
      <c r="G234">
        <v>0</v>
      </c>
      <c r="H234" t="s">
        <v>855</v>
      </c>
      <c r="I234" t="str">
        <f>VLOOKUP(C234,Customers!A:C,2,FALSE)&amp;" "&amp;VLOOKUP(C234,Customers!A:C,3,FALSE)</f>
        <v>Debbie Martin</v>
      </c>
      <c r="J234" t="str">
        <f>VLOOKUP(D234,Products!A:C,2,FALSE)</f>
        <v>Maybe Footwear</v>
      </c>
      <c r="K234" t="str">
        <f>VLOOKUP(D234,Products!A:C,3,FALSE)</f>
        <v>Fashion</v>
      </c>
      <c r="L234" t="str">
        <f>VLOOKUP(E234,Stores!A:B,2,FALSE)</f>
        <v>MegaMart New Michele</v>
      </c>
      <c r="M234">
        <f>VLOOKUP(D234,Products!A:E,5,FALSE)</f>
        <v>1044.6400000000001</v>
      </c>
      <c r="N234" s="5">
        <f t="shared" si="3"/>
        <v>2089.2800000000002</v>
      </c>
    </row>
    <row r="235" spans="1:14" x14ac:dyDescent="0.3">
      <c r="A235" t="s">
        <v>1091</v>
      </c>
      <c r="B235" s="2">
        <v>45765</v>
      </c>
      <c r="C235" t="s">
        <v>105</v>
      </c>
      <c r="D235" t="s">
        <v>766</v>
      </c>
      <c r="E235" t="s">
        <v>839</v>
      </c>
      <c r="F235">
        <v>2</v>
      </c>
      <c r="G235">
        <v>0.05</v>
      </c>
      <c r="H235" t="s">
        <v>865</v>
      </c>
      <c r="I235" t="str">
        <f>VLOOKUP(C235,Customers!A:C,2,FALSE)&amp;" "&amp;VLOOKUP(C235,Customers!A:C,3,FALSE)</f>
        <v>Justin Macdonald</v>
      </c>
      <c r="J235" t="str">
        <f>VLOOKUP(D235,Products!A:C,2,FALSE)</f>
        <v>Firm Dairy</v>
      </c>
      <c r="K235" t="str">
        <f>VLOOKUP(D235,Products!A:C,3,FALSE)</f>
        <v>Groceries</v>
      </c>
      <c r="L235" t="str">
        <f>VLOOKUP(E235,Stores!A:B,2,FALSE)</f>
        <v>MegaMart New Michele</v>
      </c>
      <c r="M235">
        <f>VLOOKUP(D235,Products!A:E,5,FALSE)</f>
        <v>1227.24</v>
      </c>
      <c r="N235" s="5">
        <f t="shared" si="3"/>
        <v>2331.7559999999999</v>
      </c>
    </row>
    <row r="236" spans="1:14" x14ac:dyDescent="0.3">
      <c r="A236" t="s">
        <v>1092</v>
      </c>
      <c r="B236" s="2">
        <v>45879</v>
      </c>
      <c r="C236" t="s">
        <v>280</v>
      </c>
      <c r="D236" t="s">
        <v>732</v>
      </c>
      <c r="E236" t="s">
        <v>842</v>
      </c>
      <c r="F236">
        <v>2</v>
      </c>
      <c r="G236">
        <v>0.15</v>
      </c>
      <c r="H236" t="s">
        <v>858</v>
      </c>
      <c r="I236" t="str">
        <f>VLOOKUP(C236,Customers!A:C,2,FALSE)&amp;" "&amp;VLOOKUP(C236,Customers!A:C,3,FALSE)</f>
        <v>Jesus Singh</v>
      </c>
      <c r="J236" t="str">
        <f>VLOOKUP(D236,Products!A:C,2,FALSE)</f>
        <v>Understand Camera</v>
      </c>
      <c r="K236" t="str">
        <f>VLOOKUP(D236,Products!A:C,3,FALSE)</f>
        <v>Electronics</v>
      </c>
      <c r="L236" t="str">
        <f>VLOOKUP(E236,Stores!A:B,2,FALSE)</f>
        <v>MegaMart Brianahaven</v>
      </c>
      <c r="M236">
        <f>VLOOKUP(D236,Products!A:E,5,FALSE)</f>
        <v>1474.12</v>
      </c>
      <c r="N236" s="5">
        <f t="shared" si="3"/>
        <v>2506.0039999999999</v>
      </c>
    </row>
    <row r="237" spans="1:14" x14ac:dyDescent="0.3">
      <c r="A237" t="s">
        <v>1093</v>
      </c>
      <c r="B237" s="2">
        <v>45318</v>
      </c>
      <c r="C237" t="s">
        <v>567</v>
      </c>
      <c r="D237" t="s">
        <v>826</v>
      </c>
      <c r="E237" t="s">
        <v>831</v>
      </c>
      <c r="F237">
        <v>1</v>
      </c>
      <c r="G237">
        <v>0</v>
      </c>
      <c r="H237" t="s">
        <v>855</v>
      </c>
      <c r="I237" t="str">
        <f>VLOOKUP(C237,Customers!A:C,2,FALSE)&amp;" "&amp;VLOOKUP(C237,Customers!A:C,3,FALSE)</f>
        <v>Crystal Aguirre</v>
      </c>
      <c r="J237" t="str">
        <f>VLOOKUP(D237,Products!A:C,2,FALSE)</f>
        <v>Maybe Footwear</v>
      </c>
      <c r="K237" t="str">
        <f>VLOOKUP(D237,Products!A:C,3,FALSE)</f>
        <v>Fashion</v>
      </c>
      <c r="L237" t="str">
        <f>VLOOKUP(E237,Stores!A:B,2,FALSE)</f>
        <v>MegaMart Jimenezborough</v>
      </c>
      <c r="M237">
        <f>VLOOKUP(D237,Products!A:E,5,FALSE)</f>
        <v>1044.6400000000001</v>
      </c>
      <c r="N237" s="5">
        <f t="shared" si="3"/>
        <v>1044.6400000000001</v>
      </c>
    </row>
    <row r="238" spans="1:14" x14ac:dyDescent="0.3">
      <c r="A238" t="s">
        <v>1094</v>
      </c>
      <c r="B238" s="2">
        <v>45420</v>
      </c>
      <c r="C238" t="s">
        <v>217</v>
      </c>
      <c r="D238" t="s">
        <v>804</v>
      </c>
      <c r="E238" t="s">
        <v>835</v>
      </c>
      <c r="F238">
        <v>5</v>
      </c>
      <c r="G238">
        <v>0.15</v>
      </c>
      <c r="H238" t="s">
        <v>865</v>
      </c>
      <c r="I238" t="str">
        <f>VLOOKUP(C238,Customers!A:C,2,FALSE)&amp;" "&amp;VLOOKUP(C238,Customers!A:C,3,FALSE)</f>
        <v>Carl Wyatt</v>
      </c>
      <c r="J238" t="str">
        <f>VLOOKUP(D238,Products!A:C,2,FALSE)</f>
        <v>Church Clothing</v>
      </c>
      <c r="K238" t="str">
        <f>VLOOKUP(D238,Products!A:C,3,FALSE)</f>
        <v>Fashion</v>
      </c>
      <c r="L238" t="str">
        <f>VLOOKUP(E238,Stores!A:B,2,FALSE)</f>
        <v>MegaMart Peckmouth</v>
      </c>
      <c r="M238">
        <f>VLOOKUP(D238,Products!A:E,5,FALSE)</f>
        <v>540.94000000000005</v>
      </c>
      <c r="N238" s="5">
        <f t="shared" si="3"/>
        <v>2298.9950000000003</v>
      </c>
    </row>
    <row r="239" spans="1:14" x14ac:dyDescent="0.3">
      <c r="A239" t="s">
        <v>1095</v>
      </c>
      <c r="B239" s="2">
        <v>45196</v>
      </c>
      <c r="C239" t="s">
        <v>700</v>
      </c>
      <c r="D239" t="s">
        <v>772</v>
      </c>
      <c r="E239" t="s">
        <v>839</v>
      </c>
      <c r="F239">
        <v>2</v>
      </c>
      <c r="G239">
        <v>0.1</v>
      </c>
      <c r="H239" t="s">
        <v>865</v>
      </c>
      <c r="I239" t="str">
        <f>VLOOKUP(C239,Customers!A:C,2,FALSE)&amp;" "&amp;VLOOKUP(C239,Customers!A:C,3,FALSE)</f>
        <v>Juan Johnson</v>
      </c>
      <c r="J239" t="str">
        <f>VLOOKUP(D239,Products!A:C,2,FALSE)</f>
        <v>And Footwear</v>
      </c>
      <c r="K239" t="str">
        <f>VLOOKUP(D239,Products!A:C,3,FALSE)</f>
        <v>Fashion</v>
      </c>
      <c r="L239" t="str">
        <f>VLOOKUP(E239,Stores!A:B,2,FALSE)</f>
        <v>MegaMart New Michele</v>
      </c>
      <c r="M239">
        <f>VLOOKUP(D239,Products!A:E,5,FALSE)</f>
        <v>1878.47</v>
      </c>
      <c r="N239" s="5">
        <f t="shared" si="3"/>
        <v>3381.2460000000001</v>
      </c>
    </row>
    <row r="240" spans="1:14" x14ac:dyDescent="0.3">
      <c r="A240" t="s">
        <v>1096</v>
      </c>
      <c r="B240" s="2">
        <v>45409</v>
      </c>
      <c r="C240" t="s">
        <v>55</v>
      </c>
      <c r="D240" t="s">
        <v>750</v>
      </c>
      <c r="E240" t="s">
        <v>835</v>
      </c>
      <c r="F240">
        <v>4</v>
      </c>
      <c r="G240">
        <v>0.15</v>
      </c>
      <c r="H240" t="s">
        <v>865</v>
      </c>
      <c r="I240" t="str">
        <f>VLOOKUP(C240,Customers!A:C,2,FALSE)&amp;" "&amp;VLOOKUP(C240,Customers!A:C,3,FALSE)</f>
        <v>Robert Anderson</v>
      </c>
      <c r="J240" t="str">
        <f>VLOOKUP(D240,Products!A:C,2,FALSE)</f>
        <v>Add Clothing</v>
      </c>
      <c r="K240" t="str">
        <f>VLOOKUP(D240,Products!A:C,3,FALSE)</f>
        <v>Fashion</v>
      </c>
      <c r="L240" t="str">
        <f>VLOOKUP(E240,Stores!A:B,2,FALSE)</f>
        <v>MegaMart Peckmouth</v>
      </c>
      <c r="M240">
        <f>VLOOKUP(D240,Products!A:E,5,FALSE)</f>
        <v>1342.75</v>
      </c>
      <c r="N240" s="5">
        <f t="shared" si="3"/>
        <v>4565.3499999999995</v>
      </c>
    </row>
    <row r="241" spans="1:14" x14ac:dyDescent="0.3">
      <c r="A241" t="s">
        <v>1097</v>
      </c>
      <c r="B241" s="2">
        <v>45538</v>
      </c>
      <c r="C241" t="s">
        <v>115</v>
      </c>
      <c r="D241" t="s">
        <v>759</v>
      </c>
      <c r="E241" t="s">
        <v>842</v>
      </c>
      <c r="F241">
        <v>5</v>
      </c>
      <c r="G241">
        <v>0</v>
      </c>
      <c r="H241" t="s">
        <v>861</v>
      </c>
      <c r="I241" t="str">
        <f>VLOOKUP(C241,Customers!A:C,2,FALSE)&amp;" "&amp;VLOOKUP(C241,Customers!A:C,3,FALSE)</f>
        <v>Tyler Levine</v>
      </c>
      <c r="J241" t="str">
        <f>VLOOKUP(D241,Products!A:C,2,FALSE)</f>
        <v>Democratic Smartphone</v>
      </c>
      <c r="K241" t="str">
        <f>VLOOKUP(D241,Products!A:C,3,FALSE)</f>
        <v>Electronics</v>
      </c>
      <c r="L241" t="str">
        <f>VLOOKUP(E241,Stores!A:B,2,FALSE)</f>
        <v>MegaMart Brianahaven</v>
      </c>
      <c r="M241">
        <f>VLOOKUP(D241,Products!A:E,5,FALSE)</f>
        <v>1079.8900000000001</v>
      </c>
      <c r="N241" s="5">
        <f t="shared" si="3"/>
        <v>5399.4500000000007</v>
      </c>
    </row>
    <row r="242" spans="1:14" x14ac:dyDescent="0.3">
      <c r="A242" t="s">
        <v>1098</v>
      </c>
      <c r="B242" s="2">
        <v>45593</v>
      </c>
      <c r="C242" t="s">
        <v>650</v>
      </c>
      <c r="D242" t="s">
        <v>794</v>
      </c>
      <c r="E242" t="s">
        <v>835</v>
      </c>
      <c r="F242">
        <v>3</v>
      </c>
      <c r="G242">
        <v>0.15</v>
      </c>
      <c r="H242" t="s">
        <v>865</v>
      </c>
      <c r="I242" t="str">
        <f>VLOOKUP(C242,Customers!A:C,2,FALSE)&amp;" "&amp;VLOOKUP(C242,Customers!A:C,3,FALSE)</f>
        <v>Daniel Mcintyre</v>
      </c>
      <c r="J242" t="str">
        <f>VLOOKUP(D242,Products!A:C,2,FALSE)</f>
        <v>Everything Laptop</v>
      </c>
      <c r="K242" t="str">
        <f>VLOOKUP(D242,Products!A:C,3,FALSE)</f>
        <v>Electronics</v>
      </c>
      <c r="L242" t="str">
        <f>VLOOKUP(E242,Stores!A:B,2,FALSE)</f>
        <v>MegaMart Peckmouth</v>
      </c>
      <c r="M242">
        <f>VLOOKUP(D242,Products!A:E,5,FALSE)</f>
        <v>428.05</v>
      </c>
      <c r="N242" s="5">
        <f t="shared" si="3"/>
        <v>1091.5275000000001</v>
      </c>
    </row>
    <row r="243" spans="1:14" x14ac:dyDescent="0.3">
      <c r="A243" t="s">
        <v>1099</v>
      </c>
      <c r="B243" s="2">
        <v>45746</v>
      </c>
      <c r="C243" t="s">
        <v>567</v>
      </c>
      <c r="D243" t="s">
        <v>753</v>
      </c>
      <c r="E243" t="s">
        <v>839</v>
      </c>
      <c r="F243">
        <v>2</v>
      </c>
      <c r="G243">
        <v>0.15</v>
      </c>
      <c r="H243" t="s">
        <v>861</v>
      </c>
      <c r="I243" t="str">
        <f>VLOOKUP(C243,Customers!A:C,2,FALSE)&amp;" "&amp;VLOOKUP(C243,Customers!A:C,3,FALSE)</f>
        <v>Crystal Aguirre</v>
      </c>
      <c r="J243" t="str">
        <f>VLOOKUP(D243,Products!A:C,2,FALSE)</f>
        <v>Whether Bags</v>
      </c>
      <c r="K243" t="str">
        <f>VLOOKUP(D243,Products!A:C,3,FALSE)</f>
        <v>Fashion</v>
      </c>
      <c r="L243" t="str">
        <f>VLOOKUP(E243,Stores!A:B,2,FALSE)</f>
        <v>MegaMart New Michele</v>
      </c>
      <c r="M243">
        <f>VLOOKUP(D243,Products!A:E,5,FALSE)</f>
        <v>270.45</v>
      </c>
      <c r="N243" s="5">
        <f t="shared" si="3"/>
        <v>459.76499999999999</v>
      </c>
    </row>
    <row r="244" spans="1:14" x14ac:dyDescent="0.3">
      <c r="A244" t="s">
        <v>1100</v>
      </c>
      <c r="B244" s="2">
        <v>45903</v>
      </c>
      <c r="C244" t="s">
        <v>608</v>
      </c>
      <c r="D244" t="s">
        <v>814</v>
      </c>
      <c r="E244" t="s">
        <v>831</v>
      </c>
      <c r="F244">
        <v>5</v>
      </c>
      <c r="G244">
        <v>0.1</v>
      </c>
      <c r="H244" t="s">
        <v>865</v>
      </c>
      <c r="I244" t="str">
        <f>VLOOKUP(C244,Customers!A:C,2,FALSE)&amp;" "&amp;VLOOKUP(C244,Customers!A:C,3,FALSE)</f>
        <v>Christina Dominguez</v>
      </c>
      <c r="J244" t="str">
        <f>VLOOKUP(D244,Products!A:C,2,FALSE)</f>
        <v>Least Accessories</v>
      </c>
      <c r="K244" t="str">
        <f>VLOOKUP(D244,Products!A:C,3,FALSE)</f>
        <v>Fashion</v>
      </c>
      <c r="L244" t="str">
        <f>VLOOKUP(E244,Stores!A:B,2,FALSE)</f>
        <v>MegaMart Jimenezborough</v>
      </c>
      <c r="M244">
        <f>VLOOKUP(D244,Products!A:E,5,FALSE)</f>
        <v>1286.55</v>
      </c>
      <c r="N244" s="5">
        <f t="shared" si="3"/>
        <v>5789.4750000000004</v>
      </c>
    </row>
    <row r="245" spans="1:14" x14ac:dyDescent="0.3">
      <c r="A245" t="s">
        <v>1101</v>
      </c>
      <c r="B245" s="2">
        <v>45391</v>
      </c>
      <c r="C245" t="s">
        <v>494</v>
      </c>
      <c r="D245" t="s">
        <v>715</v>
      </c>
      <c r="E245" t="s">
        <v>846</v>
      </c>
      <c r="F245">
        <v>5</v>
      </c>
      <c r="G245">
        <v>0</v>
      </c>
      <c r="H245" t="s">
        <v>858</v>
      </c>
      <c r="I245" t="str">
        <f>VLOOKUP(C245,Customers!A:C,2,FALSE)&amp;" "&amp;VLOOKUP(C245,Customers!A:C,3,FALSE)</f>
        <v>Mario Cuevas</v>
      </c>
      <c r="J245" t="str">
        <f>VLOOKUP(D245,Products!A:C,2,FALSE)</f>
        <v>Audience Television</v>
      </c>
      <c r="K245" t="str">
        <f>VLOOKUP(D245,Products!A:C,3,FALSE)</f>
        <v>Electronics</v>
      </c>
      <c r="L245" t="str">
        <f>VLOOKUP(E245,Stores!A:B,2,FALSE)</f>
        <v>MegaMart Johnmouth</v>
      </c>
      <c r="M245">
        <f>VLOOKUP(D245,Products!A:E,5,FALSE)</f>
        <v>818.76</v>
      </c>
      <c r="N245" s="5">
        <f t="shared" si="3"/>
        <v>4093.8</v>
      </c>
    </row>
    <row r="246" spans="1:14" x14ac:dyDescent="0.3">
      <c r="A246" t="s">
        <v>1102</v>
      </c>
      <c r="B246" s="2">
        <v>45549</v>
      </c>
      <c r="C246" t="s">
        <v>449</v>
      </c>
      <c r="D246" t="s">
        <v>742</v>
      </c>
      <c r="E246" t="s">
        <v>831</v>
      </c>
      <c r="F246">
        <v>4</v>
      </c>
      <c r="G246">
        <v>0.1</v>
      </c>
      <c r="H246" t="s">
        <v>855</v>
      </c>
      <c r="I246" t="str">
        <f>VLOOKUP(C246,Customers!A:C,2,FALSE)&amp;" "&amp;VLOOKUP(C246,Customers!A:C,3,FALSE)</f>
        <v>John Bell</v>
      </c>
      <c r="J246" t="str">
        <f>VLOOKUP(D246,Products!A:C,2,FALSE)</f>
        <v>Either Headphones</v>
      </c>
      <c r="K246" t="str">
        <f>VLOOKUP(D246,Products!A:C,3,FALSE)</f>
        <v>Electronics</v>
      </c>
      <c r="L246" t="str">
        <f>VLOOKUP(E246,Stores!A:B,2,FALSE)</f>
        <v>MegaMart Jimenezborough</v>
      </c>
      <c r="M246">
        <f>VLOOKUP(D246,Products!A:E,5,FALSE)</f>
        <v>248.57</v>
      </c>
      <c r="N246" s="5">
        <f t="shared" si="3"/>
        <v>894.85199999999998</v>
      </c>
    </row>
    <row r="247" spans="1:14" x14ac:dyDescent="0.3">
      <c r="A247" t="s">
        <v>1103</v>
      </c>
      <c r="B247" s="2">
        <v>45446</v>
      </c>
      <c r="C247" t="s">
        <v>677</v>
      </c>
      <c r="D247" t="s">
        <v>786</v>
      </c>
      <c r="E247" t="s">
        <v>831</v>
      </c>
      <c r="F247">
        <v>3</v>
      </c>
      <c r="G247">
        <v>0</v>
      </c>
      <c r="H247" t="s">
        <v>855</v>
      </c>
      <c r="I247" t="str">
        <f>VLOOKUP(C247,Customers!A:C,2,FALSE)&amp;" "&amp;VLOOKUP(C247,Customers!A:C,3,FALSE)</f>
        <v>James Wilson</v>
      </c>
      <c r="J247" t="str">
        <f>VLOOKUP(D247,Products!A:C,2,FALSE)</f>
        <v>National Watches</v>
      </c>
      <c r="K247" t="str">
        <f>VLOOKUP(D247,Products!A:C,3,FALSE)</f>
        <v>Fashion</v>
      </c>
      <c r="L247" t="str">
        <f>VLOOKUP(E247,Stores!A:B,2,FALSE)</f>
        <v>MegaMart Jimenezborough</v>
      </c>
      <c r="M247">
        <f>VLOOKUP(D247,Products!A:E,5,FALSE)</f>
        <v>29.24</v>
      </c>
      <c r="N247" s="5">
        <f t="shared" si="3"/>
        <v>87.72</v>
      </c>
    </row>
    <row r="248" spans="1:14" x14ac:dyDescent="0.3">
      <c r="A248" t="s">
        <v>1104</v>
      </c>
      <c r="B248" s="2">
        <v>45633</v>
      </c>
      <c r="C248" t="s">
        <v>238</v>
      </c>
      <c r="D248" t="s">
        <v>769</v>
      </c>
      <c r="E248" t="s">
        <v>831</v>
      </c>
      <c r="F248">
        <v>5</v>
      </c>
      <c r="G248">
        <v>0.1</v>
      </c>
      <c r="H248" t="s">
        <v>861</v>
      </c>
      <c r="I248" t="str">
        <f>VLOOKUP(C248,Customers!A:C,2,FALSE)&amp;" "&amp;VLOOKUP(C248,Customers!A:C,3,FALSE)</f>
        <v>Susan Salinas</v>
      </c>
      <c r="J248" t="str">
        <f>VLOOKUP(D248,Products!A:C,2,FALSE)</f>
        <v>How Vegetables</v>
      </c>
      <c r="K248" t="str">
        <f>VLOOKUP(D248,Products!A:C,3,FALSE)</f>
        <v>Groceries</v>
      </c>
      <c r="L248" t="str">
        <f>VLOOKUP(E248,Stores!A:B,2,FALSE)</f>
        <v>MegaMart Jimenezborough</v>
      </c>
      <c r="M248">
        <f>VLOOKUP(D248,Products!A:E,5,FALSE)</f>
        <v>25.57</v>
      </c>
      <c r="N248" s="5">
        <f t="shared" si="3"/>
        <v>115.065</v>
      </c>
    </row>
    <row r="249" spans="1:14" x14ac:dyDescent="0.3">
      <c r="A249" t="s">
        <v>1105</v>
      </c>
      <c r="B249" s="2">
        <v>45247</v>
      </c>
      <c r="C249" t="s">
        <v>51</v>
      </c>
      <c r="D249" t="s">
        <v>796</v>
      </c>
      <c r="E249" t="s">
        <v>839</v>
      </c>
      <c r="F249">
        <v>5</v>
      </c>
      <c r="G249">
        <v>0.1</v>
      </c>
      <c r="H249" t="s">
        <v>861</v>
      </c>
      <c r="I249" t="str">
        <f>VLOOKUP(C249,Customers!A:C,2,FALSE)&amp;" "&amp;VLOOKUP(C249,Customers!A:C,3,FALSE)</f>
        <v>Dale Perry</v>
      </c>
      <c r="J249" t="str">
        <f>VLOOKUP(D249,Products!A:C,2,FALSE)</f>
        <v>Chair Laptop</v>
      </c>
      <c r="K249" t="str">
        <f>VLOOKUP(D249,Products!A:C,3,FALSE)</f>
        <v>Electronics</v>
      </c>
      <c r="L249" t="str">
        <f>VLOOKUP(E249,Stores!A:B,2,FALSE)</f>
        <v>MegaMart New Michele</v>
      </c>
      <c r="M249">
        <f>VLOOKUP(D249,Products!A:E,5,FALSE)</f>
        <v>1562.43</v>
      </c>
      <c r="N249" s="5">
        <f t="shared" si="3"/>
        <v>7030.9350000000004</v>
      </c>
    </row>
    <row r="250" spans="1:14" x14ac:dyDescent="0.3">
      <c r="A250" t="s">
        <v>1106</v>
      </c>
      <c r="B250" s="2">
        <v>45690</v>
      </c>
      <c r="C250" t="s">
        <v>702</v>
      </c>
      <c r="D250" t="s">
        <v>804</v>
      </c>
      <c r="E250" t="s">
        <v>842</v>
      </c>
      <c r="F250">
        <v>4</v>
      </c>
      <c r="G250">
        <v>0.05</v>
      </c>
      <c r="H250" t="s">
        <v>861</v>
      </c>
      <c r="I250" t="str">
        <f>VLOOKUP(C250,Customers!A:C,2,FALSE)&amp;" "&amp;VLOOKUP(C250,Customers!A:C,3,FALSE)</f>
        <v>Ronald Haley</v>
      </c>
      <c r="J250" t="str">
        <f>VLOOKUP(D250,Products!A:C,2,FALSE)</f>
        <v>Church Clothing</v>
      </c>
      <c r="K250" t="str">
        <f>VLOOKUP(D250,Products!A:C,3,FALSE)</f>
        <v>Fashion</v>
      </c>
      <c r="L250" t="str">
        <f>VLOOKUP(E250,Stores!A:B,2,FALSE)</f>
        <v>MegaMart Brianahaven</v>
      </c>
      <c r="M250">
        <f>VLOOKUP(D250,Products!A:E,5,FALSE)</f>
        <v>540.94000000000005</v>
      </c>
      <c r="N250" s="5">
        <f t="shared" si="3"/>
        <v>2055.5720000000001</v>
      </c>
    </row>
    <row r="251" spans="1:14" x14ac:dyDescent="0.3">
      <c r="A251" t="s">
        <v>1107</v>
      </c>
      <c r="B251" s="2">
        <v>45846</v>
      </c>
      <c r="C251" t="s">
        <v>71</v>
      </c>
      <c r="D251" t="s">
        <v>800</v>
      </c>
      <c r="E251" t="s">
        <v>842</v>
      </c>
      <c r="F251">
        <v>1</v>
      </c>
      <c r="G251">
        <v>0.1</v>
      </c>
      <c r="H251" t="s">
        <v>861</v>
      </c>
      <c r="I251" t="str">
        <f>VLOOKUP(C251,Customers!A:C,2,FALSE)&amp;" "&amp;VLOOKUP(C251,Customers!A:C,3,FALSE)</f>
        <v>Vanessa Anderson</v>
      </c>
      <c r="J251" t="str">
        <f>VLOOKUP(D251,Products!A:C,2,FALSE)</f>
        <v>Book Television</v>
      </c>
      <c r="K251" t="str">
        <f>VLOOKUP(D251,Products!A:C,3,FALSE)</f>
        <v>Electronics</v>
      </c>
      <c r="L251" t="str">
        <f>VLOOKUP(E251,Stores!A:B,2,FALSE)</f>
        <v>MegaMart Brianahaven</v>
      </c>
      <c r="M251">
        <f>VLOOKUP(D251,Products!A:E,5,FALSE)</f>
        <v>1952.65</v>
      </c>
      <c r="N251" s="5">
        <f t="shared" si="3"/>
        <v>1757.3850000000002</v>
      </c>
    </row>
    <row r="252" spans="1:14" x14ac:dyDescent="0.3">
      <c r="A252" t="s">
        <v>1108</v>
      </c>
      <c r="B252" s="2">
        <v>45507</v>
      </c>
      <c r="C252" t="s">
        <v>51</v>
      </c>
      <c r="D252" t="s">
        <v>769</v>
      </c>
      <c r="E252" t="s">
        <v>835</v>
      </c>
      <c r="F252">
        <v>1</v>
      </c>
      <c r="G252">
        <v>0.1</v>
      </c>
      <c r="H252" t="s">
        <v>855</v>
      </c>
      <c r="I252" t="str">
        <f>VLOOKUP(C252,Customers!A:C,2,FALSE)&amp;" "&amp;VLOOKUP(C252,Customers!A:C,3,FALSE)</f>
        <v>Dale Perry</v>
      </c>
      <c r="J252" t="str">
        <f>VLOOKUP(D252,Products!A:C,2,FALSE)</f>
        <v>How Vegetables</v>
      </c>
      <c r="K252" t="str">
        <f>VLOOKUP(D252,Products!A:C,3,FALSE)</f>
        <v>Groceries</v>
      </c>
      <c r="L252" t="str">
        <f>VLOOKUP(E252,Stores!A:B,2,FALSE)</f>
        <v>MegaMart Peckmouth</v>
      </c>
      <c r="M252">
        <f>VLOOKUP(D252,Products!A:E,5,FALSE)</f>
        <v>25.57</v>
      </c>
      <c r="N252" s="5">
        <f t="shared" si="3"/>
        <v>23.013000000000002</v>
      </c>
    </row>
    <row r="253" spans="1:14" x14ac:dyDescent="0.3">
      <c r="A253" t="s">
        <v>1109</v>
      </c>
      <c r="B253" s="2">
        <v>45371</v>
      </c>
      <c r="C253" t="s">
        <v>483</v>
      </c>
      <c r="D253" t="s">
        <v>818</v>
      </c>
      <c r="E253" t="s">
        <v>842</v>
      </c>
      <c r="F253">
        <v>5</v>
      </c>
      <c r="G253">
        <v>0.15</v>
      </c>
      <c r="H253" t="s">
        <v>855</v>
      </c>
      <c r="I253" t="str">
        <f>VLOOKUP(C253,Customers!A:C,2,FALSE)&amp;" "&amp;VLOOKUP(C253,Customers!A:C,3,FALSE)</f>
        <v>Jared Ochoa</v>
      </c>
      <c r="J253" t="str">
        <f>VLOOKUP(D253,Products!A:C,2,FALSE)</f>
        <v>Nature Clothing</v>
      </c>
      <c r="K253" t="str">
        <f>VLOOKUP(D253,Products!A:C,3,FALSE)</f>
        <v>Fashion</v>
      </c>
      <c r="L253" t="str">
        <f>VLOOKUP(E253,Stores!A:B,2,FALSE)</f>
        <v>MegaMart Brianahaven</v>
      </c>
      <c r="M253">
        <f>VLOOKUP(D253,Products!A:E,5,FALSE)</f>
        <v>1165.3699999999999</v>
      </c>
      <c r="N253" s="5">
        <f t="shared" si="3"/>
        <v>4952.8224999999993</v>
      </c>
    </row>
    <row r="254" spans="1:14" x14ac:dyDescent="0.3">
      <c r="A254" t="s">
        <v>1110</v>
      </c>
      <c r="B254" s="2">
        <v>45342</v>
      </c>
      <c r="C254" t="s">
        <v>44</v>
      </c>
      <c r="D254" t="s">
        <v>722</v>
      </c>
      <c r="E254" t="s">
        <v>835</v>
      </c>
      <c r="F254">
        <v>3</v>
      </c>
      <c r="G254">
        <v>0.1</v>
      </c>
      <c r="H254" t="s">
        <v>865</v>
      </c>
      <c r="I254" t="str">
        <f>VLOOKUP(C254,Customers!A:C,2,FALSE)&amp;" "&amp;VLOOKUP(C254,Customers!A:C,3,FALSE)</f>
        <v>Catherine Rice</v>
      </c>
      <c r="J254" t="str">
        <f>VLOOKUP(D254,Products!A:C,2,FALSE)</f>
        <v>Four Accessories</v>
      </c>
      <c r="K254" t="str">
        <f>VLOOKUP(D254,Products!A:C,3,FALSE)</f>
        <v>Fashion</v>
      </c>
      <c r="L254" t="str">
        <f>VLOOKUP(E254,Stores!A:B,2,FALSE)</f>
        <v>MegaMart Peckmouth</v>
      </c>
      <c r="M254">
        <f>VLOOKUP(D254,Products!A:E,5,FALSE)</f>
        <v>1853.77</v>
      </c>
      <c r="N254" s="5">
        <f t="shared" si="3"/>
        <v>5005.1790000000001</v>
      </c>
    </row>
    <row r="255" spans="1:14" x14ac:dyDescent="0.3">
      <c r="A255" t="s">
        <v>1111</v>
      </c>
      <c r="B255" s="2">
        <v>45732</v>
      </c>
      <c r="C255" t="s">
        <v>599</v>
      </c>
      <c r="D255" t="s">
        <v>818</v>
      </c>
      <c r="E255" t="s">
        <v>839</v>
      </c>
      <c r="F255">
        <v>3</v>
      </c>
      <c r="G255">
        <v>0</v>
      </c>
      <c r="H255" t="s">
        <v>855</v>
      </c>
      <c r="I255" t="str">
        <f>VLOOKUP(C255,Customers!A:C,2,FALSE)&amp;" "&amp;VLOOKUP(C255,Customers!A:C,3,FALSE)</f>
        <v>Richard Jones</v>
      </c>
      <c r="J255" t="str">
        <f>VLOOKUP(D255,Products!A:C,2,FALSE)</f>
        <v>Nature Clothing</v>
      </c>
      <c r="K255" t="str">
        <f>VLOOKUP(D255,Products!A:C,3,FALSE)</f>
        <v>Fashion</v>
      </c>
      <c r="L255" t="str">
        <f>VLOOKUP(E255,Stores!A:B,2,FALSE)</f>
        <v>MegaMart New Michele</v>
      </c>
      <c r="M255">
        <f>VLOOKUP(D255,Products!A:E,5,FALSE)</f>
        <v>1165.3699999999999</v>
      </c>
      <c r="N255" s="5">
        <f t="shared" si="3"/>
        <v>3496.1099999999997</v>
      </c>
    </row>
    <row r="256" spans="1:14" x14ac:dyDescent="0.3">
      <c r="A256" t="s">
        <v>1112</v>
      </c>
      <c r="B256" s="2">
        <v>45607</v>
      </c>
      <c r="C256" t="s">
        <v>419</v>
      </c>
      <c r="D256" t="s">
        <v>804</v>
      </c>
      <c r="E256" t="s">
        <v>842</v>
      </c>
      <c r="F256">
        <v>4</v>
      </c>
      <c r="G256">
        <v>0.15</v>
      </c>
      <c r="H256" t="s">
        <v>855</v>
      </c>
      <c r="I256" t="str">
        <f>VLOOKUP(C256,Customers!A:C,2,FALSE)&amp;" "&amp;VLOOKUP(C256,Customers!A:C,3,FALSE)</f>
        <v>Jeffrey Smith</v>
      </c>
      <c r="J256" t="str">
        <f>VLOOKUP(D256,Products!A:C,2,FALSE)</f>
        <v>Church Clothing</v>
      </c>
      <c r="K256" t="str">
        <f>VLOOKUP(D256,Products!A:C,3,FALSE)</f>
        <v>Fashion</v>
      </c>
      <c r="L256" t="str">
        <f>VLOOKUP(E256,Stores!A:B,2,FALSE)</f>
        <v>MegaMart Brianahaven</v>
      </c>
      <c r="M256">
        <f>VLOOKUP(D256,Products!A:E,5,FALSE)</f>
        <v>540.94000000000005</v>
      </c>
      <c r="N256" s="5">
        <f t="shared" si="3"/>
        <v>1839.1960000000001</v>
      </c>
    </row>
    <row r="257" spans="1:14" x14ac:dyDescent="0.3">
      <c r="A257" t="s">
        <v>1113</v>
      </c>
      <c r="B257" s="2">
        <v>45564</v>
      </c>
      <c r="C257" t="s">
        <v>187</v>
      </c>
      <c r="D257" t="s">
        <v>753</v>
      </c>
      <c r="E257" t="s">
        <v>842</v>
      </c>
      <c r="F257">
        <v>4</v>
      </c>
      <c r="G257">
        <v>0.1</v>
      </c>
      <c r="H257" t="s">
        <v>855</v>
      </c>
      <c r="I257" t="str">
        <f>VLOOKUP(C257,Customers!A:C,2,FALSE)&amp;" "&amp;VLOOKUP(C257,Customers!A:C,3,FALSE)</f>
        <v>Alexis Crane</v>
      </c>
      <c r="J257" t="str">
        <f>VLOOKUP(D257,Products!A:C,2,FALSE)</f>
        <v>Whether Bags</v>
      </c>
      <c r="K257" t="str">
        <f>VLOOKUP(D257,Products!A:C,3,FALSE)</f>
        <v>Fashion</v>
      </c>
      <c r="L257" t="str">
        <f>VLOOKUP(E257,Stores!A:B,2,FALSE)</f>
        <v>MegaMart Brianahaven</v>
      </c>
      <c r="M257">
        <f>VLOOKUP(D257,Products!A:E,5,FALSE)</f>
        <v>270.45</v>
      </c>
      <c r="N257" s="5">
        <f t="shared" si="3"/>
        <v>973.62</v>
      </c>
    </row>
    <row r="258" spans="1:14" x14ac:dyDescent="0.3">
      <c r="A258" t="s">
        <v>1114</v>
      </c>
      <c r="B258" s="2">
        <v>45583</v>
      </c>
      <c r="C258" t="s">
        <v>89</v>
      </c>
      <c r="D258" t="s">
        <v>806</v>
      </c>
      <c r="E258" t="s">
        <v>842</v>
      </c>
      <c r="F258">
        <v>1</v>
      </c>
      <c r="G258">
        <v>0.15</v>
      </c>
      <c r="H258" t="s">
        <v>861</v>
      </c>
      <c r="I258" t="str">
        <f>VLOOKUP(C258,Customers!A:C,2,FALSE)&amp;" "&amp;VLOOKUP(C258,Customers!A:C,3,FALSE)</f>
        <v>Megan Velasquez</v>
      </c>
      <c r="J258" t="str">
        <f>VLOOKUP(D258,Products!A:C,2,FALSE)</f>
        <v>Piece Headphones</v>
      </c>
      <c r="K258" t="str">
        <f>VLOOKUP(D258,Products!A:C,3,FALSE)</f>
        <v>Electronics</v>
      </c>
      <c r="L258" t="str">
        <f>VLOOKUP(E258,Stores!A:B,2,FALSE)</f>
        <v>MegaMart Brianahaven</v>
      </c>
      <c r="M258">
        <f>VLOOKUP(D258,Products!A:E,5,FALSE)</f>
        <v>1745.61</v>
      </c>
      <c r="N258" s="5">
        <f t="shared" si="3"/>
        <v>1483.7684999999999</v>
      </c>
    </row>
    <row r="259" spans="1:14" x14ac:dyDescent="0.3">
      <c r="A259" t="s">
        <v>1115</v>
      </c>
      <c r="B259" s="2">
        <v>45743</v>
      </c>
      <c r="C259" t="s">
        <v>509</v>
      </c>
      <c r="D259" t="s">
        <v>818</v>
      </c>
      <c r="E259" t="s">
        <v>839</v>
      </c>
      <c r="F259">
        <v>3</v>
      </c>
      <c r="G259">
        <v>0</v>
      </c>
      <c r="H259" t="s">
        <v>865</v>
      </c>
      <c r="I259" t="str">
        <f>VLOOKUP(C259,Customers!A:C,2,FALSE)&amp;" "&amp;VLOOKUP(C259,Customers!A:C,3,FALSE)</f>
        <v>Stacy Williams</v>
      </c>
      <c r="J259" t="str">
        <f>VLOOKUP(D259,Products!A:C,2,FALSE)</f>
        <v>Nature Clothing</v>
      </c>
      <c r="K259" t="str">
        <f>VLOOKUP(D259,Products!A:C,3,FALSE)</f>
        <v>Fashion</v>
      </c>
      <c r="L259" t="str">
        <f>VLOOKUP(E259,Stores!A:B,2,FALSE)</f>
        <v>MegaMart New Michele</v>
      </c>
      <c r="M259">
        <f>VLOOKUP(D259,Products!A:E,5,FALSE)</f>
        <v>1165.3699999999999</v>
      </c>
      <c r="N259" s="5">
        <f t="shared" ref="N259:N322" si="4">F259*M259*(1-G259)</f>
        <v>3496.1099999999997</v>
      </c>
    </row>
    <row r="260" spans="1:14" x14ac:dyDescent="0.3">
      <c r="A260" t="s">
        <v>1116</v>
      </c>
      <c r="B260" s="2">
        <v>45787</v>
      </c>
      <c r="C260" t="s">
        <v>317</v>
      </c>
      <c r="D260" t="s">
        <v>742</v>
      </c>
      <c r="E260" t="s">
        <v>839</v>
      </c>
      <c r="F260">
        <v>3</v>
      </c>
      <c r="G260">
        <v>0.15</v>
      </c>
      <c r="H260" t="s">
        <v>858</v>
      </c>
      <c r="I260" t="str">
        <f>VLOOKUP(C260,Customers!A:C,2,FALSE)&amp;" "&amp;VLOOKUP(C260,Customers!A:C,3,FALSE)</f>
        <v>Amanda Lee</v>
      </c>
      <c r="J260" t="str">
        <f>VLOOKUP(D260,Products!A:C,2,FALSE)</f>
        <v>Either Headphones</v>
      </c>
      <c r="K260" t="str">
        <f>VLOOKUP(D260,Products!A:C,3,FALSE)</f>
        <v>Electronics</v>
      </c>
      <c r="L260" t="str">
        <f>VLOOKUP(E260,Stores!A:B,2,FALSE)</f>
        <v>MegaMart New Michele</v>
      </c>
      <c r="M260">
        <f>VLOOKUP(D260,Products!A:E,5,FALSE)</f>
        <v>248.57</v>
      </c>
      <c r="N260" s="5">
        <f t="shared" si="4"/>
        <v>633.85350000000005</v>
      </c>
    </row>
    <row r="261" spans="1:14" x14ac:dyDescent="0.3">
      <c r="A261" t="s">
        <v>1117</v>
      </c>
      <c r="B261" s="2">
        <v>45714</v>
      </c>
      <c r="C261" t="s">
        <v>167</v>
      </c>
      <c r="D261" t="s">
        <v>774</v>
      </c>
      <c r="E261" t="s">
        <v>842</v>
      </c>
      <c r="F261">
        <v>3</v>
      </c>
      <c r="G261">
        <v>0.15</v>
      </c>
      <c r="H261" t="s">
        <v>865</v>
      </c>
      <c r="I261" t="str">
        <f>VLOOKUP(C261,Customers!A:C,2,FALSE)&amp;" "&amp;VLOOKUP(C261,Customers!A:C,3,FALSE)</f>
        <v>Kenneth Allen</v>
      </c>
      <c r="J261" t="str">
        <f>VLOOKUP(D261,Products!A:C,2,FALSE)</f>
        <v>Him Smartphone</v>
      </c>
      <c r="K261" t="str">
        <f>VLOOKUP(D261,Products!A:C,3,FALSE)</f>
        <v>Electronics</v>
      </c>
      <c r="L261" t="str">
        <f>VLOOKUP(E261,Stores!A:B,2,FALSE)</f>
        <v>MegaMart Brianahaven</v>
      </c>
      <c r="M261">
        <f>VLOOKUP(D261,Products!A:E,5,FALSE)</f>
        <v>1487.41</v>
      </c>
      <c r="N261" s="5">
        <f t="shared" si="4"/>
        <v>3792.8955000000001</v>
      </c>
    </row>
    <row r="262" spans="1:14" x14ac:dyDescent="0.3">
      <c r="A262" t="s">
        <v>1118</v>
      </c>
      <c r="B262" s="2">
        <v>45246</v>
      </c>
      <c r="C262" t="s">
        <v>661</v>
      </c>
      <c r="D262" t="s">
        <v>786</v>
      </c>
      <c r="E262" t="s">
        <v>839</v>
      </c>
      <c r="F262">
        <v>5</v>
      </c>
      <c r="G262">
        <v>0.15</v>
      </c>
      <c r="H262" t="s">
        <v>855</v>
      </c>
      <c r="I262" t="str">
        <f>VLOOKUP(C262,Customers!A:C,2,FALSE)&amp;" "&amp;VLOOKUP(C262,Customers!A:C,3,FALSE)</f>
        <v>Cynthia Cherry</v>
      </c>
      <c r="J262" t="str">
        <f>VLOOKUP(D262,Products!A:C,2,FALSE)</f>
        <v>National Watches</v>
      </c>
      <c r="K262" t="str">
        <f>VLOOKUP(D262,Products!A:C,3,FALSE)</f>
        <v>Fashion</v>
      </c>
      <c r="L262" t="str">
        <f>VLOOKUP(E262,Stores!A:B,2,FALSE)</f>
        <v>MegaMart New Michele</v>
      </c>
      <c r="M262">
        <f>VLOOKUP(D262,Products!A:E,5,FALSE)</f>
        <v>29.24</v>
      </c>
      <c r="N262" s="5">
        <f t="shared" si="4"/>
        <v>124.26999999999998</v>
      </c>
    </row>
    <row r="263" spans="1:14" x14ac:dyDescent="0.3">
      <c r="A263" t="s">
        <v>1119</v>
      </c>
      <c r="B263" s="2">
        <v>45508</v>
      </c>
      <c r="C263" t="s">
        <v>585</v>
      </c>
      <c r="D263" t="s">
        <v>804</v>
      </c>
      <c r="E263" t="s">
        <v>831</v>
      </c>
      <c r="F263">
        <v>1</v>
      </c>
      <c r="G263">
        <v>0.15</v>
      </c>
      <c r="H263" t="s">
        <v>855</v>
      </c>
      <c r="I263" t="str">
        <f>VLOOKUP(C263,Customers!A:C,2,FALSE)&amp;" "&amp;VLOOKUP(C263,Customers!A:C,3,FALSE)</f>
        <v>Linda Vasquez</v>
      </c>
      <c r="J263" t="str">
        <f>VLOOKUP(D263,Products!A:C,2,FALSE)</f>
        <v>Church Clothing</v>
      </c>
      <c r="K263" t="str">
        <f>VLOOKUP(D263,Products!A:C,3,FALSE)</f>
        <v>Fashion</v>
      </c>
      <c r="L263" t="str">
        <f>VLOOKUP(E263,Stores!A:B,2,FALSE)</f>
        <v>MegaMart Jimenezborough</v>
      </c>
      <c r="M263">
        <f>VLOOKUP(D263,Products!A:E,5,FALSE)</f>
        <v>540.94000000000005</v>
      </c>
      <c r="N263" s="5">
        <f t="shared" si="4"/>
        <v>459.79900000000004</v>
      </c>
    </row>
    <row r="264" spans="1:14" x14ac:dyDescent="0.3">
      <c r="A264" t="s">
        <v>1120</v>
      </c>
      <c r="B264" s="2">
        <v>45568</v>
      </c>
      <c r="C264" t="s">
        <v>483</v>
      </c>
      <c r="D264" t="s">
        <v>796</v>
      </c>
      <c r="E264" t="s">
        <v>835</v>
      </c>
      <c r="F264">
        <v>1</v>
      </c>
      <c r="G264">
        <v>0.05</v>
      </c>
      <c r="H264" t="s">
        <v>858</v>
      </c>
      <c r="I264" t="str">
        <f>VLOOKUP(C264,Customers!A:C,2,FALSE)&amp;" "&amp;VLOOKUP(C264,Customers!A:C,3,FALSE)</f>
        <v>Jared Ochoa</v>
      </c>
      <c r="J264" t="str">
        <f>VLOOKUP(D264,Products!A:C,2,FALSE)</f>
        <v>Chair Laptop</v>
      </c>
      <c r="K264" t="str">
        <f>VLOOKUP(D264,Products!A:C,3,FALSE)</f>
        <v>Electronics</v>
      </c>
      <c r="L264" t="str">
        <f>VLOOKUP(E264,Stores!A:B,2,FALSE)</f>
        <v>MegaMart Peckmouth</v>
      </c>
      <c r="M264">
        <f>VLOOKUP(D264,Products!A:E,5,FALSE)</f>
        <v>1562.43</v>
      </c>
      <c r="N264" s="5">
        <f t="shared" si="4"/>
        <v>1484.3085000000001</v>
      </c>
    </row>
    <row r="265" spans="1:14" x14ac:dyDescent="0.3">
      <c r="A265" t="s">
        <v>1121</v>
      </c>
      <c r="B265" s="2">
        <v>45707</v>
      </c>
      <c r="C265" t="s">
        <v>40</v>
      </c>
      <c r="D265" t="s">
        <v>800</v>
      </c>
      <c r="E265" t="s">
        <v>835</v>
      </c>
      <c r="F265">
        <v>1</v>
      </c>
      <c r="G265">
        <v>0.05</v>
      </c>
      <c r="H265" t="s">
        <v>855</v>
      </c>
      <c r="I265" t="str">
        <f>VLOOKUP(C265,Customers!A:C,2,FALSE)&amp;" "&amp;VLOOKUP(C265,Customers!A:C,3,FALSE)</f>
        <v>Richard Pacheco</v>
      </c>
      <c r="J265" t="str">
        <f>VLOOKUP(D265,Products!A:C,2,FALSE)</f>
        <v>Book Television</v>
      </c>
      <c r="K265" t="str">
        <f>VLOOKUP(D265,Products!A:C,3,FALSE)</f>
        <v>Electronics</v>
      </c>
      <c r="L265" t="str">
        <f>VLOOKUP(E265,Stores!A:B,2,FALSE)</f>
        <v>MegaMart Peckmouth</v>
      </c>
      <c r="M265">
        <f>VLOOKUP(D265,Products!A:E,5,FALSE)</f>
        <v>1952.65</v>
      </c>
      <c r="N265" s="5">
        <f t="shared" si="4"/>
        <v>1855.0174999999999</v>
      </c>
    </row>
    <row r="266" spans="1:14" x14ac:dyDescent="0.3">
      <c r="A266" t="s">
        <v>1122</v>
      </c>
      <c r="B266" s="2">
        <v>45778</v>
      </c>
      <c r="C266" t="s">
        <v>351</v>
      </c>
      <c r="D266" t="s">
        <v>814</v>
      </c>
      <c r="E266" t="s">
        <v>842</v>
      </c>
      <c r="F266">
        <v>5</v>
      </c>
      <c r="G266">
        <v>0</v>
      </c>
      <c r="H266" t="s">
        <v>861</v>
      </c>
      <c r="I266" t="str">
        <f>VLOOKUP(C266,Customers!A:C,2,FALSE)&amp;" "&amp;VLOOKUP(C266,Customers!A:C,3,FALSE)</f>
        <v>Stanley Brown</v>
      </c>
      <c r="J266" t="str">
        <f>VLOOKUP(D266,Products!A:C,2,FALSE)</f>
        <v>Least Accessories</v>
      </c>
      <c r="K266" t="str">
        <f>VLOOKUP(D266,Products!A:C,3,FALSE)</f>
        <v>Fashion</v>
      </c>
      <c r="L266" t="str">
        <f>VLOOKUP(E266,Stores!A:B,2,FALSE)</f>
        <v>MegaMart Brianahaven</v>
      </c>
      <c r="M266">
        <f>VLOOKUP(D266,Products!A:E,5,FALSE)</f>
        <v>1286.55</v>
      </c>
      <c r="N266" s="5">
        <f t="shared" si="4"/>
        <v>6432.75</v>
      </c>
    </row>
    <row r="267" spans="1:14" x14ac:dyDescent="0.3">
      <c r="A267" t="s">
        <v>1123</v>
      </c>
      <c r="B267" s="2">
        <v>45435</v>
      </c>
      <c r="C267" t="s">
        <v>618</v>
      </c>
      <c r="D267" t="s">
        <v>750</v>
      </c>
      <c r="E267" t="s">
        <v>842</v>
      </c>
      <c r="F267">
        <v>3</v>
      </c>
      <c r="G267">
        <v>0.1</v>
      </c>
      <c r="H267" t="s">
        <v>858</v>
      </c>
      <c r="I267" t="str">
        <f>VLOOKUP(C267,Customers!A:C,2,FALSE)&amp;" "&amp;VLOOKUP(C267,Customers!A:C,3,FALSE)</f>
        <v>Scott Howell</v>
      </c>
      <c r="J267" t="str">
        <f>VLOOKUP(D267,Products!A:C,2,FALSE)</f>
        <v>Add Clothing</v>
      </c>
      <c r="K267" t="str">
        <f>VLOOKUP(D267,Products!A:C,3,FALSE)</f>
        <v>Fashion</v>
      </c>
      <c r="L267" t="str">
        <f>VLOOKUP(E267,Stores!A:B,2,FALSE)</f>
        <v>MegaMart Brianahaven</v>
      </c>
      <c r="M267">
        <f>VLOOKUP(D267,Products!A:E,5,FALSE)</f>
        <v>1342.75</v>
      </c>
      <c r="N267" s="5">
        <f t="shared" si="4"/>
        <v>3625.4250000000002</v>
      </c>
    </row>
    <row r="268" spans="1:14" x14ac:dyDescent="0.3">
      <c r="A268" t="s">
        <v>1124</v>
      </c>
      <c r="B268" s="2">
        <v>45210</v>
      </c>
      <c r="C268" t="s">
        <v>690</v>
      </c>
      <c r="D268" t="s">
        <v>736</v>
      </c>
      <c r="E268" t="s">
        <v>831</v>
      </c>
      <c r="F268">
        <v>5</v>
      </c>
      <c r="G268">
        <v>0.05</v>
      </c>
      <c r="H268" t="s">
        <v>855</v>
      </c>
      <c r="I268" t="str">
        <f>VLOOKUP(C268,Customers!A:C,2,FALSE)&amp;" "&amp;VLOOKUP(C268,Customers!A:C,3,FALSE)</f>
        <v>James Noble</v>
      </c>
      <c r="J268" t="str">
        <f>VLOOKUP(D268,Products!A:C,2,FALSE)</f>
        <v>Us Snacks</v>
      </c>
      <c r="K268" t="str">
        <f>VLOOKUP(D268,Products!A:C,3,FALSE)</f>
        <v>Groceries</v>
      </c>
      <c r="L268" t="str">
        <f>VLOOKUP(E268,Stores!A:B,2,FALSE)</f>
        <v>MegaMart Jimenezborough</v>
      </c>
      <c r="M268">
        <f>VLOOKUP(D268,Products!A:E,5,FALSE)</f>
        <v>123.19</v>
      </c>
      <c r="N268" s="5">
        <f t="shared" si="4"/>
        <v>585.15250000000003</v>
      </c>
    </row>
    <row r="269" spans="1:14" x14ac:dyDescent="0.3">
      <c r="A269" t="s">
        <v>1125</v>
      </c>
      <c r="B269" s="2">
        <v>45680</v>
      </c>
      <c r="C269" t="s">
        <v>382</v>
      </c>
      <c r="D269" t="s">
        <v>755</v>
      </c>
      <c r="E269" t="s">
        <v>839</v>
      </c>
      <c r="F269">
        <v>3</v>
      </c>
      <c r="G269">
        <v>0.05</v>
      </c>
      <c r="H269" t="s">
        <v>865</v>
      </c>
      <c r="I269" t="str">
        <f>VLOOKUP(C269,Customers!A:C,2,FALSE)&amp;" "&amp;VLOOKUP(C269,Customers!A:C,3,FALSE)</f>
        <v>Carolyn Perez</v>
      </c>
      <c r="J269" t="str">
        <f>VLOOKUP(D269,Products!A:C,2,FALSE)</f>
        <v>House Accessories</v>
      </c>
      <c r="K269" t="str">
        <f>VLOOKUP(D269,Products!A:C,3,FALSE)</f>
        <v>Fashion</v>
      </c>
      <c r="L269" t="str">
        <f>VLOOKUP(E269,Stores!A:B,2,FALSE)</f>
        <v>MegaMart New Michele</v>
      </c>
      <c r="M269">
        <f>VLOOKUP(D269,Products!A:E,5,FALSE)</f>
        <v>1858.75</v>
      </c>
      <c r="N269" s="5">
        <f t="shared" si="4"/>
        <v>5297.4375</v>
      </c>
    </row>
    <row r="270" spans="1:14" x14ac:dyDescent="0.3">
      <c r="A270" t="s">
        <v>1126</v>
      </c>
      <c r="B270" s="2">
        <v>45435</v>
      </c>
      <c r="C270" t="s">
        <v>32</v>
      </c>
      <c r="D270" t="s">
        <v>818</v>
      </c>
      <c r="E270" t="s">
        <v>835</v>
      </c>
      <c r="F270">
        <v>4</v>
      </c>
      <c r="G270">
        <v>0.15</v>
      </c>
      <c r="H270" t="s">
        <v>865</v>
      </c>
      <c r="I270" t="str">
        <f>VLOOKUP(C270,Customers!A:C,2,FALSE)&amp;" "&amp;VLOOKUP(C270,Customers!A:C,3,FALSE)</f>
        <v>Erin Walker</v>
      </c>
      <c r="J270" t="str">
        <f>VLOOKUP(D270,Products!A:C,2,FALSE)</f>
        <v>Nature Clothing</v>
      </c>
      <c r="K270" t="str">
        <f>VLOOKUP(D270,Products!A:C,3,FALSE)</f>
        <v>Fashion</v>
      </c>
      <c r="L270" t="str">
        <f>VLOOKUP(E270,Stores!A:B,2,FALSE)</f>
        <v>MegaMart Peckmouth</v>
      </c>
      <c r="M270">
        <f>VLOOKUP(D270,Products!A:E,5,FALSE)</f>
        <v>1165.3699999999999</v>
      </c>
      <c r="N270" s="5">
        <f t="shared" si="4"/>
        <v>3962.2579999999994</v>
      </c>
    </row>
    <row r="271" spans="1:14" x14ac:dyDescent="0.3">
      <c r="A271" t="s">
        <v>1127</v>
      </c>
      <c r="B271" s="2">
        <v>45346</v>
      </c>
      <c r="C271" t="s">
        <v>258</v>
      </c>
      <c r="D271" t="s">
        <v>772</v>
      </c>
      <c r="E271" t="s">
        <v>839</v>
      </c>
      <c r="F271">
        <v>4</v>
      </c>
      <c r="G271">
        <v>0.05</v>
      </c>
      <c r="H271" t="s">
        <v>855</v>
      </c>
      <c r="I271" t="str">
        <f>VLOOKUP(C271,Customers!A:C,2,FALSE)&amp;" "&amp;VLOOKUP(C271,Customers!A:C,3,FALSE)</f>
        <v>Alexandra Montoya</v>
      </c>
      <c r="J271" t="str">
        <f>VLOOKUP(D271,Products!A:C,2,FALSE)</f>
        <v>And Footwear</v>
      </c>
      <c r="K271" t="str">
        <f>VLOOKUP(D271,Products!A:C,3,FALSE)</f>
        <v>Fashion</v>
      </c>
      <c r="L271" t="str">
        <f>VLOOKUP(E271,Stores!A:B,2,FALSE)</f>
        <v>MegaMart New Michele</v>
      </c>
      <c r="M271">
        <f>VLOOKUP(D271,Products!A:E,5,FALSE)</f>
        <v>1878.47</v>
      </c>
      <c r="N271" s="5">
        <f t="shared" si="4"/>
        <v>7138.1859999999997</v>
      </c>
    </row>
    <row r="272" spans="1:14" x14ac:dyDescent="0.3">
      <c r="A272" t="s">
        <v>1128</v>
      </c>
      <c r="B272" s="2">
        <v>45828</v>
      </c>
      <c r="C272" t="s">
        <v>630</v>
      </c>
      <c r="D272" t="s">
        <v>806</v>
      </c>
      <c r="E272" t="s">
        <v>842</v>
      </c>
      <c r="F272">
        <v>2</v>
      </c>
      <c r="G272">
        <v>0</v>
      </c>
      <c r="H272" t="s">
        <v>861</v>
      </c>
      <c r="I272" t="str">
        <f>VLOOKUP(C272,Customers!A:C,2,FALSE)&amp;" "&amp;VLOOKUP(C272,Customers!A:C,3,FALSE)</f>
        <v>Mark Mcdonald</v>
      </c>
      <c r="J272" t="str">
        <f>VLOOKUP(D272,Products!A:C,2,FALSE)</f>
        <v>Piece Headphones</v>
      </c>
      <c r="K272" t="str">
        <f>VLOOKUP(D272,Products!A:C,3,FALSE)</f>
        <v>Electronics</v>
      </c>
      <c r="L272" t="str">
        <f>VLOOKUP(E272,Stores!A:B,2,FALSE)</f>
        <v>MegaMart Brianahaven</v>
      </c>
      <c r="M272">
        <f>VLOOKUP(D272,Products!A:E,5,FALSE)</f>
        <v>1745.61</v>
      </c>
      <c r="N272" s="5">
        <f t="shared" si="4"/>
        <v>3491.22</v>
      </c>
    </row>
    <row r="273" spans="1:14" x14ac:dyDescent="0.3">
      <c r="A273" t="s">
        <v>1129</v>
      </c>
      <c r="B273" s="2">
        <v>45629</v>
      </c>
      <c r="C273" t="s">
        <v>77</v>
      </c>
      <c r="D273" t="s">
        <v>715</v>
      </c>
      <c r="E273" t="s">
        <v>842</v>
      </c>
      <c r="F273">
        <v>2</v>
      </c>
      <c r="G273">
        <v>0.15</v>
      </c>
      <c r="H273" t="s">
        <v>865</v>
      </c>
      <c r="I273" t="str">
        <f>VLOOKUP(C273,Customers!A:C,2,FALSE)&amp;" "&amp;VLOOKUP(C273,Customers!A:C,3,FALSE)</f>
        <v>John Smith</v>
      </c>
      <c r="J273" t="str">
        <f>VLOOKUP(D273,Products!A:C,2,FALSE)</f>
        <v>Audience Television</v>
      </c>
      <c r="K273" t="str">
        <f>VLOOKUP(D273,Products!A:C,3,FALSE)</f>
        <v>Electronics</v>
      </c>
      <c r="L273" t="str">
        <f>VLOOKUP(E273,Stores!A:B,2,FALSE)</f>
        <v>MegaMart Brianahaven</v>
      </c>
      <c r="M273">
        <f>VLOOKUP(D273,Products!A:E,5,FALSE)</f>
        <v>818.76</v>
      </c>
      <c r="N273" s="5">
        <f t="shared" si="4"/>
        <v>1391.8920000000001</v>
      </c>
    </row>
    <row r="274" spans="1:14" x14ac:dyDescent="0.3">
      <c r="A274" t="s">
        <v>1130</v>
      </c>
      <c r="B274" s="2">
        <v>45219</v>
      </c>
      <c r="C274" t="s">
        <v>621</v>
      </c>
      <c r="D274" t="s">
        <v>750</v>
      </c>
      <c r="E274" t="s">
        <v>839</v>
      </c>
      <c r="F274">
        <v>3</v>
      </c>
      <c r="G274">
        <v>0</v>
      </c>
      <c r="H274" t="s">
        <v>855</v>
      </c>
      <c r="I274" t="str">
        <f>VLOOKUP(C274,Customers!A:C,2,FALSE)&amp;" "&amp;VLOOKUP(C274,Customers!A:C,3,FALSE)</f>
        <v>Stacey Thompson</v>
      </c>
      <c r="J274" t="str">
        <f>VLOOKUP(D274,Products!A:C,2,FALSE)</f>
        <v>Add Clothing</v>
      </c>
      <c r="K274" t="str">
        <f>VLOOKUP(D274,Products!A:C,3,FALSE)</f>
        <v>Fashion</v>
      </c>
      <c r="L274" t="str">
        <f>VLOOKUP(E274,Stores!A:B,2,FALSE)</f>
        <v>MegaMart New Michele</v>
      </c>
      <c r="M274">
        <f>VLOOKUP(D274,Products!A:E,5,FALSE)</f>
        <v>1342.75</v>
      </c>
      <c r="N274" s="5">
        <f t="shared" si="4"/>
        <v>4028.25</v>
      </c>
    </row>
    <row r="275" spans="1:14" x14ac:dyDescent="0.3">
      <c r="A275" t="s">
        <v>1131</v>
      </c>
      <c r="B275" s="2">
        <v>45241</v>
      </c>
      <c r="C275" t="s">
        <v>291</v>
      </c>
      <c r="D275" t="s">
        <v>715</v>
      </c>
      <c r="E275" t="s">
        <v>835</v>
      </c>
      <c r="F275">
        <v>2</v>
      </c>
      <c r="G275">
        <v>0.1</v>
      </c>
      <c r="H275" t="s">
        <v>861</v>
      </c>
      <c r="I275" t="str">
        <f>VLOOKUP(C275,Customers!A:C,2,FALSE)&amp;" "&amp;VLOOKUP(C275,Customers!A:C,3,FALSE)</f>
        <v>Matthew Juarez</v>
      </c>
      <c r="J275" t="str">
        <f>VLOOKUP(D275,Products!A:C,2,FALSE)</f>
        <v>Audience Television</v>
      </c>
      <c r="K275" t="str">
        <f>VLOOKUP(D275,Products!A:C,3,FALSE)</f>
        <v>Electronics</v>
      </c>
      <c r="L275" t="str">
        <f>VLOOKUP(E275,Stores!A:B,2,FALSE)</f>
        <v>MegaMart Peckmouth</v>
      </c>
      <c r="M275">
        <f>VLOOKUP(D275,Products!A:E,5,FALSE)</f>
        <v>818.76</v>
      </c>
      <c r="N275" s="5">
        <f t="shared" si="4"/>
        <v>1473.768</v>
      </c>
    </row>
    <row r="276" spans="1:14" x14ac:dyDescent="0.3">
      <c r="A276" t="s">
        <v>1132</v>
      </c>
      <c r="B276" s="2">
        <v>45841</v>
      </c>
      <c r="C276" t="s">
        <v>127</v>
      </c>
      <c r="D276" t="s">
        <v>812</v>
      </c>
      <c r="E276" t="s">
        <v>835</v>
      </c>
      <c r="F276">
        <v>2</v>
      </c>
      <c r="G276">
        <v>0.05</v>
      </c>
      <c r="H276" t="s">
        <v>858</v>
      </c>
      <c r="I276" t="str">
        <f>VLOOKUP(C276,Customers!A:C,2,FALSE)&amp;" "&amp;VLOOKUP(C276,Customers!A:C,3,FALSE)</f>
        <v>Valerie Macdonald</v>
      </c>
      <c r="J276" t="str">
        <f>VLOOKUP(D276,Products!A:C,2,FALSE)</f>
        <v>Soon Accessories</v>
      </c>
      <c r="K276" t="str">
        <f>VLOOKUP(D276,Products!A:C,3,FALSE)</f>
        <v>Fashion</v>
      </c>
      <c r="L276" t="str">
        <f>VLOOKUP(E276,Stores!A:B,2,FALSE)</f>
        <v>MegaMart Peckmouth</v>
      </c>
      <c r="M276">
        <f>VLOOKUP(D276,Products!A:E,5,FALSE)</f>
        <v>564.41999999999996</v>
      </c>
      <c r="N276" s="5">
        <f t="shared" si="4"/>
        <v>1072.3979999999999</v>
      </c>
    </row>
    <row r="277" spans="1:14" x14ac:dyDescent="0.3">
      <c r="A277" t="s">
        <v>1133</v>
      </c>
      <c r="B277" s="2">
        <v>45212</v>
      </c>
      <c r="C277" t="s">
        <v>32</v>
      </c>
      <c r="D277" t="s">
        <v>788</v>
      </c>
      <c r="E277" t="s">
        <v>839</v>
      </c>
      <c r="F277">
        <v>5</v>
      </c>
      <c r="G277">
        <v>0.1</v>
      </c>
      <c r="H277" t="s">
        <v>858</v>
      </c>
      <c r="I277" t="str">
        <f>VLOOKUP(C277,Customers!A:C,2,FALSE)&amp;" "&amp;VLOOKUP(C277,Customers!A:C,3,FALSE)</f>
        <v>Erin Walker</v>
      </c>
      <c r="J277" t="str">
        <f>VLOOKUP(D277,Products!A:C,2,FALSE)</f>
        <v>Foot Snacks</v>
      </c>
      <c r="K277" t="str">
        <f>VLOOKUP(D277,Products!A:C,3,FALSE)</f>
        <v>Groceries</v>
      </c>
      <c r="L277" t="str">
        <f>VLOOKUP(E277,Stores!A:B,2,FALSE)</f>
        <v>MegaMart New Michele</v>
      </c>
      <c r="M277">
        <f>VLOOKUP(D277,Products!A:E,5,FALSE)</f>
        <v>1095.72</v>
      </c>
      <c r="N277" s="5">
        <f t="shared" si="4"/>
        <v>4930.7400000000007</v>
      </c>
    </row>
    <row r="278" spans="1:14" x14ac:dyDescent="0.3">
      <c r="A278" t="s">
        <v>1134</v>
      </c>
      <c r="B278" s="2">
        <v>45489</v>
      </c>
      <c r="C278" t="s">
        <v>516</v>
      </c>
      <c r="D278" t="s">
        <v>796</v>
      </c>
      <c r="E278" t="s">
        <v>835</v>
      </c>
      <c r="F278">
        <v>5</v>
      </c>
      <c r="G278">
        <v>0</v>
      </c>
      <c r="H278" t="s">
        <v>865</v>
      </c>
      <c r="I278" t="str">
        <f>VLOOKUP(C278,Customers!A:C,2,FALSE)&amp;" "&amp;VLOOKUP(C278,Customers!A:C,3,FALSE)</f>
        <v>Suzanne Fox</v>
      </c>
      <c r="J278" t="str">
        <f>VLOOKUP(D278,Products!A:C,2,FALSE)</f>
        <v>Chair Laptop</v>
      </c>
      <c r="K278" t="str">
        <f>VLOOKUP(D278,Products!A:C,3,FALSE)</f>
        <v>Electronics</v>
      </c>
      <c r="L278" t="str">
        <f>VLOOKUP(E278,Stores!A:B,2,FALSE)</f>
        <v>MegaMart Peckmouth</v>
      </c>
      <c r="M278">
        <f>VLOOKUP(D278,Products!A:E,5,FALSE)</f>
        <v>1562.43</v>
      </c>
      <c r="N278" s="5">
        <f t="shared" si="4"/>
        <v>7812.1500000000005</v>
      </c>
    </row>
    <row r="279" spans="1:14" x14ac:dyDescent="0.3">
      <c r="A279" t="s">
        <v>1135</v>
      </c>
      <c r="B279" s="2">
        <v>45575</v>
      </c>
      <c r="C279" t="s">
        <v>302</v>
      </c>
      <c r="D279" t="s">
        <v>798</v>
      </c>
      <c r="E279" t="s">
        <v>842</v>
      </c>
      <c r="F279">
        <v>4</v>
      </c>
      <c r="G279">
        <v>0.15</v>
      </c>
      <c r="H279" t="s">
        <v>858</v>
      </c>
      <c r="I279" t="str">
        <f>VLOOKUP(C279,Customers!A:C,2,FALSE)&amp;" "&amp;VLOOKUP(C279,Customers!A:C,3,FALSE)</f>
        <v>Grace Garcia</v>
      </c>
      <c r="J279" t="str">
        <f>VLOOKUP(D279,Products!A:C,2,FALSE)</f>
        <v>New Watches</v>
      </c>
      <c r="K279" t="str">
        <f>VLOOKUP(D279,Products!A:C,3,FALSE)</f>
        <v>Fashion</v>
      </c>
      <c r="L279" t="str">
        <f>VLOOKUP(E279,Stores!A:B,2,FALSE)</f>
        <v>MegaMart Brianahaven</v>
      </c>
      <c r="M279">
        <f>VLOOKUP(D279,Products!A:E,5,FALSE)</f>
        <v>1501.46</v>
      </c>
      <c r="N279" s="5">
        <f t="shared" si="4"/>
        <v>5104.9639999999999</v>
      </c>
    </row>
    <row r="280" spans="1:14" x14ac:dyDescent="0.3">
      <c r="A280" t="s">
        <v>1136</v>
      </c>
      <c r="B280" s="2">
        <v>45851</v>
      </c>
      <c r="C280" t="s">
        <v>536</v>
      </c>
      <c r="D280" t="s">
        <v>745</v>
      </c>
      <c r="E280" t="s">
        <v>831</v>
      </c>
      <c r="F280">
        <v>2</v>
      </c>
      <c r="G280">
        <v>0.1</v>
      </c>
      <c r="H280" t="s">
        <v>865</v>
      </c>
      <c r="I280" t="str">
        <f>VLOOKUP(C280,Customers!A:C,2,FALSE)&amp;" "&amp;VLOOKUP(C280,Customers!A:C,3,FALSE)</f>
        <v>John Foster</v>
      </c>
      <c r="J280" t="str">
        <f>VLOOKUP(D280,Products!A:C,2,FALSE)</f>
        <v>Above Camera</v>
      </c>
      <c r="K280" t="str">
        <f>VLOOKUP(D280,Products!A:C,3,FALSE)</f>
        <v>Electronics</v>
      </c>
      <c r="L280" t="str">
        <f>VLOOKUP(E280,Stores!A:B,2,FALSE)</f>
        <v>MegaMart Jimenezborough</v>
      </c>
      <c r="M280">
        <f>VLOOKUP(D280,Products!A:E,5,FALSE)</f>
        <v>1193.0899999999999</v>
      </c>
      <c r="N280" s="5">
        <f t="shared" si="4"/>
        <v>2147.5619999999999</v>
      </c>
    </row>
    <row r="281" spans="1:14" x14ac:dyDescent="0.3">
      <c r="A281" t="s">
        <v>1137</v>
      </c>
      <c r="B281" s="2">
        <v>45693</v>
      </c>
      <c r="C281" t="s">
        <v>432</v>
      </c>
      <c r="D281" t="s">
        <v>764</v>
      </c>
      <c r="E281" t="s">
        <v>842</v>
      </c>
      <c r="F281">
        <v>5</v>
      </c>
      <c r="G281">
        <v>0.1</v>
      </c>
      <c r="H281" t="s">
        <v>861</v>
      </c>
      <c r="I281" t="str">
        <f>VLOOKUP(C281,Customers!A:C,2,FALSE)&amp;" "&amp;VLOOKUP(C281,Customers!A:C,3,FALSE)</f>
        <v>Jamie Webb</v>
      </c>
      <c r="J281" t="str">
        <f>VLOOKUP(D281,Products!A:C,2,FALSE)</f>
        <v>Simple Accessories</v>
      </c>
      <c r="K281" t="str">
        <f>VLOOKUP(D281,Products!A:C,3,FALSE)</f>
        <v>Fashion</v>
      </c>
      <c r="L281" t="str">
        <f>VLOOKUP(E281,Stores!A:B,2,FALSE)</f>
        <v>MegaMart Brianahaven</v>
      </c>
      <c r="M281">
        <f>VLOOKUP(D281,Products!A:E,5,FALSE)</f>
        <v>323.92</v>
      </c>
      <c r="N281" s="5">
        <f t="shared" si="4"/>
        <v>1457.64</v>
      </c>
    </row>
    <row r="282" spans="1:14" x14ac:dyDescent="0.3">
      <c r="A282" t="s">
        <v>1138</v>
      </c>
      <c r="B282" s="2">
        <v>45579</v>
      </c>
      <c r="C282" t="s">
        <v>702</v>
      </c>
      <c r="D282" t="s">
        <v>820</v>
      </c>
      <c r="E282" t="s">
        <v>846</v>
      </c>
      <c r="F282">
        <v>5</v>
      </c>
      <c r="G282">
        <v>0.05</v>
      </c>
      <c r="H282" t="s">
        <v>861</v>
      </c>
      <c r="I282" t="str">
        <f>VLOOKUP(C282,Customers!A:C,2,FALSE)&amp;" "&amp;VLOOKUP(C282,Customers!A:C,3,FALSE)</f>
        <v>Ronald Haley</v>
      </c>
      <c r="J282" t="str">
        <f>VLOOKUP(D282,Products!A:C,2,FALSE)</f>
        <v>Or Smartphone</v>
      </c>
      <c r="K282" t="str">
        <f>VLOOKUP(D282,Products!A:C,3,FALSE)</f>
        <v>Electronics</v>
      </c>
      <c r="L282" t="str">
        <f>VLOOKUP(E282,Stores!A:B,2,FALSE)</f>
        <v>MegaMart Johnmouth</v>
      </c>
      <c r="M282">
        <f>VLOOKUP(D282,Products!A:E,5,FALSE)</f>
        <v>1197.18</v>
      </c>
      <c r="N282" s="5">
        <f t="shared" si="4"/>
        <v>5686.6050000000005</v>
      </c>
    </row>
    <row r="283" spans="1:14" x14ac:dyDescent="0.3">
      <c r="A283" t="s">
        <v>1139</v>
      </c>
      <c r="B283" s="2">
        <v>45725</v>
      </c>
      <c r="C283" t="s">
        <v>415</v>
      </c>
      <c r="D283" t="s">
        <v>772</v>
      </c>
      <c r="E283" t="s">
        <v>846</v>
      </c>
      <c r="F283">
        <v>1</v>
      </c>
      <c r="G283">
        <v>0</v>
      </c>
      <c r="H283" t="s">
        <v>861</v>
      </c>
      <c r="I283" t="str">
        <f>VLOOKUP(C283,Customers!A:C,2,FALSE)&amp;" "&amp;VLOOKUP(C283,Customers!A:C,3,FALSE)</f>
        <v>Dylan Booker</v>
      </c>
      <c r="J283" t="str">
        <f>VLOOKUP(D283,Products!A:C,2,FALSE)</f>
        <v>And Footwear</v>
      </c>
      <c r="K283" t="str">
        <f>VLOOKUP(D283,Products!A:C,3,FALSE)</f>
        <v>Fashion</v>
      </c>
      <c r="L283" t="str">
        <f>VLOOKUP(E283,Stores!A:B,2,FALSE)</f>
        <v>MegaMart Johnmouth</v>
      </c>
      <c r="M283">
        <f>VLOOKUP(D283,Products!A:E,5,FALSE)</f>
        <v>1878.47</v>
      </c>
      <c r="N283" s="5">
        <f t="shared" si="4"/>
        <v>1878.47</v>
      </c>
    </row>
    <row r="284" spans="1:14" x14ac:dyDescent="0.3">
      <c r="A284" t="s">
        <v>1140</v>
      </c>
      <c r="B284" s="2">
        <v>45485</v>
      </c>
      <c r="C284" t="s">
        <v>294</v>
      </c>
      <c r="D284" t="s">
        <v>778</v>
      </c>
      <c r="E284" t="s">
        <v>835</v>
      </c>
      <c r="F284">
        <v>2</v>
      </c>
      <c r="G284">
        <v>0.1</v>
      </c>
      <c r="H284" t="s">
        <v>861</v>
      </c>
      <c r="I284" t="str">
        <f>VLOOKUP(C284,Customers!A:C,2,FALSE)&amp;" "&amp;VLOOKUP(C284,Customers!A:C,3,FALSE)</f>
        <v>Jeanne Young</v>
      </c>
      <c r="J284" t="str">
        <f>VLOOKUP(D284,Products!A:C,2,FALSE)</f>
        <v>Behavior Dairy</v>
      </c>
      <c r="K284" t="str">
        <f>VLOOKUP(D284,Products!A:C,3,FALSE)</f>
        <v>Groceries</v>
      </c>
      <c r="L284" t="str">
        <f>VLOOKUP(E284,Stores!A:B,2,FALSE)</f>
        <v>MegaMart Peckmouth</v>
      </c>
      <c r="M284">
        <f>VLOOKUP(D284,Products!A:E,5,FALSE)</f>
        <v>1015.76</v>
      </c>
      <c r="N284" s="5">
        <f t="shared" si="4"/>
        <v>1828.3679999999999</v>
      </c>
    </row>
    <row r="285" spans="1:14" x14ac:dyDescent="0.3">
      <c r="A285" t="s">
        <v>1141</v>
      </c>
      <c r="B285" s="2">
        <v>45450</v>
      </c>
      <c r="C285" t="s">
        <v>335</v>
      </c>
      <c r="D285" t="s">
        <v>769</v>
      </c>
      <c r="E285" t="s">
        <v>846</v>
      </c>
      <c r="F285">
        <v>3</v>
      </c>
      <c r="G285">
        <v>0</v>
      </c>
      <c r="H285" t="s">
        <v>855</v>
      </c>
      <c r="I285" t="str">
        <f>VLOOKUP(C285,Customers!A:C,2,FALSE)&amp;" "&amp;VLOOKUP(C285,Customers!A:C,3,FALSE)</f>
        <v>William Warner</v>
      </c>
      <c r="J285" t="str">
        <f>VLOOKUP(D285,Products!A:C,2,FALSE)</f>
        <v>How Vegetables</v>
      </c>
      <c r="K285" t="str">
        <f>VLOOKUP(D285,Products!A:C,3,FALSE)</f>
        <v>Groceries</v>
      </c>
      <c r="L285" t="str">
        <f>VLOOKUP(E285,Stores!A:B,2,FALSE)</f>
        <v>MegaMart Johnmouth</v>
      </c>
      <c r="M285">
        <f>VLOOKUP(D285,Products!A:E,5,FALSE)</f>
        <v>25.57</v>
      </c>
      <c r="N285" s="5">
        <f t="shared" si="4"/>
        <v>76.710000000000008</v>
      </c>
    </row>
    <row r="286" spans="1:14" x14ac:dyDescent="0.3">
      <c r="A286" t="s">
        <v>1142</v>
      </c>
      <c r="B286" s="2">
        <v>45474</v>
      </c>
      <c r="C286" t="s">
        <v>198</v>
      </c>
      <c r="D286" t="s">
        <v>736</v>
      </c>
      <c r="E286" t="s">
        <v>846</v>
      </c>
      <c r="F286">
        <v>3</v>
      </c>
      <c r="G286">
        <v>0.05</v>
      </c>
      <c r="H286" t="s">
        <v>855</v>
      </c>
      <c r="I286" t="str">
        <f>VLOOKUP(C286,Customers!A:C,2,FALSE)&amp;" "&amp;VLOOKUP(C286,Customers!A:C,3,FALSE)</f>
        <v>Madison Sellers</v>
      </c>
      <c r="J286" t="str">
        <f>VLOOKUP(D286,Products!A:C,2,FALSE)</f>
        <v>Us Snacks</v>
      </c>
      <c r="K286" t="str">
        <f>VLOOKUP(D286,Products!A:C,3,FALSE)</f>
        <v>Groceries</v>
      </c>
      <c r="L286" t="str">
        <f>VLOOKUP(E286,Stores!A:B,2,FALSE)</f>
        <v>MegaMart Johnmouth</v>
      </c>
      <c r="M286">
        <f>VLOOKUP(D286,Products!A:E,5,FALSE)</f>
        <v>123.19</v>
      </c>
      <c r="N286" s="5">
        <f t="shared" si="4"/>
        <v>351.0915</v>
      </c>
    </row>
    <row r="287" spans="1:14" x14ac:dyDescent="0.3">
      <c r="A287" t="s">
        <v>1143</v>
      </c>
      <c r="B287" s="2">
        <v>45210</v>
      </c>
      <c r="C287" t="s">
        <v>567</v>
      </c>
      <c r="D287" t="s">
        <v>826</v>
      </c>
      <c r="E287" t="s">
        <v>846</v>
      </c>
      <c r="F287">
        <v>1</v>
      </c>
      <c r="G287">
        <v>0.05</v>
      </c>
      <c r="H287" t="s">
        <v>861</v>
      </c>
      <c r="I287" t="str">
        <f>VLOOKUP(C287,Customers!A:C,2,FALSE)&amp;" "&amp;VLOOKUP(C287,Customers!A:C,3,FALSE)</f>
        <v>Crystal Aguirre</v>
      </c>
      <c r="J287" t="str">
        <f>VLOOKUP(D287,Products!A:C,2,FALSE)</f>
        <v>Maybe Footwear</v>
      </c>
      <c r="K287" t="str">
        <f>VLOOKUP(D287,Products!A:C,3,FALSE)</f>
        <v>Fashion</v>
      </c>
      <c r="L287" t="str">
        <f>VLOOKUP(E287,Stores!A:B,2,FALSE)</f>
        <v>MegaMart Johnmouth</v>
      </c>
      <c r="M287">
        <f>VLOOKUP(D287,Products!A:E,5,FALSE)</f>
        <v>1044.6400000000001</v>
      </c>
      <c r="N287" s="5">
        <f t="shared" si="4"/>
        <v>992.40800000000002</v>
      </c>
    </row>
    <row r="288" spans="1:14" x14ac:dyDescent="0.3">
      <c r="A288" t="s">
        <v>1144</v>
      </c>
      <c r="B288" s="2">
        <v>45484</v>
      </c>
      <c r="C288" t="s">
        <v>171</v>
      </c>
      <c r="D288" t="s">
        <v>822</v>
      </c>
      <c r="E288" t="s">
        <v>846</v>
      </c>
      <c r="F288">
        <v>5</v>
      </c>
      <c r="G288">
        <v>0.1</v>
      </c>
      <c r="H288" t="s">
        <v>865</v>
      </c>
      <c r="I288" t="str">
        <f>VLOOKUP(C288,Customers!A:C,2,FALSE)&amp;" "&amp;VLOOKUP(C288,Customers!A:C,3,FALSE)</f>
        <v>Parker Sparks</v>
      </c>
      <c r="J288" t="str">
        <f>VLOOKUP(D288,Products!A:C,2,FALSE)</f>
        <v>Nor Bags</v>
      </c>
      <c r="K288" t="str">
        <f>VLOOKUP(D288,Products!A:C,3,FALSE)</f>
        <v>Fashion</v>
      </c>
      <c r="L288" t="str">
        <f>VLOOKUP(E288,Stores!A:B,2,FALSE)</f>
        <v>MegaMart Johnmouth</v>
      </c>
      <c r="M288">
        <f>VLOOKUP(D288,Products!A:E,5,FALSE)</f>
        <v>1216.3599999999999</v>
      </c>
      <c r="N288" s="5">
        <f t="shared" si="4"/>
        <v>5473.62</v>
      </c>
    </row>
    <row r="289" spans="1:14" x14ac:dyDescent="0.3">
      <c r="A289" t="s">
        <v>1145</v>
      </c>
      <c r="B289" s="2">
        <v>45398</v>
      </c>
      <c r="C289" t="s">
        <v>36</v>
      </c>
      <c r="D289" t="s">
        <v>808</v>
      </c>
      <c r="E289" t="s">
        <v>831</v>
      </c>
      <c r="F289">
        <v>1</v>
      </c>
      <c r="G289">
        <v>0.1</v>
      </c>
      <c r="H289" t="s">
        <v>861</v>
      </c>
      <c r="I289" t="str">
        <f>VLOOKUP(C289,Customers!A:C,2,FALSE)&amp;" "&amp;VLOOKUP(C289,Customers!A:C,3,FALSE)</f>
        <v>Isaiah Williams</v>
      </c>
      <c r="J289" t="str">
        <f>VLOOKUP(D289,Products!A:C,2,FALSE)</f>
        <v>Present Television</v>
      </c>
      <c r="K289" t="str">
        <f>VLOOKUP(D289,Products!A:C,3,FALSE)</f>
        <v>Electronics</v>
      </c>
      <c r="L289" t="str">
        <f>VLOOKUP(E289,Stores!A:B,2,FALSE)</f>
        <v>MegaMart Jimenezborough</v>
      </c>
      <c r="M289">
        <f>VLOOKUP(D289,Products!A:E,5,FALSE)</f>
        <v>1635.01</v>
      </c>
      <c r="N289" s="5">
        <f t="shared" si="4"/>
        <v>1471.509</v>
      </c>
    </row>
    <row r="290" spans="1:14" x14ac:dyDescent="0.3">
      <c r="A290" t="s">
        <v>1146</v>
      </c>
      <c r="B290" s="2">
        <v>45437</v>
      </c>
      <c r="C290" t="s">
        <v>693</v>
      </c>
      <c r="D290" t="s">
        <v>711</v>
      </c>
      <c r="E290" t="s">
        <v>846</v>
      </c>
      <c r="F290">
        <v>4</v>
      </c>
      <c r="G290">
        <v>0</v>
      </c>
      <c r="H290" t="s">
        <v>858</v>
      </c>
      <c r="I290" t="str">
        <f>VLOOKUP(C290,Customers!A:C,2,FALSE)&amp;" "&amp;VLOOKUP(C290,Customers!A:C,3,FALSE)</f>
        <v>Matthew Dixon</v>
      </c>
      <c r="J290" t="str">
        <f>VLOOKUP(D290,Products!A:C,2,FALSE)</f>
        <v>Like Camera</v>
      </c>
      <c r="K290" t="str">
        <f>VLOOKUP(D290,Products!A:C,3,FALSE)</f>
        <v>Electronics</v>
      </c>
      <c r="L290" t="str">
        <f>VLOOKUP(E290,Stores!A:B,2,FALSE)</f>
        <v>MegaMart Johnmouth</v>
      </c>
      <c r="M290">
        <f>VLOOKUP(D290,Products!A:E,5,FALSE)</f>
        <v>1673.69</v>
      </c>
      <c r="N290" s="5">
        <f t="shared" si="4"/>
        <v>6694.76</v>
      </c>
    </row>
    <row r="291" spans="1:14" x14ac:dyDescent="0.3">
      <c r="A291" t="s">
        <v>1147</v>
      </c>
      <c r="B291" s="2">
        <v>45572</v>
      </c>
      <c r="C291" t="s">
        <v>577</v>
      </c>
      <c r="D291" t="s">
        <v>711</v>
      </c>
      <c r="E291" t="s">
        <v>846</v>
      </c>
      <c r="F291">
        <v>3</v>
      </c>
      <c r="G291">
        <v>0.1</v>
      </c>
      <c r="H291" t="s">
        <v>858</v>
      </c>
      <c r="I291" t="str">
        <f>VLOOKUP(C291,Customers!A:C,2,FALSE)&amp;" "&amp;VLOOKUP(C291,Customers!A:C,3,FALSE)</f>
        <v>Michael Perez</v>
      </c>
      <c r="J291" t="str">
        <f>VLOOKUP(D291,Products!A:C,2,FALSE)</f>
        <v>Like Camera</v>
      </c>
      <c r="K291" t="str">
        <f>VLOOKUP(D291,Products!A:C,3,FALSE)</f>
        <v>Electronics</v>
      </c>
      <c r="L291" t="str">
        <f>VLOOKUP(E291,Stores!A:B,2,FALSE)</f>
        <v>MegaMart Johnmouth</v>
      </c>
      <c r="M291">
        <f>VLOOKUP(D291,Products!A:E,5,FALSE)</f>
        <v>1673.69</v>
      </c>
      <c r="N291" s="5">
        <f t="shared" si="4"/>
        <v>4518.9629999999997</v>
      </c>
    </row>
    <row r="292" spans="1:14" x14ac:dyDescent="0.3">
      <c r="A292" t="s">
        <v>1148</v>
      </c>
      <c r="B292" s="2">
        <v>45820</v>
      </c>
      <c r="C292" t="s">
        <v>241</v>
      </c>
      <c r="D292" t="s">
        <v>812</v>
      </c>
      <c r="E292" t="s">
        <v>842</v>
      </c>
      <c r="F292">
        <v>3</v>
      </c>
      <c r="G292">
        <v>0.15</v>
      </c>
      <c r="H292" t="s">
        <v>865</v>
      </c>
      <c r="I292" t="str">
        <f>VLOOKUP(C292,Customers!A:C,2,FALSE)&amp;" "&amp;VLOOKUP(C292,Customers!A:C,3,FALSE)</f>
        <v>Michael Johnson</v>
      </c>
      <c r="J292" t="str">
        <f>VLOOKUP(D292,Products!A:C,2,FALSE)</f>
        <v>Soon Accessories</v>
      </c>
      <c r="K292" t="str">
        <f>VLOOKUP(D292,Products!A:C,3,FALSE)</f>
        <v>Fashion</v>
      </c>
      <c r="L292" t="str">
        <f>VLOOKUP(E292,Stores!A:B,2,FALSE)</f>
        <v>MegaMart Brianahaven</v>
      </c>
      <c r="M292">
        <f>VLOOKUP(D292,Products!A:E,5,FALSE)</f>
        <v>564.41999999999996</v>
      </c>
      <c r="N292" s="5">
        <f t="shared" si="4"/>
        <v>1439.2709999999997</v>
      </c>
    </row>
    <row r="293" spans="1:14" x14ac:dyDescent="0.3">
      <c r="A293" t="s">
        <v>1149</v>
      </c>
      <c r="B293" s="2">
        <v>45475</v>
      </c>
      <c r="C293" t="s">
        <v>627</v>
      </c>
      <c r="D293" t="s">
        <v>808</v>
      </c>
      <c r="E293" t="s">
        <v>831</v>
      </c>
      <c r="F293">
        <v>2</v>
      </c>
      <c r="G293">
        <v>0.15</v>
      </c>
      <c r="H293" t="s">
        <v>858</v>
      </c>
      <c r="I293" t="str">
        <f>VLOOKUP(C293,Customers!A:C,2,FALSE)&amp;" "&amp;VLOOKUP(C293,Customers!A:C,3,FALSE)</f>
        <v>Anthony Gould</v>
      </c>
      <c r="J293" t="str">
        <f>VLOOKUP(D293,Products!A:C,2,FALSE)</f>
        <v>Present Television</v>
      </c>
      <c r="K293" t="str">
        <f>VLOOKUP(D293,Products!A:C,3,FALSE)</f>
        <v>Electronics</v>
      </c>
      <c r="L293" t="str">
        <f>VLOOKUP(E293,Stores!A:B,2,FALSE)</f>
        <v>MegaMart Jimenezborough</v>
      </c>
      <c r="M293">
        <f>VLOOKUP(D293,Products!A:E,5,FALSE)</f>
        <v>1635.01</v>
      </c>
      <c r="N293" s="5">
        <f t="shared" si="4"/>
        <v>2779.5169999999998</v>
      </c>
    </row>
    <row r="294" spans="1:14" x14ac:dyDescent="0.3">
      <c r="A294" t="s">
        <v>1150</v>
      </c>
      <c r="B294" s="2">
        <v>45802</v>
      </c>
      <c r="C294" t="s">
        <v>458</v>
      </c>
      <c r="D294" t="s">
        <v>725</v>
      </c>
      <c r="E294" t="s">
        <v>842</v>
      </c>
      <c r="F294">
        <v>2</v>
      </c>
      <c r="G294">
        <v>0.1</v>
      </c>
      <c r="H294" t="s">
        <v>861</v>
      </c>
      <c r="I294" t="str">
        <f>VLOOKUP(C294,Customers!A:C,2,FALSE)&amp;" "&amp;VLOOKUP(C294,Customers!A:C,3,FALSE)</f>
        <v>Chad Roberts</v>
      </c>
      <c r="J294" t="str">
        <f>VLOOKUP(D294,Products!A:C,2,FALSE)</f>
        <v>Knowledge Bags</v>
      </c>
      <c r="K294" t="str">
        <f>VLOOKUP(D294,Products!A:C,3,FALSE)</f>
        <v>Fashion</v>
      </c>
      <c r="L294" t="str">
        <f>VLOOKUP(E294,Stores!A:B,2,FALSE)</f>
        <v>MegaMart Brianahaven</v>
      </c>
      <c r="M294">
        <f>VLOOKUP(D294,Products!A:E,5,FALSE)</f>
        <v>1396.22</v>
      </c>
      <c r="N294" s="5">
        <f t="shared" si="4"/>
        <v>2513.1959999999999</v>
      </c>
    </row>
    <row r="295" spans="1:14" x14ac:dyDescent="0.3">
      <c r="A295" t="s">
        <v>1151</v>
      </c>
      <c r="B295" s="2">
        <v>45736</v>
      </c>
      <c r="C295" t="s">
        <v>306</v>
      </c>
      <c r="D295" t="s">
        <v>753</v>
      </c>
      <c r="E295" t="s">
        <v>839</v>
      </c>
      <c r="F295">
        <v>3</v>
      </c>
      <c r="G295">
        <v>0.15</v>
      </c>
      <c r="H295" t="s">
        <v>861</v>
      </c>
      <c r="I295" t="str">
        <f>VLOOKUP(C295,Customers!A:C,2,FALSE)&amp;" "&amp;VLOOKUP(C295,Customers!A:C,3,FALSE)</f>
        <v>Sarah Reynolds</v>
      </c>
      <c r="J295" t="str">
        <f>VLOOKUP(D295,Products!A:C,2,FALSE)</f>
        <v>Whether Bags</v>
      </c>
      <c r="K295" t="str">
        <f>VLOOKUP(D295,Products!A:C,3,FALSE)</f>
        <v>Fashion</v>
      </c>
      <c r="L295" t="str">
        <f>VLOOKUP(E295,Stores!A:B,2,FALSE)</f>
        <v>MegaMart New Michele</v>
      </c>
      <c r="M295">
        <f>VLOOKUP(D295,Products!A:E,5,FALSE)</f>
        <v>270.45</v>
      </c>
      <c r="N295" s="5">
        <f t="shared" si="4"/>
        <v>689.64749999999992</v>
      </c>
    </row>
    <row r="296" spans="1:14" x14ac:dyDescent="0.3">
      <c r="A296" t="s">
        <v>1152</v>
      </c>
      <c r="B296" s="2">
        <v>45776</v>
      </c>
      <c r="C296" t="s">
        <v>687</v>
      </c>
      <c r="D296" t="s">
        <v>764</v>
      </c>
      <c r="E296" t="s">
        <v>839</v>
      </c>
      <c r="F296">
        <v>5</v>
      </c>
      <c r="G296">
        <v>0</v>
      </c>
      <c r="H296" t="s">
        <v>855</v>
      </c>
      <c r="I296" t="str">
        <f>VLOOKUP(C296,Customers!A:C,2,FALSE)&amp;" "&amp;VLOOKUP(C296,Customers!A:C,3,FALSE)</f>
        <v>James Mitchell</v>
      </c>
      <c r="J296" t="str">
        <f>VLOOKUP(D296,Products!A:C,2,FALSE)</f>
        <v>Simple Accessories</v>
      </c>
      <c r="K296" t="str">
        <f>VLOOKUP(D296,Products!A:C,3,FALSE)</f>
        <v>Fashion</v>
      </c>
      <c r="L296" t="str">
        <f>VLOOKUP(E296,Stores!A:B,2,FALSE)</f>
        <v>MegaMart New Michele</v>
      </c>
      <c r="M296">
        <f>VLOOKUP(D296,Products!A:E,5,FALSE)</f>
        <v>323.92</v>
      </c>
      <c r="N296" s="5">
        <f t="shared" si="4"/>
        <v>1619.6000000000001</v>
      </c>
    </row>
    <row r="297" spans="1:14" x14ac:dyDescent="0.3">
      <c r="A297" t="s">
        <v>1153</v>
      </c>
      <c r="B297" s="2">
        <v>45798</v>
      </c>
      <c r="C297" t="s">
        <v>238</v>
      </c>
      <c r="D297" t="s">
        <v>722</v>
      </c>
      <c r="E297" t="s">
        <v>842</v>
      </c>
      <c r="F297">
        <v>1</v>
      </c>
      <c r="G297">
        <v>0.1</v>
      </c>
      <c r="H297" t="s">
        <v>858</v>
      </c>
      <c r="I297" t="str">
        <f>VLOOKUP(C297,Customers!A:C,2,FALSE)&amp;" "&amp;VLOOKUP(C297,Customers!A:C,3,FALSE)</f>
        <v>Susan Salinas</v>
      </c>
      <c r="J297" t="str">
        <f>VLOOKUP(D297,Products!A:C,2,FALSE)</f>
        <v>Four Accessories</v>
      </c>
      <c r="K297" t="str">
        <f>VLOOKUP(D297,Products!A:C,3,FALSE)</f>
        <v>Fashion</v>
      </c>
      <c r="L297" t="str">
        <f>VLOOKUP(E297,Stores!A:B,2,FALSE)</f>
        <v>MegaMart Brianahaven</v>
      </c>
      <c r="M297">
        <f>VLOOKUP(D297,Products!A:E,5,FALSE)</f>
        <v>1853.77</v>
      </c>
      <c r="N297" s="5">
        <f t="shared" si="4"/>
        <v>1668.393</v>
      </c>
    </row>
    <row r="298" spans="1:14" x14ac:dyDescent="0.3">
      <c r="A298" t="s">
        <v>1154</v>
      </c>
      <c r="B298" s="2">
        <v>45569</v>
      </c>
      <c r="C298" t="s">
        <v>243</v>
      </c>
      <c r="D298" t="s">
        <v>757</v>
      </c>
      <c r="E298" t="s">
        <v>835</v>
      </c>
      <c r="F298">
        <v>1</v>
      </c>
      <c r="G298">
        <v>0</v>
      </c>
      <c r="H298" t="s">
        <v>855</v>
      </c>
      <c r="I298" t="str">
        <f>VLOOKUP(C298,Customers!A:C,2,FALSE)&amp;" "&amp;VLOOKUP(C298,Customers!A:C,3,FALSE)</f>
        <v>Amanda Hoover</v>
      </c>
      <c r="J298" t="str">
        <f>VLOOKUP(D298,Products!A:C,2,FALSE)</f>
        <v>Find Headphones</v>
      </c>
      <c r="K298" t="str">
        <f>VLOOKUP(D298,Products!A:C,3,FALSE)</f>
        <v>Electronics</v>
      </c>
      <c r="L298" t="str">
        <f>VLOOKUP(E298,Stores!A:B,2,FALSE)</f>
        <v>MegaMart Peckmouth</v>
      </c>
      <c r="M298">
        <f>VLOOKUP(D298,Products!A:E,5,FALSE)</f>
        <v>1246.1099999999999</v>
      </c>
      <c r="N298" s="5">
        <f t="shared" si="4"/>
        <v>1246.1099999999999</v>
      </c>
    </row>
    <row r="299" spans="1:14" x14ac:dyDescent="0.3">
      <c r="A299" t="s">
        <v>1155</v>
      </c>
      <c r="B299" s="2">
        <v>45525</v>
      </c>
      <c r="C299" t="s">
        <v>372</v>
      </c>
      <c r="D299" t="s">
        <v>736</v>
      </c>
      <c r="E299" t="s">
        <v>846</v>
      </c>
      <c r="F299">
        <v>4</v>
      </c>
      <c r="G299">
        <v>0.05</v>
      </c>
      <c r="H299" t="s">
        <v>861</v>
      </c>
      <c r="I299" t="str">
        <f>VLOOKUP(C299,Customers!A:C,2,FALSE)&amp;" "&amp;VLOOKUP(C299,Customers!A:C,3,FALSE)</f>
        <v>Kimberly Jones</v>
      </c>
      <c r="J299" t="str">
        <f>VLOOKUP(D299,Products!A:C,2,FALSE)</f>
        <v>Us Snacks</v>
      </c>
      <c r="K299" t="str">
        <f>VLOOKUP(D299,Products!A:C,3,FALSE)</f>
        <v>Groceries</v>
      </c>
      <c r="L299" t="str">
        <f>VLOOKUP(E299,Stores!A:B,2,FALSE)</f>
        <v>MegaMart Johnmouth</v>
      </c>
      <c r="M299">
        <f>VLOOKUP(D299,Products!A:E,5,FALSE)</f>
        <v>123.19</v>
      </c>
      <c r="N299" s="5">
        <f t="shared" si="4"/>
        <v>468.12199999999996</v>
      </c>
    </row>
    <row r="300" spans="1:14" x14ac:dyDescent="0.3">
      <c r="A300" t="s">
        <v>1156</v>
      </c>
      <c r="B300" s="2">
        <v>45251</v>
      </c>
      <c r="C300" t="s">
        <v>317</v>
      </c>
      <c r="D300" t="s">
        <v>780</v>
      </c>
      <c r="E300" t="s">
        <v>846</v>
      </c>
      <c r="F300">
        <v>3</v>
      </c>
      <c r="G300">
        <v>0.05</v>
      </c>
      <c r="H300" t="s">
        <v>861</v>
      </c>
      <c r="I300" t="str">
        <f>VLOOKUP(C300,Customers!A:C,2,FALSE)&amp;" "&amp;VLOOKUP(C300,Customers!A:C,3,FALSE)</f>
        <v>Amanda Lee</v>
      </c>
      <c r="J300" t="str">
        <f>VLOOKUP(D300,Products!A:C,2,FALSE)</f>
        <v>Hospital Smartphone</v>
      </c>
      <c r="K300" t="str">
        <f>VLOOKUP(D300,Products!A:C,3,FALSE)</f>
        <v>Electronics</v>
      </c>
      <c r="L300" t="str">
        <f>VLOOKUP(E300,Stores!A:B,2,FALSE)</f>
        <v>MegaMart Johnmouth</v>
      </c>
      <c r="M300">
        <f>VLOOKUP(D300,Products!A:E,5,FALSE)</f>
        <v>1272.23</v>
      </c>
      <c r="N300" s="5">
        <f t="shared" si="4"/>
        <v>3625.8554999999997</v>
      </c>
    </row>
    <row r="301" spans="1:14" x14ac:dyDescent="0.3">
      <c r="A301" t="s">
        <v>1157</v>
      </c>
      <c r="B301" s="2">
        <v>45245</v>
      </c>
      <c r="C301" t="s">
        <v>469</v>
      </c>
      <c r="D301" t="s">
        <v>742</v>
      </c>
      <c r="E301" t="s">
        <v>846</v>
      </c>
      <c r="F301">
        <v>4</v>
      </c>
      <c r="G301">
        <v>0.15</v>
      </c>
      <c r="H301" t="s">
        <v>855</v>
      </c>
      <c r="I301" t="str">
        <f>VLOOKUP(C301,Customers!A:C,2,FALSE)&amp;" "&amp;VLOOKUP(C301,Customers!A:C,3,FALSE)</f>
        <v>Robert Collins</v>
      </c>
      <c r="J301" t="str">
        <f>VLOOKUP(D301,Products!A:C,2,FALSE)</f>
        <v>Either Headphones</v>
      </c>
      <c r="K301" t="str">
        <f>VLOOKUP(D301,Products!A:C,3,FALSE)</f>
        <v>Electronics</v>
      </c>
      <c r="L301" t="str">
        <f>VLOOKUP(E301,Stores!A:B,2,FALSE)</f>
        <v>MegaMart Johnmouth</v>
      </c>
      <c r="M301">
        <f>VLOOKUP(D301,Products!A:E,5,FALSE)</f>
        <v>248.57</v>
      </c>
      <c r="N301" s="5">
        <f t="shared" si="4"/>
        <v>845.13799999999992</v>
      </c>
    </row>
    <row r="302" spans="1:14" x14ac:dyDescent="0.3">
      <c r="A302" t="s">
        <v>1158</v>
      </c>
      <c r="B302" s="2">
        <v>45633</v>
      </c>
      <c r="C302" t="s">
        <v>469</v>
      </c>
      <c r="D302" t="s">
        <v>790</v>
      </c>
      <c r="E302" t="s">
        <v>831</v>
      </c>
      <c r="F302">
        <v>1</v>
      </c>
      <c r="G302">
        <v>0.15</v>
      </c>
      <c r="H302" t="s">
        <v>858</v>
      </c>
      <c r="I302" t="str">
        <f>VLOOKUP(C302,Customers!A:C,2,FALSE)&amp;" "&amp;VLOOKUP(C302,Customers!A:C,3,FALSE)</f>
        <v>Robert Collins</v>
      </c>
      <c r="J302" t="str">
        <f>VLOOKUP(D302,Products!A:C,2,FALSE)</f>
        <v>Difficult Vegetables</v>
      </c>
      <c r="K302" t="str">
        <f>VLOOKUP(D302,Products!A:C,3,FALSE)</f>
        <v>Groceries</v>
      </c>
      <c r="L302" t="str">
        <f>VLOOKUP(E302,Stores!A:B,2,FALSE)</f>
        <v>MegaMart Jimenezborough</v>
      </c>
      <c r="M302">
        <f>VLOOKUP(D302,Products!A:E,5,FALSE)</f>
        <v>304.70999999999998</v>
      </c>
      <c r="N302" s="5">
        <f t="shared" si="4"/>
        <v>259.00349999999997</v>
      </c>
    </row>
    <row r="303" spans="1:14" x14ac:dyDescent="0.3">
      <c r="A303" t="s">
        <v>1159</v>
      </c>
      <c r="B303" s="2">
        <v>45637</v>
      </c>
      <c r="C303" t="s">
        <v>238</v>
      </c>
      <c r="D303" t="s">
        <v>750</v>
      </c>
      <c r="E303" t="s">
        <v>835</v>
      </c>
      <c r="F303">
        <v>5</v>
      </c>
      <c r="G303">
        <v>0.1</v>
      </c>
      <c r="H303" t="s">
        <v>865</v>
      </c>
      <c r="I303" t="str">
        <f>VLOOKUP(C303,Customers!A:C,2,FALSE)&amp;" "&amp;VLOOKUP(C303,Customers!A:C,3,FALSE)</f>
        <v>Susan Salinas</v>
      </c>
      <c r="J303" t="str">
        <f>VLOOKUP(D303,Products!A:C,2,FALSE)</f>
        <v>Add Clothing</v>
      </c>
      <c r="K303" t="str">
        <f>VLOOKUP(D303,Products!A:C,3,FALSE)</f>
        <v>Fashion</v>
      </c>
      <c r="L303" t="str">
        <f>VLOOKUP(E303,Stores!A:B,2,FALSE)</f>
        <v>MegaMart Peckmouth</v>
      </c>
      <c r="M303">
        <f>VLOOKUP(D303,Products!A:E,5,FALSE)</f>
        <v>1342.75</v>
      </c>
      <c r="N303" s="5">
        <f t="shared" si="4"/>
        <v>6042.375</v>
      </c>
    </row>
    <row r="304" spans="1:14" x14ac:dyDescent="0.3">
      <c r="A304" t="s">
        <v>1160</v>
      </c>
      <c r="B304" s="2">
        <v>45909</v>
      </c>
      <c r="C304" t="s">
        <v>55</v>
      </c>
      <c r="D304" t="s">
        <v>757</v>
      </c>
      <c r="E304" t="s">
        <v>839</v>
      </c>
      <c r="F304">
        <v>4</v>
      </c>
      <c r="G304">
        <v>0.15</v>
      </c>
      <c r="H304" t="s">
        <v>855</v>
      </c>
      <c r="I304" t="str">
        <f>VLOOKUP(C304,Customers!A:C,2,FALSE)&amp;" "&amp;VLOOKUP(C304,Customers!A:C,3,FALSE)</f>
        <v>Robert Anderson</v>
      </c>
      <c r="J304" t="str">
        <f>VLOOKUP(D304,Products!A:C,2,FALSE)</f>
        <v>Find Headphones</v>
      </c>
      <c r="K304" t="str">
        <f>VLOOKUP(D304,Products!A:C,3,FALSE)</f>
        <v>Electronics</v>
      </c>
      <c r="L304" t="str">
        <f>VLOOKUP(E304,Stores!A:B,2,FALSE)</f>
        <v>MegaMart New Michele</v>
      </c>
      <c r="M304">
        <f>VLOOKUP(D304,Products!A:E,5,FALSE)</f>
        <v>1246.1099999999999</v>
      </c>
      <c r="N304" s="5">
        <f t="shared" si="4"/>
        <v>4236.7739999999994</v>
      </c>
    </row>
    <row r="305" spans="1:14" x14ac:dyDescent="0.3">
      <c r="A305" t="s">
        <v>1161</v>
      </c>
      <c r="B305" s="2">
        <v>45451</v>
      </c>
      <c r="C305" t="s">
        <v>503</v>
      </c>
      <c r="D305" t="s">
        <v>750</v>
      </c>
      <c r="E305" t="s">
        <v>831</v>
      </c>
      <c r="F305">
        <v>1</v>
      </c>
      <c r="G305">
        <v>0.15</v>
      </c>
      <c r="H305" t="s">
        <v>861</v>
      </c>
      <c r="I305" t="str">
        <f>VLOOKUP(C305,Customers!A:C,2,FALSE)&amp;" "&amp;VLOOKUP(C305,Customers!A:C,3,FALSE)</f>
        <v>Breanna Moore</v>
      </c>
      <c r="J305" t="str">
        <f>VLOOKUP(D305,Products!A:C,2,FALSE)</f>
        <v>Add Clothing</v>
      </c>
      <c r="K305" t="str">
        <f>VLOOKUP(D305,Products!A:C,3,FALSE)</f>
        <v>Fashion</v>
      </c>
      <c r="L305" t="str">
        <f>VLOOKUP(E305,Stores!A:B,2,FALSE)</f>
        <v>MegaMart Jimenezborough</v>
      </c>
      <c r="M305">
        <f>VLOOKUP(D305,Products!A:E,5,FALSE)</f>
        <v>1342.75</v>
      </c>
      <c r="N305" s="5">
        <f t="shared" si="4"/>
        <v>1141.3374999999999</v>
      </c>
    </row>
    <row r="306" spans="1:14" x14ac:dyDescent="0.3">
      <c r="A306" t="s">
        <v>1162</v>
      </c>
      <c r="B306" s="2">
        <v>45573</v>
      </c>
      <c r="C306" t="s">
        <v>258</v>
      </c>
      <c r="D306" t="s">
        <v>784</v>
      </c>
      <c r="E306" t="s">
        <v>839</v>
      </c>
      <c r="F306">
        <v>4</v>
      </c>
      <c r="G306">
        <v>0.1</v>
      </c>
      <c r="H306" t="s">
        <v>865</v>
      </c>
      <c r="I306" t="str">
        <f>VLOOKUP(C306,Customers!A:C,2,FALSE)&amp;" "&amp;VLOOKUP(C306,Customers!A:C,3,FALSE)</f>
        <v>Alexandra Montoya</v>
      </c>
      <c r="J306" t="str">
        <f>VLOOKUP(D306,Products!A:C,2,FALSE)</f>
        <v>Road Clothing</v>
      </c>
      <c r="K306" t="str">
        <f>VLOOKUP(D306,Products!A:C,3,FALSE)</f>
        <v>Fashion</v>
      </c>
      <c r="L306" t="str">
        <f>VLOOKUP(E306,Stores!A:B,2,FALSE)</f>
        <v>MegaMart New Michele</v>
      </c>
      <c r="M306">
        <f>VLOOKUP(D306,Products!A:E,5,FALSE)</f>
        <v>1485.05</v>
      </c>
      <c r="N306" s="5">
        <f t="shared" si="4"/>
        <v>5346.18</v>
      </c>
    </row>
    <row r="307" spans="1:14" x14ac:dyDescent="0.3">
      <c r="A307" t="s">
        <v>1163</v>
      </c>
      <c r="B307" s="2">
        <v>45582</v>
      </c>
      <c r="C307" t="s">
        <v>386</v>
      </c>
      <c r="D307" t="s">
        <v>711</v>
      </c>
      <c r="E307" t="s">
        <v>831</v>
      </c>
      <c r="F307">
        <v>5</v>
      </c>
      <c r="G307">
        <v>0.05</v>
      </c>
      <c r="H307" t="s">
        <v>855</v>
      </c>
      <c r="I307" t="str">
        <f>VLOOKUP(C307,Customers!A:C,2,FALSE)&amp;" "&amp;VLOOKUP(C307,Customers!A:C,3,FALSE)</f>
        <v>David Burns</v>
      </c>
      <c r="J307" t="str">
        <f>VLOOKUP(D307,Products!A:C,2,FALSE)</f>
        <v>Like Camera</v>
      </c>
      <c r="K307" t="str">
        <f>VLOOKUP(D307,Products!A:C,3,FALSE)</f>
        <v>Electronics</v>
      </c>
      <c r="L307" t="str">
        <f>VLOOKUP(E307,Stores!A:B,2,FALSE)</f>
        <v>MegaMart Jimenezborough</v>
      </c>
      <c r="M307">
        <f>VLOOKUP(D307,Products!A:E,5,FALSE)</f>
        <v>1673.69</v>
      </c>
      <c r="N307" s="5">
        <f t="shared" si="4"/>
        <v>7950.0275000000001</v>
      </c>
    </row>
    <row r="308" spans="1:14" x14ac:dyDescent="0.3">
      <c r="A308" t="s">
        <v>1164</v>
      </c>
      <c r="B308" s="2">
        <v>45852</v>
      </c>
      <c r="C308" t="s">
        <v>516</v>
      </c>
      <c r="D308" t="s">
        <v>745</v>
      </c>
      <c r="E308" t="s">
        <v>839</v>
      </c>
      <c r="F308">
        <v>1</v>
      </c>
      <c r="G308">
        <v>0.15</v>
      </c>
      <c r="H308" t="s">
        <v>858</v>
      </c>
      <c r="I308" t="str">
        <f>VLOOKUP(C308,Customers!A:C,2,FALSE)&amp;" "&amp;VLOOKUP(C308,Customers!A:C,3,FALSE)</f>
        <v>Suzanne Fox</v>
      </c>
      <c r="J308" t="str">
        <f>VLOOKUP(D308,Products!A:C,2,FALSE)</f>
        <v>Above Camera</v>
      </c>
      <c r="K308" t="str">
        <f>VLOOKUP(D308,Products!A:C,3,FALSE)</f>
        <v>Electronics</v>
      </c>
      <c r="L308" t="str">
        <f>VLOOKUP(E308,Stores!A:B,2,FALSE)</f>
        <v>MegaMart New Michele</v>
      </c>
      <c r="M308">
        <f>VLOOKUP(D308,Products!A:E,5,FALSE)</f>
        <v>1193.0899999999999</v>
      </c>
      <c r="N308" s="5">
        <f t="shared" si="4"/>
        <v>1014.1264999999999</v>
      </c>
    </row>
    <row r="309" spans="1:14" x14ac:dyDescent="0.3">
      <c r="A309" t="s">
        <v>1165</v>
      </c>
      <c r="B309" s="2">
        <v>45619</v>
      </c>
      <c r="C309" t="s">
        <v>690</v>
      </c>
      <c r="D309" t="s">
        <v>772</v>
      </c>
      <c r="E309" t="s">
        <v>846</v>
      </c>
      <c r="F309">
        <v>3</v>
      </c>
      <c r="G309">
        <v>0</v>
      </c>
      <c r="H309" t="s">
        <v>861</v>
      </c>
      <c r="I309" t="str">
        <f>VLOOKUP(C309,Customers!A:C,2,FALSE)&amp;" "&amp;VLOOKUP(C309,Customers!A:C,3,FALSE)</f>
        <v>James Noble</v>
      </c>
      <c r="J309" t="str">
        <f>VLOOKUP(D309,Products!A:C,2,FALSE)</f>
        <v>And Footwear</v>
      </c>
      <c r="K309" t="str">
        <f>VLOOKUP(D309,Products!A:C,3,FALSE)</f>
        <v>Fashion</v>
      </c>
      <c r="L309" t="str">
        <f>VLOOKUP(E309,Stores!A:B,2,FALSE)</f>
        <v>MegaMart Johnmouth</v>
      </c>
      <c r="M309">
        <f>VLOOKUP(D309,Products!A:E,5,FALSE)</f>
        <v>1878.47</v>
      </c>
      <c r="N309" s="5">
        <f t="shared" si="4"/>
        <v>5635.41</v>
      </c>
    </row>
    <row r="310" spans="1:14" x14ac:dyDescent="0.3">
      <c r="A310" t="s">
        <v>1166</v>
      </c>
      <c r="B310" s="2">
        <v>45389</v>
      </c>
      <c r="C310" t="s">
        <v>101</v>
      </c>
      <c r="D310" t="s">
        <v>824</v>
      </c>
      <c r="E310" t="s">
        <v>842</v>
      </c>
      <c r="F310">
        <v>3</v>
      </c>
      <c r="G310">
        <v>0.1</v>
      </c>
      <c r="H310" t="s">
        <v>855</v>
      </c>
      <c r="I310" t="str">
        <f>VLOOKUP(C310,Customers!A:C,2,FALSE)&amp;" "&amp;VLOOKUP(C310,Customers!A:C,3,FALSE)</f>
        <v>Cheryl Gilbert</v>
      </c>
      <c r="J310" t="str">
        <f>VLOOKUP(D310,Products!A:C,2,FALSE)</f>
        <v>Possible Watches</v>
      </c>
      <c r="K310" t="str">
        <f>VLOOKUP(D310,Products!A:C,3,FALSE)</f>
        <v>Fashion</v>
      </c>
      <c r="L310" t="str">
        <f>VLOOKUP(E310,Stores!A:B,2,FALSE)</f>
        <v>MegaMart Brianahaven</v>
      </c>
      <c r="M310">
        <f>VLOOKUP(D310,Products!A:E,5,FALSE)</f>
        <v>388.26</v>
      </c>
      <c r="N310" s="5">
        <f t="shared" si="4"/>
        <v>1048.3019999999999</v>
      </c>
    </row>
    <row r="311" spans="1:14" x14ac:dyDescent="0.3">
      <c r="A311" t="s">
        <v>1167</v>
      </c>
      <c r="B311" s="2">
        <v>45258</v>
      </c>
      <c r="C311" t="s">
        <v>683</v>
      </c>
      <c r="D311" t="s">
        <v>739</v>
      </c>
      <c r="E311" t="s">
        <v>835</v>
      </c>
      <c r="F311">
        <v>2</v>
      </c>
      <c r="G311">
        <v>0.15</v>
      </c>
      <c r="H311" t="s">
        <v>865</v>
      </c>
      <c r="I311" t="str">
        <f>VLOOKUP(C311,Customers!A:C,2,FALSE)&amp;" "&amp;VLOOKUP(C311,Customers!A:C,3,FALSE)</f>
        <v>Ann West</v>
      </c>
      <c r="J311" t="str">
        <f>VLOOKUP(D311,Products!A:C,2,FALSE)</f>
        <v>Step Smartphone</v>
      </c>
      <c r="K311" t="str">
        <f>VLOOKUP(D311,Products!A:C,3,FALSE)</f>
        <v>Electronics</v>
      </c>
      <c r="L311" t="str">
        <f>VLOOKUP(E311,Stores!A:B,2,FALSE)</f>
        <v>MegaMart Peckmouth</v>
      </c>
      <c r="M311">
        <f>VLOOKUP(D311,Products!A:E,5,FALSE)</f>
        <v>1194.1199999999999</v>
      </c>
      <c r="N311" s="5">
        <f t="shared" si="4"/>
        <v>2030.0039999999997</v>
      </c>
    </row>
    <row r="312" spans="1:14" x14ac:dyDescent="0.3">
      <c r="A312" t="s">
        <v>1168</v>
      </c>
      <c r="B312" s="2">
        <v>45474</v>
      </c>
      <c r="C312" t="s">
        <v>51</v>
      </c>
      <c r="D312" t="s">
        <v>788</v>
      </c>
      <c r="E312" t="s">
        <v>831</v>
      </c>
      <c r="F312">
        <v>2</v>
      </c>
      <c r="G312">
        <v>0.1</v>
      </c>
      <c r="H312" t="s">
        <v>858</v>
      </c>
      <c r="I312" t="str">
        <f>VLOOKUP(C312,Customers!A:C,2,FALSE)&amp;" "&amp;VLOOKUP(C312,Customers!A:C,3,FALSE)</f>
        <v>Dale Perry</v>
      </c>
      <c r="J312" t="str">
        <f>VLOOKUP(D312,Products!A:C,2,FALSE)</f>
        <v>Foot Snacks</v>
      </c>
      <c r="K312" t="str">
        <f>VLOOKUP(D312,Products!A:C,3,FALSE)</f>
        <v>Groceries</v>
      </c>
      <c r="L312" t="str">
        <f>VLOOKUP(E312,Stores!A:B,2,FALSE)</f>
        <v>MegaMart Jimenezborough</v>
      </c>
      <c r="M312">
        <f>VLOOKUP(D312,Products!A:E,5,FALSE)</f>
        <v>1095.72</v>
      </c>
      <c r="N312" s="5">
        <f t="shared" si="4"/>
        <v>1972.296</v>
      </c>
    </row>
    <row r="313" spans="1:14" x14ac:dyDescent="0.3">
      <c r="A313" t="s">
        <v>1169</v>
      </c>
      <c r="B313" s="2">
        <v>45665</v>
      </c>
      <c r="C313" t="s">
        <v>487</v>
      </c>
      <c r="D313" t="s">
        <v>774</v>
      </c>
      <c r="E313" t="s">
        <v>842</v>
      </c>
      <c r="F313">
        <v>2</v>
      </c>
      <c r="G313">
        <v>0.05</v>
      </c>
      <c r="H313" t="s">
        <v>855</v>
      </c>
      <c r="I313" t="str">
        <f>VLOOKUP(C313,Customers!A:C,2,FALSE)&amp;" "&amp;VLOOKUP(C313,Customers!A:C,3,FALSE)</f>
        <v>Yvette Roth</v>
      </c>
      <c r="J313" t="str">
        <f>VLOOKUP(D313,Products!A:C,2,FALSE)</f>
        <v>Him Smartphone</v>
      </c>
      <c r="K313" t="str">
        <f>VLOOKUP(D313,Products!A:C,3,FALSE)</f>
        <v>Electronics</v>
      </c>
      <c r="L313" t="str">
        <f>VLOOKUP(E313,Stores!A:B,2,FALSE)</f>
        <v>MegaMart Brianahaven</v>
      </c>
      <c r="M313">
        <f>VLOOKUP(D313,Products!A:E,5,FALSE)</f>
        <v>1487.41</v>
      </c>
      <c r="N313" s="5">
        <f t="shared" si="4"/>
        <v>2826.0790000000002</v>
      </c>
    </row>
    <row r="314" spans="1:14" x14ac:dyDescent="0.3">
      <c r="A314" t="s">
        <v>1170</v>
      </c>
      <c r="B314" s="2">
        <v>45645</v>
      </c>
      <c r="C314" t="s">
        <v>563</v>
      </c>
      <c r="D314" t="s">
        <v>802</v>
      </c>
      <c r="E314" t="s">
        <v>839</v>
      </c>
      <c r="F314">
        <v>2</v>
      </c>
      <c r="G314">
        <v>0.15</v>
      </c>
      <c r="H314" t="s">
        <v>855</v>
      </c>
      <c r="I314" t="str">
        <f>VLOOKUP(C314,Customers!A:C,2,FALSE)&amp;" "&amp;VLOOKUP(C314,Customers!A:C,3,FALSE)</f>
        <v>Connie Terry</v>
      </c>
      <c r="J314" t="str">
        <f>VLOOKUP(D314,Products!A:C,2,FALSE)</f>
        <v>Stage Footwear</v>
      </c>
      <c r="K314" t="str">
        <f>VLOOKUP(D314,Products!A:C,3,FALSE)</f>
        <v>Fashion</v>
      </c>
      <c r="L314" t="str">
        <f>VLOOKUP(E314,Stores!A:B,2,FALSE)</f>
        <v>MegaMart New Michele</v>
      </c>
      <c r="M314">
        <f>VLOOKUP(D314,Products!A:E,5,FALSE)</f>
        <v>366.93</v>
      </c>
      <c r="N314" s="5">
        <f t="shared" si="4"/>
        <v>623.78099999999995</v>
      </c>
    </row>
    <row r="315" spans="1:14" x14ac:dyDescent="0.3">
      <c r="A315" t="s">
        <v>1171</v>
      </c>
      <c r="B315" s="2">
        <v>45760</v>
      </c>
      <c r="C315" t="s">
        <v>549</v>
      </c>
      <c r="D315" t="s">
        <v>782</v>
      </c>
      <c r="E315" t="s">
        <v>839</v>
      </c>
      <c r="F315">
        <v>5</v>
      </c>
      <c r="G315">
        <v>0.15</v>
      </c>
      <c r="H315" t="s">
        <v>855</v>
      </c>
      <c r="I315" t="str">
        <f>VLOOKUP(C315,Customers!A:C,2,FALSE)&amp;" "&amp;VLOOKUP(C315,Customers!A:C,3,FALSE)</f>
        <v>Brittany Green</v>
      </c>
      <c r="J315" t="str">
        <f>VLOOKUP(D315,Products!A:C,2,FALSE)</f>
        <v>Deal Smartphone</v>
      </c>
      <c r="K315" t="str">
        <f>VLOOKUP(D315,Products!A:C,3,FALSE)</f>
        <v>Electronics</v>
      </c>
      <c r="L315" t="str">
        <f>VLOOKUP(E315,Stores!A:B,2,FALSE)</f>
        <v>MegaMart New Michele</v>
      </c>
      <c r="M315">
        <f>VLOOKUP(D315,Products!A:E,5,FALSE)</f>
        <v>673.78</v>
      </c>
      <c r="N315" s="5">
        <f t="shared" si="4"/>
        <v>2863.5649999999996</v>
      </c>
    </row>
    <row r="316" spans="1:14" x14ac:dyDescent="0.3">
      <c r="A316" t="s">
        <v>1172</v>
      </c>
      <c r="B316" s="2">
        <v>45188</v>
      </c>
      <c r="C316" t="s">
        <v>452</v>
      </c>
      <c r="D316" t="s">
        <v>778</v>
      </c>
      <c r="E316" t="s">
        <v>831</v>
      </c>
      <c r="F316">
        <v>3</v>
      </c>
      <c r="G316">
        <v>0.1</v>
      </c>
      <c r="H316" t="s">
        <v>865</v>
      </c>
      <c r="I316" t="str">
        <f>VLOOKUP(C316,Customers!A:C,2,FALSE)&amp;" "&amp;VLOOKUP(C316,Customers!A:C,3,FALSE)</f>
        <v>Amy Smith</v>
      </c>
      <c r="J316" t="str">
        <f>VLOOKUP(D316,Products!A:C,2,FALSE)</f>
        <v>Behavior Dairy</v>
      </c>
      <c r="K316" t="str">
        <f>VLOOKUP(D316,Products!A:C,3,FALSE)</f>
        <v>Groceries</v>
      </c>
      <c r="L316" t="str">
        <f>VLOOKUP(E316,Stores!A:B,2,FALSE)</f>
        <v>MegaMart Jimenezborough</v>
      </c>
      <c r="M316">
        <f>VLOOKUP(D316,Products!A:E,5,FALSE)</f>
        <v>1015.76</v>
      </c>
      <c r="N316" s="5">
        <f t="shared" si="4"/>
        <v>2742.5519999999997</v>
      </c>
    </row>
    <row r="317" spans="1:14" x14ac:dyDescent="0.3">
      <c r="A317" t="s">
        <v>1173</v>
      </c>
      <c r="B317" s="2">
        <v>45748</v>
      </c>
      <c r="C317" t="s">
        <v>399</v>
      </c>
      <c r="D317" t="s">
        <v>718</v>
      </c>
      <c r="E317" t="s">
        <v>846</v>
      </c>
      <c r="F317">
        <v>3</v>
      </c>
      <c r="G317">
        <v>0</v>
      </c>
      <c r="H317" t="s">
        <v>858</v>
      </c>
      <c r="I317" t="str">
        <f>VLOOKUP(C317,Customers!A:C,2,FALSE)&amp;" "&amp;VLOOKUP(C317,Customers!A:C,3,FALSE)</f>
        <v>Victoria Hansen</v>
      </c>
      <c r="J317" t="str">
        <f>VLOOKUP(D317,Products!A:C,2,FALSE)</f>
        <v>Here Footwear</v>
      </c>
      <c r="K317" t="str">
        <f>VLOOKUP(D317,Products!A:C,3,FALSE)</f>
        <v>Fashion</v>
      </c>
      <c r="L317" t="str">
        <f>VLOOKUP(E317,Stores!A:B,2,FALSE)</f>
        <v>MegaMart Johnmouth</v>
      </c>
      <c r="M317">
        <f>VLOOKUP(D317,Products!A:E,5,FALSE)</f>
        <v>337.63</v>
      </c>
      <c r="N317" s="5">
        <f t="shared" si="4"/>
        <v>1012.89</v>
      </c>
    </row>
    <row r="318" spans="1:14" x14ac:dyDescent="0.3">
      <c r="A318" t="s">
        <v>1174</v>
      </c>
      <c r="B318" s="2">
        <v>45715</v>
      </c>
      <c r="C318" t="s">
        <v>258</v>
      </c>
      <c r="D318" t="s">
        <v>820</v>
      </c>
      <c r="E318" t="s">
        <v>846</v>
      </c>
      <c r="F318">
        <v>5</v>
      </c>
      <c r="G318">
        <v>0.05</v>
      </c>
      <c r="H318" t="s">
        <v>865</v>
      </c>
      <c r="I318" t="str">
        <f>VLOOKUP(C318,Customers!A:C,2,FALSE)&amp;" "&amp;VLOOKUP(C318,Customers!A:C,3,FALSE)</f>
        <v>Alexandra Montoya</v>
      </c>
      <c r="J318" t="str">
        <f>VLOOKUP(D318,Products!A:C,2,FALSE)</f>
        <v>Or Smartphone</v>
      </c>
      <c r="K318" t="str">
        <f>VLOOKUP(D318,Products!A:C,3,FALSE)</f>
        <v>Electronics</v>
      </c>
      <c r="L318" t="str">
        <f>VLOOKUP(E318,Stores!A:B,2,FALSE)</f>
        <v>MegaMart Johnmouth</v>
      </c>
      <c r="M318">
        <f>VLOOKUP(D318,Products!A:E,5,FALSE)</f>
        <v>1197.18</v>
      </c>
      <c r="N318" s="5">
        <f t="shared" si="4"/>
        <v>5686.6050000000005</v>
      </c>
    </row>
    <row r="319" spans="1:14" x14ac:dyDescent="0.3">
      <c r="A319" t="s">
        <v>1175</v>
      </c>
      <c r="B319" s="2">
        <v>45801</v>
      </c>
      <c r="C319" t="s">
        <v>542</v>
      </c>
      <c r="D319" t="s">
        <v>812</v>
      </c>
      <c r="E319" t="s">
        <v>842</v>
      </c>
      <c r="F319">
        <v>2</v>
      </c>
      <c r="G319">
        <v>0.15</v>
      </c>
      <c r="H319" t="s">
        <v>861</v>
      </c>
      <c r="I319" t="str">
        <f>VLOOKUP(C319,Customers!A:C,2,FALSE)&amp;" "&amp;VLOOKUP(C319,Customers!A:C,3,FALSE)</f>
        <v>Francis Hernandez</v>
      </c>
      <c r="J319" t="str">
        <f>VLOOKUP(D319,Products!A:C,2,FALSE)</f>
        <v>Soon Accessories</v>
      </c>
      <c r="K319" t="str">
        <f>VLOOKUP(D319,Products!A:C,3,FALSE)</f>
        <v>Fashion</v>
      </c>
      <c r="L319" t="str">
        <f>VLOOKUP(E319,Stores!A:B,2,FALSE)</f>
        <v>MegaMart Brianahaven</v>
      </c>
      <c r="M319">
        <f>VLOOKUP(D319,Products!A:E,5,FALSE)</f>
        <v>564.41999999999996</v>
      </c>
      <c r="N319" s="5">
        <f t="shared" si="4"/>
        <v>959.5139999999999</v>
      </c>
    </row>
    <row r="320" spans="1:14" x14ac:dyDescent="0.3">
      <c r="A320" t="s">
        <v>1176</v>
      </c>
      <c r="B320" s="2">
        <v>45693</v>
      </c>
      <c r="C320" t="s">
        <v>621</v>
      </c>
      <c r="D320" t="s">
        <v>750</v>
      </c>
      <c r="E320" t="s">
        <v>835</v>
      </c>
      <c r="F320">
        <v>1</v>
      </c>
      <c r="G320">
        <v>0</v>
      </c>
      <c r="H320" t="s">
        <v>861</v>
      </c>
      <c r="I320" t="str">
        <f>VLOOKUP(C320,Customers!A:C,2,FALSE)&amp;" "&amp;VLOOKUP(C320,Customers!A:C,3,FALSE)</f>
        <v>Stacey Thompson</v>
      </c>
      <c r="J320" t="str">
        <f>VLOOKUP(D320,Products!A:C,2,FALSE)</f>
        <v>Add Clothing</v>
      </c>
      <c r="K320" t="str">
        <f>VLOOKUP(D320,Products!A:C,3,FALSE)</f>
        <v>Fashion</v>
      </c>
      <c r="L320" t="str">
        <f>VLOOKUP(E320,Stores!A:B,2,FALSE)</f>
        <v>MegaMart Peckmouth</v>
      </c>
      <c r="M320">
        <f>VLOOKUP(D320,Products!A:E,5,FALSE)</f>
        <v>1342.75</v>
      </c>
      <c r="N320" s="5">
        <f t="shared" si="4"/>
        <v>1342.75</v>
      </c>
    </row>
    <row r="321" spans="1:14" x14ac:dyDescent="0.3">
      <c r="A321" t="s">
        <v>1177</v>
      </c>
      <c r="B321" s="2">
        <v>45571</v>
      </c>
      <c r="C321" t="s">
        <v>24</v>
      </c>
      <c r="D321" t="s">
        <v>790</v>
      </c>
      <c r="E321" t="s">
        <v>842</v>
      </c>
      <c r="F321">
        <v>3</v>
      </c>
      <c r="G321">
        <v>0.15</v>
      </c>
      <c r="H321" t="s">
        <v>861</v>
      </c>
      <c r="I321" t="str">
        <f>VLOOKUP(C321,Customers!A:C,2,FALSE)&amp;" "&amp;VLOOKUP(C321,Customers!A:C,3,FALSE)</f>
        <v>Jamie Salinas</v>
      </c>
      <c r="J321" t="str">
        <f>VLOOKUP(D321,Products!A:C,2,FALSE)</f>
        <v>Difficult Vegetables</v>
      </c>
      <c r="K321" t="str">
        <f>VLOOKUP(D321,Products!A:C,3,FALSE)</f>
        <v>Groceries</v>
      </c>
      <c r="L321" t="str">
        <f>VLOOKUP(E321,Stores!A:B,2,FALSE)</f>
        <v>MegaMart Brianahaven</v>
      </c>
      <c r="M321">
        <f>VLOOKUP(D321,Products!A:E,5,FALSE)</f>
        <v>304.70999999999998</v>
      </c>
      <c r="N321" s="5">
        <f t="shared" si="4"/>
        <v>777.01049999999987</v>
      </c>
    </row>
    <row r="322" spans="1:14" x14ac:dyDescent="0.3">
      <c r="A322" t="s">
        <v>1178</v>
      </c>
      <c r="B322" s="2">
        <v>45604</v>
      </c>
      <c r="C322" t="s">
        <v>396</v>
      </c>
      <c r="D322" t="s">
        <v>755</v>
      </c>
      <c r="E322" t="s">
        <v>835</v>
      </c>
      <c r="F322">
        <v>4</v>
      </c>
      <c r="G322">
        <v>0.15</v>
      </c>
      <c r="H322" t="s">
        <v>865</v>
      </c>
      <c r="I322" t="str">
        <f>VLOOKUP(C322,Customers!A:C,2,FALSE)&amp;" "&amp;VLOOKUP(C322,Customers!A:C,3,FALSE)</f>
        <v>Kevin Flores</v>
      </c>
      <c r="J322" t="str">
        <f>VLOOKUP(D322,Products!A:C,2,FALSE)</f>
        <v>House Accessories</v>
      </c>
      <c r="K322" t="str">
        <f>VLOOKUP(D322,Products!A:C,3,FALSE)</f>
        <v>Fashion</v>
      </c>
      <c r="L322" t="str">
        <f>VLOOKUP(E322,Stores!A:B,2,FALSE)</f>
        <v>MegaMart Peckmouth</v>
      </c>
      <c r="M322">
        <f>VLOOKUP(D322,Products!A:E,5,FALSE)</f>
        <v>1858.75</v>
      </c>
      <c r="N322" s="5">
        <f t="shared" si="4"/>
        <v>6319.75</v>
      </c>
    </row>
    <row r="323" spans="1:14" x14ac:dyDescent="0.3">
      <c r="A323" t="s">
        <v>1179</v>
      </c>
      <c r="B323" s="2">
        <v>45629</v>
      </c>
      <c r="C323" t="s">
        <v>640</v>
      </c>
      <c r="D323" t="s">
        <v>759</v>
      </c>
      <c r="E323" t="s">
        <v>835</v>
      </c>
      <c r="F323">
        <v>5</v>
      </c>
      <c r="G323">
        <v>0.05</v>
      </c>
      <c r="H323" t="s">
        <v>855</v>
      </c>
      <c r="I323" t="str">
        <f>VLOOKUP(C323,Customers!A:C,2,FALSE)&amp;" "&amp;VLOOKUP(C323,Customers!A:C,3,FALSE)</f>
        <v>Brittany Oneal</v>
      </c>
      <c r="J323" t="str">
        <f>VLOOKUP(D323,Products!A:C,2,FALSE)</f>
        <v>Democratic Smartphone</v>
      </c>
      <c r="K323" t="str">
        <f>VLOOKUP(D323,Products!A:C,3,FALSE)</f>
        <v>Electronics</v>
      </c>
      <c r="L323" t="str">
        <f>VLOOKUP(E323,Stores!A:B,2,FALSE)</f>
        <v>MegaMart Peckmouth</v>
      </c>
      <c r="M323">
        <f>VLOOKUP(D323,Products!A:E,5,FALSE)</f>
        <v>1079.8900000000001</v>
      </c>
      <c r="N323" s="5">
        <f t="shared" ref="N323:N386" si="5">F323*M323*(1-G323)</f>
        <v>5129.4775000000009</v>
      </c>
    </row>
    <row r="324" spans="1:14" x14ac:dyDescent="0.3">
      <c r="A324" t="s">
        <v>1180</v>
      </c>
      <c r="B324" s="2">
        <v>45772</v>
      </c>
      <c r="C324" t="s">
        <v>604</v>
      </c>
      <c r="D324" t="s">
        <v>800</v>
      </c>
      <c r="E324" t="s">
        <v>842</v>
      </c>
      <c r="F324">
        <v>5</v>
      </c>
      <c r="G324">
        <v>0.15</v>
      </c>
      <c r="H324" t="s">
        <v>855</v>
      </c>
      <c r="I324" t="str">
        <f>VLOOKUP(C324,Customers!A:C,2,FALSE)&amp;" "&amp;VLOOKUP(C324,Customers!A:C,3,FALSE)</f>
        <v>Amber Graham</v>
      </c>
      <c r="J324" t="str">
        <f>VLOOKUP(D324,Products!A:C,2,FALSE)</f>
        <v>Book Television</v>
      </c>
      <c r="K324" t="str">
        <f>VLOOKUP(D324,Products!A:C,3,FALSE)</f>
        <v>Electronics</v>
      </c>
      <c r="L324" t="str">
        <f>VLOOKUP(E324,Stores!A:B,2,FALSE)</f>
        <v>MegaMart Brianahaven</v>
      </c>
      <c r="M324">
        <f>VLOOKUP(D324,Products!A:E,5,FALSE)</f>
        <v>1952.65</v>
      </c>
      <c r="N324" s="5">
        <f t="shared" si="5"/>
        <v>8298.7624999999989</v>
      </c>
    </row>
    <row r="325" spans="1:14" x14ac:dyDescent="0.3">
      <c r="A325" t="s">
        <v>1181</v>
      </c>
      <c r="B325" s="2">
        <v>45402</v>
      </c>
      <c r="C325" t="s">
        <v>175</v>
      </c>
      <c r="D325" t="s">
        <v>718</v>
      </c>
      <c r="E325" t="s">
        <v>842</v>
      </c>
      <c r="F325">
        <v>5</v>
      </c>
      <c r="G325">
        <v>0.1</v>
      </c>
      <c r="H325" t="s">
        <v>855</v>
      </c>
      <c r="I325" t="str">
        <f>VLOOKUP(C325,Customers!A:C,2,FALSE)&amp;" "&amp;VLOOKUP(C325,Customers!A:C,3,FALSE)</f>
        <v>Kelly Shaw</v>
      </c>
      <c r="J325" t="str">
        <f>VLOOKUP(D325,Products!A:C,2,FALSE)</f>
        <v>Here Footwear</v>
      </c>
      <c r="K325" t="str">
        <f>VLOOKUP(D325,Products!A:C,3,FALSE)</f>
        <v>Fashion</v>
      </c>
      <c r="L325" t="str">
        <f>VLOOKUP(E325,Stores!A:B,2,FALSE)</f>
        <v>MegaMart Brianahaven</v>
      </c>
      <c r="M325">
        <f>VLOOKUP(D325,Products!A:E,5,FALSE)</f>
        <v>337.63</v>
      </c>
      <c r="N325" s="5">
        <f t="shared" si="5"/>
        <v>1519.335</v>
      </c>
    </row>
    <row r="326" spans="1:14" x14ac:dyDescent="0.3">
      <c r="A326" t="s">
        <v>1182</v>
      </c>
      <c r="B326" s="2">
        <v>45289</v>
      </c>
      <c r="C326" t="s">
        <v>618</v>
      </c>
      <c r="D326" t="s">
        <v>750</v>
      </c>
      <c r="E326" t="s">
        <v>839</v>
      </c>
      <c r="F326">
        <v>5</v>
      </c>
      <c r="G326">
        <v>0.15</v>
      </c>
      <c r="H326" t="s">
        <v>861</v>
      </c>
      <c r="I326" t="str">
        <f>VLOOKUP(C326,Customers!A:C,2,FALSE)&amp;" "&amp;VLOOKUP(C326,Customers!A:C,3,FALSE)</f>
        <v>Scott Howell</v>
      </c>
      <c r="J326" t="str">
        <f>VLOOKUP(D326,Products!A:C,2,FALSE)</f>
        <v>Add Clothing</v>
      </c>
      <c r="K326" t="str">
        <f>VLOOKUP(D326,Products!A:C,3,FALSE)</f>
        <v>Fashion</v>
      </c>
      <c r="L326" t="str">
        <f>VLOOKUP(E326,Stores!A:B,2,FALSE)</f>
        <v>MegaMart New Michele</v>
      </c>
      <c r="M326">
        <f>VLOOKUP(D326,Products!A:E,5,FALSE)</f>
        <v>1342.75</v>
      </c>
      <c r="N326" s="5">
        <f t="shared" si="5"/>
        <v>5706.6875</v>
      </c>
    </row>
    <row r="327" spans="1:14" x14ac:dyDescent="0.3">
      <c r="A327" t="s">
        <v>1183</v>
      </c>
      <c r="B327" s="2">
        <v>45567</v>
      </c>
      <c r="C327" t="s">
        <v>243</v>
      </c>
      <c r="D327" t="s">
        <v>715</v>
      </c>
      <c r="E327" t="s">
        <v>839</v>
      </c>
      <c r="F327">
        <v>5</v>
      </c>
      <c r="G327">
        <v>0.1</v>
      </c>
      <c r="H327" t="s">
        <v>861</v>
      </c>
      <c r="I327" t="str">
        <f>VLOOKUP(C327,Customers!A:C,2,FALSE)&amp;" "&amp;VLOOKUP(C327,Customers!A:C,3,FALSE)</f>
        <v>Amanda Hoover</v>
      </c>
      <c r="J327" t="str">
        <f>VLOOKUP(D327,Products!A:C,2,FALSE)</f>
        <v>Audience Television</v>
      </c>
      <c r="K327" t="str">
        <f>VLOOKUP(D327,Products!A:C,3,FALSE)</f>
        <v>Electronics</v>
      </c>
      <c r="L327" t="str">
        <f>VLOOKUP(E327,Stores!A:B,2,FALSE)</f>
        <v>MegaMart New Michele</v>
      </c>
      <c r="M327">
        <f>VLOOKUP(D327,Products!A:E,5,FALSE)</f>
        <v>818.76</v>
      </c>
      <c r="N327" s="5">
        <f t="shared" si="5"/>
        <v>3684.42</v>
      </c>
    </row>
    <row r="328" spans="1:14" x14ac:dyDescent="0.3">
      <c r="A328" t="s">
        <v>1184</v>
      </c>
      <c r="B328" s="2">
        <v>45835</v>
      </c>
      <c r="C328" t="s">
        <v>291</v>
      </c>
      <c r="D328" t="s">
        <v>816</v>
      </c>
      <c r="E328" t="s">
        <v>839</v>
      </c>
      <c r="F328">
        <v>2</v>
      </c>
      <c r="G328">
        <v>0.15</v>
      </c>
      <c r="H328" t="s">
        <v>855</v>
      </c>
      <c r="I328" t="str">
        <f>VLOOKUP(C328,Customers!A:C,2,FALSE)&amp;" "&amp;VLOOKUP(C328,Customers!A:C,3,FALSE)</f>
        <v>Matthew Juarez</v>
      </c>
      <c r="J328" t="str">
        <f>VLOOKUP(D328,Products!A:C,2,FALSE)</f>
        <v>Set Dairy</v>
      </c>
      <c r="K328" t="str">
        <f>VLOOKUP(D328,Products!A:C,3,FALSE)</f>
        <v>Groceries</v>
      </c>
      <c r="L328" t="str">
        <f>VLOOKUP(E328,Stores!A:B,2,FALSE)</f>
        <v>MegaMart New Michele</v>
      </c>
      <c r="M328">
        <f>VLOOKUP(D328,Products!A:E,5,FALSE)</f>
        <v>1879.08</v>
      </c>
      <c r="N328" s="5">
        <f t="shared" si="5"/>
        <v>3194.4359999999997</v>
      </c>
    </row>
    <row r="329" spans="1:14" x14ac:dyDescent="0.3">
      <c r="A329" t="s">
        <v>1185</v>
      </c>
      <c r="B329" s="2">
        <v>45799</v>
      </c>
      <c r="C329" t="s">
        <v>454</v>
      </c>
      <c r="D329" t="s">
        <v>812</v>
      </c>
      <c r="E329" t="s">
        <v>839</v>
      </c>
      <c r="F329">
        <v>5</v>
      </c>
      <c r="G329">
        <v>0.1</v>
      </c>
      <c r="H329" t="s">
        <v>855</v>
      </c>
      <c r="I329" t="str">
        <f>VLOOKUP(C329,Customers!A:C,2,FALSE)&amp;" "&amp;VLOOKUP(C329,Customers!A:C,3,FALSE)</f>
        <v>Peter Edwards</v>
      </c>
      <c r="J329" t="str">
        <f>VLOOKUP(D329,Products!A:C,2,FALSE)</f>
        <v>Soon Accessories</v>
      </c>
      <c r="K329" t="str">
        <f>VLOOKUP(D329,Products!A:C,3,FALSE)</f>
        <v>Fashion</v>
      </c>
      <c r="L329" t="str">
        <f>VLOOKUP(E329,Stores!A:B,2,FALSE)</f>
        <v>MegaMart New Michele</v>
      </c>
      <c r="M329">
        <f>VLOOKUP(D329,Products!A:E,5,FALSE)</f>
        <v>564.41999999999996</v>
      </c>
      <c r="N329" s="5">
        <f t="shared" si="5"/>
        <v>2539.89</v>
      </c>
    </row>
    <row r="330" spans="1:14" x14ac:dyDescent="0.3">
      <c r="A330" t="s">
        <v>1186</v>
      </c>
      <c r="B330" s="2">
        <v>45639</v>
      </c>
      <c r="C330" t="s">
        <v>127</v>
      </c>
      <c r="D330" t="s">
        <v>798</v>
      </c>
      <c r="E330" t="s">
        <v>846</v>
      </c>
      <c r="F330">
        <v>5</v>
      </c>
      <c r="G330">
        <v>0.15</v>
      </c>
      <c r="H330" t="s">
        <v>858</v>
      </c>
      <c r="I330" t="str">
        <f>VLOOKUP(C330,Customers!A:C,2,FALSE)&amp;" "&amp;VLOOKUP(C330,Customers!A:C,3,FALSE)</f>
        <v>Valerie Macdonald</v>
      </c>
      <c r="J330" t="str">
        <f>VLOOKUP(D330,Products!A:C,2,FALSE)</f>
        <v>New Watches</v>
      </c>
      <c r="K330" t="str">
        <f>VLOOKUP(D330,Products!A:C,3,FALSE)</f>
        <v>Fashion</v>
      </c>
      <c r="L330" t="str">
        <f>VLOOKUP(E330,Stores!A:B,2,FALSE)</f>
        <v>MegaMart Johnmouth</v>
      </c>
      <c r="M330">
        <f>VLOOKUP(D330,Products!A:E,5,FALSE)</f>
        <v>1501.46</v>
      </c>
      <c r="N330" s="5">
        <f t="shared" si="5"/>
        <v>6381.2049999999999</v>
      </c>
    </row>
    <row r="331" spans="1:14" x14ac:dyDescent="0.3">
      <c r="A331" t="s">
        <v>1187</v>
      </c>
      <c r="B331" s="2">
        <v>45247</v>
      </c>
      <c r="C331" t="s">
        <v>335</v>
      </c>
      <c r="D331" t="s">
        <v>794</v>
      </c>
      <c r="E331" t="s">
        <v>835</v>
      </c>
      <c r="F331">
        <v>3</v>
      </c>
      <c r="G331">
        <v>0</v>
      </c>
      <c r="H331" t="s">
        <v>855</v>
      </c>
      <c r="I331" t="str">
        <f>VLOOKUP(C331,Customers!A:C,2,FALSE)&amp;" "&amp;VLOOKUP(C331,Customers!A:C,3,FALSE)</f>
        <v>William Warner</v>
      </c>
      <c r="J331" t="str">
        <f>VLOOKUP(D331,Products!A:C,2,FALSE)</f>
        <v>Everything Laptop</v>
      </c>
      <c r="K331" t="str">
        <f>VLOOKUP(D331,Products!A:C,3,FALSE)</f>
        <v>Electronics</v>
      </c>
      <c r="L331" t="str">
        <f>VLOOKUP(E331,Stores!A:B,2,FALSE)</f>
        <v>MegaMart Peckmouth</v>
      </c>
      <c r="M331">
        <f>VLOOKUP(D331,Products!A:E,5,FALSE)</f>
        <v>428.05</v>
      </c>
      <c r="N331" s="5">
        <f t="shared" si="5"/>
        <v>1284.1500000000001</v>
      </c>
    </row>
    <row r="332" spans="1:14" x14ac:dyDescent="0.3">
      <c r="A332" t="s">
        <v>1188</v>
      </c>
      <c r="B332" s="2">
        <v>45622</v>
      </c>
      <c r="C332" t="s">
        <v>647</v>
      </c>
      <c r="D332" t="s">
        <v>818</v>
      </c>
      <c r="E332" t="s">
        <v>831</v>
      </c>
      <c r="F332">
        <v>3</v>
      </c>
      <c r="G332">
        <v>0.15</v>
      </c>
      <c r="H332" t="s">
        <v>855</v>
      </c>
      <c r="I332" t="str">
        <f>VLOOKUP(C332,Customers!A:C,2,FALSE)&amp;" "&amp;VLOOKUP(C332,Customers!A:C,3,FALSE)</f>
        <v>Mary Dawson</v>
      </c>
      <c r="J332" t="str">
        <f>VLOOKUP(D332,Products!A:C,2,FALSE)</f>
        <v>Nature Clothing</v>
      </c>
      <c r="K332" t="str">
        <f>VLOOKUP(D332,Products!A:C,3,FALSE)</f>
        <v>Fashion</v>
      </c>
      <c r="L332" t="str">
        <f>VLOOKUP(E332,Stores!A:B,2,FALSE)</f>
        <v>MegaMart Jimenezborough</v>
      </c>
      <c r="M332">
        <f>VLOOKUP(D332,Products!A:E,5,FALSE)</f>
        <v>1165.3699999999999</v>
      </c>
      <c r="N332" s="5">
        <f t="shared" si="5"/>
        <v>2971.6934999999999</v>
      </c>
    </row>
    <row r="333" spans="1:14" x14ac:dyDescent="0.3">
      <c r="A333" t="s">
        <v>1189</v>
      </c>
      <c r="B333" s="2">
        <v>45362</v>
      </c>
      <c r="C333" t="s">
        <v>677</v>
      </c>
      <c r="D333" t="s">
        <v>715</v>
      </c>
      <c r="E333" t="s">
        <v>842</v>
      </c>
      <c r="F333">
        <v>2</v>
      </c>
      <c r="G333">
        <v>0.05</v>
      </c>
      <c r="H333" t="s">
        <v>855</v>
      </c>
      <c r="I333" t="str">
        <f>VLOOKUP(C333,Customers!A:C,2,FALSE)&amp;" "&amp;VLOOKUP(C333,Customers!A:C,3,FALSE)</f>
        <v>James Wilson</v>
      </c>
      <c r="J333" t="str">
        <f>VLOOKUP(D333,Products!A:C,2,FALSE)</f>
        <v>Audience Television</v>
      </c>
      <c r="K333" t="str">
        <f>VLOOKUP(D333,Products!A:C,3,FALSE)</f>
        <v>Electronics</v>
      </c>
      <c r="L333" t="str">
        <f>VLOOKUP(E333,Stores!A:B,2,FALSE)</f>
        <v>MegaMart Brianahaven</v>
      </c>
      <c r="M333">
        <f>VLOOKUP(D333,Products!A:E,5,FALSE)</f>
        <v>818.76</v>
      </c>
      <c r="N333" s="5">
        <f t="shared" si="5"/>
        <v>1555.644</v>
      </c>
    </row>
    <row r="334" spans="1:14" x14ac:dyDescent="0.3">
      <c r="A334" t="s">
        <v>1190</v>
      </c>
      <c r="B334" s="2">
        <v>45553</v>
      </c>
      <c r="C334" t="s">
        <v>524</v>
      </c>
      <c r="D334" t="s">
        <v>778</v>
      </c>
      <c r="E334" t="s">
        <v>839</v>
      </c>
      <c r="F334">
        <v>2</v>
      </c>
      <c r="G334">
        <v>0</v>
      </c>
      <c r="H334" t="s">
        <v>861</v>
      </c>
      <c r="I334" t="str">
        <f>VLOOKUP(C334,Customers!A:C,2,FALSE)&amp;" "&amp;VLOOKUP(C334,Customers!A:C,3,FALSE)</f>
        <v>Betty Johnson</v>
      </c>
      <c r="J334" t="str">
        <f>VLOOKUP(D334,Products!A:C,2,FALSE)</f>
        <v>Behavior Dairy</v>
      </c>
      <c r="K334" t="str">
        <f>VLOOKUP(D334,Products!A:C,3,FALSE)</f>
        <v>Groceries</v>
      </c>
      <c r="L334" t="str">
        <f>VLOOKUP(E334,Stores!A:B,2,FALSE)</f>
        <v>MegaMart New Michele</v>
      </c>
      <c r="M334">
        <f>VLOOKUP(D334,Products!A:E,5,FALSE)</f>
        <v>1015.76</v>
      </c>
      <c r="N334" s="5">
        <f t="shared" si="5"/>
        <v>2031.52</v>
      </c>
    </row>
    <row r="335" spans="1:14" x14ac:dyDescent="0.3">
      <c r="A335" t="s">
        <v>1191</v>
      </c>
      <c r="B335" s="2">
        <v>45901</v>
      </c>
      <c r="C335" t="s">
        <v>241</v>
      </c>
      <c r="D335" t="s">
        <v>778</v>
      </c>
      <c r="E335" t="s">
        <v>831</v>
      </c>
      <c r="F335">
        <v>5</v>
      </c>
      <c r="G335">
        <v>0.05</v>
      </c>
      <c r="H335" t="s">
        <v>861</v>
      </c>
      <c r="I335" t="str">
        <f>VLOOKUP(C335,Customers!A:C,2,FALSE)&amp;" "&amp;VLOOKUP(C335,Customers!A:C,3,FALSE)</f>
        <v>Michael Johnson</v>
      </c>
      <c r="J335" t="str">
        <f>VLOOKUP(D335,Products!A:C,2,FALSE)</f>
        <v>Behavior Dairy</v>
      </c>
      <c r="K335" t="str">
        <f>VLOOKUP(D335,Products!A:C,3,FALSE)</f>
        <v>Groceries</v>
      </c>
      <c r="L335" t="str">
        <f>VLOOKUP(E335,Stores!A:B,2,FALSE)</f>
        <v>MegaMart Jimenezborough</v>
      </c>
      <c r="M335">
        <f>VLOOKUP(D335,Products!A:E,5,FALSE)</f>
        <v>1015.76</v>
      </c>
      <c r="N335" s="5">
        <f t="shared" si="5"/>
        <v>4824.8599999999997</v>
      </c>
    </row>
    <row r="336" spans="1:14" x14ac:dyDescent="0.3">
      <c r="A336" t="s">
        <v>1192</v>
      </c>
      <c r="B336" s="2">
        <v>45591</v>
      </c>
      <c r="C336" t="s">
        <v>59</v>
      </c>
      <c r="D336" t="s">
        <v>808</v>
      </c>
      <c r="E336" t="s">
        <v>831</v>
      </c>
      <c r="F336">
        <v>4</v>
      </c>
      <c r="G336">
        <v>0.1</v>
      </c>
      <c r="H336" t="s">
        <v>858</v>
      </c>
      <c r="I336" t="str">
        <f>VLOOKUP(C336,Customers!A:C,2,FALSE)&amp;" "&amp;VLOOKUP(C336,Customers!A:C,3,FALSE)</f>
        <v>Brittany Green</v>
      </c>
      <c r="J336" t="str">
        <f>VLOOKUP(D336,Products!A:C,2,FALSE)</f>
        <v>Present Television</v>
      </c>
      <c r="K336" t="str">
        <f>VLOOKUP(D336,Products!A:C,3,FALSE)</f>
        <v>Electronics</v>
      </c>
      <c r="L336" t="str">
        <f>VLOOKUP(E336,Stores!A:B,2,FALSE)</f>
        <v>MegaMart Jimenezborough</v>
      </c>
      <c r="M336">
        <f>VLOOKUP(D336,Products!A:E,5,FALSE)</f>
        <v>1635.01</v>
      </c>
      <c r="N336" s="5">
        <f t="shared" si="5"/>
        <v>5886.0360000000001</v>
      </c>
    </row>
    <row r="337" spans="1:14" x14ac:dyDescent="0.3">
      <c r="A337" t="s">
        <v>1193</v>
      </c>
      <c r="B337" s="2">
        <v>45638</v>
      </c>
      <c r="C337" t="s">
        <v>105</v>
      </c>
      <c r="D337" t="s">
        <v>750</v>
      </c>
      <c r="E337" t="s">
        <v>835</v>
      </c>
      <c r="F337">
        <v>1</v>
      </c>
      <c r="G337">
        <v>0.05</v>
      </c>
      <c r="H337" t="s">
        <v>858</v>
      </c>
      <c r="I337" t="str">
        <f>VLOOKUP(C337,Customers!A:C,2,FALSE)&amp;" "&amp;VLOOKUP(C337,Customers!A:C,3,FALSE)</f>
        <v>Justin Macdonald</v>
      </c>
      <c r="J337" t="str">
        <f>VLOOKUP(D337,Products!A:C,2,FALSE)</f>
        <v>Add Clothing</v>
      </c>
      <c r="K337" t="str">
        <f>VLOOKUP(D337,Products!A:C,3,FALSE)</f>
        <v>Fashion</v>
      </c>
      <c r="L337" t="str">
        <f>VLOOKUP(E337,Stores!A:B,2,FALSE)</f>
        <v>MegaMart Peckmouth</v>
      </c>
      <c r="M337">
        <f>VLOOKUP(D337,Products!A:E,5,FALSE)</f>
        <v>1342.75</v>
      </c>
      <c r="N337" s="5">
        <f t="shared" si="5"/>
        <v>1275.6125</v>
      </c>
    </row>
    <row r="338" spans="1:14" x14ac:dyDescent="0.3">
      <c r="A338" t="s">
        <v>1194</v>
      </c>
      <c r="B338" s="2">
        <v>45646</v>
      </c>
      <c r="C338" t="s">
        <v>599</v>
      </c>
      <c r="D338" t="s">
        <v>812</v>
      </c>
      <c r="E338" t="s">
        <v>842</v>
      </c>
      <c r="F338">
        <v>4</v>
      </c>
      <c r="G338">
        <v>0.05</v>
      </c>
      <c r="H338" t="s">
        <v>855</v>
      </c>
      <c r="I338" t="str">
        <f>VLOOKUP(C338,Customers!A:C,2,FALSE)&amp;" "&amp;VLOOKUP(C338,Customers!A:C,3,FALSE)</f>
        <v>Richard Jones</v>
      </c>
      <c r="J338" t="str">
        <f>VLOOKUP(D338,Products!A:C,2,FALSE)</f>
        <v>Soon Accessories</v>
      </c>
      <c r="K338" t="str">
        <f>VLOOKUP(D338,Products!A:C,3,FALSE)</f>
        <v>Fashion</v>
      </c>
      <c r="L338" t="str">
        <f>VLOOKUP(E338,Stores!A:B,2,FALSE)</f>
        <v>MegaMart Brianahaven</v>
      </c>
      <c r="M338">
        <f>VLOOKUP(D338,Products!A:E,5,FALSE)</f>
        <v>564.41999999999996</v>
      </c>
      <c r="N338" s="5">
        <f t="shared" si="5"/>
        <v>2144.7959999999998</v>
      </c>
    </row>
    <row r="339" spans="1:14" x14ac:dyDescent="0.3">
      <c r="A339" t="s">
        <v>1195</v>
      </c>
      <c r="B339" s="2">
        <v>45596</v>
      </c>
      <c r="C339" t="s">
        <v>313</v>
      </c>
      <c r="D339" t="s">
        <v>739</v>
      </c>
      <c r="E339" t="s">
        <v>839</v>
      </c>
      <c r="F339">
        <v>1</v>
      </c>
      <c r="G339">
        <v>0</v>
      </c>
      <c r="H339" t="s">
        <v>861</v>
      </c>
      <c r="I339" t="str">
        <f>VLOOKUP(C339,Customers!A:C,2,FALSE)&amp;" "&amp;VLOOKUP(C339,Customers!A:C,3,FALSE)</f>
        <v>Jeremy Robles</v>
      </c>
      <c r="J339" t="str">
        <f>VLOOKUP(D339,Products!A:C,2,FALSE)</f>
        <v>Step Smartphone</v>
      </c>
      <c r="K339" t="str">
        <f>VLOOKUP(D339,Products!A:C,3,FALSE)</f>
        <v>Electronics</v>
      </c>
      <c r="L339" t="str">
        <f>VLOOKUP(E339,Stores!A:B,2,FALSE)</f>
        <v>MegaMart New Michele</v>
      </c>
      <c r="M339">
        <f>VLOOKUP(D339,Products!A:E,5,FALSE)</f>
        <v>1194.1199999999999</v>
      </c>
      <c r="N339" s="5">
        <f t="shared" si="5"/>
        <v>1194.1199999999999</v>
      </c>
    </row>
    <row r="340" spans="1:14" x14ac:dyDescent="0.3">
      <c r="A340" t="s">
        <v>1196</v>
      </c>
      <c r="B340" s="2">
        <v>45395</v>
      </c>
      <c r="C340" t="s">
        <v>500</v>
      </c>
      <c r="D340" t="s">
        <v>804</v>
      </c>
      <c r="E340" t="s">
        <v>831</v>
      </c>
      <c r="F340">
        <v>2</v>
      </c>
      <c r="G340">
        <v>0.15</v>
      </c>
      <c r="H340" t="s">
        <v>861</v>
      </c>
      <c r="I340" t="str">
        <f>VLOOKUP(C340,Customers!A:C,2,FALSE)&amp;" "&amp;VLOOKUP(C340,Customers!A:C,3,FALSE)</f>
        <v>Gary Lopez</v>
      </c>
      <c r="J340" t="str">
        <f>VLOOKUP(D340,Products!A:C,2,FALSE)</f>
        <v>Church Clothing</v>
      </c>
      <c r="K340" t="str">
        <f>VLOOKUP(D340,Products!A:C,3,FALSE)</f>
        <v>Fashion</v>
      </c>
      <c r="L340" t="str">
        <f>VLOOKUP(E340,Stores!A:B,2,FALSE)</f>
        <v>MegaMart Jimenezborough</v>
      </c>
      <c r="M340">
        <f>VLOOKUP(D340,Products!A:E,5,FALSE)</f>
        <v>540.94000000000005</v>
      </c>
      <c r="N340" s="5">
        <f t="shared" si="5"/>
        <v>919.59800000000007</v>
      </c>
    </row>
    <row r="341" spans="1:14" x14ac:dyDescent="0.3">
      <c r="A341" t="s">
        <v>1197</v>
      </c>
      <c r="B341" s="2">
        <v>45420</v>
      </c>
      <c r="C341" t="s">
        <v>44</v>
      </c>
      <c r="D341" t="s">
        <v>739</v>
      </c>
      <c r="E341" t="s">
        <v>842</v>
      </c>
      <c r="F341">
        <v>4</v>
      </c>
      <c r="G341">
        <v>0.05</v>
      </c>
      <c r="H341" t="s">
        <v>855</v>
      </c>
      <c r="I341" t="str">
        <f>VLOOKUP(C341,Customers!A:C,2,FALSE)&amp;" "&amp;VLOOKUP(C341,Customers!A:C,3,FALSE)</f>
        <v>Catherine Rice</v>
      </c>
      <c r="J341" t="str">
        <f>VLOOKUP(D341,Products!A:C,2,FALSE)</f>
        <v>Step Smartphone</v>
      </c>
      <c r="K341" t="str">
        <f>VLOOKUP(D341,Products!A:C,3,FALSE)</f>
        <v>Electronics</v>
      </c>
      <c r="L341" t="str">
        <f>VLOOKUP(E341,Stores!A:B,2,FALSE)</f>
        <v>MegaMart Brianahaven</v>
      </c>
      <c r="M341">
        <f>VLOOKUP(D341,Products!A:E,5,FALSE)</f>
        <v>1194.1199999999999</v>
      </c>
      <c r="N341" s="5">
        <f t="shared" si="5"/>
        <v>4537.655999999999</v>
      </c>
    </row>
    <row r="342" spans="1:14" x14ac:dyDescent="0.3">
      <c r="A342" t="s">
        <v>1198</v>
      </c>
      <c r="B342" s="2">
        <v>45254</v>
      </c>
      <c r="C342" t="s">
        <v>44</v>
      </c>
      <c r="D342" t="s">
        <v>826</v>
      </c>
      <c r="E342" t="s">
        <v>831</v>
      </c>
      <c r="F342">
        <v>3</v>
      </c>
      <c r="G342">
        <v>0</v>
      </c>
      <c r="H342" t="s">
        <v>855</v>
      </c>
      <c r="I342" t="str">
        <f>VLOOKUP(C342,Customers!A:C,2,FALSE)&amp;" "&amp;VLOOKUP(C342,Customers!A:C,3,FALSE)</f>
        <v>Catherine Rice</v>
      </c>
      <c r="J342" t="str">
        <f>VLOOKUP(D342,Products!A:C,2,FALSE)</f>
        <v>Maybe Footwear</v>
      </c>
      <c r="K342" t="str">
        <f>VLOOKUP(D342,Products!A:C,3,FALSE)</f>
        <v>Fashion</v>
      </c>
      <c r="L342" t="str">
        <f>VLOOKUP(E342,Stores!A:B,2,FALSE)</f>
        <v>MegaMart Jimenezborough</v>
      </c>
      <c r="M342">
        <f>VLOOKUP(D342,Products!A:E,5,FALSE)</f>
        <v>1044.6400000000001</v>
      </c>
      <c r="N342" s="5">
        <f t="shared" si="5"/>
        <v>3133.92</v>
      </c>
    </row>
    <row r="343" spans="1:14" x14ac:dyDescent="0.3">
      <c r="A343" t="s">
        <v>1199</v>
      </c>
      <c r="B343" s="2">
        <v>45846</v>
      </c>
      <c r="C343" t="s">
        <v>277</v>
      </c>
      <c r="D343" t="s">
        <v>800</v>
      </c>
      <c r="E343" t="s">
        <v>842</v>
      </c>
      <c r="F343">
        <v>5</v>
      </c>
      <c r="G343">
        <v>0.15</v>
      </c>
      <c r="H343" t="s">
        <v>861</v>
      </c>
      <c r="I343" t="str">
        <f>VLOOKUP(C343,Customers!A:C,2,FALSE)&amp;" "&amp;VLOOKUP(C343,Customers!A:C,3,FALSE)</f>
        <v>Carl Armstrong</v>
      </c>
      <c r="J343" t="str">
        <f>VLOOKUP(D343,Products!A:C,2,FALSE)</f>
        <v>Book Television</v>
      </c>
      <c r="K343" t="str">
        <f>VLOOKUP(D343,Products!A:C,3,FALSE)</f>
        <v>Electronics</v>
      </c>
      <c r="L343" t="str">
        <f>VLOOKUP(E343,Stores!A:B,2,FALSE)</f>
        <v>MegaMart Brianahaven</v>
      </c>
      <c r="M343">
        <f>VLOOKUP(D343,Products!A:E,5,FALSE)</f>
        <v>1952.65</v>
      </c>
      <c r="N343" s="5">
        <f t="shared" si="5"/>
        <v>8298.7624999999989</v>
      </c>
    </row>
    <row r="344" spans="1:14" x14ac:dyDescent="0.3">
      <c r="A344" t="s">
        <v>1200</v>
      </c>
      <c r="B344" s="2">
        <v>45619</v>
      </c>
      <c r="C344" t="s">
        <v>476</v>
      </c>
      <c r="D344" t="s">
        <v>769</v>
      </c>
      <c r="E344" t="s">
        <v>842</v>
      </c>
      <c r="F344">
        <v>3</v>
      </c>
      <c r="G344">
        <v>0.05</v>
      </c>
      <c r="H344" t="s">
        <v>865</v>
      </c>
      <c r="I344" t="str">
        <f>VLOOKUP(C344,Customers!A:C,2,FALSE)&amp;" "&amp;VLOOKUP(C344,Customers!A:C,3,FALSE)</f>
        <v>Aaron Bailey</v>
      </c>
      <c r="J344" t="str">
        <f>VLOOKUP(D344,Products!A:C,2,FALSE)</f>
        <v>How Vegetables</v>
      </c>
      <c r="K344" t="str">
        <f>VLOOKUP(D344,Products!A:C,3,FALSE)</f>
        <v>Groceries</v>
      </c>
      <c r="L344" t="str">
        <f>VLOOKUP(E344,Stores!A:B,2,FALSE)</f>
        <v>MegaMart Brianahaven</v>
      </c>
      <c r="M344">
        <f>VLOOKUP(D344,Products!A:E,5,FALSE)</f>
        <v>25.57</v>
      </c>
      <c r="N344" s="5">
        <f t="shared" si="5"/>
        <v>72.874499999999998</v>
      </c>
    </row>
    <row r="345" spans="1:14" x14ac:dyDescent="0.3">
      <c r="A345" t="s">
        <v>1201</v>
      </c>
      <c r="B345" s="2">
        <v>45708</v>
      </c>
      <c r="C345" t="s">
        <v>320</v>
      </c>
      <c r="D345" t="s">
        <v>816</v>
      </c>
      <c r="E345" t="s">
        <v>835</v>
      </c>
      <c r="F345">
        <v>4</v>
      </c>
      <c r="G345">
        <v>0.1</v>
      </c>
      <c r="H345" t="s">
        <v>861</v>
      </c>
      <c r="I345" t="str">
        <f>VLOOKUP(C345,Customers!A:C,2,FALSE)&amp;" "&amp;VLOOKUP(C345,Customers!A:C,3,FALSE)</f>
        <v>Juan Ramirez</v>
      </c>
      <c r="J345" t="str">
        <f>VLOOKUP(D345,Products!A:C,2,FALSE)</f>
        <v>Set Dairy</v>
      </c>
      <c r="K345" t="str">
        <f>VLOOKUP(D345,Products!A:C,3,FALSE)</f>
        <v>Groceries</v>
      </c>
      <c r="L345" t="str">
        <f>VLOOKUP(E345,Stores!A:B,2,FALSE)</f>
        <v>MegaMart Peckmouth</v>
      </c>
      <c r="M345">
        <f>VLOOKUP(D345,Products!A:E,5,FALSE)</f>
        <v>1879.08</v>
      </c>
      <c r="N345" s="5">
        <f t="shared" si="5"/>
        <v>6764.6880000000001</v>
      </c>
    </row>
    <row r="346" spans="1:14" x14ac:dyDescent="0.3">
      <c r="A346" t="s">
        <v>1202</v>
      </c>
      <c r="B346" s="2">
        <v>45899</v>
      </c>
      <c r="C346" t="s">
        <v>20</v>
      </c>
      <c r="D346" t="s">
        <v>792</v>
      </c>
      <c r="E346" t="s">
        <v>839</v>
      </c>
      <c r="F346">
        <v>3</v>
      </c>
      <c r="G346">
        <v>0.05</v>
      </c>
      <c r="H346" t="s">
        <v>861</v>
      </c>
      <c r="I346" t="str">
        <f>VLOOKUP(C346,Customers!A:C,2,FALSE)&amp;" "&amp;VLOOKUP(C346,Customers!A:C,3,FALSE)</f>
        <v>Joseph Ward</v>
      </c>
      <c r="J346" t="str">
        <f>VLOOKUP(D346,Products!A:C,2,FALSE)</f>
        <v>Beat Accessories</v>
      </c>
      <c r="K346" t="str">
        <f>VLOOKUP(D346,Products!A:C,3,FALSE)</f>
        <v>Fashion</v>
      </c>
      <c r="L346" t="str">
        <f>VLOOKUP(E346,Stores!A:B,2,FALSE)</f>
        <v>MegaMart New Michele</v>
      </c>
      <c r="M346">
        <f>VLOOKUP(D346,Products!A:E,5,FALSE)</f>
        <v>1798.97</v>
      </c>
      <c r="N346" s="5">
        <f t="shared" si="5"/>
        <v>5127.0644999999995</v>
      </c>
    </row>
    <row r="347" spans="1:14" x14ac:dyDescent="0.3">
      <c r="A347" t="s">
        <v>1203</v>
      </c>
      <c r="B347" s="2">
        <v>45744</v>
      </c>
      <c r="C347" t="s">
        <v>563</v>
      </c>
      <c r="D347" t="s">
        <v>750</v>
      </c>
      <c r="E347" t="s">
        <v>842</v>
      </c>
      <c r="F347">
        <v>4</v>
      </c>
      <c r="G347">
        <v>0.1</v>
      </c>
      <c r="H347" t="s">
        <v>865</v>
      </c>
      <c r="I347" t="str">
        <f>VLOOKUP(C347,Customers!A:C,2,FALSE)&amp;" "&amp;VLOOKUP(C347,Customers!A:C,3,FALSE)</f>
        <v>Connie Terry</v>
      </c>
      <c r="J347" t="str">
        <f>VLOOKUP(D347,Products!A:C,2,FALSE)</f>
        <v>Add Clothing</v>
      </c>
      <c r="K347" t="str">
        <f>VLOOKUP(D347,Products!A:C,3,FALSE)</f>
        <v>Fashion</v>
      </c>
      <c r="L347" t="str">
        <f>VLOOKUP(E347,Stores!A:B,2,FALSE)</f>
        <v>MegaMart Brianahaven</v>
      </c>
      <c r="M347">
        <f>VLOOKUP(D347,Products!A:E,5,FALSE)</f>
        <v>1342.75</v>
      </c>
      <c r="N347" s="5">
        <f t="shared" si="5"/>
        <v>4833.9000000000005</v>
      </c>
    </row>
    <row r="348" spans="1:14" x14ac:dyDescent="0.3">
      <c r="A348" t="s">
        <v>1204</v>
      </c>
      <c r="B348" s="2">
        <v>45719</v>
      </c>
      <c r="C348" t="s">
        <v>386</v>
      </c>
      <c r="D348" t="s">
        <v>786</v>
      </c>
      <c r="E348" t="s">
        <v>831</v>
      </c>
      <c r="F348">
        <v>2</v>
      </c>
      <c r="G348">
        <v>0.05</v>
      </c>
      <c r="H348" t="s">
        <v>858</v>
      </c>
      <c r="I348" t="str">
        <f>VLOOKUP(C348,Customers!A:C,2,FALSE)&amp;" "&amp;VLOOKUP(C348,Customers!A:C,3,FALSE)</f>
        <v>David Burns</v>
      </c>
      <c r="J348" t="str">
        <f>VLOOKUP(D348,Products!A:C,2,FALSE)</f>
        <v>National Watches</v>
      </c>
      <c r="K348" t="str">
        <f>VLOOKUP(D348,Products!A:C,3,FALSE)</f>
        <v>Fashion</v>
      </c>
      <c r="L348" t="str">
        <f>VLOOKUP(E348,Stores!A:B,2,FALSE)</f>
        <v>MegaMart Jimenezborough</v>
      </c>
      <c r="M348">
        <f>VLOOKUP(D348,Products!A:E,5,FALSE)</f>
        <v>29.24</v>
      </c>
      <c r="N348" s="5">
        <f t="shared" si="5"/>
        <v>55.555999999999997</v>
      </c>
    </row>
    <row r="349" spans="1:14" x14ac:dyDescent="0.3">
      <c r="A349" t="s">
        <v>1205</v>
      </c>
      <c r="B349" s="2">
        <v>45726</v>
      </c>
      <c r="C349" t="s">
        <v>313</v>
      </c>
      <c r="D349" t="s">
        <v>776</v>
      </c>
      <c r="E349" t="s">
        <v>835</v>
      </c>
      <c r="F349">
        <v>1</v>
      </c>
      <c r="G349">
        <v>0.1</v>
      </c>
      <c r="H349" t="s">
        <v>858</v>
      </c>
      <c r="I349" t="str">
        <f>VLOOKUP(C349,Customers!A:C,2,FALSE)&amp;" "&amp;VLOOKUP(C349,Customers!A:C,3,FALSE)</f>
        <v>Jeremy Robles</v>
      </c>
      <c r="J349" t="str">
        <f>VLOOKUP(D349,Products!A:C,2,FALSE)</f>
        <v>Little Watches</v>
      </c>
      <c r="K349" t="str">
        <f>VLOOKUP(D349,Products!A:C,3,FALSE)</f>
        <v>Fashion</v>
      </c>
      <c r="L349" t="str">
        <f>VLOOKUP(E349,Stores!A:B,2,FALSE)</f>
        <v>MegaMart Peckmouth</v>
      </c>
      <c r="M349">
        <f>VLOOKUP(D349,Products!A:E,5,FALSE)</f>
        <v>429.15</v>
      </c>
      <c r="N349" s="5">
        <f t="shared" si="5"/>
        <v>386.23500000000001</v>
      </c>
    </row>
    <row r="350" spans="1:14" x14ac:dyDescent="0.3">
      <c r="A350" t="s">
        <v>1206</v>
      </c>
      <c r="B350" s="2">
        <v>45850</v>
      </c>
      <c r="C350" t="s">
        <v>234</v>
      </c>
      <c r="D350" t="s">
        <v>776</v>
      </c>
      <c r="E350" t="s">
        <v>842</v>
      </c>
      <c r="F350">
        <v>3</v>
      </c>
      <c r="G350">
        <v>0.1</v>
      </c>
      <c r="H350" t="s">
        <v>855</v>
      </c>
      <c r="I350" t="str">
        <f>VLOOKUP(C350,Customers!A:C,2,FALSE)&amp;" "&amp;VLOOKUP(C350,Customers!A:C,3,FALSE)</f>
        <v>Heather Russell</v>
      </c>
      <c r="J350" t="str">
        <f>VLOOKUP(D350,Products!A:C,2,FALSE)</f>
        <v>Little Watches</v>
      </c>
      <c r="K350" t="str">
        <f>VLOOKUP(D350,Products!A:C,3,FALSE)</f>
        <v>Fashion</v>
      </c>
      <c r="L350" t="str">
        <f>VLOOKUP(E350,Stores!A:B,2,FALSE)</f>
        <v>MegaMart Brianahaven</v>
      </c>
      <c r="M350">
        <f>VLOOKUP(D350,Products!A:E,5,FALSE)</f>
        <v>429.15</v>
      </c>
      <c r="N350" s="5">
        <f t="shared" si="5"/>
        <v>1158.7049999999999</v>
      </c>
    </row>
    <row r="351" spans="1:14" x14ac:dyDescent="0.3">
      <c r="A351" t="s">
        <v>1207</v>
      </c>
      <c r="B351" s="2">
        <v>45651</v>
      </c>
      <c r="C351" t="s">
        <v>542</v>
      </c>
      <c r="D351" t="s">
        <v>753</v>
      </c>
      <c r="E351" t="s">
        <v>846</v>
      </c>
      <c r="F351">
        <v>1</v>
      </c>
      <c r="G351">
        <v>0.1</v>
      </c>
      <c r="H351" t="s">
        <v>855</v>
      </c>
      <c r="I351" t="str">
        <f>VLOOKUP(C351,Customers!A:C,2,FALSE)&amp;" "&amp;VLOOKUP(C351,Customers!A:C,3,FALSE)</f>
        <v>Francis Hernandez</v>
      </c>
      <c r="J351" t="str">
        <f>VLOOKUP(D351,Products!A:C,2,FALSE)</f>
        <v>Whether Bags</v>
      </c>
      <c r="K351" t="str">
        <f>VLOOKUP(D351,Products!A:C,3,FALSE)</f>
        <v>Fashion</v>
      </c>
      <c r="L351" t="str">
        <f>VLOOKUP(E351,Stores!A:B,2,FALSE)</f>
        <v>MegaMart Johnmouth</v>
      </c>
      <c r="M351">
        <f>VLOOKUP(D351,Products!A:E,5,FALSE)</f>
        <v>270.45</v>
      </c>
      <c r="N351" s="5">
        <f t="shared" si="5"/>
        <v>243.405</v>
      </c>
    </row>
    <row r="352" spans="1:14" x14ac:dyDescent="0.3">
      <c r="A352" t="s">
        <v>1208</v>
      </c>
      <c r="B352" s="2">
        <v>45650</v>
      </c>
      <c r="C352" t="s">
        <v>630</v>
      </c>
      <c r="D352" t="s">
        <v>820</v>
      </c>
      <c r="E352" t="s">
        <v>835</v>
      </c>
      <c r="F352">
        <v>1</v>
      </c>
      <c r="G352">
        <v>0</v>
      </c>
      <c r="H352" t="s">
        <v>858</v>
      </c>
      <c r="I352" t="str">
        <f>VLOOKUP(C352,Customers!A:C,2,FALSE)&amp;" "&amp;VLOOKUP(C352,Customers!A:C,3,FALSE)</f>
        <v>Mark Mcdonald</v>
      </c>
      <c r="J352" t="str">
        <f>VLOOKUP(D352,Products!A:C,2,FALSE)</f>
        <v>Or Smartphone</v>
      </c>
      <c r="K352" t="str">
        <f>VLOOKUP(D352,Products!A:C,3,FALSE)</f>
        <v>Electronics</v>
      </c>
      <c r="L352" t="str">
        <f>VLOOKUP(E352,Stores!A:B,2,FALSE)</f>
        <v>MegaMart Peckmouth</v>
      </c>
      <c r="M352">
        <f>VLOOKUP(D352,Products!A:E,5,FALSE)</f>
        <v>1197.18</v>
      </c>
      <c r="N352" s="5">
        <f t="shared" si="5"/>
        <v>1197.18</v>
      </c>
    </row>
    <row r="353" spans="1:14" x14ac:dyDescent="0.3">
      <c r="A353" t="s">
        <v>1209</v>
      </c>
      <c r="B353" s="2">
        <v>45295</v>
      </c>
      <c r="C353" t="s">
        <v>298</v>
      </c>
      <c r="D353" t="s">
        <v>742</v>
      </c>
      <c r="E353" t="s">
        <v>835</v>
      </c>
      <c r="F353">
        <v>4</v>
      </c>
      <c r="G353">
        <v>0.1</v>
      </c>
      <c r="H353" t="s">
        <v>865</v>
      </c>
      <c r="I353" t="str">
        <f>VLOOKUP(C353,Customers!A:C,2,FALSE)&amp;" "&amp;VLOOKUP(C353,Customers!A:C,3,FALSE)</f>
        <v>Donald Marsh</v>
      </c>
      <c r="J353" t="str">
        <f>VLOOKUP(D353,Products!A:C,2,FALSE)</f>
        <v>Either Headphones</v>
      </c>
      <c r="K353" t="str">
        <f>VLOOKUP(D353,Products!A:C,3,FALSE)</f>
        <v>Electronics</v>
      </c>
      <c r="L353" t="str">
        <f>VLOOKUP(E353,Stores!A:B,2,FALSE)</f>
        <v>MegaMart Peckmouth</v>
      </c>
      <c r="M353">
        <f>VLOOKUP(D353,Products!A:E,5,FALSE)</f>
        <v>248.57</v>
      </c>
      <c r="N353" s="5">
        <f t="shared" si="5"/>
        <v>894.85199999999998</v>
      </c>
    </row>
    <row r="354" spans="1:14" x14ac:dyDescent="0.3">
      <c r="A354" t="s">
        <v>1210</v>
      </c>
      <c r="B354" s="2">
        <v>45730</v>
      </c>
      <c r="C354" t="s">
        <v>585</v>
      </c>
      <c r="D354" t="s">
        <v>753</v>
      </c>
      <c r="E354" t="s">
        <v>839</v>
      </c>
      <c r="F354">
        <v>3</v>
      </c>
      <c r="G354">
        <v>0.05</v>
      </c>
      <c r="H354" t="s">
        <v>861</v>
      </c>
      <c r="I354" t="str">
        <f>VLOOKUP(C354,Customers!A:C,2,FALSE)&amp;" "&amp;VLOOKUP(C354,Customers!A:C,3,FALSE)</f>
        <v>Linda Vasquez</v>
      </c>
      <c r="J354" t="str">
        <f>VLOOKUP(D354,Products!A:C,2,FALSE)</f>
        <v>Whether Bags</v>
      </c>
      <c r="K354" t="str">
        <f>VLOOKUP(D354,Products!A:C,3,FALSE)</f>
        <v>Fashion</v>
      </c>
      <c r="L354" t="str">
        <f>VLOOKUP(E354,Stores!A:B,2,FALSE)</f>
        <v>MegaMart New Michele</v>
      </c>
      <c r="M354">
        <f>VLOOKUP(D354,Products!A:E,5,FALSE)</f>
        <v>270.45</v>
      </c>
      <c r="N354" s="5">
        <f t="shared" si="5"/>
        <v>770.78249999999991</v>
      </c>
    </row>
    <row r="355" spans="1:14" x14ac:dyDescent="0.3">
      <c r="A355" t="s">
        <v>1211</v>
      </c>
      <c r="B355" s="2">
        <v>45284</v>
      </c>
      <c r="C355" t="s">
        <v>137</v>
      </c>
      <c r="D355" t="s">
        <v>804</v>
      </c>
      <c r="E355" t="s">
        <v>842</v>
      </c>
      <c r="F355">
        <v>2</v>
      </c>
      <c r="G355">
        <v>0.15</v>
      </c>
      <c r="H355" t="s">
        <v>855</v>
      </c>
      <c r="I355" t="str">
        <f>VLOOKUP(C355,Customers!A:C,2,FALSE)&amp;" "&amp;VLOOKUP(C355,Customers!A:C,3,FALSE)</f>
        <v>Kimberly King</v>
      </c>
      <c r="J355" t="str">
        <f>VLOOKUP(D355,Products!A:C,2,FALSE)</f>
        <v>Church Clothing</v>
      </c>
      <c r="K355" t="str">
        <f>VLOOKUP(D355,Products!A:C,3,FALSE)</f>
        <v>Fashion</v>
      </c>
      <c r="L355" t="str">
        <f>VLOOKUP(E355,Stores!A:B,2,FALSE)</f>
        <v>MegaMart Brianahaven</v>
      </c>
      <c r="M355">
        <f>VLOOKUP(D355,Products!A:E,5,FALSE)</f>
        <v>540.94000000000005</v>
      </c>
      <c r="N355" s="5">
        <f t="shared" si="5"/>
        <v>919.59800000000007</v>
      </c>
    </row>
    <row r="356" spans="1:14" x14ac:dyDescent="0.3">
      <c r="A356" t="s">
        <v>1212</v>
      </c>
      <c r="B356" s="2">
        <v>45185</v>
      </c>
      <c r="C356" t="s">
        <v>399</v>
      </c>
      <c r="D356" t="s">
        <v>788</v>
      </c>
      <c r="E356" t="s">
        <v>846</v>
      </c>
      <c r="F356">
        <v>4</v>
      </c>
      <c r="G356">
        <v>0.05</v>
      </c>
      <c r="H356" t="s">
        <v>861</v>
      </c>
      <c r="I356" t="str">
        <f>VLOOKUP(C356,Customers!A:C,2,FALSE)&amp;" "&amp;VLOOKUP(C356,Customers!A:C,3,FALSE)</f>
        <v>Victoria Hansen</v>
      </c>
      <c r="J356" t="str">
        <f>VLOOKUP(D356,Products!A:C,2,FALSE)</f>
        <v>Foot Snacks</v>
      </c>
      <c r="K356" t="str">
        <f>VLOOKUP(D356,Products!A:C,3,FALSE)</f>
        <v>Groceries</v>
      </c>
      <c r="L356" t="str">
        <f>VLOOKUP(E356,Stores!A:B,2,FALSE)</f>
        <v>MegaMart Johnmouth</v>
      </c>
      <c r="M356">
        <f>VLOOKUP(D356,Products!A:E,5,FALSE)</f>
        <v>1095.72</v>
      </c>
      <c r="N356" s="5">
        <f t="shared" si="5"/>
        <v>4163.7359999999999</v>
      </c>
    </row>
    <row r="357" spans="1:14" x14ac:dyDescent="0.3">
      <c r="A357" t="s">
        <v>1213</v>
      </c>
      <c r="B357" s="2">
        <v>45898</v>
      </c>
      <c r="C357" t="s">
        <v>621</v>
      </c>
      <c r="D357" t="s">
        <v>826</v>
      </c>
      <c r="E357" t="s">
        <v>846</v>
      </c>
      <c r="F357">
        <v>1</v>
      </c>
      <c r="G357">
        <v>0.15</v>
      </c>
      <c r="H357" t="s">
        <v>855</v>
      </c>
      <c r="I357" t="str">
        <f>VLOOKUP(C357,Customers!A:C,2,FALSE)&amp;" "&amp;VLOOKUP(C357,Customers!A:C,3,FALSE)</f>
        <v>Stacey Thompson</v>
      </c>
      <c r="J357" t="str">
        <f>VLOOKUP(D357,Products!A:C,2,FALSE)</f>
        <v>Maybe Footwear</v>
      </c>
      <c r="K357" t="str">
        <f>VLOOKUP(D357,Products!A:C,3,FALSE)</f>
        <v>Fashion</v>
      </c>
      <c r="L357" t="str">
        <f>VLOOKUP(E357,Stores!A:B,2,FALSE)</f>
        <v>MegaMart Johnmouth</v>
      </c>
      <c r="M357">
        <f>VLOOKUP(D357,Products!A:E,5,FALSE)</f>
        <v>1044.6400000000001</v>
      </c>
      <c r="N357" s="5">
        <f t="shared" si="5"/>
        <v>887.94400000000007</v>
      </c>
    </row>
    <row r="358" spans="1:14" x14ac:dyDescent="0.3">
      <c r="A358" t="s">
        <v>1214</v>
      </c>
      <c r="B358" s="2">
        <v>45524</v>
      </c>
      <c r="C358" t="s">
        <v>81</v>
      </c>
      <c r="D358" t="s">
        <v>753</v>
      </c>
      <c r="E358" t="s">
        <v>846</v>
      </c>
      <c r="F358">
        <v>1</v>
      </c>
      <c r="G358">
        <v>0</v>
      </c>
      <c r="H358" t="s">
        <v>861</v>
      </c>
      <c r="I358" t="str">
        <f>VLOOKUP(C358,Customers!A:C,2,FALSE)&amp;" "&amp;VLOOKUP(C358,Customers!A:C,3,FALSE)</f>
        <v>Ryan Cole</v>
      </c>
      <c r="J358" t="str">
        <f>VLOOKUP(D358,Products!A:C,2,FALSE)</f>
        <v>Whether Bags</v>
      </c>
      <c r="K358" t="str">
        <f>VLOOKUP(D358,Products!A:C,3,FALSE)</f>
        <v>Fashion</v>
      </c>
      <c r="L358" t="str">
        <f>VLOOKUP(E358,Stores!A:B,2,FALSE)</f>
        <v>MegaMart Johnmouth</v>
      </c>
      <c r="M358">
        <f>VLOOKUP(D358,Products!A:E,5,FALSE)</f>
        <v>270.45</v>
      </c>
      <c r="N358" s="5">
        <f t="shared" si="5"/>
        <v>270.45</v>
      </c>
    </row>
    <row r="359" spans="1:14" x14ac:dyDescent="0.3">
      <c r="A359" t="s">
        <v>1215</v>
      </c>
      <c r="B359" s="2">
        <v>45227</v>
      </c>
      <c r="C359" t="s">
        <v>533</v>
      </c>
      <c r="D359" t="s">
        <v>824</v>
      </c>
      <c r="E359" t="s">
        <v>846</v>
      </c>
      <c r="F359">
        <v>2</v>
      </c>
      <c r="G359">
        <v>0.05</v>
      </c>
      <c r="H359" t="s">
        <v>855</v>
      </c>
      <c r="I359" t="str">
        <f>VLOOKUP(C359,Customers!A:C,2,FALSE)&amp;" "&amp;VLOOKUP(C359,Customers!A:C,3,FALSE)</f>
        <v>Crystal Garrison</v>
      </c>
      <c r="J359" t="str">
        <f>VLOOKUP(D359,Products!A:C,2,FALSE)</f>
        <v>Possible Watches</v>
      </c>
      <c r="K359" t="str">
        <f>VLOOKUP(D359,Products!A:C,3,FALSE)</f>
        <v>Fashion</v>
      </c>
      <c r="L359" t="str">
        <f>VLOOKUP(E359,Stores!A:B,2,FALSE)</f>
        <v>MegaMart Johnmouth</v>
      </c>
      <c r="M359">
        <f>VLOOKUP(D359,Products!A:E,5,FALSE)</f>
        <v>388.26</v>
      </c>
      <c r="N359" s="5">
        <f t="shared" si="5"/>
        <v>737.69399999999996</v>
      </c>
    </row>
    <row r="360" spans="1:14" x14ac:dyDescent="0.3">
      <c r="A360" t="s">
        <v>1216</v>
      </c>
      <c r="B360" s="2">
        <v>45738</v>
      </c>
      <c r="C360" t="s">
        <v>491</v>
      </c>
      <c r="D360" t="s">
        <v>728</v>
      </c>
      <c r="E360" t="s">
        <v>842</v>
      </c>
      <c r="F360">
        <v>1</v>
      </c>
      <c r="G360">
        <v>0.05</v>
      </c>
      <c r="H360" t="s">
        <v>858</v>
      </c>
      <c r="I360" t="str">
        <f>VLOOKUP(C360,Customers!A:C,2,FALSE)&amp;" "&amp;VLOOKUP(C360,Customers!A:C,3,FALSE)</f>
        <v>Emily Hart</v>
      </c>
      <c r="J360" t="str">
        <f>VLOOKUP(D360,Products!A:C,2,FALSE)</f>
        <v>Company Fruits</v>
      </c>
      <c r="K360" t="str">
        <f>VLOOKUP(D360,Products!A:C,3,FALSE)</f>
        <v>Groceries</v>
      </c>
      <c r="L360" t="str">
        <f>VLOOKUP(E360,Stores!A:B,2,FALSE)</f>
        <v>MegaMart Brianahaven</v>
      </c>
      <c r="M360">
        <f>VLOOKUP(D360,Products!A:E,5,FALSE)</f>
        <v>318.05</v>
      </c>
      <c r="N360" s="5">
        <f t="shared" si="5"/>
        <v>302.14749999999998</v>
      </c>
    </row>
    <row r="361" spans="1:14" x14ac:dyDescent="0.3">
      <c r="A361" t="s">
        <v>1217</v>
      </c>
      <c r="B361" s="2">
        <v>45321</v>
      </c>
      <c r="C361" t="s">
        <v>97</v>
      </c>
      <c r="D361" t="s">
        <v>734</v>
      </c>
      <c r="E361" t="s">
        <v>846</v>
      </c>
      <c r="F361">
        <v>4</v>
      </c>
      <c r="G361">
        <v>0</v>
      </c>
      <c r="H361" t="s">
        <v>858</v>
      </c>
      <c r="I361" t="str">
        <f>VLOOKUP(C361,Customers!A:C,2,FALSE)&amp;" "&amp;VLOOKUP(C361,Customers!A:C,3,FALSE)</f>
        <v>Molly Murray</v>
      </c>
      <c r="J361" t="str">
        <f>VLOOKUP(D361,Products!A:C,2,FALSE)</f>
        <v>Recognize Footwear</v>
      </c>
      <c r="K361" t="str">
        <f>VLOOKUP(D361,Products!A:C,3,FALSE)</f>
        <v>Fashion</v>
      </c>
      <c r="L361" t="str">
        <f>VLOOKUP(E361,Stores!A:B,2,FALSE)</f>
        <v>MegaMart Johnmouth</v>
      </c>
      <c r="M361">
        <f>VLOOKUP(D361,Products!A:E,5,FALSE)</f>
        <v>109.78</v>
      </c>
      <c r="N361" s="5">
        <f t="shared" si="5"/>
        <v>439.12</v>
      </c>
    </row>
    <row r="362" spans="1:14" x14ac:dyDescent="0.3">
      <c r="A362" t="s">
        <v>1218</v>
      </c>
      <c r="B362" s="2">
        <v>45887</v>
      </c>
      <c r="C362" t="s">
        <v>134</v>
      </c>
      <c r="D362" t="s">
        <v>742</v>
      </c>
      <c r="E362" t="s">
        <v>846</v>
      </c>
      <c r="F362">
        <v>4</v>
      </c>
      <c r="G362">
        <v>0.15</v>
      </c>
      <c r="H362" t="s">
        <v>865</v>
      </c>
      <c r="I362" t="str">
        <f>VLOOKUP(C362,Customers!A:C,2,FALSE)&amp;" "&amp;VLOOKUP(C362,Customers!A:C,3,FALSE)</f>
        <v>Kari Miller</v>
      </c>
      <c r="J362" t="str">
        <f>VLOOKUP(D362,Products!A:C,2,FALSE)</f>
        <v>Either Headphones</v>
      </c>
      <c r="K362" t="str">
        <f>VLOOKUP(D362,Products!A:C,3,FALSE)</f>
        <v>Electronics</v>
      </c>
      <c r="L362" t="str">
        <f>VLOOKUP(E362,Stores!A:B,2,FALSE)</f>
        <v>MegaMart Johnmouth</v>
      </c>
      <c r="M362">
        <f>VLOOKUP(D362,Products!A:E,5,FALSE)</f>
        <v>248.57</v>
      </c>
      <c r="N362" s="5">
        <f t="shared" si="5"/>
        <v>845.13799999999992</v>
      </c>
    </row>
    <row r="363" spans="1:14" x14ac:dyDescent="0.3">
      <c r="A363" t="s">
        <v>1219</v>
      </c>
      <c r="B363" s="2">
        <v>45460</v>
      </c>
      <c r="C363" t="s">
        <v>524</v>
      </c>
      <c r="D363" t="s">
        <v>778</v>
      </c>
      <c r="E363" t="s">
        <v>842</v>
      </c>
      <c r="F363">
        <v>3</v>
      </c>
      <c r="G363">
        <v>0</v>
      </c>
      <c r="H363" t="s">
        <v>858</v>
      </c>
      <c r="I363" t="str">
        <f>VLOOKUP(C363,Customers!A:C,2,FALSE)&amp;" "&amp;VLOOKUP(C363,Customers!A:C,3,FALSE)</f>
        <v>Betty Johnson</v>
      </c>
      <c r="J363" t="str">
        <f>VLOOKUP(D363,Products!A:C,2,FALSE)</f>
        <v>Behavior Dairy</v>
      </c>
      <c r="K363" t="str">
        <f>VLOOKUP(D363,Products!A:C,3,FALSE)</f>
        <v>Groceries</v>
      </c>
      <c r="L363" t="str">
        <f>VLOOKUP(E363,Stores!A:B,2,FALSE)</f>
        <v>MegaMart Brianahaven</v>
      </c>
      <c r="M363">
        <f>VLOOKUP(D363,Products!A:E,5,FALSE)</f>
        <v>1015.76</v>
      </c>
      <c r="N363" s="5">
        <f t="shared" si="5"/>
        <v>3047.2799999999997</v>
      </c>
    </row>
    <row r="364" spans="1:14" x14ac:dyDescent="0.3">
      <c r="A364" t="s">
        <v>1220</v>
      </c>
      <c r="B364" s="2">
        <v>45544</v>
      </c>
      <c r="C364" t="s">
        <v>250</v>
      </c>
      <c r="D364" t="s">
        <v>759</v>
      </c>
      <c r="E364" t="s">
        <v>831</v>
      </c>
      <c r="F364">
        <v>2</v>
      </c>
      <c r="G364">
        <v>0</v>
      </c>
      <c r="H364" t="s">
        <v>865</v>
      </c>
      <c r="I364" t="str">
        <f>VLOOKUP(C364,Customers!A:C,2,FALSE)&amp;" "&amp;VLOOKUP(C364,Customers!A:C,3,FALSE)</f>
        <v>Jason Jenkins</v>
      </c>
      <c r="J364" t="str">
        <f>VLOOKUP(D364,Products!A:C,2,FALSE)</f>
        <v>Democratic Smartphone</v>
      </c>
      <c r="K364" t="str">
        <f>VLOOKUP(D364,Products!A:C,3,FALSE)</f>
        <v>Electronics</v>
      </c>
      <c r="L364" t="str">
        <f>VLOOKUP(E364,Stores!A:B,2,FALSE)</f>
        <v>MegaMart Jimenezborough</v>
      </c>
      <c r="M364">
        <f>VLOOKUP(D364,Products!A:E,5,FALSE)</f>
        <v>1079.8900000000001</v>
      </c>
      <c r="N364" s="5">
        <f t="shared" si="5"/>
        <v>2159.7800000000002</v>
      </c>
    </row>
    <row r="365" spans="1:14" x14ac:dyDescent="0.3">
      <c r="A365" t="s">
        <v>1221</v>
      </c>
      <c r="B365" s="2">
        <v>45471</v>
      </c>
      <c r="C365" t="s">
        <v>407</v>
      </c>
      <c r="D365" t="s">
        <v>774</v>
      </c>
      <c r="E365" t="s">
        <v>839</v>
      </c>
      <c r="F365">
        <v>1</v>
      </c>
      <c r="G365">
        <v>0</v>
      </c>
      <c r="H365" t="s">
        <v>865</v>
      </c>
      <c r="I365" t="str">
        <f>VLOOKUP(C365,Customers!A:C,2,FALSE)&amp;" "&amp;VLOOKUP(C365,Customers!A:C,3,FALSE)</f>
        <v>Austin Hogan</v>
      </c>
      <c r="J365" t="str">
        <f>VLOOKUP(D365,Products!A:C,2,FALSE)</f>
        <v>Him Smartphone</v>
      </c>
      <c r="K365" t="str">
        <f>VLOOKUP(D365,Products!A:C,3,FALSE)</f>
        <v>Electronics</v>
      </c>
      <c r="L365" t="str">
        <f>VLOOKUP(E365,Stores!A:B,2,FALSE)</f>
        <v>MegaMart New Michele</v>
      </c>
      <c r="M365">
        <f>VLOOKUP(D365,Products!A:E,5,FALSE)</f>
        <v>1487.41</v>
      </c>
      <c r="N365" s="5">
        <f t="shared" si="5"/>
        <v>1487.41</v>
      </c>
    </row>
    <row r="366" spans="1:14" x14ac:dyDescent="0.3">
      <c r="A366" t="s">
        <v>1222</v>
      </c>
      <c r="B366" s="2">
        <v>45458</v>
      </c>
      <c r="C366" t="s">
        <v>449</v>
      </c>
      <c r="D366" t="s">
        <v>816</v>
      </c>
      <c r="E366" t="s">
        <v>831</v>
      </c>
      <c r="F366">
        <v>3</v>
      </c>
      <c r="G366">
        <v>0.15</v>
      </c>
      <c r="H366" t="s">
        <v>861</v>
      </c>
      <c r="I366" t="str">
        <f>VLOOKUP(C366,Customers!A:C,2,FALSE)&amp;" "&amp;VLOOKUP(C366,Customers!A:C,3,FALSE)</f>
        <v>John Bell</v>
      </c>
      <c r="J366" t="str">
        <f>VLOOKUP(D366,Products!A:C,2,FALSE)</f>
        <v>Set Dairy</v>
      </c>
      <c r="K366" t="str">
        <f>VLOOKUP(D366,Products!A:C,3,FALSE)</f>
        <v>Groceries</v>
      </c>
      <c r="L366" t="str">
        <f>VLOOKUP(E366,Stores!A:B,2,FALSE)</f>
        <v>MegaMart Jimenezborough</v>
      </c>
      <c r="M366">
        <f>VLOOKUP(D366,Products!A:E,5,FALSE)</f>
        <v>1879.08</v>
      </c>
      <c r="N366" s="5">
        <f t="shared" si="5"/>
        <v>4791.6539999999995</v>
      </c>
    </row>
    <row r="367" spans="1:14" x14ac:dyDescent="0.3">
      <c r="A367" t="s">
        <v>1223</v>
      </c>
      <c r="B367" s="2">
        <v>45675</v>
      </c>
      <c r="C367" t="s">
        <v>693</v>
      </c>
      <c r="D367" t="s">
        <v>794</v>
      </c>
      <c r="E367" t="s">
        <v>835</v>
      </c>
      <c r="F367">
        <v>4</v>
      </c>
      <c r="G367">
        <v>0.1</v>
      </c>
      <c r="H367" t="s">
        <v>858</v>
      </c>
      <c r="I367" t="str">
        <f>VLOOKUP(C367,Customers!A:C,2,FALSE)&amp;" "&amp;VLOOKUP(C367,Customers!A:C,3,FALSE)</f>
        <v>Matthew Dixon</v>
      </c>
      <c r="J367" t="str">
        <f>VLOOKUP(D367,Products!A:C,2,FALSE)</f>
        <v>Everything Laptop</v>
      </c>
      <c r="K367" t="str">
        <f>VLOOKUP(D367,Products!A:C,3,FALSE)</f>
        <v>Electronics</v>
      </c>
      <c r="L367" t="str">
        <f>VLOOKUP(E367,Stores!A:B,2,FALSE)</f>
        <v>MegaMart Peckmouth</v>
      </c>
      <c r="M367">
        <f>VLOOKUP(D367,Products!A:E,5,FALSE)</f>
        <v>428.05</v>
      </c>
      <c r="N367" s="5">
        <f t="shared" si="5"/>
        <v>1540.98</v>
      </c>
    </row>
    <row r="368" spans="1:14" x14ac:dyDescent="0.3">
      <c r="A368" t="s">
        <v>1224</v>
      </c>
      <c r="B368" s="2">
        <v>45330</v>
      </c>
      <c r="C368" t="s">
        <v>429</v>
      </c>
      <c r="D368" t="s">
        <v>725</v>
      </c>
      <c r="E368" t="s">
        <v>842</v>
      </c>
      <c r="F368">
        <v>4</v>
      </c>
      <c r="G368">
        <v>0</v>
      </c>
      <c r="H368" t="s">
        <v>861</v>
      </c>
      <c r="I368" t="str">
        <f>VLOOKUP(C368,Customers!A:C,2,FALSE)&amp;" "&amp;VLOOKUP(C368,Customers!A:C,3,FALSE)</f>
        <v>Jose Smith</v>
      </c>
      <c r="J368" t="str">
        <f>VLOOKUP(D368,Products!A:C,2,FALSE)</f>
        <v>Knowledge Bags</v>
      </c>
      <c r="K368" t="str">
        <f>VLOOKUP(D368,Products!A:C,3,FALSE)</f>
        <v>Fashion</v>
      </c>
      <c r="L368" t="str">
        <f>VLOOKUP(E368,Stores!A:B,2,FALSE)</f>
        <v>MegaMart Brianahaven</v>
      </c>
      <c r="M368">
        <f>VLOOKUP(D368,Products!A:E,5,FALSE)</f>
        <v>1396.22</v>
      </c>
      <c r="N368" s="5">
        <f t="shared" si="5"/>
        <v>5584.88</v>
      </c>
    </row>
    <row r="369" spans="1:14" x14ac:dyDescent="0.3">
      <c r="A369" t="s">
        <v>1225</v>
      </c>
      <c r="B369" s="2">
        <v>45225</v>
      </c>
      <c r="C369" t="s">
        <v>599</v>
      </c>
      <c r="D369" t="s">
        <v>814</v>
      </c>
      <c r="E369" t="s">
        <v>839</v>
      </c>
      <c r="F369">
        <v>1</v>
      </c>
      <c r="G369">
        <v>0.05</v>
      </c>
      <c r="H369" t="s">
        <v>858</v>
      </c>
      <c r="I369" t="str">
        <f>VLOOKUP(C369,Customers!A:C,2,FALSE)&amp;" "&amp;VLOOKUP(C369,Customers!A:C,3,FALSE)</f>
        <v>Richard Jones</v>
      </c>
      <c r="J369" t="str">
        <f>VLOOKUP(D369,Products!A:C,2,FALSE)</f>
        <v>Least Accessories</v>
      </c>
      <c r="K369" t="str">
        <f>VLOOKUP(D369,Products!A:C,3,FALSE)</f>
        <v>Fashion</v>
      </c>
      <c r="L369" t="str">
        <f>VLOOKUP(E369,Stores!A:B,2,FALSE)</f>
        <v>MegaMart New Michele</v>
      </c>
      <c r="M369">
        <f>VLOOKUP(D369,Products!A:E,5,FALSE)</f>
        <v>1286.55</v>
      </c>
      <c r="N369" s="5">
        <f t="shared" si="5"/>
        <v>1222.2224999999999</v>
      </c>
    </row>
    <row r="370" spans="1:14" x14ac:dyDescent="0.3">
      <c r="A370" t="s">
        <v>1226</v>
      </c>
      <c r="B370" s="2">
        <v>45879</v>
      </c>
      <c r="C370" t="s">
        <v>498</v>
      </c>
      <c r="D370" t="s">
        <v>761</v>
      </c>
      <c r="E370" t="s">
        <v>835</v>
      </c>
      <c r="F370">
        <v>2</v>
      </c>
      <c r="G370">
        <v>0</v>
      </c>
      <c r="H370" t="s">
        <v>865</v>
      </c>
      <c r="I370" t="str">
        <f>VLOOKUP(C370,Customers!A:C,2,FALSE)&amp;" "&amp;VLOOKUP(C370,Customers!A:C,3,FALSE)</f>
        <v>Amanda Garcia</v>
      </c>
      <c r="J370" t="str">
        <f>VLOOKUP(D370,Products!A:C,2,FALSE)</f>
        <v>Traditional Laptop</v>
      </c>
      <c r="K370" t="str">
        <f>VLOOKUP(D370,Products!A:C,3,FALSE)</f>
        <v>Electronics</v>
      </c>
      <c r="L370" t="str">
        <f>VLOOKUP(E370,Stores!A:B,2,FALSE)</f>
        <v>MegaMart Peckmouth</v>
      </c>
      <c r="M370">
        <f>VLOOKUP(D370,Products!A:E,5,FALSE)</f>
        <v>1762.92</v>
      </c>
      <c r="N370" s="5">
        <f t="shared" si="5"/>
        <v>3525.84</v>
      </c>
    </row>
    <row r="371" spans="1:14" x14ac:dyDescent="0.3">
      <c r="A371" t="s">
        <v>1227</v>
      </c>
      <c r="B371" s="2">
        <v>45640</v>
      </c>
      <c r="C371" t="s">
        <v>291</v>
      </c>
      <c r="D371" t="s">
        <v>739</v>
      </c>
      <c r="E371" t="s">
        <v>842</v>
      </c>
      <c r="F371">
        <v>5</v>
      </c>
      <c r="G371">
        <v>0.15</v>
      </c>
      <c r="H371" t="s">
        <v>858</v>
      </c>
      <c r="I371" t="str">
        <f>VLOOKUP(C371,Customers!A:C,2,FALSE)&amp;" "&amp;VLOOKUP(C371,Customers!A:C,3,FALSE)</f>
        <v>Matthew Juarez</v>
      </c>
      <c r="J371" t="str">
        <f>VLOOKUP(D371,Products!A:C,2,FALSE)</f>
        <v>Step Smartphone</v>
      </c>
      <c r="K371" t="str">
        <f>VLOOKUP(D371,Products!A:C,3,FALSE)</f>
        <v>Electronics</v>
      </c>
      <c r="L371" t="str">
        <f>VLOOKUP(E371,Stores!A:B,2,FALSE)</f>
        <v>MegaMart Brianahaven</v>
      </c>
      <c r="M371">
        <f>VLOOKUP(D371,Products!A:E,5,FALSE)</f>
        <v>1194.1199999999999</v>
      </c>
      <c r="N371" s="5">
        <f t="shared" si="5"/>
        <v>5075.0099999999993</v>
      </c>
    </row>
    <row r="372" spans="1:14" x14ac:dyDescent="0.3">
      <c r="A372" t="s">
        <v>1228</v>
      </c>
      <c r="B372" s="2">
        <v>45386</v>
      </c>
      <c r="C372" t="s">
        <v>228</v>
      </c>
      <c r="D372" t="s">
        <v>796</v>
      </c>
      <c r="E372" t="s">
        <v>835</v>
      </c>
      <c r="F372">
        <v>4</v>
      </c>
      <c r="G372">
        <v>0.1</v>
      </c>
      <c r="H372" t="s">
        <v>861</v>
      </c>
      <c r="I372" t="str">
        <f>VLOOKUP(C372,Customers!A:C,2,FALSE)&amp;" "&amp;VLOOKUP(C372,Customers!A:C,3,FALSE)</f>
        <v>Scott Wyatt</v>
      </c>
      <c r="J372" t="str">
        <f>VLOOKUP(D372,Products!A:C,2,FALSE)</f>
        <v>Chair Laptop</v>
      </c>
      <c r="K372" t="str">
        <f>VLOOKUP(D372,Products!A:C,3,FALSE)</f>
        <v>Electronics</v>
      </c>
      <c r="L372" t="str">
        <f>VLOOKUP(E372,Stores!A:B,2,FALSE)</f>
        <v>MegaMart Peckmouth</v>
      </c>
      <c r="M372">
        <f>VLOOKUP(D372,Products!A:E,5,FALSE)</f>
        <v>1562.43</v>
      </c>
      <c r="N372" s="5">
        <f t="shared" si="5"/>
        <v>5624.7480000000005</v>
      </c>
    </row>
    <row r="373" spans="1:14" x14ac:dyDescent="0.3">
      <c r="A373" t="s">
        <v>1229</v>
      </c>
      <c r="B373" s="2">
        <v>45533</v>
      </c>
      <c r="C373" t="s">
        <v>270</v>
      </c>
      <c r="D373" t="s">
        <v>750</v>
      </c>
      <c r="E373" t="s">
        <v>835</v>
      </c>
      <c r="F373">
        <v>1</v>
      </c>
      <c r="G373">
        <v>0</v>
      </c>
      <c r="H373" t="s">
        <v>858</v>
      </c>
      <c r="I373" t="str">
        <f>VLOOKUP(C373,Customers!A:C,2,FALSE)&amp;" "&amp;VLOOKUP(C373,Customers!A:C,3,FALSE)</f>
        <v>Denise Gutierrez</v>
      </c>
      <c r="J373" t="str">
        <f>VLOOKUP(D373,Products!A:C,2,FALSE)</f>
        <v>Add Clothing</v>
      </c>
      <c r="K373" t="str">
        <f>VLOOKUP(D373,Products!A:C,3,FALSE)</f>
        <v>Fashion</v>
      </c>
      <c r="L373" t="str">
        <f>VLOOKUP(E373,Stores!A:B,2,FALSE)</f>
        <v>MegaMart Peckmouth</v>
      </c>
      <c r="M373">
        <f>VLOOKUP(D373,Products!A:E,5,FALSE)</f>
        <v>1342.75</v>
      </c>
      <c r="N373" s="5">
        <f t="shared" si="5"/>
        <v>1342.75</v>
      </c>
    </row>
    <row r="374" spans="1:14" x14ac:dyDescent="0.3">
      <c r="A374" t="s">
        <v>1230</v>
      </c>
      <c r="B374" s="2">
        <v>45791</v>
      </c>
      <c r="C374" t="s">
        <v>567</v>
      </c>
      <c r="D374" t="s">
        <v>778</v>
      </c>
      <c r="E374" t="s">
        <v>831</v>
      </c>
      <c r="F374">
        <v>2</v>
      </c>
      <c r="G374">
        <v>0.05</v>
      </c>
      <c r="H374" t="s">
        <v>865</v>
      </c>
      <c r="I374" t="str">
        <f>VLOOKUP(C374,Customers!A:C,2,FALSE)&amp;" "&amp;VLOOKUP(C374,Customers!A:C,3,FALSE)</f>
        <v>Crystal Aguirre</v>
      </c>
      <c r="J374" t="str">
        <f>VLOOKUP(D374,Products!A:C,2,FALSE)</f>
        <v>Behavior Dairy</v>
      </c>
      <c r="K374" t="str">
        <f>VLOOKUP(D374,Products!A:C,3,FALSE)</f>
        <v>Groceries</v>
      </c>
      <c r="L374" t="str">
        <f>VLOOKUP(E374,Stores!A:B,2,FALSE)</f>
        <v>MegaMart Jimenezborough</v>
      </c>
      <c r="M374">
        <f>VLOOKUP(D374,Products!A:E,5,FALSE)</f>
        <v>1015.76</v>
      </c>
      <c r="N374" s="5">
        <f t="shared" si="5"/>
        <v>1929.944</v>
      </c>
    </row>
    <row r="375" spans="1:14" x14ac:dyDescent="0.3">
      <c r="A375" t="s">
        <v>1231</v>
      </c>
      <c r="B375" s="2">
        <v>45857</v>
      </c>
      <c r="C375" t="s">
        <v>105</v>
      </c>
      <c r="D375" t="s">
        <v>747</v>
      </c>
      <c r="E375" t="s">
        <v>846</v>
      </c>
      <c r="F375">
        <v>1</v>
      </c>
      <c r="G375">
        <v>0.15</v>
      </c>
      <c r="H375" t="s">
        <v>865</v>
      </c>
      <c r="I375" t="str">
        <f>VLOOKUP(C375,Customers!A:C,2,FALSE)&amp;" "&amp;VLOOKUP(C375,Customers!A:C,3,FALSE)</f>
        <v>Justin Macdonald</v>
      </c>
      <c r="J375" t="str">
        <f>VLOOKUP(D375,Products!A:C,2,FALSE)</f>
        <v>World Watches</v>
      </c>
      <c r="K375" t="str">
        <f>VLOOKUP(D375,Products!A:C,3,FALSE)</f>
        <v>Fashion</v>
      </c>
      <c r="L375" t="str">
        <f>VLOOKUP(E375,Stores!A:B,2,FALSE)</f>
        <v>MegaMart Johnmouth</v>
      </c>
      <c r="M375">
        <f>VLOOKUP(D375,Products!A:E,5,FALSE)</f>
        <v>1134.8</v>
      </c>
      <c r="N375" s="5">
        <f t="shared" si="5"/>
        <v>964.57999999999993</v>
      </c>
    </row>
    <row r="376" spans="1:14" x14ac:dyDescent="0.3">
      <c r="A376" t="s">
        <v>1232</v>
      </c>
      <c r="B376" s="2">
        <v>45241</v>
      </c>
      <c r="C376" t="s">
        <v>241</v>
      </c>
      <c r="D376" t="s">
        <v>776</v>
      </c>
      <c r="E376" t="s">
        <v>831</v>
      </c>
      <c r="F376">
        <v>4</v>
      </c>
      <c r="G376">
        <v>0.15</v>
      </c>
      <c r="H376" t="s">
        <v>861</v>
      </c>
      <c r="I376" t="str">
        <f>VLOOKUP(C376,Customers!A:C,2,FALSE)&amp;" "&amp;VLOOKUP(C376,Customers!A:C,3,FALSE)</f>
        <v>Michael Johnson</v>
      </c>
      <c r="J376" t="str">
        <f>VLOOKUP(D376,Products!A:C,2,FALSE)</f>
        <v>Little Watches</v>
      </c>
      <c r="K376" t="str">
        <f>VLOOKUP(D376,Products!A:C,3,FALSE)</f>
        <v>Fashion</v>
      </c>
      <c r="L376" t="str">
        <f>VLOOKUP(E376,Stores!A:B,2,FALSE)</f>
        <v>MegaMart Jimenezborough</v>
      </c>
      <c r="M376">
        <f>VLOOKUP(D376,Products!A:E,5,FALSE)</f>
        <v>429.15</v>
      </c>
      <c r="N376" s="5">
        <f t="shared" si="5"/>
        <v>1459.11</v>
      </c>
    </row>
    <row r="377" spans="1:14" x14ac:dyDescent="0.3">
      <c r="A377" t="s">
        <v>1233</v>
      </c>
      <c r="B377" s="2">
        <v>45805</v>
      </c>
      <c r="C377" t="s">
        <v>505</v>
      </c>
      <c r="D377" t="s">
        <v>804</v>
      </c>
      <c r="E377" t="s">
        <v>835</v>
      </c>
      <c r="F377">
        <v>1</v>
      </c>
      <c r="G377">
        <v>0.05</v>
      </c>
      <c r="H377" t="s">
        <v>855</v>
      </c>
      <c r="I377" t="str">
        <f>VLOOKUP(C377,Customers!A:C,2,FALSE)&amp;" "&amp;VLOOKUP(C377,Customers!A:C,3,FALSE)</f>
        <v>Alexander Mcfarland</v>
      </c>
      <c r="J377" t="str">
        <f>VLOOKUP(D377,Products!A:C,2,FALSE)</f>
        <v>Church Clothing</v>
      </c>
      <c r="K377" t="str">
        <f>VLOOKUP(D377,Products!A:C,3,FALSE)</f>
        <v>Fashion</v>
      </c>
      <c r="L377" t="str">
        <f>VLOOKUP(E377,Stores!A:B,2,FALSE)</f>
        <v>MegaMart Peckmouth</v>
      </c>
      <c r="M377">
        <f>VLOOKUP(D377,Products!A:E,5,FALSE)</f>
        <v>540.94000000000005</v>
      </c>
      <c r="N377" s="5">
        <f t="shared" si="5"/>
        <v>513.89300000000003</v>
      </c>
    </row>
    <row r="378" spans="1:14" x14ac:dyDescent="0.3">
      <c r="A378" t="s">
        <v>1234</v>
      </c>
      <c r="B378" s="2">
        <v>45435</v>
      </c>
      <c r="C378" t="s">
        <v>230</v>
      </c>
      <c r="D378" t="s">
        <v>786</v>
      </c>
      <c r="E378" t="s">
        <v>846</v>
      </c>
      <c r="F378">
        <v>3</v>
      </c>
      <c r="G378">
        <v>0.1</v>
      </c>
      <c r="H378" t="s">
        <v>861</v>
      </c>
      <c r="I378" t="str">
        <f>VLOOKUP(C378,Customers!A:C,2,FALSE)&amp;" "&amp;VLOOKUP(C378,Customers!A:C,3,FALSE)</f>
        <v>Anthony Conway</v>
      </c>
      <c r="J378" t="str">
        <f>VLOOKUP(D378,Products!A:C,2,FALSE)</f>
        <v>National Watches</v>
      </c>
      <c r="K378" t="str">
        <f>VLOOKUP(D378,Products!A:C,3,FALSE)</f>
        <v>Fashion</v>
      </c>
      <c r="L378" t="str">
        <f>VLOOKUP(E378,Stores!A:B,2,FALSE)</f>
        <v>MegaMart Johnmouth</v>
      </c>
      <c r="M378">
        <f>VLOOKUP(D378,Products!A:E,5,FALSE)</f>
        <v>29.24</v>
      </c>
      <c r="N378" s="5">
        <f t="shared" si="5"/>
        <v>78.948000000000008</v>
      </c>
    </row>
    <row r="379" spans="1:14" x14ac:dyDescent="0.3">
      <c r="A379" t="s">
        <v>1235</v>
      </c>
      <c r="B379" s="2">
        <v>45709</v>
      </c>
      <c r="C379" t="s">
        <v>294</v>
      </c>
      <c r="D379" t="s">
        <v>794</v>
      </c>
      <c r="E379" t="s">
        <v>835</v>
      </c>
      <c r="F379">
        <v>5</v>
      </c>
      <c r="G379">
        <v>0.05</v>
      </c>
      <c r="H379" t="s">
        <v>858</v>
      </c>
      <c r="I379" t="str">
        <f>VLOOKUP(C379,Customers!A:C,2,FALSE)&amp;" "&amp;VLOOKUP(C379,Customers!A:C,3,FALSE)</f>
        <v>Jeanne Young</v>
      </c>
      <c r="J379" t="str">
        <f>VLOOKUP(D379,Products!A:C,2,FALSE)</f>
        <v>Everything Laptop</v>
      </c>
      <c r="K379" t="str">
        <f>VLOOKUP(D379,Products!A:C,3,FALSE)</f>
        <v>Electronics</v>
      </c>
      <c r="L379" t="str">
        <f>VLOOKUP(E379,Stores!A:B,2,FALSE)</f>
        <v>MegaMart Peckmouth</v>
      </c>
      <c r="M379">
        <f>VLOOKUP(D379,Products!A:E,5,FALSE)</f>
        <v>428.05</v>
      </c>
      <c r="N379" s="5">
        <f t="shared" si="5"/>
        <v>2033.2375</v>
      </c>
    </row>
    <row r="380" spans="1:14" x14ac:dyDescent="0.3">
      <c r="A380" t="s">
        <v>1236</v>
      </c>
      <c r="B380" s="2">
        <v>45335</v>
      </c>
      <c r="C380" t="s">
        <v>291</v>
      </c>
      <c r="D380" t="s">
        <v>725</v>
      </c>
      <c r="E380" t="s">
        <v>839</v>
      </c>
      <c r="F380">
        <v>1</v>
      </c>
      <c r="G380">
        <v>0.05</v>
      </c>
      <c r="H380" t="s">
        <v>858</v>
      </c>
      <c r="I380" t="str">
        <f>VLOOKUP(C380,Customers!A:C,2,FALSE)&amp;" "&amp;VLOOKUP(C380,Customers!A:C,3,FALSE)</f>
        <v>Matthew Juarez</v>
      </c>
      <c r="J380" t="str">
        <f>VLOOKUP(D380,Products!A:C,2,FALSE)</f>
        <v>Knowledge Bags</v>
      </c>
      <c r="K380" t="str">
        <f>VLOOKUP(D380,Products!A:C,3,FALSE)</f>
        <v>Fashion</v>
      </c>
      <c r="L380" t="str">
        <f>VLOOKUP(E380,Stores!A:B,2,FALSE)</f>
        <v>MegaMart New Michele</v>
      </c>
      <c r="M380">
        <f>VLOOKUP(D380,Products!A:E,5,FALSE)</f>
        <v>1396.22</v>
      </c>
      <c r="N380" s="5">
        <f t="shared" si="5"/>
        <v>1326.4089999999999</v>
      </c>
    </row>
    <row r="381" spans="1:14" x14ac:dyDescent="0.3">
      <c r="A381" t="s">
        <v>1237</v>
      </c>
      <c r="B381" s="2">
        <v>45704</v>
      </c>
      <c r="C381" t="s">
        <v>520</v>
      </c>
      <c r="D381" t="s">
        <v>739</v>
      </c>
      <c r="E381" t="s">
        <v>842</v>
      </c>
      <c r="F381">
        <v>1</v>
      </c>
      <c r="G381">
        <v>0.1</v>
      </c>
      <c r="H381" t="s">
        <v>858</v>
      </c>
      <c r="I381" t="str">
        <f>VLOOKUP(C381,Customers!A:C,2,FALSE)&amp;" "&amp;VLOOKUP(C381,Customers!A:C,3,FALSE)</f>
        <v>Cynthia Carlson</v>
      </c>
      <c r="J381" t="str">
        <f>VLOOKUP(D381,Products!A:C,2,FALSE)</f>
        <v>Step Smartphone</v>
      </c>
      <c r="K381" t="str">
        <f>VLOOKUP(D381,Products!A:C,3,FALSE)</f>
        <v>Electronics</v>
      </c>
      <c r="L381" t="str">
        <f>VLOOKUP(E381,Stores!A:B,2,FALSE)</f>
        <v>MegaMart Brianahaven</v>
      </c>
      <c r="M381">
        <f>VLOOKUP(D381,Products!A:E,5,FALSE)</f>
        <v>1194.1199999999999</v>
      </c>
      <c r="N381" s="5">
        <f t="shared" si="5"/>
        <v>1074.7079999999999</v>
      </c>
    </row>
    <row r="382" spans="1:14" x14ac:dyDescent="0.3">
      <c r="A382" t="s">
        <v>1238</v>
      </c>
      <c r="B382" s="2">
        <v>45583</v>
      </c>
      <c r="C382" t="s">
        <v>494</v>
      </c>
      <c r="D382" t="s">
        <v>812</v>
      </c>
      <c r="E382" t="s">
        <v>839</v>
      </c>
      <c r="F382">
        <v>4</v>
      </c>
      <c r="G382">
        <v>0.15</v>
      </c>
      <c r="H382" t="s">
        <v>861</v>
      </c>
      <c r="I382" t="str">
        <f>VLOOKUP(C382,Customers!A:C,2,FALSE)&amp;" "&amp;VLOOKUP(C382,Customers!A:C,3,FALSE)</f>
        <v>Mario Cuevas</v>
      </c>
      <c r="J382" t="str">
        <f>VLOOKUP(D382,Products!A:C,2,FALSE)</f>
        <v>Soon Accessories</v>
      </c>
      <c r="K382" t="str">
        <f>VLOOKUP(D382,Products!A:C,3,FALSE)</f>
        <v>Fashion</v>
      </c>
      <c r="L382" t="str">
        <f>VLOOKUP(E382,Stores!A:B,2,FALSE)</f>
        <v>MegaMart New Michele</v>
      </c>
      <c r="M382">
        <f>VLOOKUP(D382,Products!A:E,5,FALSE)</f>
        <v>564.41999999999996</v>
      </c>
      <c r="N382" s="5">
        <f t="shared" si="5"/>
        <v>1919.0279999999998</v>
      </c>
    </row>
    <row r="383" spans="1:14" x14ac:dyDescent="0.3">
      <c r="A383" t="s">
        <v>1239</v>
      </c>
      <c r="B383" s="2">
        <v>45500</v>
      </c>
      <c r="C383" t="s">
        <v>291</v>
      </c>
      <c r="D383" t="s">
        <v>766</v>
      </c>
      <c r="E383" t="s">
        <v>842</v>
      </c>
      <c r="F383">
        <v>2</v>
      </c>
      <c r="G383">
        <v>0.15</v>
      </c>
      <c r="H383" t="s">
        <v>861</v>
      </c>
      <c r="I383" t="str">
        <f>VLOOKUP(C383,Customers!A:C,2,FALSE)&amp;" "&amp;VLOOKUP(C383,Customers!A:C,3,FALSE)</f>
        <v>Matthew Juarez</v>
      </c>
      <c r="J383" t="str">
        <f>VLOOKUP(D383,Products!A:C,2,FALSE)</f>
        <v>Firm Dairy</v>
      </c>
      <c r="K383" t="str">
        <f>VLOOKUP(D383,Products!A:C,3,FALSE)</f>
        <v>Groceries</v>
      </c>
      <c r="L383" t="str">
        <f>VLOOKUP(E383,Stores!A:B,2,FALSE)</f>
        <v>MegaMart Brianahaven</v>
      </c>
      <c r="M383">
        <f>VLOOKUP(D383,Products!A:E,5,FALSE)</f>
        <v>1227.24</v>
      </c>
      <c r="N383" s="5">
        <f t="shared" si="5"/>
        <v>2086.308</v>
      </c>
    </row>
    <row r="384" spans="1:14" x14ac:dyDescent="0.3">
      <c r="A384" t="s">
        <v>1240</v>
      </c>
      <c r="B384" s="2">
        <v>45714</v>
      </c>
      <c r="C384" t="s">
        <v>224</v>
      </c>
      <c r="D384" t="s">
        <v>800</v>
      </c>
      <c r="E384" t="s">
        <v>839</v>
      </c>
      <c r="F384">
        <v>2</v>
      </c>
      <c r="G384">
        <v>0.15</v>
      </c>
      <c r="H384" t="s">
        <v>865</v>
      </c>
      <c r="I384" t="str">
        <f>VLOOKUP(C384,Customers!A:C,2,FALSE)&amp;" "&amp;VLOOKUP(C384,Customers!A:C,3,FALSE)</f>
        <v>Lawrence Stewart</v>
      </c>
      <c r="J384" t="str">
        <f>VLOOKUP(D384,Products!A:C,2,FALSE)</f>
        <v>Book Television</v>
      </c>
      <c r="K384" t="str">
        <f>VLOOKUP(D384,Products!A:C,3,FALSE)</f>
        <v>Electronics</v>
      </c>
      <c r="L384" t="str">
        <f>VLOOKUP(E384,Stores!A:B,2,FALSE)</f>
        <v>MegaMart New Michele</v>
      </c>
      <c r="M384">
        <f>VLOOKUP(D384,Products!A:E,5,FALSE)</f>
        <v>1952.65</v>
      </c>
      <c r="N384" s="5">
        <f t="shared" si="5"/>
        <v>3319.5050000000001</v>
      </c>
    </row>
    <row r="385" spans="1:14" x14ac:dyDescent="0.3">
      <c r="A385" t="s">
        <v>1241</v>
      </c>
      <c r="B385" s="2">
        <v>45776</v>
      </c>
      <c r="C385" t="s">
        <v>524</v>
      </c>
      <c r="D385" t="s">
        <v>732</v>
      </c>
      <c r="E385" t="s">
        <v>842</v>
      </c>
      <c r="F385">
        <v>4</v>
      </c>
      <c r="G385">
        <v>0.05</v>
      </c>
      <c r="H385" t="s">
        <v>858</v>
      </c>
      <c r="I385" t="str">
        <f>VLOOKUP(C385,Customers!A:C,2,FALSE)&amp;" "&amp;VLOOKUP(C385,Customers!A:C,3,FALSE)</f>
        <v>Betty Johnson</v>
      </c>
      <c r="J385" t="str">
        <f>VLOOKUP(D385,Products!A:C,2,FALSE)</f>
        <v>Understand Camera</v>
      </c>
      <c r="K385" t="str">
        <f>VLOOKUP(D385,Products!A:C,3,FALSE)</f>
        <v>Electronics</v>
      </c>
      <c r="L385" t="str">
        <f>VLOOKUP(E385,Stores!A:B,2,FALSE)</f>
        <v>MegaMart Brianahaven</v>
      </c>
      <c r="M385">
        <f>VLOOKUP(D385,Products!A:E,5,FALSE)</f>
        <v>1474.12</v>
      </c>
      <c r="N385" s="5">
        <f t="shared" si="5"/>
        <v>5601.655999999999</v>
      </c>
    </row>
    <row r="386" spans="1:14" x14ac:dyDescent="0.3">
      <c r="A386" t="s">
        <v>1242</v>
      </c>
      <c r="B386" s="2">
        <v>45616</v>
      </c>
      <c r="C386" t="s">
        <v>241</v>
      </c>
      <c r="D386" t="s">
        <v>732</v>
      </c>
      <c r="E386" t="s">
        <v>839</v>
      </c>
      <c r="F386">
        <v>2</v>
      </c>
      <c r="G386">
        <v>0.1</v>
      </c>
      <c r="H386" t="s">
        <v>865</v>
      </c>
      <c r="I386" t="str">
        <f>VLOOKUP(C386,Customers!A:C,2,FALSE)&amp;" "&amp;VLOOKUP(C386,Customers!A:C,3,FALSE)</f>
        <v>Michael Johnson</v>
      </c>
      <c r="J386" t="str">
        <f>VLOOKUP(D386,Products!A:C,2,FALSE)</f>
        <v>Understand Camera</v>
      </c>
      <c r="K386" t="str">
        <f>VLOOKUP(D386,Products!A:C,3,FALSE)</f>
        <v>Electronics</v>
      </c>
      <c r="L386" t="str">
        <f>VLOOKUP(E386,Stores!A:B,2,FALSE)</f>
        <v>MegaMart New Michele</v>
      </c>
      <c r="M386">
        <f>VLOOKUP(D386,Products!A:E,5,FALSE)</f>
        <v>1474.12</v>
      </c>
      <c r="N386" s="5">
        <f t="shared" si="5"/>
        <v>2653.4159999999997</v>
      </c>
    </row>
    <row r="387" spans="1:14" x14ac:dyDescent="0.3">
      <c r="A387" t="s">
        <v>1243</v>
      </c>
      <c r="B387" s="2">
        <v>45490</v>
      </c>
      <c r="C387" t="s">
        <v>432</v>
      </c>
      <c r="D387" t="s">
        <v>812</v>
      </c>
      <c r="E387" t="s">
        <v>839</v>
      </c>
      <c r="F387">
        <v>1</v>
      </c>
      <c r="G387">
        <v>0.05</v>
      </c>
      <c r="H387" t="s">
        <v>865</v>
      </c>
      <c r="I387" t="str">
        <f>VLOOKUP(C387,Customers!A:C,2,FALSE)&amp;" "&amp;VLOOKUP(C387,Customers!A:C,3,FALSE)</f>
        <v>Jamie Webb</v>
      </c>
      <c r="J387" t="str">
        <f>VLOOKUP(D387,Products!A:C,2,FALSE)</f>
        <v>Soon Accessories</v>
      </c>
      <c r="K387" t="str">
        <f>VLOOKUP(D387,Products!A:C,3,FALSE)</f>
        <v>Fashion</v>
      </c>
      <c r="L387" t="str">
        <f>VLOOKUP(E387,Stores!A:B,2,FALSE)</f>
        <v>MegaMart New Michele</v>
      </c>
      <c r="M387">
        <f>VLOOKUP(D387,Products!A:E,5,FALSE)</f>
        <v>564.41999999999996</v>
      </c>
      <c r="N387" s="5">
        <f t="shared" ref="N387:N450" si="6">F387*M387*(1-G387)</f>
        <v>536.19899999999996</v>
      </c>
    </row>
    <row r="388" spans="1:14" x14ac:dyDescent="0.3">
      <c r="A388" t="s">
        <v>1244</v>
      </c>
      <c r="B388" s="2">
        <v>45397</v>
      </c>
      <c r="C388" t="s">
        <v>262</v>
      </c>
      <c r="D388" t="s">
        <v>742</v>
      </c>
      <c r="E388" t="s">
        <v>842</v>
      </c>
      <c r="F388">
        <v>5</v>
      </c>
      <c r="G388">
        <v>0</v>
      </c>
      <c r="H388" t="s">
        <v>865</v>
      </c>
      <c r="I388" t="str">
        <f>VLOOKUP(C388,Customers!A:C,2,FALSE)&amp;" "&amp;VLOOKUP(C388,Customers!A:C,3,FALSE)</f>
        <v>Gabriel Daugherty</v>
      </c>
      <c r="J388" t="str">
        <f>VLOOKUP(D388,Products!A:C,2,FALSE)</f>
        <v>Either Headphones</v>
      </c>
      <c r="K388" t="str">
        <f>VLOOKUP(D388,Products!A:C,3,FALSE)</f>
        <v>Electronics</v>
      </c>
      <c r="L388" t="str">
        <f>VLOOKUP(E388,Stores!A:B,2,FALSE)</f>
        <v>MegaMart Brianahaven</v>
      </c>
      <c r="M388">
        <f>VLOOKUP(D388,Products!A:E,5,FALSE)</f>
        <v>248.57</v>
      </c>
      <c r="N388" s="5">
        <f t="shared" si="6"/>
        <v>1242.8499999999999</v>
      </c>
    </row>
    <row r="389" spans="1:14" x14ac:dyDescent="0.3">
      <c r="A389" t="s">
        <v>1245</v>
      </c>
      <c r="B389" s="2">
        <v>45254</v>
      </c>
      <c r="C389" t="s">
        <v>191</v>
      </c>
      <c r="D389" t="s">
        <v>774</v>
      </c>
      <c r="E389" t="s">
        <v>846</v>
      </c>
      <c r="F389">
        <v>5</v>
      </c>
      <c r="G389">
        <v>0.05</v>
      </c>
      <c r="H389" t="s">
        <v>858</v>
      </c>
      <c r="I389" t="str">
        <f>VLOOKUP(C389,Customers!A:C,2,FALSE)&amp;" "&amp;VLOOKUP(C389,Customers!A:C,3,FALSE)</f>
        <v>Antonio Hamilton</v>
      </c>
      <c r="J389" t="str">
        <f>VLOOKUP(D389,Products!A:C,2,FALSE)</f>
        <v>Him Smartphone</v>
      </c>
      <c r="K389" t="str">
        <f>VLOOKUP(D389,Products!A:C,3,FALSE)</f>
        <v>Electronics</v>
      </c>
      <c r="L389" t="str">
        <f>VLOOKUP(E389,Stores!A:B,2,FALSE)</f>
        <v>MegaMart Johnmouth</v>
      </c>
      <c r="M389">
        <f>VLOOKUP(D389,Products!A:E,5,FALSE)</f>
        <v>1487.41</v>
      </c>
      <c r="N389" s="5">
        <f t="shared" si="6"/>
        <v>7065.1975000000002</v>
      </c>
    </row>
    <row r="390" spans="1:14" x14ac:dyDescent="0.3">
      <c r="A390" t="s">
        <v>1246</v>
      </c>
      <c r="B390" s="2">
        <v>45584</v>
      </c>
      <c r="C390" t="s">
        <v>210</v>
      </c>
      <c r="D390" t="s">
        <v>764</v>
      </c>
      <c r="E390" t="s">
        <v>839</v>
      </c>
      <c r="F390">
        <v>3</v>
      </c>
      <c r="G390">
        <v>0</v>
      </c>
      <c r="H390" t="s">
        <v>861</v>
      </c>
      <c r="I390" t="str">
        <f>VLOOKUP(C390,Customers!A:C,2,FALSE)&amp;" "&amp;VLOOKUP(C390,Customers!A:C,3,FALSE)</f>
        <v>Crystal Johnson</v>
      </c>
      <c r="J390" t="str">
        <f>VLOOKUP(D390,Products!A:C,2,FALSE)</f>
        <v>Simple Accessories</v>
      </c>
      <c r="K390" t="str">
        <f>VLOOKUP(D390,Products!A:C,3,FALSE)</f>
        <v>Fashion</v>
      </c>
      <c r="L390" t="str">
        <f>VLOOKUP(E390,Stores!A:B,2,FALSE)</f>
        <v>MegaMart New Michele</v>
      </c>
      <c r="M390">
        <f>VLOOKUP(D390,Products!A:E,5,FALSE)</f>
        <v>323.92</v>
      </c>
      <c r="N390" s="5">
        <f t="shared" si="6"/>
        <v>971.76</v>
      </c>
    </row>
    <row r="391" spans="1:14" x14ac:dyDescent="0.3">
      <c r="A391" t="s">
        <v>1247</v>
      </c>
      <c r="B391" s="2">
        <v>45818</v>
      </c>
      <c r="C391" t="s">
        <v>191</v>
      </c>
      <c r="D391" t="s">
        <v>822</v>
      </c>
      <c r="E391" t="s">
        <v>831</v>
      </c>
      <c r="F391">
        <v>4</v>
      </c>
      <c r="G391">
        <v>0.05</v>
      </c>
      <c r="H391" t="s">
        <v>861</v>
      </c>
      <c r="I391" t="str">
        <f>VLOOKUP(C391,Customers!A:C,2,FALSE)&amp;" "&amp;VLOOKUP(C391,Customers!A:C,3,FALSE)</f>
        <v>Antonio Hamilton</v>
      </c>
      <c r="J391" t="str">
        <f>VLOOKUP(D391,Products!A:C,2,FALSE)</f>
        <v>Nor Bags</v>
      </c>
      <c r="K391" t="str">
        <f>VLOOKUP(D391,Products!A:C,3,FALSE)</f>
        <v>Fashion</v>
      </c>
      <c r="L391" t="str">
        <f>VLOOKUP(E391,Stores!A:B,2,FALSE)</f>
        <v>MegaMart Jimenezborough</v>
      </c>
      <c r="M391">
        <f>VLOOKUP(D391,Products!A:E,5,FALSE)</f>
        <v>1216.3599999999999</v>
      </c>
      <c r="N391" s="5">
        <f t="shared" si="6"/>
        <v>4622.1679999999997</v>
      </c>
    </row>
    <row r="392" spans="1:14" x14ac:dyDescent="0.3">
      <c r="A392" t="s">
        <v>1248</v>
      </c>
      <c r="B392" s="2">
        <v>45575</v>
      </c>
      <c r="C392" t="s">
        <v>382</v>
      </c>
      <c r="D392" t="s">
        <v>725</v>
      </c>
      <c r="E392" t="s">
        <v>835</v>
      </c>
      <c r="F392">
        <v>5</v>
      </c>
      <c r="G392">
        <v>0.1</v>
      </c>
      <c r="H392" t="s">
        <v>855</v>
      </c>
      <c r="I392" t="str">
        <f>VLOOKUP(C392,Customers!A:C,2,FALSE)&amp;" "&amp;VLOOKUP(C392,Customers!A:C,3,FALSE)</f>
        <v>Carolyn Perez</v>
      </c>
      <c r="J392" t="str">
        <f>VLOOKUP(D392,Products!A:C,2,FALSE)</f>
        <v>Knowledge Bags</v>
      </c>
      <c r="K392" t="str">
        <f>VLOOKUP(D392,Products!A:C,3,FALSE)</f>
        <v>Fashion</v>
      </c>
      <c r="L392" t="str">
        <f>VLOOKUP(E392,Stores!A:B,2,FALSE)</f>
        <v>MegaMart Peckmouth</v>
      </c>
      <c r="M392">
        <f>VLOOKUP(D392,Products!A:E,5,FALSE)</f>
        <v>1396.22</v>
      </c>
      <c r="N392" s="5">
        <f t="shared" si="6"/>
        <v>6282.9900000000007</v>
      </c>
    </row>
    <row r="393" spans="1:14" x14ac:dyDescent="0.3">
      <c r="A393" t="s">
        <v>1249</v>
      </c>
      <c r="B393" s="2">
        <v>45574</v>
      </c>
      <c r="C393" t="s">
        <v>368</v>
      </c>
      <c r="D393" t="s">
        <v>808</v>
      </c>
      <c r="E393" t="s">
        <v>842</v>
      </c>
      <c r="F393">
        <v>5</v>
      </c>
      <c r="G393">
        <v>0.1</v>
      </c>
      <c r="H393" t="s">
        <v>855</v>
      </c>
      <c r="I393" t="str">
        <f>VLOOKUP(C393,Customers!A:C,2,FALSE)&amp;" "&amp;VLOOKUP(C393,Customers!A:C,3,FALSE)</f>
        <v>Lisa Vega</v>
      </c>
      <c r="J393" t="str">
        <f>VLOOKUP(D393,Products!A:C,2,FALSE)</f>
        <v>Present Television</v>
      </c>
      <c r="K393" t="str">
        <f>VLOOKUP(D393,Products!A:C,3,FALSE)</f>
        <v>Electronics</v>
      </c>
      <c r="L393" t="str">
        <f>VLOOKUP(E393,Stores!A:B,2,FALSE)</f>
        <v>MegaMart Brianahaven</v>
      </c>
      <c r="M393">
        <f>VLOOKUP(D393,Products!A:E,5,FALSE)</f>
        <v>1635.01</v>
      </c>
      <c r="N393" s="5">
        <f t="shared" si="6"/>
        <v>7357.5450000000001</v>
      </c>
    </row>
    <row r="394" spans="1:14" x14ac:dyDescent="0.3">
      <c r="A394" t="s">
        <v>1250</v>
      </c>
      <c r="B394" s="2">
        <v>45649</v>
      </c>
      <c r="C394" t="s">
        <v>254</v>
      </c>
      <c r="D394" t="s">
        <v>788</v>
      </c>
      <c r="E394" t="s">
        <v>839</v>
      </c>
      <c r="F394">
        <v>5</v>
      </c>
      <c r="G394">
        <v>0.15</v>
      </c>
      <c r="H394" t="s">
        <v>858</v>
      </c>
      <c r="I394" t="str">
        <f>VLOOKUP(C394,Customers!A:C,2,FALSE)&amp;" "&amp;VLOOKUP(C394,Customers!A:C,3,FALSE)</f>
        <v>Daniel Maldonado</v>
      </c>
      <c r="J394" t="str">
        <f>VLOOKUP(D394,Products!A:C,2,FALSE)</f>
        <v>Foot Snacks</v>
      </c>
      <c r="K394" t="str">
        <f>VLOOKUP(D394,Products!A:C,3,FALSE)</f>
        <v>Groceries</v>
      </c>
      <c r="L394" t="str">
        <f>VLOOKUP(E394,Stores!A:B,2,FALSE)</f>
        <v>MegaMart New Michele</v>
      </c>
      <c r="M394">
        <f>VLOOKUP(D394,Products!A:E,5,FALSE)</f>
        <v>1095.72</v>
      </c>
      <c r="N394" s="5">
        <f t="shared" si="6"/>
        <v>4656.8100000000004</v>
      </c>
    </row>
    <row r="395" spans="1:14" x14ac:dyDescent="0.3">
      <c r="A395" t="s">
        <v>1251</v>
      </c>
      <c r="B395" s="2">
        <v>45419</v>
      </c>
      <c r="C395" t="s">
        <v>105</v>
      </c>
      <c r="D395" t="s">
        <v>711</v>
      </c>
      <c r="E395" t="s">
        <v>842</v>
      </c>
      <c r="F395">
        <v>3</v>
      </c>
      <c r="G395">
        <v>0.05</v>
      </c>
      <c r="H395" t="s">
        <v>855</v>
      </c>
      <c r="I395" t="str">
        <f>VLOOKUP(C395,Customers!A:C,2,FALSE)&amp;" "&amp;VLOOKUP(C395,Customers!A:C,3,FALSE)</f>
        <v>Justin Macdonald</v>
      </c>
      <c r="J395" t="str">
        <f>VLOOKUP(D395,Products!A:C,2,FALSE)</f>
        <v>Like Camera</v>
      </c>
      <c r="K395" t="str">
        <f>VLOOKUP(D395,Products!A:C,3,FALSE)</f>
        <v>Electronics</v>
      </c>
      <c r="L395" t="str">
        <f>VLOOKUP(E395,Stores!A:B,2,FALSE)</f>
        <v>MegaMart Brianahaven</v>
      </c>
      <c r="M395">
        <f>VLOOKUP(D395,Products!A:E,5,FALSE)</f>
        <v>1673.69</v>
      </c>
      <c r="N395" s="5">
        <f t="shared" si="6"/>
        <v>4770.0164999999997</v>
      </c>
    </row>
    <row r="396" spans="1:14" x14ac:dyDescent="0.3">
      <c r="A396" t="s">
        <v>1252</v>
      </c>
      <c r="B396" s="2">
        <v>45642</v>
      </c>
      <c r="C396" t="s">
        <v>306</v>
      </c>
      <c r="D396" t="s">
        <v>776</v>
      </c>
      <c r="E396" t="s">
        <v>842</v>
      </c>
      <c r="F396">
        <v>1</v>
      </c>
      <c r="G396">
        <v>0.05</v>
      </c>
      <c r="H396" t="s">
        <v>861</v>
      </c>
      <c r="I396" t="str">
        <f>VLOOKUP(C396,Customers!A:C,2,FALSE)&amp;" "&amp;VLOOKUP(C396,Customers!A:C,3,FALSE)</f>
        <v>Sarah Reynolds</v>
      </c>
      <c r="J396" t="str">
        <f>VLOOKUP(D396,Products!A:C,2,FALSE)</f>
        <v>Little Watches</v>
      </c>
      <c r="K396" t="str">
        <f>VLOOKUP(D396,Products!A:C,3,FALSE)</f>
        <v>Fashion</v>
      </c>
      <c r="L396" t="str">
        <f>VLOOKUP(E396,Stores!A:B,2,FALSE)</f>
        <v>MegaMart Brianahaven</v>
      </c>
      <c r="M396">
        <f>VLOOKUP(D396,Products!A:E,5,FALSE)</f>
        <v>429.15</v>
      </c>
      <c r="N396" s="5">
        <f t="shared" si="6"/>
        <v>407.69249999999994</v>
      </c>
    </row>
    <row r="397" spans="1:14" x14ac:dyDescent="0.3">
      <c r="A397" t="s">
        <v>1253</v>
      </c>
      <c r="B397" s="2">
        <v>45498</v>
      </c>
      <c r="C397" t="s">
        <v>24</v>
      </c>
      <c r="D397" t="s">
        <v>824</v>
      </c>
      <c r="E397" t="s">
        <v>839</v>
      </c>
      <c r="F397">
        <v>5</v>
      </c>
      <c r="G397">
        <v>0.15</v>
      </c>
      <c r="H397" t="s">
        <v>855</v>
      </c>
      <c r="I397" t="str">
        <f>VLOOKUP(C397,Customers!A:C,2,FALSE)&amp;" "&amp;VLOOKUP(C397,Customers!A:C,3,FALSE)</f>
        <v>Jamie Salinas</v>
      </c>
      <c r="J397" t="str">
        <f>VLOOKUP(D397,Products!A:C,2,FALSE)</f>
        <v>Possible Watches</v>
      </c>
      <c r="K397" t="str">
        <f>VLOOKUP(D397,Products!A:C,3,FALSE)</f>
        <v>Fashion</v>
      </c>
      <c r="L397" t="str">
        <f>VLOOKUP(E397,Stores!A:B,2,FALSE)</f>
        <v>MegaMart New Michele</v>
      </c>
      <c r="M397">
        <f>VLOOKUP(D397,Products!A:E,5,FALSE)</f>
        <v>388.26</v>
      </c>
      <c r="N397" s="5">
        <f t="shared" si="6"/>
        <v>1650.105</v>
      </c>
    </row>
    <row r="398" spans="1:14" x14ac:dyDescent="0.3">
      <c r="A398" t="s">
        <v>1254</v>
      </c>
      <c r="B398" s="2">
        <v>45247</v>
      </c>
      <c r="C398" t="s">
        <v>155</v>
      </c>
      <c r="D398" t="s">
        <v>784</v>
      </c>
      <c r="E398" t="s">
        <v>835</v>
      </c>
      <c r="F398">
        <v>3</v>
      </c>
      <c r="G398">
        <v>0.05</v>
      </c>
      <c r="H398" t="s">
        <v>858</v>
      </c>
      <c r="I398" t="str">
        <f>VLOOKUP(C398,Customers!A:C,2,FALSE)&amp;" "&amp;VLOOKUP(C398,Customers!A:C,3,FALSE)</f>
        <v>Scott Powell</v>
      </c>
      <c r="J398" t="str">
        <f>VLOOKUP(D398,Products!A:C,2,FALSE)</f>
        <v>Road Clothing</v>
      </c>
      <c r="K398" t="str">
        <f>VLOOKUP(D398,Products!A:C,3,FALSE)</f>
        <v>Fashion</v>
      </c>
      <c r="L398" t="str">
        <f>VLOOKUP(E398,Stores!A:B,2,FALSE)</f>
        <v>MegaMart Peckmouth</v>
      </c>
      <c r="M398">
        <f>VLOOKUP(D398,Products!A:E,5,FALSE)</f>
        <v>1485.05</v>
      </c>
      <c r="N398" s="5">
        <f t="shared" si="6"/>
        <v>4232.392499999999</v>
      </c>
    </row>
    <row r="399" spans="1:14" x14ac:dyDescent="0.3">
      <c r="A399" t="s">
        <v>1255</v>
      </c>
      <c r="B399" s="2">
        <v>45579</v>
      </c>
      <c r="C399" t="s">
        <v>531</v>
      </c>
      <c r="D399" t="s">
        <v>736</v>
      </c>
      <c r="E399" t="s">
        <v>835</v>
      </c>
      <c r="F399">
        <v>4</v>
      </c>
      <c r="G399">
        <v>0.1</v>
      </c>
      <c r="H399" t="s">
        <v>855</v>
      </c>
      <c r="I399" t="str">
        <f>VLOOKUP(C399,Customers!A:C,2,FALSE)&amp;" "&amp;VLOOKUP(C399,Customers!A:C,3,FALSE)</f>
        <v>John Johnson</v>
      </c>
      <c r="J399" t="str">
        <f>VLOOKUP(D399,Products!A:C,2,FALSE)</f>
        <v>Us Snacks</v>
      </c>
      <c r="K399" t="str">
        <f>VLOOKUP(D399,Products!A:C,3,FALSE)</f>
        <v>Groceries</v>
      </c>
      <c r="L399" t="str">
        <f>VLOOKUP(E399,Stores!A:B,2,FALSE)</f>
        <v>MegaMart Peckmouth</v>
      </c>
      <c r="M399">
        <f>VLOOKUP(D399,Products!A:E,5,FALSE)</f>
        <v>123.19</v>
      </c>
      <c r="N399" s="5">
        <f t="shared" si="6"/>
        <v>443.48399999999998</v>
      </c>
    </row>
    <row r="400" spans="1:14" x14ac:dyDescent="0.3">
      <c r="A400" t="s">
        <v>1256</v>
      </c>
      <c r="B400" s="2">
        <v>45203</v>
      </c>
      <c r="C400" t="s">
        <v>690</v>
      </c>
      <c r="D400" t="s">
        <v>757</v>
      </c>
      <c r="E400" t="s">
        <v>842</v>
      </c>
      <c r="F400">
        <v>4</v>
      </c>
      <c r="G400">
        <v>0.15</v>
      </c>
      <c r="H400" t="s">
        <v>861</v>
      </c>
      <c r="I400" t="str">
        <f>VLOOKUP(C400,Customers!A:C,2,FALSE)&amp;" "&amp;VLOOKUP(C400,Customers!A:C,3,FALSE)</f>
        <v>James Noble</v>
      </c>
      <c r="J400" t="str">
        <f>VLOOKUP(D400,Products!A:C,2,FALSE)</f>
        <v>Find Headphones</v>
      </c>
      <c r="K400" t="str">
        <f>VLOOKUP(D400,Products!A:C,3,FALSE)</f>
        <v>Electronics</v>
      </c>
      <c r="L400" t="str">
        <f>VLOOKUP(E400,Stores!A:B,2,FALSE)</f>
        <v>MegaMart Brianahaven</v>
      </c>
      <c r="M400">
        <f>VLOOKUP(D400,Products!A:E,5,FALSE)</f>
        <v>1246.1099999999999</v>
      </c>
      <c r="N400" s="5">
        <f t="shared" si="6"/>
        <v>4236.7739999999994</v>
      </c>
    </row>
    <row r="401" spans="1:14" x14ac:dyDescent="0.3">
      <c r="A401" t="s">
        <v>1257</v>
      </c>
      <c r="B401" s="2">
        <v>45315</v>
      </c>
      <c r="C401" t="s">
        <v>664</v>
      </c>
      <c r="D401" t="s">
        <v>728</v>
      </c>
      <c r="E401" t="s">
        <v>839</v>
      </c>
      <c r="F401">
        <v>2</v>
      </c>
      <c r="G401">
        <v>0.05</v>
      </c>
      <c r="H401" t="s">
        <v>858</v>
      </c>
      <c r="I401" t="str">
        <f>VLOOKUP(C401,Customers!A:C,2,FALSE)&amp;" "&amp;VLOOKUP(C401,Customers!A:C,3,FALSE)</f>
        <v>Ryan Flores</v>
      </c>
      <c r="J401" t="str">
        <f>VLOOKUP(D401,Products!A:C,2,FALSE)</f>
        <v>Company Fruits</v>
      </c>
      <c r="K401" t="str">
        <f>VLOOKUP(D401,Products!A:C,3,FALSE)</f>
        <v>Groceries</v>
      </c>
      <c r="L401" t="str">
        <f>VLOOKUP(E401,Stores!A:B,2,FALSE)</f>
        <v>MegaMart New Michele</v>
      </c>
      <c r="M401">
        <f>VLOOKUP(D401,Products!A:E,5,FALSE)</f>
        <v>318.05</v>
      </c>
      <c r="N401" s="5">
        <f t="shared" si="6"/>
        <v>604.29499999999996</v>
      </c>
    </row>
    <row r="402" spans="1:14" x14ac:dyDescent="0.3">
      <c r="A402" t="s">
        <v>1258</v>
      </c>
      <c r="B402" s="2">
        <v>45500</v>
      </c>
      <c r="C402" t="s">
        <v>187</v>
      </c>
      <c r="D402" t="s">
        <v>820</v>
      </c>
      <c r="E402" t="s">
        <v>846</v>
      </c>
      <c r="F402">
        <v>1</v>
      </c>
      <c r="G402">
        <v>0</v>
      </c>
      <c r="H402" t="s">
        <v>865</v>
      </c>
      <c r="I402" t="str">
        <f>VLOOKUP(C402,Customers!A:C,2,FALSE)&amp;" "&amp;VLOOKUP(C402,Customers!A:C,3,FALSE)</f>
        <v>Alexis Crane</v>
      </c>
      <c r="J402" t="str">
        <f>VLOOKUP(D402,Products!A:C,2,FALSE)</f>
        <v>Or Smartphone</v>
      </c>
      <c r="K402" t="str">
        <f>VLOOKUP(D402,Products!A:C,3,FALSE)</f>
        <v>Electronics</v>
      </c>
      <c r="L402" t="str">
        <f>VLOOKUP(E402,Stores!A:B,2,FALSE)</f>
        <v>MegaMart Johnmouth</v>
      </c>
      <c r="M402">
        <f>VLOOKUP(D402,Products!A:E,5,FALSE)</f>
        <v>1197.18</v>
      </c>
      <c r="N402" s="5">
        <f t="shared" si="6"/>
        <v>1197.18</v>
      </c>
    </row>
    <row r="403" spans="1:14" x14ac:dyDescent="0.3">
      <c r="A403" t="s">
        <v>1259</v>
      </c>
      <c r="B403" s="2">
        <v>45790</v>
      </c>
      <c r="C403" t="s">
        <v>612</v>
      </c>
      <c r="D403" t="s">
        <v>766</v>
      </c>
      <c r="E403" t="s">
        <v>831</v>
      </c>
      <c r="F403">
        <v>1</v>
      </c>
      <c r="G403">
        <v>0.15</v>
      </c>
      <c r="H403" t="s">
        <v>861</v>
      </c>
      <c r="I403" t="str">
        <f>VLOOKUP(C403,Customers!A:C,2,FALSE)&amp;" "&amp;VLOOKUP(C403,Customers!A:C,3,FALSE)</f>
        <v>Michelle Smith</v>
      </c>
      <c r="J403" t="str">
        <f>VLOOKUP(D403,Products!A:C,2,FALSE)</f>
        <v>Firm Dairy</v>
      </c>
      <c r="K403" t="str">
        <f>VLOOKUP(D403,Products!A:C,3,FALSE)</f>
        <v>Groceries</v>
      </c>
      <c r="L403" t="str">
        <f>VLOOKUP(E403,Stores!A:B,2,FALSE)</f>
        <v>MegaMart Jimenezborough</v>
      </c>
      <c r="M403">
        <f>VLOOKUP(D403,Products!A:E,5,FALSE)</f>
        <v>1227.24</v>
      </c>
      <c r="N403" s="5">
        <f t="shared" si="6"/>
        <v>1043.154</v>
      </c>
    </row>
    <row r="404" spans="1:14" x14ac:dyDescent="0.3">
      <c r="A404" t="s">
        <v>1260</v>
      </c>
      <c r="B404" s="2">
        <v>45416</v>
      </c>
      <c r="C404" t="s">
        <v>579</v>
      </c>
      <c r="D404" t="s">
        <v>784</v>
      </c>
      <c r="E404" t="s">
        <v>835</v>
      </c>
      <c r="F404">
        <v>1</v>
      </c>
      <c r="G404">
        <v>0.05</v>
      </c>
      <c r="H404" t="s">
        <v>865</v>
      </c>
      <c r="I404" t="str">
        <f>VLOOKUP(C404,Customers!A:C,2,FALSE)&amp;" "&amp;VLOOKUP(C404,Customers!A:C,3,FALSE)</f>
        <v>Jill Roach</v>
      </c>
      <c r="J404" t="str">
        <f>VLOOKUP(D404,Products!A:C,2,FALSE)</f>
        <v>Road Clothing</v>
      </c>
      <c r="K404" t="str">
        <f>VLOOKUP(D404,Products!A:C,3,FALSE)</f>
        <v>Fashion</v>
      </c>
      <c r="L404" t="str">
        <f>VLOOKUP(E404,Stores!A:B,2,FALSE)</f>
        <v>MegaMart Peckmouth</v>
      </c>
      <c r="M404">
        <f>VLOOKUP(D404,Products!A:E,5,FALSE)</f>
        <v>1485.05</v>
      </c>
      <c r="N404" s="5">
        <f t="shared" si="6"/>
        <v>1410.7974999999999</v>
      </c>
    </row>
    <row r="405" spans="1:14" x14ac:dyDescent="0.3">
      <c r="A405" t="s">
        <v>1261</v>
      </c>
      <c r="B405" s="2">
        <v>45677</v>
      </c>
      <c r="C405" t="s">
        <v>217</v>
      </c>
      <c r="D405" t="s">
        <v>822</v>
      </c>
      <c r="E405" t="s">
        <v>846</v>
      </c>
      <c r="F405">
        <v>4</v>
      </c>
      <c r="G405">
        <v>0.1</v>
      </c>
      <c r="H405" t="s">
        <v>865</v>
      </c>
      <c r="I405" t="str">
        <f>VLOOKUP(C405,Customers!A:C,2,FALSE)&amp;" "&amp;VLOOKUP(C405,Customers!A:C,3,FALSE)</f>
        <v>Carl Wyatt</v>
      </c>
      <c r="J405" t="str">
        <f>VLOOKUP(D405,Products!A:C,2,FALSE)</f>
        <v>Nor Bags</v>
      </c>
      <c r="K405" t="str">
        <f>VLOOKUP(D405,Products!A:C,3,FALSE)</f>
        <v>Fashion</v>
      </c>
      <c r="L405" t="str">
        <f>VLOOKUP(E405,Stores!A:B,2,FALSE)</f>
        <v>MegaMart Johnmouth</v>
      </c>
      <c r="M405">
        <f>VLOOKUP(D405,Products!A:E,5,FALSE)</f>
        <v>1216.3599999999999</v>
      </c>
      <c r="N405" s="5">
        <f t="shared" si="6"/>
        <v>4378.8959999999997</v>
      </c>
    </row>
    <row r="406" spans="1:14" x14ac:dyDescent="0.3">
      <c r="A406" t="s">
        <v>1262</v>
      </c>
      <c r="B406" s="2">
        <v>45510</v>
      </c>
      <c r="C406" t="s">
        <v>570</v>
      </c>
      <c r="D406" t="s">
        <v>769</v>
      </c>
      <c r="E406" t="s">
        <v>846</v>
      </c>
      <c r="F406">
        <v>4</v>
      </c>
      <c r="G406">
        <v>0.15</v>
      </c>
      <c r="H406" t="s">
        <v>865</v>
      </c>
      <c r="I406" t="str">
        <f>VLOOKUP(C406,Customers!A:C,2,FALSE)&amp;" "&amp;VLOOKUP(C406,Customers!A:C,3,FALSE)</f>
        <v>Thomas Chung</v>
      </c>
      <c r="J406" t="str">
        <f>VLOOKUP(D406,Products!A:C,2,FALSE)</f>
        <v>How Vegetables</v>
      </c>
      <c r="K406" t="str">
        <f>VLOOKUP(D406,Products!A:C,3,FALSE)</f>
        <v>Groceries</v>
      </c>
      <c r="L406" t="str">
        <f>VLOOKUP(E406,Stores!A:B,2,FALSE)</f>
        <v>MegaMart Johnmouth</v>
      </c>
      <c r="M406">
        <f>VLOOKUP(D406,Products!A:E,5,FALSE)</f>
        <v>25.57</v>
      </c>
      <c r="N406" s="5">
        <f t="shared" si="6"/>
        <v>86.938000000000002</v>
      </c>
    </row>
    <row r="407" spans="1:14" x14ac:dyDescent="0.3">
      <c r="A407" t="s">
        <v>1263</v>
      </c>
      <c r="B407" s="2">
        <v>45798</v>
      </c>
      <c r="C407" t="s">
        <v>12</v>
      </c>
      <c r="D407" t="s">
        <v>788</v>
      </c>
      <c r="E407" t="s">
        <v>846</v>
      </c>
      <c r="F407">
        <v>5</v>
      </c>
      <c r="G407">
        <v>0.15</v>
      </c>
      <c r="H407" t="s">
        <v>865</v>
      </c>
      <c r="I407" t="str">
        <f>VLOOKUP(C407,Customers!A:C,2,FALSE)&amp;" "&amp;VLOOKUP(C407,Customers!A:C,3,FALSE)</f>
        <v>Michael Miller</v>
      </c>
      <c r="J407" t="str">
        <f>VLOOKUP(D407,Products!A:C,2,FALSE)</f>
        <v>Foot Snacks</v>
      </c>
      <c r="K407" t="str">
        <f>VLOOKUP(D407,Products!A:C,3,FALSE)</f>
        <v>Groceries</v>
      </c>
      <c r="L407" t="str">
        <f>VLOOKUP(E407,Stores!A:B,2,FALSE)</f>
        <v>MegaMart Johnmouth</v>
      </c>
      <c r="M407">
        <f>VLOOKUP(D407,Products!A:E,5,FALSE)</f>
        <v>1095.72</v>
      </c>
      <c r="N407" s="5">
        <f t="shared" si="6"/>
        <v>4656.8100000000004</v>
      </c>
    </row>
    <row r="408" spans="1:14" x14ac:dyDescent="0.3">
      <c r="A408" t="s">
        <v>1264</v>
      </c>
      <c r="B408" s="2">
        <v>45821</v>
      </c>
      <c r="C408" t="s">
        <v>24</v>
      </c>
      <c r="D408" t="s">
        <v>794</v>
      </c>
      <c r="E408" t="s">
        <v>846</v>
      </c>
      <c r="F408">
        <v>3</v>
      </c>
      <c r="G408">
        <v>0.1</v>
      </c>
      <c r="H408" t="s">
        <v>865</v>
      </c>
      <c r="I408" t="str">
        <f>VLOOKUP(C408,Customers!A:C,2,FALSE)&amp;" "&amp;VLOOKUP(C408,Customers!A:C,3,FALSE)</f>
        <v>Jamie Salinas</v>
      </c>
      <c r="J408" t="str">
        <f>VLOOKUP(D408,Products!A:C,2,FALSE)</f>
        <v>Everything Laptop</v>
      </c>
      <c r="K408" t="str">
        <f>VLOOKUP(D408,Products!A:C,3,FALSE)</f>
        <v>Electronics</v>
      </c>
      <c r="L408" t="str">
        <f>VLOOKUP(E408,Stores!A:B,2,FALSE)</f>
        <v>MegaMart Johnmouth</v>
      </c>
      <c r="M408">
        <f>VLOOKUP(D408,Products!A:E,5,FALSE)</f>
        <v>428.05</v>
      </c>
      <c r="N408" s="5">
        <f t="shared" si="6"/>
        <v>1155.7350000000001</v>
      </c>
    </row>
    <row r="409" spans="1:14" x14ac:dyDescent="0.3">
      <c r="A409" t="s">
        <v>1265</v>
      </c>
      <c r="B409" s="2">
        <v>45648</v>
      </c>
      <c r="C409" t="s">
        <v>472</v>
      </c>
      <c r="D409" t="s">
        <v>753</v>
      </c>
      <c r="E409" t="s">
        <v>842</v>
      </c>
      <c r="F409">
        <v>2</v>
      </c>
      <c r="G409">
        <v>0</v>
      </c>
      <c r="H409" t="s">
        <v>865</v>
      </c>
      <c r="I409" t="str">
        <f>VLOOKUP(C409,Customers!A:C,2,FALSE)&amp;" "&amp;VLOOKUP(C409,Customers!A:C,3,FALSE)</f>
        <v>Gary Taylor</v>
      </c>
      <c r="J409" t="str">
        <f>VLOOKUP(D409,Products!A:C,2,FALSE)</f>
        <v>Whether Bags</v>
      </c>
      <c r="K409" t="str">
        <f>VLOOKUP(D409,Products!A:C,3,FALSE)</f>
        <v>Fashion</v>
      </c>
      <c r="L409" t="str">
        <f>VLOOKUP(E409,Stores!A:B,2,FALSE)</f>
        <v>MegaMart Brianahaven</v>
      </c>
      <c r="M409">
        <f>VLOOKUP(D409,Products!A:E,5,FALSE)</f>
        <v>270.45</v>
      </c>
      <c r="N409" s="5">
        <f t="shared" si="6"/>
        <v>540.9</v>
      </c>
    </row>
    <row r="410" spans="1:14" x14ac:dyDescent="0.3">
      <c r="A410" t="s">
        <v>1266</v>
      </c>
      <c r="B410" s="2">
        <v>45678</v>
      </c>
      <c r="C410" t="s">
        <v>494</v>
      </c>
      <c r="D410" t="s">
        <v>800</v>
      </c>
      <c r="E410" t="s">
        <v>835</v>
      </c>
      <c r="F410">
        <v>2</v>
      </c>
      <c r="G410">
        <v>0.05</v>
      </c>
      <c r="H410" t="s">
        <v>855</v>
      </c>
      <c r="I410" t="str">
        <f>VLOOKUP(C410,Customers!A:C,2,FALSE)&amp;" "&amp;VLOOKUP(C410,Customers!A:C,3,FALSE)</f>
        <v>Mario Cuevas</v>
      </c>
      <c r="J410" t="str">
        <f>VLOOKUP(D410,Products!A:C,2,FALSE)</f>
        <v>Book Television</v>
      </c>
      <c r="K410" t="str">
        <f>VLOOKUP(D410,Products!A:C,3,FALSE)</f>
        <v>Electronics</v>
      </c>
      <c r="L410" t="str">
        <f>VLOOKUP(E410,Stores!A:B,2,FALSE)</f>
        <v>MegaMart Peckmouth</v>
      </c>
      <c r="M410">
        <f>VLOOKUP(D410,Products!A:E,5,FALSE)</f>
        <v>1952.65</v>
      </c>
      <c r="N410" s="5">
        <f t="shared" si="6"/>
        <v>3710.0349999999999</v>
      </c>
    </row>
    <row r="411" spans="1:14" x14ac:dyDescent="0.3">
      <c r="A411" t="s">
        <v>1267</v>
      </c>
      <c r="B411" s="2">
        <v>45430</v>
      </c>
      <c r="C411" t="s">
        <v>343</v>
      </c>
      <c r="D411" t="s">
        <v>822</v>
      </c>
      <c r="E411" t="s">
        <v>839</v>
      </c>
      <c r="F411">
        <v>4</v>
      </c>
      <c r="G411">
        <v>0</v>
      </c>
      <c r="H411" t="s">
        <v>855</v>
      </c>
      <c r="I411" t="str">
        <f>VLOOKUP(C411,Customers!A:C,2,FALSE)&amp;" "&amp;VLOOKUP(C411,Customers!A:C,3,FALSE)</f>
        <v>Brian Fowler</v>
      </c>
      <c r="J411" t="str">
        <f>VLOOKUP(D411,Products!A:C,2,FALSE)</f>
        <v>Nor Bags</v>
      </c>
      <c r="K411" t="str">
        <f>VLOOKUP(D411,Products!A:C,3,FALSE)</f>
        <v>Fashion</v>
      </c>
      <c r="L411" t="str">
        <f>VLOOKUP(E411,Stores!A:B,2,FALSE)</f>
        <v>MegaMart New Michele</v>
      </c>
      <c r="M411">
        <f>VLOOKUP(D411,Products!A:E,5,FALSE)</f>
        <v>1216.3599999999999</v>
      </c>
      <c r="N411" s="5">
        <f t="shared" si="6"/>
        <v>4865.4399999999996</v>
      </c>
    </row>
    <row r="412" spans="1:14" x14ac:dyDescent="0.3">
      <c r="A412" t="s">
        <v>1268</v>
      </c>
      <c r="B412" s="2">
        <v>45559</v>
      </c>
      <c r="C412" t="s">
        <v>390</v>
      </c>
      <c r="D412" t="s">
        <v>715</v>
      </c>
      <c r="E412" t="s">
        <v>842</v>
      </c>
      <c r="F412">
        <v>5</v>
      </c>
      <c r="G412">
        <v>0.05</v>
      </c>
      <c r="H412" t="s">
        <v>861</v>
      </c>
      <c r="I412" t="str">
        <f>VLOOKUP(C412,Customers!A:C,2,FALSE)&amp;" "&amp;VLOOKUP(C412,Customers!A:C,3,FALSE)</f>
        <v>Brenda Dean</v>
      </c>
      <c r="J412" t="str">
        <f>VLOOKUP(D412,Products!A:C,2,FALSE)</f>
        <v>Audience Television</v>
      </c>
      <c r="K412" t="str">
        <f>VLOOKUP(D412,Products!A:C,3,FALSE)</f>
        <v>Electronics</v>
      </c>
      <c r="L412" t="str">
        <f>VLOOKUP(E412,Stores!A:B,2,FALSE)</f>
        <v>MegaMart Brianahaven</v>
      </c>
      <c r="M412">
        <f>VLOOKUP(D412,Products!A:E,5,FALSE)</f>
        <v>818.76</v>
      </c>
      <c r="N412" s="5">
        <f t="shared" si="6"/>
        <v>3889.11</v>
      </c>
    </row>
    <row r="413" spans="1:14" x14ac:dyDescent="0.3">
      <c r="A413" t="s">
        <v>1269</v>
      </c>
      <c r="B413" s="2">
        <v>45202</v>
      </c>
      <c r="C413" t="s">
        <v>291</v>
      </c>
      <c r="D413" t="s">
        <v>725</v>
      </c>
      <c r="E413" t="s">
        <v>831</v>
      </c>
      <c r="F413">
        <v>1</v>
      </c>
      <c r="G413">
        <v>0</v>
      </c>
      <c r="H413" t="s">
        <v>858</v>
      </c>
      <c r="I413" t="str">
        <f>VLOOKUP(C413,Customers!A:C,2,FALSE)&amp;" "&amp;VLOOKUP(C413,Customers!A:C,3,FALSE)</f>
        <v>Matthew Juarez</v>
      </c>
      <c r="J413" t="str">
        <f>VLOOKUP(D413,Products!A:C,2,FALSE)</f>
        <v>Knowledge Bags</v>
      </c>
      <c r="K413" t="str">
        <f>VLOOKUP(D413,Products!A:C,3,FALSE)</f>
        <v>Fashion</v>
      </c>
      <c r="L413" t="str">
        <f>VLOOKUP(E413,Stores!A:B,2,FALSE)</f>
        <v>MegaMart Jimenezborough</v>
      </c>
      <c r="M413">
        <f>VLOOKUP(D413,Products!A:E,5,FALSE)</f>
        <v>1396.22</v>
      </c>
      <c r="N413" s="5">
        <f t="shared" si="6"/>
        <v>1396.22</v>
      </c>
    </row>
    <row r="414" spans="1:14" x14ac:dyDescent="0.3">
      <c r="A414" t="s">
        <v>1270</v>
      </c>
      <c r="B414" s="2">
        <v>45311</v>
      </c>
      <c r="C414" t="s">
        <v>368</v>
      </c>
      <c r="D414" t="s">
        <v>786</v>
      </c>
      <c r="E414" t="s">
        <v>842</v>
      </c>
      <c r="F414">
        <v>5</v>
      </c>
      <c r="G414">
        <v>0.15</v>
      </c>
      <c r="H414" t="s">
        <v>865</v>
      </c>
      <c r="I414" t="str">
        <f>VLOOKUP(C414,Customers!A:C,2,FALSE)&amp;" "&amp;VLOOKUP(C414,Customers!A:C,3,FALSE)</f>
        <v>Lisa Vega</v>
      </c>
      <c r="J414" t="str">
        <f>VLOOKUP(D414,Products!A:C,2,FALSE)</f>
        <v>National Watches</v>
      </c>
      <c r="K414" t="str">
        <f>VLOOKUP(D414,Products!A:C,3,FALSE)</f>
        <v>Fashion</v>
      </c>
      <c r="L414" t="str">
        <f>VLOOKUP(E414,Stores!A:B,2,FALSE)</f>
        <v>MegaMart Brianahaven</v>
      </c>
      <c r="M414">
        <f>VLOOKUP(D414,Products!A:E,5,FALSE)</f>
        <v>29.24</v>
      </c>
      <c r="N414" s="5">
        <f t="shared" si="6"/>
        <v>124.26999999999998</v>
      </c>
    </row>
    <row r="415" spans="1:14" x14ac:dyDescent="0.3">
      <c r="A415" t="s">
        <v>1271</v>
      </c>
      <c r="B415" s="2">
        <v>45188</v>
      </c>
      <c r="C415" t="s">
        <v>585</v>
      </c>
      <c r="D415" t="s">
        <v>794</v>
      </c>
      <c r="E415" t="s">
        <v>831</v>
      </c>
      <c r="F415">
        <v>2</v>
      </c>
      <c r="G415">
        <v>0</v>
      </c>
      <c r="H415" t="s">
        <v>858</v>
      </c>
      <c r="I415" t="str">
        <f>VLOOKUP(C415,Customers!A:C,2,FALSE)&amp;" "&amp;VLOOKUP(C415,Customers!A:C,3,FALSE)</f>
        <v>Linda Vasquez</v>
      </c>
      <c r="J415" t="str">
        <f>VLOOKUP(D415,Products!A:C,2,FALSE)</f>
        <v>Everything Laptop</v>
      </c>
      <c r="K415" t="str">
        <f>VLOOKUP(D415,Products!A:C,3,FALSE)</f>
        <v>Electronics</v>
      </c>
      <c r="L415" t="str">
        <f>VLOOKUP(E415,Stores!A:B,2,FALSE)</f>
        <v>MegaMart Jimenezborough</v>
      </c>
      <c r="M415">
        <f>VLOOKUP(D415,Products!A:E,5,FALSE)</f>
        <v>428.05</v>
      </c>
      <c r="N415" s="5">
        <f t="shared" si="6"/>
        <v>856.1</v>
      </c>
    </row>
    <row r="416" spans="1:14" x14ac:dyDescent="0.3">
      <c r="A416" t="s">
        <v>1272</v>
      </c>
      <c r="B416" s="2">
        <v>45821</v>
      </c>
      <c r="C416" t="s">
        <v>419</v>
      </c>
      <c r="D416" t="s">
        <v>784</v>
      </c>
      <c r="E416" t="s">
        <v>839</v>
      </c>
      <c r="F416">
        <v>5</v>
      </c>
      <c r="G416">
        <v>0</v>
      </c>
      <c r="H416" t="s">
        <v>865</v>
      </c>
      <c r="I416" t="str">
        <f>VLOOKUP(C416,Customers!A:C,2,FALSE)&amp;" "&amp;VLOOKUP(C416,Customers!A:C,3,FALSE)</f>
        <v>Jeffrey Smith</v>
      </c>
      <c r="J416" t="str">
        <f>VLOOKUP(D416,Products!A:C,2,FALSE)</f>
        <v>Road Clothing</v>
      </c>
      <c r="K416" t="str">
        <f>VLOOKUP(D416,Products!A:C,3,FALSE)</f>
        <v>Fashion</v>
      </c>
      <c r="L416" t="str">
        <f>VLOOKUP(E416,Stores!A:B,2,FALSE)</f>
        <v>MegaMart New Michele</v>
      </c>
      <c r="M416">
        <f>VLOOKUP(D416,Products!A:E,5,FALSE)</f>
        <v>1485.05</v>
      </c>
      <c r="N416" s="5">
        <f t="shared" si="6"/>
        <v>7425.25</v>
      </c>
    </row>
    <row r="417" spans="1:14" x14ac:dyDescent="0.3">
      <c r="A417" t="s">
        <v>1273</v>
      </c>
      <c r="B417" s="2">
        <v>45765</v>
      </c>
      <c r="C417" t="s">
        <v>228</v>
      </c>
      <c r="D417" t="s">
        <v>798</v>
      </c>
      <c r="E417" t="s">
        <v>835</v>
      </c>
      <c r="F417">
        <v>5</v>
      </c>
      <c r="G417">
        <v>0.15</v>
      </c>
      <c r="H417" t="s">
        <v>855</v>
      </c>
      <c r="I417" t="str">
        <f>VLOOKUP(C417,Customers!A:C,2,FALSE)&amp;" "&amp;VLOOKUP(C417,Customers!A:C,3,FALSE)</f>
        <v>Scott Wyatt</v>
      </c>
      <c r="J417" t="str">
        <f>VLOOKUP(D417,Products!A:C,2,FALSE)</f>
        <v>New Watches</v>
      </c>
      <c r="K417" t="str">
        <f>VLOOKUP(D417,Products!A:C,3,FALSE)</f>
        <v>Fashion</v>
      </c>
      <c r="L417" t="str">
        <f>VLOOKUP(E417,Stores!A:B,2,FALSE)</f>
        <v>MegaMart Peckmouth</v>
      </c>
      <c r="M417">
        <f>VLOOKUP(D417,Products!A:E,5,FALSE)</f>
        <v>1501.46</v>
      </c>
      <c r="N417" s="5">
        <f t="shared" si="6"/>
        <v>6381.2049999999999</v>
      </c>
    </row>
    <row r="418" spans="1:14" x14ac:dyDescent="0.3">
      <c r="A418" t="s">
        <v>1274</v>
      </c>
      <c r="B418" s="2">
        <v>45218</v>
      </c>
      <c r="C418" t="s">
        <v>51</v>
      </c>
      <c r="D418" t="s">
        <v>722</v>
      </c>
      <c r="E418" t="s">
        <v>831</v>
      </c>
      <c r="F418">
        <v>3</v>
      </c>
      <c r="G418">
        <v>0</v>
      </c>
      <c r="H418" t="s">
        <v>861</v>
      </c>
      <c r="I418" t="str">
        <f>VLOOKUP(C418,Customers!A:C,2,FALSE)&amp;" "&amp;VLOOKUP(C418,Customers!A:C,3,FALSE)</f>
        <v>Dale Perry</v>
      </c>
      <c r="J418" t="str">
        <f>VLOOKUP(D418,Products!A:C,2,FALSE)</f>
        <v>Four Accessories</v>
      </c>
      <c r="K418" t="str">
        <f>VLOOKUP(D418,Products!A:C,3,FALSE)</f>
        <v>Fashion</v>
      </c>
      <c r="L418" t="str">
        <f>VLOOKUP(E418,Stores!A:B,2,FALSE)</f>
        <v>MegaMart Jimenezborough</v>
      </c>
      <c r="M418">
        <f>VLOOKUP(D418,Products!A:E,5,FALSE)</f>
        <v>1853.77</v>
      </c>
      <c r="N418" s="5">
        <f t="shared" si="6"/>
        <v>5561.3099999999995</v>
      </c>
    </row>
    <row r="419" spans="1:14" x14ac:dyDescent="0.3">
      <c r="A419" t="s">
        <v>1275</v>
      </c>
      <c r="B419" s="2">
        <v>45608</v>
      </c>
      <c r="C419" t="s">
        <v>306</v>
      </c>
      <c r="D419" t="s">
        <v>792</v>
      </c>
      <c r="E419" t="s">
        <v>831</v>
      </c>
      <c r="F419">
        <v>2</v>
      </c>
      <c r="G419">
        <v>0.05</v>
      </c>
      <c r="H419" t="s">
        <v>858</v>
      </c>
      <c r="I419" t="str">
        <f>VLOOKUP(C419,Customers!A:C,2,FALSE)&amp;" "&amp;VLOOKUP(C419,Customers!A:C,3,FALSE)</f>
        <v>Sarah Reynolds</v>
      </c>
      <c r="J419" t="str">
        <f>VLOOKUP(D419,Products!A:C,2,FALSE)</f>
        <v>Beat Accessories</v>
      </c>
      <c r="K419" t="str">
        <f>VLOOKUP(D419,Products!A:C,3,FALSE)</f>
        <v>Fashion</v>
      </c>
      <c r="L419" t="str">
        <f>VLOOKUP(E419,Stores!A:B,2,FALSE)</f>
        <v>MegaMart Jimenezborough</v>
      </c>
      <c r="M419">
        <f>VLOOKUP(D419,Products!A:E,5,FALSE)</f>
        <v>1798.97</v>
      </c>
      <c r="N419" s="5">
        <f t="shared" si="6"/>
        <v>3418.0429999999997</v>
      </c>
    </row>
    <row r="420" spans="1:14" x14ac:dyDescent="0.3">
      <c r="A420" t="s">
        <v>1276</v>
      </c>
      <c r="B420" s="2">
        <v>45321</v>
      </c>
      <c r="C420" t="s">
        <v>81</v>
      </c>
      <c r="D420" t="s">
        <v>784</v>
      </c>
      <c r="E420" t="s">
        <v>839</v>
      </c>
      <c r="F420">
        <v>2</v>
      </c>
      <c r="G420">
        <v>0.05</v>
      </c>
      <c r="H420" t="s">
        <v>858</v>
      </c>
      <c r="I420" t="str">
        <f>VLOOKUP(C420,Customers!A:C,2,FALSE)&amp;" "&amp;VLOOKUP(C420,Customers!A:C,3,FALSE)</f>
        <v>Ryan Cole</v>
      </c>
      <c r="J420" t="str">
        <f>VLOOKUP(D420,Products!A:C,2,FALSE)</f>
        <v>Road Clothing</v>
      </c>
      <c r="K420" t="str">
        <f>VLOOKUP(D420,Products!A:C,3,FALSE)</f>
        <v>Fashion</v>
      </c>
      <c r="L420" t="str">
        <f>VLOOKUP(E420,Stores!A:B,2,FALSE)</f>
        <v>MegaMart New Michele</v>
      </c>
      <c r="M420">
        <f>VLOOKUP(D420,Products!A:E,5,FALSE)</f>
        <v>1485.05</v>
      </c>
      <c r="N420" s="5">
        <f t="shared" si="6"/>
        <v>2821.5949999999998</v>
      </c>
    </row>
    <row r="421" spans="1:14" x14ac:dyDescent="0.3">
      <c r="A421" t="s">
        <v>1277</v>
      </c>
      <c r="B421" s="2">
        <v>45381</v>
      </c>
      <c r="C421" t="s">
        <v>618</v>
      </c>
      <c r="D421" t="s">
        <v>784</v>
      </c>
      <c r="E421" t="s">
        <v>846</v>
      </c>
      <c r="F421">
        <v>3</v>
      </c>
      <c r="G421">
        <v>0.15</v>
      </c>
      <c r="H421" t="s">
        <v>861</v>
      </c>
      <c r="I421" t="str">
        <f>VLOOKUP(C421,Customers!A:C,2,FALSE)&amp;" "&amp;VLOOKUP(C421,Customers!A:C,3,FALSE)</f>
        <v>Scott Howell</v>
      </c>
      <c r="J421" t="str">
        <f>VLOOKUP(D421,Products!A:C,2,FALSE)</f>
        <v>Road Clothing</v>
      </c>
      <c r="K421" t="str">
        <f>VLOOKUP(D421,Products!A:C,3,FALSE)</f>
        <v>Fashion</v>
      </c>
      <c r="L421" t="str">
        <f>VLOOKUP(E421,Stores!A:B,2,FALSE)</f>
        <v>MegaMart Johnmouth</v>
      </c>
      <c r="M421">
        <f>VLOOKUP(D421,Products!A:E,5,FALSE)</f>
        <v>1485.05</v>
      </c>
      <c r="N421" s="5">
        <f t="shared" si="6"/>
        <v>3786.8774999999996</v>
      </c>
    </row>
    <row r="422" spans="1:14" x14ac:dyDescent="0.3">
      <c r="A422" t="s">
        <v>1278</v>
      </c>
      <c r="B422" s="2">
        <v>45258</v>
      </c>
      <c r="C422" t="s">
        <v>627</v>
      </c>
      <c r="D422" t="s">
        <v>761</v>
      </c>
      <c r="E422" t="s">
        <v>831</v>
      </c>
      <c r="F422">
        <v>5</v>
      </c>
      <c r="G422">
        <v>0.1</v>
      </c>
      <c r="H422" t="s">
        <v>865</v>
      </c>
      <c r="I422" t="str">
        <f>VLOOKUP(C422,Customers!A:C,2,FALSE)&amp;" "&amp;VLOOKUP(C422,Customers!A:C,3,FALSE)</f>
        <v>Anthony Gould</v>
      </c>
      <c r="J422" t="str">
        <f>VLOOKUP(D422,Products!A:C,2,FALSE)</f>
        <v>Traditional Laptop</v>
      </c>
      <c r="K422" t="str">
        <f>VLOOKUP(D422,Products!A:C,3,FALSE)</f>
        <v>Electronics</v>
      </c>
      <c r="L422" t="str">
        <f>VLOOKUP(E422,Stores!A:B,2,FALSE)</f>
        <v>MegaMart Jimenezborough</v>
      </c>
      <c r="M422">
        <f>VLOOKUP(D422,Products!A:E,5,FALSE)</f>
        <v>1762.92</v>
      </c>
      <c r="N422" s="5">
        <f t="shared" si="6"/>
        <v>7933.14</v>
      </c>
    </row>
    <row r="423" spans="1:14" x14ac:dyDescent="0.3">
      <c r="A423" t="s">
        <v>1279</v>
      </c>
      <c r="B423" s="2">
        <v>45851</v>
      </c>
      <c r="C423" t="s">
        <v>105</v>
      </c>
      <c r="D423" t="s">
        <v>818</v>
      </c>
      <c r="E423" t="s">
        <v>842</v>
      </c>
      <c r="F423">
        <v>2</v>
      </c>
      <c r="G423">
        <v>0</v>
      </c>
      <c r="H423" t="s">
        <v>855</v>
      </c>
      <c r="I423" t="str">
        <f>VLOOKUP(C423,Customers!A:C,2,FALSE)&amp;" "&amp;VLOOKUP(C423,Customers!A:C,3,FALSE)</f>
        <v>Justin Macdonald</v>
      </c>
      <c r="J423" t="str">
        <f>VLOOKUP(D423,Products!A:C,2,FALSE)</f>
        <v>Nature Clothing</v>
      </c>
      <c r="K423" t="str">
        <f>VLOOKUP(D423,Products!A:C,3,FALSE)</f>
        <v>Fashion</v>
      </c>
      <c r="L423" t="str">
        <f>VLOOKUP(E423,Stores!A:B,2,FALSE)</f>
        <v>MegaMart Brianahaven</v>
      </c>
      <c r="M423">
        <f>VLOOKUP(D423,Products!A:E,5,FALSE)</f>
        <v>1165.3699999999999</v>
      </c>
      <c r="N423" s="5">
        <f t="shared" si="6"/>
        <v>2330.7399999999998</v>
      </c>
    </row>
    <row r="424" spans="1:14" x14ac:dyDescent="0.3">
      <c r="A424" t="s">
        <v>1280</v>
      </c>
      <c r="B424" s="2">
        <v>45266</v>
      </c>
      <c r="C424" t="s">
        <v>556</v>
      </c>
      <c r="D424" t="s">
        <v>711</v>
      </c>
      <c r="E424" t="s">
        <v>846</v>
      </c>
      <c r="F424">
        <v>5</v>
      </c>
      <c r="G424">
        <v>0.15</v>
      </c>
      <c r="H424" t="s">
        <v>855</v>
      </c>
      <c r="I424" t="str">
        <f>VLOOKUP(C424,Customers!A:C,2,FALSE)&amp;" "&amp;VLOOKUP(C424,Customers!A:C,3,FALSE)</f>
        <v>Jill Mcconnell</v>
      </c>
      <c r="J424" t="str">
        <f>VLOOKUP(D424,Products!A:C,2,FALSE)</f>
        <v>Like Camera</v>
      </c>
      <c r="K424" t="str">
        <f>VLOOKUP(D424,Products!A:C,3,FALSE)</f>
        <v>Electronics</v>
      </c>
      <c r="L424" t="str">
        <f>VLOOKUP(E424,Stores!A:B,2,FALSE)</f>
        <v>MegaMart Johnmouth</v>
      </c>
      <c r="M424">
        <f>VLOOKUP(D424,Products!A:E,5,FALSE)</f>
        <v>1673.69</v>
      </c>
      <c r="N424" s="5">
        <f t="shared" si="6"/>
        <v>7113.1825000000008</v>
      </c>
    </row>
    <row r="425" spans="1:14" x14ac:dyDescent="0.3">
      <c r="A425" t="s">
        <v>1281</v>
      </c>
      <c r="B425" s="2">
        <v>45395</v>
      </c>
      <c r="C425" t="s">
        <v>36</v>
      </c>
      <c r="D425" t="s">
        <v>750</v>
      </c>
      <c r="E425" t="s">
        <v>839</v>
      </c>
      <c r="F425">
        <v>4</v>
      </c>
      <c r="G425">
        <v>0.15</v>
      </c>
      <c r="H425" t="s">
        <v>861</v>
      </c>
      <c r="I425" t="str">
        <f>VLOOKUP(C425,Customers!A:C,2,FALSE)&amp;" "&amp;VLOOKUP(C425,Customers!A:C,3,FALSE)</f>
        <v>Isaiah Williams</v>
      </c>
      <c r="J425" t="str">
        <f>VLOOKUP(D425,Products!A:C,2,FALSE)</f>
        <v>Add Clothing</v>
      </c>
      <c r="K425" t="str">
        <f>VLOOKUP(D425,Products!A:C,3,FALSE)</f>
        <v>Fashion</v>
      </c>
      <c r="L425" t="str">
        <f>VLOOKUP(E425,Stores!A:B,2,FALSE)</f>
        <v>MegaMart New Michele</v>
      </c>
      <c r="M425">
        <f>VLOOKUP(D425,Products!A:E,5,FALSE)</f>
        <v>1342.75</v>
      </c>
      <c r="N425" s="5">
        <f t="shared" si="6"/>
        <v>4565.3499999999995</v>
      </c>
    </row>
    <row r="426" spans="1:14" x14ac:dyDescent="0.3">
      <c r="A426" t="s">
        <v>1282</v>
      </c>
      <c r="B426" s="2">
        <v>45574</v>
      </c>
      <c r="C426" t="s">
        <v>347</v>
      </c>
      <c r="D426" t="s">
        <v>722</v>
      </c>
      <c r="E426" t="s">
        <v>846</v>
      </c>
      <c r="F426">
        <v>4</v>
      </c>
      <c r="G426">
        <v>0.15</v>
      </c>
      <c r="H426" t="s">
        <v>861</v>
      </c>
      <c r="I426" t="str">
        <f>VLOOKUP(C426,Customers!A:C,2,FALSE)&amp;" "&amp;VLOOKUP(C426,Customers!A:C,3,FALSE)</f>
        <v>Lindsey Holder</v>
      </c>
      <c r="J426" t="str">
        <f>VLOOKUP(D426,Products!A:C,2,FALSE)</f>
        <v>Four Accessories</v>
      </c>
      <c r="K426" t="str">
        <f>VLOOKUP(D426,Products!A:C,3,FALSE)</f>
        <v>Fashion</v>
      </c>
      <c r="L426" t="str">
        <f>VLOOKUP(E426,Stores!A:B,2,FALSE)</f>
        <v>MegaMart Johnmouth</v>
      </c>
      <c r="M426">
        <f>VLOOKUP(D426,Products!A:E,5,FALSE)</f>
        <v>1853.77</v>
      </c>
      <c r="N426" s="5">
        <f t="shared" si="6"/>
        <v>6302.8180000000002</v>
      </c>
    </row>
    <row r="427" spans="1:14" x14ac:dyDescent="0.3">
      <c r="A427" t="s">
        <v>1283</v>
      </c>
      <c r="B427" s="2">
        <v>45180</v>
      </c>
      <c r="C427" t="s">
        <v>621</v>
      </c>
      <c r="D427" t="s">
        <v>774</v>
      </c>
      <c r="E427" t="s">
        <v>846</v>
      </c>
      <c r="F427">
        <v>4</v>
      </c>
      <c r="G427">
        <v>0</v>
      </c>
      <c r="H427" t="s">
        <v>855</v>
      </c>
      <c r="I427" t="str">
        <f>VLOOKUP(C427,Customers!A:C,2,FALSE)&amp;" "&amp;VLOOKUP(C427,Customers!A:C,3,FALSE)</f>
        <v>Stacey Thompson</v>
      </c>
      <c r="J427" t="str">
        <f>VLOOKUP(D427,Products!A:C,2,FALSE)</f>
        <v>Him Smartphone</v>
      </c>
      <c r="K427" t="str">
        <f>VLOOKUP(D427,Products!A:C,3,FALSE)</f>
        <v>Electronics</v>
      </c>
      <c r="L427" t="str">
        <f>VLOOKUP(E427,Stores!A:B,2,FALSE)</f>
        <v>MegaMart Johnmouth</v>
      </c>
      <c r="M427">
        <f>VLOOKUP(D427,Products!A:E,5,FALSE)</f>
        <v>1487.41</v>
      </c>
      <c r="N427" s="5">
        <f t="shared" si="6"/>
        <v>5949.64</v>
      </c>
    </row>
    <row r="428" spans="1:14" x14ac:dyDescent="0.3">
      <c r="A428" t="s">
        <v>1284</v>
      </c>
      <c r="B428" s="2">
        <v>45636</v>
      </c>
      <c r="C428" t="s">
        <v>243</v>
      </c>
      <c r="D428" t="s">
        <v>786</v>
      </c>
      <c r="E428" t="s">
        <v>831</v>
      </c>
      <c r="F428">
        <v>1</v>
      </c>
      <c r="G428">
        <v>0.1</v>
      </c>
      <c r="H428" t="s">
        <v>861</v>
      </c>
      <c r="I428" t="str">
        <f>VLOOKUP(C428,Customers!A:C,2,FALSE)&amp;" "&amp;VLOOKUP(C428,Customers!A:C,3,FALSE)</f>
        <v>Amanda Hoover</v>
      </c>
      <c r="J428" t="str">
        <f>VLOOKUP(D428,Products!A:C,2,FALSE)</f>
        <v>National Watches</v>
      </c>
      <c r="K428" t="str">
        <f>VLOOKUP(D428,Products!A:C,3,FALSE)</f>
        <v>Fashion</v>
      </c>
      <c r="L428" t="str">
        <f>VLOOKUP(E428,Stores!A:B,2,FALSE)</f>
        <v>MegaMart Jimenezborough</v>
      </c>
      <c r="M428">
        <f>VLOOKUP(D428,Products!A:E,5,FALSE)</f>
        <v>29.24</v>
      </c>
      <c r="N428" s="5">
        <f t="shared" si="6"/>
        <v>26.315999999999999</v>
      </c>
    </row>
    <row r="429" spans="1:14" x14ac:dyDescent="0.3">
      <c r="A429" t="s">
        <v>1285</v>
      </c>
      <c r="B429" s="2">
        <v>45899</v>
      </c>
      <c r="C429" t="s">
        <v>368</v>
      </c>
      <c r="D429" t="s">
        <v>792</v>
      </c>
      <c r="E429" t="s">
        <v>835</v>
      </c>
      <c r="F429">
        <v>4</v>
      </c>
      <c r="G429">
        <v>0.1</v>
      </c>
      <c r="H429" t="s">
        <v>855</v>
      </c>
      <c r="I429" t="str">
        <f>VLOOKUP(C429,Customers!A:C,2,FALSE)&amp;" "&amp;VLOOKUP(C429,Customers!A:C,3,FALSE)</f>
        <v>Lisa Vega</v>
      </c>
      <c r="J429" t="str">
        <f>VLOOKUP(D429,Products!A:C,2,FALSE)</f>
        <v>Beat Accessories</v>
      </c>
      <c r="K429" t="str">
        <f>VLOOKUP(D429,Products!A:C,3,FALSE)</f>
        <v>Fashion</v>
      </c>
      <c r="L429" t="str">
        <f>VLOOKUP(E429,Stores!A:B,2,FALSE)</f>
        <v>MegaMart Peckmouth</v>
      </c>
      <c r="M429">
        <f>VLOOKUP(D429,Products!A:E,5,FALSE)</f>
        <v>1798.97</v>
      </c>
      <c r="N429" s="5">
        <f t="shared" si="6"/>
        <v>6476.2920000000004</v>
      </c>
    </row>
    <row r="430" spans="1:14" x14ac:dyDescent="0.3">
      <c r="A430" t="s">
        <v>1286</v>
      </c>
      <c r="B430" s="2">
        <v>45340</v>
      </c>
      <c r="C430" t="s">
        <v>112</v>
      </c>
      <c r="D430" t="s">
        <v>739</v>
      </c>
      <c r="E430" t="s">
        <v>831</v>
      </c>
      <c r="F430">
        <v>1</v>
      </c>
      <c r="G430">
        <v>0.1</v>
      </c>
      <c r="H430" t="s">
        <v>858</v>
      </c>
      <c r="I430" t="str">
        <f>VLOOKUP(C430,Customers!A:C,2,FALSE)&amp;" "&amp;VLOOKUP(C430,Customers!A:C,3,FALSE)</f>
        <v>John Carr</v>
      </c>
      <c r="J430" t="str">
        <f>VLOOKUP(D430,Products!A:C,2,FALSE)</f>
        <v>Step Smartphone</v>
      </c>
      <c r="K430" t="str">
        <f>VLOOKUP(D430,Products!A:C,3,FALSE)</f>
        <v>Electronics</v>
      </c>
      <c r="L430" t="str">
        <f>VLOOKUP(E430,Stores!A:B,2,FALSE)</f>
        <v>MegaMart Jimenezborough</v>
      </c>
      <c r="M430">
        <f>VLOOKUP(D430,Products!A:E,5,FALSE)</f>
        <v>1194.1199999999999</v>
      </c>
      <c r="N430" s="5">
        <f t="shared" si="6"/>
        <v>1074.7079999999999</v>
      </c>
    </row>
    <row r="431" spans="1:14" x14ac:dyDescent="0.3">
      <c r="A431" t="s">
        <v>1287</v>
      </c>
      <c r="B431" s="2">
        <v>45354</v>
      </c>
      <c r="C431" t="s">
        <v>351</v>
      </c>
      <c r="D431" t="s">
        <v>778</v>
      </c>
      <c r="E431" t="s">
        <v>839</v>
      </c>
      <c r="F431">
        <v>1</v>
      </c>
      <c r="G431">
        <v>0.05</v>
      </c>
      <c r="H431" t="s">
        <v>865</v>
      </c>
      <c r="I431" t="str">
        <f>VLOOKUP(C431,Customers!A:C,2,FALSE)&amp;" "&amp;VLOOKUP(C431,Customers!A:C,3,FALSE)</f>
        <v>Stanley Brown</v>
      </c>
      <c r="J431" t="str">
        <f>VLOOKUP(D431,Products!A:C,2,FALSE)</f>
        <v>Behavior Dairy</v>
      </c>
      <c r="K431" t="str">
        <f>VLOOKUP(D431,Products!A:C,3,FALSE)</f>
        <v>Groceries</v>
      </c>
      <c r="L431" t="str">
        <f>VLOOKUP(E431,Stores!A:B,2,FALSE)</f>
        <v>MegaMart New Michele</v>
      </c>
      <c r="M431">
        <f>VLOOKUP(D431,Products!A:E,5,FALSE)</f>
        <v>1015.76</v>
      </c>
      <c r="N431" s="5">
        <f t="shared" si="6"/>
        <v>964.97199999999998</v>
      </c>
    </row>
    <row r="432" spans="1:14" x14ac:dyDescent="0.3">
      <c r="A432" t="s">
        <v>1288</v>
      </c>
      <c r="B432" s="2">
        <v>45301</v>
      </c>
      <c r="C432" t="s">
        <v>187</v>
      </c>
      <c r="D432" t="s">
        <v>753</v>
      </c>
      <c r="E432" t="s">
        <v>842</v>
      </c>
      <c r="F432">
        <v>4</v>
      </c>
      <c r="G432">
        <v>0.15</v>
      </c>
      <c r="H432" t="s">
        <v>865</v>
      </c>
      <c r="I432" t="str">
        <f>VLOOKUP(C432,Customers!A:C,2,FALSE)&amp;" "&amp;VLOOKUP(C432,Customers!A:C,3,FALSE)</f>
        <v>Alexis Crane</v>
      </c>
      <c r="J432" t="str">
        <f>VLOOKUP(D432,Products!A:C,2,FALSE)</f>
        <v>Whether Bags</v>
      </c>
      <c r="K432" t="str">
        <f>VLOOKUP(D432,Products!A:C,3,FALSE)</f>
        <v>Fashion</v>
      </c>
      <c r="L432" t="str">
        <f>VLOOKUP(E432,Stores!A:B,2,FALSE)</f>
        <v>MegaMart Brianahaven</v>
      </c>
      <c r="M432">
        <f>VLOOKUP(D432,Products!A:E,5,FALSE)</f>
        <v>270.45</v>
      </c>
      <c r="N432" s="5">
        <f t="shared" si="6"/>
        <v>919.53</v>
      </c>
    </row>
    <row r="433" spans="1:14" x14ac:dyDescent="0.3">
      <c r="A433" t="s">
        <v>1289</v>
      </c>
      <c r="B433" s="2">
        <v>45278</v>
      </c>
      <c r="C433" t="s">
        <v>32</v>
      </c>
      <c r="D433" t="s">
        <v>822</v>
      </c>
      <c r="E433" t="s">
        <v>831</v>
      </c>
      <c r="F433">
        <v>3</v>
      </c>
      <c r="G433">
        <v>0</v>
      </c>
      <c r="H433" t="s">
        <v>855</v>
      </c>
      <c r="I433" t="str">
        <f>VLOOKUP(C433,Customers!A:C,2,FALSE)&amp;" "&amp;VLOOKUP(C433,Customers!A:C,3,FALSE)</f>
        <v>Erin Walker</v>
      </c>
      <c r="J433" t="str">
        <f>VLOOKUP(D433,Products!A:C,2,FALSE)</f>
        <v>Nor Bags</v>
      </c>
      <c r="K433" t="str">
        <f>VLOOKUP(D433,Products!A:C,3,FALSE)</f>
        <v>Fashion</v>
      </c>
      <c r="L433" t="str">
        <f>VLOOKUP(E433,Stores!A:B,2,FALSE)</f>
        <v>MegaMart Jimenezborough</v>
      </c>
      <c r="M433">
        <f>VLOOKUP(D433,Products!A:E,5,FALSE)</f>
        <v>1216.3599999999999</v>
      </c>
      <c r="N433" s="5">
        <f t="shared" si="6"/>
        <v>3649.08</v>
      </c>
    </row>
    <row r="434" spans="1:14" x14ac:dyDescent="0.3">
      <c r="A434" t="s">
        <v>1290</v>
      </c>
      <c r="B434" s="2">
        <v>45334</v>
      </c>
      <c r="C434" t="s">
        <v>372</v>
      </c>
      <c r="D434" t="s">
        <v>739</v>
      </c>
      <c r="E434" t="s">
        <v>831</v>
      </c>
      <c r="F434">
        <v>3</v>
      </c>
      <c r="G434">
        <v>0.15</v>
      </c>
      <c r="H434" t="s">
        <v>858</v>
      </c>
      <c r="I434" t="str">
        <f>VLOOKUP(C434,Customers!A:C,2,FALSE)&amp;" "&amp;VLOOKUP(C434,Customers!A:C,3,FALSE)</f>
        <v>Kimberly Jones</v>
      </c>
      <c r="J434" t="str">
        <f>VLOOKUP(D434,Products!A:C,2,FALSE)</f>
        <v>Step Smartphone</v>
      </c>
      <c r="K434" t="str">
        <f>VLOOKUP(D434,Products!A:C,3,FALSE)</f>
        <v>Electronics</v>
      </c>
      <c r="L434" t="str">
        <f>VLOOKUP(E434,Stores!A:B,2,FALSE)</f>
        <v>MegaMart Jimenezborough</v>
      </c>
      <c r="M434">
        <f>VLOOKUP(D434,Products!A:E,5,FALSE)</f>
        <v>1194.1199999999999</v>
      </c>
      <c r="N434" s="5">
        <f t="shared" si="6"/>
        <v>3045.0059999999999</v>
      </c>
    </row>
    <row r="435" spans="1:14" x14ac:dyDescent="0.3">
      <c r="A435" t="s">
        <v>1291</v>
      </c>
      <c r="B435" s="2">
        <v>45709</v>
      </c>
      <c r="C435" t="s">
        <v>702</v>
      </c>
      <c r="D435" t="s">
        <v>786</v>
      </c>
      <c r="E435" t="s">
        <v>831</v>
      </c>
      <c r="F435">
        <v>5</v>
      </c>
      <c r="G435">
        <v>0.05</v>
      </c>
      <c r="H435" t="s">
        <v>861</v>
      </c>
      <c r="I435" t="str">
        <f>VLOOKUP(C435,Customers!A:C,2,FALSE)&amp;" "&amp;VLOOKUP(C435,Customers!A:C,3,FALSE)</f>
        <v>Ronald Haley</v>
      </c>
      <c r="J435" t="str">
        <f>VLOOKUP(D435,Products!A:C,2,FALSE)</f>
        <v>National Watches</v>
      </c>
      <c r="K435" t="str">
        <f>VLOOKUP(D435,Products!A:C,3,FALSE)</f>
        <v>Fashion</v>
      </c>
      <c r="L435" t="str">
        <f>VLOOKUP(E435,Stores!A:B,2,FALSE)</f>
        <v>MegaMart Jimenezborough</v>
      </c>
      <c r="M435">
        <f>VLOOKUP(D435,Products!A:E,5,FALSE)</f>
        <v>29.24</v>
      </c>
      <c r="N435" s="5">
        <f t="shared" si="6"/>
        <v>138.88999999999999</v>
      </c>
    </row>
    <row r="436" spans="1:14" x14ac:dyDescent="0.3">
      <c r="A436" t="s">
        <v>1292</v>
      </c>
      <c r="B436" s="2">
        <v>45708</v>
      </c>
      <c r="C436" t="s">
        <v>625</v>
      </c>
      <c r="D436" t="s">
        <v>782</v>
      </c>
      <c r="E436" t="s">
        <v>842</v>
      </c>
      <c r="F436">
        <v>2</v>
      </c>
      <c r="G436">
        <v>0.05</v>
      </c>
      <c r="H436" t="s">
        <v>855</v>
      </c>
      <c r="I436" t="str">
        <f>VLOOKUP(C436,Customers!A:C,2,FALSE)&amp;" "&amp;VLOOKUP(C436,Customers!A:C,3,FALSE)</f>
        <v>Peter Garcia</v>
      </c>
      <c r="J436" t="str">
        <f>VLOOKUP(D436,Products!A:C,2,FALSE)</f>
        <v>Deal Smartphone</v>
      </c>
      <c r="K436" t="str">
        <f>VLOOKUP(D436,Products!A:C,3,FALSE)</f>
        <v>Electronics</v>
      </c>
      <c r="L436" t="str">
        <f>VLOOKUP(E436,Stores!A:B,2,FALSE)</f>
        <v>MegaMart Brianahaven</v>
      </c>
      <c r="M436">
        <f>VLOOKUP(D436,Products!A:E,5,FALSE)</f>
        <v>673.78</v>
      </c>
      <c r="N436" s="5">
        <f t="shared" si="6"/>
        <v>1280.1819999999998</v>
      </c>
    </row>
    <row r="437" spans="1:14" x14ac:dyDescent="0.3">
      <c r="A437" t="s">
        <v>1293</v>
      </c>
      <c r="B437" s="2">
        <v>45367</v>
      </c>
      <c r="C437" t="s">
        <v>294</v>
      </c>
      <c r="D437" t="s">
        <v>742</v>
      </c>
      <c r="E437" t="s">
        <v>839</v>
      </c>
      <c r="F437">
        <v>4</v>
      </c>
      <c r="G437">
        <v>0.05</v>
      </c>
      <c r="H437" t="s">
        <v>865</v>
      </c>
      <c r="I437" t="str">
        <f>VLOOKUP(C437,Customers!A:C,2,FALSE)&amp;" "&amp;VLOOKUP(C437,Customers!A:C,3,FALSE)</f>
        <v>Jeanne Young</v>
      </c>
      <c r="J437" t="str">
        <f>VLOOKUP(D437,Products!A:C,2,FALSE)</f>
        <v>Either Headphones</v>
      </c>
      <c r="K437" t="str">
        <f>VLOOKUP(D437,Products!A:C,3,FALSE)</f>
        <v>Electronics</v>
      </c>
      <c r="L437" t="str">
        <f>VLOOKUP(E437,Stores!A:B,2,FALSE)</f>
        <v>MegaMart New Michele</v>
      </c>
      <c r="M437">
        <f>VLOOKUP(D437,Products!A:E,5,FALSE)</f>
        <v>248.57</v>
      </c>
      <c r="N437" s="5">
        <f t="shared" si="6"/>
        <v>944.56599999999992</v>
      </c>
    </row>
    <row r="438" spans="1:14" x14ac:dyDescent="0.3">
      <c r="A438" t="s">
        <v>1294</v>
      </c>
      <c r="B438" s="2">
        <v>45371</v>
      </c>
      <c r="C438" t="s">
        <v>167</v>
      </c>
      <c r="D438" t="s">
        <v>776</v>
      </c>
      <c r="E438" t="s">
        <v>842</v>
      </c>
      <c r="F438">
        <v>3</v>
      </c>
      <c r="G438">
        <v>0.15</v>
      </c>
      <c r="H438" t="s">
        <v>855</v>
      </c>
      <c r="I438" t="str">
        <f>VLOOKUP(C438,Customers!A:C,2,FALSE)&amp;" "&amp;VLOOKUP(C438,Customers!A:C,3,FALSE)</f>
        <v>Kenneth Allen</v>
      </c>
      <c r="J438" t="str">
        <f>VLOOKUP(D438,Products!A:C,2,FALSE)</f>
        <v>Little Watches</v>
      </c>
      <c r="K438" t="str">
        <f>VLOOKUP(D438,Products!A:C,3,FALSE)</f>
        <v>Fashion</v>
      </c>
      <c r="L438" t="str">
        <f>VLOOKUP(E438,Stores!A:B,2,FALSE)</f>
        <v>MegaMart Brianahaven</v>
      </c>
      <c r="M438">
        <f>VLOOKUP(D438,Products!A:E,5,FALSE)</f>
        <v>429.15</v>
      </c>
      <c r="N438" s="5">
        <f t="shared" si="6"/>
        <v>1094.3324999999998</v>
      </c>
    </row>
    <row r="439" spans="1:14" x14ac:dyDescent="0.3">
      <c r="A439" t="s">
        <v>1295</v>
      </c>
      <c r="B439" s="2">
        <v>45806</v>
      </c>
      <c r="C439" t="s">
        <v>458</v>
      </c>
      <c r="D439" t="s">
        <v>780</v>
      </c>
      <c r="E439" t="s">
        <v>831</v>
      </c>
      <c r="F439">
        <v>3</v>
      </c>
      <c r="G439">
        <v>0.1</v>
      </c>
      <c r="H439" t="s">
        <v>861</v>
      </c>
      <c r="I439" t="str">
        <f>VLOOKUP(C439,Customers!A:C,2,FALSE)&amp;" "&amp;VLOOKUP(C439,Customers!A:C,3,FALSE)</f>
        <v>Chad Roberts</v>
      </c>
      <c r="J439" t="str">
        <f>VLOOKUP(D439,Products!A:C,2,FALSE)</f>
        <v>Hospital Smartphone</v>
      </c>
      <c r="K439" t="str">
        <f>VLOOKUP(D439,Products!A:C,3,FALSE)</f>
        <v>Electronics</v>
      </c>
      <c r="L439" t="str">
        <f>VLOOKUP(E439,Stores!A:B,2,FALSE)</f>
        <v>MegaMart Jimenezborough</v>
      </c>
      <c r="M439">
        <f>VLOOKUP(D439,Products!A:E,5,FALSE)</f>
        <v>1272.23</v>
      </c>
      <c r="N439" s="5">
        <f t="shared" si="6"/>
        <v>3435.0210000000002</v>
      </c>
    </row>
    <row r="440" spans="1:14" x14ac:dyDescent="0.3">
      <c r="A440" t="s">
        <v>1296</v>
      </c>
      <c r="B440" s="2">
        <v>45427</v>
      </c>
      <c r="C440" t="s">
        <v>653</v>
      </c>
      <c r="D440" t="s">
        <v>818</v>
      </c>
      <c r="E440" t="s">
        <v>842</v>
      </c>
      <c r="F440">
        <v>5</v>
      </c>
      <c r="G440">
        <v>0.05</v>
      </c>
      <c r="H440" t="s">
        <v>858</v>
      </c>
      <c r="I440" t="str">
        <f>VLOOKUP(C440,Customers!A:C,2,FALSE)&amp;" "&amp;VLOOKUP(C440,Customers!A:C,3,FALSE)</f>
        <v>Joe Vincent</v>
      </c>
      <c r="J440" t="str">
        <f>VLOOKUP(D440,Products!A:C,2,FALSE)</f>
        <v>Nature Clothing</v>
      </c>
      <c r="K440" t="str">
        <f>VLOOKUP(D440,Products!A:C,3,FALSE)</f>
        <v>Fashion</v>
      </c>
      <c r="L440" t="str">
        <f>VLOOKUP(E440,Stores!A:B,2,FALSE)</f>
        <v>MegaMart Brianahaven</v>
      </c>
      <c r="M440">
        <f>VLOOKUP(D440,Products!A:E,5,FALSE)</f>
        <v>1165.3699999999999</v>
      </c>
      <c r="N440" s="5">
        <f t="shared" si="6"/>
        <v>5535.5074999999988</v>
      </c>
    </row>
    <row r="441" spans="1:14" x14ac:dyDescent="0.3">
      <c r="A441" t="s">
        <v>1297</v>
      </c>
      <c r="B441" s="2">
        <v>45195</v>
      </c>
      <c r="C441" t="s">
        <v>112</v>
      </c>
      <c r="D441" t="s">
        <v>822</v>
      </c>
      <c r="E441" t="s">
        <v>835</v>
      </c>
      <c r="F441">
        <v>3</v>
      </c>
      <c r="G441">
        <v>0</v>
      </c>
      <c r="H441" t="s">
        <v>858</v>
      </c>
      <c r="I441" t="str">
        <f>VLOOKUP(C441,Customers!A:C,2,FALSE)&amp;" "&amp;VLOOKUP(C441,Customers!A:C,3,FALSE)</f>
        <v>John Carr</v>
      </c>
      <c r="J441" t="str">
        <f>VLOOKUP(D441,Products!A:C,2,FALSE)</f>
        <v>Nor Bags</v>
      </c>
      <c r="K441" t="str">
        <f>VLOOKUP(D441,Products!A:C,3,FALSE)</f>
        <v>Fashion</v>
      </c>
      <c r="L441" t="str">
        <f>VLOOKUP(E441,Stores!A:B,2,FALSE)</f>
        <v>MegaMart Peckmouth</v>
      </c>
      <c r="M441">
        <f>VLOOKUP(D441,Products!A:E,5,FALSE)</f>
        <v>1216.3599999999999</v>
      </c>
      <c r="N441" s="5">
        <f t="shared" si="6"/>
        <v>3649.08</v>
      </c>
    </row>
    <row r="442" spans="1:14" x14ac:dyDescent="0.3">
      <c r="A442" t="s">
        <v>1298</v>
      </c>
      <c r="B442" s="2">
        <v>45897</v>
      </c>
      <c r="C442" t="s">
        <v>324</v>
      </c>
      <c r="D442" t="s">
        <v>745</v>
      </c>
      <c r="E442" t="s">
        <v>846</v>
      </c>
      <c r="F442">
        <v>4</v>
      </c>
      <c r="G442">
        <v>0.1</v>
      </c>
      <c r="H442" t="s">
        <v>858</v>
      </c>
      <c r="I442" t="str">
        <f>VLOOKUP(C442,Customers!A:C,2,FALSE)&amp;" "&amp;VLOOKUP(C442,Customers!A:C,3,FALSE)</f>
        <v>Lawrence Hunter</v>
      </c>
      <c r="J442" t="str">
        <f>VLOOKUP(D442,Products!A:C,2,FALSE)</f>
        <v>Above Camera</v>
      </c>
      <c r="K442" t="str">
        <f>VLOOKUP(D442,Products!A:C,3,FALSE)</f>
        <v>Electronics</v>
      </c>
      <c r="L442" t="str">
        <f>VLOOKUP(E442,Stores!A:B,2,FALSE)</f>
        <v>MegaMart Johnmouth</v>
      </c>
      <c r="M442">
        <f>VLOOKUP(D442,Products!A:E,5,FALSE)</f>
        <v>1193.0899999999999</v>
      </c>
      <c r="N442" s="5">
        <f t="shared" si="6"/>
        <v>4295.1239999999998</v>
      </c>
    </row>
    <row r="443" spans="1:14" x14ac:dyDescent="0.3">
      <c r="A443" t="s">
        <v>1299</v>
      </c>
      <c r="B443" s="2">
        <v>45521</v>
      </c>
      <c r="C443" t="s">
        <v>324</v>
      </c>
      <c r="D443" t="s">
        <v>780</v>
      </c>
      <c r="E443" t="s">
        <v>842</v>
      </c>
      <c r="F443">
        <v>5</v>
      </c>
      <c r="G443">
        <v>0.05</v>
      </c>
      <c r="H443" t="s">
        <v>855</v>
      </c>
      <c r="I443" t="str">
        <f>VLOOKUP(C443,Customers!A:C,2,FALSE)&amp;" "&amp;VLOOKUP(C443,Customers!A:C,3,FALSE)</f>
        <v>Lawrence Hunter</v>
      </c>
      <c r="J443" t="str">
        <f>VLOOKUP(D443,Products!A:C,2,FALSE)</f>
        <v>Hospital Smartphone</v>
      </c>
      <c r="K443" t="str">
        <f>VLOOKUP(D443,Products!A:C,3,FALSE)</f>
        <v>Electronics</v>
      </c>
      <c r="L443" t="str">
        <f>VLOOKUP(E443,Stores!A:B,2,FALSE)</f>
        <v>MegaMart Brianahaven</v>
      </c>
      <c r="M443">
        <f>VLOOKUP(D443,Products!A:E,5,FALSE)</f>
        <v>1272.23</v>
      </c>
      <c r="N443" s="5">
        <f t="shared" si="6"/>
        <v>6043.0924999999997</v>
      </c>
    </row>
    <row r="444" spans="1:14" x14ac:dyDescent="0.3">
      <c r="A444" t="s">
        <v>1300</v>
      </c>
      <c r="B444" s="2">
        <v>45753</v>
      </c>
      <c r="C444" t="s">
        <v>313</v>
      </c>
      <c r="D444" t="s">
        <v>782</v>
      </c>
      <c r="E444" t="s">
        <v>846</v>
      </c>
      <c r="F444">
        <v>2</v>
      </c>
      <c r="G444">
        <v>0.15</v>
      </c>
      <c r="H444" t="s">
        <v>855</v>
      </c>
      <c r="I444" t="str">
        <f>VLOOKUP(C444,Customers!A:C,2,FALSE)&amp;" "&amp;VLOOKUP(C444,Customers!A:C,3,FALSE)</f>
        <v>Jeremy Robles</v>
      </c>
      <c r="J444" t="str">
        <f>VLOOKUP(D444,Products!A:C,2,FALSE)</f>
        <v>Deal Smartphone</v>
      </c>
      <c r="K444" t="str">
        <f>VLOOKUP(D444,Products!A:C,3,FALSE)</f>
        <v>Electronics</v>
      </c>
      <c r="L444" t="str">
        <f>VLOOKUP(E444,Stores!A:B,2,FALSE)</f>
        <v>MegaMart Johnmouth</v>
      </c>
      <c r="M444">
        <f>VLOOKUP(D444,Products!A:E,5,FALSE)</f>
        <v>673.78</v>
      </c>
      <c r="N444" s="5">
        <f t="shared" si="6"/>
        <v>1145.4259999999999</v>
      </c>
    </row>
    <row r="445" spans="1:14" x14ac:dyDescent="0.3">
      <c r="A445" t="s">
        <v>1301</v>
      </c>
      <c r="B445" s="2">
        <v>45383</v>
      </c>
      <c r="C445" t="s">
        <v>179</v>
      </c>
      <c r="D445" t="s">
        <v>759</v>
      </c>
      <c r="E445" t="s">
        <v>842</v>
      </c>
      <c r="F445">
        <v>3</v>
      </c>
      <c r="G445">
        <v>0.1</v>
      </c>
      <c r="H445" t="s">
        <v>858</v>
      </c>
      <c r="I445" t="str">
        <f>VLOOKUP(C445,Customers!A:C,2,FALSE)&amp;" "&amp;VLOOKUP(C445,Customers!A:C,3,FALSE)</f>
        <v>Dennis Poole</v>
      </c>
      <c r="J445" t="str">
        <f>VLOOKUP(D445,Products!A:C,2,FALSE)</f>
        <v>Democratic Smartphone</v>
      </c>
      <c r="K445" t="str">
        <f>VLOOKUP(D445,Products!A:C,3,FALSE)</f>
        <v>Electronics</v>
      </c>
      <c r="L445" t="str">
        <f>VLOOKUP(E445,Stores!A:B,2,FALSE)</f>
        <v>MegaMart Brianahaven</v>
      </c>
      <c r="M445">
        <f>VLOOKUP(D445,Products!A:E,5,FALSE)</f>
        <v>1079.8900000000001</v>
      </c>
      <c r="N445" s="5">
        <f t="shared" si="6"/>
        <v>2915.703</v>
      </c>
    </row>
    <row r="446" spans="1:14" x14ac:dyDescent="0.3">
      <c r="A446" t="s">
        <v>1302</v>
      </c>
      <c r="B446" s="2">
        <v>45674</v>
      </c>
      <c r="C446" t="s">
        <v>536</v>
      </c>
      <c r="D446" t="s">
        <v>715</v>
      </c>
      <c r="E446" t="s">
        <v>835</v>
      </c>
      <c r="F446">
        <v>3</v>
      </c>
      <c r="G446">
        <v>0.15</v>
      </c>
      <c r="H446" t="s">
        <v>855</v>
      </c>
      <c r="I446" t="str">
        <f>VLOOKUP(C446,Customers!A:C,2,FALSE)&amp;" "&amp;VLOOKUP(C446,Customers!A:C,3,FALSE)</f>
        <v>John Foster</v>
      </c>
      <c r="J446" t="str">
        <f>VLOOKUP(D446,Products!A:C,2,FALSE)</f>
        <v>Audience Television</v>
      </c>
      <c r="K446" t="str">
        <f>VLOOKUP(D446,Products!A:C,3,FALSE)</f>
        <v>Electronics</v>
      </c>
      <c r="L446" t="str">
        <f>VLOOKUP(E446,Stores!A:B,2,FALSE)</f>
        <v>MegaMart Peckmouth</v>
      </c>
      <c r="M446">
        <f>VLOOKUP(D446,Products!A:E,5,FALSE)</f>
        <v>818.76</v>
      </c>
      <c r="N446" s="5">
        <f t="shared" si="6"/>
        <v>2087.8379999999997</v>
      </c>
    </row>
    <row r="447" spans="1:14" x14ac:dyDescent="0.3">
      <c r="A447" t="s">
        <v>1303</v>
      </c>
      <c r="B447" s="2">
        <v>45577</v>
      </c>
      <c r="C447" t="s">
        <v>379</v>
      </c>
      <c r="D447" t="s">
        <v>755</v>
      </c>
      <c r="E447" t="s">
        <v>839</v>
      </c>
      <c r="F447">
        <v>1</v>
      </c>
      <c r="G447">
        <v>0.05</v>
      </c>
      <c r="H447" t="s">
        <v>861</v>
      </c>
      <c r="I447" t="str">
        <f>VLOOKUP(C447,Customers!A:C,2,FALSE)&amp;" "&amp;VLOOKUP(C447,Customers!A:C,3,FALSE)</f>
        <v>William Pope</v>
      </c>
      <c r="J447" t="str">
        <f>VLOOKUP(D447,Products!A:C,2,FALSE)</f>
        <v>House Accessories</v>
      </c>
      <c r="K447" t="str">
        <f>VLOOKUP(D447,Products!A:C,3,FALSE)</f>
        <v>Fashion</v>
      </c>
      <c r="L447" t="str">
        <f>VLOOKUP(E447,Stores!A:B,2,FALSE)</f>
        <v>MegaMart New Michele</v>
      </c>
      <c r="M447">
        <f>VLOOKUP(D447,Products!A:E,5,FALSE)</f>
        <v>1858.75</v>
      </c>
      <c r="N447" s="5">
        <f t="shared" si="6"/>
        <v>1765.8125</v>
      </c>
    </row>
    <row r="448" spans="1:14" x14ac:dyDescent="0.3">
      <c r="A448" t="s">
        <v>1304</v>
      </c>
      <c r="B448" s="2">
        <v>45779</v>
      </c>
      <c r="C448" t="s">
        <v>621</v>
      </c>
      <c r="D448" t="s">
        <v>753</v>
      </c>
      <c r="E448" t="s">
        <v>846</v>
      </c>
      <c r="F448">
        <v>1</v>
      </c>
      <c r="G448">
        <v>0.15</v>
      </c>
      <c r="H448" t="s">
        <v>861</v>
      </c>
      <c r="I448" t="str">
        <f>VLOOKUP(C448,Customers!A:C,2,FALSE)&amp;" "&amp;VLOOKUP(C448,Customers!A:C,3,FALSE)</f>
        <v>Stacey Thompson</v>
      </c>
      <c r="J448" t="str">
        <f>VLOOKUP(D448,Products!A:C,2,FALSE)</f>
        <v>Whether Bags</v>
      </c>
      <c r="K448" t="str">
        <f>VLOOKUP(D448,Products!A:C,3,FALSE)</f>
        <v>Fashion</v>
      </c>
      <c r="L448" t="str">
        <f>VLOOKUP(E448,Stores!A:B,2,FALSE)</f>
        <v>MegaMart Johnmouth</v>
      </c>
      <c r="M448">
        <f>VLOOKUP(D448,Products!A:E,5,FALSE)</f>
        <v>270.45</v>
      </c>
      <c r="N448" s="5">
        <f t="shared" si="6"/>
        <v>229.88249999999999</v>
      </c>
    </row>
    <row r="449" spans="1:14" x14ac:dyDescent="0.3">
      <c r="A449" t="s">
        <v>1305</v>
      </c>
      <c r="B449" s="2">
        <v>45382</v>
      </c>
      <c r="C449" t="s">
        <v>422</v>
      </c>
      <c r="D449" t="s">
        <v>814</v>
      </c>
      <c r="E449" t="s">
        <v>839</v>
      </c>
      <c r="F449">
        <v>1</v>
      </c>
      <c r="G449">
        <v>0.15</v>
      </c>
      <c r="H449" t="s">
        <v>858</v>
      </c>
      <c r="I449" t="str">
        <f>VLOOKUP(C449,Customers!A:C,2,FALSE)&amp;" "&amp;VLOOKUP(C449,Customers!A:C,3,FALSE)</f>
        <v>Heidi Wilson</v>
      </c>
      <c r="J449" t="str">
        <f>VLOOKUP(D449,Products!A:C,2,FALSE)</f>
        <v>Least Accessories</v>
      </c>
      <c r="K449" t="str">
        <f>VLOOKUP(D449,Products!A:C,3,FALSE)</f>
        <v>Fashion</v>
      </c>
      <c r="L449" t="str">
        <f>VLOOKUP(E449,Stores!A:B,2,FALSE)</f>
        <v>MegaMart New Michele</v>
      </c>
      <c r="M449">
        <f>VLOOKUP(D449,Products!A:E,5,FALSE)</f>
        <v>1286.55</v>
      </c>
      <c r="N449" s="5">
        <f t="shared" si="6"/>
        <v>1093.5674999999999</v>
      </c>
    </row>
    <row r="450" spans="1:14" x14ac:dyDescent="0.3">
      <c r="A450" t="s">
        <v>1306</v>
      </c>
      <c r="B450" s="2">
        <v>45659</v>
      </c>
      <c r="C450" t="s">
        <v>141</v>
      </c>
      <c r="D450" t="s">
        <v>802</v>
      </c>
      <c r="E450" t="s">
        <v>839</v>
      </c>
      <c r="F450">
        <v>2</v>
      </c>
      <c r="G450">
        <v>0.1</v>
      </c>
      <c r="H450" t="s">
        <v>861</v>
      </c>
      <c r="I450" t="str">
        <f>VLOOKUP(C450,Customers!A:C,2,FALSE)&amp;" "&amp;VLOOKUP(C450,Customers!A:C,3,FALSE)</f>
        <v>Michael Cervantes</v>
      </c>
      <c r="J450" t="str">
        <f>VLOOKUP(D450,Products!A:C,2,FALSE)</f>
        <v>Stage Footwear</v>
      </c>
      <c r="K450" t="str">
        <f>VLOOKUP(D450,Products!A:C,3,FALSE)</f>
        <v>Fashion</v>
      </c>
      <c r="L450" t="str">
        <f>VLOOKUP(E450,Stores!A:B,2,FALSE)</f>
        <v>MegaMart New Michele</v>
      </c>
      <c r="M450">
        <f>VLOOKUP(D450,Products!A:E,5,FALSE)</f>
        <v>366.93</v>
      </c>
      <c r="N450" s="5">
        <f t="shared" si="6"/>
        <v>660.47400000000005</v>
      </c>
    </row>
    <row r="451" spans="1:14" x14ac:dyDescent="0.3">
      <c r="A451" t="s">
        <v>1307</v>
      </c>
      <c r="B451" s="2">
        <v>45806</v>
      </c>
      <c r="C451" t="s">
        <v>650</v>
      </c>
      <c r="D451" t="s">
        <v>757</v>
      </c>
      <c r="E451" t="s">
        <v>842</v>
      </c>
      <c r="F451">
        <v>4</v>
      </c>
      <c r="G451">
        <v>0</v>
      </c>
      <c r="H451" t="s">
        <v>858</v>
      </c>
      <c r="I451" t="str">
        <f>VLOOKUP(C451,Customers!A:C,2,FALSE)&amp;" "&amp;VLOOKUP(C451,Customers!A:C,3,FALSE)</f>
        <v>Daniel Mcintyre</v>
      </c>
      <c r="J451" t="str">
        <f>VLOOKUP(D451,Products!A:C,2,FALSE)</f>
        <v>Find Headphones</v>
      </c>
      <c r="K451" t="str">
        <f>VLOOKUP(D451,Products!A:C,3,FALSE)</f>
        <v>Electronics</v>
      </c>
      <c r="L451" t="str">
        <f>VLOOKUP(E451,Stores!A:B,2,FALSE)</f>
        <v>MegaMart Brianahaven</v>
      </c>
      <c r="M451">
        <f>VLOOKUP(D451,Products!A:E,5,FALSE)</f>
        <v>1246.1099999999999</v>
      </c>
      <c r="N451" s="5">
        <f t="shared" ref="N451:N514" si="7">F451*M451*(1-G451)</f>
        <v>4984.4399999999996</v>
      </c>
    </row>
    <row r="452" spans="1:14" x14ac:dyDescent="0.3">
      <c r="A452" t="s">
        <v>1308</v>
      </c>
      <c r="B452" s="2">
        <v>45589</v>
      </c>
      <c r="C452" t="s">
        <v>554</v>
      </c>
      <c r="D452" t="s">
        <v>808</v>
      </c>
      <c r="E452" t="s">
        <v>842</v>
      </c>
      <c r="F452">
        <v>5</v>
      </c>
      <c r="G452">
        <v>0.15</v>
      </c>
      <c r="H452" t="s">
        <v>858</v>
      </c>
      <c r="I452" t="str">
        <f>VLOOKUP(C452,Customers!A:C,2,FALSE)&amp;" "&amp;VLOOKUP(C452,Customers!A:C,3,FALSE)</f>
        <v>Lisa Martinez</v>
      </c>
      <c r="J452" t="str">
        <f>VLOOKUP(D452,Products!A:C,2,FALSE)</f>
        <v>Present Television</v>
      </c>
      <c r="K452" t="str">
        <f>VLOOKUP(D452,Products!A:C,3,FALSE)</f>
        <v>Electronics</v>
      </c>
      <c r="L452" t="str">
        <f>VLOOKUP(E452,Stores!A:B,2,FALSE)</f>
        <v>MegaMart Brianahaven</v>
      </c>
      <c r="M452">
        <f>VLOOKUP(D452,Products!A:E,5,FALSE)</f>
        <v>1635.01</v>
      </c>
      <c r="N452" s="5">
        <f t="shared" si="7"/>
        <v>6948.7924999999996</v>
      </c>
    </row>
    <row r="453" spans="1:14" x14ac:dyDescent="0.3">
      <c r="A453" t="s">
        <v>1309</v>
      </c>
      <c r="B453" s="2">
        <v>45747</v>
      </c>
      <c r="C453" t="s">
        <v>509</v>
      </c>
      <c r="D453" t="s">
        <v>792</v>
      </c>
      <c r="E453" t="s">
        <v>831</v>
      </c>
      <c r="F453">
        <v>3</v>
      </c>
      <c r="G453">
        <v>0</v>
      </c>
      <c r="H453" t="s">
        <v>865</v>
      </c>
      <c r="I453" t="str">
        <f>VLOOKUP(C453,Customers!A:C,2,FALSE)&amp;" "&amp;VLOOKUP(C453,Customers!A:C,3,FALSE)</f>
        <v>Stacy Williams</v>
      </c>
      <c r="J453" t="str">
        <f>VLOOKUP(D453,Products!A:C,2,FALSE)</f>
        <v>Beat Accessories</v>
      </c>
      <c r="K453" t="str">
        <f>VLOOKUP(D453,Products!A:C,3,FALSE)</f>
        <v>Fashion</v>
      </c>
      <c r="L453" t="str">
        <f>VLOOKUP(E453,Stores!A:B,2,FALSE)</f>
        <v>MegaMart Jimenezborough</v>
      </c>
      <c r="M453">
        <f>VLOOKUP(D453,Products!A:E,5,FALSE)</f>
        <v>1798.97</v>
      </c>
      <c r="N453" s="5">
        <f t="shared" si="7"/>
        <v>5396.91</v>
      </c>
    </row>
    <row r="454" spans="1:14" x14ac:dyDescent="0.3">
      <c r="A454" t="s">
        <v>1310</v>
      </c>
      <c r="B454" s="2">
        <v>45292</v>
      </c>
      <c r="C454" t="s">
        <v>693</v>
      </c>
      <c r="D454" t="s">
        <v>739</v>
      </c>
      <c r="E454" t="s">
        <v>835</v>
      </c>
      <c r="F454">
        <v>3</v>
      </c>
      <c r="G454">
        <v>0.05</v>
      </c>
      <c r="H454" t="s">
        <v>865</v>
      </c>
      <c r="I454" t="str">
        <f>VLOOKUP(C454,Customers!A:C,2,FALSE)&amp;" "&amp;VLOOKUP(C454,Customers!A:C,3,FALSE)</f>
        <v>Matthew Dixon</v>
      </c>
      <c r="J454" t="str">
        <f>VLOOKUP(D454,Products!A:C,2,FALSE)</f>
        <v>Step Smartphone</v>
      </c>
      <c r="K454" t="str">
        <f>VLOOKUP(D454,Products!A:C,3,FALSE)</f>
        <v>Electronics</v>
      </c>
      <c r="L454" t="str">
        <f>VLOOKUP(E454,Stores!A:B,2,FALSE)</f>
        <v>MegaMart Peckmouth</v>
      </c>
      <c r="M454">
        <f>VLOOKUP(D454,Products!A:E,5,FALSE)</f>
        <v>1194.1199999999999</v>
      </c>
      <c r="N454" s="5">
        <f t="shared" si="7"/>
        <v>3403.2419999999997</v>
      </c>
    </row>
    <row r="455" spans="1:14" x14ac:dyDescent="0.3">
      <c r="A455" t="s">
        <v>1311</v>
      </c>
      <c r="B455" s="2">
        <v>45839</v>
      </c>
      <c r="C455" t="s">
        <v>527</v>
      </c>
      <c r="D455" t="s">
        <v>798</v>
      </c>
      <c r="E455" t="s">
        <v>842</v>
      </c>
      <c r="F455">
        <v>3</v>
      </c>
      <c r="G455">
        <v>0.15</v>
      </c>
      <c r="H455" t="s">
        <v>865</v>
      </c>
      <c r="I455" t="str">
        <f>VLOOKUP(C455,Customers!A:C,2,FALSE)&amp;" "&amp;VLOOKUP(C455,Customers!A:C,3,FALSE)</f>
        <v>Paige Osborne</v>
      </c>
      <c r="J455" t="str">
        <f>VLOOKUP(D455,Products!A:C,2,FALSE)</f>
        <v>New Watches</v>
      </c>
      <c r="K455" t="str">
        <f>VLOOKUP(D455,Products!A:C,3,FALSE)</f>
        <v>Fashion</v>
      </c>
      <c r="L455" t="str">
        <f>VLOOKUP(E455,Stores!A:B,2,FALSE)</f>
        <v>MegaMart Brianahaven</v>
      </c>
      <c r="M455">
        <f>VLOOKUP(D455,Products!A:E,5,FALSE)</f>
        <v>1501.46</v>
      </c>
      <c r="N455" s="5">
        <f t="shared" si="7"/>
        <v>3828.723</v>
      </c>
    </row>
    <row r="456" spans="1:14" x14ac:dyDescent="0.3">
      <c r="A456" t="s">
        <v>1312</v>
      </c>
      <c r="B456" s="2">
        <v>45853</v>
      </c>
      <c r="C456" t="s">
        <v>15</v>
      </c>
      <c r="D456" t="s">
        <v>786</v>
      </c>
      <c r="E456" t="s">
        <v>831</v>
      </c>
      <c r="F456">
        <v>3</v>
      </c>
      <c r="G456">
        <v>0.05</v>
      </c>
      <c r="H456" t="s">
        <v>861</v>
      </c>
      <c r="I456" t="str">
        <f>VLOOKUP(C456,Customers!A:C,2,FALSE)&amp;" "&amp;VLOOKUP(C456,Customers!A:C,3,FALSE)</f>
        <v>Carol Hays</v>
      </c>
      <c r="J456" t="str">
        <f>VLOOKUP(D456,Products!A:C,2,FALSE)</f>
        <v>National Watches</v>
      </c>
      <c r="K456" t="str">
        <f>VLOOKUP(D456,Products!A:C,3,FALSE)</f>
        <v>Fashion</v>
      </c>
      <c r="L456" t="str">
        <f>VLOOKUP(E456,Stores!A:B,2,FALSE)</f>
        <v>MegaMart Jimenezborough</v>
      </c>
      <c r="M456">
        <f>VLOOKUP(D456,Products!A:E,5,FALSE)</f>
        <v>29.24</v>
      </c>
      <c r="N456" s="5">
        <f t="shared" si="7"/>
        <v>83.333999999999989</v>
      </c>
    </row>
    <row r="457" spans="1:14" x14ac:dyDescent="0.3">
      <c r="A457" t="s">
        <v>1313</v>
      </c>
      <c r="B457" s="2">
        <v>45674</v>
      </c>
      <c r="C457" t="s">
        <v>429</v>
      </c>
      <c r="D457" t="s">
        <v>812</v>
      </c>
      <c r="E457" t="s">
        <v>839</v>
      </c>
      <c r="F457">
        <v>4</v>
      </c>
      <c r="G457">
        <v>0.15</v>
      </c>
      <c r="H457" t="s">
        <v>861</v>
      </c>
      <c r="I457" t="str">
        <f>VLOOKUP(C457,Customers!A:C,2,FALSE)&amp;" "&amp;VLOOKUP(C457,Customers!A:C,3,FALSE)</f>
        <v>Jose Smith</v>
      </c>
      <c r="J457" t="str">
        <f>VLOOKUP(D457,Products!A:C,2,FALSE)</f>
        <v>Soon Accessories</v>
      </c>
      <c r="K457" t="str">
        <f>VLOOKUP(D457,Products!A:C,3,FALSE)</f>
        <v>Fashion</v>
      </c>
      <c r="L457" t="str">
        <f>VLOOKUP(E457,Stores!A:B,2,FALSE)</f>
        <v>MegaMart New Michele</v>
      </c>
      <c r="M457">
        <f>VLOOKUP(D457,Products!A:E,5,FALSE)</f>
        <v>564.41999999999996</v>
      </c>
      <c r="N457" s="5">
        <f t="shared" si="7"/>
        <v>1919.0279999999998</v>
      </c>
    </row>
    <row r="458" spans="1:14" x14ac:dyDescent="0.3">
      <c r="A458" t="s">
        <v>1314</v>
      </c>
      <c r="B458" s="2">
        <v>45774</v>
      </c>
      <c r="C458" t="s">
        <v>335</v>
      </c>
      <c r="D458" t="s">
        <v>816</v>
      </c>
      <c r="E458" t="s">
        <v>831</v>
      </c>
      <c r="F458">
        <v>4</v>
      </c>
      <c r="G458">
        <v>0</v>
      </c>
      <c r="H458" t="s">
        <v>855</v>
      </c>
      <c r="I458" t="str">
        <f>VLOOKUP(C458,Customers!A:C,2,FALSE)&amp;" "&amp;VLOOKUP(C458,Customers!A:C,3,FALSE)</f>
        <v>William Warner</v>
      </c>
      <c r="J458" t="str">
        <f>VLOOKUP(D458,Products!A:C,2,FALSE)</f>
        <v>Set Dairy</v>
      </c>
      <c r="K458" t="str">
        <f>VLOOKUP(D458,Products!A:C,3,FALSE)</f>
        <v>Groceries</v>
      </c>
      <c r="L458" t="str">
        <f>VLOOKUP(E458,Stores!A:B,2,FALSE)</f>
        <v>MegaMart Jimenezborough</v>
      </c>
      <c r="M458">
        <f>VLOOKUP(D458,Products!A:E,5,FALSE)</f>
        <v>1879.08</v>
      </c>
      <c r="N458" s="5">
        <f t="shared" si="7"/>
        <v>7516.32</v>
      </c>
    </row>
    <row r="459" spans="1:14" x14ac:dyDescent="0.3">
      <c r="A459" t="s">
        <v>1315</v>
      </c>
      <c r="B459" s="2">
        <v>45842</v>
      </c>
      <c r="C459" t="s">
        <v>399</v>
      </c>
      <c r="D459" t="s">
        <v>796</v>
      </c>
      <c r="E459" t="s">
        <v>831</v>
      </c>
      <c r="F459">
        <v>1</v>
      </c>
      <c r="G459">
        <v>0.05</v>
      </c>
      <c r="H459" t="s">
        <v>855</v>
      </c>
      <c r="I459" t="str">
        <f>VLOOKUP(C459,Customers!A:C,2,FALSE)&amp;" "&amp;VLOOKUP(C459,Customers!A:C,3,FALSE)</f>
        <v>Victoria Hansen</v>
      </c>
      <c r="J459" t="str">
        <f>VLOOKUP(D459,Products!A:C,2,FALSE)</f>
        <v>Chair Laptop</v>
      </c>
      <c r="K459" t="str">
        <f>VLOOKUP(D459,Products!A:C,3,FALSE)</f>
        <v>Electronics</v>
      </c>
      <c r="L459" t="str">
        <f>VLOOKUP(E459,Stores!A:B,2,FALSE)</f>
        <v>MegaMart Jimenezborough</v>
      </c>
      <c r="M459">
        <f>VLOOKUP(D459,Products!A:E,5,FALSE)</f>
        <v>1562.43</v>
      </c>
      <c r="N459" s="5">
        <f t="shared" si="7"/>
        <v>1484.3085000000001</v>
      </c>
    </row>
    <row r="460" spans="1:14" x14ac:dyDescent="0.3">
      <c r="A460" t="s">
        <v>1316</v>
      </c>
      <c r="B460" s="2">
        <v>45237</v>
      </c>
      <c r="C460" t="s">
        <v>302</v>
      </c>
      <c r="D460" t="s">
        <v>753</v>
      </c>
      <c r="E460" t="s">
        <v>839</v>
      </c>
      <c r="F460">
        <v>4</v>
      </c>
      <c r="G460">
        <v>0.05</v>
      </c>
      <c r="H460" t="s">
        <v>858</v>
      </c>
      <c r="I460" t="str">
        <f>VLOOKUP(C460,Customers!A:C,2,FALSE)&amp;" "&amp;VLOOKUP(C460,Customers!A:C,3,FALSE)</f>
        <v>Grace Garcia</v>
      </c>
      <c r="J460" t="str">
        <f>VLOOKUP(D460,Products!A:C,2,FALSE)</f>
        <v>Whether Bags</v>
      </c>
      <c r="K460" t="str">
        <f>VLOOKUP(D460,Products!A:C,3,FALSE)</f>
        <v>Fashion</v>
      </c>
      <c r="L460" t="str">
        <f>VLOOKUP(E460,Stores!A:B,2,FALSE)</f>
        <v>MegaMart New Michele</v>
      </c>
      <c r="M460">
        <f>VLOOKUP(D460,Products!A:E,5,FALSE)</f>
        <v>270.45</v>
      </c>
      <c r="N460" s="5">
        <f t="shared" si="7"/>
        <v>1027.7099999999998</v>
      </c>
    </row>
    <row r="461" spans="1:14" x14ac:dyDescent="0.3">
      <c r="A461" t="s">
        <v>1317</v>
      </c>
      <c r="B461" s="2">
        <v>45726</v>
      </c>
      <c r="C461" t="s">
        <v>339</v>
      </c>
      <c r="D461" t="s">
        <v>782</v>
      </c>
      <c r="E461" t="s">
        <v>842</v>
      </c>
      <c r="F461">
        <v>1</v>
      </c>
      <c r="G461">
        <v>0.15</v>
      </c>
      <c r="H461" t="s">
        <v>858</v>
      </c>
      <c r="I461" t="str">
        <f>VLOOKUP(C461,Customers!A:C,2,FALSE)&amp;" "&amp;VLOOKUP(C461,Customers!A:C,3,FALSE)</f>
        <v>Carrie Peterson</v>
      </c>
      <c r="J461" t="str">
        <f>VLOOKUP(D461,Products!A:C,2,FALSE)</f>
        <v>Deal Smartphone</v>
      </c>
      <c r="K461" t="str">
        <f>VLOOKUP(D461,Products!A:C,3,FALSE)</f>
        <v>Electronics</v>
      </c>
      <c r="L461" t="str">
        <f>VLOOKUP(E461,Stores!A:B,2,FALSE)</f>
        <v>MegaMart Brianahaven</v>
      </c>
      <c r="M461">
        <f>VLOOKUP(D461,Products!A:E,5,FALSE)</f>
        <v>673.78</v>
      </c>
      <c r="N461" s="5">
        <f t="shared" si="7"/>
        <v>572.71299999999997</v>
      </c>
    </row>
    <row r="462" spans="1:14" x14ac:dyDescent="0.3">
      <c r="A462" t="s">
        <v>1318</v>
      </c>
      <c r="B462" s="2">
        <v>45672</v>
      </c>
      <c r="C462" t="s">
        <v>310</v>
      </c>
      <c r="D462" t="s">
        <v>745</v>
      </c>
      <c r="E462" t="s">
        <v>831</v>
      </c>
      <c r="F462">
        <v>3</v>
      </c>
      <c r="G462">
        <v>0</v>
      </c>
      <c r="H462" t="s">
        <v>865</v>
      </c>
      <c r="I462" t="str">
        <f>VLOOKUP(C462,Customers!A:C,2,FALSE)&amp;" "&amp;VLOOKUP(C462,Customers!A:C,3,FALSE)</f>
        <v>Amy Haley</v>
      </c>
      <c r="J462" t="str">
        <f>VLOOKUP(D462,Products!A:C,2,FALSE)</f>
        <v>Above Camera</v>
      </c>
      <c r="K462" t="str">
        <f>VLOOKUP(D462,Products!A:C,3,FALSE)</f>
        <v>Electronics</v>
      </c>
      <c r="L462" t="str">
        <f>VLOOKUP(E462,Stores!A:B,2,FALSE)</f>
        <v>MegaMart Jimenezborough</v>
      </c>
      <c r="M462">
        <f>VLOOKUP(D462,Products!A:E,5,FALSE)</f>
        <v>1193.0899999999999</v>
      </c>
      <c r="N462" s="5">
        <f t="shared" si="7"/>
        <v>3579.2699999999995</v>
      </c>
    </row>
    <row r="463" spans="1:14" x14ac:dyDescent="0.3">
      <c r="A463" t="s">
        <v>1319</v>
      </c>
      <c r="B463" s="2">
        <v>45266</v>
      </c>
      <c r="C463" t="s">
        <v>28</v>
      </c>
      <c r="D463" t="s">
        <v>812</v>
      </c>
      <c r="E463" t="s">
        <v>839</v>
      </c>
      <c r="F463">
        <v>1</v>
      </c>
      <c r="G463">
        <v>0.05</v>
      </c>
      <c r="H463" t="s">
        <v>861</v>
      </c>
      <c r="I463" t="str">
        <f>VLOOKUP(C463,Customers!A:C,2,FALSE)&amp;" "&amp;VLOOKUP(C463,Customers!A:C,3,FALSE)</f>
        <v>Danny Moore</v>
      </c>
      <c r="J463" t="str">
        <f>VLOOKUP(D463,Products!A:C,2,FALSE)</f>
        <v>Soon Accessories</v>
      </c>
      <c r="K463" t="str">
        <f>VLOOKUP(D463,Products!A:C,3,FALSE)</f>
        <v>Fashion</v>
      </c>
      <c r="L463" t="str">
        <f>VLOOKUP(E463,Stores!A:B,2,FALSE)</f>
        <v>MegaMart New Michele</v>
      </c>
      <c r="M463">
        <f>VLOOKUP(D463,Products!A:E,5,FALSE)</f>
        <v>564.41999999999996</v>
      </c>
      <c r="N463" s="5">
        <f t="shared" si="7"/>
        <v>536.19899999999996</v>
      </c>
    </row>
    <row r="464" spans="1:14" x14ac:dyDescent="0.3">
      <c r="A464" t="s">
        <v>1320</v>
      </c>
      <c r="B464" s="2">
        <v>45605</v>
      </c>
      <c r="C464" t="s">
        <v>487</v>
      </c>
      <c r="D464" t="s">
        <v>802</v>
      </c>
      <c r="E464" t="s">
        <v>835</v>
      </c>
      <c r="F464">
        <v>5</v>
      </c>
      <c r="G464">
        <v>0.05</v>
      </c>
      <c r="H464" t="s">
        <v>855</v>
      </c>
      <c r="I464" t="str">
        <f>VLOOKUP(C464,Customers!A:C,2,FALSE)&amp;" "&amp;VLOOKUP(C464,Customers!A:C,3,FALSE)</f>
        <v>Yvette Roth</v>
      </c>
      <c r="J464" t="str">
        <f>VLOOKUP(D464,Products!A:C,2,FALSE)</f>
        <v>Stage Footwear</v>
      </c>
      <c r="K464" t="str">
        <f>VLOOKUP(D464,Products!A:C,3,FALSE)</f>
        <v>Fashion</v>
      </c>
      <c r="L464" t="str">
        <f>VLOOKUP(E464,Stores!A:B,2,FALSE)</f>
        <v>MegaMart Peckmouth</v>
      </c>
      <c r="M464">
        <f>VLOOKUP(D464,Products!A:E,5,FALSE)</f>
        <v>366.93</v>
      </c>
      <c r="N464" s="5">
        <f t="shared" si="7"/>
        <v>1742.9175</v>
      </c>
    </row>
    <row r="465" spans="1:14" x14ac:dyDescent="0.3">
      <c r="A465" t="s">
        <v>1321</v>
      </c>
      <c r="B465" s="2">
        <v>45447</v>
      </c>
      <c r="C465" t="s">
        <v>524</v>
      </c>
      <c r="D465" t="s">
        <v>745</v>
      </c>
      <c r="E465" t="s">
        <v>842</v>
      </c>
      <c r="F465">
        <v>4</v>
      </c>
      <c r="G465">
        <v>0.05</v>
      </c>
      <c r="H465" t="s">
        <v>858</v>
      </c>
      <c r="I465" t="str">
        <f>VLOOKUP(C465,Customers!A:C,2,FALSE)&amp;" "&amp;VLOOKUP(C465,Customers!A:C,3,FALSE)</f>
        <v>Betty Johnson</v>
      </c>
      <c r="J465" t="str">
        <f>VLOOKUP(D465,Products!A:C,2,FALSE)</f>
        <v>Above Camera</v>
      </c>
      <c r="K465" t="str">
        <f>VLOOKUP(D465,Products!A:C,3,FALSE)</f>
        <v>Electronics</v>
      </c>
      <c r="L465" t="str">
        <f>VLOOKUP(E465,Stores!A:B,2,FALSE)</f>
        <v>MegaMart Brianahaven</v>
      </c>
      <c r="M465">
        <f>VLOOKUP(D465,Products!A:E,5,FALSE)</f>
        <v>1193.0899999999999</v>
      </c>
      <c r="N465" s="5">
        <f t="shared" si="7"/>
        <v>4533.7419999999993</v>
      </c>
    </row>
    <row r="466" spans="1:14" x14ac:dyDescent="0.3">
      <c r="A466" t="s">
        <v>1322</v>
      </c>
      <c r="B466" s="2">
        <v>45516</v>
      </c>
      <c r="C466" t="s">
        <v>579</v>
      </c>
      <c r="D466" t="s">
        <v>824</v>
      </c>
      <c r="E466" t="s">
        <v>835</v>
      </c>
      <c r="F466">
        <v>2</v>
      </c>
      <c r="G466">
        <v>0.15</v>
      </c>
      <c r="H466" t="s">
        <v>858</v>
      </c>
      <c r="I466" t="str">
        <f>VLOOKUP(C466,Customers!A:C,2,FALSE)&amp;" "&amp;VLOOKUP(C466,Customers!A:C,3,FALSE)</f>
        <v>Jill Roach</v>
      </c>
      <c r="J466" t="str">
        <f>VLOOKUP(D466,Products!A:C,2,FALSE)</f>
        <v>Possible Watches</v>
      </c>
      <c r="K466" t="str">
        <f>VLOOKUP(D466,Products!A:C,3,FALSE)</f>
        <v>Fashion</v>
      </c>
      <c r="L466" t="str">
        <f>VLOOKUP(E466,Stores!A:B,2,FALSE)</f>
        <v>MegaMart Peckmouth</v>
      </c>
      <c r="M466">
        <f>VLOOKUP(D466,Products!A:E,5,FALSE)</f>
        <v>388.26</v>
      </c>
      <c r="N466" s="5">
        <f t="shared" si="7"/>
        <v>660.04199999999992</v>
      </c>
    </row>
    <row r="467" spans="1:14" x14ac:dyDescent="0.3">
      <c r="A467" t="s">
        <v>1323</v>
      </c>
      <c r="B467" s="2">
        <v>45568</v>
      </c>
      <c r="C467" t="s">
        <v>36</v>
      </c>
      <c r="D467" t="s">
        <v>732</v>
      </c>
      <c r="E467" t="s">
        <v>846</v>
      </c>
      <c r="F467">
        <v>2</v>
      </c>
      <c r="G467">
        <v>0.15</v>
      </c>
      <c r="H467" t="s">
        <v>858</v>
      </c>
      <c r="I467" t="str">
        <f>VLOOKUP(C467,Customers!A:C,2,FALSE)&amp;" "&amp;VLOOKUP(C467,Customers!A:C,3,FALSE)</f>
        <v>Isaiah Williams</v>
      </c>
      <c r="J467" t="str">
        <f>VLOOKUP(D467,Products!A:C,2,FALSE)</f>
        <v>Understand Camera</v>
      </c>
      <c r="K467" t="str">
        <f>VLOOKUP(D467,Products!A:C,3,FALSE)</f>
        <v>Electronics</v>
      </c>
      <c r="L467" t="str">
        <f>VLOOKUP(E467,Stores!A:B,2,FALSE)</f>
        <v>MegaMart Johnmouth</v>
      </c>
      <c r="M467">
        <f>VLOOKUP(D467,Products!A:E,5,FALSE)</f>
        <v>1474.12</v>
      </c>
      <c r="N467" s="5">
        <f t="shared" si="7"/>
        <v>2506.0039999999999</v>
      </c>
    </row>
    <row r="468" spans="1:14" x14ac:dyDescent="0.3">
      <c r="A468" t="s">
        <v>1324</v>
      </c>
      <c r="B468" s="2">
        <v>45481</v>
      </c>
      <c r="C468" t="s">
        <v>375</v>
      </c>
      <c r="D468" t="s">
        <v>742</v>
      </c>
      <c r="E468" t="s">
        <v>831</v>
      </c>
      <c r="F468">
        <v>2</v>
      </c>
      <c r="G468">
        <v>0.05</v>
      </c>
      <c r="H468" t="s">
        <v>855</v>
      </c>
      <c r="I468" t="str">
        <f>VLOOKUP(C468,Customers!A:C,2,FALSE)&amp;" "&amp;VLOOKUP(C468,Customers!A:C,3,FALSE)</f>
        <v>Sean Hart</v>
      </c>
      <c r="J468" t="str">
        <f>VLOOKUP(D468,Products!A:C,2,FALSE)</f>
        <v>Either Headphones</v>
      </c>
      <c r="K468" t="str">
        <f>VLOOKUP(D468,Products!A:C,3,FALSE)</f>
        <v>Electronics</v>
      </c>
      <c r="L468" t="str">
        <f>VLOOKUP(E468,Stores!A:B,2,FALSE)</f>
        <v>MegaMart Jimenezborough</v>
      </c>
      <c r="M468">
        <f>VLOOKUP(D468,Products!A:E,5,FALSE)</f>
        <v>248.57</v>
      </c>
      <c r="N468" s="5">
        <f t="shared" si="7"/>
        <v>472.28299999999996</v>
      </c>
    </row>
    <row r="469" spans="1:14" x14ac:dyDescent="0.3">
      <c r="A469" t="s">
        <v>1325</v>
      </c>
      <c r="B469" s="2">
        <v>45454</v>
      </c>
      <c r="C469" t="s">
        <v>680</v>
      </c>
      <c r="D469" t="s">
        <v>782</v>
      </c>
      <c r="E469" t="s">
        <v>831</v>
      </c>
      <c r="F469">
        <v>5</v>
      </c>
      <c r="G469">
        <v>0</v>
      </c>
      <c r="H469" t="s">
        <v>861</v>
      </c>
      <c r="I469" t="str">
        <f>VLOOKUP(C469,Customers!A:C,2,FALSE)&amp;" "&amp;VLOOKUP(C469,Customers!A:C,3,FALSE)</f>
        <v>Donald Meza</v>
      </c>
      <c r="J469" t="str">
        <f>VLOOKUP(D469,Products!A:C,2,FALSE)</f>
        <v>Deal Smartphone</v>
      </c>
      <c r="K469" t="str">
        <f>VLOOKUP(D469,Products!A:C,3,FALSE)</f>
        <v>Electronics</v>
      </c>
      <c r="L469" t="str">
        <f>VLOOKUP(E469,Stores!A:B,2,FALSE)</f>
        <v>MegaMart Jimenezborough</v>
      </c>
      <c r="M469">
        <f>VLOOKUP(D469,Products!A:E,5,FALSE)</f>
        <v>673.78</v>
      </c>
      <c r="N469" s="5">
        <f t="shared" si="7"/>
        <v>3368.8999999999996</v>
      </c>
    </row>
    <row r="470" spans="1:14" x14ac:dyDescent="0.3">
      <c r="A470" t="s">
        <v>1326</v>
      </c>
      <c r="B470" s="2">
        <v>45595</v>
      </c>
      <c r="C470" t="s">
        <v>355</v>
      </c>
      <c r="D470" t="s">
        <v>786</v>
      </c>
      <c r="E470" t="s">
        <v>839</v>
      </c>
      <c r="F470">
        <v>2</v>
      </c>
      <c r="G470">
        <v>0.15</v>
      </c>
      <c r="H470" t="s">
        <v>865</v>
      </c>
      <c r="I470" t="str">
        <f>VLOOKUP(C470,Customers!A:C,2,FALSE)&amp;" "&amp;VLOOKUP(C470,Customers!A:C,3,FALSE)</f>
        <v>Kimberly Stokes</v>
      </c>
      <c r="J470" t="str">
        <f>VLOOKUP(D470,Products!A:C,2,FALSE)</f>
        <v>National Watches</v>
      </c>
      <c r="K470" t="str">
        <f>VLOOKUP(D470,Products!A:C,3,FALSE)</f>
        <v>Fashion</v>
      </c>
      <c r="L470" t="str">
        <f>VLOOKUP(E470,Stores!A:B,2,FALSE)</f>
        <v>MegaMart New Michele</v>
      </c>
      <c r="M470">
        <f>VLOOKUP(D470,Products!A:E,5,FALSE)</f>
        <v>29.24</v>
      </c>
      <c r="N470" s="5">
        <f t="shared" si="7"/>
        <v>49.707999999999998</v>
      </c>
    </row>
    <row r="471" spans="1:14" x14ac:dyDescent="0.3">
      <c r="A471" t="s">
        <v>1327</v>
      </c>
      <c r="B471" s="2">
        <v>45812</v>
      </c>
      <c r="C471" t="s">
        <v>258</v>
      </c>
      <c r="D471" t="s">
        <v>822</v>
      </c>
      <c r="E471" t="s">
        <v>842</v>
      </c>
      <c r="F471">
        <v>5</v>
      </c>
      <c r="G471">
        <v>0.1</v>
      </c>
      <c r="H471" t="s">
        <v>858</v>
      </c>
      <c r="I471" t="str">
        <f>VLOOKUP(C471,Customers!A:C,2,FALSE)&amp;" "&amp;VLOOKUP(C471,Customers!A:C,3,FALSE)</f>
        <v>Alexandra Montoya</v>
      </c>
      <c r="J471" t="str">
        <f>VLOOKUP(D471,Products!A:C,2,FALSE)</f>
        <v>Nor Bags</v>
      </c>
      <c r="K471" t="str">
        <f>VLOOKUP(D471,Products!A:C,3,FALSE)</f>
        <v>Fashion</v>
      </c>
      <c r="L471" t="str">
        <f>VLOOKUP(E471,Stores!A:B,2,FALSE)</f>
        <v>MegaMart Brianahaven</v>
      </c>
      <c r="M471">
        <f>VLOOKUP(D471,Products!A:E,5,FALSE)</f>
        <v>1216.3599999999999</v>
      </c>
      <c r="N471" s="5">
        <f t="shared" si="7"/>
        <v>5473.62</v>
      </c>
    </row>
    <row r="472" spans="1:14" x14ac:dyDescent="0.3">
      <c r="A472" t="s">
        <v>1328</v>
      </c>
      <c r="B472" s="2">
        <v>45234</v>
      </c>
      <c r="C472" t="s">
        <v>563</v>
      </c>
      <c r="D472" t="s">
        <v>824</v>
      </c>
      <c r="E472" t="s">
        <v>842</v>
      </c>
      <c r="F472">
        <v>5</v>
      </c>
      <c r="G472">
        <v>0</v>
      </c>
      <c r="H472" t="s">
        <v>855</v>
      </c>
      <c r="I472" t="str">
        <f>VLOOKUP(C472,Customers!A:C,2,FALSE)&amp;" "&amp;VLOOKUP(C472,Customers!A:C,3,FALSE)</f>
        <v>Connie Terry</v>
      </c>
      <c r="J472" t="str">
        <f>VLOOKUP(D472,Products!A:C,2,FALSE)</f>
        <v>Possible Watches</v>
      </c>
      <c r="K472" t="str">
        <f>VLOOKUP(D472,Products!A:C,3,FALSE)</f>
        <v>Fashion</v>
      </c>
      <c r="L472" t="str">
        <f>VLOOKUP(E472,Stores!A:B,2,FALSE)</f>
        <v>MegaMart Brianahaven</v>
      </c>
      <c r="M472">
        <f>VLOOKUP(D472,Products!A:E,5,FALSE)</f>
        <v>388.26</v>
      </c>
      <c r="N472" s="5">
        <f t="shared" si="7"/>
        <v>1941.3</v>
      </c>
    </row>
    <row r="473" spans="1:14" x14ac:dyDescent="0.3">
      <c r="A473" t="s">
        <v>1329</v>
      </c>
      <c r="B473" s="2">
        <v>45635</v>
      </c>
      <c r="C473" t="s">
        <v>343</v>
      </c>
      <c r="D473" t="s">
        <v>761</v>
      </c>
      <c r="E473" t="s">
        <v>842</v>
      </c>
      <c r="F473">
        <v>5</v>
      </c>
      <c r="G473">
        <v>0.05</v>
      </c>
      <c r="H473" t="s">
        <v>855</v>
      </c>
      <c r="I473" t="str">
        <f>VLOOKUP(C473,Customers!A:C,2,FALSE)&amp;" "&amp;VLOOKUP(C473,Customers!A:C,3,FALSE)</f>
        <v>Brian Fowler</v>
      </c>
      <c r="J473" t="str">
        <f>VLOOKUP(D473,Products!A:C,2,FALSE)</f>
        <v>Traditional Laptop</v>
      </c>
      <c r="K473" t="str">
        <f>VLOOKUP(D473,Products!A:C,3,FALSE)</f>
        <v>Electronics</v>
      </c>
      <c r="L473" t="str">
        <f>VLOOKUP(E473,Stores!A:B,2,FALSE)</f>
        <v>MegaMart Brianahaven</v>
      </c>
      <c r="M473">
        <f>VLOOKUP(D473,Products!A:E,5,FALSE)</f>
        <v>1762.92</v>
      </c>
      <c r="N473" s="5">
        <f t="shared" si="7"/>
        <v>8373.8700000000008</v>
      </c>
    </row>
    <row r="474" spans="1:14" x14ac:dyDescent="0.3">
      <c r="A474" t="s">
        <v>1330</v>
      </c>
      <c r="B474" s="2">
        <v>45561</v>
      </c>
      <c r="C474" t="s">
        <v>567</v>
      </c>
      <c r="D474" t="s">
        <v>747</v>
      </c>
      <c r="E474" t="s">
        <v>846</v>
      </c>
      <c r="F474">
        <v>1</v>
      </c>
      <c r="G474">
        <v>0.05</v>
      </c>
      <c r="H474" t="s">
        <v>855</v>
      </c>
      <c r="I474" t="str">
        <f>VLOOKUP(C474,Customers!A:C,2,FALSE)&amp;" "&amp;VLOOKUP(C474,Customers!A:C,3,FALSE)</f>
        <v>Crystal Aguirre</v>
      </c>
      <c r="J474" t="str">
        <f>VLOOKUP(D474,Products!A:C,2,FALSE)</f>
        <v>World Watches</v>
      </c>
      <c r="K474" t="str">
        <f>VLOOKUP(D474,Products!A:C,3,FALSE)</f>
        <v>Fashion</v>
      </c>
      <c r="L474" t="str">
        <f>VLOOKUP(E474,Stores!A:B,2,FALSE)</f>
        <v>MegaMart Johnmouth</v>
      </c>
      <c r="M474">
        <f>VLOOKUP(D474,Products!A:E,5,FALSE)</f>
        <v>1134.8</v>
      </c>
      <c r="N474" s="5">
        <f t="shared" si="7"/>
        <v>1078.06</v>
      </c>
    </row>
    <row r="475" spans="1:14" x14ac:dyDescent="0.3">
      <c r="A475" t="s">
        <v>1331</v>
      </c>
      <c r="B475" s="2">
        <v>45297</v>
      </c>
      <c r="C475" t="s">
        <v>123</v>
      </c>
      <c r="D475" t="s">
        <v>778</v>
      </c>
      <c r="E475" t="s">
        <v>835</v>
      </c>
      <c r="F475">
        <v>3</v>
      </c>
      <c r="G475">
        <v>0</v>
      </c>
      <c r="H475" t="s">
        <v>861</v>
      </c>
      <c r="I475" t="str">
        <f>VLOOKUP(C475,Customers!A:C,2,FALSE)&amp;" "&amp;VLOOKUP(C475,Customers!A:C,3,FALSE)</f>
        <v>Ashley Gibson</v>
      </c>
      <c r="J475" t="str">
        <f>VLOOKUP(D475,Products!A:C,2,FALSE)</f>
        <v>Behavior Dairy</v>
      </c>
      <c r="K475" t="str">
        <f>VLOOKUP(D475,Products!A:C,3,FALSE)</f>
        <v>Groceries</v>
      </c>
      <c r="L475" t="str">
        <f>VLOOKUP(E475,Stores!A:B,2,FALSE)</f>
        <v>MegaMart Peckmouth</v>
      </c>
      <c r="M475">
        <f>VLOOKUP(D475,Products!A:E,5,FALSE)</f>
        <v>1015.76</v>
      </c>
      <c r="N475" s="5">
        <f t="shared" si="7"/>
        <v>3047.2799999999997</v>
      </c>
    </row>
    <row r="476" spans="1:14" x14ac:dyDescent="0.3">
      <c r="A476" t="s">
        <v>1332</v>
      </c>
      <c r="B476" s="2">
        <v>45729</v>
      </c>
      <c r="C476" t="s">
        <v>362</v>
      </c>
      <c r="D476" t="s">
        <v>718</v>
      </c>
      <c r="E476" t="s">
        <v>835</v>
      </c>
      <c r="F476">
        <v>5</v>
      </c>
      <c r="G476">
        <v>0.15</v>
      </c>
      <c r="H476" t="s">
        <v>858</v>
      </c>
      <c r="I476" t="str">
        <f>VLOOKUP(C476,Customers!A:C,2,FALSE)&amp;" "&amp;VLOOKUP(C476,Customers!A:C,3,FALSE)</f>
        <v>Eric King</v>
      </c>
      <c r="J476" t="str">
        <f>VLOOKUP(D476,Products!A:C,2,FALSE)</f>
        <v>Here Footwear</v>
      </c>
      <c r="K476" t="str">
        <f>VLOOKUP(D476,Products!A:C,3,FALSE)</f>
        <v>Fashion</v>
      </c>
      <c r="L476" t="str">
        <f>VLOOKUP(E476,Stores!A:B,2,FALSE)</f>
        <v>MegaMart Peckmouth</v>
      </c>
      <c r="M476">
        <f>VLOOKUP(D476,Products!A:E,5,FALSE)</f>
        <v>337.63</v>
      </c>
      <c r="N476" s="5">
        <f t="shared" si="7"/>
        <v>1434.9275</v>
      </c>
    </row>
    <row r="477" spans="1:14" x14ac:dyDescent="0.3">
      <c r="A477" t="s">
        <v>1333</v>
      </c>
      <c r="B477" s="2">
        <v>45441</v>
      </c>
      <c r="C477" t="s">
        <v>551</v>
      </c>
      <c r="D477" t="s">
        <v>755</v>
      </c>
      <c r="E477" t="s">
        <v>835</v>
      </c>
      <c r="F477">
        <v>5</v>
      </c>
      <c r="G477">
        <v>0.15</v>
      </c>
      <c r="H477" t="s">
        <v>858</v>
      </c>
      <c r="I477" t="str">
        <f>VLOOKUP(C477,Customers!A:C,2,FALSE)&amp;" "&amp;VLOOKUP(C477,Customers!A:C,3,FALSE)</f>
        <v>Nancy Gordon</v>
      </c>
      <c r="J477" t="str">
        <f>VLOOKUP(D477,Products!A:C,2,FALSE)</f>
        <v>House Accessories</v>
      </c>
      <c r="K477" t="str">
        <f>VLOOKUP(D477,Products!A:C,3,FALSE)</f>
        <v>Fashion</v>
      </c>
      <c r="L477" t="str">
        <f>VLOOKUP(E477,Stores!A:B,2,FALSE)</f>
        <v>MegaMart Peckmouth</v>
      </c>
      <c r="M477">
        <f>VLOOKUP(D477,Products!A:E,5,FALSE)</f>
        <v>1858.75</v>
      </c>
      <c r="N477" s="5">
        <f t="shared" si="7"/>
        <v>7899.6875</v>
      </c>
    </row>
    <row r="478" spans="1:14" x14ac:dyDescent="0.3">
      <c r="A478" t="s">
        <v>1334</v>
      </c>
      <c r="B478" s="2">
        <v>45743</v>
      </c>
      <c r="C478" t="s">
        <v>187</v>
      </c>
      <c r="D478" t="s">
        <v>784</v>
      </c>
      <c r="E478" t="s">
        <v>842</v>
      </c>
      <c r="F478">
        <v>5</v>
      </c>
      <c r="G478">
        <v>0.05</v>
      </c>
      <c r="H478" t="s">
        <v>861</v>
      </c>
      <c r="I478" t="str">
        <f>VLOOKUP(C478,Customers!A:C,2,FALSE)&amp;" "&amp;VLOOKUP(C478,Customers!A:C,3,FALSE)</f>
        <v>Alexis Crane</v>
      </c>
      <c r="J478" t="str">
        <f>VLOOKUP(D478,Products!A:C,2,FALSE)</f>
        <v>Road Clothing</v>
      </c>
      <c r="K478" t="str">
        <f>VLOOKUP(D478,Products!A:C,3,FALSE)</f>
        <v>Fashion</v>
      </c>
      <c r="L478" t="str">
        <f>VLOOKUP(E478,Stores!A:B,2,FALSE)</f>
        <v>MegaMart Brianahaven</v>
      </c>
      <c r="M478">
        <f>VLOOKUP(D478,Products!A:E,5,FALSE)</f>
        <v>1485.05</v>
      </c>
      <c r="N478" s="5">
        <f t="shared" si="7"/>
        <v>7053.9874999999993</v>
      </c>
    </row>
    <row r="479" spans="1:14" x14ac:dyDescent="0.3">
      <c r="A479" t="s">
        <v>1335</v>
      </c>
      <c r="B479" s="2">
        <v>45466</v>
      </c>
      <c r="C479" t="s">
        <v>464</v>
      </c>
      <c r="D479" t="s">
        <v>747</v>
      </c>
      <c r="E479" t="s">
        <v>839</v>
      </c>
      <c r="F479">
        <v>2</v>
      </c>
      <c r="G479">
        <v>0.05</v>
      </c>
      <c r="H479" t="s">
        <v>855</v>
      </c>
      <c r="I479" t="str">
        <f>VLOOKUP(C479,Customers!A:C,2,FALSE)&amp;" "&amp;VLOOKUP(C479,Customers!A:C,3,FALSE)</f>
        <v>Monique Johnson</v>
      </c>
      <c r="J479" t="str">
        <f>VLOOKUP(D479,Products!A:C,2,FALSE)</f>
        <v>World Watches</v>
      </c>
      <c r="K479" t="str">
        <f>VLOOKUP(D479,Products!A:C,3,FALSE)</f>
        <v>Fashion</v>
      </c>
      <c r="L479" t="str">
        <f>VLOOKUP(E479,Stores!A:B,2,FALSE)</f>
        <v>MegaMart New Michele</v>
      </c>
      <c r="M479">
        <f>VLOOKUP(D479,Products!A:E,5,FALSE)</f>
        <v>1134.8</v>
      </c>
      <c r="N479" s="5">
        <f t="shared" si="7"/>
        <v>2156.12</v>
      </c>
    </row>
    <row r="480" spans="1:14" x14ac:dyDescent="0.3">
      <c r="A480" t="s">
        <v>1336</v>
      </c>
      <c r="B480" s="2">
        <v>45605</v>
      </c>
      <c r="C480" t="s">
        <v>432</v>
      </c>
      <c r="D480" t="s">
        <v>776</v>
      </c>
      <c r="E480" t="s">
        <v>846</v>
      </c>
      <c r="F480">
        <v>1</v>
      </c>
      <c r="G480">
        <v>0.1</v>
      </c>
      <c r="H480" t="s">
        <v>865</v>
      </c>
      <c r="I480" t="str">
        <f>VLOOKUP(C480,Customers!A:C,2,FALSE)&amp;" "&amp;VLOOKUP(C480,Customers!A:C,3,FALSE)</f>
        <v>Jamie Webb</v>
      </c>
      <c r="J480" t="str">
        <f>VLOOKUP(D480,Products!A:C,2,FALSE)</f>
        <v>Little Watches</v>
      </c>
      <c r="K480" t="str">
        <f>VLOOKUP(D480,Products!A:C,3,FALSE)</f>
        <v>Fashion</v>
      </c>
      <c r="L480" t="str">
        <f>VLOOKUP(E480,Stores!A:B,2,FALSE)</f>
        <v>MegaMart Johnmouth</v>
      </c>
      <c r="M480">
        <f>VLOOKUP(D480,Products!A:E,5,FALSE)</f>
        <v>429.15</v>
      </c>
      <c r="N480" s="5">
        <f t="shared" si="7"/>
        <v>386.23500000000001</v>
      </c>
    </row>
    <row r="481" spans="1:14" x14ac:dyDescent="0.3">
      <c r="A481" t="s">
        <v>1337</v>
      </c>
      <c r="B481" s="2">
        <v>45634</v>
      </c>
      <c r="C481" t="s">
        <v>462</v>
      </c>
      <c r="D481" t="s">
        <v>722</v>
      </c>
      <c r="E481" t="s">
        <v>835</v>
      </c>
      <c r="F481">
        <v>2</v>
      </c>
      <c r="G481">
        <v>0.15</v>
      </c>
      <c r="H481" t="s">
        <v>858</v>
      </c>
      <c r="I481" t="str">
        <f>VLOOKUP(C481,Customers!A:C,2,FALSE)&amp;" "&amp;VLOOKUP(C481,Customers!A:C,3,FALSE)</f>
        <v>Kimberly Parker</v>
      </c>
      <c r="J481" t="str">
        <f>VLOOKUP(D481,Products!A:C,2,FALSE)</f>
        <v>Four Accessories</v>
      </c>
      <c r="K481" t="str">
        <f>VLOOKUP(D481,Products!A:C,3,FALSE)</f>
        <v>Fashion</v>
      </c>
      <c r="L481" t="str">
        <f>VLOOKUP(E481,Stores!A:B,2,FALSE)</f>
        <v>MegaMart Peckmouth</v>
      </c>
      <c r="M481">
        <f>VLOOKUP(D481,Products!A:E,5,FALSE)</f>
        <v>1853.77</v>
      </c>
      <c r="N481" s="5">
        <f t="shared" si="7"/>
        <v>3151.4090000000001</v>
      </c>
    </row>
    <row r="482" spans="1:14" x14ac:dyDescent="0.3">
      <c r="A482" t="s">
        <v>1338</v>
      </c>
      <c r="B482" s="2">
        <v>45652</v>
      </c>
      <c r="C482" t="s">
        <v>393</v>
      </c>
      <c r="D482" t="s">
        <v>790</v>
      </c>
      <c r="E482" t="s">
        <v>842</v>
      </c>
      <c r="F482">
        <v>4</v>
      </c>
      <c r="G482">
        <v>0.15</v>
      </c>
      <c r="H482" t="s">
        <v>858</v>
      </c>
      <c r="I482" t="str">
        <f>VLOOKUP(C482,Customers!A:C,2,FALSE)&amp;" "&amp;VLOOKUP(C482,Customers!A:C,3,FALSE)</f>
        <v>Kenneth Berg</v>
      </c>
      <c r="J482" t="str">
        <f>VLOOKUP(D482,Products!A:C,2,FALSE)</f>
        <v>Difficult Vegetables</v>
      </c>
      <c r="K482" t="str">
        <f>VLOOKUP(D482,Products!A:C,3,FALSE)</f>
        <v>Groceries</v>
      </c>
      <c r="L482" t="str">
        <f>VLOOKUP(E482,Stores!A:B,2,FALSE)</f>
        <v>MegaMart Brianahaven</v>
      </c>
      <c r="M482">
        <f>VLOOKUP(D482,Products!A:E,5,FALSE)</f>
        <v>304.70999999999998</v>
      </c>
      <c r="N482" s="5">
        <f t="shared" si="7"/>
        <v>1036.0139999999999</v>
      </c>
    </row>
    <row r="483" spans="1:14" x14ac:dyDescent="0.3">
      <c r="A483" t="s">
        <v>1339</v>
      </c>
      <c r="B483" s="2">
        <v>45478</v>
      </c>
      <c r="C483" t="s">
        <v>167</v>
      </c>
      <c r="D483" t="s">
        <v>728</v>
      </c>
      <c r="E483" t="s">
        <v>831</v>
      </c>
      <c r="F483">
        <v>5</v>
      </c>
      <c r="G483">
        <v>0</v>
      </c>
      <c r="H483" t="s">
        <v>861</v>
      </c>
      <c r="I483" t="str">
        <f>VLOOKUP(C483,Customers!A:C,2,FALSE)&amp;" "&amp;VLOOKUP(C483,Customers!A:C,3,FALSE)</f>
        <v>Kenneth Allen</v>
      </c>
      <c r="J483" t="str">
        <f>VLOOKUP(D483,Products!A:C,2,FALSE)</f>
        <v>Company Fruits</v>
      </c>
      <c r="K483" t="str">
        <f>VLOOKUP(D483,Products!A:C,3,FALSE)</f>
        <v>Groceries</v>
      </c>
      <c r="L483" t="str">
        <f>VLOOKUP(E483,Stores!A:B,2,FALSE)</f>
        <v>MegaMart Jimenezborough</v>
      </c>
      <c r="M483">
        <f>VLOOKUP(D483,Products!A:E,5,FALSE)</f>
        <v>318.05</v>
      </c>
      <c r="N483" s="5">
        <f t="shared" si="7"/>
        <v>1590.25</v>
      </c>
    </row>
    <row r="484" spans="1:14" x14ac:dyDescent="0.3">
      <c r="A484" t="s">
        <v>1340</v>
      </c>
      <c r="B484" s="2">
        <v>45185</v>
      </c>
      <c r="C484" t="s">
        <v>284</v>
      </c>
      <c r="D484" t="s">
        <v>736</v>
      </c>
      <c r="E484" t="s">
        <v>831</v>
      </c>
      <c r="F484">
        <v>3</v>
      </c>
      <c r="G484">
        <v>0.05</v>
      </c>
      <c r="H484" t="s">
        <v>855</v>
      </c>
      <c r="I484" t="str">
        <f>VLOOKUP(C484,Customers!A:C,2,FALSE)&amp;" "&amp;VLOOKUP(C484,Customers!A:C,3,FALSE)</f>
        <v>Seth Moore</v>
      </c>
      <c r="J484" t="str">
        <f>VLOOKUP(D484,Products!A:C,2,FALSE)</f>
        <v>Us Snacks</v>
      </c>
      <c r="K484" t="str">
        <f>VLOOKUP(D484,Products!A:C,3,FALSE)</f>
        <v>Groceries</v>
      </c>
      <c r="L484" t="str">
        <f>VLOOKUP(E484,Stores!A:B,2,FALSE)</f>
        <v>MegaMart Jimenezborough</v>
      </c>
      <c r="M484">
        <f>VLOOKUP(D484,Products!A:E,5,FALSE)</f>
        <v>123.19</v>
      </c>
      <c r="N484" s="5">
        <f t="shared" si="7"/>
        <v>351.0915</v>
      </c>
    </row>
    <row r="485" spans="1:14" x14ac:dyDescent="0.3">
      <c r="A485" t="s">
        <v>1341</v>
      </c>
      <c r="B485" s="2">
        <v>45899</v>
      </c>
      <c r="C485" t="s">
        <v>171</v>
      </c>
      <c r="D485" t="s">
        <v>784</v>
      </c>
      <c r="E485" t="s">
        <v>842</v>
      </c>
      <c r="F485">
        <v>5</v>
      </c>
      <c r="G485">
        <v>0.15</v>
      </c>
      <c r="H485" t="s">
        <v>865</v>
      </c>
      <c r="I485" t="str">
        <f>VLOOKUP(C485,Customers!A:C,2,FALSE)&amp;" "&amp;VLOOKUP(C485,Customers!A:C,3,FALSE)</f>
        <v>Parker Sparks</v>
      </c>
      <c r="J485" t="str">
        <f>VLOOKUP(D485,Products!A:C,2,FALSE)</f>
        <v>Road Clothing</v>
      </c>
      <c r="K485" t="str">
        <f>VLOOKUP(D485,Products!A:C,3,FALSE)</f>
        <v>Fashion</v>
      </c>
      <c r="L485" t="str">
        <f>VLOOKUP(E485,Stores!A:B,2,FALSE)</f>
        <v>MegaMart Brianahaven</v>
      </c>
      <c r="M485">
        <f>VLOOKUP(D485,Products!A:E,5,FALSE)</f>
        <v>1485.05</v>
      </c>
      <c r="N485" s="5">
        <f t="shared" si="7"/>
        <v>6311.4624999999996</v>
      </c>
    </row>
    <row r="486" spans="1:14" x14ac:dyDescent="0.3">
      <c r="A486" t="s">
        <v>1342</v>
      </c>
      <c r="B486" s="2">
        <v>45882</v>
      </c>
      <c r="C486" t="s">
        <v>533</v>
      </c>
      <c r="D486" t="s">
        <v>782</v>
      </c>
      <c r="E486" t="s">
        <v>831</v>
      </c>
      <c r="F486">
        <v>3</v>
      </c>
      <c r="G486">
        <v>0.1</v>
      </c>
      <c r="H486" t="s">
        <v>865</v>
      </c>
      <c r="I486" t="str">
        <f>VLOOKUP(C486,Customers!A:C,2,FALSE)&amp;" "&amp;VLOOKUP(C486,Customers!A:C,3,FALSE)</f>
        <v>Crystal Garrison</v>
      </c>
      <c r="J486" t="str">
        <f>VLOOKUP(D486,Products!A:C,2,FALSE)</f>
        <v>Deal Smartphone</v>
      </c>
      <c r="K486" t="str">
        <f>VLOOKUP(D486,Products!A:C,3,FALSE)</f>
        <v>Electronics</v>
      </c>
      <c r="L486" t="str">
        <f>VLOOKUP(E486,Stores!A:B,2,FALSE)</f>
        <v>MegaMart Jimenezborough</v>
      </c>
      <c r="M486">
        <f>VLOOKUP(D486,Products!A:E,5,FALSE)</f>
        <v>673.78</v>
      </c>
      <c r="N486" s="5">
        <f t="shared" si="7"/>
        <v>1819.2059999999999</v>
      </c>
    </row>
    <row r="487" spans="1:14" x14ac:dyDescent="0.3">
      <c r="A487" t="s">
        <v>1343</v>
      </c>
      <c r="B487" s="2">
        <v>45593</v>
      </c>
      <c r="C487" t="s">
        <v>687</v>
      </c>
      <c r="D487" t="s">
        <v>780</v>
      </c>
      <c r="E487" t="s">
        <v>842</v>
      </c>
      <c r="F487">
        <v>5</v>
      </c>
      <c r="G487">
        <v>0.05</v>
      </c>
      <c r="H487" t="s">
        <v>858</v>
      </c>
      <c r="I487" t="str">
        <f>VLOOKUP(C487,Customers!A:C,2,FALSE)&amp;" "&amp;VLOOKUP(C487,Customers!A:C,3,FALSE)</f>
        <v>James Mitchell</v>
      </c>
      <c r="J487" t="str">
        <f>VLOOKUP(D487,Products!A:C,2,FALSE)</f>
        <v>Hospital Smartphone</v>
      </c>
      <c r="K487" t="str">
        <f>VLOOKUP(D487,Products!A:C,3,FALSE)</f>
        <v>Electronics</v>
      </c>
      <c r="L487" t="str">
        <f>VLOOKUP(E487,Stores!A:B,2,FALSE)</f>
        <v>MegaMart Brianahaven</v>
      </c>
      <c r="M487">
        <f>VLOOKUP(D487,Products!A:E,5,FALSE)</f>
        <v>1272.23</v>
      </c>
      <c r="N487" s="5">
        <f t="shared" si="7"/>
        <v>6043.0924999999997</v>
      </c>
    </row>
    <row r="488" spans="1:14" x14ac:dyDescent="0.3">
      <c r="A488" t="s">
        <v>1344</v>
      </c>
      <c r="B488" s="2">
        <v>45395</v>
      </c>
      <c r="C488" t="s">
        <v>109</v>
      </c>
      <c r="D488" t="s">
        <v>747</v>
      </c>
      <c r="E488" t="s">
        <v>835</v>
      </c>
      <c r="F488">
        <v>3</v>
      </c>
      <c r="G488">
        <v>0</v>
      </c>
      <c r="H488" t="s">
        <v>858</v>
      </c>
      <c r="I488" t="str">
        <f>VLOOKUP(C488,Customers!A:C,2,FALSE)&amp;" "&amp;VLOOKUP(C488,Customers!A:C,3,FALSE)</f>
        <v>Jacqueline Martin</v>
      </c>
      <c r="J488" t="str">
        <f>VLOOKUP(D488,Products!A:C,2,FALSE)</f>
        <v>World Watches</v>
      </c>
      <c r="K488" t="str">
        <f>VLOOKUP(D488,Products!A:C,3,FALSE)</f>
        <v>Fashion</v>
      </c>
      <c r="L488" t="str">
        <f>VLOOKUP(E488,Stores!A:B,2,FALSE)</f>
        <v>MegaMart Peckmouth</v>
      </c>
      <c r="M488">
        <f>VLOOKUP(D488,Products!A:E,5,FALSE)</f>
        <v>1134.8</v>
      </c>
      <c r="N488" s="5">
        <f t="shared" si="7"/>
        <v>3404.3999999999996</v>
      </c>
    </row>
    <row r="489" spans="1:14" x14ac:dyDescent="0.3">
      <c r="A489" t="s">
        <v>1345</v>
      </c>
      <c r="B489" s="2">
        <v>45405</v>
      </c>
      <c r="C489" t="s">
        <v>258</v>
      </c>
      <c r="D489" t="s">
        <v>745</v>
      </c>
      <c r="E489" t="s">
        <v>839</v>
      </c>
      <c r="F489">
        <v>1</v>
      </c>
      <c r="G489">
        <v>0.15</v>
      </c>
      <c r="H489" t="s">
        <v>865</v>
      </c>
      <c r="I489" t="str">
        <f>VLOOKUP(C489,Customers!A:C,2,FALSE)&amp;" "&amp;VLOOKUP(C489,Customers!A:C,3,FALSE)</f>
        <v>Alexandra Montoya</v>
      </c>
      <c r="J489" t="str">
        <f>VLOOKUP(D489,Products!A:C,2,FALSE)</f>
        <v>Above Camera</v>
      </c>
      <c r="K489" t="str">
        <f>VLOOKUP(D489,Products!A:C,3,FALSE)</f>
        <v>Electronics</v>
      </c>
      <c r="L489" t="str">
        <f>VLOOKUP(E489,Stores!A:B,2,FALSE)</f>
        <v>MegaMart New Michele</v>
      </c>
      <c r="M489">
        <f>VLOOKUP(D489,Products!A:E,5,FALSE)</f>
        <v>1193.0899999999999</v>
      </c>
      <c r="N489" s="5">
        <f t="shared" si="7"/>
        <v>1014.1264999999999</v>
      </c>
    </row>
    <row r="490" spans="1:14" x14ac:dyDescent="0.3">
      <c r="A490" t="s">
        <v>1346</v>
      </c>
      <c r="B490" s="2">
        <v>45735</v>
      </c>
      <c r="C490" t="s">
        <v>700</v>
      </c>
      <c r="D490" t="s">
        <v>736</v>
      </c>
      <c r="E490" t="s">
        <v>835</v>
      </c>
      <c r="F490">
        <v>2</v>
      </c>
      <c r="G490">
        <v>0.1</v>
      </c>
      <c r="H490" t="s">
        <v>858</v>
      </c>
      <c r="I490" t="str">
        <f>VLOOKUP(C490,Customers!A:C,2,FALSE)&amp;" "&amp;VLOOKUP(C490,Customers!A:C,3,FALSE)</f>
        <v>Juan Johnson</v>
      </c>
      <c r="J490" t="str">
        <f>VLOOKUP(D490,Products!A:C,2,FALSE)</f>
        <v>Us Snacks</v>
      </c>
      <c r="K490" t="str">
        <f>VLOOKUP(D490,Products!A:C,3,FALSE)</f>
        <v>Groceries</v>
      </c>
      <c r="L490" t="str">
        <f>VLOOKUP(E490,Stores!A:B,2,FALSE)</f>
        <v>MegaMart Peckmouth</v>
      </c>
      <c r="M490">
        <f>VLOOKUP(D490,Products!A:E,5,FALSE)</f>
        <v>123.19</v>
      </c>
      <c r="N490" s="5">
        <f t="shared" si="7"/>
        <v>221.74199999999999</v>
      </c>
    </row>
    <row r="491" spans="1:14" x14ac:dyDescent="0.3">
      <c r="A491" t="s">
        <v>1347</v>
      </c>
      <c r="B491" s="2">
        <v>45806</v>
      </c>
      <c r="C491" t="s">
        <v>167</v>
      </c>
      <c r="D491" t="s">
        <v>812</v>
      </c>
      <c r="E491" t="s">
        <v>846</v>
      </c>
      <c r="F491">
        <v>2</v>
      </c>
      <c r="G491">
        <v>0.05</v>
      </c>
      <c r="H491" t="s">
        <v>861</v>
      </c>
      <c r="I491" t="str">
        <f>VLOOKUP(C491,Customers!A:C,2,FALSE)&amp;" "&amp;VLOOKUP(C491,Customers!A:C,3,FALSE)</f>
        <v>Kenneth Allen</v>
      </c>
      <c r="J491" t="str">
        <f>VLOOKUP(D491,Products!A:C,2,FALSE)</f>
        <v>Soon Accessories</v>
      </c>
      <c r="K491" t="str">
        <f>VLOOKUP(D491,Products!A:C,3,FALSE)</f>
        <v>Fashion</v>
      </c>
      <c r="L491" t="str">
        <f>VLOOKUP(E491,Stores!A:B,2,FALSE)</f>
        <v>MegaMart Johnmouth</v>
      </c>
      <c r="M491">
        <f>VLOOKUP(D491,Products!A:E,5,FALSE)</f>
        <v>564.41999999999996</v>
      </c>
      <c r="N491" s="5">
        <f t="shared" si="7"/>
        <v>1072.3979999999999</v>
      </c>
    </row>
    <row r="492" spans="1:14" x14ac:dyDescent="0.3">
      <c r="A492" t="s">
        <v>1348</v>
      </c>
      <c r="B492" s="2">
        <v>45578</v>
      </c>
      <c r="C492" t="s">
        <v>67</v>
      </c>
      <c r="D492" t="s">
        <v>782</v>
      </c>
      <c r="E492" t="s">
        <v>846</v>
      </c>
      <c r="F492">
        <v>3</v>
      </c>
      <c r="G492">
        <v>0.1</v>
      </c>
      <c r="H492" t="s">
        <v>861</v>
      </c>
      <c r="I492" t="str">
        <f>VLOOKUP(C492,Customers!A:C,2,FALSE)&amp;" "&amp;VLOOKUP(C492,Customers!A:C,3,FALSE)</f>
        <v>Miguel Johnson</v>
      </c>
      <c r="J492" t="str">
        <f>VLOOKUP(D492,Products!A:C,2,FALSE)</f>
        <v>Deal Smartphone</v>
      </c>
      <c r="K492" t="str">
        <f>VLOOKUP(D492,Products!A:C,3,FALSE)</f>
        <v>Electronics</v>
      </c>
      <c r="L492" t="str">
        <f>VLOOKUP(E492,Stores!A:B,2,FALSE)</f>
        <v>MegaMart Johnmouth</v>
      </c>
      <c r="M492">
        <f>VLOOKUP(D492,Products!A:E,5,FALSE)</f>
        <v>673.78</v>
      </c>
      <c r="N492" s="5">
        <f t="shared" si="7"/>
        <v>1819.2059999999999</v>
      </c>
    </row>
    <row r="493" spans="1:14" x14ac:dyDescent="0.3">
      <c r="A493" t="s">
        <v>1349</v>
      </c>
      <c r="B493" s="2">
        <v>45776</v>
      </c>
      <c r="C493" t="s">
        <v>313</v>
      </c>
      <c r="D493" t="s">
        <v>722</v>
      </c>
      <c r="E493" t="s">
        <v>839</v>
      </c>
      <c r="F493">
        <v>3</v>
      </c>
      <c r="G493">
        <v>0.1</v>
      </c>
      <c r="H493" t="s">
        <v>865</v>
      </c>
      <c r="I493" t="str">
        <f>VLOOKUP(C493,Customers!A:C,2,FALSE)&amp;" "&amp;VLOOKUP(C493,Customers!A:C,3,FALSE)</f>
        <v>Jeremy Robles</v>
      </c>
      <c r="J493" t="str">
        <f>VLOOKUP(D493,Products!A:C,2,FALSE)</f>
        <v>Four Accessories</v>
      </c>
      <c r="K493" t="str">
        <f>VLOOKUP(D493,Products!A:C,3,FALSE)</f>
        <v>Fashion</v>
      </c>
      <c r="L493" t="str">
        <f>VLOOKUP(E493,Stores!A:B,2,FALSE)</f>
        <v>MegaMart New Michele</v>
      </c>
      <c r="M493">
        <f>VLOOKUP(D493,Products!A:E,5,FALSE)</f>
        <v>1853.77</v>
      </c>
      <c r="N493" s="5">
        <f t="shared" si="7"/>
        <v>5005.1790000000001</v>
      </c>
    </row>
    <row r="494" spans="1:14" x14ac:dyDescent="0.3">
      <c r="A494" t="s">
        <v>1350</v>
      </c>
      <c r="B494" s="2">
        <v>45725</v>
      </c>
      <c r="C494" t="s">
        <v>137</v>
      </c>
      <c r="D494" t="s">
        <v>822</v>
      </c>
      <c r="E494" t="s">
        <v>842</v>
      </c>
      <c r="F494">
        <v>1</v>
      </c>
      <c r="G494">
        <v>0.1</v>
      </c>
      <c r="H494" t="s">
        <v>861</v>
      </c>
      <c r="I494" t="str">
        <f>VLOOKUP(C494,Customers!A:C,2,FALSE)&amp;" "&amp;VLOOKUP(C494,Customers!A:C,3,FALSE)</f>
        <v>Kimberly King</v>
      </c>
      <c r="J494" t="str">
        <f>VLOOKUP(D494,Products!A:C,2,FALSE)</f>
        <v>Nor Bags</v>
      </c>
      <c r="K494" t="str">
        <f>VLOOKUP(D494,Products!A:C,3,FALSE)</f>
        <v>Fashion</v>
      </c>
      <c r="L494" t="str">
        <f>VLOOKUP(E494,Stores!A:B,2,FALSE)</f>
        <v>MegaMart Brianahaven</v>
      </c>
      <c r="M494">
        <f>VLOOKUP(D494,Products!A:E,5,FALSE)</f>
        <v>1216.3599999999999</v>
      </c>
      <c r="N494" s="5">
        <f t="shared" si="7"/>
        <v>1094.7239999999999</v>
      </c>
    </row>
    <row r="495" spans="1:14" x14ac:dyDescent="0.3">
      <c r="A495" t="s">
        <v>1351</v>
      </c>
      <c r="B495" s="2">
        <v>45297</v>
      </c>
      <c r="C495" t="s">
        <v>636</v>
      </c>
      <c r="D495" t="s">
        <v>794</v>
      </c>
      <c r="E495" t="s">
        <v>835</v>
      </c>
      <c r="F495">
        <v>2</v>
      </c>
      <c r="G495">
        <v>0.05</v>
      </c>
      <c r="H495" t="s">
        <v>855</v>
      </c>
      <c r="I495" t="str">
        <f>VLOOKUP(C495,Customers!A:C,2,FALSE)&amp;" "&amp;VLOOKUP(C495,Customers!A:C,3,FALSE)</f>
        <v>Nichole Calhoun</v>
      </c>
      <c r="J495" t="str">
        <f>VLOOKUP(D495,Products!A:C,2,FALSE)</f>
        <v>Everything Laptop</v>
      </c>
      <c r="K495" t="str">
        <f>VLOOKUP(D495,Products!A:C,3,FALSE)</f>
        <v>Electronics</v>
      </c>
      <c r="L495" t="str">
        <f>VLOOKUP(E495,Stores!A:B,2,FALSE)</f>
        <v>MegaMart Peckmouth</v>
      </c>
      <c r="M495">
        <f>VLOOKUP(D495,Products!A:E,5,FALSE)</f>
        <v>428.05</v>
      </c>
      <c r="N495" s="5">
        <f t="shared" si="7"/>
        <v>813.29499999999996</v>
      </c>
    </row>
    <row r="496" spans="1:14" x14ac:dyDescent="0.3">
      <c r="A496" t="s">
        <v>1352</v>
      </c>
      <c r="B496" s="2">
        <v>45491</v>
      </c>
      <c r="C496" t="s">
        <v>243</v>
      </c>
      <c r="D496" t="s">
        <v>761</v>
      </c>
      <c r="E496" t="s">
        <v>842</v>
      </c>
      <c r="F496">
        <v>4</v>
      </c>
      <c r="G496">
        <v>0.05</v>
      </c>
      <c r="H496" t="s">
        <v>855</v>
      </c>
      <c r="I496" t="str">
        <f>VLOOKUP(C496,Customers!A:C,2,FALSE)&amp;" "&amp;VLOOKUP(C496,Customers!A:C,3,FALSE)</f>
        <v>Amanda Hoover</v>
      </c>
      <c r="J496" t="str">
        <f>VLOOKUP(D496,Products!A:C,2,FALSE)</f>
        <v>Traditional Laptop</v>
      </c>
      <c r="K496" t="str">
        <f>VLOOKUP(D496,Products!A:C,3,FALSE)</f>
        <v>Electronics</v>
      </c>
      <c r="L496" t="str">
        <f>VLOOKUP(E496,Stores!A:B,2,FALSE)</f>
        <v>MegaMart Brianahaven</v>
      </c>
      <c r="M496">
        <f>VLOOKUP(D496,Products!A:E,5,FALSE)</f>
        <v>1762.92</v>
      </c>
      <c r="N496" s="5">
        <f t="shared" si="7"/>
        <v>6699.0959999999995</v>
      </c>
    </row>
    <row r="497" spans="1:14" x14ac:dyDescent="0.3">
      <c r="A497" t="s">
        <v>1353</v>
      </c>
      <c r="B497" s="2">
        <v>45570</v>
      </c>
      <c r="C497" t="s">
        <v>577</v>
      </c>
      <c r="D497" t="s">
        <v>812</v>
      </c>
      <c r="E497" t="s">
        <v>842</v>
      </c>
      <c r="F497">
        <v>4</v>
      </c>
      <c r="G497">
        <v>0.15</v>
      </c>
      <c r="H497" t="s">
        <v>865</v>
      </c>
      <c r="I497" t="str">
        <f>VLOOKUP(C497,Customers!A:C,2,FALSE)&amp;" "&amp;VLOOKUP(C497,Customers!A:C,3,FALSE)</f>
        <v>Michael Perez</v>
      </c>
      <c r="J497" t="str">
        <f>VLOOKUP(D497,Products!A:C,2,FALSE)</f>
        <v>Soon Accessories</v>
      </c>
      <c r="K497" t="str">
        <f>VLOOKUP(D497,Products!A:C,3,FALSE)</f>
        <v>Fashion</v>
      </c>
      <c r="L497" t="str">
        <f>VLOOKUP(E497,Stores!A:B,2,FALSE)</f>
        <v>MegaMart Brianahaven</v>
      </c>
      <c r="M497">
        <f>VLOOKUP(D497,Products!A:E,5,FALSE)</f>
        <v>564.41999999999996</v>
      </c>
      <c r="N497" s="5">
        <f t="shared" si="7"/>
        <v>1919.0279999999998</v>
      </c>
    </row>
    <row r="498" spans="1:14" x14ac:dyDescent="0.3">
      <c r="A498" t="s">
        <v>1354</v>
      </c>
      <c r="B498" s="2">
        <v>45662</v>
      </c>
      <c r="C498" t="s">
        <v>582</v>
      </c>
      <c r="D498" t="s">
        <v>810</v>
      </c>
      <c r="E498" t="s">
        <v>831</v>
      </c>
      <c r="F498">
        <v>4</v>
      </c>
      <c r="G498">
        <v>0.1</v>
      </c>
      <c r="H498" t="s">
        <v>855</v>
      </c>
      <c r="I498" t="str">
        <f>VLOOKUP(C498,Customers!A:C,2,FALSE)&amp;" "&amp;VLOOKUP(C498,Customers!A:C,3,FALSE)</f>
        <v>Erin Rogers</v>
      </c>
      <c r="J498" t="str">
        <f>VLOOKUP(D498,Products!A:C,2,FALSE)</f>
        <v>Maybe Clothing</v>
      </c>
      <c r="K498" t="str">
        <f>VLOOKUP(D498,Products!A:C,3,FALSE)</f>
        <v>Fashion</v>
      </c>
      <c r="L498" t="str">
        <f>VLOOKUP(E498,Stores!A:B,2,FALSE)</f>
        <v>MegaMart Jimenezborough</v>
      </c>
      <c r="M498">
        <f>VLOOKUP(D498,Products!A:E,5,FALSE)</f>
        <v>453.62</v>
      </c>
      <c r="N498" s="5">
        <f t="shared" si="7"/>
        <v>1633.0320000000002</v>
      </c>
    </row>
    <row r="499" spans="1:14" x14ac:dyDescent="0.3">
      <c r="A499" t="s">
        <v>1355</v>
      </c>
      <c r="B499" s="2">
        <v>45462</v>
      </c>
      <c r="C499" t="s">
        <v>435</v>
      </c>
      <c r="D499" t="s">
        <v>784</v>
      </c>
      <c r="E499" t="s">
        <v>842</v>
      </c>
      <c r="F499">
        <v>3</v>
      </c>
      <c r="G499">
        <v>0</v>
      </c>
      <c r="H499" t="s">
        <v>865</v>
      </c>
      <c r="I499" t="str">
        <f>VLOOKUP(C499,Customers!A:C,2,FALSE)&amp;" "&amp;VLOOKUP(C499,Customers!A:C,3,FALSE)</f>
        <v>Timothy Beck</v>
      </c>
      <c r="J499" t="str">
        <f>VLOOKUP(D499,Products!A:C,2,FALSE)</f>
        <v>Road Clothing</v>
      </c>
      <c r="K499" t="str">
        <f>VLOOKUP(D499,Products!A:C,3,FALSE)</f>
        <v>Fashion</v>
      </c>
      <c r="L499" t="str">
        <f>VLOOKUP(E499,Stores!A:B,2,FALSE)</f>
        <v>MegaMart Brianahaven</v>
      </c>
      <c r="M499">
        <f>VLOOKUP(D499,Products!A:E,5,FALSE)</f>
        <v>1485.05</v>
      </c>
      <c r="N499" s="5">
        <f t="shared" si="7"/>
        <v>4455.1499999999996</v>
      </c>
    </row>
    <row r="500" spans="1:14" x14ac:dyDescent="0.3">
      <c r="A500" t="s">
        <v>1356</v>
      </c>
      <c r="B500" s="2">
        <v>45882</v>
      </c>
      <c r="C500" t="s">
        <v>664</v>
      </c>
      <c r="D500" t="s">
        <v>786</v>
      </c>
      <c r="E500" t="s">
        <v>842</v>
      </c>
      <c r="F500">
        <v>3</v>
      </c>
      <c r="G500">
        <v>0</v>
      </c>
      <c r="H500" t="s">
        <v>858</v>
      </c>
      <c r="I500" t="str">
        <f>VLOOKUP(C500,Customers!A:C,2,FALSE)&amp;" "&amp;VLOOKUP(C500,Customers!A:C,3,FALSE)</f>
        <v>Ryan Flores</v>
      </c>
      <c r="J500" t="str">
        <f>VLOOKUP(D500,Products!A:C,2,FALSE)</f>
        <v>National Watches</v>
      </c>
      <c r="K500" t="str">
        <f>VLOOKUP(D500,Products!A:C,3,FALSE)</f>
        <v>Fashion</v>
      </c>
      <c r="L500" t="str">
        <f>VLOOKUP(E500,Stores!A:B,2,FALSE)</f>
        <v>MegaMart Brianahaven</v>
      </c>
      <c r="M500">
        <f>VLOOKUP(D500,Products!A:E,5,FALSE)</f>
        <v>29.24</v>
      </c>
      <c r="N500" s="5">
        <f t="shared" si="7"/>
        <v>87.72</v>
      </c>
    </row>
    <row r="501" spans="1:14" x14ac:dyDescent="0.3">
      <c r="A501" t="s">
        <v>1357</v>
      </c>
      <c r="B501" s="2">
        <v>45407</v>
      </c>
      <c r="C501" t="s">
        <v>217</v>
      </c>
      <c r="D501" t="s">
        <v>826</v>
      </c>
      <c r="E501" t="s">
        <v>842</v>
      </c>
      <c r="F501">
        <v>2</v>
      </c>
      <c r="G501">
        <v>0.15</v>
      </c>
      <c r="H501" t="s">
        <v>855</v>
      </c>
      <c r="I501" t="str">
        <f>VLOOKUP(C501,Customers!A:C,2,FALSE)&amp;" "&amp;VLOOKUP(C501,Customers!A:C,3,FALSE)</f>
        <v>Carl Wyatt</v>
      </c>
      <c r="J501" t="str">
        <f>VLOOKUP(D501,Products!A:C,2,FALSE)</f>
        <v>Maybe Footwear</v>
      </c>
      <c r="K501" t="str">
        <f>VLOOKUP(D501,Products!A:C,3,FALSE)</f>
        <v>Fashion</v>
      </c>
      <c r="L501" t="str">
        <f>VLOOKUP(E501,Stores!A:B,2,FALSE)</f>
        <v>MegaMart Brianahaven</v>
      </c>
      <c r="M501">
        <f>VLOOKUP(D501,Products!A:E,5,FALSE)</f>
        <v>1044.6400000000001</v>
      </c>
      <c r="N501" s="5">
        <f t="shared" si="7"/>
        <v>1775.8880000000001</v>
      </c>
    </row>
    <row r="502" spans="1:14" x14ac:dyDescent="0.3">
      <c r="A502" t="s">
        <v>1358</v>
      </c>
      <c r="B502" s="2">
        <v>45264</v>
      </c>
      <c r="C502" t="s">
        <v>313</v>
      </c>
      <c r="D502" t="s">
        <v>722</v>
      </c>
      <c r="E502" t="s">
        <v>839</v>
      </c>
      <c r="F502">
        <v>3</v>
      </c>
      <c r="G502">
        <v>0.05</v>
      </c>
      <c r="H502" t="s">
        <v>858</v>
      </c>
      <c r="I502" t="str">
        <f>VLOOKUP(C502,Customers!A:C,2,FALSE)&amp;" "&amp;VLOOKUP(C502,Customers!A:C,3,FALSE)</f>
        <v>Jeremy Robles</v>
      </c>
      <c r="J502" t="str">
        <f>VLOOKUP(D502,Products!A:C,2,FALSE)</f>
        <v>Four Accessories</v>
      </c>
      <c r="K502" t="str">
        <f>VLOOKUP(D502,Products!A:C,3,FALSE)</f>
        <v>Fashion</v>
      </c>
      <c r="L502" t="str">
        <f>VLOOKUP(E502,Stores!A:B,2,FALSE)</f>
        <v>MegaMart New Michele</v>
      </c>
      <c r="M502">
        <f>VLOOKUP(D502,Products!A:E,5,FALSE)</f>
        <v>1853.77</v>
      </c>
      <c r="N502" s="5">
        <f t="shared" si="7"/>
        <v>5283.2444999999989</v>
      </c>
    </row>
    <row r="503" spans="1:14" x14ac:dyDescent="0.3">
      <c r="A503" t="s">
        <v>1359</v>
      </c>
      <c r="B503" s="2">
        <v>45856</v>
      </c>
      <c r="C503" t="s">
        <v>331</v>
      </c>
      <c r="D503" t="s">
        <v>796</v>
      </c>
      <c r="E503" t="s">
        <v>831</v>
      </c>
      <c r="F503">
        <v>1</v>
      </c>
      <c r="G503">
        <v>0</v>
      </c>
      <c r="H503" t="s">
        <v>858</v>
      </c>
      <c r="I503" t="str">
        <f>VLOOKUP(C503,Customers!A:C,2,FALSE)&amp;" "&amp;VLOOKUP(C503,Customers!A:C,3,FALSE)</f>
        <v>Brenda Costa</v>
      </c>
      <c r="J503" t="str">
        <f>VLOOKUP(D503,Products!A:C,2,FALSE)</f>
        <v>Chair Laptop</v>
      </c>
      <c r="K503" t="str">
        <f>VLOOKUP(D503,Products!A:C,3,FALSE)</f>
        <v>Electronics</v>
      </c>
      <c r="L503" t="str">
        <f>VLOOKUP(E503,Stores!A:B,2,FALSE)</f>
        <v>MegaMart Jimenezborough</v>
      </c>
      <c r="M503">
        <f>VLOOKUP(D503,Products!A:E,5,FALSE)</f>
        <v>1562.43</v>
      </c>
      <c r="N503" s="5">
        <f t="shared" si="7"/>
        <v>1562.43</v>
      </c>
    </row>
    <row r="504" spans="1:14" x14ac:dyDescent="0.3">
      <c r="A504" t="s">
        <v>1360</v>
      </c>
      <c r="B504" s="2">
        <v>45622</v>
      </c>
      <c r="C504" t="s">
        <v>24</v>
      </c>
      <c r="D504" t="s">
        <v>753</v>
      </c>
      <c r="E504" t="s">
        <v>831</v>
      </c>
      <c r="F504">
        <v>2</v>
      </c>
      <c r="G504">
        <v>0.15</v>
      </c>
      <c r="H504" t="s">
        <v>858</v>
      </c>
      <c r="I504" t="str">
        <f>VLOOKUP(C504,Customers!A:C,2,FALSE)&amp;" "&amp;VLOOKUP(C504,Customers!A:C,3,FALSE)</f>
        <v>Jamie Salinas</v>
      </c>
      <c r="J504" t="str">
        <f>VLOOKUP(D504,Products!A:C,2,FALSE)</f>
        <v>Whether Bags</v>
      </c>
      <c r="K504" t="str">
        <f>VLOOKUP(D504,Products!A:C,3,FALSE)</f>
        <v>Fashion</v>
      </c>
      <c r="L504" t="str">
        <f>VLOOKUP(E504,Stores!A:B,2,FALSE)</f>
        <v>MegaMart Jimenezborough</v>
      </c>
      <c r="M504">
        <f>VLOOKUP(D504,Products!A:E,5,FALSE)</f>
        <v>270.45</v>
      </c>
      <c r="N504" s="5">
        <f t="shared" si="7"/>
        <v>459.76499999999999</v>
      </c>
    </row>
    <row r="505" spans="1:14" x14ac:dyDescent="0.3">
      <c r="A505" t="s">
        <v>1361</v>
      </c>
      <c r="B505" s="2">
        <v>45897</v>
      </c>
      <c r="C505" t="s">
        <v>7</v>
      </c>
      <c r="D505" t="s">
        <v>784</v>
      </c>
      <c r="E505" t="s">
        <v>842</v>
      </c>
      <c r="F505">
        <v>2</v>
      </c>
      <c r="G505">
        <v>0.05</v>
      </c>
      <c r="H505" t="s">
        <v>855</v>
      </c>
      <c r="I505" t="str">
        <f>VLOOKUP(C505,Customers!A:C,2,FALSE)&amp;" "&amp;VLOOKUP(C505,Customers!A:C,3,FALSE)</f>
        <v>Michael Davis</v>
      </c>
      <c r="J505" t="str">
        <f>VLOOKUP(D505,Products!A:C,2,FALSE)</f>
        <v>Road Clothing</v>
      </c>
      <c r="K505" t="str">
        <f>VLOOKUP(D505,Products!A:C,3,FALSE)</f>
        <v>Fashion</v>
      </c>
      <c r="L505" t="str">
        <f>VLOOKUP(E505,Stores!A:B,2,FALSE)</f>
        <v>MegaMart Brianahaven</v>
      </c>
      <c r="M505">
        <f>VLOOKUP(D505,Products!A:E,5,FALSE)</f>
        <v>1485.05</v>
      </c>
      <c r="N505" s="5">
        <f t="shared" si="7"/>
        <v>2821.5949999999998</v>
      </c>
    </row>
    <row r="506" spans="1:14" x14ac:dyDescent="0.3">
      <c r="A506" t="s">
        <v>1362</v>
      </c>
      <c r="B506" s="2">
        <v>45772</v>
      </c>
      <c r="C506" t="s">
        <v>159</v>
      </c>
      <c r="D506" t="s">
        <v>816</v>
      </c>
      <c r="E506" t="s">
        <v>839</v>
      </c>
      <c r="F506">
        <v>1</v>
      </c>
      <c r="G506">
        <v>0.1</v>
      </c>
      <c r="H506" t="s">
        <v>855</v>
      </c>
      <c r="I506" t="str">
        <f>VLOOKUP(C506,Customers!A:C,2,FALSE)&amp;" "&amp;VLOOKUP(C506,Customers!A:C,3,FALSE)</f>
        <v>Melissa Rodgers</v>
      </c>
      <c r="J506" t="str">
        <f>VLOOKUP(D506,Products!A:C,2,FALSE)</f>
        <v>Set Dairy</v>
      </c>
      <c r="K506" t="str">
        <f>VLOOKUP(D506,Products!A:C,3,FALSE)</f>
        <v>Groceries</v>
      </c>
      <c r="L506" t="str">
        <f>VLOOKUP(E506,Stores!A:B,2,FALSE)</f>
        <v>MegaMart New Michele</v>
      </c>
      <c r="M506">
        <f>VLOOKUP(D506,Products!A:E,5,FALSE)</f>
        <v>1879.08</v>
      </c>
      <c r="N506" s="5">
        <f t="shared" si="7"/>
        <v>1691.172</v>
      </c>
    </row>
    <row r="507" spans="1:14" x14ac:dyDescent="0.3">
      <c r="A507" t="s">
        <v>1363</v>
      </c>
      <c r="B507" s="2">
        <v>45272</v>
      </c>
      <c r="C507" t="s">
        <v>89</v>
      </c>
      <c r="D507" t="s">
        <v>792</v>
      </c>
      <c r="E507" t="s">
        <v>839</v>
      </c>
      <c r="F507">
        <v>2</v>
      </c>
      <c r="G507">
        <v>0</v>
      </c>
      <c r="H507" t="s">
        <v>858</v>
      </c>
      <c r="I507" t="str">
        <f>VLOOKUP(C507,Customers!A:C,2,FALSE)&amp;" "&amp;VLOOKUP(C507,Customers!A:C,3,FALSE)</f>
        <v>Megan Velasquez</v>
      </c>
      <c r="J507" t="str">
        <f>VLOOKUP(D507,Products!A:C,2,FALSE)</f>
        <v>Beat Accessories</v>
      </c>
      <c r="K507" t="str">
        <f>VLOOKUP(D507,Products!A:C,3,FALSE)</f>
        <v>Fashion</v>
      </c>
      <c r="L507" t="str">
        <f>VLOOKUP(E507,Stores!A:B,2,FALSE)</f>
        <v>MegaMart New Michele</v>
      </c>
      <c r="M507">
        <f>VLOOKUP(D507,Products!A:E,5,FALSE)</f>
        <v>1798.97</v>
      </c>
      <c r="N507" s="5">
        <f t="shared" si="7"/>
        <v>3597.94</v>
      </c>
    </row>
    <row r="508" spans="1:14" x14ac:dyDescent="0.3">
      <c r="A508" t="s">
        <v>1364</v>
      </c>
      <c r="B508" s="2">
        <v>45688</v>
      </c>
      <c r="C508" t="s">
        <v>577</v>
      </c>
      <c r="D508" t="s">
        <v>816</v>
      </c>
      <c r="E508" t="s">
        <v>839</v>
      </c>
      <c r="F508">
        <v>2</v>
      </c>
      <c r="G508">
        <v>0.15</v>
      </c>
      <c r="H508" t="s">
        <v>865</v>
      </c>
      <c r="I508" t="str">
        <f>VLOOKUP(C508,Customers!A:C,2,FALSE)&amp;" "&amp;VLOOKUP(C508,Customers!A:C,3,FALSE)</f>
        <v>Michael Perez</v>
      </c>
      <c r="J508" t="str">
        <f>VLOOKUP(D508,Products!A:C,2,FALSE)</f>
        <v>Set Dairy</v>
      </c>
      <c r="K508" t="str">
        <f>VLOOKUP(D508,Products!A:C,3,FALSE)</f>
        <v>Groceries</v>
      </c>
      <c r="L508" t="str">
        <f>VLOOKUP(E508,Stores!A:B,2,FALSE)</f>
        <v>MegaMart New Michele</v>
      </c>
      <c r="M508">
        <f>VLOOKUP(D508,Products!A:E,5,FALSE)</f>
        <v>1879.08</v>
      </c>
      <c r="N508" s="5">
        <f t="shared" si="7"/>
        <v>3194.4359999999997</v>
      </c>
    </row>
    <row r="509" spans="1:14" x14ac:dyDescent="0.3">
      <c r="A509" t="s">
        <v>1365</v>
      </c>
      <c r="B509" s="2">
        <v>45532</v>
      </c>
      <c r="C509" t="s">
        <v>640</v>
      </c>
      <c r="D509" t="s">
        <v>759</v>
      </c>
      <c r="E509" t="s">
        <v>831</v>
      </c>
      <c r="F509">
        <v>1</v>
      </c>
      <c r="G509">
        <v>0.05</v>
      </c>
      <c r="H509" t="s">
        <v>858</v>
      </c>
      <c r="I509" t="str">
        <f>VLOOKUP(C509,Customers!A:C,2,FALSE)&amp;" "&amp;VLOOKUP(C509,Customers!A:C,3,FALSE)</f>
        <v>Brittany Oneal</v>
      </c>
      <c r="J509" t="str">
        <f>VLOOKUP(D509,Products!A:C,2,FALSE)</f>
        <v>Democratic Smartphone</v>
      </c>
      <c r="K509" t="str">
        <f>VLOOKUP(D509,Products!A:C,3,FALSE)</f>
        <v>Electronics</v>
      </c>
      <c r="L509" t="str">
        <f>VLOOKUP(E509,Stores!A:B,2,FALSE)</f>
        <v>MegaMart Jimenezborough</v>
      </c>
      <c r="M509">
        <f>VLOOKUP(D509,Products!A:E,5,FALSE)</f>
        <v>1079.8900000000001</v>
      </c>
      <c r="N509" s="5">
        <f t="shared" si="7"/>
        <v>1025.8955000000001</v>
      </c>
    </row>
    <row r="510" spans="1:14" x14ac:dyDescent="0.3">
      <c r="A510" t="s">
        <v>1366</v>
      </c>
      <c r="B510" s="2">
        <v>45841</v>
      </c>
      <c r="C510" t="s">
        <v>81</v>
      </c>
      <c r="D510" t="s">
        <v>784</v>
      </c>
      <c r="E510" t="s">
        <v>835</v>
      </c>
      <c r="F510">
        <v>5</v>
      </c>
      <c r="G510">
        <v>0.05</v>
      </c>
      <c r="H510" t="s">
        <v>858</v>
      </c>
      <c r="I510" t="str">
        <f>VLOOKUP(C510,Customers!A:C,2,FALSE)&amp;" "&amp;VLOOKUP(C510,Customers!A:C,3,FALSE)</f>
        <v>Ryan Cole</v>
      </c>
      <c r="J510" t="str">
        <f>VLOOKUP(D510,Products!A:C,2,FALSE)</f>
        <v>Road Clothing</v>
      </c>
      <c r="K510" t="str">
        <f>VLOOKUP(D510,Products!A:C,3,FALSE)</f>
        <v>Fashion</v>
      </c>
      <c r="L510" t="str">
        <f>VLOOKUP(E510,Stores!A:B,2,FALSE)</f>
        <v>MegaMart Peckmouth</v>
      </c>
      <c r="M510">
        <f>VLOOKUP(D510,Products!A:E,5,FALSE)</f>
        <v>1485.05</v>
      </c>
      <c r="N510" s="5">
        <f t="shared" si="7"/>
        <v>7053.9874999999993</v>
      </c>
    </row>
    <row r="511" spans="1:14" x14ac:dyDescent="0.3">
      <c r="A511" t="s">
        <v>1367</v>
      </c>
      <c r="B511" s="2">
        <v>45288</v>
      </c>
      <c r="C511" t="s">
        <v>15</v>
      </c>
      <c r="D511" t="s">
        <v>732</v>
      </c>
      <c r="E511" t="s">
        <v>831</v>
      </c>
      <c r="F511">
        <v>3</v>
      </c>
      <c r="G511">
        <v>0</v>
      </c>
      <c r="H511" t="s">
        <v>858</v>
      </c>
      <c r="I511" t="str">
        <f>VLOOKUP(C511,Customers!A:C,2,FALSE)&amp;" "&amp;VLOOKUP(C511,Customers!A:C,3,FALSE)</f>
        <v>Carol Hays</v>
      </c>
      <c r="J511" t="str">
        <f>VLOOKUP(D511,Products!A:C,2,FALSE)</f>
        <v>Understand Camera</v>
      </c>
      <c r="K511" t="str">
        <f>VLOOKUP(D511,Products!A:C,3,FALSE)</f>
        <v>Electronics</v>
      </c>
      <c r="L511" t="str">
        <f>VLOOKUP(E511,Stores!A:B,2,FALSE)</f>
        <v>MegaMart Jimenezborough</v>
      </c>
      <c r="M511">
        <f>VLOOKUP(D511,Products!A:E,5,FALSE)</f>
        <v>1474.12</v>
      </c>
      <c r="N511" s="5">
        <f t="shared" si="7"/>
        <v>4422.3599999999997</v>
      </c>
    </row>
    <row r="512" spans="1:14" x14ac:dyDescent="0.3">
      <c r="A512" t="s">
        <v>1368</v>
      </c>
      <c r="B512" s="2">
        <v>45338</v>
      </c>
      <c r="C512" t="s">
        <v>630</v>
      </c>
      <c r="D512" t="s">
        <v>742</v>
      </c>
      <c r="E512" t="s">
        <v>835</v>
      </c>
      <c r="F512">
        <v>4</v>
      </c>
      <c r="G512">
        <v>0</v>
      </c>
      <c r="H512" t="s">
        <v>861</v>
      </c>
      <c r="I512" t="str">
        <f>VLOOKUP(C512,Customers!A:C,2,FALSE)&amp;" "&amp;VLOOKUP(C512,Customers!A:C,3,FALSE)</f>
        <v>Mark Mcdonald</v>
      </c>
      <c r="J512" t="str">
        <f>VLOOKUP(D512,Products!A:C,2,FALSE)</f>
        <v>Either Headphones</v>
      </c>
      <c r="K512" t="str">
        <f>VLOOKUP(D512,Products!A:C,3,FALSE)</f>
        <v>Electronics</v>
      </c>
      <c r="L512" t="str">
        <f>VLOOKUP(E512,Stores!A:B,2,FALSE)</f>
        <v>MegaMart Peckmouth</v>
      </c>
      <c r="M512">
        <f>VLOOKUP(D512,Products!A:E,5,FALSE)</f>
        <v>248.57</v>
      </c>
      <c r="N512" s="5">
        <f t="shared" si="7"/>
        <v>994.28</v>
      </c>
    </row>
    <row r="513" spans="1:14" x14ac:dyDescent="0.3">
      <c r="A513" t="s">
        <v>1369</v>
      </c>
      <c r="B513" s="2">
        <v>45294</v>
      </c>
      <c r="C513" t="s">
        <v>372</v>
      </c>
      <c r="D513" t="s">
        <v>761</v>
      </c>
      <c r="E513" t="s">
        <v>831</v>
      </c>
      <c r="F513">
        <v>1</v>
      </c>
      <c r="G513">
        <v>0</v>
      </c>
      <c r="H513" t="s">
        <v>855</v>
      </c>
      <c r="I513" t="str">
        <f>VLOOKUP(C513,Customers!A:C,2,FALSE)&amp;" "&amp;VLOOKUP(C513,Customers!A:C,3,FALSE)</f>
        <v>Kimberly Jones</v>
      </c>
      <c r="J513" t="str">
        <f>VLOOKUP(D513,Products!A:C,2,FALSE)</f>
        <v>Traditional Laptop</v>
      </c>
      <c r="K513" t="str">
        <f>VLOOKUP(D513,Products!A:C,3,FALSE)</f>
        <v>Electronics</v>
      </c>
      <c r="L513" t="str">
        <f>VLOOKUP(E513,Stores!A:B,2,FALSE)</f>
        <v>MegaMart Jimenezborough</v>
      </c>
      <c r="M513">
        <f>VLOOKUP(D513,Products!A:E,5,FALSE)</f>
        <v>1762.92</v>
      </c>
      <c r="N513" s="5">
        <f t="shared" si="7"/>
        <v>1762.92</v>
      </c>
    </row>
    <row r="514" spans="1:14" x14ac:dyDescent="0.3">
      <c r="A514" t="s">
        <v>1370</v>
      </c>
      <c r="B514" s="2">
        <v>45639</v>
      </c>
      <c r="C514" t="s">
        <v>358</v>
      </c>
      <c r="D514" t="s">
        <v>812</v>
      </c>
      <c r="E514" t="s">
        <v>839</v>
      </c>
      <c r="F514">
        <v>2</v>
      </c>
      <c r="G514">
        <v>0.15</v>
      </c>
      <c r="H514" t="s">
        <v>861</v>
      </c>
      <c r="I514" t="str">
        <f>VLOOKUP(C514,Customers!A:C,2,FALSE)&amp;" "&amp;VLOOKUP(C514,Customers!A:C,3,FALSE)</f>
        <v>Kevin Snyder</v>
      </c>
      <c r="J514" t="str">
        <f>VLOOKUP(D514,Products!A:C,2,FALSE)</f>
        <v>Soon Accessories</v>
      </c>
      <c r="K514" t="str">
        <f>VLOOKUP(D514,Products!A:C,3,FALSE)</f>
        <v>Fashion</v>
      </c>
      <c r="L514" t="str">
        <f>VLOOKUP(E514,Stores!A:B,2,FALSE)</f>
        <v>MegaMart New Michele</v>
      </c>
      <c r="M514">
        <f>VLOOKUP(D514,Products!A:E,5,FALSE)</f>
        <v>564.41999999999996</v>
      </c>
      <c r="N514" s="5">
        <f t="shared" si="7"/>
        <v>959.5139999999999</v>
      </c>
    </row>
    <row r="515" spans="1:14" x14ac:dyDescent="0.3">
      <c r="A515" t="s">
        <v>1371</v>
      </c>
      <c r="B515" s="2">
        <v>45884</v>
      </c>
      <c r="C515" t="s">
        <v>589</v>
      </c>
      <c r="D515" t="s">
        <v>722</v>
      </c>
      <c r="E515" t="s">
        <v>835</v>
      </c>
      <c r="F515">
        <v>1</v>
      </c>
      <c r="G515">
        <v>0</v>
      </c>
      <c r="H515" t="s">
        <v>861</v>
      </c>
      <c r="I515" t="str">
        <f>VLOOKUP(C515,Customers!A:C,2,FALSE)&amp;" "&amp;VLOOKUP(C515,Customers!A:C,3,FALSE)</f>
        <v>Tanya Mueller</v>
      </c>
      <c r="J515" t="str">
        <f>VLOOKUP(D515,Products!A:C,2,FALSE)</f>
        <v>Four Accessories</v>
      </c>
      <c r="K515" t="str">
        <f>VLOOKUP(D515,Products!A:C,3,FALSE)</f>
        <v>Fashion</v>
      </c>
      <c r="L515" t="str">
        <f>VLOOKUP(E515,Stores!A:B,2,FALSE)</f>
        <v>MegaMart Peckmouth</v>
      </c>
      <c r="M515">
        <f>VLOOKUP(D515,Products!A:E,5,FALSE)</f>
        <v>1853.77</v>
      </c>
      <c r="N515" s="5">
        <f t="shared" ref="N515:N578" si="8">F515*M515*(1-G515)</f>
        <v>1853.77</v>
      </c>
    </row>
    <row r="516" spans="1:14" x14ac:dyDescent="0.3">
      <c r="A516" t="s">
        <v>1372</v>
      </c>
      <c r="B516" s="2">
        <v>45658</v>
      </c>
      <c r="C516" t="s">
        <v>422</v>
      </c>
      <c r="D516" t="s">
        <v>715</v>
      </c>
      <c r="E516" t="s">
        <v>839</v>
      </c>
      <c r="F516">
        <v>2</v>
      </c>
      <c r="G516">
        <v>0.05</v>
      </c>
      <c r="H516" t="s">
        <v>858</v>
      </c>
      <c r="I516" t="str">
        <f>VLOOKUP(C516,Customers!A:C,2,FALSE)&amp;" "&amp;VLOOKUP(C516,Customers!A:C,3,FALSE)</f>
        <v>Heidi Wilson</v>
      </c>
      <c r="J516" t="str">
        <f>VLOOKUP(D516,Products!A:C,2,FALSE)</f>
        <v>Audience Television</v>
      </c>
      <c r="K516" t="str">
        <f>VLOOKUP(D516,Products!A:C,3,FALSE)</f>
        <v>Electronics</v>
      </c>
      <c r="L516" t="str">
        <f>VLOOKUP(E516,Stores!A:B,2,FALSE)</f>
        <v>MegaMart New Michele</v>
      </c>
      <c r="M516">
        <f>VLOOKUP(D516,Products!A:E,5,FALSE)</f>
        <v>818.76</v>
      </c>
      <c r="N516" s="5">
        <f t="shared" si="8"/>
        <v>1555.644</v>
      </c>
    </row>
    <row r="517" spans="1:14" x14ac:dyDescent="0.3">
      <c r="A517" t="s">
        <v>1373</v>
      </c>
      <c r="B517" s="2">
        <v>45262</v>
      </c>
      <c r="C517" t="s">
        <v>567</v>
      </c>
      <c r="D517" t="s">
        <v>802</v>
      </c>
      <c r="E517" t="s">
        <v>842</v>
      </c>
      <c r="F517">
        <v>2</v>
      </c>
      <c r="G517">
        <v>0</v>
      </c>
      <c r="H517" t="s">
        <v>865</v>
      </c>
      <c r="I517" t="str">
        <f>VLOOKUP(C517,Customers!A:C,2,FALSE)&amp;" "&amp;VLOOKUP(C517,Customers!A:C,3,FALSE)</f>
        <v>Crystal Aguirre</v>
      </c>
      <c r="J517" t="str">
        <f>VLOOKUP(D517,Products!A:C,2,FALSE)</f>
        <v>Stage Footwear</v>
      </c>
      <c r="K517" t="str">
        <f>VLOOKUP(D517,Products!A:C,3,FALSE)</f>
        <v>Fashion</v>
      </c>
      <c r="L517" t="str">
        <f>VLOOKUP(E517,Stores!A:B,2,FALSE)</f>
        <v>MegaMart Brianahaven</v>
      </c>
      <c r="M517">
        <f>VLOOKUP(D517,Products!A:E,5,FALSE)</f>
        <v>366.93</v>
      </c>
      <c r="N517" s="5">
        <f t="shared" si="8"/>
        <v>733.86</v>
      </c>
    </row>
    <row r="518" spans="1:14" x14ac:dyDescent="0.3">
      <c r="A518" t="s">
        <v>1374</v>
      </c>
      <c r="B518" s="2">
        <v>45445</v>
      </c>
      <c r="C518" t="s">
        <v>141</v>
      </c>
      <c r="D518" t="s">
        <v>826</v>
      </c>
      <c r="E518" t="s">
        <v>831</v>
      </c>
      <c r="F518">
        <v>5</v>
      </c>
      <c r="G518">
        <v>0.15</v>
      </c>
      <c r="H518" t="s">
        <v>855</v>
      </c>
      <c r="I518" t="str">
        <f>VLOOKUP(C518,Customers!A:C,2,FALSE)&amp;" "&amp;VLOOKUP(C518,Customers!A:C,3,FALSE)</f>
        <v>Michael Cervantes</v>
      </c>
      <c r="J518" t="str">
        <f>VLOOKUP(D518,Products!A:C,2,FALSE)</f>
        <v>Maybe Footwear</v>
      </c>
      <c r="K518" t="str">
        <f>VLOOKUP(D518,Products!A:C,3,FALSE)</f>
        <v>Fashion</v>
      </c>
      <c r="L518" t="str">
        <f>VLOOKUP(E518,Stores!A:B,2,FALSE)</f>
        <v>MegaMart Jimenezborough</v>
      </c>
      <c r="M518">
        <f>VLOOKUP(D518,Products!A:E,5,FALSE)</f>
        <v>1044.6400000000001</v>
      </c>
      <c r="N518" s="5">
        <f t="shared" si="8"/>
        <v>4439.72</v>
      </c>
    </row>
    <row r="519" spans="1:14" x14ac:dyDescent="0.3">
      <c r="A519" t="s">
        <v>1375</v>
      </c>
      <c r="B519" s="2">
        <v>45486</v>
      </c>
      <c r="C519" t="s">
        <v>411</v>
      </c>
      <c r="D519" t="s">
        <v>772</v>
      </c>
      <c r="E519" t="s">
        <v>839</v>
      </c>
      <c r="F519">
        <v>2</v>
      </c>
      <c r="G519">
        <v>0.05</v>
      </c>
      <c r="H519" t="s">
        <v>855</v>
      </c>
      <c r="I519" t="str">
        <f>VLOOKUP(C519,Customers!A:C,2,FALSE)&amp;" "&amp;VLOOKUP(C519,Customers!A:C,3,FALSE)</f>
        <v>Travis Peters</v>
      </c>
      <c r="J519" t="str">
        <f>VLOOKUP(D519,Products!A:C,2,FALSE)</f>
        <v>And Footwear</v>
      </c>
      <c r="K519" t="str">
        <f>VLOOKUP(D519,Products!A:C,3,FALSE)</f>
        <v>Fashion</v>
      </c>
      <c r="L519" t="str">
        <f>VLOOKUP(E519,Stores!A:B,2,FALSE)</f>
        <v>MegaMart New Michele</v>
      </c>
      <c r="M519">
        <f>VLOOKUP(D519,Products!A:E,5,FALSE)</f>
        <v>1878.47</v>
      </c>
      <c r="N519" s="5">
        <f t="shared" si="8"/>
        <v>3569.0929999999998</v>
      </c>
    </row>
    <row r="520" spans="1:14" x14ac:dyDescent="0.3">
      <c r="A520" t="s">
        <v>1376</v>
      </c>
      <c r="B520" s="2">
        <v>45894</v>
      </c>
      <c r="C520" t="s">
        <v>593</v>
      </c>
      <c r="D520" t="s">
        <v>810</v>
      </c>
      <c r="E520" t="s">
        <v>831</v>
      </c>
      <c r="F520">
        <v>2</v>
      </c>
      <c r="G520">
        <v>0.1</v>
      </c>
      <c r="H520" t="s">
        <v>865</v>
      </c>
      <c r="I520" t="str">
        <f>VLOOKUP(C520,Customers!A:C,2,FALSE)&amp;" "&amp;VLOOKUP(C520,Customers!A:C,3,FALSE)</f>
        <v>Meagan Ali</v>
      </c>
      <c r="J520" t="str">
        <f>VLOOKUP(D520,Products!A:C,2,FALSE)</f>
        <v>Maybe Clothing</v>
      </c>
      <c r="K520" t="str">
        <f>VLOOKUP(D520,Products!A:C,3,FALSE)</f>
        <v>Fashion</v>
      </c>
      <c r="L520" t="str">
        <f>VLOOKUP(E520,Stores!A:B,2,FALSE)</f>
        <v>MegaMart Jimenezborough</v>
      </c>
      <c r="M520">
        <f>VLOOKUP(D520,Products!A:E,5,FALSE)</f>
        <v>453.62</v>
      </c>
      <c r="N520" s="5">
        <f t="shared" si="8"/>
        <v>816.51600000000008</v>
      </c>
    </row>
    <row r="521" spans="1:14" x14ac:dyDescent="0.3">
      <c r="A521" t="s">
        <v>1377</v>
      </c>
      <c r="B521" s="2">
        <v>45893</v>
      </c>
      <c r="C521" t="s">
        <v>601</v>
      </c>
      <c r="D521" t="s">
        <v>806</v>
      </c>
      <c r="E521" t="s">
        <v>839</v>
      </c>
      <c r="F521">
        <v>2</v>
      </c>
      <c r="G521">
        <v>0.05</v>
      </c>
      <c r="H521" t="s">
        <v>858</v>
      </c>
      <c r="I521" t="str">
        <f>VLOOKUP(C521,Customers!A:C,2,FALSE)&amp;" "&amp;VLOOKUP(C521,Customers!A:C,3,FALSE)</f>
        <v>Travis Watson</v>
      </c>
      <c r="J521" t="str">
        <f>VLOOKUP(D521,Products!A:C,2,FALSE)</f>
        <v>Piece Headphones</v>
      </c>
      <c r="K521" t="str">
        <f>VLOOKUP(D521,Products!A:C,3,FALSE)</f>
        <v>Electronics</v>
      </c>
      <c r="L521" t="str">
        <f>VLOOKUP(E521,Stores!A:B,2,FALSE)</f>
        <v>MegaMart New Michele</v>
      </c>
      <c r="M521">
        <f>VLOOKUP(D521,Products!A:E,5,FALSE)</f>
        <v>1745.61</v>
      </c>
      <c r="N521" s="5">
        <f t="shared" si="8"/>
        <v>3316.6589999999997</v>
      </c>
    </row>
    <row r="522" spans="1:14" x14ac:dyDescent="0.3">
      <c r="A522" t="s">
        <v>1378</v>
      </c>
      <c r="B522" s="2">
        <v>45536</v>
      </c>
      <c r="C522" t="s">
        <v>287</v>
      </c>
      <c r="D522" t="s">
        <v>782</v>
      </c>
      <c r="E522" t="s">
        <v>831</v>
      </c>
      <c r="F522">
        <v>2</v>
      </c>
      <c r="G522">
        <v>0.15</v>
      </c>
      <c r="H522" t="s">
        <v>858</v>
      </c>
      <c r="I522" t="str">
        <f>VLOOKUP(C522,Customers!A:C,2,FALSE)&amp;" "&amp;VLOOKUP(C522,Customers!A:C,3,FALSE)</f>
        <v>Phyllis Durham</v>
      </c>
      <c r="J522" t="str">
        <f>VLOOKUP(D522,Products!A:C,2,FALSE)</f>
        <v>Deal Smartphone</v>
      </c>
      <c r="K522" t="str">
        <f>VLOOKUP(D522,Products!A:C,3,FALSE)</f>
        <v>Electronics</v>
      </c>
      <c r="L522" t="str">
        <f>VLOOKUP(E522,Stores!A:B,2,FALSE)</f>
        <v>MegaMart Jimenezborough</v>
      </c>
      <c r="M522">
        <f>VLOOKUP(D522,Products!A:E,5,FALSE)</f>
        <v>673.78</v>
      </c>
      <c r="N522" s="5">
        <f t="shared" si="8"/>
        <v>1145.4259999999999</v>
      </c>
    </row>
    <row r="523" spans="1:14" x14ac:dyDescent="0.3">
      <c r="A523" t="s">
        <v>1379</v>
      </c>
      <c r="B523" s="2">
        <v>45283</v>
      </c>
      <c r="C523" t="s">
        <v>115</v>
      </c>
      <c r="D523" t="s">
        <v>711</v>
      </c>
      <c r="E523" t="s">
        <v>835</v>
      </c>
      <c r="F523">
        <v>4</v>
      </c>
      <c r="G523">
        <v>0</v>
      </c>
      <c r="H523" t="s">
        <v>865</v>
      </c>
      <c r="I523" t="str">
        <f>VLOOKUP(C523,Customers!A:C,2,FALSE)&amp;" "&amp;VLOOKUP(C523,Customers!A:C,3,FALSE)</f>
        <v>Tyler Levine</v>
      </c>
      <c r="J523" t="str">
        <f>VLOOKUP(D523,Products!A:C,2,FALSE)</f>
        <v>Like Camera</v>
      </c>
      <c r="K523" t="str">
        <f>VLOOKUP(D523,Products!A:C,3,FALSE)</f>
        <v>Electronics</v>
      </c>
      <c r="L523" t="str">
        <f>VLOOKUP(E523,Stores!A:B,2,FALSE)</f>
        <v>MegaMart Peckmouth</v>
      </c>
      <c r="M523">
        <f>VLOOKUP(D523,Products!A:E,5,FALSE)</f>
        <v>1673.69</v>
      </c>
      <c r="N523" s="5">
        <f t="shared" si="8"/>
        <v>6694.76</v>
      </c>
    </row>
    <row r="524" spans="1:14" x14ac:dyDescent="0.3">
      <c r="A524" t="s">
        <v>1380</v>
      </c>
      <c r="B524" s="2">
        <v>45881</v>
      </c>
      <c r="C524" t="s">
        <v>351</v>
      </c>
      <c r="D524" t="s">
        <v>818</v>
      </c>
      <c r="E524" t="s">
        <v>839</v>
      </c>
      <c r="F524">
        <v>2</v>
      </c>
      <c r="G524">
        <v>0.15</v>
      </c>
      <c r="H524" t="s">
        <v>858</v>
      </c>
      <c r="I524" t="str">
        <f>VLOOKUP(C524,Customers!A:C,2,FALSE)&amp;" "&amp;VLOOKUP(C524,Customers!A:C,3,FALSE)</f>
        <v>Stanley Brown</v>
      </c>
      <c r="J524" t="str">
        <f>VLOOKUP(D524,Products!A:C,2,FALSE)</f>
        <v>Nature Clothing</v>
      </c>
      <c r="K524" t="str">
        <f>VLOOKUP(D524,Products!A:C,3,FALSE)</f>
        <v>Fashion</v>
      </c>
      <c r="L524" t="str">
        <f>VLOOKUP(E524,Stores!A:B,2,FALSE)</f>
        <v>MegaMart New Michele</v>
      </c>
      <c r="M524">
        <f>VLOOKUP(D524,Products!A:E,5,FALSE)</f>
        <v>1165.3699999999999</v>
      </c>
      <c r="N524" s="5">
        <f t="shared" si="8"/>
        <v>1981.1289999999997</v>
      </c>
    </row>
    <row r="525" spans="1:14" x14ac:dyDescent="0.3">
      <c r="A525" t="s">
        <v>1381</v>
      </c>
      <c r="B525" s="2">
        <v>45316</v>
      </c>
      <c r="C525" t="s">
        <v>355</v>
      </c>
      <c r="D525" t="s">
        <v>824</v>
      </c>
      <c r="E525" t="s">
        <v>846</v>
      </c>
      <c r="F525">
        <v>2</v>
      </c>
      <c r="G525">
        <v>0.15</v>
      </c>
      <c r="H525" t="s">
        <v>865</v>
      </c>
      <c r="I525" t="str">
        <f>VLOOKUP(C525,Customers!A:C,2,FALSE)&amp;" "&amp;VLOOKUP(C525,Customers!A:C,3,FALSE)</f>
        <v>Kimberly Stokes</v>
      </c>
      <c r="J525" t="str">
        <f>VLOOKUP(D525,Products!A:C,2,FALSE)</f>
        <v>Possible Watches</v>
      </c>
      <c r="K525" t="str">
        <f>VLOOKUP(D525,Products!A:C,3,FALSE)</f>
        <v>Fashion</v>
      </c>
      <c r="L525" t="str">
        <f>VLOOKUP(E525,Stores!A:B,2,FALSE)</f>
        <v>MegaMart Johnmouth</v>
      </c>
      <c r="M525">
        <f>VLOOKUP(D525,Products!A:E,5,FALSE)</f>
        <v>388.26</v>
      </c>
      <c r="N525" s="5">
        <f t="shared" si="8"/>
        <v>660.04199999999992</v>
      </c>
    </row>
    <row r="526" spans="1:14" x14ac:dyDescent="0.3">
      <c r="A526" t="s">
        <v>1382</v>
      </c>
      <c r="B526" s="2">
        <v>45522</v>
      </c>
      <c r="C526" t="s">
        <v>24</v>
      </c>
      <c r="D526" t="s">
        <v>755</v>
      </c>
      <c r="E526" t="s">
        <v>846</v>
      </c>
      <c r="F526">
        <v>1</v>
      </c>
      <c r="G526">
        <v>0</v>
      </c>
      <c r="H526" t="s">
        <v>855</v>
      </c>
      <c r="I526" t="str">
        <f>VLOOKUP(C526,Customers!A:C,2,FALSE)&amp;" "&amp;VLOOKUP(C526,Customers!A:C,3,FALSE)</f>
        <v>Jamie Salinas</v>
      </c>
      <c r="J526" t="str">
        <f>VLOOKUP(D526,Products!A:C,2,FALSE)</f>
        <v>House Accessories</v>
      </c>
      <c r="K526" t="str">
        <f>VLOOKUP(D526,Products!A:C,3,FALSE)</f>
        <v>Fashion</v>
      </c>
      <c r="L526" t="str">
        <f>VLOOKUP(E526,Stores!A:B,2,FALSE)</f>
        <v>MegaMart Johnmouth</v>
      </c>
      <c r="M526">
        <f>VLOOKUP(D526,Products!A:E,5,FALSE)</f>
        <v>1858.75</v>
      </c>
      <c r="N526" s="5">
        <f t="shared" si="8"/>
        <v>1858.75</v>
      </c>
    </row>
    <row r="527" spans="1:14" x14ac:dyDescent="0.3">
      <c r="A527" t="s">
        <v>1383</v>
      </c>
      <c r="B527" s="2">
        <v>45586</v>
      </c>
      <c r="C527" t="s">
        <v>217</v>
      </c>
      <c r="D527" t="s">
        <v>739</v>
      </c>
      <c r="E527" t="s">
        <v>831</v>
      </c>
      <c r="F527">
        <v>1</v>
      </c>
      <c r="G527">
        <v>0.15</v>
      </c>
      <c r="H527" t="s">
        <v>855</v>
      </c>
      <c r="I527" t="str">
        <f>VLOOKUP(C527,Customers!A:C,2,FALSE)&amp;" "&amp;VLOOKUP(C527,Customers!A:C,3,FALSE)</f>
        <v>Carl Wyatt</v>
      </c>
      <c r="J527" t="str">
        <f>VLOOKUP(D527,Products!A:C,2,FALSE)</f>
        <v>Step Smartphone</v>
      </c>
      <c r="K527" t="str">
        <f>VLOOKUP(D527,Products!A:C,3,FALSE)</f>
        <v>Electronics</v>
      </c>
      <c r="L527" t="str">
        <f>VLOOKUP(E527,Stores!A:B,2,FALSE)</f>
        <v>MegaMart Jimenezborough</v>
      </c>
      <c r="M527">
        <f>VLOOKUP(D527,Products!A:E,5,FALSE)</f>
        <v>1194.1199999999999</v>
      </c>
      <c r="N527" s="5">
        <f t="shared" si="8"/>
        <v>1015.0019999999998</v>
      </c>
    </row>
    <row r="528" spans="1:14" x14ac:dyDescent="0.3">
      <c r="A528" t="s">
        <v>1384</v>
      </c>
      <c r="B528" s="2">
        <v>45622</v>
      </c>
      <c r="C528" t="s">
        <v>577</v>
      </c>
      <c r="D528" t="s">
        <v>820</v>
      </c>
      <c r="E528" t="s">
        <v>846</v>
      </c>
      <c r="F528">
        <v>4</v>
      </c>
      <c r="G528">
        <v>0.15</v>
      </c>
      <c r="H528" t="s">
        <v>858</v>
      </c>
      <c r="I528" t="str">
        <f>VLOOKUP(C528,Customers!A:C,2,FALSE)&amp;" "&amp;VLOOKUP(C528,Customers!A:C,3,FALSE)</f>
        <v>Michael Perez</v>
      </c>
      <c r="J528" t="str">
        <f>VLOOKUP(D528,Products!A:C,2,FALSE)</f>
        <v>Or Smartphone</v>
      </c>
      <c r="K528" t="str">
        <f>VLOOKUP(D528,Products!A:C,3,FALSE)</f>
        <v>Electronics</v>
      </c>
      <c r="L528" t="str">
        <f>VLOOKUP(E528,Stores!A:B,2,FALSE)</f>
        <v>MegaMart Johnmouth</v>
      </c>
      <c r="M528">
        <f>VLOOKUP(D528,Products!A:E,5,FALSE)</f>
        <v>1197.18</v>
      </c>
      <c r="N528" s="5">
        <f t="shared" si="8"/>
        <v>4070.4120000000003</v>
      </c>
    </row>
    <row r="529" spans="1:14" x14ac:dyDescent="0.3">
      <c r="A529" t="s">
        <v>1385</v>
      </c>
      <c r="B529" s="2">
        <v>45440</v>
      </c>
      <c r="C529" t="s">
        <v>89</v>
      </c>
      <c r="D529" t="s">
        <v>820</v>
      </c>
      <c r="E529" t="s">
        <v>846</v>
      </c>
      <c r="F529">
        <v>5</v>
      </c>
      <c r="G529">
        <v>0.05</v>
      </c>
      <c r="H529" t="s">
        <v>855</v>
      </c>
      <c r="I529" t="str">
        <f>VLOOKUP(C529,Customers!A:C,2,FALSE)&amp;" "&amp;VLOOKUP(C529,Customers!A:C,3,FALSE)</f>
        <v>Megan Velasquez</v>
      </c>
      <c r="J529" t="str">
        <f>VLOOKUP(D529,Products!A:C,2,FALSE)</f>
        <v>Or Smartphone</v>
      </c>
      <c r="K529" t="str">
        <f>VLOOKUP(D529,Products!A:C,3,FALSE)</f>
        <v>Electronics</v>
      </c>
      <c r="L529" t="str">
        <f>VLOOKUP(E529,Stores!A:B,2,FALSE)</f>
        <v>MegaMart Johnmouth</v>
      </c>
      <c r="M529">
        <f>VLOOKUP(D529,Products!A:E,5,FALSE)</f>
        <v>1197.18</v>
      </c>
      <c r="N529" s="5">
        <f t="shared" si="8"/>
        <v>5686.6050000000005</v>
      </c>
    </row>
    <row r="530" spans="1:14" x14ac:dyDescent="0.3">
      <c r="A530" t="s">
        <v>1386</v>
      </c>
      <c r="B530" s="2">
        <v>45777</v>
      </c>
      <c r="C530" t="s">
        <v>89</v>
      </c>
      <c r="D530" t="s">
        <v>788</v>
      </c>
      <c r="E530" t="s">
        <v>839</v>
      </c>
      <c r="F530">
        <v>1</v>
      </c>
      <c r="G530">
        <v>0.05</v>
      </c>
      <c r="H530" t="s">
        <v>861</v>
      </c>
      <c r="I530" t="str">
        <f>VLOOKUP(C530,Customers!A:C,2,FALSE)&amp;" "&amp;VLOOKUP(C530,Customers!A:C,3,FALSE)</f>
        <v>Megan Velasquez</v>
      </c>
      <c r="J530" t="str">
        <f>VLOOKUP(D530,Products!A:C,2,FALSE)</f>
        <v>Foot Snacks</v>
      </c>
      <c r="K530" t="str">
        <f>VLOOKUP(D530,Products!A:C,3,FALSE)</f>
        <v>Groceries</v>
      </c>
      <c r="L530" t="str">
        <f>VLOOKUP(E530,Stores!A:B,2,FALSE)</f>
        <v>MegaMart New Michele</v>
      </c>
      <c r="M530">
        <f>VLOOKUP(D530,Products!A:E,5,FALSE)</f>
        <v>1095.72</v>
      </c>
      <c r="N530" s="5">
        <f t="shared" si="8"/>
        <v>1040.934</v>
      </c>
    </row>
    <row r="531" spans="1:14" x14ac:dyDescent="0.3">
      <c r="A531" t="s">
        <v>1387</v>
      </c>
      <c r="B531" s="2">
        <v>45791</v>
      </c>
      <c r="C531" t="s">
        <v>503</v>
      </c>
      <c r="D531" t="s">
        <v>750</v>
      </c>
      <c r="E531" t="s">
        <v>839</v>
      </c>
      <c r="F531">
        <v>4</v>
      </c>
      <c r="G531">
        <v>0</v>
      </c>
      <c r="H531" t="s">
        <v>855</v>
      </c>
      <c r="I531" t="str">
        <f>VLOOKUP(C531,Customers!A:C,2,FALSE)&amp;" "&amp;VLOOKUP(C531,Customers!A:C,3,FALSE)</f>
        <v>Breanna Moore</v>
      </c>
      <c r="J531" t="str">
        <f>VLOOKUP(D531,Products!A:C,2,FALSE)</f>
        <v>Add Clothing</v>
      </c>
      <c r="K531" t="str">
        <f>VLOOKUP(D531,Products!A:C,3,FALSE)</f>
        <v>Fashion</v>
      </c>
      <c r="L531" t="str">
        <f>VLOOKUP(E531,Stores!A:B,2,FALSE)</f>
        <v>MegaMart New Michele</v>
      </c>
      <c r="M531">
        <f>VLOOKUP(D531,Products!A:E,5,FALSE)</f>
        <v>1342.75</v>
      </c>
      <c r="N531" s="5">
        <f t="shared" si="8"/>
        <v>5371</v>
      </c>
    </row>
    <row r="532" spans="1:14" x14ac:dyDescent="0.3">
      <c r="A532" t="s">
        <v>1388</v>
      </c>
      <c r="B532" s="2">
        <v>45213</v>
      </c>
      <c r="C532" t="s">
        <v>633</v>
      </c>
      <c r="D532" t="s">
        <v>786</v>
      </c>
      <c r="E532" t="s">
        <v>842</v>
      </c>
      <c r="F532">
        <v>2</v>
      </c>
      <c r="G532">
        <v>0</v>
      </c>
      <c r="H532" t="s">
        <v>861</v>
      </c>
      <c r="I532" t="str">
        <f>VLOOKUP(C532,Customers!A:C,2,FALSE)&amp;" "&amp;VLOOKUP(C532,Customers!A:C,3,FALSE)</f>
        <v>Dennis Wallace</v>
      </c>
      <c r="J532" t="str">
        <f>VLOOKUP(D532,Products!A:C,2,FALSE)</f>
        <v>National Watches</v>
      </c>
      <c r="K532" t="str">
        <f>VLOOKUP(D532,Products!A:C,3,FALSE)</f>
        <v>Fashion</v>
      </c>
      <c r="L532" t="str">
        <f>VLOOKUP(E532,Stores!A:B,2,FALSE)</f>
        <v>MegaMart Brianahaven</v>
      </c>
      <c r="M532">
        <f>VLOOKUP(D532,Products!A:E,5,FALSE)</f>
        <v>29.24</v>
      </c>
      <c r="N532" s="5">
        <f t="shared" si="8"/>
        <v>58.48</v>
      </c>
    </row>
    <row r="533" spans="1:14" x14ac:dyDescent="0.3">
      <c r="A533" t="s">
        <v>1389</v>
      </c>
      <c r="B533" s="2">
        <v>45770</v>
      </c>
      <c r="C533" t="s">
        <v>93</v>
      </c>
      <c r="D533" t="s">
        <v>788</v>
      </c>
      <c r="E533" t="s">
        <v>842</v>
      </c>
      <c r="F533">
        <v>1</v>
      </c>
      <c r="G533">
        <v>0.15</v>
      </c>
      <c r="H533" t="s">
        <v>865</v>
      </c>
      <c r="I533" t="str">
        <f>VLOOKUP(C533,Customers!A:C,2,FALSE)&amp;" "&amp;VLOOKUP(C533,Customers!A:C,3,FALSE)</f>
        <v>Mark Martinez</v>
      </c>
      <c r="J533" t="str">
        <f>VLOOKUP(D533,Products!A:C,2,FALSE)</f>
        <v>Foot Snacks</v>
      </c>
      <c r="K533" t="str">
        <f>VLOOKUP(D533,Products!A:C,3,FALSE)</f>
        <v>Groceries</v>
      </c>
      <c r="L533" t="str">
        <f>VLOOKUP(E533,Stores!A:B,2,FALSE)</f>
        <v>MegaMart Brianahaven</v>
      </c>
      <c r="M533">
        <f>VLOOKUP(D533,Products!A:E,5,FALSE)</f>
        <v>1095.72</v>
      </c>
      <c r="N533" s="5">
        <f t="shared" si="8"/>
        <v>931.36199999999997</v>
      </c>
    </row>
    <row r="534" spans="1:14" x14ac:dyDescent="0.3">
      <c r="A534" t="s">
        <v>1390</v>
      </c>
      <c r="B534" s="2">
        <v>45252</v>
      </c>
      <c r="C534" t="s">
        <v>302</v>
      </c>
      <c r="D534" t="s">
        <v>772</v>
      </c>
      <c r="E534" t="s">
        <v>835</v>
      </c>
      <c r="F534">
        <v>1</v>
      </c>
      <c r="G534">
        <v>0</v>
      </c>
      <c r="H534" t="s">
        <v>861</v>
      </c>
      <c r="I534" t="str">
        <f>VLOOKUP(C534,Customers!A:C,2,FALSE)&amp;" "&amp;VLOOKUP(C534,Customers!A:C,3,FALSE)</f>
        <v>Grace Garcia</v>
      </c>
      <c r="J534" t="str">
        <f>VLOOKUP(D534,Products!A:C,2,FALSE)</f>
        <v>And Footwear</v>
      </c>
      <c r="K534" t="str">
        <f>VLOOKUP(D534,Products!A:C,3,FALSE)</f>
        <v>Fashion</v>
      </c>
      <c r="L534" t="str">
        <f>VLOOKUP(E534,Stores!A:B,2,FALSE)</f>
        <v>MegaMart Peckmouth</v>
      </c>
      <c r="M534">
        <f>VLOOKUP(D534,Products!A:E,5,FALSE)</f>
        <v>1878.47</v>
      </c>
      <c r="N534" s="5">
        <f t="shared" si="8"/>
        <v>1878.47</v>
      </c>
    </row>
    <row r="535" spans="1:14" x14ac:dyDescent="0.3">
      <c r="A535" t="s">
        <v>1391</v>
      </c>
      <c r="B535" s="2">
        <v>45838</v>
      </c>
      <c r="C535" t="s">
        <v>636</v>
      </c>
      <c r="D535" t="s">
        <v>822</v>
      </c>
      <c r="E535" t="s">
        <v>831</v>
      </c>
      <c r="F535">
        <v>2</v>
      </c>
      <c r="G535">
        <v>0.15</v>
      </c>
      <c r="H535" t="s">
        <v>855</v>
      </c>
      <c r="I535" t="str">
        <f>VLOOKUP(C535,Customers!A:C,2,FALSE)&amp;" "&amp;VLOOKUP(C535,Customers!A:C,3,FALSE)</f>
        <v>Nichole Calhoun</v>
      </c>
      <c r="J535" t="str">
        <f>VLOOKUP(D535,Products!A:C,2,FALSE)</f>
        <v>Nor Bags</v>
      </c>
      <c r="K535" t="str">
        <f>VLOOKUP(D535,Products!A:C,3,FALSE)</f>
        <v>Fashion</v>
      </c>
      <c r="L535" t="str">
        <f>VLOOKUP(E535,Stores!A:B,2,FALSE)</f>
        <v>MegaMart Jimenezborough</v>
      </c>
      <c r="M535">
        <f>VLOOKUP(D535,Products!A:E,5,FALSE)</f>
        <v>1216.3599999999999</v>
      </c>
      <c r="N535" s="5">
        <f t="shared" si="8"/>
        <v>2067.8119999999999</v>
      </c>
    </row>
    <row r="536" spans="1:14" x14ac:dyDescent="0.3">
      <c r="A536" t="s">
        <v>1392</v>
      </c>
      <c r="B536" s="2">
        <v>45364</v>
      </c>
      <c r="C536" t="s">
        <v>491</v>
      </c>
      <c r="D536" t="s">
        <v>757</v>
      </c>
      <c r="E536" t="s">
        <v>846</v>
      </c>
      <c r="F536">
        <v>3</v>
      </c>
      <c r="G536">
        <v>0.05</v>
      </c>
      <c r="H536" t="s">
        <v>855</v>
      </c>
      <c r="I536" t="str">
        <f>VLOOKUP(C536,Customers!A:C,2,FALSE)&amp;" "&amp;VLOOKUP(C536,Customers!A:C,3,FALSE)</f>
        <v>Emily Hart</v>
      </c>
      <c r="J536" t="str">
        <f>VLOOKUP(D536,Products!A:C,2,FALSE)</f>
        <v>Find Headphones</v>
      </c>
      <c r="K536" t="str">
        <f>VLOOKUP(D536,Products!A:C,3,FALSE)</f>
        <v>Electronics</v>
      </c>
      <c r="L536" t="str">
        <f>VLOOKUP(E536,Stores!A:B,2,FALSE)</f>
        <v>MegaMart Johnmouth</v>
      </c>
      <c r="M536">
        <f>VLOOKUP(D536,Products!A:E,5,FALSE)</f>
        <v>1246.1099999999999</v>
      </c>
      <c r="N536" s="5">
        <f t="shared" si="8"/>
        <v>3551.4134999999997</v>
      </c>
    </row>
    <row r="537" spans="1:14" x14ac:dyDescent="0.3">
      <c r="A537" t="s">
        <v>1393</v>
      </c>
      <c r="B537" s="2">
        <v>45185</v>
      </c>
      <c r="C537" t="s">
        <v>130</v>
      </c>
      <c r="D537" t="s">
        <v>820</v>
      </c>
      <c r="E537" t="s">
        <v>839</v>
      </c>
      <c r="F537">
        <v>1</v>
      </c>
      <c r="G537">
        <v>0</v>
      </c>
      <c r="H537" t="s">
        <v>855</v>
      </c>
      <c r="I537" t="str">
        <f>VLOOKUP(C537,Customers!A:C,2,FALSE)&amp;" "&amp;VLOOKUP(C537,Customers!A:C,3,FALSE)</f>
        <v>Jenny Beck</v>
      </c>
      <c r="J537" t="str">
        <f>VLOOKUP(D537,Products!A:C,2,FALSE)</f>
        <v>Or Smartphone</v>
      </c>
      <c r="K537" t="str">
        <f>VLOOKUP(D537,Products!A:C,3,FALSE)</f>
        <v>Electronics</v>
      </c>
      <c r="L537" t="str">
        <f>VLOOKUP(E537,Stores!A:B,2,FALSE)</f>
        <v>MegaMart New Michele</v>
      </c>
      <c r="M537">
        <f>VLOOKUP(D537,Products!A:E,5,FALSE)</f>
        <v>1197.18</v>
      </c>
      <c r="N537" s="5">
        <f t="shared" si="8"/>
        <v>1197.18</v>
      </c>
    </row>
    <row r="538" spans="1:14" x14ac:dyDescent="0.3">
      <c r="A538" t="s">
        <v>1394</v>
      </c>
      <c r="B538" s="2">
        <v>45614</v>
      </c>
      <c r="C538" t="s">
        <v>411</v>
      </c>
      <c r="D538" t="s">
        <v>790</v>
      </c>
      <c r="E538" t="s">
        <v>839</v>
      </c>
      <c r="F538">
        <v>5</v>
      </c>
      <c r="G538">
        <v>0</v>
      </c>
      <c r="H538" t="s">
        <v>855</v>
      </c>
      <c r="I538" t="str">
        <f>VLOOKUP(C538,Customers!A:C,2,FALSE)&amp;" "&amp;VLOOKUP(C538,Customers!A:C,3,FALSE)</f>
        <v>Travis Peters</v>
      </c>
      <c r="J538" t="str">
        <f>VLOOKUP(D538,Products!A:C,2,FALSE)</f>
        <v>Difficult Vegetables</v>
      </c>
      <c r="K538" t="str">
        <f>VLOOKUP(D538,Products!A:C,3,FALSE)</f>
        <v>Groceries</v>
      </c>
      <c r="L538" t="str">
        <f>VLOOKUP(E538,Stores!A:B,2,FALSE)</f>
        <v>MegaMart New Michele</v>
      </c>
      <c r="M538">
        <f>VLOOKUP(D538,Products!A:E,5,FALSE)</f>
        <v>304.70999999999998</v>
      </c>
      <c r="N538" s="5">
        <f t="shared" si="8"/>
        <v>1523.55</v>
      </c>
    </row>
    <row r="539" spans="1:14" x14ac:dyDescent="0.3">
      <c r="A539" t="s">
        <v>1395</v>
      </c>
      <c r="B539" s="2">
        <v>45801</v>
      </c>
      <c r="C539" t="s">
        <v>647</v>
      </c>
      <c r="D539" t="s">
        <v>778</v>
      </c>
      <c r="E539" t="s">
        <v>846</v>
      </c>
      <c r="F539">
        <v>1</v>
      </c>
      <c r="G539">
        <v>0.15</v>
      </c>
      <c r="H539" t="s">
        <v>858</v>
      </c>
      <c r="I539" t="str">
        <f>VLOOKUP(C539,Customers!A:C,2,FALSE)&amp;" "&amp;VLOOKUP(C539,Customers!A:C,3,FALSE)</f>
        <v>Mary Dawson</v>
      </c>
      <c r="J539" t="str">
        <f>VLOOKUP(D539,Products!A:C,2,FALSE)</f>
        <v>Behavior Dairy</v>
      </c>
      <c r="K539" t="str">
        <f>VLOOKUP(D539,Products!A:C,3,FALSE)</f>
        <v>Groceries</v>
      </c>
      <c r="L539" t="str">
        <f>VLOOKUP(E539,Stores!A:B,2,FALSE)</f>
        <v>MegaMart Johnmouth</v>
      </c>
      <c r="M539">
        <f>VLOOKUP(D539,Products!A:E,5,FALSE)</f>
        <v>1015.76</v>
      </c>
      <c r="N539" s="5">
        <f t="shared" si="8"/>
        <v>863.39599999999996</v>
      </c>
    </row>
    <row r="540" spans="1:14" x14ac:dyDescent="0.3">
      <c r="A540" t="s">
        <v>1396</v>
      </c>
      <c r="B540" s="2">
        <v>45869</v>
      </c>
      <c r="C540" t="s">
        <v>480</v>
      </c>
      <c r="D540" t="s">
        <v>736</v>
      </c>
      <c r="E540" t="s">
        <v>839</v>
      </c>
      <c r="F540">
        <v>1</v>
      </c>
      <c r="G540">
        <v>0.15</v>
      </c>
      <c r="H540" t="s">
        <v>861</v>
      </c>
      <c r="I540" t="str">
        <f>VLOOKUP(C540,Customers!A:C,2,FALSE)&amp;" "&amp;VLOOKUP(C540,Customers!A:C,3,FALSE)</f>
        <v>Denise Jackson</v>
      </c>
      <c r="J540" t="str">
        <f>VLOOKUP(D540,Products!A:C,2,FALSE)</f>
        <v>Us Snacks</v>
      </c>
      <c r="K540" t="str">
        <f>VLOOKUP(D540,Products!A:C,3,FALSE)</f>
        <v>Groceries</v>
      </c>
      <c r="L540" t="str">
        <f>VLOOKUP(E540,Stores!A:B,2,FALSE)</f>
        <v>MegaMart New Michele</v>
      </c>
      <c r="M540">
        <f>VLOOKUP(D540,Products!A:E,5,FALSE)</f>
        <v>123.19</v>
      </c>
      <c r="N540" s="5">
        <f t="shared" si="8"/>
        <v>104.7115</v>
      </c>
    </row>
    <row r="541" spans="1:14" x14ac:dyDescent="0.3">
      <c r="A541" t="s">
        <v>1397</v>
      </c>
      <c r="B541" s="2">
        <v>45553</v>
      </c>
      <c r="C541" t="s">
        <v>358</v>
      </c>
      <c r="D541" t="s">
        <v>766</v>
      </c>
      <c r="E541" t="s">
        <v>835</v>
      </c>
      <c r="F541">
        <v>3</v>
      </c>
      <c r="G541">
        <v>0</v>
      </c>
      <c r="H541" t="s">
        <v>865</v>
      </c>
      <c r="I541" t="str">
        <f>VLOOKUP(C541,Customers!A:C,2,FALSE)&amp;" "&amp;VLOOKUP(C541,Customers!A:C,3,FALSE)</f>
        <v>Kevin Snyder</v>
      </c>
      <c r="J541" t="str">
        <f>VLOOKUP(D541,Products!A:C,2,FALSE)</f>
        <v>Firm Dairy</v>
      </c>
      <c r="K541" t="str">
        <f>VLOOKUP(D541,Products!A:C,3,FALSE)</f>
        <v>Groceries</v>
      </c>
      <c r="L541" t="str">
        <f>VLOOKUP(E541,Stores!A:B,2,FALSE)</f>
        <v>MegaMart Peckmouth</v>
      </c>
      <c r="M541">
        <f>VLOOKUP(D541,Products!A:E,5,FALSE)</f>
        <v>1227.24</v>
      </c>
      <c r="N541" s="5">
        <f t="shared" si="8"/>
        <v>3681.7200000000003</v>
      </c>
    </row>
    <row r="542" spans="1:14" x14ac:dyDescent="0.3">
      <c r="A542" t="s">
        <v>1398</v>
      </c>
      <c r="B542" s="2">
        <v>45527</v>
      </c>
      <c r="C542" t="s">
        <v>228</v>
      </c>
      <c r="D542" t="s">
        <v>774</v>
      </c>
      <c r="E542" t="s">
        <v>846</v>
      </c>
      <c r="F542">
        <v>1</v>
      </c>
      <c r="G542">
        <v>0</v>
      </c>
      <c r="H542" t="s">
        <v>865</v>
      </c>
      <c r="I542" t="str">
        <f>VLOOKUP(C542,Customers!A:C,2,FALSE)&amp;" "&amp;VLOOKUP(C542,Customers!A:C,3,FALSE)</f>
        <v>Scott Wyatt</v>
      </c>
      <c r="J542" t="str">
        <f>VLOOKUP(D542,Products!A:C,2,FALSE)</f>
        <v>Him Smartphone</v>
      </c>
      <c r="K542" t="str">
        <f>VLOOKUP(D542,Products!A:C,3,FALSE)</f>
        <v>Electronics</v>
      </c>
      <c r="L542" t="str">
        <f>VLOOKUP(E542,Stores!A:B,2,FALSE)</f>
        <v>MegaMart Johnmouth</v>
      </c>
      <c r="M542">
        <f>VLOOKUP(D542,Products!A:E,5,FALSE)</f>
        <v>1487.41</v>
      </c>
      <c r="N542" s="5">
        <f t="shared" si="8"/>
        <v>1487.41</v>
      </c>
    </row>
    <row r="543" spans="1:14" x14ac:dyDescent="0.3">
      <c r="A543" t="s">
        <v>1399</v>
      </c>
      <c r="B543" s="2">
        <v>45897</v>
      </c>
      <c r="C543" t="s">
        <v>241</v>
      </c>
      <c r="D543" t="s">
        <v>722</v>
      </c>
      <c r="E543" t="s">
        <v>831</v>
      </c>
      <c r="F543">
        <v>4</v>
      </c>
      <c r="G543">
        <v>0.1</v>
      </c>
      <c r="H543" t="s">
        <v>858</v>
      </c>
      <c r="I543" t="str">
        <f>VLOOKUP(C543,Customers!A:C,2,FALSE)&amp;" "&amp;VLOOKUP(C543,Customers!A:C,3,FALSE)</f>
        <v>Michael Johnson</v>
      </c>
      <c r="J543" t="str">
        <f>VLOOKUP(D543,Products!A:C,2,FALSE)</f>
        <v>Four Accessories</v>
      </c>
      <c r="K543" t="str">
        <f>VLOOKUP(D543,Products!A:C,3,FALSE)</f>
        <v>Fashion</v>
      </c>
      <c r="L543" t="str">
        <f>VLOOKUP(E543,Stores!A:B,2,FALSE)</f>
        <v>MegaMart Jimenezborough</v>
      </c>
      <c r="M543">
        <f>VLOOKUP(D543,Products!A:E,5,FALSE)</f>
        <v>1853.77</v>
      </c>
      <c r="N543" s="5">
        <f t="shared" si="8"/>
        <v>6673.5720000000001</v>
      </c>
    </row>
    <row r="544" spans="1:14" x14ac:dyDescent="0.3">
      <c r="A544" t="s">
        <v>1400</v>
      </c>
      <c r="B544" s="2">
        <v>45359</v>
      </c>
      <c r="C544" t="s">
        <v>151</v>
      </c>
      <c r="D544" t="s">
        <v>734</v>
      </c>
      <c r="E544" t="s">
        <v>835</v>
      </c>
      <c r="F544">
        <v>1</v>
      </c>
      <c r="G544">
        <v>0.15</v>
      </c>
      <c r="H544" t="s">
        <v>861</v>
      </c>
      <c r="I544" t="str">
        <f>VLOOKUP(C544,Customers!A:C,2,FALSE)&amp;" "&amp;VLOOKUP(C544,Customers!A:C,3,FALSE)</f>
        <v>Nancy Savage</v>
      </c>
      <c r="J544" t="str">
        <f>VLOOKUP(D544,Products!A:C,2,FALSE)</f>
        <v>Recognize Footwear</v>
      </c>
      <c r="K544" t="str">
        <f>VLOOKUP(D544,Products!A:C,3,FALSE)</f>
        <v>Fashion</v>
      </c>
      <c r="L544" t="str">
        <f>VLOOKUP(E544,Stores!A:B,2,FALSE)</f>
        <v>MegaMart Peckmouth</v>
      </c>
      <c r="M544">
        <f>VLOOKUP(D544,Products!A:E,5,FALSE)</f>
        <v>109.78</v>
      </c>
      <c r="N544" s="5">
        <f t="shared" si="8"/>
        <v>93.313000000000002</v>
      </c>
    </row>
    <row r="545" spans="1:14" x14ac:dyDescent="0.3">
      <c r="A545" t="s">
        <v>1401</v>
      </c>
      <c r="B545" s="2">
        <v>45228</v>
      </c>
      <c r="C545" t="s">
        <v>313</v>
      </c>
      <c r="D545" t="s">
        <v>804</v>
      </c>
      <c r="E545" t="s">
        <v>835</v>
      </c>
      <c r="F545">
        <v>4</v>
      </c>
      <c r="G545">
        <v>0.1</v>
      </c>
      <c r="H545" t="s">
        <v>855</v>
      </c>
      <c r="I545" t="str">
        <f>VLOOKUP(C545,Customers!A:C,2,FALSE)&amp;" "&amp;VLOOKUP(C545,Customers!A:C,3,FALSE)</f>
        <v>Jeremy Robles</v>
      </c>
      <c r="J545" t="str">
        <f>VLOOKUP(D545,Products!A:C,2,FALSE)</f>
        <v>Church Clothing</v>
      </c>
      <c r="K545" t="str">
        <f>VLOOKUP(D545,Products!A:C,3,FALSE)</f>
        <v>Fashion</v>
      </c>
      <c r="L545" t="str">
        <f>VLOOKUP(E545,Stores!A:B,2,FALSE)</f>
        <v>MegaMart Peckmouth</v>
      </c>
      <c r="M545">
        <f>VLOOKUP(D545,Products!A:E,5,FALSE)</f>
        <v>540.94000000000005</v>
      </c>
      <c r="N545" s="5">
        <f t="shared" si="8"/>
        <v>1947.3840000000002</v>
      </c>
    </row>
    <row r="546" spans="1:14" x14ac:dyDescent="0.3">
      <c r="A546" t="s">
        <v>1402</v>
      </c>
      <c r="B546" s="2">
        <v>45666</v>
      </c>
      <c r="C546" t="s">
        <v>81</v>
      </c>
      <c r="D546" t="s">
        <v>806</v>
      </c>
      <c r="E546" t="s">
        <v>846</v>
      </c>
      <c r="F546">
        <v>3</v>
      </c>
      <c r="G546">
        <v>0</v>
      </c>
      <c r="H546" t="s">
        <v>865</v>
      </c>
      <c r="I546" t="str">
        <f>VLOOKUP(C546,Customers!A:C,2,FALSE)&amp;" "&amp;VLOOKUP(C546,Customers!A:C,3,FALSE)</f>
        <v>Ryan Cole</v>
      </c>
      <c r="J546" t="str">
        <f>VLOOKUP(D546,Products!A:C,2,FALSE)</f>
        <v>Piece Headphones</v>
      </c>
      <c r="K546" t="str">
        <f>VLOOKUP(D546,Products!A:C,3,FALSE)</f>
        <v>Electronics</v>
      </c>
      <c r="L546" t="str">
        <f>VLOOKUP(E546,Stores!A:B,2,FALSE)</f>
        <v>MegaMart Johnmouth</v>
      </c>
      <c r="M546">
        <f>VLOOKUP(D546,Products!A:E,5,FALSE)</f>
        <v>1745.61</v>
      </c>
      <c r="N546" s="5">
        <f t="shared" si="8"/>
        <v>5236.83</v>
      </c>
    </row>
    <row r="547" spans="1:14" x14ac:dyDescent="0.3">
      <c r="A547" t="s">
        <v>1403</v>
      </c>
      <c r="B547" s="2">
        <v>45823</v>
      </c>
      <c r="C547" t="s">
        <v>179</v>
      </c>
      <c r="D547" t="s">
        <v>728</v>
      </c>
      <c r="E547" t="s">
        <v>835</v>
      </c>
      <c r="F547">
        <v>5</v>
      </c>
      <c r="G547">
        <v>0</v>
      </c>
      <c r="H547" t="s">
        <v>858</v>
      </c>
      <c r="I547" t="str">
        <f>VLOOKUP(C547,Customers!A:C,2,FALSE)&amp;" "&amp;VLOOKUP(C547,Customers!A:C,3,FALSE)</f>
        <v>Dennis Poole</v>
      </c>
      <c r="J547" t="str">
        <f>VLOOKUP(D547,Products!A:C,2,FALSE)</f>
        <v>Company Fruits</v>
      </c>
      <c r="K547" t="str">
        <f>VLOOKUP(D547,Products!A:C,3,FALSE)</f>
        <v>Groceries</v>
      </c>
      <c r="L547" t="str">
        <f>VLOOKUP(E547,Stores!A:B,2,FALSE)</f>
        <v>MegaMart Peckmouth</v>
      </c>
      <c r="M547">
        <f>VLOOKUP(D547,Products!A:E,5,FALSE)</f>
        <v>318.05</v>
      </c>
      <c r="N547" s="5">
        <f t="shared" si="8"/>
        <v>1590.25</v>
      </c>
    </row>
    <row r="548" spans="1:14" x14ac:dyDescent="0.3">
      <c r="A548" t="s">
        <v>1404</v>
      </c>
      <c r="B548" s="2">
        <v>45254</v>
      </c>
      <c r="C548" t="s">
        <v>74</v>
      </c>
      <c r="D548" t="s">
        <v>810</v>
      </c>
      <c r="E548" t="s">
        <v>842</v>
      </c>
      <c r="F548">
        <v>3</v>
      </c>
      <c r="G548">
        <v>0.1</v>
      </c>
      <c r="H548" t="s">
        <v>855</v>
      </c>
      <c r="I548" t="str">
        <f>VLOOKUP(C548,Customers!A:C,2,FALSE)&amp;" "&amp;VLOOKUP(C548,Customers!A:C,3,FALSE)</f>
        <v>Breanna Davis</v>
      </c>
      <c r="J548" t="str">
        <f>VLOOKUP(D548,Products!A:C,2,FALSE)</f>
        <v>Maybe Clothing</v>
      </c>
      <c r="K548" t="str">
        <f>VLOOKUP(D548,Products!A:C,3,FALSE)</f>
        <v>Fashion</v>
      </c>
      <c r="L548" t="str">
        <f>VLOOKUP(E548,Stores!A:B,2,FALSE)</f>
        <v>MegaMart Brianahaven</v>
      </c>
      <c r="M548">
        <f>VLOOKUP(D548,Products!A:E,5,FALSE)</f>
        <v>453.62</v>
      </c>
      <c r="N548" s="5">
        <f t="shared" si="8"/>
        <v>1224.7740000000001</v>
      </c>
    </row>
    <row r="549" spans="1:14" x14ac:dyDescent="0.3">
      <c r="A549" t="s">
        <v>1405</v>
      </c>
      <c r="B549" s="2">
        <v>45187</v>
      </c>
      <c r="C549" t="s">
        <v>93</v>
      </c>
      <c r="D549" t="s">
        <v>820</v>
      </c>
      <c r="E549" t="s">
        <v>846</v>
      </c>
      <c r="F549">
        <v>4</v>
      </c>
      <c r="G549">
        <v>0</v>
      </c>
      <c r="H549" t="s">
        <v>855</v>
      </c>
      <c r="I549" t="str">
        <f>VLOOKUP(C549,Customers!A:C,2,FALSE)&amp;" "&amp;VLOOKUP(C549,Customers!A:C,3,FALSE)</f>
        <v>Mark Martinez</v>
      </c>
      <c r="J549" t="str">
        <f>VLOOKUP(D549,Products!A:C,2,FALSE)</f>
        <v>Or Smartphone</v>
      </c>
      <c r="K549" t="str">
        <f>VLOOKUP(D549,Products!A:C,3,FALSE)</f>
        <v>Electronics</v>
      </c>
      <c r="L549" t="str">
        <f>VLOOKUP(E549,Stores!A:B,2,FALSE)</f>
        <v>MegaMart Johnmouth</v>
      </c>
      <c r="M549">
        <f>VLOOKUP(D549,Products!A:E,5,FALSE)</f>
        <v>1197.18</v>
      </c>
      <c r="N549" s="5">
        <f t="shared" si="8"/>
        <v>4788.72</v>
      </c>
    </row>
    <row r="550" spans="1:14" x14ac:dyDescent="0.3">
      <c r="A550" t="s">
        <v>1406</v>
      </c>
      <c r="B550" s="2">
        <v>45286</v>
      </c>
      <c r="C550" t="s">
        <v>202</v>
      </c>
      <c r="D550" t="s">
        <v>788</v>
      </c>
      <c r="E550" t="s">
        <v>839</v>
      </c>
      <c r="F550">
        <v>5</v>
      </c>
      <c r="G550">
        <v>0.1</v>
      </c>
      <c r="H550" t="s">
        <v>861</v>
      </c>
      <c r="I550" t="str">
        <f>VLOOKUP(C550,Customers!A:C,2,FALSE)&amp;" "&amp;VLOOKUP(C550,Customers!A:C,3,FALSE)</f>
        <v>Billy Hernandez</v>
      </c>
      <c r="J550" t="str">
        <f>VLOOKUP(D550,Products!A:C,2,FALSE)</f>
        <v>Foot Snacks</v>
      </c>
      <c r="K550" t="str">
        <f>VLOOKUP(D550,Products!A:C,3,FALSE)</f>
        <v>Groceries</v>
      </c>
      <c r="L550" t="str">
        <f>VLOOKUP(E550,Stores!A:B,2,FALSE)</f>
        <v>MegaMart New Michele</v>
      </c>
      <c r="M550">
        <f>VLOOKUP(D550,Products!A:E,5,FALSE)</f>
        <v>1095.72</v>
      </c>
      <c r="N550" s="5">
        <f t="shared" si="8"/>
        <v>4930.7400000000007</v>
      </c>
    </row>
    <row r="551" spans="1:14" x14ac:dyDescent="0.3">
      <c r="A551" t="s">
        <v>1407</v>
      </c>
      <c r="B551" s="2">
        <v>45642</v>
      </c>
      <c r="C551" t="s">
        <v>442</v>
      </c>
      <c r="D551" t="s">
        <v>820</v>
      </c>
      <c r="E551" t="s">
        <v>839</v>
      </c>
      <c r="F551">
        <v>5</v>
      </c>
      <c r="G551">
        <v>0.15</v>
      </c>
      <c r="H551" t="s">
        <v>861</v>
      </c>
      <c r="I551" t="str">
        <f>VLOOKUP(C551,Customers!A:C,2,FALSE)&amp;" "&amp;VLOOKUP(C551,Customers!A:C,3,FALSE)</f>
        <v>Jason Lloyd</v>
      </c>
      <c r="J551" t="str">
        <f>VLOOKUP(D551,Products!A:C,2,FALSE)</f>
        <v>Or Smartphone</v>
      </c>
      <c r="K551" t="str">
        <f>VLOOKUP(D551,Products!A:C,3,FALSE)</f>
        <v>Electronics</v>
      </c>
      <c r="L551" t="str">
        <f>VLOOKUP(E551,Stores!A:B,2,FALSE)</f>
        <v>MegaMart New Michele</v>
      </c>
      <c r="M551">
        <f>VLOOKUP(D551,Products!A:E,5,FALSE)</f>
        <v>1197.18</v>
      </c>
      <c r="N551" s="5">
        <f t="shared" si="8"/>
        <v>5088.0150000000003</v>
      </c>
    </row>
    <row r="552" spans="1:14" x14ac:dyDescent="0.3">
      <c r="A552" t="s">
        <v>1408</v>
      </c>
      <c r="B552" s="2">
        <v>45285</v>
      </c>
      <c r="C552" t="s">
        <v>664</v>
      </c>
      <c r="D552" t="s">
        <v>826</v>
      </c>
      <c r="E552" t="s">
        <v>846</v>
      </c>
      <c r="F552">
        <v>2</v>
      </c>
      <c r="G552">
        <v>0.05</v>
      </c>
      <c r="H552" t="s">
        <v>865</v>
      </c>
      <c r="I552" t="str">
        <f>VLOOKUP(C552,Customers!A:C,2,FALSE)&amp;" "&amp;VLOOKUP(C552,Customers!A:C,3,FALSE)</f>
        <v>Ryan Flores</v>
      </c>
      <c r="J552" t="str">
        <f>VLOOKUP(D552,Products!A:C,2,FALSE)</f>
        <v>Maybe Footwear</v>
      </c>
      <c r="K552" t="str">
        <f>VLOOKUP(D552,Products!A:C,3,FALSE)</f>
        <v>Fashion</v>
      </c>
      <c r="L552" t="str">
        <f>VLOOKUP(E552,Stores!A:B,2,FALSE)</f>
        <v>MegaMart Johnmouth</v>
      </c>
      <c r="M552">
        <f>VLOOKUP(D552,Products!A:E,5,FALSE)</f>
        <v>1044.6400000000001</v>
      </c>
      <c r="N552" s="5">
        <f t="shared" si="8"/>
        <v>1984.816</v>
      </c>
    </row>
    <row r="553" spans="1:14" x14ac:dyDescent="0.3">
      <c r="A553" t="s">
        <v>1409</v>
      </c>
      <c r="B553" s="2">
        <v>45702</v>
      </c>
      <c r="C553" t="s">
        <v>393</v>
      </c>
      <c r="D553" t="s">
        <v>736</v>
      </c>
      <c r="E553" t="s">
        <v>831</v>
      </c>
      <c r="F553">
        <v>2</v>
      </c>
      <c r="G553">
        <v>0.1</v>
      </c>
      <c r="H553" t="s">
        <v>865</v>
      </c>
      <c r="I553" t="str">
        <f>VLOOKUP(C553,Customers!A:C,2,FALSE)&amp;" "&amp;VLOOKUP(C553,Customers!A:C,3,FALSE)</f>
        <v>Kenneth Berg</v>
      </c>
      <c r="J553" t="str">
        <f>VLOOKUP(D553,Products!A:C,2,FALSE)</f>
        <v>Us Snacks</v>
      </c>
      <c r="K553" t="str">
        <f>VLOOKUP(D553,Products!A:C,3,FALSE)</f>
        <v>Groceries</v>
      </c>
      <c r="L553" t="str">
        <f>VLOOKUP(E553,Stores!A:B,2,FALSE)</f>
        <v>MegaMart Jimenezborough</v>
      </c>
      <c r="M553">
        <f>VLOOKUP(D553,Products!A:E,5,FALSE)</f>
        <v>123.19</v>
      </c>
      <c r="N553" s="5">
        <f t="shared" si="8"/>
        <v>221.74199999999999</v>
      </c>
    </row>
    <row r="554" spans="1:14" x14ac:dyDescent="0.3">
      <c r="A554" t="s">
        <v>1410</v>
      </c>
      <c r="B554" s="2">
        <v>45575</v>
      </c>
      <c r="C554" t="s">
        <v>324</v>
      </c>
      <c r="D554" t="s">
        <v>788</v>
      </c>
      <c r="E554" t="s">
        <v>831</v>
      </c>
      <c r="F554">
        <v>4</v>
      </c>
      <c r="G554">
        <v>0.1</v>
      </c>
      <c r="H554" t="s">
        <v>865</v>
      </c>
      <c r="I554" t="str">
        <f>VLOOKUP(C554,Customers!A:C,2,FALSE)&amp;" "&amp;VLOOKUP(C554,Customers!A:C,3,FALSE)</f>
        <v>Lawrence Hunter</v>
      </c>
      <c r="J554" t="str">
        <f>VLOOKUP(D554,Products!A:C,2,FALSE)</f>
        <v>Foot Snacks</v>
      </c>
      <c r="K554" t="str">
        <f>VLOOKUP(D554,Products!A:C,3,FALSE)</f>
        <v>Groceries</v>
      </c>
      <c r="L554" t="str">
        <f>VLOOKUP(E554,Stores!A:B,2,FALSE)</f>
        <v>MegaMart Jimenezborough</v>
      </c>
      <c r="M554">
        <f>VLOOKUP(D554,Products!A:E,5,FALSE)</f>
        <v>1095.72</v>
      </c>
      <c r="N554" s="5">
        <f t="shared" si="8"/>
        <v>3944.5920000000001</v>
      </c>
    </row>
    <row r="555" spans="1:14" x14ac:dyDescent="0.3">
      <c r="A555" t="s">
        <v>1411</v>
      </c>
      <c r="B555" s="2">
        <v>45462</v>
      </c>
      <c r="C555" t="s">
        <v>206</v>
      </c>
      <c r="D555" t="s">
        <v>784</v>
      </c>
      <c r="E555" t="s">
        <v>846</v>
      </c>
      <c r="F555">
        <v>2</v>
      </c>
      <c r="G555">
        <v>0.15</v>
      </c>
      <c r="H555" t="s">
        <v>858</v>
      </c>
      <c r="I555" t="str">
        <f>VLOOKUP(C555,Customers!A:C,2,FALSE)&amp;" "&amp;VLOOKUP(C555,Customers!A:C,3,FALSE)</f>
        <v>Felicia Morgan</v>
      </c>
      <c r="J555" t="str">
        <f>VLOOKUP(D555,Products!A:C,2,FALSE)</f>
        <v>Road Clothing</v>
      </c>
      <c r="K555" t="str">
        <f>VLOOKUP(D555,Products!A:C,3,FALSE)</f>
        <v>Fashion</v>
      </c>
      <c r="L555" t="str">
        <f>VLOOKUP(E555,Stores!A:B,2,FALSE)</f>
        <v>MegaMart Johnmouth</v>
      </c>
      <c r="M555">
        <f>VLOOKUP(D555,Products!A:E,5,FALSE)</f>
        <v>1485.05</v>
      </c>
      <c r="N555" s="5">
        <f t="shared" si="8"/>
        <v>2524.585</v>
      </c>
    </row>
    <row r="556" spans="1:14" x14ac:dyDescent="0.3">
      <c r="A556" t="s">
        <v>1412</v>
      </c>
      <c r="B556" s="2">
        <v>45706</v>
      </c>
      <c r="C556" t="s">
        <v>67</v>
      </c>
      <c r="D556" t="s">
        <v>818</v>
      </c>
      <c r="E556" t="s">
        <v>835</v>
      </c>
      <c r="F556">
        <v>3</v>
      </c>
      <c r="G556">
        <v>0</v>
      </c>
      <c r="H556" t="s">
        <v>865</v>
      </c>
      <c r="I556" t="str">
        <f>VLOOKUP(C556,Customers!A:C,2,FALSE)&amp;" "&amp;VLOOKUP(C556,Customers!A:C,3,FALSE)</f>
        <v>Miguel Johnson</v>
      </c>
      <c r="J556" t="str">
        <f>VLOOKUP(D556,Products!A:C,2,FALSE)</f>
        <v>Nature Clothing</v>
      </c>
      <c r="K556" t="str">
        <f>VLOOKUP(D556,Products!A:C,3,FALSE)</f>
        <v>Fashion</v>
      </c>
      <c r="L556" t="str">
        <f>VLOOKUP(E556,Stores!A:B,2,FALSE)</f>
        <v>MegaMart Peckmouth</v>
      </c>
      <c r="M556">
        <f>VLOOKUP(D556,Products!A:E,5,FALSE)</f>
        <v>1165.3699999999999</v>
      </c>
      <c r="N556" s="5">
        <f t="shared" si="8"/>
        <v>3496.1099999999997</v>
      </c>
    </row>
    <row r="557" spans="1:14" x14ac:dyDescent="0.3">
      <c r="A557" t="s">
        <v>1413</v>
      </c>
      <c r="B557" s="2">
        <v>45691</v>
      </c>
      <c r="C557" t="s">
        <v>230</v>
      </c>
      <c r="D557" t="s">
        <v>774</v>
      </c>
      <c r="E557" t="s">
        <v>846</v>
      </c>
      <c r="F557">
        <v>4</v>
      </c>
      <c r="G557">
        <v>0.1</v>
      </c>
      <c r="H557" t="s">
        <v>858</v>
      </c>
      <c r="I557" t="str">
        <f>VLOOKUP(C557,Customers!A:C,2,FALSE)&amp;" "&amp;VLOOKUP(C557,Customers!A:C,3,FALSE)</f>
        <v>Anthony Conway</v>
      </c>
      <c r="J557" t="str">
        <f>VLOOKUP(D557,Products!A:C,2,FALSE)</f>
        <v>Him Smartphone</v>
      </c>
      <c r="K557" t="str">
        <f>VLOOKUP(D557,Products!A:C,3,FALSE)</f>
        <v>Electronics</v>
      </c>
      <c r="L557" t="str">
        <f>VLOOKUP(E557,Stores!A:B,2,FALSE)</f>
        <v>MegaMart Johnmouth</v>
      </c>
      <c r="M557">
        <f>VLOOKUP(D557,Products!A:E,5,FALSE)</f>
        <v>1487.41</v>
      </c>
      <c r="N557" s="5">
        <f t="shared" si="8"/>
        <v>5354.6760000000004</v>
      </c>
    </row>
    <row r="558" spans="1:14" x14ac:dyDescent="0.3">
      <c r="A558" t="s">
        <v>1414</v>
      </c>
      <c r="B558" s="2">
        <v>45578</v>
      </c>
      <c r="C558" t="s">
        <v>677</v>
      </c>
      <c r="D558" t="s">
        <v>816</v>
      </c>
      <c r="E558" t="s">
        <v>831</v>
      </c>
      <c r="F558">
        <v>5</v>
      </c>
      <c r="G558">
        <v>0</v>
      </c>
      <c r="H558" t="s">
        <v>861</v>
      </c>
      <c r="I558" t="str">
        <f>VLOOKUP(C558,Customers!A:C,2,FALSE)&amp;" "&amp;VLOOKUP(C558,Customers!A:C,3,FALSE)</f>
        <v>James Wilson</v>
      </c>
      <c r="J558" t="str">
        <f>VLOOKUP(D558,Products!A:C,2,FALSE)</f>
        <v>Set Dairy</v>
      </c>
      <c r="K558" t="str">
        <f>VLOOKUP(D558,Products!A:C,3,FALSE)</f>
        <v>Groceries</v>
      </c>
      <c r="L558" t="str">
        <f>VLOOKUP(E558,Stores!A:B,2,FALSE)</f>
        <v>MegaMart Jimenezborough</v>
      </c>
      <c r="M558">
        <f>VLOOKUP(D558,Products!A:E,5,FALSE)</f>
        <v>1879.08</v>
      </c>
      <c r="N558" s="5">
        <f t="shared" si="8"/>
        <v>9395.4</v>
      </c>
    </row>
    <row r="559" spans="1:14" x14ac:dyDescent="0.3">
      <c r="A559" t="s">
        <v>1415</v>
      </c>
      <c r="B559" s="2">
        <v>45599</v>
      </c>
      <c r="C559" t="s">
        <v>585</v>
      </c>
      <c r="D559" t="s">
        <v>816</v>
      </c>
      <c r="E559" t="s">
        <v>842</v>
      </c>
      <c r="F559">
        <v>1</v>
      </c>
      <c r="G559">
        <v>0</v>
      </c>
      <c r="H559" t="s">
        <v>858</v>
      </c>
      <c r="I559" t="str">
        <f>VLOOKUP(C559,Customers!A:C,2,FALSE)&amp;" "&amp;VLOOKUP(C559,Customers!A:C,3,FALSE)</f>
        <v>Linda Vasquez</v>
      </c>
      <c r="J559" t="str">
        <f>VLOOKUP(D559,Products!A:C,2,FALSE)</f>
        <v>Set Dairy</v>
      </c>
      <c r="K559" t="str">
        <f>VLOOKUP(D559,Products!A:C,3,FALSE)</f>
        <v>Groceries</v>
      </c>
      <c r="L559" t="str">
        <f>VLOOKUP(E559,Stores!A:B,2,FALSE)</f>
        <v>MegaMart Brianahaven</v>
      </c>
      <c r="M559">
        <f>VLOOKUP(D559,Products!A:E,5,FALSE)</f>
        <v>1879.08</v>
      </c>
      <c r="N559" s="5">
        <f t="shared" si="8"/>
        <v>1879.08</v>
      </c>
    </row>
    <row r="560" spans="1:14" x14ac:dyDescent="0.3">
      <c r="A560" t="s">
        <v>1416</v>
      </c>
      <c r="B560" s="2">
        <v>45316</v>
      </c>
      <c r="C560" t="s">
        <v>604</v>
      </c>
      <c r="D560" t="s">
        <v>722</v>
      </c>
      <c r="E560" t="s">
        <v>835</v>
      </c>
      <c r="F560">
        <v>2</v>
      </c>
      <c r="G560">
        <v>0.1</v>
      </c>
      <c r="H560" t="s">
        <v>855</v>
      </c>
      <c r="I560" t="str">
        <f>VLOOKUP(C560,Customers!A:C,2,FALSE)&amp;" "&amp;VLOOKUP(C560,Customers!A:C,3,FALSE)</f>
        <v>Amber Graham</v>
      </c>
      <c r="J560" t="str">
        <f>VLOOKUP(D560,Products!A:C,2,FALSE)</f>
        <v>Four Accessories</v>
      </c>
      <c r="K560" t="str">
        <f>VLOOKUP(D560,Products!A:C,3,FALSE)</f>
        <v>Fashion</v>
      </c>
      <c r="L560" t="str">
        <f>VLOOKUP(E560,Stores!A:B,2,FALSE)</f>
        <v>MegaMart Peckmouth</v>
      </c>
      <c r="M560">
        <f>VLOOKUP(D560,Products!A:E,5,FALSE)</f>
        <v>1853.77</v>
      </c>
      <c r="N560" s="5">
        <f t="shared" si="8"/>
        <v>3336.7860000000001</v>
      </c>
    </row>
    <row r="561" spans="1:14" x14ac:dyDescent="0.3">
      <c r="A561" t="s">
        <v>1417</v>
      </c>
      <c r="B561" s="2">
        <v>45496</v>
      </c>
      <c r="C561" t="s">
        <v>306</v>
      </c>
      <c r="D561" t="s">
        <v>784</v>
      </c>
      <c r="E561" t="s">
        <v>842</v>
      </c>
      <c r="F561">
        <v>3</v>
      </c>
      <c r="G561">
        <v>0.1</v>
      </c>
      <c r="H561" t="s">
        <v>858</v>
      </c>
      <c r="I561" t="str">
        <f>VLOOKUP(C561,Customers!A:C,2,FALSE)&amp;" "&amp;VLOOKUP(C561,Customers!A:C,3,FALSE)</f>
        <v>Sarah Reynolds</v>
      </c>
      <c r="J561" t="str">
        <f>VLOOKUP(D561,Products!A:C,2,FALSE)</f>
        <v>Road Clothing</v>
      </c>
      <c r="K561" t="str">
        <f>VLOOKUP(D561,Products!A:C,3,FALSE)</f>
        <v>Fashion</v>
      </c>
      <c r="L561" t="str">
        <f>VLOOKUP(E561,Stores!A:B,2,FALSE)</f>
        <v>MegaMart Brianahaven</v>
      </c>
      <c r="M561">
        <f>VLOOKUP(D561,Products!A:E,5,FALSE)</f>
        <v>1485.05</v>
      </c>
      <c r="N561" s="5">
        <f t="shared" si="8"/>
        <v>4009.6349999999998</v>
      </c>
    </row>
    <row r="562" spans="1:14" x14ac:dyDescent="0.3">
      <c r="A562" t="s">
        <v>1418</v>
      </c>
      <c r="B562" s="2">
        <v>45616</v>
      </c>
      <c r="C562" t="s">
        <v>266</v>
      </c>
      <c r="D562" t="s">
        <v>826</v>
      </c>
      <c r="E562" t="s">
        <v>835</v>
      </c>
      <c r="F562">
        <v>1</v>
      </c>
      <c r="G562">
        <v>0.05</v>
      </c>
      <c r="H562" t="s">
        <v>861</v>
      </c>
      <c r="I562" t="str">
        <f>VLOOKUP(C562,Customers!A:C,2,FALSE)&amp;" "&amp;VLOOKUP(C562,Customers!A:C,3,FALSE)</f>
        <v>Eric Bryan</v>
      </c>
      <c r="J562" t="str">
        <f>VLOOKUP(D562,Products!A:C,2,FALSE)</f>
        <v>Maybe Footwear</v>
      </c>
      <c r="K562" t="str">
        <f>VLOOKUP(D562,Products!A:C,3,FALSE)</f>
        <v>Fashion</v>
      </c>
      <c r="L562" t="str">
        <f>VLOOKUP(E562,Stores!A:B,2,FALSE)</f>
        <v>MegaMart Peckmouth</v>
      </c>
      <c r="M562">
        <f>VLOOKUP(D562,Products!A:E,5,FALSE)</f>
        <v>1044.6400000000001</v>
      </c>
      <c r="N562" s="5">
        <f t="shared" si="8"/>
        <v>992.40800000000002</v>
      </c>
    </row>
    <row r="563" spans="1:14" x14ac:dyDescent="0.3">
      <c r="A563" t="s">
        <v>1419</v>
      </c>
      <c r="B563" s="2">
        <v>45183</v>
      </c>
      <c r="C563" t="s">
        <v>702</v>
      </c>
      <c r="D563" t="s">
        <v>798</v>
      </c>
      <c r="E563" t="s">
        <v>846</v>
      </c>
      <c r="F563">
        <v>1</v>
      </c>
      <c r="G563">
        <v>0.05</v>
      </c>
      <c r="H563" t="s">
        <v>865</v>
      </c>
      <c r="I563" t="str">
        <f>VLOOKUP(C563,Customers!A:C,2,FALSE)&amp;" "&amp;VLOOKUP(C563,Customers!A:C,3,FALSE)</f>
        <v>Ronald Haley</v>
      </c>
      <c r="J563" t="str">
        <f>VLOOKUP(D563,Products!A:C,2,FALSE)</f>
        <v>New Watches</v>
      </c>
      <c r="K563" t="str">
        <f>VLOOKUP(D563,Products!A:C,3,FALSE)</f>
        <v>Fashion</v>
      </c>
      <c r="L563" t="str">
        <f>VLOOKUP(E563,Stores!A:B,2,FALSE)</f>
        <v>MegaMart Johnmouth</v>
      </c>
      <c r="M563">
        <f>VLOOKUP(D563,Products!A:E,5,FALSE)</f>
        <v>1501.46</v>
      </c>
      <c r="N563" s="5">
        <f t="shared" si="8"/>
        <v>1426.3869999999999</v>
      </c>
    </row>
    <row r="564" spans="1:14" x14ac:dyDescent="0.3">
      <c r="A564" t="s">
        <v>1420</v>
      </c>
      <c r="B564" s="2">
        <v>45419</v>
      </c>
      <c r="C564" t="s">
        <v>167</v>
      </c>
      <c r="D564" t="s">
        <v>804</v>
      </c>
      <c r="E564" t="s">
        <v>842</v>
      </c>
      <c r="F564">
        <v>4</v>
      </c>
      <c r="G564">
        <v>0.1</v>
      </c>
      <c r="H564" t="s">
        <v>858</v>
      </c>
      <c r="I564" t="str">
        <f>VLOOKUP(C564,Customers!A:C,2,FALSE)&amp;" "&amp;VLOOKUP(C564,Customers!A:C,3,FALSE)</f>
        <v>Kenneth Allen</v>
      </c>
      <c r="J564" t="str">
        <f>VLOOKUP(D564,Products!A:C,2,FALSE)</f>
        <v>Church Clothing</v>
      </c>
      <c r="K564" t="str">
        <f>VLOOKUP(D564,Products!A:C,3,FALSE)</f>
        <v>Fashion</v>
      </c>
      <c r="L564" t="str">
        <f>VLOOKUP(E564,Stores!A:B,2,FALSE)</f>
        <v>MegaMart Brianahaven</v>
      </c>
      <c r="M564">
        <f>VLOOKUP(D564,Products!A:E,5,FALSE)</f>
        <v>540.94000000000005</v>
      </c>
      <c r="N564" s="5">
        <f t="shared" si="8"/>
        <v>1947.3840000000002</v>
      </c>
    </row>
    <row r="565" spans="1:14" x14ac:dyDescent="0.3">
      <c r="A565" t="s">
        <v>1421</v>
      </c>
      <c r="B565" s="2">
        <v>45389</v>
      </c>
      <c r="C565" t="s">
        <v>123</v>
      </c>
      <c r="D565" t="s">
        <v>824</v>
      </c>
      <c r="E565" t="s">
        <v>846</v>
      </c>
      <c r="F565">
        <v>3</v>
      </c>
      <c r="G565">
        <v>0.05</v>
      </c>
      <c r="H565" t="s">
        <v>858</v>
      </c>
      <c r="I565" t="str">
        <f>VLOOKUP(C565,Customers!A:C,2,FALSE)&amp;" "&amp;VLOOKUP(C565,Customers!A:C,3,FALSE)</f>
        <v>Ashley Gibson</v>
      </c>
      <c r="J565" t="str">
        <f>VLOOKUP(D565,Products!A:C,2,FALSE)</f>
        <v>Possible Watches</v>
      </c>
      <c r="K565" t="str">
        <f>VLOOKUP(D565,Products!A:C,3,FALSE)</f>
        <v>Fashion</v>
      </c>
      <c r="L565" t="str">
        <f>VLOOKUP(E565,Stores!A:B,2,FALSE)</f>
        <v>MegaMart Johnmouth</v>
      </c>
      <c r="M565">
        <f>VLOOKUP(D565,Products!A:E,5,FALSE)</f>
        <v>388.26</v>
      </c>
      <c r="N565" s="5">
        <f t="shared" si="8"/>
        <v>1106.5409999999999</v>
      </c>
    </row>
    <row r="566" spans="1:14" x14ac:dyDescent="0.3">
      <c r="A566" t="s">
        <v>1422</v>
      </c>
      <c r="B566" s="2">
        <v>45855</v>
      </c>
      <c r="C566" t="s">
        <v>298</v>
      </c>
      <c r="D566" t="s">
        <v>798</v>
      </c>
      <c r="E566" t="s">
        <v>842</v>
      </c>
      <c r="F566">
        <v>3</v>
      </c>
      <c r="G566">
        <v>0</v>
      </c>
      <c r="H566" t="s">
        <v>865</v>
      </c>
      <c r="I566" t="str">
        <f>VLOOKUP(C566,Customers!A:C,2,FALSE)&amp;" "&amp;VLOOKUP(C566,Customers!A:C,3,FALSE)</f>
        <v>Donald Marsh</v>
      </c>
      <c r="J566" t="str">
        <f>VLOOKUP(D566,Products!A:C,2,FALSE)</f>
        <v>New Watches</v>
      </c>
      <c r="K566" t="str">
        <f>VLOOKUP(D566,Products!A:C,3,FALSE)</f>
        <v>Fashion</v>
      </c>
      <c r="L566" t="str">
        <f>VLOOKUP(E566,Stores!A:B,2,FALSE)</f>
        <v>MegaMart Brianahaven</v>
      </c>
      <c r="M566">
        <f>VLOOKUP(D566,Products!A:E,5,FALSE)</f>
        <v>1501.46</v>
      </c>
      <c r="N566" s="5">
        <f t="shared" si="8"/>
        <v>4504.38</v>
      </c>
    </row>
    <row r="567" spans="1:14" x14ac:dyDescent="0.3">
      <c r="A567" t="s">
        <v>1423</v>
      </c>
      <c r="B567" s="2">
        <v>45367</v>
      </c>
      <c r="C567" t="s">
        <v>159</v>
      </c>
      <c r="D567" t="s">
        <v>728</v>
      </c>
      <c r="E567" t="s">
        <v>839</v>
      </c>
      <c r="F567">
        <v>5</v>
      </c>
      <c r="G567">
        <v>0</v>
      </c>
      <c r="H567" t="s">
        <v>861</v>
      </c>
      <c r="I567" t="str">
        <f>VLOOKUP(C567,Customers!A:C,2,FALSE)&amp;" "&amp;VLOOKUP(C567,Customers!A:C,3,FALSE)</f>
        <v>Melissa Rodgers</v>
      </c>
      <c r="J567" t="str">
        <f>VLOOKUP(D567,Products!A:C,2,FALSE)</f>
        <v>Company Fruits</v>
      </c>
      <c r="K567" t="str">
        <f>VLOOKUP(D567,Products!A:C,3,FALSE)</f>
        <v>Groceries</v>
      </c>
      <c r="L567" t="str">
        <f>VLOOKUP(E567,Stores!A:B,2,FALSE)</f>
        <v>MegaMart New Michele</v>
      </c>
      <c r="M567">
        <f>VLOOKUP(D567,Products!A:E,5,FALSE)</f>
        <v>318.05</v>
      </c>
      <c r="N567" s="5">
        <f t="shared" si="8"/>
        <v>1590.25</v>
      </c>
    </row>
    <row r="568" spans="1:14" x14ac:dyDescent="0.3">
      <c r="A568" t="s">
        <v>1424</v>
      </c>
      <c r="B568" s="2">
        <v>45374</v>
      </c>
      <c r="C568" t="s">
        <v>317</v>
      </c>
      <c r="D568" t="s">
        <v>788</v>
      </c>
      <c r="E568" t="s">
        <v>835</v>
      </c>
      <c r="F568">
        <v>1</v>
      </c>
      <c r="G568">
        <v>0.05</v>
      </c>
      <c r="H568" t="s">
        <v>855</v>
      </c>
      <c r="I568" t="str">
        <f>VLOOKUP(C568,Customers!A:C,2,FALSE)&amp;" "&amp;VLOOKUP(C568,Customers!A:C,3,FALSE)</f>
        <v>Amanda Lee</v>
      </c>
      <c r="J568" t="str">
        <f>VLOOKUP(D568,Products!A:C,2,FALSE)</f>
        <v>Foot Snacks</v>
      </c>
      <c r="K568" t="str">
        <f>VLOOKUP(D568,Products!A:C,3,FALSE)</f>
        <v>Groceries</v>
      </c>
      <c r="L568" t="str">
        <f>VLOOKUP(E568,Stores!A:B,2,FALSE)</f>
        <v>MegaMart Peckmouth</v>
      </c>
      <c r="M568">
        <f>VLOOKUP(D568,Products!A:E,5,FALSE)</f>
        <v>1095.72</v>
      </c>
      <c r="N568" s="5">
        <f t="shared" si="8"/>
        <v>1040.934</v>
      </c>
    </row>
    <row r="569" spans="1:14" x14ac:dyDescent="0.3">
      <c r="A569" t="s">
        <v>1425</v>
      </c>
      <c r="B569" s="2">
        <v>45748</v>
      </c>
      <c r="C569" t="s">
        <v>382</v>
      </c>
      <c r="D569" t="s">
        <v>816</v>
      </c>
      <c r="E569" t="s">
        <v>846</v>
      </c>
      <c r="F569">
        <v>1</v>
      </c>
      <c r="G569">
        <v>0.1</v>
      </c>
      <c r="H569" t="s">
        <v>855</v>
      </c>
      <c r="I569" t="str">
        <f>VLOOKUP(C569,Customers!A:C,2,FALSE)&amp;" "&amp;VLOOKUP(C569,Customers!A:C,3,FALSE)</f>
        <v>Carolyn Perez</v>
      </c>
      <c r="J569" t="str">
        <f>VLOOKUP(D569,Products!A:C,2,FALSE)</f>
        <v>Set Dairy</v>
      </c>
      <c r="K569" t="str">
        <f>VLOOKUP(D569,Products!A:C,3,FALSE)</f>
        <v>Groceries</v>
      </c>
      <c r="L569" t="str">
        <f>VLOOKUP(E569,Stores!A:B,2,FALSE)</f>
        <v>MegaMart Johnmouth</v>
      </c>
      <c r="M569">
        <f>VLOOKUP(D569,Products!A:E,5,FALSE)</f>
        <v>1879.08</v>
      </c>
      <c r="N569" s="5">
        <f t="shared" si="8"/>
        <v>1691.172</v>
      </c>
    </row>
    <row r="570" spans="1:14" x14ac:dyDescent="0.3">
      <c r="A570" t="s">
        <v>1426</v>
      </c>
      <c r="B570" s="2">
        <v>45500</v>
      </c>
      <c r="C570" t="s">
        <v>175</v>
      </c>
      <c r="D570" t="s">
        <v>800</v>
      </c>
      <c r="E570" t="s">
        <v>831</v>
      </c>
      <c r="F570">
        <v>4</v>
      </c>
      <c r="G570">
        <v>0.15</v>
      </c>
      <c r="H570" t="s">
        <v>861</v>
      </c>
      <c r="I570" t="str">
        <f>VLOOKUP(C570,Customers!A:C,2,FALSE)&amp;" "&amp;VLOOKUP(C570,Customers!A:C,3,FALSE)</f>
        <v>Kelly Shaw</v>
      </c>
      <c r="J570" t="str">
        <f>VLOOKUP(D570,Products!A:C,2,FALSE)</f>
        <v>Book Television</v>
      </c>
      <c r="K570" t="str">
        <f>VLOOKUP(D570,Products!A:C,3,FALSE)</f>
        <v>Electronics</v>
      </c>
      <c r="L570" t="str">
        <f>VLOOKUP(E570,Stores!A:B,2,FALSE)</f>
        <v>MegaMart Jimenezborough</v>
      </c>
      <c r="M570">
        <f>VLOOKUP(D570,Products!A:E,5,FALSE)</f>
        <v>1952.65</v>
      </c>
      <c r="N570" s="5">
        <f t="shared" si="8"/>
        <v>6639.01</v>
      </c>
    </row>
    <row r="571" spans="1:14" x14ac:dyDescent="0.3">
      <c r="A571" t="s">
        <v>1427</v>
      </c>
      <c r="B571" s="2">
        <v>45362</v>
      </c>
      <c r="C571" t="s">
        <v>101</v>
      </c>
      <c r="D571" t="s">
        <v>742</v>
      </c>
      <c r="E571" t="s">
        <v>842</v>
      </c>
      <c r="F571">
        <v>1</v>
      </c>
      <c r="G571">
        <v>0.05</v>
      </c>
      <c r="H571" t="s">
        <v>865</v>
      </c>
      <c r="I571" t="str">
        <f>VLOOKUP(C571,Customers!A:C,2,FALSE)&amp;" "&amp;VLOOKUP(C571,Customers!A:C,3,FALSE)</f>
        <v>Cheryl Gilbert</v>
      </c>
      <c r="J571" t="str">
        <f>VLOOKUP(D571,Products!A:C,2,FALSE)</f>
        <v>Either Headphones</v>
      </c>
      <c r="K571" t="str">
        <f>VLOOKUP(D571,Products!A:C,3,FALSE)</f>
        <v>Electronics</v>
      </c>
      <c r="L571" t="str">
        <f>VLOOKUP(E571,Stores!A:B,2,FALSE)</f>
        <v>MegaMart Brianahaven</v>
      </c>
      <c r="M571">
        <f>VLOOKUP(D571,Products!A:E,5,FALSE)</f>
        <v>248.57</v>
      </c>
      <c r="N571" s="5">
        <f t="shared" si="8"/>
        <v>236.14149999999998</v>
      </c>
    </row>
    <row r="572" spans="1:14" x14ac:dyDescent="0.3">
      <c r="A572" t="s">
        <v>1428</v>
      </c>
      <c r="B572" s="2">
        <v>45276</v>
      </c>
      <c r="C572" t="s">
        <v>20</v>
      </c>
      <c r="D572" t="s">
        <v>718</v>
      </c>
      <c r="E572" t="s">
        <v>831</v>
      </c>
      <c r="F572">
        <v>2</v>
      </c>
      <c r="G572">
        <v>0.05</v>
      </c>
      <c r="H572" t="s">
        <v>861</v>
      </c>
      <c r="I572" t="str">
        <f>VLOOKUP(C572,Customers!A:C,2,FALSE)&amp;" "&amp;VLOOKUP(C572,Customers!A:C,3,FALSE)</f>
        <v>Joseph Ward</v>
      </c>
      <c r="J572" t="str">
        <f>VLOOKUP(D572,Products!A:C,2,FALSE)</f>
        <v>Here Footwear</v>
      </c>
      <c r="K572" t="str">
        <f>VLOOKUP(D572,Products!A:C,3,FALSE)</f>
        <v>Fashion</v>
      </c>
      <c r="L572" t="str">
        <f>VLOOKUP(E572,Stores!A:B,2,FALSE)</f>
        <v>MegaMart Jimenezborough</v>
      </c>
      <c r="M572">
        <f>VLOOKUP(D572,Products!A:E,5,FALSE)</f>
        <v>337.63</v>
      </c>
      <c r="N572" s="5">
        <f t="shared" si="8"/>
        <v>641.49699999999996</v>
      </c>
    </row>
    <row r="573" spans="1:14" x14ac:dyDescent="0.3">
      <c r="A573" t="s">
        <v>1429</v>
      </c>
      <c r="B573" s="2">
        <v>45868</v>
      </c>
      <c r="C573" t="s">
        <v>386</v>
      </c>
      <c r="D573" t="s">
        <v>826</v>
      </c>
      <c r="E573" t="s">
        <v>839</v>
      </c>
      <c r="F573">
        <v>1</v>
      </c>
      <c r="G573">
        <v>0.1</v>
      </c>
      <c r="H573" t="s">
        <v>865</v>
      </c>
      <c r="I573" t="str">
        <f>VLOOKUP(C573,Customers!A:C,2,FALSE)&amp;" "&amp;VLOOKUP(C573,Customers!A:C,3,FALSE)</f>
        <v>David Burns</v>
      </c>
      <c r="J573" t="str">
        <f>VLOOKUP(D573,Products!A:C,2,FALSE)</f>
        <v>Maybe Footwear</v>
      </c>
      <c r="K573" t="str">
        <f>VLOOKUP(D573,Products!A:C,3,FALSE)</f>
        <v>Fashion</v>
      </c>
      <c r="L573" t="str">
        <f>VLOOKUP(E573,Stores!A:B,2,FALSE)</f>
        <v>MegaMart New Michele</v>
      </c>
      <c r="M573">
        <f>VLOOKUP(D573,Products!A:E,5,FALSE)</f>
        <v>1044.6400000000001</v>
      </c>
      <c r="N573" s="5">
        <f t="shared" si="8"/>
        <v>940.17600000000016</v>
      </c>
    </row>
    <row r="574" spans="1:14" x14ac:dyDescent="0.3">
      <c r="A574" t="s">
        <v>1430</v>
      </c>
      <c r="B574" s="2">
        <v>45850</v>
      </c>
      <c r="C574" t="s">
        <v>28</v>
      </c>
      <c r="D574" t="s">
        <v>745</v>
      </c>
      <c r="E574" t="s">
        <v>831</v>
      </c>
      <c r="F574">
        <v>2</v>
      </c>
      <c r="G574">
        <v>0.15</v>
      </c>
      <c r="H574" t="s">
        <v>861</v>
      </c>
      <c r="I574" t="str">
        <f>VLOOKUP(C574,Customers!A:C,2,FALSE)&amp;" "&amp;VLOOKUP(C574,Customers!A:C,3,FALSE)</f>
        <v>Danny Moore</v>
      </c>
      <c r="J574" t="str">
        <f>VLOOKUP(D574,Products!A:C,2,FALSE)</f>
        <v>Above Camera</v>
      </c>
      <c r="K574" t="str">
        <f>VLOOKUP(D574,Products!A:C,3,FALSE)</f>
        <v>Electronics</v>
      </c>
      <c r="L574" t="str">
        <f>VLOOKUP(E574,Stores!A:B,2,FALSE)</f>
        <v>MegaMart Jimenezborough</v>
      </c>
      <c r="M574">
        <f>VLOOKUP(D574,Products!A:E,5,FALSE)</f>
        <v>1193.0899999999999</v>
      </c>
      <c r="N574" s="5">
        <f t="shared" si="8"/>
        <v>2028.2529999999997</v>
      </c>
    </row>
    <row r="575" spans="1:14" x14ac:dyDescent="0.3">
      <c r="A575" t="s">
        <v>1431</v>
      </c>
      <c r="B575" s="2">
        <v>45267</v>
      </c>
      <c r="C575" t="s">
        <v>97</v>
      </c>
      <c r="D575" t="s">
        <v>750</v>
      </c>
      <c r="E575" t="s">
        <v>839</v>
      </c>
      <c r="F575">
        <v>1</v>
      </c>
      <c r="G575">
        <v>0</v>
      </c>
      <c r="H575" t="s">
        <v>858</v>
      </c>
      <c r="I575" t="str">
        <f>VLOOKUP(C575,Customers!A:C,2,FALSE)&amp;" "&amp;VLOOKUP(C575,Customers!A:C,3,FALSE)</f>
        <v>Molly Murray</v>
      </c>
      <c r="J575" t="str">
        <f>VLOOKUP(D575,Products!A:C,2,FALSE)</f>
        <v>Add Clothing</v>
      </c>
      <c r="K575" t="str">
        <f>VLOOKUP(D575,Products!A:C,3,FALSE)</f>
        <v>Fashion</v>
      </c>
      <c r="L575" t="str">
        <f>VLOOKUP(E575,Stores!A:B,2,FALSE)</f>
        <v>MegaMart New Michele</v>
      </c>
      <c r="M575">
        <f>VLOOKUP(D575,Products!A:E,5,FALSE)</f>
        <v>1342.75</v>
      </c>
      <c r="N575" s="5">
        <f t="shared" si="8"/>
        <v>1342.75</v>
      </c>
    </row>
    <row r="576" spans="1:14" x14ac:dyDescent="0.3">
      <c r="A576" t="s">
        <v>1432</v>
      </c>
      <c r="B576" s="2">
        <v>45745</v>
      </c>
      <c r="C576" t="s">
        <v>55</v>
      </c>
      <c r="D576" t="s">
        <v>764</v>
      </c>
      <c r="E576" t="s">
        <v>835</v>
      </c>
      <c r="F576">
        <v>5</v>
      </c>
      <c r="G576">
        <v>0.15</v>
      </c>
      <c r="H576" t="s">
        <v>858</v>
      </c>
      <c r="I576" t="str">
        <f>VLOOKUP(C576,Customers!A:C,2,FALSE)&amp;" "&amp;VLOOKUP(C576,Customers!A:C,3,FALSE)</f>
        <v>Robert Anderson</v>
      </c>
      <c r="J576" t="str">
        <f>VLOOKUP(D576,Products!A:C,2,FALSE)</f>
        <v>Simple Accessories</v>
      </c>
      <c r="K576" t="str">
        <f>VLOOKUP(D576,Products!A:C,3,FALSE)</f>
        <v>Fashion</v>
      </c>
      <c r="L576" t="str">
        <f>VLOOKUP(E576,Stores!A:B,2,FALSE)</f>
        <v>MegaMart Peckmouth</v>
      </c>
      <c r="M576">
        <f>VLOOKUP(D576,Products!A:E,5,FALSE)</f>
        <v>323.92</v>
      </c>
      <c r="N576" s="5">
        <f t="shared" si="8"/>
        <v>1376.66</v>
      </c>
    </row>
    <row r="577" spans="1:14" x14ac:dyDescent="0.3">
      <c r="A577" t="s">
        <v>1433</v>
      </c>
      <c r="B577" s="2">
        <v>45485</v>
      </c>
      <c r="C577" t="s">
        <v>469</v>
      </c>
      <c r="D577" t="s">
        <v>824</v>
      </c>
      <c r="E577" t="s">
        <v>831</v>
      </c>
      <c r="F577">
        <v>4</v>
      </c>
      <c r="G577">
        <v>0.15</v>
      </c>
      <c r="H577" t="s">
        <v>861</v>
      </c>
      <c r="I577" t="str">
        <f>VLOOKUP(C577,Customers!A:C,2,FALSE)&amp;" "&amp;VLOOKUP(C577,Customers!A:C,3,FALSE)</f>
        <v>Robert Collins</v>
      </c>
      <c r="J577" t="str">
        <f>VLOOKUP(D577,Products!A:C,2,FALSE)</f>
        <v>Possible Watches</v>
      </c>
      <c r="K577" t="str">
        <f>VLOOKUP(D577,Products!A:C,3,FALSE)</f>
        <v>Fashion</v>
      </c>
      <c r="L577" t="str">
        <f>VLOOKUP(E577,Stores!A:B,2,FALSE)</f>
        <v>MegaMart Jimenezborough</v>
      </c>
      <c r="M577">
        <f>VLOOKUP(D577,Products!A:E,5,FALSE)</f>
        <v>388.26</v>
      </c>
      <c r="N577" s="5">
        <f t="shared" si="8"/>
        <v>1320.0839999999998</v>
      </c>
    </row>
    <row r="578" spans="1:14" x14ac:dyDescent="0.3">
      <c r="A578" t="s">
        <v>1434</v>
      </c>
      <c r="B578" s="2">
        <v>45662</v>
      </c>
      <c r="C578" t="s">
        <v>343</v>
      </c>
      <c r="D578" t="s">
        <v>800</v>
      </c>
      <c r="E578" t="s">
        <v>835</v>
      </c>
      <c r="F578">
        <v>2</v>
      </c>
      <c r="G578">
        <v>0.1</v>
      </c>
      <c r="H578" t="s">
        <v>855</v>
      </c>
      <c r="I578" t="str">
        <f>VLOOKUP(C578,Customers!A:C,2,FALSE)&amp;" "&amp;VLOOKUP(C578,Customers!A:C,3,FALSE)</f>
        <v>Brian Fowler</v>
      </c>
      <c r="J578" t="str">
        <f>VLOOKUP(D578,Products!A:C,2,FALSE)</f>
        <v>Book Television</v>
      </c>
      <c r="K578" t="str">
        <f>VLOOKUP(D578,Products!A:C,3,FALSE)</f>
        <v>Electronics</v>
      </c>
      <c r="L578" t="str">
        <f>VLOOKUP(E578,Stores!A:B,2,FALSE)</f>
        <v>MegaMart Peckmouth</v>
      </c>
      <c r="M578">
        <f>VLOOKUP(D578,Products!A:E,5,FALSE)</f>
        <v>1952.65</v>
      </c>
      <c r="N578" s="5">
        <f t="shared" si="8"/>
        <v>3514.7700000000004</v>
      </c>
    </row>
    <row r="579" spans="1:14" x14ac:dyDescent="0.3">
      <c r="A579" t="s">
        <v>1435</v>
      </c>
      <c r="B579" s="2">
        <v>45645</v>
      </c>
      <c r="C579" t="s">
        <v>429</v>
      </c>
      <c r="D579" t="s">
        <v>782</v>
      </c>
      <c r="E579" t="s">
        <v>835</v>
      </c>
      <c r="F579">
        <v>1</v>
      </c>
      <c r="G579">
        <v>0.05</v>
      </c>
      <c r="H579" t="s">
        <v>855</v>
      </c>
      <c r="I579" t="str">
        <f>VLOOKUP(C579,Customers!A:C,2,FALSE)&amp;" "&amp;VLOOKUP(C579,Customers!A:C,3,FALSE)</f>
        <v>Jose Smith</v>
      </c>
      <c r="J579" t="str">
        <f>VLOOKUP(D579,Products!A:C,2,FALSE)</f>
        <v>Deal Smartphone</v>
      </c>
      <c r="K579" t="str">
        <f>VLOOKUP(D579,Products!A:C,3,FALSE)</f>
        <v>Electronics</v>
      </c>
      <c r="L579" t="str">
        <f>VLOOKUP(E579,Stores!A:B,2,FALSE)</f>
        <v>MegaMart Peckmouth</v>
      </c>
      <c r="M579">
        <f>VLOOKUP(D579,Products!A:E,5,FALSE)</f>
        <v>673.78</v>
      </c>
      <c r="N579" s="5">
        <f t="shared" ref="N579:N642" si="9">F579*M579*(1-G579)</f>
        <v>640.09099999999989</v>
      </c>
    </row>
    <row r="580" spans="1:14" x14ac:dyDescent="0.3">
      <c r="A580" t="s">
        <v>1436</v>
      </c>
      <c r="B580" s="2">
        <v>45300</v>
      </c>
      <c r="C580" t="s">
        <v>469</v>
      </c>
      <c r="D580" t="s">
        <v>759</v>
      </c>
      <c r="E580" t="s">
        <v>842</v>
      </c>
      <c r="F580">
        <v>5</v>
      </c>
      <c r="G580">
        <v>0.15</v>
      </c>
      <c r="H580" t="s">
        <v>865</v>
      </c>
      <c r="I580" t="str">
        <f>VLOOKUP(C580,Customers!A:C,2,FALSE)&amp;" "&amp;VLOOKUP(C580,Customers!A:C,3,FALSE)</f>
        <v>Robert Collins</v>
      </c>
      <c r="J580" t="str">
        <f>VLOOKUP(D580,Products!A:C,2,FALSE)</f>
        <v>Democratic Smartphone</v>
      </c>
      <c r="K580" t="str">
        <f>VLOOKUP(D580,Products!A:C,3,FALSE)</f>
        <v>Electronics</v>
      </c>
      <c r="L580" t="str">
        <f>VLOOKUP(E580,Stores!A:B,2,FALSE)</f>
        <v>MegaMart Brianahaven</v>
      </c>
      <c r="M580">
        <f>VLOOKUP(D580,Products!A:E,5,FALSE)</f>
        <v>1079.8900000000001</v>
      </c>
      <c r="N580" s="5">
        <f t="shared" si="9"/>
        <v>4589.5325000000003</v>
      </c>
    </row>
    <row r="581" spans="1:14" x14ac:dyDescent="0.3">
      <c r="A581" t="s">
        <v>1437</v>
      </c>
      <c r="B581" s="2">
        <v>45199</v>
      </c>
      <c r="C581" t="s">
        <v>93</v>
      </c>
      <c r="D581" t="s">
        <v>818</v>
      </c>
      <c r="E581" t="s">
        <v>839</v>
      </c>
      <c r="F581">
        <v>4</v>
      </c>
      <c r="G581">
        <v>0.05</v>
      </c>
      <c r="H581" t="s">
        <v>858</v>
      </c>
      <c r="I581" t="str">
        <f>VLOOKUP(C581,Customers!A:C,2,FALSE)&amp;" "&amp;VLOOKUP(C581,Customers!A:C,3,FALSE)</f>
        <v>Mark Martinez</v>
      </c>
      <c r="J581" t="str">
        <f>VLOOKUP(D581,Products!A:C,2,FALSE)</f>
        <v>Nature Clothing</v>
      </c>
      <c r="K581" t="str">
        <f>VLOOKUP(D581,Products!A:C,3,FALSE)</f>
        <v>Fashion</v>
      </c>
      <c r="L581" t="str">
        <f>VLOOKUP(E581,Stores!A:B,2,FALSE)</f>
        <v>MegaMart New Michele</v>
      </c>
      <c r="M581">
        <f>VLOOKUP(D581,Products!A:E,5,FALSE)</f>
        <v>1165.3699999999999</v>
      </c>
      <c r="N581" s="5">
        <f t="shared" si="9"/>
        <v>4428.405999999999</v>
      </c>
    </row>
    <row r="582" spans="1:14" x14ac:dyDescent="0.3">
      <c r="A582" t="s">
        <v>1438</v>
      </c>
      <c r="B582" s="2">
        <v>45658</v>
      </c>
      <c r="C582" t="s">
        <v>202</v>
      </c>
      <c r="D582" t="s">
        <v>776</v>
      </c>
      <c r="E582" t="s">
        <v>846</v>
      </c>
      <c r="F582">
        <v>2</v>
      </c>
      <c r="G582">
        <v>0</v>
      </c>
      <c r="H582" t="s">
        <v>858</v>
      </c>
      <c r="I582" t="str">
        <f>VLOOKUP(C582,Customers!A:C,2,FALSE)&amp;" "&amp;VLOOKUP(C582,Customers!A:C,3,FALSE)</f>
        <v>Billy Hernandez</v>
      </c>
      <c r="J582" t="str">
        <f>VLOOKUP(D582,Products!A:C,2,FALSE)</f>
        <v>Little Watches</v>
      </c>
      <c r="K582" t="str">
        <f>VLOOKUP(D582,Products!A:C,3,FALSE)</f>
        <v>Fashion</v>
      </c>
      <c r="L582" t="str">
        <f>VLOOKUP(E582,Stores!A:B,2,FALSE)</f>
        <v>MegaMart Johnmouth</v>
      </c>
      <c r="M582">
        <f>VLOOKUP(D582,Products!A:E,5,FALSE)</f>
        <v>429.15</v>
      </c>
      <c r="N582" s="5">
        <f t="shared" si="9"/>
        <v>858.3</v>
      </c>
    </row>
    <row r="583" spans="1:14" x14ac:dyDescent="0.3">
      <c r="A583" t="s">
        <v>1439</v>
      </c>
      <c r="B583" s="2">
        <v>45839</v>
      </c>
      <c r="C583" t="s">
        <v>647</v>
      </c>
      <c r="D583" t="s">
        <v>820</v>
      </c>
      <c r="E583" t="s">
        <v>839</v>
      </c>
      <c r="F583">
        <v>4</v>
      </c>
      <c r="G583">
        <v>0.15</v>
      </c>
      <c r="H583" t="s">
        <v>855</v>
      </c>
      <c r="I583" t="str">
        <f>VLOOKUP(C583,Customers!A:C,2,FALSE)&amp;" "&amp;VLOOKUP(C583,Customers!A:C,3,FALSE)</f>
        <v>Mary Dawson</v>
      </c>
      <c r="J583" t="str">
        <f>VLOOKUP(D583,Products!A:C,2,FALSE)</f>
        <v>Or Smartphone</v>
      </c>
      <c r="K583" t="str">
        <f>VLOOKUP(D583,Products!A:C,3,FALSE)</f>
        <v>Electronics</v>
      </c>
      <c r="L583" t="str">
        <f>VLOOKUP(E583,Stores!A:B,2,FALSE)</f>
        <v>MegaMart New Michele</v>
      </c>
      <c r="M583">
        <f>VLOOKUP(D583,Products!A:E,5,FALSE)</f>
        <v>1197.18</v>
      </c>
      <c r="N583" s="5">
        <f t="shared" si="9"/>
        <v>4070.4120000000003</v>
      </c>
    </row>
    <row r="584" spans="1:14" x14ac:dyDescent="0.3">
      <c r="A584" t="s">
        <v>1440</v>
      </c>
      <c r="B584" s="2">
        <v>45772</v>
      </c>
      <c r="C584" t="s">
        <v>527</v>
      </c>
      <c r="D584" t="s">
        <v>820</v>
      </c>
      <c r="E584" t="s">
        <v>846</v>
      </c>
      <c r="F584">
        <v>3</v>
      </c>
      <c r="G584">
        <v>0.15</v>
      </c>
      <c r="H584" t="s">
        <v>855</v>
      </c>
      <c r="I584" t="str">
        <f>VLOOKUP(C584,Customers!A:C,2,FALSE)&amp;" "&amp;VLOOKUP(C584,Customers!A:C,3,FALSE)</f>
        <v>Paige Osborne</v>
      </c>
      <c r="J584" t="str">
        <f>VLOOKUP(D584,Products!A:C,2,FALSE)</f>
        <v>Or Smartphone</v>
      </c>
      <c r="K584" t="str">
        <f>VLOOKUP(D584,Products!A:C,3,FALSE)</f>
        <v>Electronics</v>
      </c>
      <c r="L584" t="str">
        <f>VLOOKUP(E584,Stores!A:B,2,FALSE)</f>
        <v>MegaMart Johnmouth</v>
      </c>
      <c r="M584">
        <f>VLOOKUP(D584,Products!A:E,5,FALSE)</f>
        <v>1197.18</v>
      </c>
      <c r="N584" s="5">
        <f t="shared" si="9"/>
        <v>3052.8089999999997</v>
      </c>
    </row>
    <row r="585" spans="1:14" x14ac:dyDescent="0.3">
      <c r="A585" t="s">
        <v>1441</v>
      </c>
      <c r="B585" s="2">
        <v>45566</v>
      </c>
      <c r="C585" t="s">
        <v>183</v>
      </c>
      <c r="D585" t="s">
        <v>826</v>
      </c>
      <c r="E585" t="s">
        <v>831</v>
      </c>
      <c r="F585">
        <v>3</v>
      </c>
      <c r="G585">
        <v>0.05</v>
      </c>
      <c r="H585" t="s">
        <v>865</v>
      </c>
      <c r="I585" t="str">
        <f>VLOOKUP(C585,Customers!A:C,2,FALSE)&amp;" "&amp;VLOOKUP(C585,Customers!A:C,3,FALSE)</f>
        <v>Mary Decker</v>
      </c>
      <c r="J585" t="str">
        <f>VLOOKUP(D585,Products!A:C,2,FALSE)</f>
        <v>Maybe Footwear</v>
      </c>
      <c r="K585" t="str">
        <f>VLOOKUP(D585,Products!A:C,3,FALSE)</f>
        <v>Fashion</v>
      </c>
      <c r="L585" t="str">
        <f>VLOOKUP(E585,Stores!A:B,2,FALSE)</f>
        <v>MegaMart Jimenezborough</v>
      </c>
      <c r="M585">
        <f>VLOOKUP(D585,Products!A:E,5,FALSE)</f>
        <v>1044.6400000000001</v>
      </c>
      <c r="N585" s="5">
        <f t="shared" si="9"/>
        <v>2977.2239999999997</v>
      </c>
    </row>
    <row r="586" spans="1:14" x14ac:dyDescent="0.3">
      <c r="A586" t="s">
        <v>1442</v>
      </c>
      <c r="B586" s="2">
        <v>45372</v>
      </c>
      <c r="C586" t="s">
        <v>702</v>
      </c>
      <c r="D586" t="s">
        <v>780</v>
      </c>
      <c r="E586" t="s">
        <v>839</v>
      </c>
      <c r="F586">
        <v>1</v>
      </c>
      <c r="G586">
        <v>0.15</v>
      </c>
      <c r="H586" t="s">
        <v>855</v>
      </c>
      <c r="I586" t="str">
        <f>VLOOKUP(C586,Customers!A:C,2,FALSE)&amp;" "&amp;VLOOKUP(C586,Customers!A:C,3,FALSE)</f>
        <v>Ronald Haley</v>
      </c>
      <c r="J586" t="str">
        <f>VLOOKUP(D586,Products!A:C,2,FALSE)</f>
        <v>Hospital Smartphone</v>
      </c>
      <c r="K586" t="str">
        <f>VLOOKUP(D586,Products!A:C,3,FALSE)</f>
        <v>Electronics</v>
      </c>
      <c r="L586" t="str">
        <f>VLOOKUP(E586,Stores!A:B,2,FALSE)</f>
        <v>MegaMart New Michele</v>
      </c>
      <c r="M586">
        <f>VLOOKUP(D586,Products!A:E,5,FALSE)</f>
        <v>1272.23</v>
      </c>
      <c r="N586" s="5">
        <f t="shared" si="9"/>
        <v>1081.3955000000001</v>
      </c>
    </row>
    <row r="587" spans="1:14" x14ac:dyDescent="0.3">
      <c r="A587" t="s">
        <v>1443</v>
      </c>
      <c r="B587" s="2">
        <v>45324</v>
      </c>
      <c r="C587" t="s">
        <v>693</v>
      </c>
      <c r="D587" t="s">
        <v>804</v>
      </c>
      <c r="E587" t="s">
        <v>846</v>
      </c>
      <c r="F587">
        <v>2</v>
      </c>
      <c r="G587">
        <v>0.05</v>
      </c>
      <c r="H587" t="s">
        <v>865</v>
      </c>
      <c r="I587" t="str">
        <f>VLOOKUP(C587,Customers!A:C,2,FALSE)&amp;" "&amp;VLOOKUP(C587,Customers!A:C,3,FALSE)</f>
        <v>Matthew Dixon</v>
      </c>
      <c r="J587" t="str">
        <f>VLOOKUP(D587,Products!A:C,2,FALSE)</f>
        <v>Church Clothing</v>
      </c>
      <c r="K587" t="str">
        <f>VLOOKUP(D587,Products!A:C,3,FALSE)</f>
        <v>Fashion</v>
      </c>
      <c r="L587" t="str">
        <f>VLOOKUP(E587,Stores!A:B,2,FALSE)</f>
        <v>MegaMart Johnmouth</v>
      </c>
      <c r="M587">
        <f>VLOOKUP(D587,Products!A:E,5,FALSE)</f>
        <v>540.94000000000005</v>
      </c>
      <c r="N587" s="5">
        <f t="shared" si="9"/>
        <v>1027.7860000000001</v>
      </c>
    </row>
    <row r="588" spans="1:14" x14ac:dyDescent="0.3">
      <c r="A588" t="s">
        <v>1444</v>
      </c>
      <c r="B588" s="2">
        <v>45426</v>
      </c>
      <c r="C588" t="s">
        <v>243</v>
      </c>
      <c r="D588" t="s">
        <v>757</v>
      </c>
      <c r="E588" t="s">
        <v>835</v>
      </c>
      <c r="F588">
        <v>3</v>
      </c>
      <c r="G588">
        <v>0</v>
      </c>
      <c r="H588" t="s">
        <v>861</v>
      </c>
      <c r="I588" t="str">
        <f>VLOOKUP(C588,Customers!A:C,2,FALSE)&amp;" "&amp;VLOOKUP(C588,Customers!A:C,3,FALSE)</f>
        <v>Amanda Hoover</v>
      </c>
      <c r="J588" t="str">
        <f>VLOOKUP(D588,Products!A:C,2,FALSE)</f>
        <v>Find Headphones</v>
      </c>
      <c r="K588" t="str">
        <f>VLOOKUP(D588,Products!A:C,3,FALSE)</f>
        <v>Electronics</v>
      </c>
      <c r="L588" t="str">
        <f>VLOOKUP(E588,Stores!A:B,2,FALSE)</f>
        <v>MegaMart Peckmouth</v>
      </c>
      <c r="M588">
        <f>VLOOKUP(D588,Products!A:E,5,FALSE)</f>
        <v>1246.1099999999999</v>
      </c>
      <c r="N588" s="5">
        <f t="shared" si="9"/>
        <v>3738.33</v>
      </c>
    </row>
    <row r="589" spans="1:14" x14ac:dyDescent="0.3">
      <c r="A589" t="s">
        <v>1445</v>
      </c>
      <c r="B589" s="2">
        <v>45304</v>
      </c>
      <c r="C589" t="s">
        <v>536</v>
      </c>
      <c r="D589" t="s">
        <v>761</v>
      </c>
      <c r="E589" t="s">
        <v>842</v>
      </c>
      <c r="F589">
        <v>3</v>
      </c>
      <c r="G589">
        <v>0.05</v>
      </c>
      <c r="H589" t="s">
        <v>861</v>
      </c>
      <c r="I589" t="str">
        <f>VLOOKUP(C589,Customers!A:C,2,FALSE)&amp;" "&amp;VLOOKUP(C589,Customers!A:C,3,FALSE)</f>
        <v>John Foster</v>
      </c>
      <c r="J589" t="str">
        <f>VLOOKUP(D589,Products!A:C,2,FALSE)</f>
        <v>Traditional Laptop</v>
      </c>
      <c r="K589" t="str">
        <f>VLOOKUP(D589,Products!A:C,3,FALSE)</f>
        <v>Electronics</v>
      </c>
      <c r="L589" t="str">
        <f>VLOOKUP(E589,Stores!A:B,2,FALSE)</f>
        <v>MegaMart Brianahaven</v>
      </c>
      <c r="M589">
        <f>VLOOKUP(D589,Products!A:E,5,FALSE)</f>
        <v>1762.92</v>
      </c>
      <c r="N589" s="5">
        <f t="shared" si="9"/>
        <v>5024.3220000000001</v>
      </c>
    </row>
    <row r="590" spans="1:14" x14ac:dyDescent="0.3">
      <c r="A590" t="s">
        <v>1446</v>
      </c>
      <c r="B590" s="2">
        <v>45749</v>
      </c>
      <c r="C590" t="s">
        <v>234</v>
      </c>
      <c r="D590" t="s">
        <v>776</v>
      </c>
      <c r="E590" t="s">
        <v>846</v>
      </c>
      <c r="F590">
        <v>3</v>
      </c>
      <c r="G590">
        <v>0.1</v>
      </c>
      <c r="H590" t="s">
        <v>865</v>
      </c>
      <c r="I590" t="str">
        <f>VLOOKUP(C590,Customers!A:C,2,FALSE)&amp;" "&amp;VLOOKUP(C590,Customers!A:C,3,FALSE)</f>
        <v>Heather Russell</v>
      </c>
      <c r="J590" t="str">
        <f>VLOOKUP(D590,Products!A:C,2,FALSE)</f>
        <v>Little Watches</v>
      </c>
      <c r="K590" t="str">
        <f>VLOOKUP(D590,Products!A:C,3,FALSE)</f>
        <v>Fashion</v>
      </c>
      <c r="L590" t="str">
        <f>VLOOKUP(E590,Stores!A:B,2,FALSE)</f>
        <v>MegaMart Johnmouth</v>
      </c>
      <c r="M590">
        <f>VLOOKUP(D590,Products!A:E,5,FALSE)</f>
        <v>429.15</v>
      </c>
      <c r="N590" s="5">
        <f t="shared" si="9"/>
        <v>1158.7049999999999</v>
      </c>
    </row>
    <row r="591" spans="1:14" x14ac:dyDescent="0.3">
      <c r="A591" t="s">
        <v>1447</v>
      </c>
      <c r="B591" s="2">
        <v>45635</v>
      </c>
      <c r="C591" t="s">
        <v>640</v>
      </c>
      <c r="D591" t="s">
        <v>820</v>
      </c>
      <c r="E591" t="s">
        <v>839</v>
      </c>
      <c r="F591">
        <v>5</v>
      </c>
      <c r="G591">
        <v>0.05</v>
      </c>
      <c r="H591" t="s">
        <v>861</v>
      </c>
      <c r="I591" t="str">
        <f>VLOOKUP(C591,Customers!A:C,2,FALSE)&amp;" "&amp;VLOOKUP(C591,Customers!A:C,3,FALSE)</f>
        <v>Brittany Oneal</v>
      </c>
      <c r="J591" t="str">
        <f>VLOOKUP(D591,Products!A:C,2,FALSE)</f>
        <v>Or Smartphone</v>
      </c>
      <c r="K591" t="str">
        <f>VLOOKUP(D591,Products!A:C,3,FALSE)</f>
        <v>Electronics</v>
      </c>
      <c r="L591" t="str">
        <f>VLOOKUP(E591,Stores!A:B,2,FALSE)</f>
        <v>MegaMart New Michele</v>
      </c>
      <c r="M591">
        <f>VLOOKUP(D591,Products!A:E,5,FALSE)</f>
        <v>1197.18</v>
      </c>
      <c r="N591" s="5">
        <f t="shared" si="9"/>
        <v>5686.6050000000005</v>
      </c>
    </row>
    <row r="592" spans="1:14" x14ac:dyDescent="0.3">
      <c r="A592" t="s">
        <v>1448</v>
      </c>
      <c r="B592" s="2">
        <v>45416</v>
      </c>
      <c r="C592" t="s">
        <v>467</v>
      </c>
      <c r="D592" t="s">
        <v>742</v>
      </c>
      <c r="E592" t="s">
        <v>846</v>
      </c>
      <c r="F592">
        <v>3</v>
      </c>
      <c r="G592">
        <v>0.05</v>
      </c>
      <c r="H592" t="s">
        <v>858</v>
      </c>
      <c r="I592" t="str">
        <f>VLOOKUP(C592,Customers!A:C,2,FALSE)&amp;" "&amp;VLOOKUP(C592,Customers!A:C,3,FALSE)</f>
        <v>John Allen</v>
      </c>
      <c r="J592" t="str">
        <f>VLOOKUP(D592,Products!A:C,2,FALSE)</f>
        <v>Either Headphones</v>
      </c>
      <c r="K592" t="str">
        <f>VLOOKUP(D592,Products!A:C,3,FALSE)</f>
        <v>Electronics</v>
      </c>
      <c r="L592" t="str">
        <f>VLOOKUP(E592,Stores!A:B,2,FALSE)</f>
        <v>MegaMart Johnmouth</v>
      </c>
      <c r="M592">
        <f>VLOOKUP(D592,Products!A:E,5,FALSE)</f>
        <v>248.57</v>
      </c>
      <c r="N592" s="5">
        <f t="shared" si="9"/>
        <v>708.42449999999997</v>
      </c>
    </row>
    <row r="593" spans="1:14" x14ac:dyDescent="0.3">
      <c r="A593" t="s">
        <v>1449</v>
      </c>
      <c r="B593" s="2">
        <v>45325</v>
      </c>
      <c r="C593" t="s">
        <v>44</v>
      </c>
      <c r="D593" t="s">
        <v>725</v>
      </c>
      <c r="E593" t="s">
        <v>831</v>
      </c>
      <c r="F593">
        <v>1</v>
      </c>
      <c r="G593">
        <v>0.05</v>
      </c>
      <c r="H593" t="s">
        <v>861</v>
      </c>
      <c r="I593" t="str">
        <f>VLOOKUP(C593,Customers!A:C,2,FALSE)&amp;" "&amp;VLOOKUP(C593,Customers!A:C,3,FALSE)</f>
        <v>Catherine Rice</v>
      </c>
      <c r="J593" t="str">
        <f>VLOOKUP(D593,Products!A:C,2,FALSE)</f>
        <v>Knowledge Bags</v>
      </c>
      <c r="K593" t="str">
        <f>VLOOKUP(D593,Products!A:C,3,FALSE)</f>
        <v>Fashion</v>
      </c>
      <c r="L593" t="str">
        <f>VLOOKUP(E593,Stores!A:B,2,FALSE)</f>
        <v>MegaMart Jimenezborough</v>
      </c>
      <c r="M593">
        <f>VLOOKUP(D593,Products!A:E,5,FALSE)</f>
        <v>1396.22</v>
      </c>
      <c r="N593" s="5">
        <f t="shared" si="9"/>
        <v>1326.4089999999999</v>
      </c>
    </row>
    <row r="594" spans="1:14" x14ac:dyDescent="0.3">
      <c r="A594" t="s">
        <v>1450</v>
      </c>
      <c r="B594" s="2">
        <v>45747</v>
      </c>
      <c r="C594" t="s">
        <v>28</v>
      </c>
      <c r="D594" t="s">
        <v>753</v>
      </c>
      <c r="E594" t="s">
        <v>846</v>
      </c>
      <c r="F594">
        <v>4</v>
      </c>
      <c r="G594">
        <v>0</v>
      </c>
      <c r="H594" t="s">
        <v>855</v>
      </c>
      <c r="I594" t="str">
        <f>VLOOKUP(C594,Customers!A:C,2,FALSE)&amp;" "&amp;VLOOKUP(C594,Customers!A:C,3,FALSE)</f>
        <v>Danny Moore</v>
      </c>
      <c r="J594" t="str">
        <f>VLOOKUP(D594,Products!A:C,2,FALSE)</f>
        <v>Whether Bags</v>
      </c>
      <c r="K594" t="str">
        <f>VLOOKUP(D594,Products!A:C,3,FALSE)</f>
        <v>Fashion</v>
      </c>
      <c r="L594" t="str">
        <f>VLOOKUP(E594,Stores!A:B,2,FALSE)</f>
        <v>MegaMart Johnmouth</v>
      </c>
      <c r="M594">
        <f>VLOOKUP(D594,Products!A:E,5,FALSE)</f>
        <v>270.45</v>
      </c>
      <c r="N594" s="5">
        <f t="shared" si="9"/>
        <v>1081.8</v>
      </c>
    </row>
    <row r="595" spans="1:14" x14ac:dyDescent="0.3">
      <c r="A595" t="s">
        <v>1451</v>
      </c>
      <c r="B595" s="2">
        <v>45854</v>
      </c>
      <c r="C595" t="s">
        <v>567</v>
      </c>
      <c r="D595" t="s">
        <v>774</v>
      </c>
      <c r="E595" t="s">
        <v>835</v>
      </c>
      <c r="F595">
        <v>2</v>
      </c>
      <c r="G595">
        <v>0.1</v>
      </c>
      <c r="H595" t="s">
        <v>861</v>
      </c>
      <c r="I595" t="str">
        <f>VLOOKUP(C595,Customers!A:C,2,FALSE)&amp;" "&amp;VLOOKUP(C595,Customers!A:C,3,FALSE)</f>
        <v>Crystal Aguirre</v>
      </c>
      <c r="J595" t="str">
        <f>VLOOKUP(D595,Products!A:C,2,FALSE)</f>
        <v>Him Smartphone</v>
      </c>
      <c r="K595" t="str">
        <f>VLOOKUP(D595,Products!A:C,3,FALSE)</f>
        <v>Electronics</v>
      </c>
      <c r="L595" t="str">
        <f>VLOOKUP(E595,Stores!A:B,2,FALSE)</f>
        <v>MegaMart Peckmouth</v>
      </c>
      <c r="M595">
        <f>VLOOKUP(D595,Products!A:E,5,FALSE)</f>
        <v>1487.41</v>
      </c>
      <c r="N595" s="5">
        <f t="shared" si="9"/>
        <v>2677.3380000000002</v>
      </c>
    </row>
    <row r="596" spans="1:14" x14ac:dyDescent="0.3">
      <c r="A596" t="s">
        <v>1452</v>
      </c>
      <c r="B596" s="2">
        <v>45181</v>
      </c>
      <c r="C596" t="s">
        <v>313</v>
      </c>
      <c r="D596" t="s">
        <v>782</v>
      </c>
      <c r="E596" t="s">
        <v>831</v>
      </c>
      <c r="F596">
        <v>1</v>
      </c>
      <c r="G596">
        <v>0.05</v>
      </c>
      <c r="H596" t="s">
        <v>861</v>
      </c>
      <c r="I596" t="str">
        <f>VLOOKUP(C596,Customers!A:C,2,FALSE)&amp;" "&amp;VLOOKUP(C596,Customers!A:C,3,FALSE)</f>
        <v>Jeremy Robles</v>
      </c>
      <c r="J596" t="str">
        <f>VLOOKUP(D596,Products!A:C,2,FALSE)</f>
        <v>Deal Smartphone</v>
      </c>
      <c r="K596" t="str">
        <f>VLOOKUP(D596,Products!A:C,3,FALSE)</f>
        <v>Electronics</v>
      </c>
      <c r="L596" t="str">
        <f>VLOOKUP(E596,Stores!A:B,2,FALSE)</f>
        <v>MegaMart Jimenezborough</v>
      </c>
      <c r="M596">
        <f>VLOOKUP(D596,Products!A:E,5,FALSE)</f>
        <v>673.78</v>
      </c>
      <c r="N596" s="5">
        <f t="shared" si="9"/>
        <v>640.09099999999989</v>
      </c>
    </row>
    <row r="597" spans="1:14" x14ac:dyDescent="0.3">
      <c r="A597" t="s">
        <v>1453</v>
      </c>
      <c r="B597" s="2">
        <v>45632</v>
      </c>
      <c r="C597" t="s">
        <v>700</v>
      </c>
      <c r="D597" t="s">
        <v>734</v>
      </c>
      <c r="E597" t="s">
        <v>831</v>
      </c>
      <c r="F597">
        <v>5</v>
      </c>
      <c r="G597">
        <v>0.1</v>
      </c>
      <c r="H597" t="s">
        <v>865</v>
      </c>
      <c r="I597" t="str">
        <f>VLOOKUP(C597,Customers!A:C,2,FALSE)&amp;" "&amp;VLOOKUP(C597,Customers!A:C,3,FALSE)</f>
        <v>Juan Johnson</v>
      </c>
      <c r="J597" t="str">
        <f>VLOOKUP(D597,Products!A:C,2,FALSE)</f>
        <v>Recognize Footwear</v>
      </c>
      <c r="K597" t="str">
        <f>VLOOKUP(D597,Products!A:C,3,FALSE)</f>
        <v>Fashion</v>
      </c>
      <c r="L597" t="str">
        <f>VLOOKUP(E597,Stores!A:B,2,FALSE)</f>
        <v>MegaMart Jimenezborough</v>
      </c>
      <c r="M597">
        <f>VLOOKUP(D597,Products!A:E,5,FALSE)</f>
        <v>109.78</v>
      </c>
      <c r="N597" s="5">
        <f t="shared" si="9"/>
        <v>494.01</v>
      </c>
    </row>
    <row r="598" spans="1:14" x14ac:dyDescent="0.3">
      <c r="A598" t="s">
        <v>1454</v>
      </c>
      <c r="B598" s="2">
        <v>45524</v>
      </c>
      <c r="C598" t="s">
        <v>362</v>
      </c>
      <c r="D598" t="s">
        <v>804</v>
      </c>
      <c r="E598" t="s">
        <v>842</v>
      </c>
      <c r="F598">
        <v>5</v>
      </c>
      <c r="G598">
        <v>0</v>
      </c>
      <c r="H598" t="s">
        <v>855</v>
      </c>
      <c r="I598" t="str">
        <f>VLOOKUP(C598,Customers!A:C,2,FALSE)&amp;" "&amp;VLOOKUP(C598,Customers!A:C,3,FALSE)</f>
        <v>Eric King</v>
      </c>
      <c r="J598" t="str">
        <f>VLOOKUP(D598,Products!A:C,2,FALSE)</f>
        <v>Church Clothing</v>
      </c>
      <c r="K598" t="str">
        <f>VLOOKUP(D598,Products!A:C,3,FALSE)</f>
        <v>Fashion</v>
      </c>
      <c r="L598" t="str">
        <f>VLOOKUP(E598,Stores!A:B,2,FALSE)</f>
        <v>MegaMart Brianahaven</v>
      </c>
      <c r="M598">
        <f>VLOOKUP(D598,Products!A:E,5,FALSE)</f>
        <v>540.94000000000005</v>
      </c>
      <c r="N598" s="5">
        <f t="shared" si="9"/>
        <v>2704.7000000000003</v>
      </c>
    </row>
    <row r="599" spans="1:14" x14ac:dyDescent="0.3">
      <c r="A599" t="s">
        <v>1455</v>
      </c>
      <c r="B599" s="2">
        <v>45653</v>
      </c>
      <c r="C599" t="s">
        <v>294</v>
      </c>
      <c r="D599" t="s">
        <v>812</v>
      </c>
      <c r="E599" t="s">
        <v>839</v>
      </c>
      <c r="F599">
        <v>2</v>
      </c>
      <c r="G599">
        <v>0.05</v>
      </c>
      <c r="H599" t="s">
        <v>858</v>
      </c>
      <c r="I599" t="str">
        <f>VLOOKUP(C599,Customers!A:C,2,FALSE)&amp;" "&amp;VLOOKUP(C599,Customers!A:C,3,FALSE)</f>
        <v>Jeanne Young</v>
      </c>
      <c r="J599" t="str">
        <f>VLOOKUP(D599,Products!A:C,2,FALSE)</f>
        <v>Soon Accessories</v>
      </c>
      <c r="K599" t="str">
        <f>VLOOKUP(D599,Products!A:C,3,FALSE)</f>
        <v>Fashion</v>
      </c>
      <c r="L599" t="str">
        <f>VLOOKUP(E599,Stores!A:B,2,FALSE)</f>
        <v>MegaMart New Michele</v>
      </c>
      <c r="M599">
        <f>VLOOKUP(D599,Products!A:E,5,FALSE)</f>
        <v>564.41999999999996</v>
      </c>
      <c r="N599" s="5">
        <f t="shared" si="9"/>
        <v>1072.3979999999999</v>
      </c>
    </row>
    <row r="600" spans="1:14" x14ac:dyDescent="0.3">
      <c r="A600" t="s">
        <v>1456</v>
      </c>
      <c r="B600" s="2">
        <v>45380</v>
      </c>
      <c r="C600" t="s">
        <v>585</v>
      </c>
      <c r="D600" t="s">
        <v>806</v>
      </c>
      <c r="E600" t="s">
        <v>842</v>
      </c>
      <c r="F600">
        <v>3</v>
      </c>
      <c r="G600">
        <v>0.05</v>
      </c>
      <c r="H600" t="s">
        <v>855</v>
      </c>
      <c r="I600" t="str">
        <f>VLOOKUP(C600,Customers!A:C,2,FALSE)&amp;" "&amp;VLOOKUP(C600,Customers!A:C,3,FALSE)</f>
        <v>Linda Vasquez</v>
      </c>
      <c r="J600" t="str">
        <f>VLOOKUP(D600,Products!A:C,2,FALSE)</f>
        <v>Piece Headphones</v>
      </c>
      <c r="K600" t="str">
        <f>VLOOKUP(D600,Products!A:C,3,FALSE)</f>
        <v>Electronics</v>
      </c>
      <c r="L600" t="str">
        <f>VLOOKUP(E600,Stores!A:B,2,FALSE)</f>
        <v>MegaMart Brianahaven</v>
      </c>
      <c r="M600">
        <f>VLOOKUP(D600,Products!A:E,5,FALSE)</f>
        <v>1745.61</v>
      </c>
      <c r="N600" s="5">
        <f t="shared" si="9"/>
        <v>4974.9884999999995</v>
      </c>
    </row>
    <row r="601" spans="1:14" x14ac:dyDescent="0.3">
      <c r="A601" t="s">
        <v>1457</v>
      </c>
      <c r="B601" s="2">
        <v>45885</v>
      </c>
      <c r="C601" t="s">
        <v>224</v>
      </c>
      <c r="D601" t="s">
        <v>826</v>
      </c>
      <c r="E601" t="s">
        <v>846</v>
      </c>
      <c r="F601">
        <v>2</v>
      </c>
      <c r="G601">
        <v>0.15</v>
      </c>
      <c r="H601" t="s">
        <v>855</v>
      </c>
      <c r="I601" t="str">
        <f>VLOOKUP(C601,Customers!A:C,2,FALSE)&amp;" "&amp;VLOOKUP(C601,Customers!A:C,3,FALSE)</f>
        <v>Lawrence Stewart</v>
      </c>
      <c r="J601" t="str">
        <f>VLOOKUP(D601,Products!A:C,2,FALSE)</f>
        <v>Maybe Footwear</v>
      </c>
      <c r="K601" t="str">
        <f>VLOOKUP(D601,Products!A:C,3,FALSE)</f>
        <v>Fashion</v>
      </c>
      <c r="L601" t="str">
        <f>VLOOKUP(E601,Stores!A:B,2,FALSE)</f>
        <v>MegaMart Johnmouth</v>
      </c>
      <c r="M601">
        <f>VLOOKUP(D601,Products!A:E,5,FALSE)</f>
        <v>1044.6400000000001</v>
      </c>
      <c r="N601" s="5">
        <f t="shared" si="9"/>
        <v>1775.8880000000001</v>
      </c>
    </row>
    <row r="602" spans="1:14" x14ac:dyDescent="0.3">
      <c r="A602" t="s">
        <v>1458</v>
      </c>
      <c r="B602" s="2">
        <v>45818</v>
      </c>
      <c r="C602" t="s">
        <v>664</v>
      </c>
      <c r="D602" t="s">
        <v>755</v>
      </c>
      <c r="E602" t="s">
        <v>839</v>
      </c>
      <c r="F602">
        <v>2</v>
      </c>
      <c r="G602">
        <v>0.05</v>
      </c>
      <c r="H602" t="s">
        <v>865</v>
      </c>
      <c r="I602" t="str">
        <f>VLOOKUP(C602,Customers!A:C,2,FALSE)&amp;" "&amp;VLOOKUP(C602,Customers!A:C,3,FALSE)</f>
        <v>Ryan Flores</v>
      </c>
      <c r="J602" t="str">
        <f>VLOOKUP(D602,Products!A:C,2,FALSE)</f>
        <v>House Accessories</v>
      </c>
      <c r="K602" t="str">
        <f>VLOOKUP(D602,Products!A:C,3,FALSE)</f>
        <v>Fashion</v>
      </c>
      <c r="L602" t="str">
        <f>VLOOKUP(E602,Stores!A:B,2,FALSE)</f>
        <v>MegaMart New Michele</v>
      </c>
      <c r="M602">
        <f>VLOOKUP(D602,Products!A:E,5,FALSE)</f>
        <v>1858.75</v>
      </c>
      <c r="N602" s="5">
        <f t="shared" si="9"/>
        <v>3531.625</v>
      </c>
    </row>
    <row r="603" spans="1:14" x14ac:dyDescent="0.3">
      <c r="A603" t="s">
        <v>1459</v>
      </c>
      <c r="B603" s="2">
        <v>45448</v>
      </c>
      <c r="C603" t="s">
        <v>636</v>
      </c>
      <c r="D603" t="s">
        <v>764</v>
      </c>
      <c r="E603" t="s">
        <v>846</v>
      </c>
      <c r="F603">
        <v>4</v>
      </c>
      <c r="G603">
        <v>0</v>
      </c>
      <c r="H603" t="s">
        <v>861</v>
      </c>
      <c r="I603" t="str">
        <f>VLOOKUP(C603,Customers!A:C,2,FALSE)&amp;" "&amp;VLOOKUP(C603,Customers!A:C,3,FALSE)</f>
        <v>Nichole Calhoun</v>
      </c>
      <c r="J603" t="str">
        <f>VLOOKUP(D603,Products!A:C,2,FALSE)</f>
        <v>Simple Accessories</v>
      </c>
      <c r="K603" t="str">
        <f>VLOOKUP(D603,Products!A:C,3,FALSE)</f>
        <v>Fashion</v>
      </c>
      <c r="L603" t="str">
        <f>VLOOKUP(E603,Stores!A:B,2,FALSE)</f>
        <v>MegaMart Johnmouth</v>
      </c>
      <c r="M603">
        <f>VLOOKUP(D603,Products!A:E,5,FALSE)</f>
        <v>323.92</v>
      </c>
      <c r="N603" s="5">
        <f t="shared" si="9"/>
        <v>1295.68</v>
      </c>
    </row>
    <row r="604" spans="1:14" x14ac:dyDescent="0.3">
      <c r="A604" t="s">
        <v>1460</v>
      </c>
      <c r="B604" s="2">
        <v>45468</v>
      </c>
      <c r="C604" t="s">
        <v>556</v>
      </c>
      <c r="D604" t="s">
        <v>736</v>
      </c>
      <c r="E604" t="s">
        <v>839</v>
      </c>
      <c r="F604">
        <v>5</v>
      </c>
      <c r="G604">
        <v>0.05</v>
      </c>
      <c r="H604" t="s">
        <v>865</v>
      </c>
      <c r="I604" t="str">
        <f>VLOOKUP(C604,Customers!A:C,2,FALSE)&amp;" "&amp;VLOOKUP(C604,Customers!A:C,3,FALSE)</f>
        <v>Jill Mcconnell</v>
      </c>
      <c r="J604" t="str">
        <f>VLOOKUP(D604,Products!A:C,2,FALSE)</f>
        <v>Us Snacks</v>
      </c>
      <c r="K604" t="str">
        <f>VLOOKUP(D604,Products!A:C,3,FALSE)</f>
        <v>Groceries</v>
      </c>
      <c r="L604" t="str">
        <f>VLOOKUP(E604,Stores!A:B,2,FALSE)</f>
        <v>MegaMart New Michele</v>
      </c>
      <c r="M604">
        <f>VLOOKUP(D604,Products!A:E,5,FALSE)</f>
        <v>123.19</v>
      </c>
      <c r="N604" s="5">
        <f t="shared" si="9"/>
        <v>585.15250000000003</v>
      </c>
    </row>
    <row r="605" spans="1:14" x14ac:dyDescent="0.3">
      <c r="A605" t="s">
        <v>1461</v>
      </c>
      <c r="B605" s="2">
        <v>45256</v>
      </c>
      <c r="C605" t="s">
        <v>469</v>
      </c>
      <c r="D605" t="s">
        <v>790</v>
      </c>
      <c r="E605" t="s">
        <v>835</v>
      </c>
      <c r="F605">
        <v>3</v>
      </c>
      <c r="G605">
        <v>0</v>
      </c>
      <c r="H605" t="s">
        <v>861</v>
      </c>
      <c r="I605" t="str">
        <f>VLOOKUP(C605,Customers!A:C,2,FALSE)&amp;" "&amp;VLOOKUP(C605,Customers!A:C,3,FALSE)</f>
        <v>Robert Collins</v>
      </c>
      <c r="J605" t="str">
        <f>VLOOKUP(D605,Products!A:C,2,FALSE)</f>
        <v>Difficult Vegetables</v>
      </c>
      <c r="K605" t="str">
        <f>VLOOKUP(D605,Products!A:C,3,FALSE)</f>
        <v>Groceries</v>
      </c>
      <c r="L605" t="str">
        <f>VLOOKUP(E605,Stores!A:B,2,FALSE)</f>
        <v>MegaMart Peckmouth</v>
      </c>
      <c r="M605">
        <f>VLOOKUP(D605,Products!A:E,5,FALSE)</f>
        <v>304.70999999999998</v>
      </c>
      <c r="N605" s="5">
        <f t="shared" si="9"/>
        <v>914.12999999999988</v>
      </c>
    </row>
    <row r="606" spans="1:14" x14ac:dyDescent="0.3">
      <c r="A606" t="s">
        <v>1462</v>
      </c>
      <c r="B606" s="2">
        <v>45474</v>
      </c>
      <c r="C606" t="s">
        <v>335</v>
      </c>
      <c r="D606" t="s">
        <v>718</v>
      </c>
      <c r="E606" t="s">
        <v>839</v>
      </c>
      <c r="F606">
        <v>2</v>
      </c>
      <c r="G606">
        <v>0</v>
      </c>
      <c r="H606" t="s">
        <v>855</v>
      </c>
      <c r="I606" t="str">
        <f>VLOOKUP(C606,Customers!A:C,2,FALSE)&amp;" "&amp;VLOOKUP(C606,Customers!A:C,3,FALSE)</f>
        <v>William Warner</v>
      </c>
      <c r="J606" t="str">
        <f>VLOOKUP(D606,Products!A:C,2,FALSE)</f>
        <v>Here Footwear</v>
      </c>
      <c r="K606" t="str">
        <f>VLOOKUP(D606,Products!A:C,3,FALSE)</f>
        <v>Fashion</v>
      </c>
      <c r="L606" t="str">
        <f>VLOOKUP(E606,Stores!A:B,2,FALSE)</f>
        <v>MegaMart New Michele</v>
      </c>
      <c r="M606">
        <f>VLOOKUP(D606,Products!A:E,5,FALSE)</f>
        <v>337.63</v>
      </c>
      <c r="N606" s="5">
        <f t="shared" si="9"/>
        <v>675.26</v>
      </c>
    </row>
    <row r="607" spans="1:14" x14ac:dyDescent="0.3">
      <c r="A607" t="s">
        <v>1463</v>
      </c>
      <c r="B607" s="2">
        <v>45355</v>
      </c>
      <c r="C607" t="s">
        <v>429</v>
      </c>
      <c r="D607" t="s">
        <v>798</v>
      </c>
      <c r="E607" t="s">
        <v>831</v>
      </c>
      <c r="F607">
        <v>3</v>
      </c>
      <c r="G607">
        <v>0.05</v>
      </c>
      <c r="H607" t="s">
        <v>861</v>
      </c>
      <c r="I607" t="str">
        <f>VLOOKUP(C607,Customers!A:C,2,FALSE)&amp;" "&amp;VLOOKUP(C607,Customers!A:C,3,FALSE)</f>
        <v>Jose Smith</v>
      </c>
      <c r="J607" t="str">
        <f>VLOOKUP(D607,Products!A:C,2,FALSE)</f>
        <v>New Watches</v>
      </c>
      <c r="K607" t="str">
        <f>VLOOKUP(D607,Products!A:C,3,FALSE)</f>
        <v>Fashion</v>
      </c>
      <c r="L607" t="str">
        <f>VLOOKUP(E607,Stores!A:B,2,FALSE)</f>
        <v>MegaMart Jimenezborough</v>
      </c>
      <c r="M607">
        <f>VLOOKUP(D607,Products!A:E,5,FALSE)</f>
        <v>1501.46</v>
      </c>
      <c r="N607" s="5">
        <f t="shared" si="9"/>
        <v>4279.1610000000001</v>
      </c>
    </row>
    <row r="608" spans="1:14" x14ac:dyDescent="0.3">
      <c r="A608" t="s">
        <v>1464</v>
      </c>
      <c r="B608" s="2">
        <v>45805</v>
      </c>
      <c r="C608" t="s">
        <v>630</v>
      </c>
      <c r="D608" t="s">
        <v>753</v>
      </c>
      <c r="E608" t="s">
        <v>831</v>
      </c>
      <c r="F608">
        <v>3</v>
      </c>
      <c r="G608">
        <v>0.1</v>
      </c>
      <c r="H608" t="s">
        <v>865</v>
      </c>
      <c r="I608" t="str">
        <f>VLOOKUP(C608,Customers!A:C,2,FALSE)&amp;" "&amp;VLOOKUP(C608,Customers!A:C,3,FALSE)</f>
        <v>Mark Mcdonald</v>
      </c>
      <c r="J608" t="str">
        <f>VLOOKUP(D608,Products!A:C,2,FALSE)</f>
        <v>Whether Bags</v>
      </c>
      <c r="K608" t="str">
        <f>VLOOKUP(D608,Products!A:C,3,FALSE)</f>
        <v>Fashion</v>
      </c>
      <c r="L608" t="str">
        <f>VLOOKUP(E608,Stores!A:B,2,FALSE)</f>
        <v>MegaMart Jimenezborough</v>
      </c>
      <c r="M608">
        <f>VLOOKUP(D608,Products!A:E,5,FALSE)</f>
        <v>270.45</v>
      </c>
      <c r="N608" s="5">
        <f t="shared" si="9"/>
        <v>730.21499999999992</v>
      </c>
    </row>
    <row r="609" spans="1:14" x14ac:dyDescent="0.3">
      <c r="A609" t="s">
        <v>1465</v>
      </c>
      <c r="B609" s="2">
        <v>45448</v>
      </c>
      <c r="C609" t="s">
        <v>653</v>
      </c>
      <c r="D609" t="s">
        <v>718</v>
      </c>
      <c r="E609" t="s">
        <v>831</v>
      </c>
      <c r="F609">
        <v>1</v>
      </c>
      <c r="G609">
        <v>0.15</v>
      </c>
      <c r="H609" t="s">
        <v>858</v>
      </c>
      <c r="I609" t="str">
        <f>VLOOKUP(C609,Customers!A:C,2,FALSE)&amp;" "&amp;VLOOKUP(C609,Customers!A:C,3,FALSE)</f>
        <v>Joe Vincent</v>
      </c>
      <c r="J609" t="str">
        <f>VLOOKUP(D609,Products!A:C,2,FALSE)</f>
        <v>Here Footwear</v>
      </c>
      <c r="K609" t="str">
        <f>VLOOKUP(D609,Products!A:C,3,FALSE)</f>
        <v>Fashion</v>
      </c>
      <c r="L609" t="str">
        <f>VLOOKUP(E609,Stores!A:B,2,FALSE)</f>
        <v>MegaMart Jimenezborough</v>
      </c>
      <c r="M609">
        <f>VLOOKUP(D609,Products!A:E,5,FALSE)</f>
        <v>337.63</v>
      </c>
      <c r="N609" s="5">
        <f t="shared" si="9"/>
        <v>286.9855</v>
      </c>
    </row>
    <row r="610" spans="1:14" x14ac:dyDescent="0.3">
      <c r="A610" t="s">
        <v>1466</v>
      </c>
      <c r="B610" s="2">
        <v>45194</v>
      </c>
      <c r="C610" t="s">
        <v>664</v>
      </c>
      <c r="D610" t="s">
        <v>814</v>
      </c>
      <c r="E610" t="s">
        <v>842</v>
      </c>
      <c r="F610">
        <v>2</v>
      </c>
      <c r="G610">
        <v>0.15</v>
      </c>
      <c r="H610" t="s">
        <v>858</v>
      </c>
      <c r="I610" t="str">
        <f>VLOOKUP(C610,Customers!A:C,2,FALSE)&amp;" "&amp;VLOOKUP(C610,Customers!A:C,3,FALSE)</f>
        <v>Ryan Flores</v>
      </c>
      <c r="J610" t="str">
        <f>VLOOKUP(D610,Products!A:C,2,FALSE)</f>
        <v>Least Accessories</v>
      </c>
      <c r="K610" t="str">
        <f>VLOOKUP(D610,Products!A:C,3,FALSE)</f>
        <v>Fashion</v>
      </c>
      <c r="L610" t="str">
        <f>VLOOKUP(E610,Stores!A:B,2,FALSE)</f>
        <v>MegaMart Brianahaven</v>
      </c>
      <c r="M610">
        <f>VLOOKUP(D610,Products!A:E,5,FALSE)</f>
        <v>1286.55</v>
      </c>
      <c r="N610" s="5">
        <f t="shared" si="9"/>
        <v>2187.1349999999998</v>
      </c>
    </row>
    <row r="611" spans="1:14" x14ac:dyDescent="0.3">
      <c r="A611" t="s">
        <v>1467</v>
      </c>
      <c r="B611" s="2">
        <v>45387</v>
      </c>
      <c r="C611" t="s">
        <v>364</v>
      </c>
      <c r="D611" t="s">
        <v>778</v>
      </c>
      <c r="E611" t="s">
        <v>839</v>
      </c>
      <c r="F611">
        <v>5</v>
      </c>
      <c r="G611">
        <v>0.15</v>
      </c>
      <c r="H611" t="s">
        <v>865</v>
      </c>
      <c r="I611" t="str">
        <f>VLOOKUP(C611,Customers!A:C,2,FALSE)&amp;" "&amp;VLOOKUP(C611,Customers!A:C,3,FALSE)</f>
        <v>Evelyn Gray</v>
      </c>
      <c r="J611" t="str">
        <f>VLOOKUP(D611,Products!A:C,2,FALSE)</f>
        <v>Behavior Dairy</v>
      </c>
      <c r="K611" t="str">
        <f>VLOOKUP(D611,Products!A:C,3,FALSE)</f>
        <v>Groceries</v>
      </c>
      <c r="L611" t="str">
        <f>VLOOKUP(E611,Stores!A:B,2,FALSE)</f>
        <v>MegaMart New Michele</v>
      </c>
      <c r="M611">
        <f>VLOOKUP(D611,Products!A:E,5,FALSE)</f>
        <v>1015.76</v>
      </c>
      <c r="N611" s="5">
        <f t="shared" si="9"/>
        <v>4316.9800000000005</v>
      </c>
    </row>
    <row r="612" spans="1:14" x14ac:dyDescent="0.3">
      <c r="A612" t="s">
        <v>1468</v>
      </c>
      <c r="B612" s="2">
        <v>45789</v>
      </c>
      <c r="C612" t="s">
        <v>454</v>
      </c>
      <c r="D612" t="s">
        <v>739</v>
      </c>
      <c r="E612" t="s">
        <v>846</v>
      </c>
      <c r="F612">
        <v>2</v>
      </c>
      <c r="G612">
        <v>0.05</v>
      </c>
      <c r="H612" t="s">
        <v>858</v>
      </c>
      <c r="I612" t="str">
        <f>VLOOKUP(C612,Customers!A:C,2,FALSE)&amp;" "&amp;VLOOKUP(C612,Customers!A:C,3,FALSE)</f>
        <v>Peter Edwards</v>
      </c>
      <c r="J612" t="str">
        <f>VLOOKUP(D612,Products!A:C,2,FALSE)</f>
        <v>Step Smartphone</v>
      </c>
      <c r="K612" t="str">
        <f>VLOOKUP(D612,Products!A:C,3,FALSE)</f>
        <v>Electronics</v>
      </c>
      <c r="L612" t="str">
        <f>VLOOKUP(E612,Stores!A:B,2,FALSE)</f>
        <v>MegaMart Johnmouth</v>
      </c>
      <c r="M612">
        <f>VLOOKUP(D612,Products!A:E,5,FALSE)</f>
        <v>1194.1199999999999</v>
      </c>
      <c r="N612" s="5">
        <f t="shared" si="9"/>
        <v>2268.8279999999995</v>
      </c>
    </row>
    <row r="613" spans="1:14" x14ac:dyDescent="0.3">
      <c r="A613" t="s">
        <v>1469</v>
      </c>
      <c r="B613" s="2">
        <v>45408</v>
      </c>
      <c r="C613" t="s">
        <v>77</v>
      </c>
      <c r="D613" t="s">
        <v>786</v>
      </c>
      <c r="E613" t="s">
        <v>831</v>
      </c>
      <c r="F613">
        <v>3</v>
      </c>
      <c r="G613">
        <v>0</v>
      </c>
      <c r="H613" t="s">
        <v>855</v>
      </c>
      <c r="I613" t="str">
        <f>VLOOKUP(C613,Customers!A:C,2,FALSE)&amp;" "&amp;VLOOKUP(C613,Customers!A:C,3,FALSE)</f>
        <v>John Smith</v>
      </c>
      <c r="J613" t="str">
        <f>VLOOKUP(D613,Products!A:C,2,FALSE)</f>
        <v>National Watches</v>
      </c>
      <c r="K613" t="str">
        <f>VLOOKUP(D613,Products!A:C,3,FALSE)</f>
        <v>Fashion</v>
      </c>
      <c r="L613" t="str">
        <f>VLOOKUP(E613,Stores!A:B,2,FALSE)</f>
        <v>MegaMart Jimenezborough</v>
      </c>
      <c r="M613">
        <f>VLOOKUP(D613,Products!A:E,5,FALSE)</f>
        <v>29.24</v>
      </c>
      <c r="N613" s="5">
        <f t="shared" si="9"/>
        <v>87.72</v>
      </c>
    </row>
    <row r="614" spans="1:14" x14ac:dyDescent="0.3">
      <c r="A614" t="s">
        <v>1470</v>
      </c>
      <c r="B614" s="2">
        <v>45900</v>
      </c>
      <c r="C614" t="s">
        <v>254</v>
      </c>
      <c r="D614" t="s">
        <v>747</v>
      </c>
      <c r="E614" t="s">
        <v>831</v>
      </c>
      <c r="F614">
        <v>1</v>
      </c>
      <c r="G614">
        <v>0.1</v>
      </c>
      <c r="H614" t="s">
        <v>861</v>
      </c>
      <c r="I614" t="str">
        <f>VLOOKUP(C614,Customers!A:C,2,FALSE)&amp;" "&amp;VLOOKUP(C614,Customers!A:C,3,FALSE)</f>
        <v>Daniel Maldonado</v>
      </c>
      <c r="J614" t="str">
        <f>VLOOKUP(D614,Products!A:C,2,FALSE)</f>
        <v>World Watches</v>
      </c>
      <c r="K614" t="str">
        <f>VLOOKUP(D614,Products!A:C,3,FALSE)</f>
        <v>Fashion</v>
      </c>
      <c r="L614" t="str">
        <f>VLOOKUP(E614,Stores!A:B,2,FALSE)</f>
        <v>MegaMart Jimenezborough</v>
      </c>
      <c r="M614">
        <f>VLOOKUP(D614,Products!A:E,5,FALSE)</f>
        <v>1134.8</v>
      </c>
      <c r="N614" s="5">
        <f t="shared" si="9"/>
        <v>1021.3199999999999</v>
      </c>
    </row>
    <row r="615" spans="1:14" x14ac:dyDescent="0.3">
      <c r="A615" t="s">
        <v>1471</v>
      </c>
      <c r="B615" s="2">
        <v>45867</v>
      </c>
      <c r="C615" t="s">
        <v>364</v>
      </c>
      <c r="D615" t="s">
        <v>776</v>
      </c>
      <c r="E615" t="s">
        <v>835</v>
      </c>
      <c r="F615">
        <v>1</v>
      </c>
      <c r="G615">
        <v>0</v>
      </c>
      <c r="H615" t="s">
        <v>855</v>
      </c>
      <c r="I615" t="str">
        <f>VLOOKUP(C615,Customers!A:C,2,FALSE)&amp;" "&amp;VLOOKUP(C615,Customers!A:C,3,FALSE)</f>
        <v>Evelyn Gray</v>
      </c>
      <c r="J615" t="str">
        <f>VLOOKUP(D615,Products!A:C,2,FALSE)</f>
        <v>Little Watches</v>
      </c>
      <c r="K615" t="str">
        <f>VLOOKUP(D615,Products!A:C,3,FALSE)</f>
        <v>Fashion</v>
      </c>
      <c r="L615" t="str">
        <f>VLOOKUP(E615,Stores!A:B,2,FALSE)</f>
        <v>MegaMart Peckmouth</v>
      </c>
      <c r="M615">
        <f>VLOOKUP(D615,Products!A:E,5,FALSE)</f>
        <v>429.15</v>
      </c>
      <c r="N615" s="5">
        <f t="shared" si="9"/>
        <v>429.15</v>
      </c>
    </row>
    <row r="616" spans="1:14" x14ac:dyDescent="0.3">
      <c r="A616" t="s">
        <v>1472</v>
      </c>
      <c r="B616" s="2">
        <v>45350</v>
      </c>
      <c r="C616" t="s">
        <v>551</v>
      </c>
      <c r="D616" t="s">
        <v>792</v>
      </c>
      <c r="E616" t="s">
        <v>846</v>
      </c>
      <c r="F616">
        <v>4</v>
      </c>
      <c r="G616">
        <v>0</v>
      </c>
      <c r="H616" t="s">
        <v>858</v>
      </c>
      <c r="I616" t="str">
        <f>VLOOKUP(C616,Customers!A:C,2,FALSE)&amp;" "&amp;VLOOKUP(C616,Customers!A:C,3,FALSE)</f>
        <v>Nancy Gordon</v>
      </c>
      <c r="J616" t="str">
        <f>VLOOKUP(D616,Products!A:C,2,FALSE)</f>
        <v>Beat Accessories</v>
      </c>
      <c r="K616" t="str">
        <f>VLOOKUP(D616,Products!A:C,3,FALSE)</f>
        <v>Fashion</v>
      </c>
      <c r="L616" t="str">
        <f>VLOOKUP(E616,Stores!A:B,2,FALSE)</f>
        <v>MegaMart Johnmouth</v>
      </c>
      <c r="M616">
        <f>VLOOKUP(D616,Products!A:E,5,FALSE)</f>
        <v>1798.97</v>
      </c>
      <c r="N616" s="5">
        <f t="shared" si="9"/>
        <v>7195.88</v>
      </c>
    </row>
    <row r="617" spans="1:14" x14ac:dyDescent="0.3">
      <c r="A617" t="s">
        <v>1473</v>
      </c>
      <c r="B617" s="2">
        <v>45667</v>
      </c>
      <c r="C617" t="s">
        <v>599</v>
      </c>
      <c r="D617" t="s">
        <v>772</v>
      </c>
      <c r="E617" t="s">
        <v>835</v>
      </c>
      <c r="F617">
        <v>5</v>
      </c>
      <c r="G617">
        <v>0.15</v>
      </c>
      <c r="H617" t="s">
        <v>861</v>
      </c>
      <c r="I617" t="str">
        <f>VLOOKUP(C617,Customers!A:C,2,FALSE)&amp;" "&amp;VLOOKUP(C617,Customers!A:C,3,FALSE)</f>
        <v>Richard Jones</v>
      </c>
      <c r="J617" t="str">
        <f>VLOOKUP(D617,Products!A:C,2,FALSE)</f>
        <v>And Footwear</v>
      </c>
      <c r="K617" t="str">
        <f>VLOOKUP(D617,Products!A:C,3,FALSE)</f>
        <v>Fashion</v>
      </c>
      <c r="L617" t="str">
        <f>VLOOKUP(E617,Stores!A:B,2,FALSE)</f>
        <v>MegaMart Peckmouth</v>
      </c>
      <c r="M617">
        <f>VLOOKUP(D617,Products!A:E,5,FALSE)</f>
        <v>1878.47</v>
      </c>
      <c r="N617" s="5">
        <f t="shared" si="9"/>
        <v>7983.4975000000004</v>
      </c>
    </row>
    <row r="618" spans="1:14" x14ac:dyDescent="0.3">
      <c r="A618" t="s">
        <v>1474</v>
      </c>
      <c r="B618" s="2">
        <v>45314</v>
      </c>
      <c r="C618" t="s">
        <v>59</v>
      </c>
      <c r="D618" t="s">
        <v>732</v>
      </c>
      <c r="E618" t="s">
        <v>831</v>
      </c>
      <c r="F618">
        <v>3</v>
      </c>
      <c r="G618">
        <v>0.05</v>
      </c>
      <c r="H618" t="s">
        <v>861</v>
      </c>
      <c r="I618" t="str">
        <f>VLOOKUP(C618,Customers!A:C,2,FALSE)&amp;" "&amp;VLOOKUP(C618,Customers!A:C,3,FALSE)</f>
        <v>Brittany Green</v>
      </c>
      <c r="J618" t="str">
        <f>VLOOKUP(D618,Products!A:C,2,FALSE)</f>
        <v>Understand Camera</v>
      </c>
      <c r="K618" t="str">
        <f>VLOOKUP(D618,Products!A:C,3,FALSE)</f>
        <v>Electronics</v>
      </c>
      <c r="L618" t="str">
        <f>VLOOKUP(E618,Stores!A:B,2,FALSE)</f>
        <v>MegaMart Jimenezborough</v>
      </c>
      <c r="M618">
        <f>VLOOKUP(D618,Products!A:E,5,FALSE)</f>
        <v>1474.12</v>
      </c>
      <c r="N618" s="5">
        <f t="shared" si="9"/>
        <v>4201.2419999999993</v>
      </c>
    </row>
    <row r="619" spans="1:14" x14ac:dyDescent="0.3">
      <c r="A619" t="s">
        <v>1475</v>
      </c>
      <c r="B619" s="2">
        <v>45877</v>
      </c>
      <c r="C619" t="s">
        <v>393</v>
      </c>
      <c r="D619" t="s">
        <v>798</v>
      </c>
      <c r="E619" t="s">
        <v>846</v>
      </c>
      <c r="F619">
        <v>5</v>
      </c>
      <c r="G619">
        <v>0.1</v>
      </c>
      <c r="H619" t="s">
        <v>855</v>
      </c>
      <c r="I619" t="str">
        <f>VLOOKUP(C619,Customers!A:C,2,FALSE)&amp;" "&amp;VLOOKUP(C619,Customers!A:C,3,FALSE)</f>
        <v>Kenneth Berg</v>
      </c>
      <c r="J619" t="str">
        <f>VLOOKUP(D619,Products!A:C,2,FALSE)</f>
        <v>New Watches</v>
      </c>
      <c r="K619" t="str">
        <f>VLOOKUP(D619,Products!A:C,3,FALSE)</f>
        <v>Fashion</v>
      </c>
      <c r="L619" t="str">
        <f>VLOOKUP(E619,Stores!A:B,2,FALSE)</f>
        <v>MegaMart Johnmouth</v>
      </c>
      <c r="M619">
        <f>VLOOKUP(D619,Products!A:E,5,FALSE)</f>
        <v>1501.46</v>
      </c>
      <c r="N619" s="5">
        <f t="shared" si="9"/>
        <v>6756.5700000000006</v>
      </c>
    </row>
    <row r="620" spans="1:14" x14ac:dyDescent="0.3">
      <c r="A620" t="s">
        <v>1476</v>
      </c>
      <c r="B620" s="2">
        <v>45475</v>
      </c>
      <c r="C620" t="s">
        <v>291</v>
      </c>
      <c r="D620" t="s">
        <v>757</v>
      </c>
      <c r="E620" t="s">
        <v>835</v>
      </c>
      <c r="F620">
        <v>1</v>
      </c>
      <c r="G620">
        <v>0</v>
      </c>
      <c r="H620" t="s">
        <v>858</v>
      </c>
      <c r="I620" t="str">
        <f>VLOOKUP(C620,Customers!A:C,2,FALSE)&amp;" "&amp;VLOOKUP(C620,Customers!A:C,3,FALSE)</f>
        <v>Matthew Juarez</v>
      </c>
      <c r="J620" t="str">
        <f>VLOOKUP(D620,Products!A:C,2,FALSE)</f>
        <v>Find Headphones</v>
      </c>
      <c r="K620" t="str">
        <f>VLOOKUP(D620,Products!A:C,3,FALSE)</f>
        <v>Electronics</v>
      </c>
      <c r="L620" t="str">
        <f>VLOOKUP(E620,Stores!A:B,2,FALSE)</f>
        <v>MegaMart Peckmouth</v>
      </c>
      <c r="M620">
        <f>VLOOKUP(D620,Products!A:E,5,FALSE)</f>
        <v>1246.1099999999999</v>
      </c>
      <c r="N620" s="5">
        <f t="shared" si="9"/>
        <v>1246.1099999999999</v>
      </c>
    </row>
    <row r="621" spans="1:14" x14ac:dyDescent="0.3">
      <c r="A621" t="s">
        <v>1477</v>
      </c>
      <c r="B621" s="2">
        <v>45525</v>
      </c>
      <c r="C621" t="s">
        <v>533</v>
      </c>
      <c r="D621" t="s">
        <v>794</v>
      </c>
      <c r="E621" t="s">
        <v>846</v>
      </c>
      <c r="F621">
        <v>4</v>
      </c>
      <c r="G621">
        <v>0.05</v>
      </c>
      <c r="H621" t="s">
        <v>865</v>
      </c>
      <c r="I621" t="str">
        <f>VLOOKUP(C621,Customers!A:C,2,FALSE)&amp;" "&amp;VLOOKUP(C621,Customers!A:C,3,FALSE)</f>
        <v>Crystal Garrison</v>
      </c>
      <c r="J621" t="str">
        <f>VLOOKUP(D621,Products!A:C,2,FALSE)</f>
        <v>Everything Laptop</v>
      </c>
      <c r="K621" t="str">
        <f>VLOOKUP(D621,Products!A:C,3,FALSE)</f>
        <v>Electronics</v>
      </c>
      <c r="L621" t="str">
        <f>VLOOKUP(E621,Stores!A:B,2,FALSE)</f>
        <v>MegaMart Johnmouth</v>
      </c>
      <c r="M621">
        <f>VLOOKUP(D621,Products!A:E,5,FALSE)</f>
        <v>428.05</v>
      </c>
      <c r="N621" s="5">
        <f t="shared" si="9"/>
        <v>1626.59</v>
      </c>
    </row>
    <row r="622" spans="1:14" x14ac:dyDescent="0.3">
      <c r="A622" t="s">
        <v>1478</v>
      </c>
      <c r="B622" s="2">
        <v>45531</v>
      </c>
      <c r="C622" t="s">
        <v>351</v>
      </c>
      <c r="D622" t="s">
        <v>806</v>
      </c>
      <c r="E622" t="s">
        <v>831</v>
      </c>
      <c r="F622">
        <v>4</v>
      </c>
      <c r="G622">
        <v>0</v>
      </c>
      <c r="H622" t="s">
        <v>855</v>
      </c>
      <c r="I622" t="str">
        <f>VLOOKUP(C622,Customers!A:C,2,FALSE)&amp;" "&amp;VLOOKUP(C622,Customers!A:C,3,FALSE)</f>
        <v>Stanley Brown</v>
      </c>
      <c r="J622" t="str">
        <f>VLOOKUP(D622,Products!A:C,2,FALSE)</f>
        <v>Piece Headphones</v>
      </c>
      <c r="K622" t="str">
        <f>VLOOKUP(D622,Products!A:C,3,FALSE)</f>
        <v>Electronics</v>
      </c>
      <c r="L622" t="str">
        <f>VLOOKUP(E622,Stores!A:B,2,FALSE)</f>
        <v>MegaMart Jimenezborough</v>
      </c>
      <c r="M622">
        <f>VLOOKUP(D622,Products!A:E,5,FALSE)</f>
        <v>1745.61</v>
      </c>
      <c r="N622" s="5">
        <f t="shared" si="9"/>
        <v>6982.44</v>
      </c>
    </row>
    <row r="623" spans="1:14" x14ac:dyDescent="0.3">
      <c r="A623" t="s">
        <v>1479</v>
      </c>
      <c r="B623" s="2">
        <v>45357</v>
      </c>
      <c r="C623" t="s">
        <v>604</v>
      </c>
      <c r="D623" t="s">
        <v>755</v>
      </c>
      <c r="E623" t="s">
        <v>846</v>
      </c>
      <c r="F623">
        <v>4</v>
      </c>
      <c r="G623">
        <v>0.05</v>
      </c>
      <c r="H623" t="s">
        <v>865</v>
      </c>
      <c r="I623" t="str">
        <f>VLOOKUP(C623,Customers!A:C,2,FALSE)&amp;" "&amp;VLOOKUP(C623,Customers!A:C,3,FALSE)</f>
        <v>Amber Graham</v>
      </c>
      <c r="J623" t="str">
        <f>VLOOKUP(D623,Products!A:C,2,FALSE)</f>
        <v>House Accessories</v>
      </c>
      <c r="K623" t="str">
        <f>VLOOKUP(D623,Products!A:C,3,FALSE)</f>
        <v>Fashion</v>
      </c>
      <c r="L623" t="str">
        <f>VLOOKUP(E623,Stores!A:B,2,FALSE)</f>
        <v>MegaMart Johnmouth</v>
      </c>
      <c r="M623">
        <f>VLOOKUP(D623,Products!A:E,5,FALSE)</f>
        <v>1858.75</v>
      </c>
      <c r="N623" s="5">
        <f t="shared" si="9"/>
        <v>7063.25</v>
      </c>
    </row>
    <row r="624" spans="1:14" x14ac:dyDescent="0.3">
      <c r="A624" t="s">
        <v>1480</v>
      </c>
      <c r="B624" s="2">
        <v>45728</v>
      </c>
      <c r="C624" t="s">
        <v>32</v>
      </c>
      <c r="D624" t="s">
        <v>764</v>
      </c>
      <c r="E624" t="s">
        <v>835</v>
      </c>
      <c r="F624">
        <v>2</v>
      </c>
      <c r="G624">
        <v>0.1</v>
      </c>
      <c r="H624" t="s">
        <v>865</v>
      </c>
      <c r="I624" t="str">
        <f>VLOOKUP(C624,Customers!A:C,2,FALSE)&amp;" "&amp;VLOOKUP(C624,Customers!A:C,3,FALSE)</f>
        <v>Erin Walker</v>
      </c>
      <c r="J624" t="str">
        <f>VLOOKUP(D624,Products!A:C,2,FALSE)</f>
        <v>Simple Accessories</v>
      </c>
      <c r="K624" t="str">
        <f>VLOOKUP(D624,Products!A:C,3,FALSE)</f>
        <v>Fashion</v>
      </c>
      <c r="L624" t="str">
        <f>VLOOKUP(E624,Stores!A:B,2,FALSE)</f>
        <v>MegaMart Peckmouth</v>
      </c>
      <c r="M624">
        <f>VLOOKUP(D624,Products!A:E,5,FALSE)</f>
        <v>323.92</v>
      </c>
      <c r="N624" s="5">
        <f t="shared" si="9"/>
        <v>583.05600000000004</v>
      </c>
    </row>
    <row r="625" spans="1:14" x14ac:dyDescent="0.3">
      <c r="A625" t="s">
        <v>1481</v>
      </c>
      <c r="B625" s="2">
        <v>45556</v>
      </c>
      <c r="C625" t="s">
        <v>452</v>
      </c>
      <c r="D625" t="s">
        <v>764</v>
      </c>
      <c r="E625" t="s">
        <v>831</v>
      </c>
      <c r="F625">
        <v>3</v>
      </c>
      <c r="G625">
        <v>0.15</v>
      </c>
      <c r="H625" t="s">
        <v>858</v>
      </c>
      <c r="I625" t="str">
        <f>VLOOKUP(C625,Customers!A:C,2,FALSE)&amp;" "&amp;VLOOKUP(C625,Customers!A:C,3,FALSE)</f>
        <v>Amy Smith</v>
      </c>
      <c r="J625" t="str">
        <f>VLOOKUP(D625,Products!A:C,2,FALSE)</f>
        <v>Simple Accessories</v>
      </c>
      <c r="K625" t="str">
        <f>VLOOKUP(D625,Products!A:C,3,FALSE)</f>
        <v>Fashion</v>
      </c>
      <c r="L625" t="str">
        <f>VLOOKUP(E625,Stores!A:B,2,FALSE)</f>
        <v>MegaMart Jimenezborough</v>
      </c>
      <c r="M625">
        <f>VLOOKUP(D625,Products!A:E,5,FALSE)</f>
        <v>323.92</v>
      </c>
      <c r="N625" s="5">
        <f t="shared" si="9"/>
        <v>825.99599999999998</v>
      </c>
    </row>
    <row r="626" spans="1:14" x14ac:dyDescent="0.3">
      <c r="A626" t="s">
        <v>1482</v>
      </c>
      <c r="B626" s="2">
        <v>45267</v>
      </c>
      <c r="C626" t="s">
        <v>464</v>
      </c>
      <c r="D626" t="s">
        <v>802</v>
      </c>
      <c r="E626" t="s">
        <v>839</v>
      </c>
      <c r="F626">
        <v>1</v>
      </c>
      <c r="G626">
        <v>0.15</v>
      </c>
      <c r="H626" t="s">
        <v>861</v>
      </c>
      <c r="I626" t="str">
        <f>VLOOKUP(C626,Customers!A:C,2,FALSE)&amp;" "&amp;VLOOKUP(C626,Customers!A:C,3,FALSE)</f>
        <v>Monique Johnson</v>
      </c>
      <c r="J626" t="str">
        <f>VLOOKUP(D626,Products!A:C,2,FALSE)</f>
        <v>Stage Footwear</v>
      </c>
      <c r="K626" t="str">
        <f>VLOOKUP(D626,Products!A:C,3,FALSE)</f>
        <v>Fashion</v>
      </c>
      <c r="L626" t="str">
        <f>VLOOKUP(E626,Stores!A:B,2,FALSE)</f>
        <v>MegaMart New Michele</v>
      </c>
      <c r="M626">
        <f>VLOOKUP(D626,Products!A:E,5,FALSE)</f>
        <v>366.93</v>
      </c>
      <c r="N626" s="5">
        <f t="shared" si="9"/>
        <v>311.89049999999997</v>
      </c>
    </row>
    <row r="627" spans="1:14" x14ac:dyDescent="0.3">
      <c r="A627" t="s">
        <v>1483</v>
      </c>
      <c r="B627" s="2">
        <v>45247</v>
      </c>
      <c r="C627" t="s">
        <v>358</v>
      </c>
      <c r="D627" t="s">
        <v>764</v>
      </c>
      <c r="E627" t="s">
        <v>842</v>
      </c>
      <c r="F627">
        <v>3</v>
      </c>
      <c r="G627">
        <v>0.05</v>
      </c>
      <c r="H627" t="s">
        <v>858</v>
      </c>
      <c r="I627" t="str">
        <f>VLOOKUP(C627,Customers!A:C,2,FALSE)&amp;" "&amp;VLOOKUP(C627,Customers!A:C,3,FALSE)</f>
        <v>Kevin Snyder</v>
      </c>
      <c r="J627" t="str">
        <f>VLOOKUP(D627,Products!A:C,2,FALSE)</f>
        <v>Simple Accessories</v>
      </c>
      <c r="K627" t="str">
        <f>VLOOKUP(D627,Products!A:C,3,FALSE)</f>
        <v>Fashion</v>
      </c>
      <c r="L627" t="str">
        <f>VLOOKUP(E627,Stores!A:B,2,FALSE)</f>
        <v>MegaMart Brianahaven</v>
      </c>
      <c r="M627">
        <f>VLOOKUP(D627,Products!A:E,5,FALSE)</f>
        <v>323.92</v>
      </c>
      <c r="N627" s="5">
        <f t="shared" si="9"/>
        <v>923.17199999999991</v>
      </c>
    </row>
    <row r="628" spans="1:14" x14ac:dyDescent="0.3">
      <c r="A628" t="s">
        <v>1484</v>
      </c>
      <c r="B628" s="2">
        <v>45832</v>
      </c>
      <c r="C628" t="s">
        <v>51</v>
      </c>
      <c r="D628" t="s">
        <v>755</v>
      </c>
      <c r="E628" t="s">
        <v>839</v>
      </c>
      <c r="F628">
        <v>4</v>
      </c>
      <c r="G628">
        <v>0.15</v>
      </c>
      <c r="H628" t="s">
        <v>855</v>
      </c>
      <c r="I628" t="str">
        <f>VLOOKUP(C628,Customers!A:C,2,FALSE)&amp;" "&amp;VLOOKUP(C628,Customers!A:C,3,FALSE)</f>
        <v>Dale Perry</v>
      </c>
      <c r="J628" t="str">
        <f>VLOOKUP(D628,Products!A:C,2,FALSE)</f>
        <v>House Accessories</v>
      </c>
      <c r="K628" t="str">
        <f>VLOOKUP(D628,Products!A:C,3,FALSE)</f>
        <v>Fashion</v>
      </c>
      <c r="L628" t="str">
        <f>VLOOKUP(E628,Stores!A:B,2,FALSE)</f>
        <v>MegaMart New Michele</v>
      </c>
      <c r="M628">
        <f>VLOOKUP(D628,Products!A:E,5,FALSE)</f>
        <v>1858.75</v>
      </c>
      <c r="N628" s="5">
        <f t="shared" si="9"/>
        <v>6319.75</v>
      </c>
    </row>
    <row r="629" spans="1:14" x14ac:dyDescent="0.3">
      <c r="A629" t="s">
        <v>1485</v>
      </c>
      <c r="B629" s="2">
        <v>45572</v>
      </c>
      <c r="C629" t="s">
        <v>224</v>
      </c>
      <c r="D629" t="s">
        <v>808</v>
      </c>
      <c r="E629" t="s">
        <v>839</v>
      </c>
      <c r="F629">
        <v>5</v>
      </c>
      <c r="G629">
        <v>0</v>
      </c>
      <c r="H629" t="s">
        <v>861</v>
      </c>
      <c r="I629" t="str">
        <f>VLOOKUP(C629,Customers!A:C,2,FALSE)&amp;" "&amp;VLOOKUP(C629,Customers!A:C,3,FALSE)</f>
        <v>Lawrence Stewart</v>
      </c>
      <c r="J629" t="str">
        <f>VLOOKUP(D629,Products!A:C,2,FALSE)</f>
        <v>Present Television</v>
      </c>
      <c r="K629" t="str">
        <f>VLOOKUP(D629,Products!A:C,3,FALSE)</f>
        <v>Electronics</v>
      </c>
      <c r="L629" t="str">
        <f>VLOOKUP(E629,Stores!A:B,2,FALSE)</f>
        <v>MegaMart New Michele</v>
      </c>
      <c r="M629">
        <f>VLOOKUP(D629,Products!A:E,5,FALSE)</f>
        <v>1635.01</v>
      </c>
      <c r="N629" s="5">
        <f t="shared" si="9"/>
        <v>8175.05</v>
      </c>
    </row>
    <row r="630" spans="1:14" x14ac:dyDescent="0.3">
      <c r="A630" t="s">
        <v>1486</v>
      </c>
      <c r="B630" s="2">
        <v>45679</v>
      </c>
      <c r="C630" t="s">
        <v>680</v>
      </c>
      <c r="D630" t="s">
        <v>788</v>
      </c>
      <c r="E630" t="s">
        <v>831</v>
      </c>
      <c r="F630">
        <v>1</v>
      </c>
      <c r="G630">
        <v>0.1</v>
      </c>
      <c r="H630" t="s">
        <v>858</v>
      </c>
      <c r="I630" t="str">
        <f>VLOOKUP(C630,Customers!A:C,2,FALSE)&amp;" "&amp;VLOOKUP(C630,Customers!A:C,3,FALSE)</f>
        <v>Donald Meza</v>
      </c>
      <c r="J630" t="str">
        <f>VLOOKUP(D630,Products!A:C,2,FALSE)</f>
        <v>Foot Snacks</v>
      </c>
      <c r="K630" t="str">
        <f>VLOOKUP(D630,Products!A:C,3,FALSE)</f>
        <v>Groceries</v>
      </c>
      <c r="L630" t="str">
        <f>VLOOKUP(E630,Stores!A:B,2,FALSE)</f>
        <v>MegaMart Jimenezborough</v>
      </c>
      <c r="M630">
        <f>VLOOKUP(D630,Products!A:E,5,FALSE)</f>
        <v>1095.72</v>
      </c>
      <c r="N630" s="5">
        <f t="shared" si="9"/>
        <v>986.14800000000002</v>
      </c>
    </row>
    <row r="631" spans="1:14" x14ac:dyDescent="0.3">
      <c r="A631" t="s">
        <v>1487</v>
      </c>
      <c r="B631" s="2">
        <v>45355</v>
      </c>
      <c r="C631" t="s">
        <v>683</v>
      </c>
      <c r="D631" t="s">
        <v>759</v>
      </c>
      <c r="E631" t="s">
        <v>846</v>
      </c>
      <c r="F631">
        <v>2</v>
      </c>
      <c r="G631">
        <v>0</v>
      </c>
      <c r="H631" t="s">
        <v>858</v>
      </c>
      <c r="I631" t="str">
        <f>VLOOKUP(C631,Customers!A:C,2,FALSE)&amp;" "&amp;VLOOKUP(C631,Customers!A:C,3,FALSE)</f>
        <v>Ann West</v>
      </c>
      <c r="J631" t="str">
        <f>VLOOKUP(D631,Products!A:C,2,FALSE)</f>
        <v>Democratic Smartphone</v>
      </c>
      <c r="K631" t="str">
        <f>VLOOKUP(D631,Products!A:C,3,FALSE)</f>
        <v>Electronics</v>
      </c>
      <c r="L631" t="str">
        <f>VLOOKUP(E631,Stores!A:B,2,FALSE)</f>
        <v>MegaMart Johnmouth</v>
      </c>
      <c r="M631">
        <f>VLOOKUP(D631,Products!A:E,5,FALSE)</f>
        <v>1079.8900000000001</v>
      </c>
      <c r="N631" s="5">
        <f t="shared" si="9"/>
        <v>2159.7800000000002</v>
      </c>
    </row>
    <row r="632" spans="1:14" x14ac:dyDescent="0.3">
      <c r="A632" t="s">
        <v>1488</v>
      </c>
      <c r="B632" s="2">
        <v>45242</v>
      </c>
      <c r="C632" t="s">
        <v>491</v>
      </c>
      <c r="D632" t="s">
        <v>734</v>
      </c>
      <c r="E632" t="s">
        <v>842</v>
      </c>
      <c r="F632">
        <v>5</v>
      </c>
      <c r="G632">
        <v>0.15</v>
      </c>
      <c r="H632" t="s">
        <v>861</v>
      </c>
      <c r="I632" t="str">
        <f>VLOOKUP(C632,Customers!A:C,2,FALSE)&amp;" "&amp;VLOOKUP(C632,Customers!A:C,3,FALSE)</f>
        <v>Emily Hart</v>
      </c>
      <c r="J632" t="str">
        <f>VLOOKUP(D632,Products!A:C,2,FALSE)</f>
        <v>Recognize Footwear</v>
      </c>
      <c r="K632" t="str">
        <f>VLOOKUP(D632,Products!A:C,3,FALSE)</f>
        <v>Fashion</v>
      </c>
      <c r="L632" t="str">
        <f>VLOOKUP(E632,Stores!A:B,2,FALSE)</f>
        <v>MegaMart Brianahaven</v>
      </c>
      <c r="M632">
        <f>VLOOKUP(D632,Products!A:E,5,FALSE)</f>
        <v>109.78</v>
      </c>
      <c r="N632" s="5">
        <f t="shared" si="9"/>
        <v>466.56499999999994</v>
      </c>
    </row>
    <row r="633" spans="1:14" x14ac:dyDescent="0.3">
      <c r="A633" t="s">
        <v>1489</v>
      </c>
      <c r="B633" s="2">
        <v>45534</v>
      </c>
      <c r="C633" t="s">
        <v>452</v>
      </c>
      <c r="D633" t="s">
        <v>788</v>
      </c>
      <c r="E633" t="s">
        <v>839</v>
      </c>
      <c r="F633">
        <v>1</v>
      </c>
      <c r="G633">
        <v>0.15</v>
      </c>
      <c r="H633" t="s">
        <v>865</v>
      </c>
      <c r="I633" t="str">
        <f>VLOOKUP(C633,Customers!A:C,2,FALSE)&amp;" "&amp;VLOOKUP(C633,Customers!A:C,3,FALSE)</f>
        <v>Amy Smith</v>
      </c>
      <c r="J633" t="str">
        <f>VLOOKUP(D633,Products!A:C,2,FALSE)</f>
        <v>Foot Snacks</v>
      </c>
      <c r="K633" t="str">
        <f>VLOOKUP(D633,Products!A:C,3,FALSE)</f>
        <v>Groceries</v>
      </c>
      <c r="L633" t="str">
        <f>VLOOKUP(E633,Stores!A:B,2,FALSE)</f>
        <v>MegaMart New Michele</v>
      </c>
      <c r="M633">
        <f>VLOOKUP(D633,Products!A:E,5,FALSE)</f>
        <v>1095.72</v>
      </c>
      <c r="N633" s="5">
        <f t="shared" si="9"/>
        <v>931.36199999999997</v>
      </c>
    </row>
    <row r="634" spans="1:14" x14ac:dyDescent="0.3">
      <c r="A634" t="s">
        <v>1490</v>
      </c>
      <c r="B634" s="2">
        <v>45854</v>
      </c>
      <c r="C634" t="s">
        <v>472</v>
      </c>
      <c r="D634" t="s">
        <v>739</v>
      </c>
      <c r="E634" t="s">
        <v>846</v>
      </c>
      <c r="F634">
        <v>5</v>
      </c>
      <c r="G634">
        <v>0.05</v>
      </c>
      <c r="H634" t="s">
        <v>865</v>
      </c>
      <c r="I634" t="str">
        <f>VLOOKUP(C634,Customers!A:C,2,FALSE)&amp;" "&amp;VLOOKUP(C634,Customers!A:C,3,FALSE)</f>
        <v>Gary Taylor</v>
      </c>
      <c r="J634" t="str">
        <f>VLOOKUP(D634,Products!A:C,2,FALSE)</f>
        <v>Step Smartphone</v>
      </c>
      <c r="K634" t="str">
        <f>VLOOKUP(D634,Products!A:C,3,FALSE)</f>
        <v>Electronics</v>
      </c>
      <c r="L634" t="str">
        <f>VLOOKUP(E634,Stores!A:B,2,FALSE)</f>
        <v>MegaMart Johnmouth</v>
      </c>
      <c r="M634">
        <f>VLOOKUP(D634,Products!A:E,5,FALSE)</f>
        <v>1194.1199999999999</v>
      </c>
      <c r="N634" s="5">
        <f t="shared" si="9"/>
        <v>5672.0699999999988</v>
      </c>
    </row>
    <row r="635" spans="1:14" x14ac:dyDescent="0.3">
      <c r="A635" t="s">
        <v>1491</v>
      </c>
      <c r="B635" s="2">
        <v>45650</v>
      </c>
      <c r="C635" t="s">
        <v>683</v>
      </c>
      <c r="D635" t="s">
        <v>822</v>
      </c>
      <c r="E635" t="s">
        <v>842</v>
      </c>
      <c r="F635">
        <v>2</v>
      </c>
      <c r="G635">
        <v>0.05</v>
      </c>
      <c r="H635" t="s">
        <v>861</v>
      </c>
      <c r="I635" t="str">
        <f>VLOOKUP(C635,Customers!A:C,2,FALSE)&amp;" "&amp;VLOOKUP(C635,Customers!A:C,3,FALSE)</f>
        <v>Ann West</v>
      </c>
      <c r="J635" t="str">
        <f>VLOOKUP(D635,Products!A:C,2,FALSE)</f>
        <v>Nor Bags</v>
      </c>
      <c r="K635" t="str">
        <f>VLOOKUP(D635,Products!A:C,3,FALSE)</f>
        <v>Fashion</v>
      </c>
      <c r="L635" t="str">
        <f>VLOOKUP(E635,Stores!A:B,2,FALSE)</f>
        <v>MegaMart Brianahaven</v>
      </c>
      <c r="M635">
        <f>VLOOKUP(D635,Products!A:E,5,FALSE)</f>
        <v>1216.3599999999999</v>
      </c>
      <c r="N635" s="5">
        <f t="shared" si="9"/>
        <v>2311.0839999999998</v>
      </c>
    </row>
    <row r="636" spans="1:14" x14ac:dyDescent="0.3">
      <c r="A636" t="s">
        <v>1492</v>
      </c>
      <c r="B636" s="2">
        <v>45309</v>
      </c>
      <c r="C636" t="s">
        <v>195</v>
      </c>
      <c r="D636" t="s">
        <v>814</v>
      </c>
      <c r="E636" t="s">
        <v>835</v>
      </c>
      <c r="F636">
        <v>1</v>
      </c>
      <c r="G636">
        <v>0.15</v>
      </c>
      <c r="H636" t="s">
        <v>865</v>
      </c>
      <c r="I636" t="str">
        <f>VLOOKUP(C636,Customers!A:C,2,FALSE)&amp;" "&amp;VLOOKUP(C636,Customers!A:C,3,FALSE)</f>
        <v>Kelly Mcmillan</v>
      </c>
      <c r="J636" t="str">
        <f>VLOOKUP(D636,Products!A:C,2,FALSE)</f>
        <v>Least Accessories</v>
      </c>
      <c r="K636" t="str">
        <f>VLOOKUP(D636,Products!A:C,3,FALSE)</f>
        <v>Fashion</v>
      </c>
      <c r="L636" t="str">
        <f>VLOOKUP(E636,Stores!A:B,2,FALSE)</f>
        <v>MegaMart Peckmouth</v>
      </c>
      <c r="M636">
        <f>VLOOKUP(D636,Products!A:E,5,FALSE)</f>
        <v>1286.55</v>
      </c>
      <c r="N636" s="5">
        <f t="shared" si="9"/>
        <v>1093.5674999999999</v>
      </c>
    </row>
    <row r="637" spans="1:14" x14ac:dyDescent="0.3">
      <c r="A637" t="s">
        <v>1493</v>
      </c>
      <c r="B637" s="2">
        <v>45643</v>
      </c>
      <c r="C637" t="s">
        <v>621</v>
      </c>
      <c r="D637" t="s">
        <v>742</v>
      </c>
      <c r="E637" t="s">
        <v>842</v>
      </c>
      <c r="F637">
        <v>2</v>
      </c>
      <c r="G637">
        <v>0.05</v>
      </c>
      <c r="H637" t="s">
        <v>855</v>
      </c>
      <c r="I637" t="str">
        <f>VLOOKUP(C637,Customers!A:C,2,FALSE)&amp;" "&amp;VLOOKUP(C637,Customers!A:C,3,FALSE)</f>
        <v>Stacey Thompson</v>
      </c>
      <c r="J637" t="str">
        <f>VLOOKUP(D637,Products!A:C,2,FALSE)</f>
        <v>Either Headphones</v>
      </c>
      <c r="K637" t="str">
        <f>VLOOKUP(D637,Products!A:C,3,FALSE)</f>
        <v>Electronics</v>
      </c>
      <c r="L637" t="str">
        <f>VLOOKUP(E637,Stores!A:B,2,FALSE)</f>
        <v>MegaMart Brianahaven</v>
      </c>
      <c r="M637">
        <f>VLOOKUP(D637,Products!A:E,5,FALSE)</f>
        <v>248.57</v>
      </c>
      <c r="N637" s="5">
        <f t="shared" si="9"/>
        <v>472.28299999999996</v>
      </c>
    </row>
    <row r="638" spans="1:14" x14ac:dyDescent="0.3">
      <c r="A638" t="s">
        <v>1494</v>
      </c>
      <c r="B638" s="2">
        <v>45179</v>
      </c>
      <c r="C638" t="s">
        <v>310</v>
      </c>
      <c r="D638" t="s">
        <v>734</v>
      </c>
      <c r="E638" t="s">
        <v>831</v>
      </c>
      <c r="F638">
        <v>1</v>
      </c>
      <c r="G638">
        <v>0.15</v>
      </c>
      <c r="H638" t="s">
        <v>858</v>
      </c>
      <c r="I638" t="str">
        <f>VLOOKUP(C638,Customers!A:C,2,FALSE)&amp;" "&amp;VLOOKUP(C638,Customers!A:C,3,FALSE)</f>
        <v>Amy Haley</v>
      </c>
      <c r="J638" t="str">
        <f>VLOOKUP(D638,Products!A:C,2,FALSE)</f>
        <v>Recognize Footwear</v>
      </c>
      <c r="K638" t="str">
        <f>VLOOKUP(D638,Products!A:C,3,FALSE)</f>
        <v>Fashion</v>
      </c>
      <c r="L638" t="str">
        <f>VLOOKUP(E638,Stores!A:B,2,FALSE)</f>
        <v>MegaMart Jimenezborough</v>
      </c>
      <c r="M638">
        <f>VLOOKUP(D638,Products!A:E,5,FALSE)</f>
        <v>109.78</v>
      </c>
      <c r="N638" s="5">
        <f t="shared" si="9"/>
        <v>93.313000000000002</v>
      </c>
    </row>
    <row r="639" spans="1:14" x14ac:dyDescent="0.3">
      <c r="A639" t="s">
        <v>1495</v>
      </c>
      <c r="B639" s="2">
        <v>45555</v>
      </c>
      <c r="C639" t="s">
        <v>516</v>
      </c>
      <c r="D639" t="s">
        <v>734</v>
      </c>
      <c r="E639" t="s">
        <v>839</v>
      </c>
      <c r="F639">
        <v>3</v>
      </c>
      <c r="G639">
        <v>0.15</v>
      </c>
      <c r="H639" t="s">
        <v>865</v>
      </c>
      <c r="I639" t="str">
        <f>VLOOKUP(C639,Customers!A:C,2,FALSE)&amp;" "&amp;VLOOKUP(C639,Customers!A:C,3,FALSE)</f>
        <v>Suzanne Fox</v>
      </c>
      <c r="J639" t="str">
        <f>VLOOKUP(D639,Products!A:C,2,FALSE)</f>
        <v>Recognize Footwear</v>
      </c>
      <c r="K639" t="str">
        <f>VLOOKUP(D639,Products!A:C,3,FALSE)</f>
        <v>Fashion</v>
      </c>
      <c r="L639" t="str">
        <f>VLOOKUP(E639,Stores!A:B,2,FALSE)</f>
        <v>MegaMart New Michele</v>
      </c>
      <c r="M639">
        <f>VLOOKUP(D639,Products!A:E,5,FALSE)</f>
        <v>109.78</v>
      </c>
      <c r="N639" s="5">
        <f t="shared" si="9"/>
        <v>279.93900000000002</v>
      </c>
    </row>
    <row r="640" spans="1:14" x14ac:dyDescent="0.3">
      <c r="A640" t="s">
        <v>1496</v>
      </c>
      <c r="B640" s="2">
        <v>45385</v>
      </c>
      <c r="C640" t="s">
        <v>636</v>
      </c>
      <c r="D640" t="s">
        <v>759</v>
      </c>
      <c r="E640" t="s">
        <v>846</v>
      </c>
      <c r="F640">
        <v>5</v>
      </c>
      <c r="G640">
        <v>0.15</v>
      </c>
      <c r="H640" t="s">
        <v>865</v>
      </c>
      <c r="I640" t="str">
        <f>VLOOKUP(C640,Customers!A:C,2,FALSE)&amp;" "&amp;VLOOKUP(C640,Customers!A:C,3,FALSE)</f>
        <v>Nichole Calhoun</v>
      </c>
      <c r="J640" t="str">
        <f>VLOOKUP(D640,Products!A:C,2,FALSE)</f>
        <v>Democratic Smartphone</v>
      </c>
      <c r="K640" t="str">
        <f>VLOOKUP(D640,Products!A:C,3,FALSE)</f>
        <v>Electronics</v>
      </c>
      <c r="L640" t="str">
        <f>VLOOKUP(E640,Stores!A:B,2,FALSE)</f>
        <v>MegaMart Johnmouth</v>
      </c>
      <c r="M640">
        <f>VLOOKUP(D640,Products!A:E,5,FALSE)</f>
        <v>1079.8900000000001</v>
      </c>
      <c r="N640" s="5">
        <f t="shared" si="9"/>
        <v>4589.5325000000003</v>
      </c>
    </row>
    <row r="641" spans="1:14" x14ac:dyDescent="0.3">
      <c r="A641" t="s">
        <v>1497</v>
      </c>
      <c r="B641" s="2">
        <v>45283</v>
      </c>
      <c r="C641" t="s">
        <v>399</v>
      </c>
      <c r="D641" t="s">
        <v>804</v>
      </c>
      <c r="E641" t="s">
        <v>835</v>
      </c>
      <c r="F641">
        <v>2</v>
      </c>
      <c r="G641">
        <v>0</v>
      </c>
      <c r="H641" t="s">
        <v>865</v>
      </c>
      <c r="I641" t="str">
        <f>VLOOKUP(C641,Customers!A:C,2,FALSE)&amp;" "&amp;VLOOKUP(C641,Customers!A:C,3,FALSE)</f>
        <v>Victoria Hansen</v>
      </c>
      <c r="J641" t="str">
        <f>VLOOKUP(D641,Products!A:C,2,FALSE)</f>
        <v>Church Clothing</v>
      </c>
      <c r="K641" t="str">
        <f>VLOOKUP(D641,Products!A:C,3,FALSE)</f>
        <v>Fashion</v>
      </c>
      <c r="L641" t="str">
        <f>VLOOKUP(E641,Stores!A:B,2,FALSE)</f>
        <v>MegaMart Peckmouth</v>
      </c>
      <c r="M641">
        <f>VLOOKUP(D641,Products!A:E,5,FALSE)</f>
        <v>540.94000000000005</v>
      </c>
      <c r="N641" s="5">
        <f t="shared" si="9"/>
        <v>1081.8800000000001</v>
      </c>
    </row>
    <row r="642" spans="1:14" x14ac:dyDescent="0.3">
      <c r="A642" t="s">
        <v>1498</v>
      </c>
      <c r="B642" s="2">
        <v>45336</v>
      </c>
      <c r="C642" t="s">
        <v>527</v>
      </c>
      <c r="D642" t="s">
        <v>802</v>
      </c>
      <c r="E642" t="s">
        <v>831</v>
      </c>
      <c r="F642">
        <v>3</v>
      </c>
      <c r="G642">
        <v>0.1</v>
      </c>
      <c r="H642" t="s">
        <v>858</v>
      </c>
      <c r="I642" t="str">
        <f>VLOOKUP(C642,Customers!A:C,2,FALSE)&amp;" "&amp;VLOOKUP(C642,Customers!A:C,3,FALSE)</f>
        <v>Paige Osborne</v>
      </c>
      <c r="J642" t="str">
        <f>VLOOKUP(D642,Products!A:C,2,FALSE)</f>
        <v>Stage Footwear</v>
      </c>
      <c r="K642" t="str">
        <f>VLOOKUP(D642,Products!A:C,3,FALSE)</f>
        <v>Fashion</v>
      </c>
      <c r="L642" t="str">
        <f>VLOOKUP(E642,Stores!A:B,2,FALSE)</f>
        <v>MegaMart Jimenezborough</v>
      </c>
      <c r="M642">
        <f>VLOOKUP(D642,Products!A:E,5,FALSE)</f>
        <v>366.93</v>
      </c>
      <c r="N642" s="5">
        <f t="shared" si="9"/>
        <v>990.71100000000001</v>
      </c>
    </row>
    <row r="643" spans="1:14" x14ac:dyDescent="0.3">
      <c r="A643" t="s">
        <v>1499</v>
      </c>
      <c r="B643" s="2">
        <v>45383</v>
      </c>
      <c r="C643" t="s">
        <v>258</v>
      </c>
      <c r="D643" t="s">
        <v>800</v>
      </c>
      <c r="E643" t="s">
        <v>842</v>
      </c>
      <c r="F643">
        <v>4</v>
      </c>
      <c r="G643">
        <v>0.15</v>
      </c>
      <c r="H643" t="s">
        <v>865</v>
      </c>
      <c r="I643" t="str">
        <f>VLOOKUP(C643,Customers!A:C,2,FALSE)&amp;" "&amp;VLOOKUP(C643,Customers!A:C,3,FALSE)</f>
        <v>Alexandra Montoya</v>
      </c>
      <c r="J643" t="str">
        <f>VLOOKUP(D643,Products!A:C,2,FALSE)</f>
        <v>Book Television</v>
      </c>
      <c r="K643" t="str">
        <f>VLOOKUP(D643,Products!A:C,3,FALSE)</f>
        <v>Electronics</v>
      </c>
      <c r="L643" t="str">
        <f>VLOOKUP(E643,Stores!A:B,2,FALSE)</f>
        <v>MegaMart Brianahaven</v>
      </c>
      <c r="M643">
        <f>VLOOKUP(D643,Products!A:E,5,FALSE)</f>
        <v>1952.65</v>
      </c>
      <c r="N643" s="5">
        <f t="shared" ref="N643:N706" si="10">F643*M643*(1-G643)</f>
        <v>6639.01</v>
      </c>
    </row>
    <row r="644" spans="1:14" x14ac:dyDescent="0.3">
      <c r="A644" t="s">
        <v>1500</v>
      </c>
      <c r="B644" s="2">
        <v>45334</v>
      </c>
      <c r="C644" t="s">
        <v>175</v>
      </c>
      <c r="D644" t="s">
        <v>812</v>
      </c>
      <c r="E644" t="s">
        <v>839</v>
      </c>
      <c r="F644">
        <v>4</v>
      </c>
      <c r="G644">
        <v>0.05</v>
      </c>
      <c r="H644" t="s">
        <v>858</v>
      </c>
      <c r="I644" t="str">
        <f>VLOOKUP(C644,Customers!A:C,2,FALSE)&amp;" "&amp;VLOOKUP(C644,Customers!A:C,3,FALSE)</f>
        <v>Kelly Shaw</v>
      </c>
      <c r="J644" t="str">
        <f>VLOOKUP(D644,Products!A:C,2,FALSE)</f>
        <v>Soon Accessories</v>
      </c>
      <c r="K644" t="str">
        <f>VLOOKUP(D644,Products!A:C,3,FALSE)</f>
        <v>Fashion</v>
      </c>
      <c r="L644" t="str">
        <f>VLOOKUP(E644,Stores!A:B,2,FALSE)</f>
        <v>MegaMart New Michele</v>
      </c>
      <c r="M644">
        <f>VLOOKUP(D644,Products!A:E,5,FALSE)</f>
        <v>564.41999999999996</v>
      </c>
      <c r="N644" s="5">
        <f t="shared" si="10"/>
        <v>2144.7959999999998</v>
      </c>
    </row>
    <row r="645" spans="1:14" x14ac:dyDescent="0.3">
      <c r="A645" t="s">
        <v>1501</v>
      </c>
      <c r="B645" s="2">
        <v>45408</v>
      </c>
      <c r="C645" t="s">
        <v>44</v>
      </c>
      <c r="D645" t="s">
        <v>750</v>
      </c>
      <c r="E645" t="s">
        <v>842</v>
      </c>
      <c r="F645">
        <v>3</v>
      </c>
      <c r="G645">
        <v>0.05</v>
      </c>
      <c r="H645" t="s">
        <v>865</v>
      </c>
      <c r="I645" t="str">
        <f>VLOOKUP(C645,Customers!A:C,2,FALSE)&amp;" "&amp;VLOOKUP(C645,Customers!A:C,3,FALSE)</f>
        <v>Catherine Rice</v>
      </c>
      <c r="J645" t="str">
        <f>VLOOKUP(D645,Products!A:C,2,FALSE)</f>
        <v>Add Clothing</v>
      </c>
      <c r="K645" t="str">
        <f>VLOOKUP(D645,Products!A:C,3,FALSE)</f>
        <v>Fashion</v>
      </c>
      <c r="L645" t="str">
        <f>VLOOKUP(E645,Stores!A:B,2,FALSE)</f>
        <v>MegaMart Brianahaven</v>
      </c>
      <c r="M645">
        <f>VLOOKUP(D645,Products!A:E,5,FALSE)</f>
        <v>1342.75</v>
      </c>
      <c r="N645" s="5">
        <f t="shared" si="10"/>
        <v>3826.8374999999996</v>
      </c>
    </row>
    <row r="646" spans="1:14" x14ac:dyDescent="0.3">
      <c r="A646" t="s">
        <v>1502</v>
      </c>
      <c r="B646" s="2">
        <v>45342</v>
      </c>
      <c r="C646" t="s">
        <v>673</v>
      </c>
      <c r="D646" t="s">
        <v>808</v>
      </c>
      <c r="E646" t="s">
        <v>842</v>
      </c>
      <c r="F646">
        <v>3</v>
      </c>
      <c r="G646">
        <v>0.1</v>
      </c>
      <c r="H646" t="s">
        <v>865</v>
      </c>
      <c r="I646" t="str">
        <f>VLOOKUP(C646,Customers!A:C,2,FALSE)&amp;" "&amp;VLOOKUP(C646,Customers!A:C,3,FALSE)</f>
        <v>Karen Quinn</v>
      </c>
      <c r="J646" t="str">
        <f>VLOOKUP(D646,Products!A:C,2,FALSE)</f>
        <v>Present Television</v>
      </c>
      <c r="K646" t="str">
        <f>VLOOKUP(D646,Products!A:C,3,FALSE)</f>
        <v>Electronics</v>
      </c>
      <c r="L646" t="str">
        <f>VLOOKUP(E646,Stores!A:B,2,FALSE)</f>
        <v>MegaMart Brianahaven</v>
      </c>
      <c r="M646">
        <f>VLOOKUP(D646,Products!A:E,5,FALSE)</f>
        <v>1635.01</v>
      </c>
      <c r="N646" s="5">
        <f t="shared" si="10"/>
        <v>4414.527</v>
      </c>
    </row>
    <row r="647" spans="1:14" x14ac:dyDescent="0.3">
      <c r="A647" t="s">
        <v>1503</v>
      </c>
      <c r="B647" s="2">
        <v>45734</v>
      </c>
      <c r="C647" t="s">
        <v>327</v>
      </c>
      <c r="D647" t="s">
        <v>800</v>
      </c>
      <c r="E647" t="s">
        <v>839</v>
      </c>
      <c r="F647">
        <v>3</v>
      </c>
      <c r="G647">
        <v>0.1</v>
      </c>
      <c r="H647" t="s">
        <v>858</v>
      </c>
      <c r="I647" t="str">
        <f>VLOOKUP(C647,Customers!A:C,2,FALSE)&amp;" "&amp;VLOOKUP(C647,Customers!A:C,3,FALSE)</f>
        <v>Laurie Mason</v>
      </c>
      <c r="J647" t="str">
        <f>VLOOKUP(D647,Products!A:C,2,FALSE)</f>
        <v>Book Television</v>
      </c>
      <c r="K647" t="str">
        <f>VLOOKUP(D647,Products!A:C,3,FALSE)</f>
        <v>Electronics</v>
      </c>
      <c r="L647" t="str">
        <f>VLOOKUP(E647,Stores!A:B,2,FALSE)</f>
        <v>MegaMart New Michele</v>
      </c>
      <c r="M647">
        <f>VLOOKUP(D647,Products!A:E,5,FALSE)</f>
        <v>1952.65</v>
      </c>
      <c r="N647" s="5">
        <f t="shared" si="10"/>
        <v>5272.1550000000007</v>
      </c>
    </row>
    <row r="648" spans="1:14" x14ac:dyDescent="0.3">
      <c r="A648" t="s">
        <v>1504</v>
      </c>
      <c r="B648" s="2">
        <v>45264</v>
      </c>
      <c r="C648" t="s">
        <v>633</v>
      </c>
      <c r="D648" t="s">
        <v>808</v>
      </c>
      <c r="E648" t="s">
        <v>831</v>
      </c>
      <c r="F648">
        <v>2</v>
      </c>
      <c r="G648">
        <v>0.05</v>
      </c>
      <c r="H648" t="s">
        <v>855</v>
      </c>
      <c r="I648" t="str">
        <f>VLOOKUP(C648,Customers!A:C,2,FALSE)&amp;" "&amp;VLOOKUP(C648,Customers!A:C,3,FALSE)</f>
        <v>Dennis Wallace</v>
      </c>
      <c r="J648" t="str">
        <f>VLOOKUP(D648,Products!A:C,2,FALSE)</f>
        <v>Present Television</v>
      </c>
      <c r="K648" t="str">
        <f>VLOOKUP(D648,Products!A:C,3,FALSE)</f>
        <v>Electronics</v>
      </c>
      <c r="L648" t="str">
        <f>VLOOKUP(E648,Stores!A:B,2,FALSE)</f>
        <v>MegaMart Jimenezborough</v>
      </c>
      <c r="M648">
        <f>VLOOKUP(D648,Products!A:E,5,FALSE)</f>
        <v>1635.01</v>
      </c>
      <c r="N648" s="5">
        <f t="shared" si="10"/>
        <v>3106.5189999999998</v>
      </c>
    </row>
    <row r="649" spans="1:14" x14ac:dyDescent="0.3">
      <c r="A649" t="s">
        <v>1505</v>
      </c>
      <c r="B649" s="2">
        <v>45675</v>
      </c>
      <c r="C649" t="s">
        <v>673</v>
      </c>
      <c r="D649" t="s">
        <v>792</v>
      </c>
      <c r="E649" t="s">
        <v>842</v>
      </c>
      <c r="F649">
        <v>3</v>
      </c>
      <c r="G649">
        <v>0.1</v>
      </c>
      <c r="H649" t="s">
        <v>858</v>
      </c>
      <c r="I649" t="str">
        <f>VLOOKUP(C649,Customers!A:C,2,FALSE)&amp;" "&amp;VLOOKUP(C649,Customers!A:C,3,FALSE)</f>
        <v>Karen Quinn</v>
      </c>
      <c r="J649" t="str">
        <f>VLOOKUP(D649,Products!A:C,2,FALSE)</f>
        <v>Beat Accessories</v>
      </c>
      <c r="K649" t="str">
        <f>VLOOKUP(D649,Products!A:C,3,FALSE)</f>
        <v>Fashion</v>
      </c>
      <c r="L649" t="str">
        <f>VLOOKUP(E649,Stores!A:B,2,FALSE)</f>
        <v>MegaMart Brianahaven</v>
      </c>
      <c r="M649">
        <f>VLOOKUP(D649,Products!A:E,5,FALSE)</f>
        <v>1798.97</v>
      </c>
      <c r="N649" s="5">
        <f t="shared" si="10"/>
        <v>4857.2190000000001</v>
      </c>
    </row>
    <row r="650" spans="1:14" x14ac:dyDescent="0.3">
      <c r="A650" t="s">
        <v>1506</v>
      </c>
      <c r="B650" s="2">
        <v>45902</v>
      </c>
      <c r="C650" t="s">
        <v>556</v>
      </c>
      <c r="D650" t="s">
        <v>812</v>
      </c>
      <c r="E650" t="s">
        <v>831</v>
      </c>
      <c r="F650">
        <v>2</v>
      </c>
      <c r="G650">
        <v>0.15</v>
      </c>
      <c r="H650" t="s">
        <v>861</v>
      </c>
      <c r="I650" t="str">
        <f>VLOOKUP(C650,Customers!A:C,2,FALSE)&amp;" "&amp;VLOOKUP(C650,Customers!A:C,3,FALSE)</f>
        <v>Jill Mcconnell</v>
      </c>
      <c r="J650" t="str">
        <f>VLOOKUP(D650,Products!A:C,2,FALSE)</f>
        <v>Soon Accessories</v>
      </c>
      <c r="K650" t="str">
        <f>VLOOKUP(D650,Products!A:C,3,FALSE)</f>
        <v>Fashion</v>
      </c>
      <c r="L650" t="str">
        <f>VLOOKUP(E650,Stores!A:B,2,FALSE)</f>
        <v>MegaMart Jimenezborough</v>
      </c>
      <c r="M650">
        <f>VLOOKUP(D650,Products!A:E,5,FALSE)</f>
        <v>564.41999999999996</v>
      </c>
      <c r="N650" s="5">
        <f t="shared" si="10"/>
        <v>959.5139999999999</v>
      </c>
    </row>
    <row r="651" spans="1:14" x14ac:dyDescent="0.3">
      <c r="A651" t="s">
        <v>1507</v>
      </c>
      <c r="B651" s="2">
        <v>45843</v>
      </c>
      <c r="C651" t="s">
        <v>393</v>
      </c>
      <c r="D651" t="s">
        <v>755</v>
      </c>
      <c r="E651" t="s">
        <v>842</v>
      </c>
      <c r="F651">
        <v>5</v>
      </c>
      <c r="G651">
        <v>0.1</v>
      </c>
      <c r="H651" t="s">
        <v>865</v>
      </c>
      <c r="I651" t="str">
        <f>VLOOKUP(C651,Customers!A:C,2,FALSE)&amp;" "&amp;VLOOKUP(C651,Customers!A:C,3,FALSE)</f>
        <v>Kenneth Berg</v>
      </c>
      <c r="J651" t="str">
        <f>VLOOKUP(D651,Products!A:C,2,FALSE)</f>
        <v>House Accessories</v>
      </c>
      <c r="K651" t="str">
        <f>VLOOKUP(D651,Products!A:C,3,FALSE)</f>
        <v>Fashion</v>
      </c>
      <c r="L651" t="str">
        <f>VLOOKUP(E651,Stores!A:B,2,FALSE)</f>
        <v>MegaMart Brianahaven</v>
      </c>
      <c r="M651">
        <f>VLOOKUP(D651,Products!A:E,5,FALSE)</f>
        <v>1858.75</v>
      </c>
      <c r="N651" s="5">
        <f t="shared" si="10"/>
        <v>8364.375</v>
      </c>
    </row>
    <row r="652" spans="1:14" x14ac:dyDescent="0.3">
      <c r="A652" t="s">
        <v>1508</v>
      </c>
      <c r="B652" s="2">
        <v>45238</v>
      </c>
      <c r="C652" t="s">
        <v>483</v>
      </c>
      <c r="D652" t="s">
        <v>816</v>
      </c>
      <c r="E652" t="s">
        <v>835</v>
      </c>
      <c r="F652">
        <v>1</v>
      </c>
      <c r="G652">
        <v>0.1</v>
      </c>
      <c r="H652" t="s">
        <v>858</v>
      </c>
      <c r="I652" t="str">
        <f>VLOOKUP(C652,Customers!A:C,2,FALSE)&amp;" "&amp;VLOOKUP(C652,Customers!A:C,3,FALSE)</f>
        <v>Jared Ochoa</v>
      </c>
      <c r="J652" t="str">
        <f>VLOOKUP(D652,Products!A:C,2,FALSE)</f>
        <v>Set Dairy</v>
      </c>
      <c r="K652" t="str">
        <f>VLOOKUP(D652,Products!A:C,3,FALSE)</f>
        <v>Groceries</v>
      </c>
      <c r="L652" t="str">
        <f>VLOOKUP(E652,Stores!A:B,2,FALSE)</f>
        <v>MegaMart Peckmouth</v>
      </c>
      <c r="M652">
        <f>VLOOKUP(D652,Products!A:E,5,FALSE)</f>
        <v>1879.08</v>
      </c>
      <c r="N652" s="5">
        <f t="shared" si="10"/>
        <v>1691.172</v>
      </c>
    </row>
    <row r="653" spans="1:14" x14ac:dyDescent="0.3">
      <c r="A653" t="s">
        <v>1509</v>
      </c>
      <c r="B653" s="2">
        <v>45407</v>
      </c>
      <c r="C653" t="s">
        <v>137</v>
      </c>
      <c r="D653" t="s">
        <v>776</v>
      </c>
      <c r="E653" t="s">
        <v>846</v>
      </c>
      <c r="F653">
        <v>5</v>
      </c>
      <c r="G653">
        <v>0</v>
      </c>
      <c r="H653" t="s">
        <v>861</v>
      </c>
      <c r="I653" t="str">
        <f>VLOOKUP(C653,Customers!A:C,2,FALSE)&amp;" "&amp;VLOOKUP(C653,Customers!A:C,3,FALSE)</f>
        <v>Kimberly King</v>
      </c>
      <c r="J653" t="str">
        <f>VLOOKUP(D653,Products!A:C,2,FALSE)</f>
        <v>Little Watches</v>
      </c>
      <c r="K653" t="str">
        <f>VLOOKUP(D653,Products!A:C,3,FALSE)</f>
        <v>Fashion</v>
      </c>
      <c r="L653" t="str">
        <f>VLOOKUP(E653,Stores!A:B,2,FALSE)</f>
        <v>MegaMart Johnmouth</v>
      </c>
      <c r="M653">
        <f>VLOOKUP(D653,Products!A:E,5,FALSE)</f>
        <v>429.15</v>
      </c>
      <c r="N653" s="5">
        <f t="shared" si="10"/>
        <v>2145.75</v>
      </c>
    </row>
    <row r="654" spans="1:14" x14ac:dyDescent="0.3">
      <c r="A654" t="s">
        <v>1510</v>
      </c>
      <c r="B654" s="2">
        <v>45459</v>
      </c>
      <c r="C654" t="s">
        <v>195</v>
      </c>
      <c r="D654" t="s">
        <v>814</v>
      </c>
      <c r="E654" t="s">
        <v>835</v>
      </c>
      <c r="F654">
        <v>1</v>
      </c>
      <c r="G654">
        <v>0.05</v>
      </c>
      <c r="H654" t="s">
        <v>865</v>
      </c>
      <c r="I654" t="str">
        <f>VLOOKUP(C654,Customers!A:C,2,FALSE)&amp;" "&amp;VLOOKUP(C654,Customers!A:C,3,FALSE)</f>
        <v>Kelly Mcmillan</v>
      </c>
      <c r="J654" t="str">
        <f>VLOOKUP(D654,Products!A:C,2,FALSE)</f>
        <v>Least Accessories</v>
      </c>
      <c r="K654" t="str">
        <f>VLOOKUP(D654,Products!A:C,3,FALSE)</f>
        <v>Fashion</v>
      </c>
      <c r="L654" t="str">
        <f>VLOOKUP(E654,Stores!A:B,2,FALSE)</f>
        <v>MegaMart Peckmouth</v>
      </c>
      <c r="M654">
        <f>VLOOKUP(D654,Products!A:E,5,FALSE)</f>
        <v>1286.55</v>
      </c>
      <c r="N654" s="5">
        <f t="shared" si="10"/>
        <v>1222.2224999999999</v>
      </c>
    </row>
    <row r="655" spans="1:14" x14ac:dyDescent="0.3">
      <c r="A655" t="s">
        <v>1511</v>
      </c>
      <c r="B655" s="2">
        <v>45374</v>
      </c>
      <c r="C655" t="s">
        <v>435</v>
      </c>
      <c r="D655" t="s">
        <v>816</v>
      </c>
      <c r="E655" t="s">
        <v>831</v>
      </c>
      <c r="F655">
        <v>3</v>
      </c>
      <c r="G655">
        <v>0.05</v>
      </c>
      <c r="H655" t="s">
        <v>855</v>
      </c>
      <c r="I655" t="str">
        <f>VLOOKUP(C655,Customers!A:C,2,FALSE)&amp;" "&amp;VLOOKUP(C655,Customers!A:C,3,FALSE)</f>
        <v>Timothy Beck</v>
      </c>
      <c r="J655" t="str">
        <f>VLOOKUP(D655,Products!A:C,2,FALSE)</f>
        <v>Set Dairy</v>
      </c>
      <c r="K655" t="str">
        <f>VLOOKUP(D655,Products!A:C,3,FALSE)</f>
        <v>Groceries</v>
      </c>
      <c r="L655" t="str">
        <f>VLOOKUP(E655,Stores!A:B,2,FALSE)</f>
        <v>MegaMart Jimenezborough</v>
      </c>
      <c r="M655">
        <f>VLOOKUP(D655,Products!A:E,5,FALSE)</f>
        <v>1879.08</v>
      </c>
      <c r="N655" s="5">
        <f t="shared" si="10"/>
        <v>5355.3779999999997</v>
      </c>
    </row>
    <row r="656" spans="1:14" x14ac:dyDescent="0.3">
      <c r="A656" t="s">
        <v>1512</v>
      </c>
      <c r="B656" s="2">
        <v>45666</v>
      </c>
      <c r="C656" t="s">
        <v>358</v>
      </c>
      <c r="D656" t="s">
        <v>766</v>
      </c>
      <c r="E656" t="s">
        <v>842</v>
      </c>
      <c r="F656">
        <v>5</v>
      </c>
      <c r="G656">
        <v>0.15</v>
      </c>
      <c r="H656" t="s">
        <v>865</v>
      </c>
      <c r="I656" t="str">
        <f>VLOOKUP(C656,Customers!A:C,2,FALSE)&amp;" "&amp;VLOOKUP(C656,Customers!A:C,3,FALSE)</f>
        <v>Kevin Snyder</v>
      </c>
      <c r="J656" t="str">
        <f>VLOOKUP(D656,Products!A:C,2,FALSE)</f>
        <v>Firm Dairy</v>
      </c>
      <c r="K656" t="str">
        <f>VLOOKUP(D656,Products!A:C,3,FALSE)</f>
        <v>Groceries</v>
      </c>
      <c r="L656" t="str">
        <f>VLOOKUP(E656,Stores!A:B,2,FALSE)</f>
        <v>MegaMart Brianahaven</v>
      </c>
      <c r="M656">
        <f>VLOOKUP(D656,Products!A:E,5,FALSE)</f>
        <v>1227.24</v>
      </c>
      <c r="N656" s="5">
        <f t="shared" si="10"/>
        <v>5215.7699999999995</v>
      </c>
    </row>
    <row r="657" spans="1:14" x14ac:dyDescent="0.3">
      <c r="A657" t="s">
        <v>1513</v>
      </c>
      <c r="B657" s="2">
        <v>45623</v>
      </c>
      <c r="C657" t="s">
        <v>621</v>
      </c>
      <c r="D657" t="s">
        <v>736</v>
      </c>
      <c r="E657" t="s">
        <v>831</v>
      </c>
      <c r="F657">
        <v>2</v>
      </c>
      <c r="G657">
        <v>0.1</v>
      </c>
      <c r="H657" t="s">
        <v>858</v>
      </c>
      <c r="I657" t="str">
        <f>VLOOKUP(C657,Customers!A:C,2,FALSE)&amp;" "&amp;VLOOKUP(C657,Customers!A:C,3,FALSE)</f>
        <v>Stacey Thompson</v>
      </c>
      <c r="J657" t="str">
        <f>VLOOKUP(D657,Products!A:C,2,FALSE)</f>
        <v>Us Snacks</v>
      </c>
      <c r="K657" t="str">
        <f>VLOOKUP(D657,Products!A:C,3,FALSE)</f>
        <v>Groceries</v>
      </c>
      <c r="L657" t="str">
        <f>VLOOKUP(E657,Stores!A:B,2,FALSE)</f>
        <v>MegaMart Jimenezborough</v>
      </c>
      <c r="M657">
        <f>VLOOKUP(D657,Products!A:E,5,FALSE)</f>
        <v>123.19</v>
      </c>
      <c r="N657" s="5">
        <f t="shared" si="10"/>
        <v>221.74199999999999</v>
      </c>
    </row>
    <row r="658" spans="1:14" x14ac:dyDescent="0.3">
      <c r="A658" t="s">
        <v>1514</v>
      </c>
      <c r="B658" s="2">
        <v>45593</v>
      </c>
      <c r="C658" t="s">
        <v>551</v>
      </c>
      <c r="D658" t="s">
        <v>753</v>
      </c>
      <c r="E658" t="s">
        <v>842</v>
      </c>
      <c r="F658">
        <v>2</v>
      </c>
      <c r="G658">
        <v>0.15</v>
      </c>
      <c r="H658" t="s">
        <v>855</v>
      </c>
      <c r="I658" t="str">
        <f>VLOOKUP(C658,Customers!A:C,2,FALSE)&amp;" "&amp;VLOOKUP(C658,Customers!A:C,3,FALSE)</f>
        <v>Nancy Gordon</v>
      </c>
      <c r="J658" t="str">
        <f>VLOOKUP(D658,Products!A:C,2,FALSE)</f>
        <v>Whether Bags</v>
      </c>
      <c r="K658" t="str">
        <f>VLOOKUP(D658,Products!A:C,3,FALSE)</f>
        <v>Fashion</v>
      </c>
      <c r="L658" t="str">
        <f>VLOOKUP(E658,Stores!A:B,2,FALSE)</f>
        <v>MegaMart Brianahaven</v>
      </c>
      <c r="M658">
        <f>VLOOKUP(D658,Products!A:E,5,FALSE)</f>
        <v>270.45</v>
      </c>
      <c r="N658" s="5">
        <f t="shared" si="10"/>
        <v>459.76499999999999</v>
      </c>
    </row>
    <row r="659" spans="1:14" x14ac:dyDescent="0.3">
      <c r="A659" t="s">
        <v>1515</v>
      </c>
      <c r="B659" s="2">
        <v>45640</v>
      </c>
      <c r="C659" t="s">
        <v>335</v>
      </c>
      <c r="D659" t="s">
        <v>818</v>
      </c>
      <c r="E659" t="s">
        <v>835</v>
      </c>
      <c r="F659">
        <v>3</v>
      </c>
      <c r="G659">
        <v>0</v>
      </c>
      <c r="H659" t="s">
        <v>855</v>
      </c>
      <c r="I659" t="str">
        <f>VLOOKUP(C659,Customers!A:C,2,FALSE)&amp;" "&amp;VLOOKUP(C659,Customers!A:C,3,FALSE)</f>
        <v>William Warner</v>
      </c>
      <c r="J659" t="str">
        <f>VLOOKUP(D659,Products!A:C,2,FALSE)</f>
        <v>Nature Clothing</v>
      </c>
      <c r="K659" t="str">
        <f>VLOOKUP(D659,Products!A:C,3,FALSE)</f>
        <v>Fashion</v>
      </c>
      <c r="L659" t="str">
        <f>VLOOKUP(E659,Stores!A:B,2,FALSE)</f>
        <v>MegaMart Peckmouth</v>
      </c>
      <c r="M659">
        <f>VLOOKUP(D659,Products!A:E,5,FALSE)</f>
        <v>1165.3699999999999</v>
      </c>
      <c r="N659" s="5">
        <f t="shared" si="10"/>
        <v>3496.1099999999997</v>
      </c>
    </row>
    <row r="660" spans="1:14" x14ac:dyDescent="0.3">
      <c r="A660" t="s">
        <v>1516</v>
      </c>
      <c r="B660" s="2">
        <v>45516</v>
      </c>
      <c r="C660" t="s">
        <v>36</v>
      </c>
      <c r="D660" t="s">
        <v>798</v>
      </c>
      <c r="E660" t="s">
        <v>842</v>
      </c>
      <c r="F660">
        <v>1</v>
      </c>
      <c r="G660">
        <v>0.05</v>
      </c>
      <c r="H660" t="s">
        <v>861</v>
      </c>
      <c r="I660" t="str">
        <f>VLOOKUP(C660,Customers!A:C,2,FALSE)&amp;" "&amp;VLOOKUP(C660,Customers!A:C,3,FALSE)</f>
        <v>Isaiah Williams</v>
      </c>
      <c r="J660" t="str">
        <f>VLOOKUP(D660,Products!A:C,2,FALSE)</f>
        <v>New Watches</v>
      </c>
      <c r="K660" t="str">
        <f>VLOOKUP(D660,Products!A:C,3,FALSE)</f>
        <v>Fashion</v>
      </c>
      <c r="L660" t="str">
        <f>VLOOKUP(E660,Stores!A:B,2,FALSE)</f>
        <v>MegaMart Brianahaven</v>
      </c>
      <c r="M660">
        <f>VLOOKUP(D660,Products!A:E,5,FALSE)</f>
        <v>1501.46</v>
      </c>
      <c r="N660" s="5">
        <f t="shared" si="10"/>
        <v>1426.3869999999999</v>
      </c>
    </row>
    <row r="661" spans="1:14" x14ac:dyDescent="0.3">
      <c r="A661" t="s">
        <v>1517</v>
      </c>
      <c r="B661" s="2">
        <v>45265</v>
      </c>
      <c r="C661" t="s">
        <v>221</v>
      </c>
      <c r="D661" t="s">
        <v>772</v>
      </c>
      <c r="E661" t="s">
        <v>835</v>
      </c>
      <c r="F661">
        <v>2</v>
      </c>
      <c r="G661">
        <v>0.1</v>
      </c>
      <c r="H661" t="s">
        <v>858</v>
      </c>
      <c r="I661" t="str">
        <f>VLOOKUP(C661,Customers!A:C,2,FALSE)&amp;" "&amp;VLOOKUP(C661,Customers!A:C,3,FALSE)</f>
        <v>Julie Gibson</v>
      </c>
      <c r="J661" t="str">
        <f>VLOOKUP(D661,Products!A:C,2,FALSE)</f>
        <v>And Footwear</v>
      </c>
      <c r="K661" t="str">
        <f>VLOOKUP(D661,Products!A:C,3,FALSE)</f>
        <v>Fashion</v>
      </c>
      <c r="L661" t="str">
        <f>VLOOKUP(E661,Stores!A:B,2,FALSE)</f>
        <v>MegaMart Peckmouth</v>
      </c>
      <c r="M661">
        <f>VLOOKUP(D661,Products!A:E,5,FALSE)</f>
        <v>1878.47</v>
      </c>
      <c r="N661" s="5">
        <f t="shared" si="10"/>
        <v>3381.2460000000001</v>
      </c>
    </row>
    <row r="662" spans="1:14" x14ac:dyDescent="0.3">
      <c r="A662" t="s">
        <v>1518</v>
      </c>
      <c r="B662" s="2">
        <v>45569</v>
      </c>
      <c r="C662" t="s">
        <v>483</v>
      </c>
      <c r="D662" t="s">
        <v>774</v>
      </c>
      <c r="E662" t="s">
        <v>831</v>
      </c>
      <c r="F662">
        <v>1</v>
      </c>
      <c r="G662">
        <v>0.15</v>
      </c>
      <c r="H662" t="s">
        <v>861</v>
      </c>
      <c r="I662" t="str">
        <f>VLOOKUP(C662,Customers!A:C,2,FALSE)&amp;" "&amp;VLOOKUP(C662,Customers!A:C,3,FALSE)</f>
        <v>Jared Ochoa</v>
      </c>
      <c r="J662" t="str">
        <f>VLOOKUP(D662,Products!A:C,2,FALSE)</f>
        <v>Him Smartphone</v>
      </c>
      <c r="K662" t="str">
        <f>VLOOKUP(D662,Products!A:C,3,FALSE)</f>
        <v>Electronics</v>
      </c>
      <c r="L662" t="str">
        <f>VLOOKUP(E662,Stores!A:B,2,FALSE)</f>
        <v>MegaMart Jimenezborough</v>
      </c>
      <c r="M662">
        <f>VLOOKUP(D662,Products!A:E,5,FALSE)</f>
        <v>1487.41</v>
      </c>
      <c r="N662" s="5">
        <f t="shared" si="10"/>
        <v>1264.2985000000001</v>
      </c>
    </row>
    <row r="663" spans="1:14" x14ac:dyDescent="0.3">
      <c r="A663" t="s">
        <v>1519</v>
      </c>
      <c r="B663" s="2">
        <v>45449</v>
      </c>
      <c r="C663" t="s">
        <v>593</v>
      </c>
      <c r="D663" t="s">
        <v>750</v>
      </c>
      <c r="E663" t="s">
        <v>835</v>
      </c>
      <c r="F663">
        <v>5</v>
      </c>
      <c r="G663">
        <v>0</v>
      </c>
      <c r="H663" t="s">
        <v>861</v>
      </c>
      <c r="I663" t="str">
        <f>VLOOKUP(C663,Customers!A:C,2,FALSE)&amp;" "&amp;VLOOKUP(C663,Customers!A:C,3,FALSE)</f>
        <v>Meagan Ali</v>
      </c>
      <c r="J663" t="str">
        <f>VLOOKUP(D663,Products!A:C,2,FALSE)</f>
        <v>Add Clothing</v>
      </c>
      <c r="K663" t="str">
        <f>VLOOKUP(D663,Products!A:C,3,FALSE)</f>
        <v>Fashion</v>
      </c>
      <c r="L663" t="str">
        <f>VLOOKUP(E663,Stores!A:B,2,FALSE)</f>
        <v>MegaMart Peckmouth</v>
      </c>
      <c r="M663">
        <f>VLOOKUP(D663,Products!A:E,5,FALSE)</f>
        <v>1342.75</v>
      </c>
      <c r="N663" s="5">
        <f t="shared" si="10"/>
        <v>6713.75</v>
      </c>
    </row>
    <row r="664" spans="1:14" x14ac:dyDescent="0.3">
      <c r="A664" t="s">
        <v>1520</v>
      </c>
      <c r="B664" s="2">
        <v>45343</v>
      </c>
      <c r="C664" t="s">
        <v>247</v>
      </c>
      <c r="D664" t="s">
        <v>722</v>
      </c>
      <c r="E664" t="s">
        <v>846</v>
      </c>
      <c r="F664">
        <v>3</v>
      </c>
      <c r="G664">
        <v>0.1</v>
      </c>
      <c r="H664" t="s">
        <v>858</v>
      </c>
      <c r="I664" t="str">
        <f>VLOOKUP(C664,Customers!A:C,2,FALSE)&amp;" "&amp;VLOOKUP(C664,Customers!A:C,3,FALSE)</f>
        <v>Scott Duke</v>
      </c>
      <c r="J664" t="str">
        <f>VLOOKUP(D664,Products!A:C,2,FALSE)</f>
        <v>Four Accessories</v>
      </c>
      <c r="K664" t="str">
        <f>VLOOKUP(D664,Products!A:C,3,FALSE)</f>
        <v>Fashion</v>
      </c>
      <c r="L664" t="str">
        <f>VLOOKUP(E664,Stores!A:B,2,FALSE)</f>
        <v>MegaMart Johnmouth</v>
      </c>
      <c r="M664">
        <f>VLOOKUP(D664,Products!A:E,5,FALSE)</f>
        <v>1853.77</v>
      </c>
      <c r="N664" s="5">
        <f t="shared" si="10"/>
        <v>5005.1790000000001</v>
      </c>
    </row>
    <row r="665" spans="1:14" x14ac:dyDescent="0.3">
      <c r="A665" t="s">
        <v>1521</v>
      </c>
      <c r="B665" s="2">
        <v>45737</v>
      </c>
      <c r="C665" t="s">
        <v>364</v>
      </c>
      <c r="D665" t="s">
        <v>790</v>
      </c>
      <c r="E665" t="s">
        <v>839</v>
      </c>
      <c r="F665">
        <v>4</v>
      </c>
      <c r="G665">
        <v>0.1</v>
      </c>
      <c r="H665" t="s">
        <v>861</v>
      </c>
      <c r="I665" t="str">
        <f>VLOOKUP(C665,Customers!A:C,2,FALSE)&amp;" "&amp;VLOOKUP(C665,Customers!A:C,3,FALSE)</f>
        <v>Evelyn Gray</v>
      </c>
      <c r="J665" t="str">
        <f>VLOOKUP(D665,Products!A:C,2,FALSE)</f>
        <v>Difficult Vegetables</v>
      </c>
      <c r="K665" t="str">
        <f>VLOOKUP(D665,Products!A:C,3,FALSE)</f>
        <v>Groceries</v>
      </c>
      <c r="L665" t="str">
        <f>VLOOKUP(E665,Stores!A:B,2,FALSE)</f>
        <v>MegaMart New Michele</v>
      </c>
      <c r="M665">
        <f>VLOOKUP(D665,Products!A:E,5,FALSE)</f>
        <v>304.70999999999998</v>
      </c>
      <c r="N665" s="5">
        <f t="shared" si="10"/>
        <v>1096.9559999999999</v>
      </c>
    </row>
    <row r="666" spans="1:14" x14ac:dyDescent="0.3">
      <c r="A666" t="s">
        <v>1522</v>
      </c>
      <c r="B666" s="2">
        <v>45758</v>
      </c>
      <c r="C666" t="s">
        <v>445</v>
      </c>
      <c r="D666" t="s">
        <v>718</v>
      </c>
      <c r="E666" t="s">
        <v>839</v>
      </c>
      <c r="F666">
        <v>5</v>
      </c>
      <c r="G666">
        <v>0.15</v>
      </c>
      <c r="H666" t="s">
        <v>865</v>
      </c>
      <c r="I666" t="str">
        <f>VLOOKUP(C666,Customers!A:C,2,FALSE)&amp;" "&amp;VLOOKUP(C666,Customers!A:C,3,FALSE)</f>
        <v>Curtis Faulkner</v>
      </c>
      <c r="J666" t="str">
        <f>VLOOKUP(D666,Products!A:C,2,FALSE)</f>
        <v>Here Footwear</v>
      </c>
      <c r="K666" t="str">
        <f>VLOOKUP(D666,Products!A:C,3,FALSE)</f>
        <v>Fashion</v>
      </c>
      <c r="L666" t="str">
        <f>VLOOKUP(E666,Stores!A:B,2,FALSE)</f>
        <v>MegaMart New Michele</v>
      </c>
      <c r="M666">
        <f>VLOOKUP(D666,Products!A:E,5,FALSE)</f>
        <v>337.63</v>
      </c>
      <c r="N666" s="5">
        <f t="shared" si="10"/>
        <v>1434.9275</v>
      </c>
    </row>
    <row r="667" spans="1:14" x14ac:dyDescent="0.3">
      <c r="A667" t="s">
        <v>1523</v>
      </c>
      <c r="B667" s="2">
        <v>45318</v>
      </c>
      <c r="C667" t="s">
        <v>12</v>
      </c>
      <c r="D667" t="s">
        <v>759</v>
      </c>
      <c r="E667" t="s">
        <v>846</v>
      </c>
      <c r="F667">
        <v>3</v>
      </c>
      <c r="G667">
        <v>0.1</v>
      </c>
      <c r="H667" t="s">
        <v>855</v>
      </c>
      <c r="I667" t="str">
        <f>VLOOKUP(C667,Customers!A:C,2,FALSE)&amp;" "&amp;VLOOKUP(C667,Customers!A:C,3,FALSE)</f>
        <v>Michael Miller</v>
      </c>
      <c r="J667" t="str">
        <f>VLOOKUP(D667,Products!A:C,2,FALSE)</f>
        <v>Democratic Smartphone</v>
      </c>
      <c r="K667" t="str">
        <f>VLOOKUP(D667,Products!A:C,3,FALSE)</f>
        <v>Electronics</v>
      </c>
      <c r="L667" t="str">
        <f>VLOOKUP(E667,Stores!A:B,2,FALSE)</f>
        <v>MegaMart Johnmouth</v>
      </c>
      <c r="M667">
        <f>VLOOKUP(D667,Products!A:E,5,FALSE)</f>
        <v>1079.8900000000001</v>
      </c>
      <c r="N667" s="5">
        <f t="shared" si="10"/>
        <v>2915.703</v>
      </c>
    </row>
    <row r="668" spans="1:14" x14ac:dyDescent="0.3">
      <c r="A668" t="s">
        <v>1524</v>
      </c>
      <c r="B668" s="2">
        <v>45850</v>
      </c>
      <c r="C668" t="s">
        <v>625</v>
      </c>
      <c r="D668" t="s">
        <v>766</v>
      </c>
      <c r="E668" t="s">
        <v>831</v>
      </c>
      <c r="F668">
        <v>4</v>
      </c>
      <c r="G668">
        <v>0</v>
      </c>
      <c r="H668" t="s">
        <v>855</v>
      </c>
      <c r="I668" t="str">
        <f>VLOOKUP(C668,Customers!A:C,2,FALSE)&amp;" "&amp;VLOOKUP(C668,Customers!A:C,3,FALSE)</f>
        <v>Peter Garcia</v>
      </c>
      <c r="J668" t="str">
        <f>VLOOKUP(D668,Products!A:C,2,FALSE)</f>
        <v>Firm Dairy</v>
      </c>
      <c r="K668" t="str">
        <f>VLOOKUP(D668,Products!A:C,3,FALSE)</f>
        <v>Groceries</v>
      </c>
      <c r="L668" t="str">
        <f>VLOOKUP(E668,Stores!A:B,2,FALSE)</f>
        <v>MegaMart Jimenezborough</v>
      </c>
      <c r="M668">
        <f>VLOOKUP(D668,Products!A:E,5,FALSE)</f>
        <v>1227.24</v>
      </c>
      <c r="N668" s="5">
        <f t="shared" si="10"/>
        <v>4908.96</v>
      </c>
    </row>
    <row r="669" spans="1:14" x14ac:dyDescent="0.3">
      <c r="A669" t="s">
        <v>1525</v>
      </c>
      <c r="B669" s="2">
        <v>45253</v>
      </c>
      <c r="C669" t="s">
        <v>270</v>
      </c>
      <c r="D669" t="s">
        <v>822</v>
      </c>
      <c r="E669" t="s">
        <v>839</v>
      </c>
      <c r="F669">
        <v>3</v>
      </c>
      <c r="G669">
        <v>0.1</v>
      </c>
      <c r="H669" t="s">
        <v>855</v>
      </c>
      <c r="I669" t="str">
        <f>VLOOKUP(C669,Customers!A:C,2,FALSE)&amp;" "&amp;VLOOKUP(C669,Customers!A:C,3,FALSE)</f>
        <v>Denise Gutierrez</v>
      </c>
      <c r="J669" t="str">
        <f>VLOOKUP(D669,Products!A:C,2,FALSE)</f>
        <v>Nor Bags</v>
      </c>
      <c r="K669" t="str">
        <f>VLOOKUP(D669,Products!A:C,3,FALSE)</f>
        <v>Fashion</v>
      </c>
      <c r="L669" t="str">
        <f>VLOOKUP(E669,Stores!A:B,2,FALSE)</f>
        <v>MegaMart New Michele</v>
      </c>
      <c r="M669">
        <f>VLOOKUP(D669,Products!A:E,5,FALSE)</f>
        <v>1216.3599999999999</v>
      </c>
      <c r="N669" s="5">
        <f t="shared" si="10"/>
        <v>3284.172</v>
      </c>
    </row>
    <row r="670" spans="1:14" x14ac:dyDescent="0.3">
      <c r="A670" t="s">
        <v>1526</v>
      </c>
      <c r="B670" s="2">
        <v>45261</v>
      </c>
      <c r="C670" t="s">
        <v>191</v>
      </c>
      <c r="D670" t="s">
        <v>790</v>
      </c>
      <c r="E670" t="s">
        <v>835</v>
      </c>
      <c r="F670">
        <v>5</v>
      </c>
      <c r="G670">
        <v>0.05</v>
      </c>
      <c r="H670" t="s">
        <v>865</v>
      </c>
      <c r="I670" t="str">
        <f>VLOOKUP(C670,Customers!A:C,2,FALSE)&amp;" "&amp;VLOOKUP(C670,Customers!A:C,3,FALSE)</f>
        <v>Antonio Hamilton</v>
      </c>
      <c r="J670" t="str">
        <f>VLOOKUP(D670,Products!A:C,2,FALSE)</f>
        <v>Difficult Vegetables</v>
      </c>
      <c r="K670" t="str">
        <f>VLOOKUP(D670,Products!A:C,3,FALSE)</f>
        <v>Groceries</v>
      </c>
      <c r="L670" t="str">
        <f>VLOOKUP(E670,Stores!A:B,2,FALSE)</f>
        <v>MegaMart Peckmouth</v>
      </c>
      <c r="M670">
        <f>VLOOKUP(D670,Products!A:E,5,FALSE)</f>
        <v>304.70999999999998</v>
      </c>
      <c r="N670" s="5">
        <f t="shared" si="10"/>
        <v>1447.3724999999999</v>
      </c>
    </row>
    <row r="671" spans="1:14" x14ac:dyDescent="0.3">
      <c r="A671" t="s">
        <v>1527</v>
      </c>
      <c r="B671" s="2">
        <v>45606</v>
      </c>
      <c r="C671" t="s">
        <v>554</v>
      </c>
      <c r="D671" t="s">
        <v>711</v>
      </c>
      <c r="E671" t="s">
        <v>842</v>
      </c>
      <c r="F671">
        <v>3</v>
      </c>
      <c r="G671">
        <v>0.05</v>
      </c>
      <c r="H671" t="s">
        <v>865</v>
      </c>
      <c r="I671" t="str">
        <f>VLOOKUP(C671,Customers!A:C,2,FALSE)&amp;" "&amp;VLOOKUP(C671,Customers!A:C,3,FALSE)</f>
        <v>Lisa Martinez</v>
      </c>
      <c r="J671" t="str">
        <f>VLOOKUP(D671,Products!A:C,2,FALSE)</f>
        <v>Like Camera</v>
      </c>
      <c r="K671" t="str">
        <f>VLOOKUP(D671,Products!A:C,3,FALSE)</f>
        <v>Electronics</v>
      </c>
      <c r="L671" t="str">
        <f>VLOOKUP(E671,Stores!A:B,2,FALSE)</f>
        <v>MegaMart Brianahaven</v>
      </c>
      <c r="M671">
        <f>VLOOKUP(D671,Products!A:E,5,FALSE)</f>
        <v>1673.69</v>
      </c>
      <c r="N671" s="5">
        <f t="shared" si="10"/>
        <v>4770.0164999999997</v>
      </c>
    </row>
    <row r="672" spans="1:14" x14ac:dyDescent="0.3">
      <c r="A672" t="s">
        <v>1528</v>
      </c>
      <c r="B672" s="2">
        <v>45509</v>
      </c>
      <c r="C672" t="s">
        <v>599</v>
      </c>
      <c r="D672" t="s">
        <v>739</v>
      </c>
      <c r="E672" t="s">
        <v>842</v>
      </c>
      <c r="F672">
        <v>3</v>
      </c>
      <c r="G672">
        <v>0.1</v>
      </c>
      <c r="H672" t="s">
        <v>858</v>
      </c>
      <c r="I672" t="str">
        <f>VLOOKUP(C672,Customers!A:C,2,FALSE)&amp;" "&amp;VLOOKUP(C672,Customers!A:C,3,FALSE)</f>
        <v>Richard Jones</v>
      </c>
      <c r="J672" t="str">
        <f>VLOOKUP(D672,Products!A:C,2,FALSE)</f>
        <v>Step Smartphone</v>
      </c>
      <c r="K672" t="str">
        <f>VLOOKUP(D672,Products!A:C,3,FALSE)</f>
        <v>Electronics</v>
      </c>
      <c r="L672" t="str">
        <f>VLOOKUP(E672,Stores!A:B,2,FALSE)</f>
        <v>MegaMart Brianahaven</v>
      </c>
      <c r="M672">
        <f>VLOOKUP(D672,Products!A:E,5,FALSE)</f>
        <v>1194.1199999999999</v>
      </c>
      <c r="N672" s="5">
        <f t="shared" si="10"/>
        <v>3224.1239999999998</v>
      </c>
    </row>
    <row r="673" spans="1:14" x14ac:dyDescent="0.3">
      <c r="A673" t="s">
        <v>1529</v>
      </c>
      <c r="B673" s="2">
        <v>45300</v>
      </c>
      <c r="C673" t="s">
        <v>390</v>
      </c>
      <c r="D673" t="s">
        <v>772</v>
      </c>
      <c r="E673" t="s">
        <v>842</v>
      </c>
      <c r="F673">
        <v>1</v>
      </c>
      <c r="G673">
        <v>0.05</v>
      </c>
      <c r="H673" t="s">
        <v>855</v>
      </c>
      <c r="I673" t="str">
        <f>VLOOKUP(C673,Customers!A:C,2,FALSE)&amp;" "&amp;VLOOKUP(C673,Customers!A:C,3,FALSE)</f>
        <v>Brenda Dean</v>
      </c>
      <c r="J673" t="str">
        <f>VLOOKUP(D673,Products!A:C,2,FALSE)</f>
        <v>And Footwear</v>
      </c>
      <c r="K673" t="str">
        <f>VLOOKUP(D673,Products!A:C,3,FALSE)</f>
        <v>Fashion</v>
      </c>
      <c r="L673" t="str">
        <f>VLOOKUP(E673,Stores!A:B,2,FALSE)</f>
        <v>MegaMart Brianahaven</v>
      </c>
      <c r="M673">
        <f>VLOOKUP(D673,Products!A:E,5,FALSE)</f>
        <v>1878.47</v>
      </c>
      <c r="N673" s="5">
        <f t="shared" si="10"/>
        <v>1784.5464999999999</v>
      </c>
    </row>
    <row r="674" spans="1:14" x14ac:dyDescent="0.3">
      <c r="A674" t="s">
        <v>1530</v>
      </c>
      <c r="B674" s="2">
        <v>45367</v>
      </c>
      <c r="C674" t="s">
        <v>657</v>
      </c>
      <c r="D674" t="s">
        <v>802</v>
      </c>
      <c r="E674" t="s">
        <v>835</v>
      </c>
      <c r="F674">
        <v>5</v>
      </c>
      <c r="G674">
        <v>0.15</v>
      </c>
      <c r="H674" t="s">
        <v>855</v>
      </c>
      <c r="I674" t="str">
        <f>VLOOKUP(C674,Customers!A:C,2,FALSE)&amp;" "&amp;VLOOKUP(C674,Customers!A:C,3,FALSE)</f>
        <v>Vicki Guzman</v>
      </c>
      <c r="J674" t="str">
        <f>VLOOKUP(D674,Products!A:C,2,FALSE)</f>
        <v>Stage Footwear</v>
      </c>
      <c r="K674" t="str">
        <f>VLOOKUP(D674,Products!A:C,3,FALSE)</f>
        <v>Fashion</v>
      </c>
      <c r="L674" t="str">
        <f>VLOOKUP(E674,Stores!A:B,2,FALSE)</f>
        <v>MegaMart Peckmouth</v>
      </c>
      <c r="M674">
        <f>VLOOKUP(D674,Products!A:E,5,FALSE)</f>
        <v>366.93</v>
      </c>
      <c r="N674" s="5">
        <f t="shared" si="10"/>
        <v>1559.4525000000001</v>
      </c>
    </row>
    <row r="675" spans="1:14" x14ac:dyDescent="0.3">
      <c r="A675" t="s">
        <v>1531</v>
      </c>
      <c r="B675" s="2">
        <v>45763</v>
      </c>
      <c r="C675" t="s">
        <v>476</v>
      </c>
      <c r="D675" t="s">
        <v>766</v>
      </c>
      <c r="E675" t="s">
        <v>839</v>
      </c>
      <c r="F675">
        <v>2</v>
      </c>
      <c r="G675">
        <v>0.05</v>
      </c>
      <c r="H675" t="s">
        <v>855</v>
      </c>
      <c r="I675" t="str">
        <f>VLOOKUP(C675,Customers!A:C,2,FALSE)&amp;" "&amp;VLOOKUP(C675,Customers!A:C,3,FALSE)</f>
        <v>Aaron Bailey</v>
      </c>
      <c r="J675" t="str">
        <f>VLOOKUP(D675,Products!A:C,2,FALSE)</f>
        <v>Firm Dairy</v>
      </c>
      <c r="K675" t="str">
        <f>VLOOKUP(D675,Products!A:C,3,FALSE)</f>
        <v>Groceries</v>
      </c>
      <c r="L675" t="str">
        <f>VLOOKUP(E675,Stores!A:B,2,FALSE)</f>
        <v>MegaMart New Michele</v>
      </c>
      <c r="M675">
        <f>VLOOKUP(D675,Products!A:E,5,FALSE)</f>
        <v>1227.24</v>
      </c>
      <c r="N675" s="5">
        <f t="shared" si="10"/>
        <v>2331.7559999999999</v>
      </c>
    </row>
    <row r="676" spans="1:14" x14ac:dyDescent="0.3">
      <c r="A676" t="s">
        <v>1532</v>
      </c>
      <c r="B676" s="2">
        <v>45610</v>
      </c>
      <c r="C676" t="s">
        <v>101</v>
      </c>
      <c r="D676" t="s">
        <v>798</v>
      </c>
      <c r="E676" t="s">
        <v>842</v>
      </c>
      <c r="F676">
        <v>2</v>
      </c>
      <c r="G676">
        <v>0.1</v>
      </c>
      <c r="H676" t="s">
        <v>861</v>
      </c>
      <c r="I676" t="str">
        <f>VLOOKUP(C676,Customers!A:C,2,FALSE)&amp;" "&amp;VLOOKUP(C676,Customers!A:C,3,FALSE)</f>
        <v>Cheryl Gilbert</v>
      </c>
      <c r="J676" t="str">
        <f>VLOOKUP(D676,Products!A:C,2,FALSE)</f>
        <v>New Watches</v>
      </c>
      <c r="K676" t="str">
        <f>VLOOKUP(D676,Products!A:C,3,FALSE)</f>
        <v>Fashion</v>
      </c>
      <c r="L676" t="str">
        <f>VLOOKUP(E676,Stores!A:B,2,FALSE)</f>
        <v>MegaMart Brianahaven</v>
      </c>
      <c r="M676">
        <f>VLOOKUP(D676,Products!A:E,5,FALSE)</f>
        <v>1501.46</v>
      </c>
      <c r="N676" s="5">
        <f t="shared" si="10"/>
        <v>2702.6280000000002</v>
      </c>
    </row>
    <row r="677" spans="1:14" x14ac:dyDescent="0.3">
      <c r="A677" t="s">
        <v>1533</v>
      </c>
      <c r="B677" s="2">
        <v>45454</v>
      </c>
      <c r="C677" t="s">
        <v>621</v>
      </c>
      <c r="D677" t="s">
        <v>780</v>
      </c>
      <c r="E677" t="s">
        <v>839</v>
      </c>
      <c r="F677">
        <v>1</v>
      </c>
      <c r="G677">
        <v>0.05</v>
      </c>
      <c r="H677" t="s">
        <v>855</v>
      </c>
      <c r="I677" t="str">
        <f>VLOOKUP(C677,Customers!A:C,2,FALSE)&amp;" "&amp;VLOOKUP(C677,Customers!A:C,3,FALSE)</f>
        <v>Stacey Thompson</v>
      </c>
      <c r="J677" t="str">
        <f>VLOOKUP(D677,Products!A:C,2,FALSE)</f>
        <v>Hospital Smartphone</v>
      </c>
      <c r="K677" t="str">
        <f>VLOOKUP(D677,Products!A:C,3,FALSE)</f>
        <v>Electronics</v>
      </c>
      <c r="L677" t="str">
        <f>VLOOKUP(E677,Stores!A:B,2,FALSE)</f>
        <v>MegaMart New Michele</v>
      </c>
      <c r="M677">
        <f>VLOOKUP(D677,Products!A:E,5,FALSE)</f>
        <v>1272.23</v>
      </c>
      <c r="N677" s="5">
        <f t="shared" si="10"/>
        <v>1208.6185</v>
      </c>
    </row>
    <row r="678" spans="1:14" x14ac:dyDescent="0.3">
      <c r="A678" t="s">
        <v>1534</v>
      </c>
      <c r="B678" s="2">
        <v>45247</v>
      </c>
      <c r="C678" t="s">
        <v>224</v>
      </c>
      <c r="D678" t="s">
        <v>784</v>
      </c>
      <c r="E678" t="s">
        <v>839</v>
      </c>
      <c r="F678">
        <v>4</v>
      </c>
      <c r="G678">
        <v>0.1</v>
      </c>
      <c r="H678" t="s">
        <v>855</v>
      </c>
      <c r="I678" t="str">
        <f>VLOOKUP(C678,Customers!A:C,2,FALSE)&amp;" "&amp;VLOOKUP(C678,Customers!A:C,3,FALSE)</f>
        <v>Lawrence Stewart</v>
      </c>
      <c r="J678" t="str">
        <f>VLOOKUP(D678,Products!A:C,2,FALSE)</f>
        <v>Road Clothing</v>
      </c>
      <c r="K678" t="str">
        <f>VLOOKUP(D678,Products!A:C,3,FALSE)</f>
        <v>Fashion</v>
      </c>
      <c r="L678" t="str">
        <f>VLOOKUP(E678,Stores!A:B,2,FALSE)</f>
        <v>MegaMart New Michele</v>
      </c>
      <c r="M678">
        <f>VLOOKUP(D678,Products!A:E,5,FALSE)</f>
        <v>1485.05</v>
      </c>
      <c r="N678" s="5">
        <f t="shared" si="10"/>
        <v>5346.18</v>
      </c>
    </row>
    <row r="679" spans="1:14" x14ac:dyDescent="0.3">
      <c r="A679" t="s">
        <v>1535</v>
      </c>
      <c r="B679" s="2">
        <v>45577</v>
      </c>
      <c r="C679" t="s">
        <v>254</v>
      </c>
      <c r="D679" t="s">
        <v>734</v>
      </c>
      <c r="E679" t="s">
        <v>846</v>
      </c>
      <c r="F679">
        <v>3</v>
      </c>
      <c r="G679">
        <v>0.15</v>
      </c>
      <c r="H679" t="s">
        <v>865</v>
      </c>
      <c r="I679" t="str">
        <f>VLOOKUP(C679,Customers!A:C,2,FALSE)&amp;" "&amp;VLOOKUP(C679,Customers!A:C,3,FALSE)</f>
        <v>Daniel Maldonado</v>
      </c>
      <c r="J679" t="str">
        <f>VLOOKUP(D679,Products!A:C,2,FALSE)</f>
        <v>Recognize Footwear</v>
      </c>
      <c r="K679" t="str">
        <f>VLOOKUP(D679,Products!A:C,3,FALSE)</f>
        <v>Fashion</v>
      </c>
      <c r="L679" t="str">
        <f>VLOOKUP(E679,Stores!A:B,2,FALSE)</f>
        <v>MegaMart Johnmouth</v>
      </c>
      <c r="M679">
        <f>VLOOKUP(D679,Products!A:E,5,FALSE)</f>
        <v>109.78</v>
      </c>
      <c r="N679" s="5">
        <f t="shared" si="10"/>
        <v>279.93900000000002</v>
      </c>
    </row>
    <row r="680" spans="1:14" x14ac:dyDescent="0.3">
      <c r="A680" t="s">
        <v>1536</v>
      </c>
      <c r="B680" s="2">
        <v>45340</v>
      </c>
      <c r="C680" t="s">
        <v>449</v>
      </c>
      <c r="D680" t="s">
        <v>780</v>
      </c>
      <c r="E680" t="s">
        <v>831</v>
      </c>
      <c r="F680">
        <v>5</v>
      </c>
      <c r="G680">
        <v>0</v>
      </c>
      <c r="H680" t="s">
        <v>858</v>
      </c>
      <c r="I680" t="str">
        <f>VLOOKUP(C680,Customers!A:C,2,FALSE)&amp;" "&amp;VLOOKUP(C680,Customers!A:C,3,FALSE)</f>
        <v>John Bell</v>
      </c>
      <c r="J680" t="str">
        <f>VLOOKUP(D680,Products!A:C,2,FALSE)</f>
        <v>Hospital Smartphone</v>
      </c>
      <c r="K680" t="str">
        <f>VLOOKUP(D680,Products!A:C,3,FALSE)</f>
        <v>Electronics</v>
      </c>
      <c r="L680" t="str">
        <f>VLOOKUP(E680,Stores!A:B,2,FALSE)</f>
        <v>MegaMart Jimenezborough</v>
      </c>
      <c r="M680">
        <f>VLOOKUP(D680,Products!A:E,5,FALSE)</f>
        <v>1272.23</v>
      </c>
      <c r="N680" s="5">
        <f t="shared" si="10"/>
        <v>6361.15</v>
      </c>
    </row>
    <row r="681" spans="1:14" x14ac:dyDescent="0.3">
      <c r="A681" t="s">
        <v>1537</v>
      </c>
      <c r="B681" s="2">
        <v>45876</v>
      </c>
      <c r="C681" t="s">
        <v>195</v>
      </c>
      <c r="D681" t="s">
        <v>804</v>
      </c>
      <c r="E681" t="s">
        <v>846</v>
      </c>
      <c r="F681">
        <v>1</v>
      </c>
      <c r="G681">
        <v>0.15</v>
      </c>
      <c r="H681" t="s">
        <v>855</v>
      </c>
      <c r="I681" t="str">
        <f>VLOOKUP(C681,Customers!A:C,2,FALSE)&amp;" "&amp;VLOOKUP(C681,Customers!A:C,3,FALSE)</f>
        <v>Kelly Mcmillan</v>
      </c>
      <c r="J681" t="str">
        <f>VLOOKUP(D681,Products!A:C,2,FALSE)</f>
        <v>Church Clothing</v>
      </c>
      <c r="K681" t="str">
        <f>VLOOKUP(D681,Products!A:C,3,FALSE)</f>
        <v>Fashion</v>
      </c>
      <c r="L681" t="str">
        <f>VLOOKUP(E681,Stores!A:B,2,FALSE)</f>
        <v>MegaMart Johnmouth</v>
      </c>
      <c r="M681">
        <f>VLOOKUP(D681,Products!A:E,5,FALSE)</f>
        <v>540.94000000000005</v>
      </c>
      <c r="N681" s="5">
        <f t="shared" si="10"/>
        <v>459.79900000000004</v>
      </c>
    </row>
    <row r="682" spans="1:14" x14ac:dyDescent="0.3">
      <c r="A682" t="s">
        <v>1538</v>
      </c>
      <c r="B682" s="2">
        <v>45400</v>
      </c>
      <c r="C682" t="s">
        <v>396</v>
      </c>
      <c r="D682" t="s">
        <v>764</v>
      </c>
      <c r="E682" t="s">
        <v>831</v>
      </c>
      <c r="F682">
        <v>2</v>
      </c>
      <c r="G682">
        <v>0.05</v>
      </c>
      <c r="H682" t="s">
        <v>861</v>
      </c>
      <c r="I682" t="str">
        <f>VLOOKUP(C682,Customers!A:C,2,FALSE)&amp;" "&amp;VLOOKUP(C682,Customers!A:C,3,FALSE)</f>
        <v>Kevin Flores</v>
      </c>
      <c r="J682" t="str">
        <f>VLOOKUP(D682,Products!A:C,2,FALSE)</f>
        <v>Simple Accessories</v>
      </c>
      <c r="K682" t="str">
        <f>VLOOKUP(D682,Products!A:C,3,FALSE)</f>
        <v>Fashion</v>
      </c>
      <c r="L682" t="str">
        <f>VLOOKUP(E682,Stores!A:B,2,FALSE)</f>
        <v>MegaMart Jimenezborough</v>
      </c>
      <c r="M682">
        <f>VLOOKUP(D682,Products!A:E,5,FALSE)</f>
        <v>323.92</v>
      </c>
      <c r="N682" s="5">
        <f t="shared" si="10"/>
        <v>615.44799999999998</v>
      </c>
    </row>
    <row r="683" spans="1:14" x14ac:dyDescent="0.3">
      <c r="A683" t="s">
        <v>1539</v>
      </c>
      <c r="B683" s="2">
        <v>45185</v>
      </c>
      <c r="C683" t="s">
        <v>331</v>
      </c>
      <c r="D683" t="s">
        <v>747</v>
      </c>
      <c r="E683" t="s">
        <v>842</v>
      </c>
      <c r="F683">
        <v>5</v>
      </c>
      <c r="G683">
        <v>0.15</v>
      </c>
      <c r="H683" t="s">
        <v>861</v>
      </c>
      <c r="I683" t="str">
        <f>VLOOKUP(C683,Customers!A:C,2,FALSE)&amp;" "&amp;VLOOKUP(C683,Customers!A:C,3,FALSE)</f>
        <v>Brenda Costa</v>
      </c>
      <c r="J683" t="str">
        <f>VLOOKUP(D683,Products!A:C,2,FALSE)</f>
        <v>World Watches</v>
      </c>
      <c r="K683" t="str">
        <f>VLOOKUP(D683,Products!A:C,3,FALSE)</f>
        <v>Fashion</v>
      </c>
      <c r="L683" t="str">
        <f>VLOOKUP(E683,Stores!A:B,2,FALSE)</f>
        <v>MegaMart Brianahaven</v>
      </c>
      <c r="M683">
        <f>VLOOKUP(D683,Products!A:E,5,FALSE)</f>
        <v>1134.8</v>
      </c>
      <c r="N683" s="5">
        <f t="shared" si="10"/>
        <v>4822.8999999999996</v>
      </c>
    </row>
    <row r="684" spans="1:14" x14ac:dyDescent="0.3">
      <c r="A684" t="s">
        <v>1540</v>
      </c>
      <c r="B684" s="2">
        <v>45842</v>
      </c>
      <c r="C684" t="s">
        <v>306</v>
      </c>
      <c r="D684" t="s">
        <v>786</v>
      </c>
      <c r="E684" t="s">
        <v>835</v>
      </c>
      <c r="F684">
        <v>1</v>
      </c>
      <c r="G684">
        <v>0.15</v>
      </c>
      <c r="H684" t="s">
        <v>855</v>
      </c>
      <c r="I684" t="str">
        <f>VLOOKUP(C684,Customers!A:C,2,FALSE)&amp;" "&amp;VLOOKUP(C684,Customers!A:C,3,FALSE)</f>
        <v>Sarah Reynolds</v>
      </c>
      <c r="J684" t="str">
        <f>VLOOKUP(D684,Products!A:C,2,FALSE)</f>
        <v>National Watches</v>
      </c>
      <c r="K684" t="str">
        <f>VLOOKUP(D684,Products!A:C,3,FALSE)</f>
        <v>Fashion</v>
      </c>
      <c r="L684" t="str">
        <f>VLOOKUP(E684,Stores!A:B,2,FALSE)</f>
        <v>MegaMart Peckmouth</v>
      </c>
      <c r="M684">
        <f>VLOOKUP(D684,Products!A:E,5,FALSE)</f>
        <v>29.24</v>
      </c>
      <c r="N684" s="5">
        <f t="shared" si="10"/>
        <v>24.853999999999999</v>
      </c>
    </row>
    <row r="685" spans="1:14" x14ac:dyDescent="0.3">
      <c r="A685" t="s">
        <v>1541</v>
      </c>
      <c r="B685" s="2">
        <v>45537</v>
      </c>
      <c r="C685" t="s">
        <v>579</v>
      </c>
      <c r="D685" t="s">
        <v>734</v>
      </c>
      <c r="E685" t="s">
        <v>835</v>
      </c>
      <c r="F685">
        <v>3</v>
      </c>
      <c r="G685">
        <v>0</v>
      </c>
      <c r="H685" t="s">
        <v>865</v>
      </c>
      <c r="I685" t="str">
        <f>VLOOKUP(C685,Customers!A:C,2,FALSE)&amp;" "&amp;VLOOKUP(C685,Customers!A:C,3,FALSE)</f>
        <v>Jill Roach</v>
      </c>
      <c r="J685" t="str">
        <f>VLOOKUP(D685,Products!A:C,2,FALSE)</f>
        <v>Recognize Footwear</v>
      </c>
      <c r="K685" t="str">
        <f>VLOOKUP(D685,Products!A:C,3,FALSE)</f>
        <v>Fashion</v>
      </c>
      <c r="L685" t="str">
        <f>VLOOKUP(E685,Stores!A:B,2,FALSE)</f>
        <v>MegaMart Peckmouth</v>
      </c>
      <c r="M685">
        <f>VLOOKUP(D685,Products!A:E,5,FALSE)</f>
        <v>109.78</v>
      </c>
      <c r="N685" s="5">
        <f t="shared" si="10"/>
        <v>329.34000000000003</v>
      </c>
    </row>
    <row r="686" spans="1:14" x14ac:dyDescent="0.3">
      <c r="A686" t="s">
        <v>1542</v>
      </c>
      <c r="B686" s="2">
        <v>45549</v>
      </c>
      <c r="C686" t="s">
        <v>432</v>
      </c>
      <c r="D686" t="s">
        <v>826</v>
      </c>
      <c r="E686" t="s">
        <v>839</v>
      </c>
      <c r="F686">
        <v>2</v>
      </c>
      <c r="G686">
        <v>0.05</v>
      </c>
      <c r="H686" t="s">
        <v>861</v>
      </c>
      <c r="I686" t="str">
        <f>VLOOKUP(C686,Customers!A:C,2,FALSE)&amp;" "&amp;VLOOKUP(C686,Customers!A:C,3,FALSE)</f>
        <v>Jamie Webb</v>
      </c>
      <c r="J686" t="str">
        <f>VLOOKUP(D686,Products!A:C,2,FALSE)</f>
        <v>Maybe Footwear</v>
      </c>
      <c r="K686" t="str">
        <f>VLOOKUP(D686,Products!A:C,3,FALSE)</f>
        <v>Fashion</v>
      </c>
      <c r="L686" t="str">
        <f>VLOOKUP(E686,Stores!A:B,2,FALSE)</f>
        <v>MegaMart New Michele</v>
      </c>
      <c r="M686">
        <f>VLOOKUP(D686,Products!A:E,5,FALSE)</f>
        <v>1044.6400000000001</v>
      </c>
      <c r="N686" s="5">
        <f t="shared" si="10"/>
        <v>1984.816</v>
      </c>
    </row>
    <row r="687" spans="1:14" x14ac:dyDescent="0.3">
      <c r="A687" t="s">
        <v>1543</v>
      </c>
      <c r="B687" s="2">
        <v>45198</v>
      </c>
      <c r="C687" t="s">
        <v>464</v>
      </c>
      <c r="D687" t="s">
        <v>750</v>
      </c>
      <c r="E687" t="s">
        <v>831</v>
      </c>
      <c r="F687">
        <v>2</v>
      </c>
      <c r="G687">
        <v>0.15</v>
      </c>
      <c r="H687" t="s">
        <v>858</v>
      </c>
      <c r="I687" t="str">
        <f>VLOOKUP(C687,Customers!A:C,2,FALSE)&amp;" "&amp;VLOOKUP(C687,Customers!A:C,3,FALSE)</f>
        <v>Monique Johnson</v>
      </c>
      <c r="J687" t="str">
        <f>VLOOKUP(D687,Products!A:C,2,FALSE)</f>
        <v>Add Clothing</v>
      </c>
      <c r="K687" t="str">
        <f>VLOOKUP(D687,Products!A:C,3,FALSE)</f>
        <v>Fashion</v>
      </c>
      <c r="L687" t="str">
        <f>VLOOKUP(E687,Stores!A:B,2,FALSE)</f>
        <v>MegaMart Jimenezborough</v>
      </c>
      <c r="M687">
        <f>VLOOKUP(D687,Products!A:E,5,FALSE)</f>
        <v>1342.75</v>
      </c>
      <c r="N687" s="5">
        <f t="shared" si="10"/>
        <v>2282.6749999999997</v>
      </c>
    </row>
    <row r="688" spans="1:14" x14ac:dyDescent="0.3">
      <c r="A688" t="s">
        <v>1544</v>
      </c>
      <c r="B688" s="2">
        <v>45867</v>
      </c>
      <c r="C688" t="s">
        <v>390</v>
      </c>
      <c r="D688" t="s">
        <v>790</v>
      </c>
      <c r="E688" t="s">
        <v>842</v>
      </c>
      <c r="F688">
        <v>4</v>
      </c>
      <c r="G688">
        <v>0.15</v>
      </c>
      <c r="H688" t="s">
        <v>865</v>
      </c>
      <c r="I688" t="str">
        <f>VLOOKUP(C688,Customers!A:C,2,FALSE)&amp;" "&amp;VLOOKUP(C688,Customers!A:C,3,FALSE)</f>
        <v>Brenda Dean</v>
      </c>
      <c r="J688" t="str">
        <f>VLOOKUP(D688,Products!A:C,2,FALSE)</f>
        <v>Difficult Vegetables</v>
      </c>
      <c r="K688" t="str">
        <f>VLOOKUP(D688,Products!A:C,3,FALSE)</f>
        <v>Groceries</v>
      </c>
      <c r="L688" t="str">
        <f>VLOOKUP(E688,Stores!A:B,2,FALSE)</f>
        <v>MegaMart Brianahaven</v>
      </c>
      <c r="M688">
        <f>VLOOKUP(D688,Products!A:E,5,FALSE)</f>
        <v>304.70999999999998</v>
      </c>
      <c r="N688" s="5">
        <f t="shared" si="10"/>
        <v>1036.0139999999999</v>
      </c>
    </row>
    <row r="689" spans="1:14" x14ac:dyDescent="0.3">
      <c r="A689" t="s">
        <v>1545</v>
      </c>
      <c r="B689" s="2">
        <v>45825</v>
      </c>
      <c r="C689" t="s">
        <v>44</v>
      </c>
      <c r="D689" t="s">
        <v>808</v>
      </c>
      <c r="E689" t="s">
        <v>846</v>
      </c>
      <c r="F689">
        <v>2</v>
      </c>
      <c r="G689">
        <v>0.1</v>
      </c>
      <c r="H689" t="s">
        <v>865</v>
      </c>
      <c r="I689" t="str">
        <f>VLOOKUP(C689,Customers!A:C,2,FALSE)&amp;" "&amp;VLOOKUP(C689,Customers!A:C,3,FALSE)</f>
        <v>Catherine Rice</v>
      </c>
      <c r="J689" t="str">
        <f>VLOOKUP(D689,Products!A:C,2,FALSE)</f>
        <v>Present Television</v>
      </c>
      <c r="K689" t="str">
        <f>VLOOKUP(D689,Products!A:C,3,FALSE)</f>
        <v>Electronics</v>
      </c>
      <c r="L689" t="str">
        <f>VLOOKUP(E689,Stores!A:B,2,FALSE)</f>
        <v>MegaMart Johnmouth</v>
      </c>
      <c r="M689">
        <f>VLOOKUP(D689,Products!A:E,5,FALSE)</f>
        <v>1635.01</v>
      </c>
      <c r="N689" s="5">
        <f t="shared" si="10"/>
        <v>2943.018</v>
      </c>
    </row>
    <row r="690" spans="1:14" x14ac:dyDescent="0.3">
      <c r="A690" t="s">
        <v>1546</v>
      </c>
      <c r="B690" s="2">
        <v>45309</v>
      </c>
      <c r="C690" t="s">
        <v>313</v>
      </c>
      <c r="D690" t="s">
        <v>782</v>
      </c>
      <c r="E690" t="s">
        <v>846</v>
      </c>
      <c r="F690">
        <v>2</v>
      </c>
      <c r="G690">
        <v>0</v>
      </c>
      <c r="H690" t="s">
        <v>865</v>
      </c>
      <c r="I690" t="str">
        <f>VLOOKUP(C690,Customers!A:C,2,FALSE)&amp;" "&amp;VLOOKUP(C690,Customers!A:C,3,FALSE)</f>
        <v>Jeremy Robles</v>
      </c>
      <c r="J690" t="str">
        <f>VLOOKUP(D690,Products!A:C,2,FALSE)</f>
        <v>Deal Smartphone</v>
      </c>
      <c r="K690" t="str">
        <f>VLOOKUP(D690,Products!A:C,3,FALSE)</f>
        <v>Electronics</v>
      </c>
      <c r="L690" t="str">
        <f>VLOOKUP(E690,Stores!A:B,2,FALSE)</f>
        <v>MegaMart Johnmouth</v>
      </c>
      <c r="M690">
        <f>VLOOKUP(D690,Products!A:E,5,FALSE)</f>
        <v>673.78</v>
      </c>
      <c r="N690" s="5">
        <f t="shared" si="10"/>
        <v>1347.56</v>
      </c>
    </row>
    <row r="691" spans="1:14" x14ac:dyDescent="0.3">
      <c r="A691" t="s">
        <v>1547</v>
      </c>
      <c r="B691" s="2">
        <v>45427</v>
      </c>
      <c r="C691" t="s">
        <v>577</v>
      </c>
      <c r="D691" t="s">
        <v>788</v>
      </c>
      <c r="E691" t="s">
        <v>835</v>
      </c>
      <c r="F691">
        <v>2</v>
      </c>
      <c r="G691">
        <v>0.1</v>
      </c>
      <c r="H691" t="s">
        <v>855</v>
      </c>
      <c r="I691" t="str">
        <f>VLOOKUP(C691,Customers!A:C,2,FALSE)&amp;" "&amp;VLOOKUP(C691,Customers!A:C,3,FALSE)</f>
        <v>Michael Perez</v>
      </c>
      <c r="J691" t="str">
        <f>VLOOKUP(D691,Products!A:C,2,FALSE)</f>
        <v>Foot Snacks</v>
      </c>
      <c r="K691" t="str">
        <f>VLOOKUP(D691,Products!A:C,3,FALSE)</f>
        <v>Groceries</v>
      </c>
      <c r="L691" t="str">
        <f>VLOOKUP(E691,Stores!A:B,2,FALSE)</f>
        <v>MegaMart Peckmouth</v>
      </c>
      <c r="M691">
        <f>VLOOKUP(D691,Products!A:E,5,FALSE)</f>
        <v>1095.72</v>
      </c>
      <c r="N691" s="5">
        <f t="shared" si="10"/>
        <v>1972.296</v>
      </c>
    </row>
    <row r="692" spans="1:14" x14ac:dyDescent="0.3">
      <c r="A692" t="s">
        <v>1548</v>
      </c>
      <c r="B692" s="2">
        <v>45632</v>
      </c>
      <c r="C692" t="s">
        <v>134</v>
      </c>
      <c r="D692" t="s">
        <v>755</v>
      </c>
      <c r="E692" t="s">
        <v>831</v>
      </c>
      <c r="F692">
        <v>4</v>
      </c>
      <c r="G692">
        <v>0.1</v>
      </c>
      <c r="H692" t="s">
        <v>861</v>
      </c>
      <c r="I692" t="str">
        <f>VLOOKUP(C692,Customers!A:C,2,FALSE)&amp;" "&amp;VLOOKUP(C692,Customers!A:C,3,FALSE)</f>
        <v>Kari Miller</v>
      </c>
      <c r="J692" t="str">
        <f>VLOOKUP(D692,Products!A:C,2,FALSE)</f>
        <v>House Accessories</v>
      </c>
      <c r="K692" t="str">
        <f>VLOOKUP(D692,Products!A:C,3,FALSE)</f>
        <v>Fashion</v>
      </c>
      <c r="L692" t="str">
        <f>VLOOKUP(E692,Stores!A:B,2,FALSE)</f>
        <v>MegaMart Jimenezborough</v>
      </c>
      <c r="M692">
        <f>VLOOKUP(D692,Products!A:E,5,FALSE)</f>
        <v>1858.75</v>
      </c>
      <c r="N692" s="5">
        <f t="shared" si="10"/>
        <v>6691.5</v>
      </c>
    </row>
    <row r="693" spans="1:14" x14ac:dyDescent="0.3">
      <c r="A693" t="s">
        <v>1549</v>
      </c>
      <c r="B693" s="2">
        <v>45827</v>
      </c>
      <c r="C693" t="s">
        <v>71</v>
      </c>
      <c r="D693" t="s">
        <v>792</v>
      </c>
      <c r="E693" t="s">
        <v>831</v>
      </c>
      <c r="F693">
        <v>3</v>
      </c>
      <c r="G693">
        <v>0.1</v>
      </c>
      <c r="H693" t="s">
        <v>858</v>
      </c>
      <c r="I693" t="str">
        <f>VLOOKUP(C693,Customers!A:C,2,FALSE)&amp;" "&amp;VLOOKUP(C693,Customers!A:C,3,FALSE)</f>
        <v>Vanessa Anderson</v>
      </c>
      <c r="J693" t="str">
        <f>VLOOKUP(D693,Products!A:C,2,FALSE)</f>
        <v>Beat Accessories</v>
      </c>
      <c r="K693" t="str">
        <f>VLOOKUP(D693,Products!A:C,3,FALSE)</f>
        <v>Fashion</v>
      </c>
      <c r="L693" t="str">
        <f>VLOOKUP(E693,Stores!A:B,2,FALSE)</f>
        <v>MegaMart Jimenezborough</v>
      </c>
      <c r="M693">
        <f>VLOOKUP(D693,Products!A:E,5,FALSE)</f>
        <v>1798.97</v>
      </c>
      <c r="N693" s="5">
        <f t="shared" si="10"/>
        <v>4857.2190000000001</v>
      </c>
    </row>
    <row r="694" spans="1:14" x14ac:dyDescent="0.3">
      <c r="A694" t="s">
        <v>1550</v>
      </c>
      <c r="B694" s="2">
        <v>45229</v>
      </c>
      <c r="C694" t="s">
        <v>661</v>
      </c>
      <c r="D694" t="s">
        <v>774</v>
      </c>
      <c r="E694" t="s">
        <v>846</v>
      </c>
      <c r="F694">
        <v>5</v>
      </c>
      <c r="G694">
        <v>0.1</v>
      </c>
      <c r="H694" t="s">
        <v>858</v>
      </c>
      <c r="I694" t="str">
        <f>VLOOKUP(C694,Customers!A:C,2,FALSE)&amp;" "&amp;VLOOKUP(C694,Customers!A:C,3,FALSE)</f>
        <v>Cynthia Cherry</v>
      </c>
      <c r="J694" t="str">
        <f>VLOOKUP(D694,Products!A:C,2,FALSE)</f>
        <v>Him Smartphone</v>
      </c>
      <c r="K694" t="str">
        <f>VLOOKUP(D694,Products!A:C,3,FALSE)</f>
        <v>Electronics</v>
      </c>
      <c r="L694" t="str">
        <f>VLOOKUP(E694,Stores!A:B,2,FALSE)</f>
        <v>MegaMart Johnmouth</v>
      </c>
      <c r="M694">
        <f>VLOOKUP(D694,Products!A:E,5,FALSE)</f>
        <v>1487.41</v>
      </c>
      <c r="N694" s="5">
        <f t="shared" si="10"/>
        <v>6693.3450000000003</v>
      </c>
    </row>
    <row r="695" spans="1:14" x14ac:dyDescent="0.3">
      <c r="A695" t="s">
        <v>1551</v>
      </c>
      <c r="B695" s="2">
        <v>45832</v>
      </c>
      <c r="C695" t="s">
        <v>625</v>
      </c>
      <c r="D695" t="s">
        <v>761</v>
      </c>
      <c r="E695" t="s">
        <v>835</v>
      </c>
      <c r="F695">
        <v>3</v>
      </c>
      <c r="G695">
        <v>0.15</v>
      </c>
      <c r="H695" t="s">
        <v>855</v>
      </c>
      <c r="I695" t="str">
        <f>VLOOKUP(C695,Customers!A:C,2,FALSE)&amp;" "&amp;VLOOKUP(C695,Customers!A:C,3,FALSE)</f>
        <v>Peter Garcia</v>
      </c>
      <c r="J695" t="str">
        <f>VLOOKUP(D695,Products!A:C,2,FALSE)</f>
        <v>Traditional Laptop</v>
      </c>
      <c r="K695" t="str">
        <f>VLOOKUP(D695,Products!A:C,3,FALSE)</f>
        <v>Electronics</v>
      </c>
      <c r="L695" t="str">
        <f>VLOOKUP(E695,Stores!A:B,2,FALSE)</f>
        <v>MegaMart Peckmouth</v>
      </c>
      <c r="M695">
        <f>VLOOKUP(D695,Products!A:E,5,FALSE)</f>
        <v>1762.92</v>
      </c>
      <c r="N695" s="5">
        <f t="shared" si="10"/>
        <v>4495.4459999999999</v>
      </c>
    </row>
    <row r="696" spans="1:14" x14ac:dyDescent="0.3">
      <c r="A696" t="s">
        <v>1552</v>
      </c>
      <c r="B696" s="2">
        <v>45473</v>
      </c>
      <c r="C696" t="s">
        <v>680</v>
      </c>
      <c r="D696" t="s">
        <v>826</v>
      </c>
      <c r="E696" t="s">
        <v>835</v>
      </c>
      <c r="F696">
        <v>2</v>
      </c>
      <c r="G696">
        <v>0.15</v>
      </c>
      <c r="H696" t="s">
        <v>865</v>
      </c>
      <c r="I696" t="str">
        <f>VLOOKUP(C696,Customers!A:C,2,FALSE)&amp;" "&amp;VLOOKUP(C696,Customers!A:C,3,FALSE)</f>
        <v>Donald Meza</v>
      </c>
      <c r="J696" t="str">
        <f>VLOOKUP(D696,Products!A:C,2,FALSE)</f>
        <v>Maybe Footwear</v>
      </c>
      <c r="K696" t="str">
        <f>VLOOKUP(D696,Products!A:C,3,FALSE)</f>
        <v>Fashion</v>
      </c>
      <c r="L696" t="str">
        <f>VLOOKUP(E696,Stores!A:B,2,FALSE)</f>
        <v>MegaMart Peckmouth</v>
      </c>
      <c r="M696">
        <f>VLOOKUP(D696,Products!A:E,5,FALSE)</f>
        <v>1044.6400000000001</v>
      </c>
      <c r="N696" s="5">
        <f t="shared" si="10"/>
        <v>1775.8880000000001</v>
      </c>
    </row>
    <row r="697" spans="1:14" x14ac:dyDescent="0.3">
      <c r="A697" t="s">
        <v>1553</v>
      </c>
      <c r="B697" s="2">
        <v>45197</v>
      </c>
      <c r="C697" t="s">
        <v>228</v>
      </c>
      <c r="D697" t="s">
        <v>826</v>
      </c>
      <c r="E697" t="s">
        <v>835</v>
      </c>
      <c r="F697">
        <v>2</v>
      </c>
      <c r="G697">
        <v>0.05</v>
      </c>
      <c r="H697" t="s">
        <v>865</v>
      </c>
      <c r="I697" t="str">
        <f>VLOOKUP(C697,Customers!A:C,2,FALSE)&amp;" "&amp;VLOOKUP(C697,Customers!A:C,3,FALSE)</f>
        <v>Scott Wyatt</v>
      </c>
      <c r="J697" t="str">
        <f>VLOOKUP(D697,Products!A:C,2,FALSE)</f>
        <v>Maybe Footwear</v>
      </c>
      <c r="K697" t="str">
        <f>VLOOKUP(D697,Products!A:C,3,FALSE)</f>
        <v>Fashion</v>
      </c>
      <c r="L697" t="str">
        <f>VLOOKUP(E697,Stores!A:B,2,FALSE)</f>
        <v>MegaMart Peckmouth</v>
      </c>
      <c r="M697">
        <f>VLOOKUP(D697,Products!A:E,5,FALSE)</f>
        <v>1044.6400000000001</v>
      </c>
      <c r="N697" s="5">
        <f t="shared" si="10"/>
        <v>1984.816</v>
      </c>
    </row>
    <row r="698" spans="1:14" x14ac:dyDescent="0.3">
      <c r="A698" t="s">
        <v>1554</v>
      </c>
      <c r="B698" s="2">
        <v>45363</v>
      </c>
      <c r="C698" t="s">
        <v>545</v>
      </c>
      <c r="D698" t="s">
        <v>782</v>
      </c>
      <c r="E698" t="s">
        <v>846</v>
      </c>
      <c r="F698">
        <v>2</v>
      </c>
      <c r="G698">
        <v>0</v>
      </c>
      <c r="H698" t="s">
        <v>855</v>
      </c>
      <c r="I698" t="str">
        <f>VLOOKUP(C698,Customers!A:C,2,FALSE)&amp;" "&amp;VLOOKUP(C698,Customers!A:C,3,FALSE)</f>
        <v>Dawn Fletcher</v>
      </c>
      <c r="J698" t="str">
        <f>VLOOKUP(D698,Products!A:C,2,FALSE)</f>
        <v>Deal Smartphone</v>
      </c>
      <c r="K698" t="str">
        <f>VLOOKUP(D698,Products!A:C,3,FALSE)</f>
        <v>Electronics</v>
      </c>
      <c r="L698" t="str">
        <f>VLOOKUP(E698,Stores!A:B,2,FALSE)</f>
        <v>MegaMart Johnmouth</v>
      </c>
      <c r="M698">
        <f>VLOOKUP(D698,Products!A:E,5,FALSE)</f>
        <v>673.78</v>
      </c>
      <c r="N698" s="5">
        <f t="shared" si="10"/>
        <v>1347.56</v>
      </c>
    </row>
    <row r="699" spans="1:14" x14ac:dyDescent="0.3">
      <c r="A699" t="s">
        <v>1555</v>
      </c>
      <c r="B699" s="2">
        <v>45199</v>
      </c>
      <c r="C699" t="s">
        <v>647</v>
      </c>
      <c r="D699" t="s">
        <v>796</v>
      </c>
      <c r="E699" t="s">
        <v>831</v>
      </c>
      <c r="F699">
        <v>4</v>
      </c>
      <c r="G699">
        <v>0.1</v>
      </c>
      <c r="H699" t="s">
        <v>865</v>
      </c>
      <c r="I699" t="str">
        <f>VLOOKUP(C699,Customers!A:C,2,FALSE)&amp;" "&amp;VLOOKUP(C699,Customers!A:C,3,FALSE)</f>
        <v>Mary Dawson</v>
      </c>
      <c r="J699" t="str">
        <f>VLOOKUP(D699,Products!A:C,2,FALSE)</f>
        <v>Chair Laptop</v>
      </c>
      <c r="K699" t="str">
        <f>VLOOKUP(D699,Products!A:C,3,FALSE)</f>
        <v>Electronics</v>
      </c>
      <c r="L699" t="str">
        <f>VLOOKUP(E699,Stores!A:B,2,FALSE)</f>
        <v>MegaMart Jimenezborough</v>
      </c>
      <c r="M699">
        <f>VLOOKUP(D699,Products!A:E,5,FALSE)</f>
        <v>1562.43</v>
      </c>
      <c r="N699" s="5">
        <f t="shared" si="10"/>
        <v>5624.7480000000005</v>
      </c>
    </row>
    <row r="700" spans="1:14" x14ac:dyDescent="0.3">
      <c r="A700" t="s">
        <v>1556</v>
      </c>
      <c r="B700" s="2">
        <v>45341</v>
      </c>
      <c r="C700" t="s">
        <v>551</v>
      </c>
      <c r="D700" t="s">
        <v>788</v>
      </c>
      <c r="E700" t="s">
        <v>831</v>
      </c>
      <c r="F700">
        <v>1</v>
      </c>
      <c r="G700">
        <v>0</v>
      </c>
      <c r="H700" t="s">
        <v>865</v>
      </c>
      <c r="I700" t="str">
        <f>VLOOKUP(C700,Customers!A:C,2,FALSE)&amp;" "&amp;VLOOKUP(C700,Customers!A:C,3,FALSE)</f>
        <v>Nancy Gordon</v>
      </c>
      <c r="J700" t="str">
        <f>VLOOKUP(D700,Products!A:C,2,FALSE)</f>
        <v>Foot Snacks</v>
      </c>
      <c r="K700" t="str">
        <f>VLOOKUP(D700,Products!A:C,3,FALSE)</f>
        <v>Groceries</v>
      </c>
      <c r="L700" t="str">
        <f>VLOOKUP(E700,Stores!A:B,2,FALSE)</f>
        <v>MegaMart Jimenezborough</v>
      </c>
      <c r="M700">
        <f>VLOOKUP(D700,Products!A:E,5,FALSE)</f>
        <v>1095.72</v>
      </c>
      <c r="N700" s="5">
        <f t="shared" si="10"/>
        <v>1095.72</v>
      </c>
    </row>
    <row r="701" spans="1:14" x14ac:dyDescent="0.3">
      <c r="A701" t="s">
        <v>1557</v>
      </c>
      <c r="B701" s="2">
        <v>45360</v>
      </c>
      <c r="C701" t="s">
        <v>627</v>
      </c>
      <c r="D701" t="s">
        <v>804</v>
      </c>
      <c r="E701" t="s">
        <v>831</v>
      </c>
      <c r="F701">
        <v>4</v>
      </c>
      <c r="G701">
        <v>0.15</v>
      </c>
      <c r="H701" t="s">
        <v>858</v>
      </c>
      <c r="I701" t="str">
        <f>VLOOKUP(C701,Customers!A:C,2,FALSE)&amp;" "&amp;VLOOKUP(C701,Customers!A:C,3,FALSE)</f>
        <v>Anthony Gould</v>
      </c>
      <c r="J701" t="str">
        <f>VLOOKUP(D701,Products!A:C,2,FALSE)</f>
        <v>Church Clothing</v>
      </c>
      <c r="K701" t="str">
        <f>VLOOKUP(D701,Products!A:C,3,FALSE)</f>
        <v>Fashion</v>
      </c>
      <c r="L701" t="str">
        <f>VLOOKUP(E701,Stores!A:B,2,FALSE)</f>
        <v>MegaMart Jimenezborough</v>
      </c>
      <c r="M701">
        <f>VLOOKUP(D701,Products!A:E,5,FALSE)</f>
        <v>540.94000000000005</v>
      </c>
      <c r="N701" s="5">
        <f t="shared" si="10"/>
        <v>1839.1960000000001</v>
      </c>
    </row>
    <row r="702" spans="1:14" x14ac:dyDescent="0.3">
      <c r="A702" t="s">
        <v>1558</v>
      </c>
      <c r="B702" s="2">
        <v>45200</v>
      </c>
      <c r="C702" t="s">
        <v>127</v>
      </c>
      <c r="D702" t="s">
        <v>711</v>
      </c>
      <c r="E702" t="s">
        <v>846</v>
      </c>
      <c r="F702">
        <v>3</v>
      </c>
      <c r="G702">
        <v>0.15</v>
      </c>
      <c r="H702" t="s">
        <v>861</v>
      </c>
      <c r="I702" t="str">
        <f>VLOOKUP(C702,Customers!A:C,2,FALSE)&amp;" "&amp;VLOOKUP(C702,Customers!A:C,3,FALSE)</f>
        <v>Valerie Macdonald</v>
      </c>
      <c r="J702" t="str">
        <f>VLOOKUP(D702,Products!A:C,2,FALSE)</f>
        <v>Like Camera</v>
      </c>
      <c r="K702" t="str">
        <f>VLOOKUP(D702,Products!A:C,3,FALSE)</f>
        <v>Electronics</v>
      </c>
      <c r="L702" t="str">
        <f>VLOOKUP(E702,Stores!A:B,2,FALSE)</f>
        <v>MegaMart Johnmouth</v>
      </c>
      <c r="M702">
        <f>VLOOKUP(D702,Products!A:E,5,FALSE)</f>
        <v>1673.69</v>
      </c>
      <c r="N702" s="5">
        <f t="shared" si="10"/>
        <v>4267.9094999999998</v>
      </c>
    </row>
    <row r="703" spans="1:14" x14ac:dyDescent="0.3">
      <c r="A703" t="s">
        <v>1559</v>
      </c>
      <c r="B703" s="2">
        <v>45381</v>
      </c>
      <c r="C703" t="s">
        <v>206</v>
      </c>
      <c r="D703" t="s">
        <v>804</v>
      </c>
      <c r="E703" t="s">
        <v>831</v>
      </c>
      <c r="F703">
        <v>3</v>
      </c>
      <c r="G703">
        <v>0.15</v>
      </c>
      <c r="H703" t="s">
        <v>865</v>
      </c>
      <c r="I703" t="str">
        <f>VLOOKUP(C703,Customers!A:C,2,FALSE)&amp;" "&amp;VLOOKUP(C703,Customers!A:C,3,FALSE)</f>
        <v>Felicia Morgan</v>
      </c>
      <c r="J703" t="str">
        <f>VLOOKUP(D703,Products!A:C,2,FALSE)</f>
        <v>Church Clothing</v>
      </c>
      <c r="K703" t="str">
        <f>VLOOKUP(D703,Products!A:C,3,FALSE)</f>
        <v>Fashion</v>
      </c>
      <c r="L703" t="str">
        <f>VLOOKUP(E703,Stores!A:B,2,FALSE)</f>
        <v>MegaMart Jimenezborough</v>
      </c>
      <c r="M703">
        <f>VLOOKUP(D703,Products!A:E,5,FALSE)</f>
        <v>540.94000000000005</v>
      </c>
      <c r="N703" s="5">
        <f t="shared" si="10"/>
        <v>1379.3970000000002</v>
      </c>
    </row>
    <row r="704" spans="1:14" x14ac:dyDescent="0.3">
      <c r="A704" t="s">
        <v>1560</v>
      </c>
      <c r="B704" s="2">
        <v>45821</v>
      </c>
      <c r="C704" t="s">
        <v>604</v>
      </c>
      <c r="D704" t="s">
        <v>776</v>
      </c>
      <c r="E704" t="s">
        <v>846</v>
      </c>
      <c r="F704">
        <v>3</v>
      </c>
      <c r="G704">
        <v>0.05</v>
      </c>
      <c r="H704" t="s">
        <v>858</v>
      </c>
      <c r="I704" t="str">
        <f>VLOOKUP(C704,Customers!A:C,2,FALSE)&amp;" "&amp;VLOOKUP(C704,Customers!A:C,3,FALSE)</f>
        <v>Amber Graham</v>
      </c>
      <c r="J704" t="str">
        <f>VLOOKUP(D704,Products!A:C,2,FALSE)</f>
        <v>Little Watches</v>
      </c>
      <c r="K704" t="str">
        <f>VLOOKUP(D704,Products!A:C,3,FALSE)</f>
        <v>Fashion</v>
      </c>
      <c r="L704" t="str">
        <f>VLOOKUP(E704,Stores!A:B,2,FALSE)</f>
        <v>MegaMart Johnmouth</v>
      </c>
      <c r="M704">
        <f>VLOOKUP(D704,Products!A:E,5,FALSE)</f>
        <v>429.15</v>
      </c>
      <c r="N704" s="5">
        <f t="shared" si="10"/>
        <v>1223.0774999999999</v>
      </c>
    </row>
    <row r="705" spans="1:14" x14ac:dyDescent="0.3">
      <c r="A705" t="s">
        <v>1561</v>
      </c>
      <c r="B705" s="2">
        <v>45207</v>
      </c>
      <c r="C705" t="s">
        <v>109</v>
      </c>
      <c r="D705" t="s">
        <v>734</v>
      </c>
      <c r="E705" t="s">
        <v>846</v>
      </c>
      <c r="F705">
        <v>5</v>
      </c>
      <c r="G705">
        <v>0</v>
      </c>
      <c r="H705" t="s">
        <v>855</v>
      </c>
      <c r="I705" t="str">
        <f>VLOOKUP(C705,Customers!A:C,2,FALSE)&amp;" "&amp;VLOOKUP(C705,Customers!A:C,3,FALSE)</f>
        <v>Jacqueline Martin</v>
      </c>
      <c r="J705" t="str">
        <f>VLOOKUP(D705,Products!A:C,2,FALSE)</f>
        <v>Recognize Footwear</v>
      </c>
      <c r="K705" t="str">
        <f>VLOOKUP(D705,Products!A:C,3,FALSE)</f>
        <v>Fashion</v>
      </c>
      <c r="L705" t="str">
        <f>VLOOKUP(E705,Stores!A:B,2,FALSE)</f>
        <v>MegaMart Johnmouth</v>
      </c>
      <c r="M705">
        <f>VLOOKUP(D705,Products!A:E,5,FALSE)</f>
        <v>109.78</v>
      </c>
      <c r="N705" s="5">
        <f t="shared" si="10"/>
        <v>548.9</v>
      </c>
    </row>
    <row r="706" spans="1:14" x14ac:dyDescent="0.3">
      <c r="A706" t="s">
        <v>1562</v>
      </c>
      <c r="B706" s="2">
        <v>45435</v>
      </c>
      <c r="C706" t="s">
        <v>119</v>
      </c>
      <c r="D706" t="s">
        <v>732</v>
      </c>
      <c r="E706" t="s">
        <v>831</v>
      </c>
      <c r="F706">
        <v>4</v>
      </c>
      <c r="G706">
        <v>0.05</v>
      </c>
      <c r="H706" t="s">
        <v>861</v>
      </c>
      <c r="I706" t="str">
        <f>VLOOKUP(C706,Customers!A:C,2,FALSE)&amp;" "&amp;VLOOKUP(C706,Customers!A:C,3,FALSE)</f>
        <v>Lacey Hall</v>
      </c>
      <c r="J706" t="str">
        <f>VLOOKUP(D706,Products!A:C,2,FALSE)</f>
        <v>Understand Camera</v>
      </c>
      <c r="K706" t="str">
        <f>VLOOKUP(D706,Products!A:C,3,FALSE)</f>
        <v>Electronics</v>
      </c>
      <c r="L706" t="str">
        <f>VLOOKUP(E706,Stores!A:B,2,FALSE)</f>
        <v>MegaMart Jimenezborough</v>
      </c>
      <c r="M706">
        <f>VLOOKUP(D706,Products!A:E,5,FALSE)</f>
        <v>1474.12</v>
      </c>
      <c r="N706" s="5">
        <f t="shared" si="10"/>
        <v>5601.655999999999</v>
      </c>
    </row>
    <row r="707" spans="1:14" x14ac:dyDescent="0.3">
      <c r="A707" t="s">
        <v>1563</v>
      </c>
      <c r="B707" s="2">
        <v>45401</v>
      </c>
      <c r="C707" t="s">
        <v>702</v>
      </c>
      <c r="D707" t="s">
        <v>750</v>
      </c>
      <c r="E707" t="s">
        <v>839</v>
      </c>
      <c r="F707">
        <v>5</v>
      </c>
      <c r="G707">
        <v>0.05</v>
      </c>
      <c r="H707" t="s">
        <v>855</v>
      </c>
      <c r="I707" t="str">
        <f>VLOOKUP(C707,Customers!A:C,2,FALSE)&amp;" "&amp;VLOOKUP(C707,Customers!A:C,3,FALSE)</f>
        <v>Ronald Haley</v>
      </c>
      <c r="J707" t="str">
        <f>VLOOKUP(D707,Products!A:C,2,FALSE)</f>
        <v>Add Clothing</v>
      </c>
      <c r="K707" t="str">
        <f>VLOOKUP(D707,Products!A:C,3,FALSE)</f>
        <v>Fashion</v>
      </c>
      <c r="L707" t="str">
        <f>VLOOKUP(E707,Stores!A:B,2,FALSE)</f>
        <v>MegaMart New Michele</v>
      </c>
      <c r="M707">
        <f>VLOOKUP(D707,Products!A:E,5,FALSE)</f>
        <v>1342.75</v>
      </c>
      <c r="N707" s="5">
        <f t="shared" ref="N707:N770" si="11">F707*M707*(1-G707)</f>
        <v>6378.0625</v>
      </c>
    </row>
    <row r="708" spans="1:14" x14ac:dyDescent="0.3">
      <c r="A708" t="s">
        <v>1564</v>
      </c>
      <c r="B708" s="2">
        <v>45336</v>
      </c>
      <c r="C708" t="s">
        <v>640</v>
      </c>
      <c r="D708" t="s">
        <v>725</v>
      </c>
      <c r="E708" t="s">
        <v>842</v>
      </c>
      <c r="F708">
        <v>3</v>
      </c>
      <c r="G708">
        <v>0.05</v>
      </c>
      <c r="H708" t="s">
        <v>865</v>
      </c>
      <c r="I708" t="str">
        <f>VLOOKUP(C708,Customers!A:C,2,FALSE)&amp;" "&amp;VLOOKUP(C708,Customers!A:C,3,FALSE)</f>
        <v>Brittany Oneal</v>
      </c>
      <c r="J708" t="str">
        <f>VLOOKUP(D708,Products!A:C,2,FALSE)</f>
        <v>Knowledge Bags</v>
      </c>
      <c r="K708" t="str">
        <f>VLOOKUP(D708,Products!A:C,3,FALSE)</f>
        <v>Fashion</v>
      </c>
      <c r="L708" t="str">
        <f>VLOOKUP(E708,Stores!A:B,2,FALSE)</f>
        <v>MegaMart Brianahaven</v>
      </c>
      <c r="M708">
        <f>VLOOKUP(D708,Products!A:E,5,FALSE)</f>
        <v>1396.22</v>
      </c>
      <c r="N708" s="5">
        <f t="shared" si="11"/>
        <v>3979.2269999999999</v>
      </c>
    </row>
    <row r="709" spans="1:14" x14ac:dyDescent="0.3">
      <c r="A709" t="s">
        <v>1565</v>
      </c>
      <c r="B709" s="2">
        <v>45621</v>
      </c>
      <c r="C709" t="s">
        <v>512</v>
      </c>
      <c r="D709" t="s">
        <v>802</v>
      </c>
      <c r="E709" t="s">
        <v>842</v>
      </c>
      <c r="F709">
        <v>2</v>
      </c>
      <c r="G709">
        <v>0.15</v>
      </c>
      <c r="H709" t="s">
        <v>855</v>
      </c>
      <c r="I709" t="str">
        <f>VLOOKUP(C709,Customers!A:C,2,FALSE)&amp;" "&amp;VLOOKUP(C709,Customers!A:C,3,FALSE)</f>
        <v>Adam Lucas</v>
      </c>
      <c r="J709" t="str">
        <f>VLOOKUP(D709,Products!A:C,2,FALSE)</f>
        <v>Stage Footwear</v>
      </c>
      <c r="K709" t="str">
        <f>VLOOKUP(D709,Products!A:C,3,FALSE)</f>
        <v>Fashion</v>
      </c>
      <c r="L709" t="str">
        <f>VLOOKUP(E709,Stores!A:B,2,FALSE)</f>
        <v>MegaMart Brianahaven</v>
      </c>
      <c r="M709">
        <f>VLOOKUP(D709,Products!A:E,5,FALSE)</f>
        <v>366.93</v>
      </c>
      <c r="N709" s="5">
        <f t="shared" si="11"/>
        <v>623.78099999999995</v>
      </c>
    </row>
    <row r="710" spans="1:14" x14ac:dyDescent="0.3">
      <c r="A710" t="s">
        <v>1566</v>
      </c>
      <c r="B710" s="2">
        <v>45392</v>
      </c>
      <c r="C710" t="s">
        <v>234</v>
      </c>
      <c r="D710" t="s">
        <v>790</v>
      </c>
      <c r="E710" t="s">
        <v>831</v>
      </c>
      <c r="F710">
        <v>1</v>
      </c>
      <c r="G710">
        <v>0</v>
      </c>
      <c r="H710" t="s">
        <v>865</v>
      </c>
      <c r="I710" t="str">
        <f>VLOOKUP(C710,Customers!A:C,2,FALSE)&amp;" "&amp;VLOOKUP(C710,Customers!A:C,3,FALSE)</f>
        <v>Heather Russell</v>
      </c>
      <c r="J710" t="str">
        <f>VLOOKUP(D710,Products!A:C,2,FALSE)</f>
        <v>Difficult Vegetables</v>
      </c>
      <c r="K710" t="str">
        <f>VLOOKUP(D710,Products!A:C,3,FALSE)</f>
        <v>Groceries</v>
      </c>
      <c r="L710" t="str">
        <f>VLOOKUP(E710,Stores!A:B,2,FALSE)</f>
        <v>MegaMart Jimenezborough</v>
      </c>
      <c r="M710">
        <f>VLOOKUP(D710,Products!A:E,5,FALSE)</f>
        <v>304.70999999999998</v>
      </c>
      <c r="N710" s="5">
        <f t="shared" si="11"/>
        <v>304.70999999999998</v>
      </c>
    </row>
    <row r="711" spans="1:14" x14ac:dyDescent="0.3">
      <c r="A711" t="s">
        <v>1567</v>
      </c>
      <c r="B711" s="2">
        <v>45446</v>
      </c>
      <c r="C711" t="s">
        <v>533</v>
      </c>
      <c r="D711" t="s">
        <v>728</v>
      </c>
      <c r="E711" t="s">
        <v>842</v>
      </c>
      <c r="F711">
        <v>2</v>
      </c>
      <c r="G711">
        <v>0</v>
      </c>
      <c r="H711" t="s">
        <v>865</v>
      </c>
      <c r="I711" t="str">
        <f>VLOOKUP(C711,Customers!A:C,2,FALSE)&amp;" "&amp;VLOOKUP(C711,Customers!A:C,3,FALSE)</f>
        <v>Crystal Garrison</v>
      </c>
      <c r="J711" t="str">
        <f>VLOOKUP(D711,Products!A:C,2,FALSE)</f>
        <v>Company Fruits</v>
      </c>
      <c r="K711" t="str">
        <f>VLOOKUP(D711,Products!A:C,3,FALSE)</f>
        <v>Groceries</v>
      </c>
      <c r="L711" t="str">
        <f>VLOOKUP(E711,Stores!A:B,2,FALSE)</f>
        <v>MegaMart Brianahaven</v>
      </c>
      <c r="M711">
        <f>VLOOKUP(D711,Products!A:E,5,FALSE)</f>
        <v>318.05</v>
      </c>
      <c r="N711" s="5">
        <f t="shared" si="11"/>
        <v>636.1</v>
      </c>
    </row>
    <row r="712" spans="1:14" x14ac:dyDescent="0.3">
      <c r="A712" t="s">
        <v>1568</v>
      </c>
      <c r="B712" s="2">
        <v>45448</v>
      </c>
      <c r="C712" t="s">
        <v>657</v>
      </c>
      <c r="D712" t="s">
        <v>780</v>
      </c>
      <c r="E712" t="s">
        <v>831</v>
      </c>
      <c r="F712">
        <v>3</v>
      </c>
      <c r="G712">
        <v>0.05</v>
      </c>
      <c r="H712" t="s">
        <v>858</v>
      </c>
      <c r="I712" t="str">
        <f>VLOOKUP(C712,Customers!A:C,2,FALSE)&amp;" "&amp;VLOOKUP(C712,Customers!A:C,3,FALSE)</f>
        <v>Vicki Guzman</v>
      </c>
      <c r="J712" t="str">
        <f>VLOOKUP(D712,Products!A:C,2,FALSE)</f>
        <v>Hospital Smartphone</v>
      </c>
      <c r="K712" t="str">
        <f>VLOOKUP(D712,Products!A:C,3,FALSE)</f>
        <v>Electronics</v>
      </c>
      <c r="L712" t="str">
        <f>VLOOKUP(E712,Stores!A:B,2,FALSE)</f>
        <v>MegaMart Jimenezborough</v>
      </c>
      <c r="M712">
        <f>VLOOKUP(D712,Products!A:E,5,FALSE)</f>
        <v>1272.23</v>
      </c>
      <c r="N712" s="5">
        <f t="shared" si="11"/>
        <v>3625.8554999999997</v>
      </c>
    </row>
    <row r="713" spans="1:14" x14ac:dyDescent="0.3">
      <c r="A713" t="s">
        <v>1569</v>
      </c>
      <c r="B713" s="2">
        <v>45325</v>
      </c>
      <c r="C713" t="s">
        <v>287</v>
      </c>
      <c r="D713" t="s">
        <v>711</v>
      </c>
      <c r="E713" t="s">
        <v>839</v>
      </c>
      <c r="F713">
        <v>4</v>
      </c>
      <c r="G713">
        <v>0</v>
      </c>
      <c r="H713" t="s">
        <v>865</v>
      </c>
      <c r="I713" t="str">
        <f>VLOOKUP(C713,Customers!A:C,2,FALSE)&amp;" "&amp;VLOOKUP(C713,Customers!A:C,3,FALSE)</f>
        <v>Phyllis Durham</v>
      </c>
      <c r="J713" t="str">
        <f>VLOOKUP(D713,Products!A:C,2,FALSE)</f>
        <v>Like Camera</v>
      </c>
      <c r="K713" t="str">
        <f>VLOOKUP(D713,Products!A:C,3,FALSE)</f>
        <v>Electronics</v>
      </c>
      <c r="L713" t="str">
        <f>VLOOKUP(E713,Stores!A:B,2,FALSE)</f>
        <v>MegaMart New Michele</v>
      </c>
      <c r="M713">
        <f>VLOOKUP(D713,Products!A:E,5,FALSE)</f>
        <v>1673.69</v>
      </c>
      <c r="N713" s="5">
        <f t="shared" si="11"/>
        <v>6694.76</v>
      </c>
    </row>
    <row r="714" spans="1:14" x14ac:dyDescent="0.3">
      <c r="A714" t="s">
        <v>1570</v>
      </c>
      <c r="B714" s="2">
        <v>45469</v>
      </c>
      <c r="C714" t="s">
        <v>175</v>
      </c>
      <c r="D714" t="s">
        <v>734</v>
      </c>
      <c r="E714" t="s">
        <v>831</v>
      </c>
      <c r="F714">
        <v>3</v>
      </c>
      <c r="G714">
        <v>0.1</v>
      </c>
      <c r="H714" t="s">
        <v>855</v>
      </c>
      <c r="I714" t="str">
        <f>VLOOKUP(C714,Customers!A:C,2,FALSE)&amp;" "&amp;VLOOKUP(C714,Customers!A:C,3,FALSE)</f>
        <v>Kelly Shaw</v>
      </c>
      <c r="J714" t="str">
        <f>VLOOKUP(D714,Products!A:C,2,FALSE)</f>
        <v>Recognize Footwear</v>
      </c>
      <c r="K714" t="str">
        <f>VLOOKUP(D714,Products!A:C,3,FALSE)</f>
        <v>Fashion</v>
      </c>
      <c r="L714" t="str">
        <f>VLOOKUP(E714,Stores!A:B,2,FALSE)</f>
        <v>MegaMart Jimenezborough</v>
      </c>
      <c r="M714">
        <f>VLOOKUP(D714,Products!A:E,5,FALSE)</f>
        <v>109.78</v>
      </c>
      <c r="N714" s="5">
        <f t="shared" si="11"/>
        <v>296.40600000000006</v>
      </c>
    </row>
    <row r="715" spans="1:14" x14ac:dyDescent="0.3">
      <c r="A715" t="s">
        <v>1571</v>
      </c>
      <c r="B715" s="2">
        <v>45280</v>
      </c>
      <c r="C715" t="s">
        <v>411</v>
      </c>
      <c r="D715" t="s">
        <v>766</v>
      </c>
      <c r="E715" t="s">
        <v>831</v>
      </c>
      <c r="F715">
        <v>1</v>
      </c>
      <c r="G715">
        <v>0</v>
      </c>
      <c r="H715" t="s">
        <v>865</v>
      </c>
      <c r="I715" t="str">
        <f>VLOOKUP(C715,Customers!A:C,2,FALSE)&amp;" "&amp;VLOOKUP(C715,Customers!A:C,3,FALSE)</f>
        <v>Travis Peters</v>
      </c>
      <c r="J715" t="str">
        <f>VLOOKUP(D715,Products!A:C,2,FALSE)</f>
        <v>Firm Dairy</v>
      </c>
      <c r="K715" t="str">
        <f>VLOOKUP(D715,Products!A:C,3,FALSE)</f>
        <v>Groceries</v>
      </c>
      <c r="L715" t="str">
        <f>VLOOKUP(E715,Stores!A:B,2,FALSE)</f>
        <v>MegaMart Jimenezborough</v>
      </c>
      <c r="M715">
        <f>VLOOKUP(D715,Products!A:E,5,FALSE)</f>
        <v>1227.24</v>
      </c>
      <c r="N715" s="5">
        <f t="shared" si="11"/>
        <v>1227.24</v>
      </c>
    </row>
    <row r="716" spans="1:14" x14ac:dyDescent="0.3">
      <c r="A716" t="s">
        <v>1572</v>
      </c>
      <c r="B716" s="2">
        <v>45200</v>
      </c>
      <c r="C716" t="s">
        <v>141</v>
      </c>
      <c r="D716" t="s">
        <v>784</v>
      </c>
      <c r="E716" t="s">
        <v>835</v>
      </c>
      <c r="F716">
        <v>3</v>
      </c>
      <c r="G716">
        <v>0.1</v>
      </c>
      <c r="H716" t="s">
        <v>858</v>
      </c>
      <c r="I716" t="str">
        <f>VLOOKUP(C716,Customers!A:C,2,FALSE)&amp;" "&amp;VLOOKUP(C716,Customers!A:C,3,FALSE)</f>
        <v>Michael Cervantes</v>
      </c>
      <c r="J716" t="str">
        <f>VLOOKUP(D716,Products!A:C,2,FALSE)</f>
        <v>Road Clothing</v>
      </c>
      <c r="K716" t="str">
        <f>VLOOKUP(D716,Products!A:C,3,FALSE)</f>
        <v>Fashion</v>
      </c>
      <c r="L716" t="str">
        <f>VLOOKUP(E716,Stores!A:B,2,FALSE)</f>
        <v>MegaMart Peckmouth</v>
      </c>
      <c r="M716">
        <f>VLOOKUP(D716,Products!A:E,5,FALSE)</f>
        <v>1485.05</v>
      </c>
      <c r="N716" s="5">
        <f t="shared" si="11"/>
        <v>4009.6349999999998</v>
      </c>
    </row>
    <row r="717" spans="1:14" x14ac:dyDescent="0.3">
      <c r="A717" t="s">
        <v>1573</v>
      </c>
      <c r="B717" s="2">
        <v>45890</v>
      </c>
      <c r="C717" t="s">
        <v>574</v>
      </c>
      <c r="D717" t="s">
        <v>814</v>
      </c>
      <c r="E717" t="s">
        <v>839</v>
      </c>
      <c r="F717">
        <v>1</v>
      </c>
      <c r="G717">
        <v>0.1</v>
      </c>
      <c r="H717" t="s">
        <v>855</v>
      </c>
      <c r="I717" t="str">
        <f>VLOOKUP(C717,Customers!A:C,2,FALSE)&amp;" "&amp;VLOOKUP(C717,Customers!A:C,3,FALSE)</f>
        <v>Meagan Macdonald</v>
      </c>
      <c r="J717" t="str">
        <f>VLOOKUP(D717,Products!A:C,2,FALSE)</f>
        <v>Least Accessories</v>
      </c>
      <c r="K717" t="str">
        <f>VLOOKUP(D717,Products!A:C,3,FALSE)</f>
        <v>Fashion</v>
      </c>
      <c r="L717" t="str">
        <f>VLOOKUP(E717,Stores!A:B,2,FALSE)</f>
        <v>MegaMart New Michele</v>
      </c>
      <c r="M717">
        <f>VLOOKUP(D717,Products!A:E,5,FALSE)</f>
        <v>1286.55</v>
      </c>
      <c r="N717" s="5">
        <f t="shared" si="11"/>
        <v>1157.895</v>
      </c>
    </row>
    <row r="718" spans="1:14" x14ac:dyDescent="0.3">
      <c r="A718" t="s">
        <v>1574</v>
      </c>
      <c r="B718" s="2">
        <v>45420</v>
      </c>
      <c r="C718" t="s">
        <v>183</v>
      </c>
      <c r="D718" t="s">
        <v>824</v>
      </c>
      <c r="E718" t="s">
        <v>831</v>
      </c>
      <c r="F718">
        <v>4</v>
      </c>
      <c r="G718">
        <v>0.15</v>
      </c>
      <c r="H718" t="s">
        <v>858</v>
      </c>
      <c r="I718" t="str">
        <f>VLOOKUP(C718,Customers!A:C,2,FALSE)&amp;" "&amp;VLOOKUP(C718,Customers!A:C,3,FALSE)</f>
        <v>Mary Decker</v>
      </c>
      <c r="J718" t="str">
        <f>VLOOKUP(D718,Products!A:C,2,FALSE)</f>
        <v>Possible Watches</v>
      </c>
      <c r="K718" t="str">
        <f>VLOOKUP(D718,Products!A:C,3,FALSE)</f>
        <v>Fashion</v>
      </c>
      <c r="L718" t="str">
        <f>VLOOKUP(E718,Stores!A:B,2,FALSE)</f>
        <v>MegaMart Jimenezborough</v>
      </c>
      <c r="M718">
        <f>VLOOKUP(D718,Products!A:E,5,FALSE)</f>
        <v>388.26</v>
      </c>
      <c r="N718" s="5">
        <f t="shared" si="11"/>
        <v>1320.0839999999998</v>
      </c>
    </row>
    <row r="719" spans="1:14" x14ac:dyDescent="0.3">
      <c r="A719" t="s">
        <v>1575</v>
      </c>
      <c r="B719" s="2">
        <v>45863</v>
      </c>
      <c r="C719" t="s">
        <v>266</v>
      </c>
      <c r="D719" t="s">
        <v>826</v>
      </c>
      <c r="E719" t="s">
        <v>842</v>
      </c>
      <c r="F719">
        <v>4</v>
      </c>
      <c r="G719">
        <v>0.15</v>
      </c>
      <c r="H719" t="s">
        <v>861</v>
      </c>
      <c r="I719" t="str">
        <f>VLOOKUP(C719,Customers!A:C,2,FALSE)&amp;" "&amp;VLOOKUP(C719,Customers!A:C,3,FALSE)</f>
        <v>Eric Bryan</v>
      </c>
      <c r="J719" t="str">
        <f>VLOOKUP(D719,Products!A:C,2,FALSE)</f>
        <v>Maybe Footwear</v>
      </c>
      <c r="K719" t="str">
        <f>VLOOKUP(D719,Products!A:C,3,FALSE)</f>
        <v>Fashion</v>
      </c>
      <c r="L719" t="str">
        <f>VLOOKUP(E719,Stores!A:B,2,FALSE)</f>
        <v>MegaMart Brianahaven</v>
      </c>
      <c r="M719">
        <f>VLOOKUP(D719,Products!A:E,5,FALSE)</f>
        <v>1044.6400000000001</v>
      </c>
      <c r="N719" s="5">
        <f t="shared" si="11"/>
        <v>3551.7760000000003</v>
      </c>
    </row>
    <row r="720" spans="1:14" x14ac:dyDescent="0.3">
      <c r="A720" t="s">
        <v>1576</v>
      </c>
      <c r="B720" s="2">
        <v>45862</v>
      </c>
      <c r="C720" t="s">
        <v>115</v>
      </c>
      <c r="D720" t="s">
        <v>802</v>
      </c>
      <c r="E720" t="s">
        <v>835</v>
      </c>
      <c r="F720">
        <v>1</v>
      </c>
      <c r="G720">
        <v>0.05</v>
      </c>
      <c r="H720" t="s">
        <v>865</v>
      </c>
      <c r="I720" t="str">
        <f>VLOOKUP(C720,Customers!A:C,2,FALSE)&amp;" "&amp;VLOOKUP(C720,Customers!A:C,3,FALSE)</f>
        <v>Tyler Levine</v>
      </c>
      <c r="J720" t="str">
        <f>VLOOKUP(D720,Products!A:C,2,FALSE)</f>
        <v>Stage Footwear</v>
      </c>
      <c r="K720" t="str">
        <f>VLOOKUP(D720,Products!A:C,3,FALSE)</f>
        <v>Fashion</v>
      </c>
      <c r="L720" t="str">
        <f>VLOOKUP(E720,Stores!A:B,2,FALSE)</f>
        <v>MegaMart Peckmouth</v>
      </c>
      <c r="M720">
        <f>VLOOKUP(D720,Products!A:E,5,FALSE)</f>
        <v>366.93</v>
      </c>
      <c r="N720" s="5">
        <f t="shared" si="11"/>
        <v>348.58350000000002</v>
      </c>
    </row>
    <row r="721" spans="1:14" x14ac:dyDescent="0.3">
      <c r="A721" t="s">
        <v>1577</v>
      </c>
      <c r="B721" s="2">
        <v>45760</v>
      </c>
      <c r="C721" t="s">
        <v>399</v>
      </c>
      <c r="D721" t="s">
        <v>757</v>
      </c>
      <c r="E721" t="s">
        <v>846</v>
      </c>
      <c r="F721">
        <v>4</v>
      </c>
      <c r="G721">
        <v>0.15</v>
      </c>
      <c r="H721" t="s">
        <v>861</v>
      </c>
      <c r="I721" t="str">
        <f>VLOOKUP(C721,Customers!A:C,2,FALSE)&amp;" "&amp;VLOOKUP(C721,Customers!A:C,3,FALSE)</f>
        <v>Victoria Hansen</v>
      </c>
      <c r="J721" t="str">
        <f>VLOOKUP(D721,Products!A:C,2,FALSE)</f>
        <v>Find Headphones</v>
      </c>
      <c r="K721" t="str">
        <f>VLOOKUP(D721,Products!A:C,3,FALSE)</f>
        <v>Electronics</v>
      </c>
      <c r="L721" t="str">
        <f>VLOOKUP(E721,Stores!A:B,2,FALSE)</f>
        <v>MegaMart Johnmouth</v>
      </c>
      <c r="M721">
        <f>VLOOKUP(D721,Products!A:E,5,FALSE)</f>
        <v>1246.1099999999999</v>
      </c>
      <c r="N721" s="5">
        <f t="shared" si="11"/>
        <v>4236.7739999999994</v>
      </c>
    </row>
    <row r="722" spans="1:14" x14ac:dyDescent="0.3">
      <c r="A722" t="s">
        <v>1578</v>
      </c>
      <c r="B722" s="2">
        <v>45467</v>
      </c>
      <c r="C722" t="s">
        <v>563</v>
      </c>
      <c r="D722" t="s">
        <v>711</v>
      </c>
      <c r="E722" t="s">
        <v>842</v>
      </c>
      <c r="F722">
        <v>3</v>
      </c>
      <c r="G722">
        <v>0</v>
      </c>
      <c r="H722" t="s">
        <v>861</v>
      </c>
      <c r="I722" t="str">
        <f>VLOOKUP(C722,Customers!A:C,2,FALSE)&amp;" "&amp;VLOOKUP(C722,Customers!A:C,3,FALSE)</f>
        <v>Connie Terry</v>
      </c>
      <c r="J722" t="str">
        <f>VLOOKUP(D722,Products!A:C,2,FALSE)</f>
        <v>Like Camera</v>
      </c>
      <c r="K722" t="str">
        <f>VLOOKUP(D722,Products!A:C,3,FALSE)</f>
        <v>Electronics</v>
      </c>
      <c r="L722" t="str">
        <f>VLOOKUP(E722,Stores!A:B,2,FALSE)</f>
        <v>MegaMart Brianahaven</v>
      </c>
      <c r="M722">
        <f>VLOOKUP(D722,Products!A:E,5,FALSE)</f>
        <v>1673.69</v>
      </c>
      <c r="N722" s="5">
        <f t="shared" si="11"/>
        <v>5021.07</v>
      </c>
    </row>
    <row r="723" spans="1:14" x14ac:dyDescent="0.3">
      <c r="A723" t="s">
        <v>1579</v>
      </c>
      <c r="B723" s="2">
        <v>45789</v>
      </c>
      <c r="C723" t="s">
        <v>458</v>
      </c>
      <c r="D723" t="s">
        <v>759</v>
      </c>
      <c r="E723" t="s">
        <v>842</v>
      </c>
      <c r="F723">
        <v>1</v>
      </c>
      <c r="G723">
        <v>0.15</v>
      </c>
      <c r="H723" t="s">
        <v>858</v>
      </c>
      <c r="I723" t="str">
        <f>VLOOKUP(C723,Customers!A:C,2,FALSE)&amp;" "&amp;VLOOKUP(C723,Customers!A:C,3,FALSE)</f>
        <v>Chad Roberts</v>
      </c>
      <c r="J723" t="str">
        <f>VLOOKUP(D723,Products!A:C,2,FALSE)</f>
        <v>Democratic Smartphone</v>
      </c>
      <c r="K723" t="str">
        <f>VLOOKUP(D723,Products!A:C,3,FALSE)</f>
        <v>Electronics</v>
      </c>
      <c r="L723" t="str">
        <f>VLOOKUP(E723,Stores!A:B,2,FALSE)</f>
        <v>MegaMart Brianahaven</v>
      </c>
      <c r="M723">
        <f>VLOOKUP(D723,Products!A:E,5,FALSE)</f>
        <v>1079.8900000000001</v>
      </c>
      <c r="N723" s="5">
        <f t="shared" si="11"/>
        <v>917.90650000000005</v>
      </c>
    </row>
    <row r="724" spans="1:14" x14ac:dyDescent="0.3">
      <c r="A724" t="s">
        <v>1580</v>
      </c>
      <c r="B724" s="2">
        <v>45499</v>
      </c>
      <c r="C724" t="s">
        <v>51</v>
      </c>
      <c r="D724" t="s">
        <v>753</v>
      </c>
      <c r="E724" t="s">
        <v>831</v>
      </c>
      <c r="F724">
        <v>3</v>
      </c>
      <c r="G724">
        <v>0.1</v>
      </c>
      <c r="H724" t="s">
        <v>865</v>
      </c>
      <c r="I724" t="str">
        <f>VLOOKUP(C724,Customers!A:C,2,FALSE)&amp;" "&amp;VLOOKUP(C724,Customers!A:C,3,FALSE)</f>
        <v>Dale Perry</v>
      </c>
      <c r="J724" t="str">
        <f>VLOOKUP(D724,Products!A:C,2,FALSE)</f>
        <v>Whether Bags</v>
      </c>
      <c r="K724" t="str">
        <f>VLOOKUP(D724,Products!A:C,3,FALSE)</f>
        <v>Fashion</v>
      </c>
      <c r="L724" t="str">
        <f>VLOOKUP(E724,Stores!A:B,2,FALSE)</f>
        <v>MegaMart Jimenezborough</v>
      </c>
      <c r="M724">
        <f>VLOOKUP(D724,Products!A:E,5,FALSE)</f>
        <v>270.45</v>
      </c>
      <c r="N724" s="5">
        <f t="shared" si="11"/>
        <v>730.21499999999992</v>
      </c>
    </row>
    <row r="725" spans="1:14" x14ac:dyDescent="0.3">
      <c r="A725" t="s">
        <v>1581</v>
      </c>
      <c r="B725" s="2">
        <v>45822</v>
      </c>
      <c r="C725" t="s">
        <v>640</v>
      </c>
      <c r="D725" t="s">
        <v>753</v>
      </c>
      <c r="E725" t="s">
        <v>846</v>
      </c>
      <c r="F725">
        <v>5</v>
      </c>
      <c r="G725">
        <v>0.05</v>
      </c>
      <c r="H725" t="s">
        <v>855</v>
      </c>
      <c r="I725" t="str">
        <f>VLOOKUP(C725,Customers!A:C,2,FALSE)&amp;" "&amp;VLOOKUP(C725,Customers!A:C,3,FALSE)</f>
        <v>Brittany Oneal</v>
      </c>
      <c r="J725" t="str">
        <f>VLOOKUP(D725,Products!A:C,2,FALSE)</f>
        <v>Whether Bags</v>
      </c>
      <c r="K725" t="str">
        <f>VLOOKUP(D725,Products!A:C,3,FALSE)</f>
        <v>Fashion</v>
      </c>
      <c r="L725" t="str">
        <f>VLOOKUP(E725,Stores!A:B,2,FALSE)</f>
        <v>MegaMart Johnmouth</v>
      </c>
      <c r="M725">
        <f>VLOOKUP(D725,Products!A:E,5,FALSE)</f>
        <v>270.45</v>
      </c>
      <c r="N725" s="5">
        <f t="shared" si="11"/>
        <v>1284.6375</v>
      </c>
    </row>
    <row r="726" spans="1:14" x14ac:dyDescent="0.3">
      <c r="A726" t="s">
        <v>1582</v>
      </c>
      <c r="B726" s="2">
        <v>45371</v>
      </c>
      <c r="C726" t="s">
        <v>487</v>
      </c>
      <c r="D726" t="s">
        <v>794</v>
      </c>
      <c r="E726" t="s">
        <v>846</v>
      </c>
      <c r="F726">
        <v>5</v>
      </c>
      <c r="G726">
        <v>0</v>
      </c>
      <c r="H726" t="s">
        <v>858</v>
      </c>
      <c r="I726" t="str">
        <f>VLOOKUP(C726,Customers!A:C,2,FALSE)&amp;" "&amp;VLOOKUP(C726,Customers!A:C,3,FALSE)</f>
        <v>Yvette Roth</v>
      </c>
      <c r="J726" t="str">
        <f>VLOOKUP(D726,Products!A:C,2,FALSE)</f>
        <v>Everything Laptop</v>
      </c>
      <c r="K726" t="str">
        <f>VLOOKUP(D726,Products!A:C,3,FALSE)</f>
        <v>Electronics</v>
      </c>
      <c r="L726" t="str">
        <f>VLOOKUP(E726,Stores!A:B,2,FALSE)</f>
        <v>MegaMart Johnmouth</v>
      </c>
      <c r="M726">
        <f>VLOOKUP(D726,Products!A:E,5,FALSE)</f>
        <v>428.05</v>
      </c>
      <c r="N726" s="5">
        <f t="shared" si="11"/>
        <v>2140.25</v>
      </c>
    </row>
    <row r="727" spans="1:14" x14ac:dyDescent="0.3">
      <c r="A727" t="s">
        <v>1583</v>
      </c>
      <c r="B727" s="2">
        <v>45438</v>
      </c>
      <c r="C727" t="s">
        <v>604</v>
      </c>
      <c r="D727" t="s">
        <v>800</v>
      </c>
      <c r="E727" t="s">
        <v>835</v>
      </c>
      <c r="F727">
        <v>4</v>
      </c>
      <c r="G727">
        <v>0.1</v>
      </c>
      <c r="H727" t="s">
        <v>858</v>
      </c>
      <c r="I727" t="str">
        <f>VLOOKUP(C727,Customers!A:C,2,FALSE)&amp;" "&amp;VLOOKUP(C727,Customers!A:C,3,FALSE)</f>
        <v>Amber Graham</v>
      </c>
      <c r="J727" t="str">
        <f>VLOOKUP(D727,Products!A:C,2,FALSE)</f>
        <v>Book Television</v>
      </c>
      <c r="K727" t="str">
        <f>VLOOKUP(D727,Products!A:C,3,FALSE)</f>
        <v>Electronics</v>
      </c>
      <c r="L727" t="str">
        <f>VLOOKUP(E727,Stores!A:B,2,FALSE)</f>
        <v>MegaMart Peckmouth</v>
      </c>
      <c r="M727">
        <f>VLOOKUP(D727,Products!A:E,5,FALSE)</f>
        <v>1952.65</v>
      </c>
      <c r="N727" s="5">
        <f t="shared" si="11"/>
        <v>7029.5400000000009</v>
      </c>
    </row>
    <row r="728" spans="1:14" x14ac:dyDescent="0.3">
      <c r="A728" t="s">
        <v>1584</v>
      </c>
      <c r="B728" s="2">
        <v>45243</v>
      </c>
      <c r="C728" t="s">
        <v>151</v>
      </c>
      <c r="D728" t="s">
        <v>796</v>
      </c>
      <c r="E728" t="s">
        <v>846</v>
      </c>
      <c r="F728">
        <v>5</v>
      </c>
      <c r="G728">
        <v>0</v>
      </c>
      <c r="H728" t="s">
        <v>865</v>
      </c>
      <c r="I728" t="str">
        <f>VLOOKUP(C728,Customers!A:C,2,FALSE)&amp;" "&amp;VLOOKUP(C728,Customers!A:C,3,FALSE)</f>
        <v>Nancy Savage</v>
      </c>
      <c r="J728" t="str">
        <f>VLOOKUP(D728,Products!A:C,2,FALSE)</f>
        <v>Chair Laptop</v>
      </c>
      <c r="K728" t="str">
        <f>VLOOKUP(D728,Products!A:C,3,FALSE)</f>
        <v>Electronics</v>
      </c>
      <c r="L728" t="str">
        <f>VLOOKUP(E728,Stores!A:B,2,FALSE)</f>
        <v>MegaMart Johnmouth</v>
      </c>
      <c r="M728">
        <f>VLOOKUP(D728,Products!A:E,5,FALSE)</f>
        <v>1562.43</v>
      </c>
      <c r="N728" s="5">
        <f t="shared" si="11"/>
        <v>7812.1500000000005</v>
      </c>
    </row>
    <row r="729" spans="1:14" x14ac:dyDescent="0.3">
      <c r="A729" t="s">
        <v>1585</v>
      </c>
      <c r="B729" s="2">
        <v>45473</v>
      </c>
      <c r="C729" t="s">
        <v>589</v>
      </c>
      <c r="D729" t="s">
        <v>750</v>
      </c>
      <c r="E729" t="s">
        <v>835</v>
      </c>
      <c r="F729">
        <v>5</v>
      </c>
      <c r="G729">
        <v>0.15</v>
      </c>
      <c r="H729" t="s">
        <v>858</v>
      </c>
      <c r="I729" t="str">
        <f>VLOOKUP(C729,Customers!A:C,2,FALSE)&amp;" "&amp;VLOOKUP(C729,Customers!A:C,3,FALSE)</f>
        <v>Tanya Mueller</v>
      </c>
      <c r="J729" t="str">
        <f>VLOOKUP(D729,Products!A:C,2,FALSE)</f>
        <v>Add Clothing</v>
      </c>
      <c r="K729" t="str">
        <f>VLOOKUP(D729,Products!A:C,3,FALSE)</f>
        <v>Fashion</v>
      </c>
      <c r="L729" t="str">
        <f>VLOOKUP(E729,Stores!A:B,2,FALSE)</f>
        <v>MegaMart Peckmouth</v>
      </c>
      <c r="M729">
        <f>VLOOKUP(D729,Products!A:E,5,FALSE)</f>
        <v>1342.75</v>
      </c>
      <c r="N729" s="5">
        <f t="shared" si="11"/>
        <v>5706.6875</v>
      </c>
    </row>
    <row r="730" spans="1:14" x14ac:dyDescent="0.3">
      <c r="A730" t="s">
        <v>1586</v>
      </c>
      <c r="B730" s="2">
        <v>45767</v>
      </c>
      <c r="C730" t="s">
        <v>167</v>
      </c>
      <c r="D730" t="s">
        <v>761</v>
      </c>
      <c r="E730" t="s">
        <v>831</v>
      </c>
      <c r="F730">
        <v>4</v>
      </c>
      <c r="G730">
        <v>0.1</v>
      </c>
      <c r="H730" t="s">
        <v>861</v>
      </c>
      <c r="I730" t="str">
        <f>VLOOKUP(C730,Customers!A:C,2,FALSE)&amp;" "&amp;VLOOKUP(C730,Customers!A:C,3,FALSE)</f>
        <v>Kenneth Allen</v>
      </c>
      <c r="J730" t="str">
        <f>VLOOKUP(D730,Products!A:C,2,FALSE)</f>
        <v>Traditional Laptop</v>
      </c>
      <c r="K730" t="str">
        <f>VLOOKUP(D730,Products!A:C,3,FALSE)</f>
        <v>Electronics</v>
      </c>
      <c r="L730" t="str">
        <f>VLOOKUP(E730,Stores!A:B,2,FALSE)</f>
        <v>MegaMart Jimenezborough</v>
      </c>
      <c r="M730">
        <f>VLOOKUP(D730,Products!A:E,5,FALSE)</f>
        <v>1762.92</v>
      </c>
      <c r="N730" s="5">
        <f t="shared" si="11"/>
        <v>6346.5120000000006</v>
      </c>
    </row>
    <row r="731" spans="1:14" x14ac:dyDescent="0.3">
      <c r="A731" t="s">
        <v>1587</v>
      </c>
      <c r="B731" s="2">
        <v>45566</v>
      </c>
      <c r="C731" t="s">
        <v>320</v>
      </c>
      <c r="D731" t="s">
        <v>778</v>
      </c>
      <c r="E731" t="s">
        <v>839</v>
      </c>
      <c r="F731">
        <v>1</v>
      </c>
      <c r="G731">
        <v>0.05</v>
      </c>
      <c r="H731" t="s">
        <v>858</v>
      </c>
      <c r="I731" t="str">
        <f>VLOOKUP(C731,Customers!A:C,2,FALSE)&amp;" "&amp;VLOOKUP(C731,Customers!A:C,3,FALSE)</f>
        <v>Juan Ramirez</v>
      </c>
      <c r="J731" t="str">
        <f>VLOOKUP(D731,Products!A:C,2,FALSE)</f>
        <v>Behavior Dairy</v>
      </c>
      <c r="K731" t="str">
        <f>VLOOKUP(D731,Products!A:C,3,FALSE)</f>
        <v>Groceries</v>
      </c>
      <c r="L731" t="str">
        <f>VLOOKUP(E731,Stores!A:B,2,FALSE)</f>
        <v>MegaMart New Michele</v>
      </c>
      <c r="M731">
        <f>VLOOKUP(D731,Products!A:E,5,FALSE)</f>
        <v>1015.76</v>
      </c>
      <c r="N731" s="5">
        <f t="shared" si="11"/>
        <v>964.97199999999998</v>
      </c>
    </row>
    <row r="732" spans="1:14" x14ac:dyDescent="0.3">
      <c r="A732" t="s">
        <v>1588</v>
      </c>
      <c r="B732" s="2">
        <v>45752</v>
      </c>
      <c r="C732" t="s">
        <v>390</v>
      </c>
      <c r="D732" t="s">
        <v>761</v>
      </c>
      <c r="E732" t="s">
        <v>835</v>
      </c>
      <c r="F732">
        <v>1</v>
      </c>
      <c r="G732">
        <v>0.15</v>
      </c>
      <c r="H732" t="s">
        <v>858</v>
      </c>
      <c r="I732" t="str">
        <f>VLOOKUP(C732,Customers!A:C,2,FALSE)&amp;" "&amp;VLOOKUP(C732,Customers!A:C,3,FALSE)</f>
        <v>Brenda Dean</v>
      </c>
      <c r="J732" t="str">
        <f>VLOOKUP(D732,Products!A:C,2,FALSE)</f>
        <v>Traditional Laptop</v>
      </c>
      <c r="K732" t="str">
        <f>VLOOKUP(D732,Products!A:C,3,FALSE)</f>
        <v>Electronics</v>
      </c>
      <c r="L732" t="str">
        <f>VLOOKUP(E732,Stores!A:B,2,FALSE)</f>
        <v>MegaMart Peckmouth</v>
      </c>
      <c r="M732">
        <f>VLOOKUP(D732,Products!A:E,5,FALSE)</f>
        <v>1762.92</v>
      </c>
      <c r="N732" s="5">
        <f t="shared" si="11"/>
        <v>1498.482</v>
      </c>
    </row>
    <row r="733" spans="1:14" x14ac:dyDescent="0.3">
      <c r="A733" t="s">
        <v>1589</v>
      </c>
      <c r="B733" s="2">
        <v>45868</v>
      </c>
      <c r="C733" t="s">
        <v>533</v>
      </c>
      <c r="D733" t="s">
        <v>722</v>
      </c>
      <c r="E733" t="s">
        <v>842</v>
      </c>
      <c r="F733">
        <v>1</v>
      </c>
      <c r="G733">
        <v>0.15</v>
      </c>
      <c r="H733" t="s">
        <v>858</v>
      </c>
      <c r="I733" t="str">
        <f>VLOOKUP(C733,Customers!A:C,2,FALSE)&amp;" "&amp;VLOOKUP(C733,Customers!A:C,3,FALSE)</f>
        <v>Crystal Garrison</v>
      </c>
      <c r="J733" t="str">
        <f>VLOOKUP(D733,Products!A:C,2,FALSE)</f>
        <v>Four Accessories</v>
      </c>
      <c r="K733" t="str">
        <f>VLOOKUP(D733,Products!A:C,3,FALSE)</f>
        <v>Fashion</v>
      </c>
      <c r="L733" t="str">
        <f>VLOOKUP(E733,Stores!A:B,2,FALSE)</f>
        <v>MegaMart Brianahaven</v>
      </c>
      <c r="M733">
        <f>VLOOKUP(D733,Products!A:E,5,FALSE)</f>
        <v>1853.77</v>
      </c>
      <c r="N733" s="5">
        <f t="shared" si="11"/>
        <v>1575.7045000000001</v>
      </c>
    </row>
    <row r="734" spans="1:14" x14ac:dyDescent="0.3">
      <c r="A734" t="s">
        <v>1590</v>
      </c>
      <c r="B734" s="2">
        <v>45536</v>
      </c>
      <c r="C734" t="s">
        <v>306</v>
      </c>
      <c r="D734" t="s">
        <v>715</v>
      </c>
      <c r="E734" t="s">
        <v>831</v>
      </c>
      <c r="F734">
        <v>4</v>
      </c>
      <c r="G734">
        <v>0</v>
      </c>
      <c r="H734" t="s">
        <v>865</v>
      </c>
      <c r="I734" t="str">
        <f>VLOOKUP(C734,Customers!A:C,2,FALSE)&amp;" "&amp;VLOOKUP(C734,Customers!A:C,3,FALSE)</f>
        <v>Sarah Reynolds</v>
      </c>
      <c r="J734" t="str">
        <f>VLOOKUP(D734,Products!A:C,2,FALSE)</f>
        <v>Audience Television</v>
      </c>
      <c r="K734" t="str">
        <f>VLOOKUP(D734,Products!A:C,3,FALSE)</f>
        <v>Electronics</v>
      </c>
      <c r="L734" t="str">
        <f>VLOOKUP(E734,Stores!A:B,2,FALSE)</f>
        <v>MegaMart Jimenezborough</v>
      </c>
      <c r="M734">
        <f>VLOOKUP(D734,Products!A:E,5,FALSE)</f>
        <v>818.76</v>
      </c>
      <c r="N734" s="5">
        <f t="shared" si="11"/>
        <v>3275.04</v>
      </c>
    </row>
    <row r="735" spans="1:14" x14ac:dyDescent="0.3">
      <c r="A735" t="s">
        <v>1591</v>
      </c>
      <c r="B735" s="2">
        <v>45249</v>
      </c>
      <c r="C735" t="s">
        <v>390</v>
      </c>
      <c r="D735" t="s">
        <v>806</v>
      </c>
      <c r="E735" t="s">
        <v>842</v>
      </c>
      <c r="F735">
        <v>1</v>
      </c>
      <c r="G735">
        <v>0</v>
      </c>
      <c r="H735" t="s">
        <v>865</v>
      </c>
      <c r="I735" t="str">
        <f>VLOOKUP(C735,Customers!A:C,2,FALSE)&amp;" "&amp;VLOOKUP(C735,Customers!A:C,3,FALSE)</f>
        <v>Brenda Dean</v>
      </c>
      <c r="J735" t="str">
        <f>VLOOKUP(D735,Products!A:C,2,FALSE)</f>
        <v>Piece Headphones</v>
      </c>
      <c r="K735" t="str">
        <f>VLOOKUP(D735,Products!A:C,3,FALSE)</f>
        <v>Electronics</v>
      </c>
      <c r="L735" t="str">
        <f>VLOOKUP(E735,Stores!A:B,2,FALSE)</f>
        <v>MegaMart Brianahaven</v>
      </c>
      <c r="M735">
        <f>VLOOKUP(D735,Products!A:E,5,FALSE)</f>
        <v>1745.61</v>
      </c>
      <c r="N735" s="5">
        <f t="shared" si="11"/>
        <v>1745.61</v>
      </c>
    </row>
    <row r="736" spans="1:14" x14ac:dyDescent="0.3">
      <c r="A736" t="s">
        <v>1592</v>
      </c>
      <c r="B736" s="2">
        <v>45718</v>
      </c>
      <c r="C736" t="s">
        <v>556</v>
      </c>
      <c r="D736" t="s">
        <v>725</v>
      </c>
      <c r="E736" t="s">
        <v>846</v>
      </c>
      <c r="F736">
        <v>3</v>
      </c>
      <c r="G736">
        <v>0.05</v>
      </c>
      <c r="H736" t="s">
        <v>858</v>
      </c>
      <c r="I736" t="str">
        <f>VLOOKUP(C736,Customers!A:C,2,FALSE)&amp;" "&amp;VLOOKUP(C736,Customers!A:C,3,FALSE)</f>
        <v>Jill Mcconnell</v>
      </c>
      <c r="J736" t="str">
        <f>VLOOKUP(D736,Products!A:C,2,FALSE)</f>
        <v>Knowledge Bags</v>
      </c>
      <c r="K736" t="str">
        <f>VLOOKUP(D736,Products!A:C,3,FALSE)</f>
        <v>Fashion</v>
      </c>
      <c r="L736" t="str">
        <f>VLOOKUP(E736,Stores!A:B,2,FALSE)</f>
        <v>MegaMart Johnmouth</v>
      </c>
      <c r="M736">
        <f>VLOOKUP(D736,Products!A:E,5,FALSE)</f>
        <v>1396.22</v>
      </c>
      <c r="N736" s="5">
        <f t="shared" si="11"/>
        <v>3979.2269999999999</v>
      </c>
    </row>
    <row r="737" spans="1:14" x14ac:dyDescent="0.3">
      <c r="A737" t="s">
        <v>1593</v>
      </c>
      <c r="B737" s="2">
        <v>45885</v>
      </c>
      <c r="C737" t="s">
        <v>331</v>
      </c>
      <c r="D737" t="s">
        <v>820</v>
      </c>
      <c r="E737" t="s">
        <v>839</v>
      </c>
      <c r="F737">
        <v>1</v>
      </c>
      <c r="G737">
        <v>0.05</v>
      </c>
      <c r="H737" t="s">
        <v>858</v>
      </c>
      <c r="I737" t="str">
        <f>VLOOKUP(C737,Customers!A:C,2,FALSE)&amp;" "&amp;VLOOKUP(C737,Customers!A:C,3,FALSE)</f>
        <v>Brenda Costa</v>
      </c>
      <c r="J737" t="str">
        <f>VLOOKUP(D737,Products!A:C,2,FALSE)</f>
        <v>Or Smartphone</v>
      </c>
      <c r="K737" t="str">
        <f>VLOOKUP(D737,Products!A:C,3,FALSE)</f>
        <v>Electronics</v>
      </c>
      <c r="L737" t="str">
        <f>VLOOKUP(E737,Stores!A:B,2,FALSE)</f>
        <v>MegaMart New Michele</v>
      </c>
      <c r="M737">
        <f>VLOOKUP(D737,Products!A:E,5,FALSE)</f>
        <v>1197.18</v>
      </c>
      <c r="N737" s="5">
        <f t="shared" si="11"/>
        <v>1137.3209999999999</v>
      </c>
    </row>
    <row r="738" spans="1:14" x14ac:dyDescent="0.3">
      <c r="A738" t="s">
        <v>1594</v>
      </c>
      <c r="B738" s="2">
        <v>45299</v>
      </c>
      <c r="C738" t="s">
        <v>320</v>
      </c>
      <c r="D738" t="s">
        <v>755</v>
      </c>
      <c r="E738" t="s">
        <v>846</v>
      </c>
      <c r="F738">
        <v>5</v>
      </c>
      <c r="G738">
        <v>0.15</v>
      </c>
      <c r="H738" t="s">
        <v>855</v>
      </c>
      <c r="I738" t="str">
        <f>VLOOKUP(C738,Customers!A:C,2,FALSE)&amp;" "&amp;VLOOKUP(C738,Customers!A:C,3,FALSE)</f>
        <v>Juan Ramirez</v>
      </c>
      <c r="J738" t="str">
        <f>VLOOKUP(D738,Products!A:C,2,FALSE)</f>
        <v>House Accessories</v>
      </c>
      <c r="K738" t="str">
        <f>VLOOKUP(D738,Products!A:C,3,FALSE)</f>
        <v>Fashion</v>
      </c>
      <c r="L738" t="str">
        <f>VLOOKUP(E738,Stores!A:B,2,FALSE)</f>
        <v>MegaMart Johnmouth</v>
      </c>
      <c r="M738">
        <f>VLOOKUP(D738,Products!A:E,5,FALSE)</f>
        <v>1858.75</v>
      </c>
      <c r="N738" s="5">
        <f t="shared" si="11"/>
        <v>7899.6875</v>
      </c>
    </row>
    <row r="739" spans="1:14" x14ac:dyDescent="0.3">
      <c r="A739" t="s">
        <v>1595</v>
      </c>
      <c r="B739" s="2">
        <v>45517</v>
      </c>
      <c r="C739" t="s">
        <v>650</v>
      </c>
      <c r="D739" t="s">
        <v>806</v>
      </c>
      <c r="E739" t="s">
        <v>842</v>
      </c>
      <c r="F739">
        <v>1</v>
      </c>
      <c r="G739">
        <v>0</v>
      </c>
      <c r="H739" t="s">
        <v>861</v>
      </c>
      <c r="I739" t="str">
        <f>VLOOKUP(C739,Customers!A:C,2,FALSE)&amp;" "&amp;VLOOKUP(C739,Customers!A:C,3,FALSE)</f>
        <v>Daniel Mcintyre</v>
      </c>
      <c r="J739" t="str">
        <f>VLOOKUP(D739,Products!A:C,2,FALSE)</f>
        <v>Piece Headphones</v>
      </c>
      <c r="K739" t="str">
        <f>VLOOKUP(D739,Products!A:C,3,FALSE)</f>
        <v>Electronics</v>
      </c>
      <c r="L739" t="str">
        <f>VLOOKUP(E739,Stores!A:B,2,FALSE)</f>
        <v>MegaMart Brianahaven</v>
      </c>
      <c r="M739">
        <f>VLOOKUP(D739,Products!A:E,5,FALSE)</f>
        <v>1745.61</v>
      </c>
      <c r="N739" s="5">
        <f t="shared" si="11"/>
        <v>1745.61</v>
      </c>
    </row>
    <row r="740" spans="1:14" x14ac:dyDescent="0.3">
      <c r="A740" t="s">
        <v>1596</v>
      </c>
      <c r="B740" s="2">
        <v>45624</v>
      </c>
      <c r="C740" t="s">
        <v>7</v>
      </c>
      <c r="D740" t="s">
        <v>725</v>
      </c>
      <c r="E740" t="s">
        <v>839</v>
      </c>
      <c r="F740">
        <v>3</v>
      </c>
      <c r="G740">
        <v>0.1</v>
      </c>
      <c r="H740" t="s">
        <v>855</v>
      </c>
      <c r="I740" t="str">
        <f>VLOOKUP(C740,Customers!A:C,2,FALSE)&amp;" "&amp;VLOOKUP(C740,Customers!A:C,3,FALSE)</f>
        <v>Michael Davis</v>
      </c>
      <c r="J740" t="str">
        <f>VLOOKUP(D740,Products!A:C,2,FALSE)</f>
        <v>Knowledge Bags</v>
      </c>
      <c r="K740" t="str">
        <f>VLOOKUP(D740,Products!A:C,3,FALSE)</f>
        <v>Fashion</v>
      </c>
      <c r="L740" t="str">
        <f>VLOOKUP(E740,Stores!A:B,2,FALSE)</f>
        <v>MegaMart New Michele</v>
      </c>
      <c r="M740">
        <f>VLOOKUP(D740,Products!A:E,5,FALSE)</f>
        <v>1396.22</v>
      </c>
      <c r="N740" s="5">
        <f t="shared" si="11"/>
        <v>3769.7939999999999</v>
      </c>
    </row>
    <row r="741" spans="1:14" x14ac:dyDescent="0.3">
      <c r="A741" t="s">
        <v>1597</v>
      </c>
      <c r="B741" s="2">
        <v>45207</v>
      </c>
      <c r="C741" t="s">
        <v>636</v>
      </c>
      <c r="D741" t="s">
        <v>800</v>
      </c>
      <c r="E741" t="s">
        <v>831</v>
      </c>
      <c r="F741">
        <v>1</v>
      </c>
      <c r="G741">
        <v>0.05</v>
      </c>
      <c r="H741" t="s">
        <v>858</v>
      </c>
      <c r="I741" t="str">
        <f>VLOOKUP(C741,Customers!A:C,2,FALSE)&amp;" "&amp;VLOOKUP(C741,Customers!A:C,3,FALSE)</f>
        <v>Nichole Calhoun</v>
      </c>
      <c r="J741" t="str">
        <f>VLOOKUP(D741,Products!A:C,2,FALSE)</f>
        <v>Book Television</v>
      </c>
      <c r="K741" t="str">
        <f>VLOOKUP(D741,Products!A:C,3,FALSE)</f>
        <v>Electronics</v>
      </c>
      <c r="L741" t="str">
        <f>VLOOKUP(E741,Stores!A:B,2,FALSE)</f>
        <v>MegaMart Jimenezborough</v>
      </c>
      <c r="M741">
        <f>VLOOKUP(D741,Products!A:E,5,FALSE)</f>
        <v>1952.65</v>
      </c>
      <c r="N741" s="5">
        <f t="shared" si="11"/>
        <v>1855.0174999999999</v>
      </c>
    </row>
    <row r="742" spans="1:14" x14ac:dyDescent="0.3">
      <c r="A742" t="s">
        <v>1598</v>
      </c>
      <c r="B742" s="2">
        <v>45211</v>
      </c>
      <c r="C742" t="s">
        <v>141</v>
      </c>
      <c r="D742" t="s">
        <v>824</v>
      </c>
      <c r="E742" t="s">
        <v>842</v>
      </c>
      <c r="F742">
        <v>1</v>
      </c>
      <c r="G742">
        <v>0.1</v>
      </c>
      <c r="H742" t="s">
        <v>861</v>
      </c>
      <c r="I742" t="str">
        <f>VLOOKUP(C742,Customers!A:C,2,FALSE)&amp;" "&amp;VLOOKUP(C742,Customers!A:C,3,FALSE)</f>
        <v>Michael Cervantes</v>
      </c>
      <c r="J742" t="str">
        <f>VLOOKUP(D742,Products!A:C,2,FALSE)</f>
        <v>Possible Watches</v>
      </c>
      <c r="K742" t="str">
        <f>VLOOKUP(D742,Products!A:C,3,FALSE)</f>
        <v>Fashion</v>
      </c>
      <c r="L742" t="str">
        <f>VLOOKUP(E742,Stores!A:B,2,FALSE)</f>
        <v>MegaMart Brianahaven</v>
      </c>
      <c r="M742">
        <f>VLOOKUP(D742,Products!A:E,5,FALSE)</f>
        <v>388.26</v>
      </c>
      <c r="N742" s="5">
        <f t="shared" si="11"/>
        <v>349.43400000000003</v>
      </c>
    </row>
    <row r="743" spans="1:14" x14ac:dyDescent="0.3">
      <c r="A743" t="s">
        <v>1599</v>
      </c>
      <c r="B743" s="2">
        <v>45421</v>
      </c>
      <c r="C743" t="s">
        <v>191</v>
      </c>
      <c r="D743" t="s">
        <v>757</v>
      </c>
      <c r="E743" t="s">
        <v>831</v>
      </c>
      <c r="F743">
        <v>4</v>
      </c>
      <c r="G743">
        <v>0.05</v>
      </c>
      <c r="H743" t="s">
        <v>858</v>
      </c>
      <c r="I743" t="str">
        <f>VLOOKUP(C743,Customers!A:C,2,FALSE)&amp;" "&amp;VLOOKUP(C743,Customers!A:C,3,FALSE)</f>
        <v>Antonio Hamilton</v>
      </c>
      <c r="J743" t="str">
        <f>VLOOKUP(D743,Products!A:C,2,FALSE)</f>
        <v>Find Headphones</v>
      </c>
      <c r="K743" t="str">
        <f>VLOOKUP(D743,Products!A:C,3,FALSE)</f>
        <v>Electronics</v>
      </c>
      <c r="L743" t="str">
        <f>VLOOKUP(E743,Stores!A:B,2,FALSE)</f>
        <v>MegaMart Jimenezborough</v>
      </c>
      <c r="M743">
        <f>VLOOKUP(D743,Products!A:E,5,FALSE)</f>
        <v>1246.1099999999999</v>
      </c>
      <c r="N743" s="5">
        <f t="shared" si="11"/>
        <v>4735.2179999999998</v>
      </c>
    </row>
    <row r="744" spans="1:14" x14ac:dyDescent="0.3">
      <c r="A744" t="s">
        <v>1600</v>
      </c>
      <c r="B744" s="2">
        <v>45370</v>
      </c>
      <c r="C744" t="s">
        <v>191</v>
      </c>
      <c r="D744" t="s">
        <v>722</v>
      </c>
      <c r="E744" t="s">
        <v>839</v>
      </c>
      <c r="F744">
        <v>1</v>
      </c>
      <c r="G744">
        <v>0.15</v>
      </c>
      <c r="H744" t="s">
        <v>865</v>
      </c>
      <c r="I744" t="str">
        <f>VLOOKUP(C744,Customers!A:C,2,FALSE)&amp;" "&amp;VLOOKUP(C744,Customers!A:C,3,FALSE)</f>
        <v>Antonio Hamilton</v>
      </c>
      <c r="J744" t="str">
        <f>VLOOKUP(D744,Products!A:C,2,FALSE)</f>
        <v>Four Accessories</v>
      </c>
      <c r="K744" t="str">
        <f>VLOOKUP(D744,Products!A:C,3,FALSE)</f>
        <v>Fashion</v>
      </c>
      <c r="L744" t="str">
        <f>VLOOKUP(E744,Stores!A:B,2,FALSE)</f>
        <v>MegaMart New Michele</v>
      </c>
      <c r="M744">
        <f>VLOOKUP(D744,Products!A:E,5,FALSE)</f>
        <v>1853.77</v>
      </c>
      <c r="N744" s="5">
        <f t="shared" si="11"/>
        <v>1575.7045000000001</v>
      </c>
    </row>
    <row r="745" spans="1:14" x14ac:dyDescent="0.3">
      <c r="A745" t="s">
        <v>1601</v>
      </c>
      <c r="B745" s="2">
        <v>45455</v>
      </c>
      <c r="C745" t="s">
        <v>582</v>
      </c>
      <c r="D745" t="s">
        <v>810</v>
      </c>
      <c r="E745" t="s">
        <v>846</v>
      </c>
      <c r="F745">
        <v>1</v>
      </c>
      <c r="G745">
        <v>0.15</v>
      </c>
      <c r="H745" t="s">
        <v>858</v>
      </c>
      <c r="I745" t="str">
        <f>VLOOKUP(C745,Customers!A:C,2,FALSE)&amp;" "&amp;VLOOKUP(C745,Customers!A:C,3,FALSE)</f>
        <v>Erin Rogers</v>
      </c>
      <c r="J745" t="str">
        <f>VLOOKUP(D745,Products!A:C,2,FALSE)</f>
        <v>Maybe Clothing</v>
      </c>
      <c r="K745" t="str">
        <f>VLOOKUP(D745,Products!A:C,3,FALSE)</f>
        <v>Fashion</v>
      </c>
      <c r="L745" t="str">
        <f>VLOOKUP(E745,Stores!A:B,2,FALSE)</f>
        <v>MegaMart Johnmouth</v>
      </c>
      <c r="M745">
        <f>VLOOKUP(D745,Products!A:E,5,FALSE)</f>
        <v>453.62</v>
      </c>
      <c r="N745" s="5">
        <f t="shared" si="11"/>
        <v>385.577</v>
      </c>
    </row>
    <row r="746" spans="1:14" x14ac:dyDescent="0.3">
      <c r="A746" t="s">
        <v>1602</v>
      </c>
      <c r="B746" s="2">
        <v>45391</v>
      </c>
      <c r="C746" t="s">
        <v>601</v>
      </c>
      <c r="D746" t="s">
        <v>772</v>
      </c>
      <c r="E746" t="s">
        <v>846</v>
      </c>
      <c r="F746">
        <v>5</v>
      </c>
      <c r="G746">
        <v>0.05</v>
      </c>
      <c r="H746" t="s">
        <v>858</v>
      </c>
      <c r="I746" t="str">
        <f>VLOOKUP(C746,Customers!A:C,2,FALSE)&amp;" "&amp;VLOOKUP(C746,Customers!A:C,3,FALSE)</f>
        <v>Travis Watson</v>
      </c>
      <c r="J746" t="str">
        <f>VLOOKUP(D746,Products!A:C,2,FALSE)</f>
        <v>And Footwear</v>
      </c>
      <c r="K746" t="str">
        <f>VLOOKUP(D746,Products!A:C,3,FALSE)</f>
        <v>Fashion</v>
      </c>
      <c r="L746" t="str">
        <f>VLOOKUP(E746,Stores!A:B,2,FALSE)</f>
        <v>MegaMart Johnmouth</v>
      </c>
      <c r="M746">
        <f>VLOOKUP(D746,Products!A:E,5,FALSE)</f>
        <v>1878.47</v>
      </c>
      <c r="N746" s="5">
        <f t="shared" si="11"/>
        <v>8922.7325000000001</v>
      </c>
    </row>
    <row r="747" spans="1:14" x14ac:dyDescent="0.3">
      <c r="A747" t="s">
        <v>1603</v>
      </c>
      <c r="B747" s="2">
        <v>45717</v>
      </c>
      <c r="C747" t="s">
        <v>12</v>
      </c>
      <c r="D747" t="s">
        <v>800</v>
      </c>
      <c r="E747" t="s">
        <v>846</v>
      </c>
      <c r="F747">
        <v>1</v>
      </c>
      <c r="G747">
        <v>0.15</v>
      </c>
      <c r="H747" t="s">
        <v>858</v>
      </c>
      <c r="I747" t="str">
        <f>VLOOKUP(C747,Customers!A:C,2,FALSE)&amp;" "&amp;VLOOKUP(C747,Customers!A:C,3,FALSE)</f>
        <v>Michael Miller</v>
      </c>
      <c r="J747" t="str">
        <f>VLOOKUP(D747,Products!A:C,2,FALSE)</f>
        <v>Book Television</v>
      </c>
      <c r="K747" t="str">
        <f>VLOOKUP(D747,Products!A:C,3,FALSE)</f>
        <v>Electronics</v>
      </c>
      <c r="L747" t="str">
        <f>VLOOKUP(E747,Stores!A:B,2,FALSE)</f>
        <v>MegaMart Johnmouth</v>
      </c>
      <c r="M747">
        <f>VLOOKUP(D747,Products!A:E,5,FALSE)</f>
        <v>1952.65</v>
      </c>
      <c r="N747" s="5">
        <f t="shared" si="11"/>
        <v>1659.7525000000001</v>
      </c>
    </row>
    <row r="748" spans="1:14" x14ac:dyDescent="0.3">
      <c r="A748" t="s">
        <v>1604</v>
      </c>
      <c r="B748" s="2">
        <v>45197</v>
      </c>
      <c r="C748" t="s">
        <v>480</v>
      </c>
      <c r="D748" t="s">
        <v>734</v>
      </c>
      <c r="E748" t="s">
        <v>835</v>
      </c>
      <c r="F748">
        <v>5</v>
      </c>
      <c r="G748">
        <v>0.05</v>
      </c>
      <c r="H748" t="s">
        <v>861</v>
      </c>
      <c r="I748" t="str">
        <f>VLOOKUP(C748,Customers!A:C,2,FALSE)&amp;" "&amp;VLOOKUP(C748,Customers!A:C,3,FALSE)</f>
        <v>Denise Jackson</v>
      </c>
      <c r="J748" t="str">
        <f>VLOOKUP(D748,Products!A:C,2,FALSE)</f>
        <v>Recognize Footwear</v>
      </c>
      <c r="K748" t="str">
        <f>VLOOKUP(D748,Products!A:C,3,FALSE)</f>
        <v>Fashion</v>
      </c>
      <c r="L748" t="str">
        <f>VLOOKUP(E748,Stores!A:B,2,FALSE)</f>
        <v>MegaMart Peckmouth</v>
      </c>
      <c r="M748">
        <f>VLOOKUP(D748,Products!A:E,5,FALSE)</f>
        <v>109.78</v>
      </c>
      <c r="N748" s="5">
        <f t="shared" si="11"/>
        <v>521.45499999999993</v>
      </c>
    </row>
    <row r="749" spans="1:14" x14ac:dyDescent="0.3">
      <c r="A749" t="s">
        <v>1605</v>
      </c>
      <c r="B749" s="2">
        <v>45608</v>
      </c>
      <c r="C749" t="s">
        <v>109</v>
      </c>
      <c r="D749" t="s">
        <v>769</v>
      </c>
      <c r="E749" t="s">
        <v>842</v>
      </c>
      <c r="F749">
        <v>5</v>
      </c>
      <c r="G749">
        <v>0.1</v>
      </c>
      <c r="H749" t="s">
        <v>858</v>
      </c>
      <c r="I749" t="str">
        <f>VLOOKUP(C749,Customers!A:C,2,FALSE)&amp;" "&amp;VLOOKUP(C749,Customers!A:C,3,FALSE)</f>
        <v>Jacqueline Martin</v>
      </c>
      <c r="J749" t="str">
        <f>VLOOKUP(D749,Products!A:C,2,FALSE)</f>
        <v>How Vegetables</v>
      </c>
      <c r="K749" t="str">
        <f>VLOOKUP(D749,Products!A:C,3,FALSE)</f>
        <v>Groceries</v>
      </c>
      <c r="L749" t="str">
        <f>VLOOKUP(E749,Stores!A:B,2,FALSE)</f>
        <v>MegaMart Brianahaven</v>
      </c>
      <c r="M749">
        <f>VLOOKUP(D749,Products!A:E,5,FALSE)</f>
        <v>25.57</v>
      </c>
      <c r="N749" s="5">
        <f t="shared" si="11"/>
        <v>115.065</v>
      </c>
    </row>
    <row r="750" spans="1:14" x14ac:dyDescent="0.3">
      <c r="A750" t="s">
        <v>1606</v>
      </c>
      <c r="B750" s="2">
        <v>45267</v>
      </c>
      <c r="C750" t="s">
        <v>403</v>
      </c>
      <c r="D750" t="s">
        <v>739</v>
      </c>
      <c r="E750" t="s">
        <v>846</v>
      </c>
      <c r="F750">
        <v>2</v>
      </c>
      <c r="G750">
        <v>0.1</v>
      </c>
      <c r="H750" t="s">
        <v>858</v>
      </c>
      <c r="I750" t="str">
        <f>VLOOKUP(C750,Customers!A:C,2,FALSE)&amp;" "&amp;VLOOKUP(C750,Customers!A:C,3,FALSE)</f>
        <v>Samantha Hill</v>
      </c>
      <c r="J750" t="str">
        <f>VLOOKUP(D750,Products!A:C,2,FALSE)</f>
        <v>Step Smartphone</v>
      </c>
      <c r="K750" t="str">
        <f>VLOOKUP(D750,Products!A:C,3,FALSE)</f>
        <v>Electronics</v>
      </c>
      <c r="L750" t="str">
        <f>VLOOKUP(E750,Stores!A:B,2,FALSE)</f>
        <v>MegaMart Johnmouth</v>
      </c>
      <c r="M750">
        <f>VLOOKUP(D750,Products!A:E,5,FALSE)</f>
        <v>1194.1199999999999</v>
      </c>
      <c r="N750" s="5">
        <f t="shared" si="11"/>
        <v>2149.4159999999997</v>
      </c>
    </row>
    <row r="751" spans="1:14" x14ac:dyDescent="0.3">
      <c r="A751" t="s">
        <v>1607</v>
      </c>
      <c r="B751" s="2">
        <v>45656</v>
      </c>
      <c r="C751" t="s">
        <v>331</v>
      </c>
      <c r="D751" t="s">
        <v>722</v>
      </c>
      <c r="E751" t="s">
        <v>839</v>
      </c>
      <c r="F751">
        <v>4</v>
      </c>
      <c r="G751">
        <v>0.05</v>
      </c>
      <c r="H751" t="s">
        <v>861</v>
      </c>
      <c r="I751" t="str">
        <f>VLOOKUP(C751,Customers!A:C,2,FALSE)&amp;" "&amp;VLOOKUP(C751,Customers!A:C,3,FALSE)</f>
        <v>Brenda Costa</v>
      </c>
      <c r="J751" t="str">
        <f>VLOOKUP(D751,Products!A:C,2,FALSE)</f>
        <v>Four Accessories</v>
      </c>
      <c r="K751" t="str">
        <f>VLOOKUP(D751,Products!A:C,3,FALSE)</f>
        <v>Fashion</v>
      </c>
      <c r="L751" t="str">
        <f>VLOOKUP(E751,Stores!A:B,2,FALSE)</f>
        <v>MegaMart New Michele</v>
      </c>
      <c r="M751">
        <f>VLOOKUP(D751,Products!A:E,5,FALSE)</f>
        <v>1853.77</v>
      </c>
      <c r="N751" s="5">
        <f t="shared" si="11"/>
        <v>7044.326</v>
      </c>
    </row>
    <row r="752" spans="1:14" x14ac:dyDescent="0.3">
      <c r="A752" t="s">
        <v>1608</v>
      </c>
      <c r="B752" s="2">
        <v>45783</v>
      </c>
      <c r="C752" t="s">
        <v>396</v>
      </c>
      <c r="D752" t="s">
        <v>736</v>
      </c>
      <c r="E752" t="s">
        <v>846</v>
      </c>
      <c r="F752">
        <v>5</v>
      </c>
      <c r="G752">
        <v>0.1</v>
      </c>
      <c r="H752" t="s">
        <v>855</v>
      </c>
      <c r="I752" t="str">
        <f>VLOOKUP(C752,Customers!A:C,2,FALSE)&amp;" "&amp;VLOOKUP(C752,Customers!A:C,3,FALSE)</f>
        <v>Kevin Flores</v>
      </c>
      <c r="J752" t="str">
        <f>VLOOKUP(D752,Products!A:C,2,FALSE)</f>
        <v>Us Snacks</v>
      </c>
      <c r="K752" t="str">
        <f>VLOOKUP(D752,Products!A:C,3,FALSE)</f>
        <v>Groceries</v>
      </c>
      <c r="L752" t="str">
        <f>VLOOKUP(E752,Stores!A:B,2,FALSE)</f>
        <v>MegaMart Johnmouth</v>
      </c>
      <c r="M752">
        <f>VLOOKUP(D752,Products!A:E,5,FALSE)</f>
        <v>123.19</v>
      </c>
      <c r="N752" s="5">
        <f t="shared" si="11"/>
        <v>554.35500000000002</v>
      </c>
    </row>
    <row r="753" spans="1:14" x14ac:dyDescent="0.3">
      <c r="A753" t="s">
        <v>1609</v>
      </c>
      <c r="B753" s="2">
        <v>45859</v>
      </c>
      <c r="C753" t="s">
        <v>647</v>
      </c>
      <c r="D753" t="s">
        <v>725</v>
      </c>
      <c r="E753" t="s">
        <v>846</v>
      </c>
      <c r="F753">
        <v>2</v>
      </c>
      <c r="G753">
        <v>0.05</v>
      </c>
      <c r="H753" t="s">
        <v>861</v>
      </c>
      <c r="I753" t="str">
        <f>VLOOKUP(C753,Customers!A:C,2,FALSE)&amp;" "&amp;VLOOKUP(C753,Customers!A:C,3,FALSE)</f>
        <v>Mary Dawson</v>
      </c>
      <c r="J753" t="str">
        <f>VLOOKUP(D753,Products!A:C,2,FALSE)</f>
        <v>Knowledge Bags</v>
      </c>
      <c r="K753" t="str">
        <f>VLOOKUP(D753,Products!A:C,3,FALSE)</f>
        <v>Fashion</v>
      </c>
      <c r="L753" t="str">
        <f>VLOOKUP(E753,Stores!A:B,2,FALSE)</f>
        <v>MegaMart Johnmouth</v>
      </c>
      <c r="M753">
        <f>VLOOKUP(D753,Products!A:E,5,FALSE)</f>
        <v>1396.22</v>
      </c>
      <c r="N753" s="5">
        <f t="shared" si="11"/>
        <v>2652.8179999999998</v>
      </c>
    </row>
    <row r="754" spans="1:14" x14ac:dyDescent="0.3">
      <c r="A754" t="s">
        <v>1610</v>
      </c>
      <c r="B754" s="2">
        <v>45324</v>
      </c>
      <c r="C754" t="s">
        <v>574</v>
      </c>
      <c r="D754" t="s">
        <v>764</v>
      </c>
      <c r="E754" t="s">
        <v>839</v>
      </c>
      <c r="F754">
        <v>3</v>
      </c>
      <c r="G754">
        <v>0.05</v>
      </c>
      <c r="H754" t="s">
        <v>861</v>
      </c>
      <c r="I754" t="str">
        <f>VLOOKUP(C754,Customers!A:C,2,FALSE)&amp;" "&amp;VLOOKUP(C754,Customers!A:C,3,FALSE)</f>
        <v>Meagan Macdonald</v>
      </c>
      <c r="J754" t="str">
        <f>VLOOKUP(D754,Products!A:C,2,FALSE)</f>
        <v>Simple Accessories</v>
      </c>
      <c r="K754" t="str">
        <f>VLOOKUP(D754,Products!A:C,3,FALSE)</f>
        <v>Fashion</v>
      </c>
      <c r="L754" t="str">
        <f>VLOOKUP(E754,Stores!A:B,2,FALSE)</f>
        <v>MegaMart New Michele</v>
      </c>
      <c r="M754">
        <f>VLOOKUP(D754,Products!A:E,5,FALSE)</f>
        <v>323.92</v>
      </c>
      <c r="N754" s="5">
        <f t="shared" si="11"/>
        <v>923.17199999999991</v>
      </c>
    </row>
    <row r="755" spans="1:14" x14ac:dyDescent="0.3">
      <c r="A755" t="s">
        <v>1611</v>
      </c>
      <c r="B755" s="2">
        <v>45204</v>
      </c>
      <c r="C755" t="s">
        <v>472</v>
      </c>
      <c r="D755" t="s">
        <v>747</v>
      </c>
      <c r="E755" t="s">
        <v>846</v>
      </c>
      <c r="F755">
        <v>3</v>
      </c>
      <c r="G755">
        <v>0</v>
      </c>
      <c r="H755" t="s">
        <v>855</v>
      </c>
      <c r="I755" t="str">
        <f>VLOOKUP(C755,Customers!A:C,2,FALSE)&amp;" "&amp;VLOOKUP(C755,Customers!A:C,3,FALSE)</f>
        <v>Gary Taylor</v>
      </c>
      <c r="J755" t="str">
        <f>VLOOKUP(D755,Products!A:C,2,FALSE)</f>
        <v>World Watches</v>
      </c>
      <c r="K755" t="str">
        <f>VLOOKUP(D755,Products!A:C,3,FALSE)</f>
        <v>Fashion</v>
      </c>
      <c r="L755" t="str">
        <f>VLOOKUP(E755,Stores!A:B,2,FALSE)</f>
        <v>MegaMart Johnmouth</v>
      </c>
      <c r="M755">
        <f>VLOOKUP(D755,Products!A:E,5,FALSE)</f>
        <v>1134.8</v>
      </c>
      <c r="N755" s="5">
        <f t="shared" si="11"/>
        <v>3404.3999999999996</v>
      </c>
    </row>
    <row r="756" spans="1:14" x14ac:dyDescent="0.3">
      <c r="A756" t="s">
        <v>1612</v>
      </c>
      <c r="B756" s="2">
        <v>45601</v>
      </c>
      <c r="C756" t="s">
        <v>524</v>
      </c>
      <c r="D756" t="s">
        <v>776</v>
      </c>
      <c r="E756" t="s">
        <v>842</v>
      </c>
      <c r="F756">
        <v>5</v>
      </c>
      <c r="G756">
        <v>0.15</v>
      </c>
      <c r="H756" t="s">
        <v>855</v>
      </c>
      <c r="I756" t="str">
        <f>VLOOKUP(C756,Customers!A:C,2,FALSE)&amp;" "&amp;VLOOKUP(C756,Customers!A:C,3,FALSE)</f>
        <v>Betty Johnson</v>
      </c>
      <c r="J756" t="str">
        <f>VLOOKUP(D756,Products!A:C,2,FALSE)</f>
        <v>Little Watches</v>
      </c>
      <c r="K756" t="str">
        <f>VLOOKUP(D756,Products!A:C,3,FALSE)</f>
        <v>Fashion</v>
      </c>
      <c r="L756" t="str">
        <f>VLOOKUP(E756,Stores!A:B,2,FALSE)</f>
        <v>MegaMart Brianahaven</v>
      </c>
      <c r="M756">
        <f>VLOOKUP(D756,Products!A:E,5,FALSE)</f>
        <v>429.15</v>
      </c>
      <c r="N756" s="5">
        <f t="shared" si="11"/>
        <v>1823.8875</v>
      </c>
    </row>
    <row r="757" spans="1:14" x14ac:dyDescent="0.3">
      <c r="A757" t="s">
        <v>1613</v>
      </c>
      <c r="B757" s="2">
        <v>45817</v>
      </c>
      <c r="C757" t="s">
        <v>407</v>
      </c>
      <c r="D757" t="s">
        <v>806</v>
      </c>
      <c r="E757" t="s">
        <v>831</v>
      </c>
      <c r="F757">
        <v>5</v>
      </c>
      <c r="G757">
        <v>0</v>
      </c>
      <c r="H757" t="s">
        <v>865</v>
      </c>
      <c r="I757" t="str">
        <f>VLOOKUP(C757,Customers!A:C,2,FALSE)&amp;" "&amp;VLOOKUP(C757,Customers!A:C,3,FALSE)</f>
        <v>Austin Hogan</v>
      </c>
      <c r="J757" t="str">
        <f>VLOOKUP(D757,Products!A:C,2,FALSE)</f>
        <v>Piece Headphones</v>
      </c>
      <c r="K757" t="str">
        <f>VLOOKUP(D757,Products!A:C,3,FALSE)</f>
        <v>Electronics</v>
      </c>
      <c r="L757" t="str">
        <f>VLOOKUP(E757,Stores!A:B,2,FALSE)</f>
        <v>MegaMart Jimenezborough</v>
      </c>
      <c r="M757">
        <f>VLOOKUP(D757,Products!A:E,5,FALSE)</f>
        <v>1745.61</v>
      </c>
      <c r="N757" s="5">
        <f t="shared" si="11"/>
        <v>8728.0499999999993</v>
      </c>
    </row>
    <row r="758" spans="1:14" x14ac:dyDescent="0.3">
      <c r="A758" t="s">
        <v>1614</v>
      </c>
      <c r="B758" s="2">
        <v>45187</v>
      </c>
      <c r="C758" t="s">
        <v>368</v>
      </c>
      <c r="D758" t="s">
        <v>810</v>
      </c>
      <c r="E758" t="s">
        <v>835</v>
      </c>
      <c r="F758">
        <v>1</v>
      </c>
      <c r="G758">
        <v>0</v>
      </c>
      <c r="H758" t="s">
        <v>861</v>
      </c>
      <c r="I758" t="str">
        <f>VLOOKUP(C758,Customers!A:C,2,FALSE)&amp;" "&amp;VLOOKUP(C758,Customers!A:C,3,FALSE)</f>
        <v>Lisa Vega</v>
      </c>
      <c r="J758" t="str">
        <f>VLOOKUP(D758,Products!A:C,2,FALSE)</f>
        <v>Maybe Clothing</v>
      </c>
      <c r="K758" t="str">
        <f>VLOOKUP(D758,Products!A:C,3,FALSE)</f>
        <v>Fashion</v>
      </c>
      <c r="L758" t="str">
        <f>VLOOKUP(E758,Stores!A:B,2,FALSE)</f>
        <v>MegaMart Peckmouth</v>
      </c>
      <c r="M758">
        <f>VLOOKUP(D758,Products!A:E,5,FALSE)</f>
        <v>453.62</v>
      </c>
      <c r="N758" s="5">
        <f t="shared" si="11"/>
        <v>453.62</v>
      </c>
    </row>
    <row r="759" spans="1:14" x14ac:dyDescent="0.3">
      <c r="A759" t="s">
        <v>1615</v>
      </c>
      <c r="B759" s="2">
        <v>45655</v>
      </c>
      <c r="C759" t="s">
        <v>262</v>
      </c>
      <c r="D759" t="s">
        <v>722</v>
      </c>
      <c r="E759" t="s">
        <v>835</v>
      </c>
      <c r="F759">
        <v>3</v>
      </c>
      <c r="G759">
        <v>0.1</v>
      </c>
      <c r="H759" t="s">
        <v>861</v>
      </c>
      <c r="I759" t="str">
        <f>VLOOKUP(C759,Customers!A:C,2,FALSE)&amp;" "&amp;VLOOKUP(C759,Customers!A:C,3,FALSE)</f>
        <v>Gabriel Daugherty</v>
      </c>
      <c r="J759" t="str">
        <f>VLOOKUP(D759,Products!A:C,2,FALSE)</f>
        <v>Four Accessories</v>
      </c>
      <c r="K759" t="str">
        <f>VLOOKUP(D759,Products!A:C,3,FALSE)</f>
        <v>Fashion</v>
      </c>
      <c r="L759" t="str">
        <f>VLOOKUP(E759,Stores!A:B,2,FALSE)</f>
        <v>MegaMart Peckmouth</v>
      </c>
      <c r="M759">
        <f>VLOOKUP(D759,Products!A:E,5,FALSE)</f>
        <v>1853.77</v>
      </c>
      <c r="N759" s="5">
        <f t="shared" si="11"/>
        <v>5005.1790000000001</v>
      </c>
    </row>
    <row r="760" spans="1:14" x14ac:dyDescent="0.3">
      <c r="A760" t="s">
        <v>1616</v>
      </c>
      <c r="B760" s="2">
        <v>45188</v>
      </c>
      <c r="C760" t="s">
        <v>67</v>
      </c>
      <c r="D760" t="s">
        <v>728</v>
      </c>
      <c r="E760" t="s">
        <v>839</v>
      </c>
      <c r="F760">
        <v>2</v>
      </c>
      <c r="G760">
        <v>0</v>
      </c>
      <c r="H760" t="s">
        <v>855</v>
      </c>
      <c r="I760" t="str">
        <f>VLOOKUP(C760,Customers!A:C,2,FALSE)&amp;" "&amp;VLOOKUP(C760,Customers!A:C,3,FALSE)</f>
        <v>Miguel Johnson</v>
      </c>
      <c r="J760" t="str">
        <f>VLOOKUP(D760,Products!A:C,2,FALSE)</f>
        <v>Company Fruits</v>
      </c>
      <c r="K760" t="str">
        <f>VLOOKUP(D760,Products!A:C,3,FALSE)</f>
        <v>Groceries</v>
      </c>
      <c r="L760" t="str">
        <f>VLOOKUP(E760,Stores!A:B,2,FALSE)</f>
        <v>MegaMart New Michele</v>
      </c>
      <c r="M760">
        <f>VLOOKUP(D760,Products!A:E,5,FALSE)</f>
        <v>318.05</v>
      </c>
      <c r="N760" s="5">
        <f t="shared" si="11"/>
        <v>636.1</v>
      </c>
    </row>
    <row r="761" spans="1:14" x14ac:dyDescent="0.3">
      <c r="A761" t="s">
        <v>1617</v>
      </c>
      <c r="B761" s="2">
        <v>45777</v>
      </c>
      <c r="C761" t="s">
        <v>432</v>
      </c>
      <c r="D761" t="s">
        <v>755</v>
      </c>
      <c r="E761" t="s">
        <v>831</v>
      </c>
      <c r="F761">
        <v>5</v>
      </c>
      <c r="G761">
        <v>0.05</v>
      </c>
      <c r="H761" t="s">
        <v>858</v>
      </c>
      <c r="I761" t="str">
        <f>VLOOKUP(C761,Customers!A:C,2,FALSE)&amp;" "&amp;VLOOKUP(C761,Customers!A:C,3,FALSE)</f>
        <v>Jamie Webb</v>
      </c>
      <c r="J761" t="str">
        <f>VLOOKUP(D761,Products!A:C,2,FALSE)</f>
        <v>House Accessories</v>
      </c>
      <c r="K761" t="str">
        <f>VLOOKUP(D761,Products!A:C,3,FALSE)</f>
        <v>Fashion</v>
      </c>
      <c r="L761" t="str">
        <f>VLOOKUP(E761,Stores!A:B,2,FALSE)</f>
        <v>MegaMart Jimenezborough</v>
      </c>
      <c r="M761">
        <f>VLOOKUP(D761,Products!A:E,5,FALSE)</f>
        <v>1858.75</v>
      </c>
      <c r="N761" s="5">
        <f t="shared" si="11"/>
        <v>8829.0625</v>
      </c>
    </row>
    <row r="762" spans="1:14" x14ac:dyDescent="0.3">
      <c r="A762" t="s">
        <v>1618</v>
      </c>
      <c r="B762" s="2">
        <v>45771</v>
      </c>
      <c r="C762" t="s">
        <v>234</v>
      </c>
      <c r="D762" t="s">
        <v>734</v>
      </c>
      <c r="E762" t="s">
        <v>846</v>
      </c>
      <c r="F762">
        <v>3</v>
      </c>
      <c r="G762">
        <v>0</v>
      </c>
      <c r="H762" t="s">
        <v>858</v>
      </c>
      <c r="I762" t="str">
        <f>VLOOKUP(C762,Customers!A:C,2,FALSE)&amp;" "&amp;VLOOKUP(C762,Customers!A:C,3,FALSE)</f>
        <v>Heather Russell</v>
      </c>
      <c r="J762" t="str">
        <f>VLOOKUP(D762,Products!A:C,2,FALSE)</f>
        <v>Recognize Footwear</v>
      </c>
      <c r="K762" t="str">
        <f>VLOOKUP(D762,Products!A:C,3,FALSE)</f>
        <v>Fashion</v>
      </c>
      <c r="L762" t="str">
        <f>VLOOKUP(E762,Stores!A:B,2,FALSE)</f>
        <v>MegaMart Johnmouth</v>
      </c>
      <c r="M762">
        <f>VLOOKUP(D762,Products!A:E,5,FALSE)</f>
        <v>109.78</v>
      </c>
      <c r="N762" s="5">
        <f t="shared" si="11"/>
        <v>329.34000000000003</v>
      </c>
    </row>
    <row r="763" spans="1:14" x14ac:dyDescent="0.3">
      <c r="A763" t="s">
        <v>1619</v>
      </c>
      <c r="B763" s="2">
        <v>45228</v>
      </c>
      <c r="C763" t="s">
        <v>375</v>
      </c>
      <c r="D763" t="s">
        <v>759</v>
      </c>
      <c r="E763" t="s">
        <v>842</v>
      </c>
      <c r="F763">
        <v>3</v>
      </c>
      <c r="G763">
        <v>0</v>
      </c>
      <c r="H763" t="s">
        <v>865</v>
      </c>
      <c r="I763" t="str">
        <f>VLOOKUP(C763,Customers!A:C,2,FALSE)&amp;" "&amp;VLOOKUP(C763,Customers!A:C,3,FALSE)</f>
        <v>Sean Hart</v>
      </c>
      <c r="J763" t="str">
        <f>VLOOKUP(D763,Products!A:C,2,FALSE)</f>
        <v>Democratic Smartphone</v>
      </c>
      <c r="K763" t="str">
        <f>VLOOKUP(D763,Products!A:C,3,FALSE)</f>
        <v>Electronics</v>
      </c>
      <c r="L763" t="str">
        <f>VLOOKUP(E763,Stores!A:B,2,FALSE)</f>
        <v>MegaMart Brianahaven</v>
      </c>
      <c r="M763">
        <f>VLOOKUP(D763,Products!A:E,5,FALSE)</f>
        <v>1079.8900000000001</v>
      </c>
      <c r="N763" s="5">
        <f t="shared" si="11"/>
        <v>3239.67</v>
      </c>
    </row>
    <row r="764" spans="1:14" x14ac:dyDescent="0.3">
      <c r="A764" t="s">
        <v>1620</v>
      </c>
      <c r="B764" s="2">
        <v>45192</v>
      </c>
      <c r="C764" t="s">
        <v>673</v>
      </c>
      <c r="D764" t="s">
        <v>769</v>
      </c>
      <c r="E764" t="s">
        <v>839</v>
      </c>
      <c r="F764">
        <v>2</v>
      </c>
      <c r="G764">
        <v>0.15</v>
      </c>
      <c r="H764" t="s">
        <v>861</v>
      </c>
      <c r="I764" t="str">
        <f>VLOOKUP(C764,Customers!A:C,2,FALSE)&amp;" "&amp;VLOOKUP(C764,Customers!A:C,3,FALSE)</f>
        <v>Karen Quinn</v>
      </c>
      <c r="J764" t="str">
        <f>VLOOKUP(D764,Products!A:C,2,FALSE)</f>
        <v>How Vegetables</v>
      </c>
      <c r="K764" t="str">
        <f>VLOOKUP(D764,Products!A:C,3,FALSE)</f>
        <v>Groceries</v>
      </c>
      <c r="L764" t="str">
        <f>VLOOKUP(E764,Stores!A:B,2,FALSE)</f>
        <v>MegaMart New Michele</v>
      </c>
      <c r="M764">
        <f>VLOOKUP(D764,Products!A:E,5,FALSE)</f>
        <v>25.57</v>
      </c>
      <c r="N764" s="5">
        <f t="shared" si="11"/>
        <v>43.469000000000001</v>
      </c>
    </row>
    <row r="765" spans="1:14" x14ac:dyDescent="0.3">
      <c r="A765" t="s">
        <v>1621</v>
      </c>
      <c r="B765" s="2">
        <v>45893</v>
      </c>
      <c r="C765" t="s">
        <v>582</v>
      </c>
      <c r="D765" t="s">
        <v>784</v>
      </c>
      <c r="E765" t="s">
        <v>839</v>
      </c>
      <c r="F765">
        <v>5</v>
      </c>
      <c r="G765">
        <v>0.05</v>
      </c>
      <c r="H765" t="s">
        <v>861</v>
      </c>
      <c r="I765" t="str">
        <f>VLOOKUP(C765,Customers!A:C,2,FALSE)&amp;" "&amp;VLOOKUP(C765,Customers!A:C,3,FALSE)</f>
        <v>Erin Rogers</v>
      </c>
      <c r="J765" t="str">
        <f>VLOOKUP(D765,Products!A:C,2,FALSE)</f>
        <v>Road Clothing</v>
      </c>
      <c r="K765" t="str">
        <f>VLOOKUP(D765,Products!A:C,3,FALSE)</f>
        <v>Fashion</v>
      </c>
      <c r="L765" t="str">
        <f>VLOOKUP(E765,Stores!A:B,2,FALSE)</f>
        <v>MegaMart New Michele</v>
      </c>
      <c r="M765">
        <f>VLOOKUP(D765,Products!A:E,5,FALSE)</f>
        <v>1485.05</v>
      </c>
      <c r="N765" s="5">
        <f t="shared" si="11"/>
        <v>7053.9874999999993</v>
      </c>
    </row>
    <row r="766" spans="1:14" x14ac:dyDescent="0.3">
      <c r="A766" t="s">
        <v>1622</v>
      </c>
      <c r="B766" s="2">
        <v>45750</v>
      </c>
      <c r="C766" t="s">
        <v>287</v>
      </c>
      <c r="D766" t="s">
        <v>818</v>
      </c>
      <c r="E766" t="s">
        <v>842</v>
      </c>
      <c r="F766">
        <v>2</v>
      </c>
      <c r="G766">
        <v>0</v>
      </c>
      <c r="H766" t="s">
        <v>861</v>
      </c>
      <c r="I766" t="str">
        <f>VLOOKUP(C766,Customers!A:C,2,FALSE)&amp;" "&amp;VLOOKUP(C766,Customers!A:C,3,FALSE)</f>
        <v>Phyllis Durham</v>
      </c>
      <c r="J766" t="str">
        <f>VLOOKUP(D766,Products!A:C,2,FALSE)</f>
        <v>Nature Clothing</v>
      </c>
      <c r="K766" t="str">
        <f>VLOOKUP(D766,Products!A:C,3,FALSE)</f>
        <v>Fashion</v>
      </c>
      <c r="L766" t="str">
        <f>VLOOKUP(E766,Stores!A:B,2,FALSE)</f>
        <v>MegaMart Brianahaven</v>
      </c>
      <c r="M766">
        <f>VLOOKUP(D766,Products!A:E,5,FALSE)</f>
        <v>1165.3699999999999</v>
      </c>
      <c r="N766" s="5">
        <f t="shared" si="11"/>
        <v>2330.7399999999998</v>
      </c>
    </row>
    <row r="767" spans="1:14" x14ac:dyDescent="0.3">
      <c r="A767" t="s">
        <v>1623</v>
      </c>
      <c r="B767" s="2">
        <v>45828</v>
      </c>
      <c r="C767" t="s">
        <v>175</v>
      </c>
      <c r="D767" t="s">
        <v>804</v>
      </c>
      <c r="E767" t="s">
        <v>846</v>
      </c>
      <c r="F767">
        <v>1</v>
      </c>
      <c r="G767">
        <v>0.15</v>
      </c>
      <c r="H767" t="s">
        <v>865</v>
      </c>
      <c r="I767" t="str">
        <f>VLOOKUP(C767,Customers!A:C,2,FALSE)&amp;" "&amp;VLOOKUP(C767,Customers!A:C,3,FALSE)</f>
        <v>Kelly Shaw</v>
      </c>
      <c r="J767" t="str">
        <f>VLOOKUP(D767,Products!A:C,2,FALSE)</f>
        <v>Church Clothing</v>
      </c>
      <c r="K767" t="str">
        <f>VLOOKUP(D767,Products!A:C,3,FALSE)</f>
        <v>Fashion</v>
      </c>
      <c r="L767" t="str">
        <f>VLOOKUP(E767,Stores!A:B,2,FALSE)</f>
        <v>MegaMart Johnmouth</v>
      </c>
      <c r="M767">
        <f>VLOOKUP(D767,Products!A:E,5,FALSE)</f>
        <v>540.94000000000005</v>
      </c>
      <c r="N767" s="5">
        <f t="shared" si="11"/>
        <v>459.79900000000004</v>
      </c>
    </row>
    <row r="768" spans="1:14" x14ac:dyDescent="0.3">
      <c r="A768" t="s">
        <v>1624</v>
      </c>
      <c r="B768" s="2">
        <v>45747</v>
      </c>
      <c r="C768" t="s">
        <v>411</v>
      </c>
      <c r="D768" t="s">
        <v>766</v>
      </c>
      <c r="E768" t="s">
        <v>839</v>
      </c>
      <c r="F768">
        <v>5</v>
      </c>
      <c r="G768">
        <v>0.1</v>
      </c>
      <c r="H768" t="s">
        <v>861</v>
      </c>
      <c r="I768" t="str">
        <f>VLOOKUP(C768,Customers!A:C,2,FALSE)&amp;" "&amp;VLOOKUP(C768,Customers!A:C,3,FALSE)</f>
        <v>Travis Peters</v>
      </c>
      <c r="J768" t="str">
        <f>VLOOKUP(D768,Products!A:C,2,FALSE)</f>
        <v>Firm Dairy</v>
      </c>
      <c r="K768" t="str">
        <f>VLOOKUP(D768,Products!A:C,3,FALSE)</f>
        <v>Groceries</v>
      </c>
      <c r="L768" t="str">
        <f>VLOOKUP(E768,Stores!A:B,2,FALSE)</f>
        <v>MegaMart New Michele</v>
      </c>
      <c r="M768">
        <f>VLOOKUP(D768,Products!A:E,5,FALSE)</f>
        <v>1227.24</v>
      </c>
      <c r="N768" s="5">
        <f t="shared" si="11"/>
        <v>5522.58</v>
      </c>
    </row>
    <row r="769" spans="1:14" x14ac:dyDescent="0.3">
      <c r="A769" t="s">
        <v>1625</v>
      </c>
      <c r="B769" s="2">
        <v>45639</v>
      </c>
      <c r="C769" t="s">
        <v>163</v>
      </c>
      <c r="D769" t="s">
        <v>804</v>
      </c>
      <c r="E769" t="s">
        <v>846</v>
      </c>
      <c r="F769">
        <v>3</v>
      </c>
      <c r="G769">
        <v>0</v>
      </c>
      <c r="H769" t="s">
        <v>855</v>
      </c>
      <c r="I769" t="str">
        <f>VLOOKUP(C769,Customers!A:C,2,FALSE)&amp;" "&amp;VLOOKUP(C769,Customers!A:C,3,FALSE)</f>
        <v>Anna Andrews</v>
      </c>
      <c r="J769" t="str">
        <f>VLOOKUP(D769,Products!A:C,2,FALSE)</f>
        <v>Church Clothing</v>
      </c>
      <c r="K769" t="str">
        <f>VLOOKUP(D769,Products!A:C,3,FALSE)</f>
        <v>Fashion</v>
      </c>
      <c r="L769" t="str">
        <f>VLOOKUP(E769,Stores!A:B,2,FALSE)</f>
        <v>MegaMart Johnmouth</v>
      </c>
      <c r="M769">
        <f>VLOOKUP(D769,Products!A:E,5,FALSE)</f>
        <v>540.94000000000005</v>
      </c>
      <c r="N769" s="5">
        <f t="shared" si="11"/>
        <v>1622.8200000000002</v>
      </c>
    </row>
    <row r="770" spans="1:14" x14ac:dyDescent="0.3">
      <c r="A770" t="s">
        <v>1626</v>
      </c>
      <c r="B770" s="2">
        <v>45858</v>
      </c>
      <c r="C770" t="s">
        <v>445</v>
      </c>
      <c r="D770" t="s">
        <v>732</v>
      </c>
      <c r="E770" t="s">
        <v>835</v>
      </c>
      <c r="F770">
        <v>1</v>
      </c>
      <c r="G770">
        <v>0.05</v>
      </c>
      <c r="H770" t="s">
        <v>855</v>
      </c>
      <c r="I770" t="str">
        <f>VLOOKUP(C770,Customers!A:C,2,FALSE)&amp;" "&amp;VLOOKUP(C770,Customers!A:C,3,FALSE)</f>
        <v>Curtis Faulkner</v>
      </c>
      <c r="J770" t="str">
        <f>VLOOKUP(D770,Products!A:C,2,FALSE)</f>
        <v>Understand Camera</v>
      </c>
      <c r="K770" t="str">
        <f>VLOOKUP(D770,Products!A:C,3,FALSE)</f>
        <v>Electronics</v>
      </c>
      <c r="L770" t="str">
        <f>VLOOKUP(E770,Stores!A:B,2,FALSE)</f>
        <v>MegaMart Peckmouth</v>
      </c>
      <c r="M770">
        <f>VLOOKUP(D770,Products!A:E,5,FALSE)</f>
        <v>1474.12</v>
      </c>
      <c r="N770" s="5">
        <f t="shared" si="11"/>
        <v>1400.4139999999998</v>
      </c>
    </row>
    <row r="771" spans="1:14" x14ac:dyDescent="0.3">
      <c r="A771" t="s">
        <v>1627</v>
      </c>
      <c r="B771" s="2">
        <v>45273</v>
      </c>
      <c r="C771" t="s">
        <v>551</v>
      </c>
      <c r="D771" t="s">
        <v>826</v>
      </c>
      <c r="E771" t="s">
        <v>831</v>
      </c>
      <c r="F771">
        <v>5</v>
      </c>
      <c r="G771">
        <v>0.1</v>
      </c>
      <c r="H771" t="s">
        <v>858</v>
      </c>
      <c r="I771" t="str">
        <f>VLOOKUP(C771,Customers!A:C,2,FALSE)&amp;" "&amp;VLOOKUP(C771,Customers!A:C,3,FALSE)</f>
        <v>Nancy Gordon</v>
      </c>
      <c r="J771" t="str">
        <f>VLOOKUP(D771,Products!A:C,2,FALSE)</f>
        <v>Maybe Footwear</v>
      </c>
      <c r="K771" t="str">
        <f>VLOOKUP(D771,Products!A:C,3,FALSE)</f>
        <v>Fashion</v>
      </c>
      <c r="L771" t="str">
        <f>VLOOKUP(E771,Stores!A:B,2,FALSE)</f>
        <v>MegaMart Jimenezborough</v>
      </c>
      <c r="M771">
        <f>VLOOKUP(D771,Products!A:E,5,FALSE)</f>
        <v>1044.6400000000001</v>
      </c>
      <c r="N771" s="5">
        <f t="shared" ref="N771:N834" si="12">F771*M771*(1-G771)</f>
        <v>4700.880000000001</v>
      </c>
    </row>
    <row r="772" spans="1:14" x14ac:dyDescent="0.3">
      <c r="A772" t="s">
        <v>1628</v>
      </c>
      <c r="B772" s="2">
        <v>45474</v>
      </c>
      <c r="C772" t="s">
        <v>533</v>
      </c>
      <c r="D772" t="s">
        <v>818</v>
      </c>
      <c r="E772" t="s">
        <v>846</v>
      </c>
      <c r="F772">
        <v>3</v>
      </c>
      <c r="G772">
        <v>0</v>
      </c>
      <c r="H772" t="s">
        <v>855</v>
      </c>
      <c r="I772" t="str">
        <f>VLOOKUP(C772,Customers!A:C,2,FALSE)&amp;" "&amp;VLOOKUP(C772,Customers!A:C,3,FALSE)</f>
        <v>Crystal Garrison</v>
      </c>
      <c r="J772" t="str">
        <f>VLOOKUP(D772,Products!A:C,2,FALSE)</f>
        <v>Nature Clothing</v>
      </c>
      <c r="K772" t="str">
        <f>VLOOKUP(D772,Products!A:C,3,FALSE)</f>
        <v>Fashion</v>
      </c>
      <c r="L772" t="str">
        <f>VLOOKUP(E772,Stores!A:B,2,FALSE)</f>
        <v>MegaMart Johnmouth</v>
      </c>
      <c r="M772">
        <f>VLOOKUP(D772,Products!A:E,5,FALSE)</f>
        <v>1165.3699999999999</v>
      </c>
      <c r="N772" s="5">
        <f t="shared" si="12"/>
        <v>3496.1099999999997</v>
      </c>
    </row>
    <row r="773" spans="1:14" x14ac:dyDescent="0.3">
      <c r="A773" t="s">
        <v>1629</v>
      </c>
      <c r="B773" s="2">
        <v>45907</v>
      </c>
      <c r="C773" t="s">
        <v>494</v>
      </c>
      <c r="D773" t="s">
        <v>806</v>
      </c>
      <c r="E773" t="s">
        <v>835</v>
      </c>
      <c r="F773">
        <v>2</v>
      </c>
      <c r="G773">
        <v>0</v>
      </c>
      <c r="H773" t="s">
        <v>861</v>
      </c>
      <c r="I773" t="str">
        <f>VLOOKUP(C773,Customers!A:C,2,FALSE)&amp;" "&amp;VLOOKUP(C773,Customers!A:C,3,FALSE)</f>
        <v>Mario Cuevas</v>
      </c>
      <c r="J773" t="str">
        <f>VLOOKUP(D773,Products!A:C,2,FALSE)</f>
        <v>Piece Headphones</v>
      </c>
      <c r="K773" t="str">
        <f>VLOOKUP(D773,Products!A:C,3,FALSE)</f>
        <v>Electronics</v>
      </c>
      <c r="L773" t="str">
        <f>VLOOKUP(E773,Stores!A:B,2,FALSE)</f>
        <v>MegaMart Peckmouth</v>
      </c>
      <c r="M773">
        <f>VLOOKUP(D773,Products!A:E,5,FALSE)</f>
        <v>1745.61</v>
      </c>
      <c r="N773" s="5">
        <f t="shared" si="12"/>
        <v>3491.22</v>
      </c>
    </row>
    <row r="774" spans="1:14" x14ac:dyDescent="0.3">
      <c r="A774" t="s">
        <v>1630</v>
      </c>
      <c r="B774" s="2">
        <v>45227</v>
      </c>
      <c r="C774" t="s">
        <v>399</v>
      </c>
      <c r="D774" t="s">
        <v>782</v>
      </c>
      <c r="E774" t="s">
        <v>846</v>
      </c>
      <c r="F774">
        <v>5</v>
      </c>
      <c r="G774">
        <v>0.15</v>
      </c>
      <c r="H774" t="s">
        <v>865</v>
      </c>
      <c r="I774" t="str">
        <f>VLOOKUP(C774,Customers!A:C,2,FALSE)&amp;" "&amp;VLOOKUP(C774,Customers!A:C,3,FALSE)</f>
        <v>Victoria Hansen</v>
      </c>
      <c r="J774" t="str">
        <f>VLOOKUP(D774,Products!A:C,2,FALSE)</f>
        <v>Deal Smartphone</v>
      </c>
      <c r="K774" t="str">
        <f>VLOOKUP(D774,Products!A:C,3,FALSE)</f>
        <v>Electronics</v>
      </c>
      <c r="L774" t="str">
        <f>VLOOKUP(E774,Stores!A:B,2,FALSE)</f>
        <v>MegaMart Johnmouth</v>
      </c>
      <c r="M774">
        <f>VLOOKUP(D774,Products!A:E,5,FALSE)</f>
        <v>673.78</v>
      </c>
      <c r="N774" s="5">
        <f t="shared" si="12"/>
        <v>2863.5649999999996</v>
      </c>
    </row>
    <row r="775" spans="1:14" x14ac:dyDescent="0.3">
      <c r="A775" t="s">
        <v>1631</v>
      </c>
      <c r="B775" s="2">
        <v>45338</v>
      </c>
      <c r="C775" t="s">
        <v>339</v>
      </c>
      <c r="D775" t="s">
        <v>747</v>
      </c>
      <c r="E775" t="s">
        <v>835</v>
      </c>
      <c r="F775">
        <v>2</v>
      </c>
      <c r="G775">
        <v>0.1</v>
      </c>
      <c r="H775" t="s">
        <v>855</v>
      </c>
      <c r="I775" t="str">
        <f>VLOOKUP(C775,Customers!A:C,2,FALSE)&amp;" "&amp;VLOOKUP(C775,Customers!A:C,3,FALSE)</f>
        <v>Carrie Peterson</v>
      </c>
      <c r="J775" t="str">
        <f>VLOOKUP(D775,Products!A:C,2,FALSE)</f>
        <v>World Watches</v>
      </c>
      <c r="K775" t="str">
        <f>VLOOKUP(D775,Products!A:C,3,FALSE)</f>
        <v>Fashion</v>
      </c>
      <c r="L775" t="str">
        <f>VLOOKUP(E775,Stores!A:B,2,FALSE)</f>
        <v>MegaMart Peckmouth</v>
      </c>
      <c r="M775">
        <f>VLOOKUP(D775,Products!A:E,5,FALSE)</f>
        <v>1134.8</v>
      </c>
      <c r="N775" s="5">
        <f t="shared" si="12"/>
        <v>2042.6399999999999</v>
      </c>
    </row>
    <row r="776" spans="1:14" x14ac:dyDescent="0.3">
      <c r="A776" t="s">
        <v>1632</v>
      </c>
      <c r="B776" s="2">
        <v>45584</v>
      </c>
      <c r="C776" t="s">
        <v>351</v>
      </c>
      <c r="D776" t="s">
        <v>734</v>
      </c>
      <c r="E776" t="s">
        <v>839</v>
      </c>
      <c r="F776">
        <v>2</v>
      </c>
      <c r="G776">
        <v>0.15</v>
      </c>
      <c r="H776" t="s">
        <v>865</v>
      </c>
      <c r="I776" t="str">
        <f>VLOOKUP(C776,Customers!A:C,2,FALSE)&amp;" "&amp;VLOOKUP(C776,Customers!A:C,3,FALSE)</f>
        <v>Stanley Brown</v>
      </c>
      <c r="J776" t="str">
        <f>VLOOKUP(D776,Products!A:C,2,FALSE)</f>
        <v>Recognize Footwear</v>
      </c>
      <c r="K776" t="str">
        <f>VLOOKUP(D776,Products!A:C,3,FALSE)</f>
        <v>Fashion</v>
      </c>
      <c r="L776" t="str">
        <f>VLOOKUP(E776,Stores!A:B,2,FALSE)</f>
        <v>MegaMart New Michele</v>
      </c>
      <c r="M776">
        <f>VLOOKUP(D776,Products!A:E,5,FALSE)</f>
        <v>109.78</v>
      </c>
      <c r="N776" s="5">
        <f t="shared" si="12"/>
        <v>186.626</v>
      </c>
    </row>
    <row r="777" spans="1:14" x14ac:dyDescent="0.3">
      <c r="A777" t="s">
        <v>1633</v>
      </c>
      <c r="B777" s="2">
        <v>45719</v>
      </c>
      <c r="C777" t="s">
        <v>119</v>
      </c>
      <c r="D777" t="s">
        <v>769</v>
      </c>
      <c r="E777" t="s">
        <v>839</v>
      </c>
      <c r="F777">
        <v>4</v>
      </c>
      <c r="G777">
        <v>0.05</v>
      </c>
      <c r="H777" t="s">
        <v>861</v>
      </c>
      <c r="I777" t="str">
        <f>VLOOKUP(C777,Customers!A:C,2,FALSE)&amp;" "&amp;VLOOKUP(C777,Customers!A:C,3,FALSE)</f>
        <v>Lacey Hall</v>
      </c>
      <c r="J777" t="str">
        <f>VLOOKUP(D777,Products!A:C,2,FALSE)</f>
        <v>How Vegetables</v>
      </c>
      <c r="K777" t="str">
        <f>VLOOKUP(D777,Products!A:C,3,FALSE)</f>
        <v>Groceries</v>
      </c>
      <c r="L777" t="str">
        <f>VLOOKUP(E777,Stores!A:B,2,FALSE)</f>
        <v>MegaMart New Michele</v>
      </c>
      <c r="M777">
        <f>VLOOKUP(D777,Products!A:E,5,FALSE)</f>
        <v>25.57</v>
      </c>
      <c r="N777" s="5">
        <f t="shared" si="12"/>
        <v>97.165999999999997</v>
      </c>
    </row>
    <row r="778" spans="1:14" x14ac:dyDescent="0.3">
      <c r="A778" t="s">
        <v>1634</v>
      </c>
      <c r="B778" s="2">
        <v>45636</v>
      </c>
      <c r="C778" t="s">
        <v>48</v>
      </c>
      <c r="D778" t="s">
        <v>766</v>
      </c>
      <c r="E778" t="s">
        <v>839</v>
      </c>
      <c r="F778">
        <v>4</v>
      </c>
      <c r="G778">
        <v>0</v>
      </c>
      <c r="H778" t="s">
        <v>858</v>
      </c>
      <c r="I778" t="str">
        <f>VLOOKUP(C778,Customers!A:C,2,FALSE)&amp;" "&amp;VLOOKUP(C778,Customers!A:C,3,FALSE)</f>
        <v>Haley Williams</v>
      </c>
      <c r="J778" t="str">
        <f>VLOOKUP(D778,Products!A:C,2,FALSE)</f>
        <v>Firm Dairy</v>
      </c>
      <c r="K778" t="str">
        <f>VLOOKUP(D778,Products!A:C,3,FALSE)</f>
        <v>Groceries</v>
      </c>
      <c r="L778" t="str">
        <f>VLOOKUP(E778,Stores!A:B,2,FALSE)</f>
        <v>MegaMart New Michele</v>
      </c>
      <c r="M778">
        <f>VLOOKUP(D778,Products!A:E,5,FALSE)</f>
        <v>1227.24</v>
      </c>
      <c r="N778" s="5">
        <f t="shared" si="12"/>
        <v>4908.96</v>
      </c>
    </row>
    <row r="779" spans="1:14" x14ac:dyDescent="0.3">
      <c r="A779" t="s">
        <v>1635</v>
      </c>
      <c r="B779" s="2">
        <v>45623</v>
      </c>
      <c r="C779" t="s">
        <v>250</v>
      </c>
      <c r="D779" t="s">
        <v>753</v>
      </c>
      <c r="E779" t="s">
        <v>846</v>
      </c>
      <c r="F779">
        <v>3</v>
      </c>
      <c r="G779">
        <v>0</v>
      </c>
      <c r="H779" t="s">
        <v>855</v>
      </c>
      <c r="I779" t="str">
        <f>VLOOKUP(C779,Customers!A:C,2,FALSE)&amp;" "&amp;VLOOKUP(C779,Customers!A:C,3,FALSE)</f>
        <v>Jason Jenkins</v>
      </c>
      <c r="J779" t="str">
        <f>VLOOKUP(D779,Products!A:C,2,FALSE)</f>
        <v>Whether Bags</v>
      </c>
      <c r="K779" t="str">
        <f>VLOOKUP(D779,Products!A:C,3,FALSE)</f>
        <v>Fashion</v>
      </c>
      <c r="L779" t="str">
        <f>VLOOKUP(E779,Stores!A:B,2,FALSE)</f>
        <v>MegaMart Johnmouth</v>
      </c>
      <c r="M779">
        <f>VLOOKUP(D779,Products!A:E,5,FALSE)</f>
        <v>270.45</v>
      </c>
      <c r="N779" s="5">
        <f t="shared" si="12"/>
        <v>811.34999999999991</v>
      </c>
    </row>
    <row r="780" spans="1:14" x14ac:dyDescent="0.3">
      <c r="A780" t="s">
        <v>1636</v>
      </c>
      <c r="B780" s="2">
        <v>45524</v>
      </c>
      <c r="C780" t="s">
        <v>483</v>
      </c>
      <c r="D780" t="s">
        <v>739</v>
      </c>
      <c r="E780" t="s">
        <v>846</v>
      </c>
      <c r="F780">
        <v>4</v>
      </c>
      <c r="G780">
        <v>0.15</v>
      </c>
      <c r="H780" t="s">
        <v>865</v>
      </c>
      <c r="I780" t="str">
        <f>VLOOKUP(C780,Customers!A:C,2,FALSE)&amp;" "&amp;VLOOKUP(C780,Customers!A:C,3,FALSE)</f>
        <v>Jared Ochoa</v>
      </c>
      <c r="J780" t="str">
        <f>VLOOKUP(D780,Products!A:C,2,FALSE)</f>
        <v>Step Smartphone</v>
      </c>
      <c r="K780" t="str">
        <f>VLOOKUP(D780,Products!A:C,3,FALSE)</f>
        <v>Electronics</v>
      </c>
      <c r="L780" t="str">
        <f>VLOOKUP(E780,Stores!A:B,2,FALSE)</f>
        <v>MegaMart Johnmouth</v>
      </c>
      <c r="M780">
        <f>VLOOKUP(D780,Products!A:E,5,FALSE)</f>
        <v>1194.1199999999999</v>
      </c>
      <c r="N780" s="5">
        <f t="shared" si="12"/>
        <v>4060.0079999999994</v>
      </c>
    </row>
    <row r="781" spans="1:14" x14ac:dyDescent="0.3">
      <c r="A781" t="s">
        <v>1637</v>
      </c>
      <c r="B781" s="2">
        <v>45637</v>
      </c>
      <c r="C781" t="s">
        <v>287</v>
      </c>
      <c r="D781" t="s">
        <v>769</v>
      </c>
      <c r="E781" t="s">
        <v>835</v>
      </c>
      <c r="F781">
        <v>3</v>
      </c>
      <c r="G781">
        <v>0</v>
      </c>
      <c r="H781" t="s">
        <v>865</v>
      </c>
      <c r="I781" t="str">
        <f>VLOOKUP(C781,Customers!A:C,2,FALSE)&amp;" "&amp;VLOOKUP(C781,Customers!A:C,3,FALSE)</f>
        <v>Phyllis Durham</v>
      </c>
      <c r="J781" t="str">
        <f>VLOOKUP(D781,Products!A:C,2,FALSE)</f>
        <v>How Vegetables</v>
      </c>
      <c r="K781" t="str">
        <f>VLOOKUP(D781,Products!A:C,3,FALSE)</f>
        <v>Groceries</v>
      </c>
      <c r="L781" t="str">
        <f>VLOOKUP(E781,Stores!A:B,2,FALSE)</f>
        <v>MegaMart Peckmouth</v>
      </c>
      <c r="M781">
        <f>VLOOKUP(D781,Products!A:E,5,FALSE)</f>
        <v>25.57</v>
      </c>
      <c r="N781" s="5">
        <f t="shared" si="12"/>
        <v>76.710000000000008</v>
      </c>
    </row>
    <row r="782" spans="1:14" x14ac:dyDescent="0.3">
      <c r="A782" t="s">
        <v>1638</v>
      </c>
      <c r="B782" s="2">
        <v>45871</v>
      </c>
      <c r="C782" t="s">
        <v>167</v>
      </c>
      <c r="D782" t="s">
        <v>757</v>
      </c>
      <c r="E782" t="s">
        <v>846</v>
      </c>
      <c r="F782">
        <v>5</v>
      </c>
      <c r="G782">
        <v>0</v>
      </c>
      <c r="H782" t="s">
        <v>865</v>
      </c>
      <c r="I782" t="str">
        <f>VLOOKUP(C782,Customers!A:C,2,FALSE)&amp;" "&amp;VLOOKUP(C782,Customers!A:C,3,FALSE)</f>
        <v>Kenneth Allen</v>
      </c>
      <c r="J782" t="str">
        <f>VLOOKUP(D782,Products!A:C,2,FALSE)</f>
        <v>Find Headphones</v>
      </c>
      <c r="K782" t="str">
        <f>VLOOKUP(D782,Products!A:C,3,FALSE)</f>
        <v>Electronics</v>
      </c>
      <c r="L782" t="str">
        <f>VLOOKUP(E782,Stores!A:B,2,FALSE)</f>
        <v>MegaMart Johnmouth</v>
      </c>
      <c r="M782">
        <f>VLOOKUP(D782,Products!A:E,5,FALSE)</f>
        <v>1246.1099999999999</v>
      </c>
      <c r="N782" s="5">
        <f t="shared" si="12"/>
        <v>6230.5499999999993</v>
      </c>
    </row>
    <row r="783" spans="1:14" x14ac:dyDescent="0.3">
      <c r="A783" t="s">
        <v>1639</v>
      </c>
      <c r="B783" s="2">
        <v>45711</v>
      </c>
      <c r="C783" t="s">
        <v>210</v>
      </c>
      <c r="D783" t="s">
        <v>814</v>
      </c>
      <c r="E783" t="s">
        <v>835</v>
      </c>
      <c r="F783">
        <v>4</v>
      </c>
      <c r="G783">
        <v>0</v>
      </c>
      <c r="H783" t="s">
        <v>861</v>
      </c>
      <c r="I783" t="str">
        <f>VLOOKUP(C783,Customers!A:C,2,FALSE)&amp;" "&amp;VLOOKUP(C783,Customers!A:C,3,FALSE)</f>
        <v>Crystal Johnson</v>
      </c>
      <c r="J783" t="str">
        <f>VLOOKUP(D783,Products!A:C,2,FALSE)</f>
        <v>Least Accessories</v>
      </c>
      <c r="K783" t="str">
        <f>VLOOKUP(D783,Products!A:C,3,FALSE)</f>
        <v>Fashion</v>
      </c>
      <c r="L783" t="str">
        <f>VLOOKUP(E783,Stores!A:B,2,FALSE)</f>
        <v>MegaMart Peckmouth</v>
      </c>
      <c r="M783">
        <f>VLOOKUP(D783,Products!A:E,5,FALSE)</f>
        <v>1286.55</v>
      </c>
      <c r="N783" s="5">
        <f t="shared" si="12"/>
        <v>5146.2</v>
      </c>
    </row>
    <row r="784" spans="1:14" x14ac:dyDescent="0.3">
      <c r="A784" t="s">
        <v>1640</v>
      </c>
      <c r="B784" s="2">
        <v>45482</v>
      </c>
      <c r="C784" t="s">
        <v>503</v>
      </c>
      <c r="D784" t="s">
        <v>778</v>
      </c>
      <c r="E784" t="s">
        <v>842</v>
      </c>
      <c r="F784">
        <v>1</v>
      </c>
      <c r="G784">
        <v>0.05</v>
      </c>
      <c r="H784" t="s">
        <v>865</v>
      </c>
      <c r="I784" t="str">
        <f>VLOOKUP(C784,Customers!A:C,2,FALSE)&amp;" "&amp;VLOOKUP(C784,Customers!A:C,3,FALSE)</f>
        <v>Breanna Moore</v>
      </c>
      <c r="J784" t="str">
        <f>VLOOKUP(D784,Products!A:C,2,FALSE)</f>
        <v>Behavior Dairy</v>
      </c>
      <c r="K784" t="str">
        <f>VLOOKUP(D784,Products!A:C,3,FALSE)</f>
        <v>Groceries</v>
      </c>
      <c r="L784" t="str">
        <f>VLOOKUP(E784,Stores!A:B,2,FALSE)</f>
        <v>MegaMart Brianahaven</v>
      </c>
      <c r="M784">
        <f>VLOOKUP(D784,Products!A:E,5,FALSE)</f>
        <v>1015.76</v>
      </c>
      <c r="N784" s="5">
        <f t="shared" si="12"/>
        <v>964.97199999999998</v>
      </c>
    </row>
    <row r="785" spans="1:14" x14ac:dyDescent="0.3">
      <c r="A785" t="s">
        <v>1641</v>
      </c>
      <c r="B785" s="2">
        <v>45835</v>
      </c>
      <c r="C785" t="s">
        <v>438</v>
      </c>
      <c r="D785" t="s">
        <v>802</v>
      </c>
      <c r="E785" t="s">
        <v>839</v>
      </c>
      <c r="F785">
        <v>1</v>
      </c>
      <c r="G785">
        <v>0</v>
      </c>
      <c r="H785" t="s">
        <v>865</v>
      </c>
      <c r="I785" t="str">
        <f>VLOOKUP(C785,Customers!A:C,2,FALSE)&amp;" "&amp;VLOOKUP(C785,Customers!A:C,3,FALSE)</f>
        <v>Gina Bradford</v>
      </c>
      <c r="J785" t="str">
        <f>VLOOKUP(D785,Products!A:C,2,FALSE)</f>
        <v>Stage Footwear</v>
      </c>
      <c r="K785" t="str">
        <f>VLOOKUP(D785,Products!A:C,3,FALSE)</f>
        <v>Fashion</v>
      </c>
      <c r="L785" t="str">
        <f>VLOOKUP(E785,Stores!A:B,2,FALSE)</f>
        <v>MegaMart New Michele</v>
      </c>
      <c r="M785">
        <f>VLOOKUP(D785,Products!A:E,5,FALSE)</f>
        <v>366.93</v>
      </c>
      <c r="N785" s="5">
        <f t="shared" si="12"/>
        <v>366.93</v>
      </c>
    </row>
    <row r="786" spans="1:14" x14ac:dyDescent="0.3">
      <c r="A786" t="s">
        <v>1642</v>
      </c>
      <c r="B786" s="2">
        <v>45431</v>
      </c>
      <c r="C786" t="s">
        <v>59</v>
      </c>
      <c r="D786" t="s">
        <v>734</v>
      </c>
      <c r="E786" t="s">
        <v>835</v>
      </c>
      <c r="F786">
        <v>3</v>
      </c>
      <c r="G786">
        <v>0</v>
      </c>
      <c r="H786" t="s">
        <v>861</v>
      </c>
      <c r="I786" t="str">
        <f>VLOOKUP(C786,Customers!A:C,2,FALSE)&amp;" "&amp;VLOOKUP(C786,Customers!A:C,3,FALSE)</f>
        <v>Brittany Green</v>
      </c>
      <c r="J786" t="str">
        <f>VLOOKUP(D786,Products!A:C,2,FALSE)</f>
        <v>Recognize Footwear</v>
      </c>
      <c r="K786" t="str">
        <f>VLOOKUP(D786,Products!A:C,3,FALSE)</f>
        <v>Fashion</v>
      </c>
      <c r="L786" t="str">
        <f>VLOOKUP(E786,Stores!A:B,2,FALSE)</f>
        <v>MegaMart Peckmouth</v>
      </c>
      <c r="M786">
        <f>VLOOKUP(D786,Products!A:E,5,FALSE)</f>
        <v>109.78</v>
      </c>
      <c r="N786" s="5">
        <f t="shared" si="12"/>
        <v>329.34000000000003</v>
      </c>
    </row>
    <row r="787" spans="1:14" x14ac:dyDescent="0.3">
      <c r="A787" t="s">
        <v>1643</v>
      </c>
      <c r="B787" s="2">
        <v>45443</v>
      </c>
      <c r="C787" t="s">
        <v>254</v>
      </c>
      <c r="D787" t="s">
        <v>824</v>
      </c>
      <c r="E787" t="s">
        <v>842</v>
      </c>
      <c r="F787">
        <v>4</v>
      </c>
      <c r="G787">
        <v>0.15</v>
      </c>
      <c r="H787" t="s">
        <v>858</v>
      </c>
      <c r="I787" t="str">
        <f>VLOOKUP(C787,Customers!A:C,2,FALSE)&amp;" "&amp;VLOOKUP(C787,Customers!A:C,3,FALSE)</f>
        <v>Daniel Maldonado</v>
      </c>
      <c r="J787" t="str">
        <f>VLOOKUP(D787,Products!A:C,2,FALSE)</f>
        <v>Possible Watches</v>
      </c>
      <c r="K787" t="str">
        <f>VLOOKUP(D787,Products!A:C,3,FALSE)</f>
        <v>Fashion</v>
      </c>
      <c r="L787" t="str">
        <f>VLOOKUP(E787,Stores!A:B,2,FALSE)</f>
        <v>MegaMart Brianahaven</v>
      </c>
      <c r="M787">
        <f>VLOOKUP(D787,Products!A:E,5,FALSE)</f>
        <v>388.26</v>
      </c>
      <c r="N787" s="5">
        <f t="shared" si="12"/>
        <v>1320.0839999999998</v>
      </c>
    </row>
    <row r="788" spans="1:14" x14ac:dyDescent="0.3">
      <c r="A788" t="s">
        <v>1644</v>
      </c>
      <c r="B788" s="2">
        <v>45846</v>
      </c>
      <c r="C788" t="s">
        <v>415</v>
      </c>
      <c r="D788" t="s">
        <v>732</v>
      </c>
      <c r="E788" t="s">
        <v>839</v>
      </c>
      <c r="F788">
        <v>1</v>
      </c>
      <c r="G788">
        <v>0.15</v>
      </c>
      <c r="H788" t="s">
        <v>865</v>
      </c>
      <c r="I788" t="str">
        <f>VLOOKUP(C788,Customers!A:C,2,FALSE)&amp;" "&amp;VLOOKUP(C788,Customers!A:C,3,FALSE)</f>
        <v>Dylan Booker</v>
      </c>
      <c r="J788" t="str">
        <f>VLOOKUP(D788,Products!A:C,2,FALSE)</f>
        <v>Understand Camera</v>
      </c>
      <c r="K788" t="str">
        <f>VLOOKUP(D788,Products!A:C,3,FALSE)</f>
        <v>Electronics</v>
      </c>
      <c r="L788" t="str">
        <f>VLOOKUP(E788,Stores!A:B,2,FALSE)</f>
        <v>MegaMart New Michele</v>
      </c>
      <c r="M788">
        <f>VLOOKUP(D788,Products!A:E,5,FALSE)</f>
        <v>1474.12</v>
      </c>
      <c r="N788" s="5">
        <f t="shared" si="12"/>
        <v>1253.002</v>
      </c>
    </row>
    <row r="789" spans="1:14" x14ac:dyDescent="0.3">
      <c r="A789" t="s">
        <v>1645</v>
      </c>
      <c r="B789" s="2">
        <v>45321</v>
      </c>
      <c r="C789" t="s">
        <v>500</v>
      </c>
      <c r="D789" t="s">
        <v>769</v>
      </c>
      <c r="E789" t="s">
        <v>831</v>
      </c>
      <c r="F789">
        <v>5</v>
      </c>
      <c r="G789">
        <v>0</v>
      </c>
      <c r="H789" t="s">
        <v>865</v>
      </c>
      <c r="I789" t="str">
        <f>VLOOKUP(C789,Customers!A:C,2,FALSE)&amp;" "&amp;VLOOKUP(C789,Customers!A:C,3,FALSE)</f>
        <v>Gary Lopez</v>
      </c>
      <c r="J789" t="str">
        <f>VLOOKUP(D789,Products!A:C,2,FALSE)</f>
        <v>How Vegetables</v>
      </c>
      <c r="K789" t="str">
        <f>VLOOKUP(D789,Products!A:C,3,FALSE)</f>
        <v>Groceries</v>
      </c>
      <c r="L789" t="str">
        <f>VLOOKUP(E789,Stores!A:B,2,FALSE)</f>
        <v>MegaMart Jimenezborough</v>
      </c>
      <c r="M789">
        <f>VLOOKUP(D789,Products!A:E,5,FALSE)</f>
        <v>25.57</v>
      </c>
      <c r="N789" s="5">
        <f t="shared" si="12"/>
        <v>127.85</v>
      </c>
    </row>
    <row r="790" spans="1:14" x14ac:dyDescent="0.3">
      <c r="A790" t="s">
        <v>1646</v>
      </c>
      <c r="B790" s="2">
        <v>45263</v>
      </c>
      <c r="C790" t="s">
        <v>636</v>
      </c>
      <c r="D790" t="s">
        <v>786</v>
      </c>
      <c r="E790" t="s">
        <v>831</v>
      </c>
      <c r="F790">
        <v>3</v>
      </c>
      <c r="G790">
        <v>0</v>
      </c>
      <c r="H790" t="s">
        <v>855</v>
      </c>
      <c r="I790" t="str">
        <f>VLOOKUP(C790,Customers!A:C,2,FALSE)&amp;" "&amp;VLOOKUP(C790,Customers!A:C,3,FALSE)</f>
        <v>Nichole Calhoun</v>
      </c>
      <c r="J790" t="str">
        <f>VLOOKUP(D790,Products!A:C,2,FALSE)</f>
        <v>National Watches</v>
      </c>
      <c r="K790" t="str">
        <f>VLOOKUP(D790,Products!A:C,3,FALSE)</f>
        <v>Fashion</v>
      </c>
      <c r="L790" t="str">
        <f>VLOOKUP(E790,Stores!A:B,2,FALSE)</f>
        <v>MegaMart Jimenezborough</v>
      </c>
      <c r="M790">
        <f>VLOOKUP(D790,Products!A:E,5,FALSE)</f>
        <v>29.24</v>
      </c>
      <c r="N790" s="5">
        <f t="shared" si="12"/>
        <v>87.72</v>
      </c>
    </row>
    <row r="791" spans="1:14" x14ac:dyDescent="0.3">
      <c r="A791" t="s">
        <v>1647</v>
      </c>
      <c r="B791" s="2">
        <v>45744</v>
      </c>
      <c r="C791" t="s">
        <v>625</v>
      </c>
      <c r="D791" t="s">
        <v>734</v>
      </c>
      <c r="E791" t="s">
        <v>839</v>
      </c>
      <c r="F791">
        <v>5</v>
      </c>
      <c r="G791">
        <v>0</v>
      </c>
      <c r="H791" t="s">
        <v>855</v>
      </c>
      <c r="I791" t="str">
        <f>VLOOKUP(C791,Customers!A:C,2,FALSE)&amp;" "&amp;VLOOKUP(C791,Customers!A:C,3,FALSE)</f>
        <v>Peter Garcia</v>
      </c>
      <c r="J791" t="str">
        <f>VLOOKUP(D791,Products!A:C,2,FALSE)</f>
        <v>Recognize Footwear</v>
      </c>
      <c r="K791" t="str">
        <f>VLOOKUP(D791,Products!A:C,3,FALSE)</f>
        <v>Fashion</v>
      </c>
      <c r="L791" t="str">
        <f>VLOOKUP(E791,Stores!A:B,2,FALSE)</f>
        <v>MegaMart New Michele</v>
      </c>
      <c r="M791">
        <f>VLOOKUP(D791,Products!A:E,5,FALSE)</f>
        <v>109.78</v>
      </c>
      <c r="N791" s="5">
        <f t="shared" si="12"/>
        <v>548.9</v>
      </c>
    </row>
    <row r="792" spans="1:14" x14ac:dyDescent="0.3">
      <c r="A792" t="s">
        <v>1648</v>
      </c>
      <c r="B792" s="2">
        <v>45739</v>
      </c>
      <c r="C792" t="s">
        <v>690</v>
      </c>
      <c r="D792" t="s">
        <v>826</v>
      </c>
      <c r="E792" t="s">
        <v>842</v>
      </c>
      <c r="F792">
        <v>4</v>
      </c>
      <c r="G792">
        <v>0.15</v>
      </c>
      <c r="H792" t="s">
        <v>865</v>
      </c>
      <c r="I792" t="str">
        <f>VLOOKUP(C792,Customers!A:C,2,FALSE)&amp;" "&amp;VLOOKUP(C792,Customers!A:C,3,FALSE)</f>
        <v>James Noble</v>
      </c>
      <c r="J792" t="str">
        <f>VLOOKUP(D792,Products!A:C,2,FALSE)</f>
        <v>Maybe Footwear</v>
      </c>
      <c r="K792" t="str">
        <f>VLOOKUP(D792,Products!A:C,3,FALSE)</f>
        <v>Fashion</v>
      </c>
      <c r="L792" t="str">
        <f>VLOOKUP(E792,Stores!A:B,2,FALSE)</f>
        <v>MegaMart Brianahaven</v>
      </c>
      <c r="M792">
        <f>VLOOKUP(D792,Products!A:E,5,FALSE)</f>
        <v>1044.6400000000001</v>
      </c>
      <c r="N792" s="5">
        <f t="shared" si="12"/>
        <v>3551.7760000000003</v>
      </c>
    </row>
    <row r="793" spans="1:14" x14ac:dyDescent="0.3">
      <c r="A793" t="s">
        <v>1649</v>
      </c>
      <c r="B793" s="2">
        <v>45632</v>
      </c>
      <c r="C793" t="s">
        <v>452</v>
      </c>
      <c r="D793" t="s">
        <v>824</v>
      </c>
      <c r="E793" t="s">
        <v>835</v>
      </c>
      <c r="F793">
        <v>5</v>
      </c>
      <c r="G793">
        <v>0.05</v>
      </c>
      <c r="H793" t="s">
        <v>861</v>
      </c>
      <c r="I793" t="str">
        <f>VLOOKUP(C793,Customers!A:C,2,FALSE)&amp;" "&amp;VLOOKUP(C793,Customers!A:C,3,FALSE)</f>
        <v>Amy Smith</v>
      </c>
      <c r="J793" t="str">
        <f>VLOOKUP(D793,Products!A:C,2,FALSE)</f>
        <v>Possible Watches</v>
      </c>
      <c r="K793" t="str">
        <f>VLOOKUP(D793,Products!A:C,3,FALSE)</f>
        <v>Fashion</v>
      </c>
      <c r="L793" t="str">
        <f>VLOOKUP(E793,Stores!A:B,2,FALSE)</f>
        <v>MegaMart Peckmouth</v>
      </c>
      <c r="M793">
        <f>VLOOKUP(D793,Products!A:E,5,FALSE)</f>
        <v>388.26</v>
      </c>
      <c r="N793" s="5">
        <f t="shared" si="12"/>
        <v>1844.2349999999999</v>
      </c>
    </row>
    <row r="794" spans="1:14" x14ac:dyDescent="0.3">
      <c r="A794" t="s">
        <v>1650</v>
      </c>
      <c r="B794" s="2">
        <v>45631</v>
      </c>
      <c r="C794" t="s">
        <v>677</v>
      </c>
      <c r="D794" t="s">
        <v>780</v>
      </c>
      <c r="E794" t="s">
        <v>842</v>
      </c>
      <c r="F794">
        <v>5</v>
      </c>
      <c r="G794">
        <v>0.1</v>
      </c>
      <c r="H794" t="s">
        <v>861</v>
      </c>
      <c r="I794" t="str">
        <f>VLOOKUP(C794,Customers!A:C,2,FALSE)&amp;" "&amp;VLOOKUP(C794,Customers!A:C,3,FALSE)</f>
        <v>James Wilson</v>
      </c>
      <c r="J794" t="str">
        <f>VLOOKUP(D794,Products!A:C,2,FALSE)</f>
        <v>Hospital Smartphone</v>
      </c>
      <c r="K794" t="str">
        <f>VLOOKUP(D794,Products!A:C,3,FALSE)</f>
        <v>Electronics</v>
      </c>
      <c r="L794" t="str">
        <f>VLOOKUP(E794,Stores!A:B,2,FALSE)</f>
        <v>MegaMart Brianahaven</v>
      </c>
      <c r="M794">
        <f>VLOOKUP(D794,Products!A:E,5,FALSE)</f>
        <v>1272.23</v>
      </c>
      <c r="N794" s="5">
        <f t="shared" si="12"/>
        <v>5725.0349999999999</v>
      </c>
    </row>
    <row r="795" spans="1:14" x14ac:dyDescent="0.3">
      <c r="A795" t="s">
        <v>1651</v>
      </c>
      <c r="B795" s="2">
        <v>45537</v>
      </c>
      <c r="C795" t="s">
        <v>291</v>
      </c>
      <c r="D795" t="s">
        <v>753</v>
      </c>
      <c r="E795" t="s">
        <v>839</v>
      </c>
      <c r="F795">
        <v>1</v>
      </c>
      <c r="G795">
        <v>0.05</v>
      </c>
      <c r="H795" t="s">
        <v>865</v>
      </c>
      <c r="I795" t="str">
        <f>VLOOKUP(C795,Customers!A:C,2,FALSE)&amp;" "&amp;VLOOKUP(C795,Customers!A:C,3,FALSE)</f>
        <v>Matthew Juarez</v>
      </c>
      <c r="J795" t="str">
        <f>VLOOKUP(D795,Products!A:C,2,FALSE)</f>
        <v>Whether Bags</v>
      </c>
      <c r="K795" t="str">
        <f>VLOOKUP(D795,Products!A:C,3,FALSE)</f>
        <v>Fashion</v>
      </c>
      <c r="L795" t="str">
        <f>VLOOKUP(E795,Stores!A:B,2,FALSE)</f>
        <v>MegaMart New Michele</v>
      </c>
      <c r="M795">
        <f>VLOOKUP(D795,Products!A:E,5,FALSE)</f>
        <v>270.45</v>
      </c>
      <c r="N795" s="5">
        <f t="shared" si="12"/>
        <v>256.92749999999995</v>
      </c>
    </row>
    <row r="796" spans="1:14" x14ac:dyDescent="0.3">
      <c r="A796" t="s">
        <v>1652</v>
      </c>
      <c r="B796" s="2">
        <v>45377</v>
      </c>
      <c r="C796" t="s">
        <v>48</v>
      </c>
      <c r="D796" t="s">
        <v>824</v>
      </c>
      <c r="E796" t="s">
        <v>831</v>
      </c>
      <c r="F796">
        <v>5</v>
      </c>
      <c r="G796">
        <v>0.15</v>
      </c>
      <c r="H796" t="s">
        <v>865</v>
      </c>
      <c r="I796" t="str">
        <f>VLOOKUP(C796,Customers!A:C,2,FALSE)&amp;" "&amp;VLOOKUP(C796,Customers!A:C,3,FALSE)</f>
        <v>Haley Williams</v>
      </c>
      <c r="J796" t="str">
        <f>VLOOKUP(D796,Products!A:C,2,FALSE)</f>
        <v>Possible Watches</v>
      </c>
      <c r="K796" t="str">
        <f>VLOOKUP(D796,Products!A:C,3,FALSE)</f>
        <v>Fashion</v>
      </c>
      <c r="L796" t="str">
        <f>VLOOKUP(E796,Stores!A:B,2,FALSE)</f>
        <v>MegaMart Jimenezborough</v>
      </c>
      <c r="M796">
        <f>VLOOKUP(D796,Products!A:E,5,FALSE)</f>
        <v>388.26</v>
      </c>
      <c r="N796" s="5">
        <f t="shared" si="12"/>
        <v>1650.105</v>
      </c>
    </row>
    <row r="797" spans="1:14" x14ac:dyDescent="0.3">
      <c r="A797" t="s">
        <v>1653</v>
      </c>
      <c r="B797" s="2">
        <v>45202</v>
      </c>
      <c r="C797" t="s">
        <v>298</v>
      </c>
      <c r="D797" t="s">
        <v>750</v>
      </c>
      <c r="E797" t="s">
        <v>835</v>
      </c>
      <c r="F797">
        <v>3</v>
      </c>
      <c r="G797">
        <v>0.05</v>
      </c>
      <c r="H797" t="s">
        <v>858</v>
      </c>
      <c r="I797" t="str">
        <f>VLOOKUP(C797,Customers!A:C,2,FALSE)&amp;" "&amp;VLOOKUP(C797,Customers!A:C,3,FALSE)</f>
        <v>Donald Marsh</v>
      </c>
      <c r="J797" t="str">
        <f>VLOOKUP(D797,Products!A:C,2,FALSE)</f>
        <v>Add Clothing</v>
      </c>
      <c r="K797" t="str">
        <f>VLOOKUP(D797,Products!A:C,3,FALSE)</f>
        <v>Fashion</v>
      </c>
      <c r="L797" t="str">
        <f>VLOOKUP(E797,Stores!A:B,2,FALSE)</f>
        <v>MegaMart Peckmouth</v>
      </c>
      <c r="M797">
        <f>VLOOKUP(D797,Products!A:E,5,FALSE)</f>
        <v>1342.75</v>
      </c>
      <c r="N797" s="5">
        <f t="shared" si="12"/>
        <v>3826.8374999999996</v>
      </c>
    </row>
    <row r="798" spans="1:14" x14ac:dyDescent="0.3">
      <c r="A798" t="s">
        <v>1654</v>
      </c>
      <c r="B798" s="2">
        <v>45189</v>
      </c>
      <c r="C798" t="s">
        <v>593</v>
      </c>
      <c r="D798" t="s">
        <v>800</v>
      </c>
      <c r="E798" t="s">
        <v>846</v>
      </c>
      <c r="F798">
        <v>2</v>
      </c>
      <c r="G798">
        <v>0.05</v>
      </c>
      <c r="H798" t="s">
        <v>861</v>
      </c>
      <c r="I798" t="str">
        <f>VLOOKUP(C798,Customers!A:C,2,FALSE)&amp;" "&amp;VLOOKUP(C798,Customers!A:C,3,FALSE)</f>
        <v>Meagan Ali</v>
      </c>
      <c r="J798" t="str">
        <f>VLOOKUP(D798,Products!A:C,2,FALSE)</f>
        <v>Book Television</v>
      </c>
      <c r="K798" t="str">
        <f>VLOOKUP(D798,Products!A:C,3,FALSE)</f>
        <v>Electronics</v>
      </c>
      <c r="L798" t="str">
        <f>VLOOKUP(E798,Stores!A:B,2,FALSE)</f>
        <v>MegaMart Johnmouth</v>
      </c>
      <c r="M798">
        <f>VLOOKUP(D798,Products!A:E,5,FALSE)</f>
        <v>1952.65</v>
      </c>
      <c r="N798" s="5">
        <f t="shared" si="12"/>
        <v>3710.0349999999999</v>
      </c>
    </row>
    <row r="799" spans="1:14" x14ac:dyDescent="0.3">
      <c r="A799" t="s">
        <v>1655</v>
      </c>
      <c r="B799" s="2">
        <v>45868</v>
      </c>
      <c r="C799" t="s">
        <v>221</v>
      </c>
      <c r="D799" t="s">
        <v>725</v>
      </c>
      <c r="E799" t="s">
        <v>846</v>
      </c>
      <c r="F799">
        <v>3</v>
      </c>
      <c r="G799">
        <v>0.05</v>
      </c>
      <c r="H799" t="s">
        <v>865</v>
      </c>
      <c r="I799" t="str">
        <f>VLOOKUP(C799,Customers!A:C,2,FALSE)&amp;" "&amp;VLOOKUP(C799,Customers!A:C,3,FALSE)</f>
        <v>Julie Gibson</v>
      </c>
      <c r="J799" t="str">
        <f>VLOOKUP(D799,Products!A:C,2,FALSE)</f>
        <v>Knowledge Bags</v>
      </c>
      <c r="K799" t="str">
        <f>VLOOKUP(D799,Products!A:C,3,FALSE)</f>
        <v>Fashion</v>
      </c>
      <c r="L799" t="str">
        <f>VLOOKUP(E799,Stores!A:B,2,FALSE)</f>
        <v>MegaMart Johnmouth</v>
      </c>
      <c r="M799">
        <f>VLOOKUP(D799,Products!A:E,5,FALSE)</f>
        <v>1396.22</v>
      </c>
      <c r="N799" s="5">
        <f t="shared" si="12"/>
        <v>3979.2269999999999</v>
      </c>
    </row>
    <row r="800" spans="1:14" x14ac:dyDescent="0.3">
      <c r="A800" t="s">
        <v>1656</v>
      </c>
      <c r="B800" s="2">
        <v>45692</v>
      </c>
      <c r="C800" t="s">
        <v>183</v>
      </c>
      <c r="D800" t="s">
        <v>715</v>
      </c>
      <c r="E800" t="s">
        <v>846</v>
      </c>
      <c r="F800">
        <v>1</v>
      </c>
      <c r="G800">
        <v>0.15</v>
      </c>
      <c r="H800" t="s">
        <v>865</v>
      </c>
      <c r="I800" t="str">
        <f>VLOOKUP(C800,Customers!A:C,2,FALSE)&amp;" "&amp;VLOOKUP(C800,Customers!A:C,3,FALSE)</f>
        <v>Mary Decker</v>
      </c>
      <c r="J800" t="str">
        <f>VLOOKUP(D800,Products!A:C,2,FALSE)</f>
        <v>Audience Television</v>
      </c>
      <c r="K800" t="str">
        <f>VLOOKUP(D800,Products!A:C,3,FALSE)</f>
        <v>Electronics</v>
      </c>
      <c r="L800" t="str">
        <f>VLOOKUP(E800,Stores!A:B,2,FALSE)</f>
        <v>MegaMart Johnmouth</v>
      </c>
      <c r="M800">
        <f>VLOOKUP(D800,Products!A:E,5,FALSE)</f>
        <v>818.76</v>
      </c>
      <c r="N800" s="5">
        <f t="shared" si="12"/>
        <v>695.94600000000003</v>
      </c>
    </row>
    <row r="801" spans="1:14" x14ac:dyDescent="0.3">
      <c r="A801" t="s">
        <v>1657</v>
      </c>
      <c r="B801" s="2">
        <v>45405</v>
      </c>
      <c r="C801" t="s">
        <v>284</v>
      </c>
      <c r="D801" t="s">
        <v>747</v>
      </c>
      <c r="E801" t="s">
        <v>831</v>
      </c>
      <c r="F801">
        <v>3</v>
      </c>
      <c r="G801">
        <v>0</v>
      </c>
      <c r="H801" t="s">
        <v>861</v>
      </c>
      <c r="I801" t="str">
        <f>VLOOKUP(C801,Customers!A:C,2,FALSE)&amp;" "&amp;VLOOKUP(C801,Customers!A:C,3,FALSE)</f>
        <v>Seth Moore</v>
      </c>
      <c r="J801" t="str">
        <f>VLOOKUP(D801,Products!A:C,2,FALSE)</f>
        <v>World Watches</v>
      </c>
      <c r="K801" t="str">
        <f>VLOOKUP(D801,Products!A:C,3,FALSE)</f>
        <v>Fashion</v>
      </c>
      <c r="L801" t="str">
        <f>VLOOKUP(E801,Stores!A:B,2,FALSE)</f>
        <v>MegaMart Jimenezborough</v>
      </c>
      <c r="M801">
        <f>VLOOKUP(D801,Products!A:E,5,FALSE)</f>
        <v>1134.8</v>
      </c>
      <c r="N801" s="5">
        <f t="shared" si="12"/>
        <v>3404.3999999999996</v>
      </c>
    </row>
    <row r="802" spans="1:14" x14ac:dyDescent="0.3">
      <c r="A802" t="s">
        <v>1658</v>
      </c>
      <c r="B802" s="2">
        <v>45327</v>
      </c>
      <c r="C802" t="s">
        <v>657</v>
      </c>
      <c r="D802" t="s">
        <v>784</v>
      </c>
      <c r="E802" t="s">
        <v>846</v>
      </c>
      <c r="F802">
        <v>4</v>
      </c>
      <c r="G802">
        <v>0.1</v>
      </c>
      <c r="H802" t="s">
        <v>855</v>
      </c>
      <c r="I802" t="str">
        <f>VLOOKUP(C802,Customers!A:C,2,FALSE)&amp;" "&amp;VLOOKUP(C802,Customers!A:C,3,FALSE)</f>
        <v>Vicki Guzman</v>
      </c>
      <c r="J802" t="str">
        <f>VLOOKUP(D802,Products!A:C,2,FALSE)</f>
        <v>Road Clothing</v>
      </c>
      <c r="K802" t="str">
        <f>VLOOKUP(D802,Products!A:C,3,FALSE)</f>
        <v>Fashion</v>
      </c>
      <c r="L802" t="str">
        <f>VLOOKUP(E802,Stores!A:B,2,FALSE)</f>
        <v>MegaMart Johnmouth</v>
      </c>
      <c r="M802">
        <f>VLOOKUP(D802,Products!A:E,5,FALSE)</f>
        <v>1485.05</v>
      </c>
      <c r="N802" s="5">
        <f t="shared" si="12"/>
        <v>5346.18</v>
      </c>
    </row>
    <row r="803" spans="1:14" x14ac:dyDescent="0.3">
      <c r="A803" t="s">
        <v>1659</v>
      </c>
      <c r="B803" s="2">
        <v>45783</v>
      </c>
      <c r="C803" t="s">
        <v>130</v>
      </c>
      <c r="D803" t="s">
        <v>757</v>
      </c>
      <c r="E803" t="s">
        <v>835</v>
      </c>
      <c r="F803">
        <v>1</v>
      </c>
      <c r="G803">
        <v>0.1</v>
      </c>
      <c r="H803" t="s">
        <v>865</v>
      </c>
      <c r="I803" t="str">
        <f>VLOOKUP(C803,Customers!A:C,2,FALSE)&amp;" "&amp;VLOOKUP(C803,Customers!A:C,3,FALSE)</f>
        <v>Jenny Beck</v>
      </c>
      <c r="J803" t="str">
        <f>VLOOKUP(D803,Products!A:C,2,FALSE)</f>
        <v>Find Headphones</v>
      </c>
      <c r="K803" t="str">
        <f>VLOOKUP(D803,Products!A:C,3,FALSE)</f>
        <v>Electronics</v>
      </c>
      <c r="L803" t="str">
        <f>VLOOKUP(E803,Stores!A:B,2,FALSE)</f>
        <v>MegaMart Peckmouth</v>
      </c>
      <c r="M803">
        <f>VLOOKUP(D803,Products!A:E,5,FALSE)</f>
        <v>1246.1099999999999</v>
      </c>
      <c r="N803" s="5">
        <f t="shared" si="12"/>
        <v>1121.499</v>
      </c>
    </row>
    <row r="804" spans="1:14" x14ac:dyDescent="0.3">
      <c r="A804" t="s">
        <v>1660</v>
      </c>
      <c r="B804" s="2">
        <v>45197</v>
      </c>
      <c r="C804" t="s">
        <v>195</v>
      </c>
      <c r="D804" t="s">
        <v>780</v>
      </c>
      <c r="E804" t="s">
        <v>839</v>
      </c>
      <c r="F804">
        <v>4</v>
      </c>
      <c r="G804">
        <v>0.15</v>
      </c>
      <c r="H804" t="s">
        <v>855</v>
      </c>
      <c r="I804" t="str">
        <f>VLOOKUP(C804,Customers!A:C,2,FALSE)&amp;" "&amp;VLOOKUP(C804,Customers!A:C,3,FALSE)</f>
        <v>Kelly Mcmillan</v>
      </c>
      <c r="J804" t="str">
        <f>VLOOKUP(D804,Products!A:C,2,FALSE)</f>
        <v>Hospital Smartphone</v>
      </c>
      <c r="K804" t="str">
        <f>VLOOKUP(D804,Products!A:C,3,FALSE)</f>
        <v>Electronics</v>
      </c>
      <c r="L804" t="str">
        <f>VLOOKUP(E804,Stores!A:B,2,FALSE)</f>
        <v>MegaMart New Michele</v>
      </c>
      <c r="M804">
        <f>VLOOKUP(D804,Products!A:E,5,FALSE)</f>
        <v>1272.23</v>
      </c>
      <c r="N804" s="5">
        <f t="shared" si="12"/>
        <v>4325.5820000000003</v>
      </c>
    </row>
    <row r="805" spans="1:14" x14ac:dyDescent="0.3">
      <c r="A805" t="s">
        <v>1661</v>
      </c>
      <c r="B805" s="2">
        <v>45837</v>
      </c>
      <c r="C805" t="s">
        <v>567</v>
      </c>
      <c r="D805" t="s">
        <v>780</v>
      </c>
      <c r="E805" t="s">
        <v>839</v>
      </c>
      <c r="F805">
        <v>5</v>
      </c>
      <c r="G805">
        <v>0.05</v>
      </c>
      <c r="H805" t="s">
        <v>855</v>
      </c>
      <c r="I805" t="str">
        <f>VLOOKUP(C805,Customers!A:C,2,FALSE)&amp;" "&amp;VLOOKUP(C805,Customers!A:C,3,FALSE)</f>
        <v>Crystal Aguirre</v>
      </c>
      <c r="J805" t="str">
        <f>VLOOKUP(D805,Products!A:C,2,FALSE)</f>
        <v>Hospital Smartphone</v>
      </c>
      <c r="K805" t="str">
        <f>VLOOKUP(D805,Products!A:C,3,FALSE)</f>
        <v>Electronics</v>
      </c>
      <c r="L805" t="str">
        <f>VLOOKUP(E805,Stores!A:B,2,FALSE)</f>
        <v>MegaMart New Michele</v>
      </c>
      <c r="M805">
        <f>VLOOKUP(D805,Products!A:E,5,FALSE)</f>
        <v>1272.23</v>
      </c>
      <c r="N805" s="5">
        <f t="shared" si="12"/>
        <v>6043.0924999999997</v>
      </c>
    </row>
    <row r="806" spans="1:14" x14ac:dyDescent="0.3">
      <c r="A806" t="s">
        <v>1662</v>
      </c>
      <c r="B806" s="2">
        <v>45205</v>
      </c>
      <c r="C806" t="s">
        <v>306</v>
      </c>
      <c r="D806" t="s">
        <v>822</v>
      </c>
      <c r="E806" t="s">
        <v>842</v>
      </c>
      <c r="F806">
        <v>2</v>
      </c>
      <c r="G806">
        <v>0</v>
      </c>
      <c r="H806" t="s">
        <v>855</v>
      </c>
      <c r="I806" t="str">
        <f>VLOOKUP(C806,Customers!A:C,2,FALSE)&amp;" "&amp;VLOOKUP(C806,Customers!A:C,3,FALSE)</f>
        <v>Sarah Reynolds</v>
      </c>
      <c r="J806" t="str">
        <f>VLOOKUP(D806,Products!A:C,2,FALSE)</f>
        <v>Nor Bags</v>
      </c>
      <c r="K806" t="str">
        <f>VLOOKUP(D806,Products!A:C,3,FALSE)</f>
        <v>Fashion</v>
      </c>
      <c r="L806" t="str">
        <f>VLOOKUP(E806,Stores!A:B,2,FALSE)</f>
        <v>MegaMart Brianahaven</v>
      </c>
      <c r="M806">
        <f>VLOOKUP(D806,Products!A:E,5,FALSE)</f>
        <v>1216.3599999999999</v>
      </c>
      <c r="N806" s="5">
        <f t="shared" si="12"/>
        <v>2432.7199999999998</v>
      </c>
    </row>
    <row r="807" spans="1:14" x14ac:dyDescent="0.3">
      <c r="A807" t="s">
        <v>1663</v>
      </c>
      <c r="B807" s="2">
        <v>45835</v>
      </c>
      <c r="C807" t="s">
        <v>243</v>
      </c>
      <c r="D807" t="s">
        <v>808</v>
      </c>
      <c r="E807" t="s">
        <v>835</v>
      </c>
      <c r="F807">
        <v>4</v>
      </c>
      <c r="G807">
        <v>0.1</v>
      </c>
      <c r="H807" t="s">
        <v>855</v>
      </c>
      <c r="I807" t="str">
        <f>VLOOKUP(C807,Customers!A:C,2,FALSE)&amp;" "&amp;VLOOKUP(C807,Customers!A:C,3,FALSE)</f>
        <v>Amanda Hoover</v>
      </c>
      <c r="J807" t="str">
        <f>VLOOKUP(D807,Products!A:C,2,FALSE)</f>
        <v>Present Television</v>
      </c>
      <c r="K807" t="str">
        <f>VLOOKUP(D807,Products!A:C,3,FALSE)</f>
        <v>Electronics</v>
      </c>
      <c r="L807" t="str">
        <f>VLOOKUP(E807,Stores!A:B,2,FALSE)</f>
        <v>MegaMart Peckmouth</v>
      </c>
      <c r="M807">
        <f>VLOOKUP(D807,Products!A:E,5,FALSE)</f>
        <v>1635.01</v>
      </c>
      <c r="N807" s="5">
        <f t="shared" si="12"/>
        <v>5886.0360000000001</v>
      </c>
    </row>
    <row r="808" spans="1:14" x14ac:dyDescent="0.3">
      <c r="A808" t="s">
        <v>1664</v>
      </c>
      <c r="B808" s="2">
        <v>45600</v>
      </c>
      <c r="C808" t="s">
        <v>137</v>
      </c>
      <c r="D808" t="s">
        <v>826</v>
      </c>
      <c r="E808" t="s">
        <v>839</v>
      </c>
      <c r="F808">
        <v>4</v>
      </c>
      <c r="G808">
        <v>0.15</v>
      </c>
      <c r="H808" t="s">
        <v>858</v>
      </c>
      <c r="I808" t="str">
        <f>VLOOKUP(C808,Customers!A:C,2,FALSE)&amp;" "&amp;VLOOKUP(C808,Customers!A:C,3,FALSE)</f>
        <v>Kimberly King</v>
      </c>
      <c r="J808" t="str">
        <f>VLOOKUP(D808,Products!A:C,2,FALSE)</f>
        <v>Maybe Footwear</v>
      </c>
      <c r="K808" t="str">
        <f>VLOOKUP(D808,Products!A:C,3,FALSE)</f>
        <v>Fashion</v>
      </c>
      <c r="L808" t="str">
        <f>VLOOKUP(E808,Stores!A:B,2,FALSE)</f>
        <v>MegaMart New Michele</v>
      </c>
      <c r="M808">
        <f>VLOOKUP(D808,Products!A:E,5,FALSE)</f>
        <v>1044.6400000000001</v>
      </c>
      <c r="N808" s="5">
        <f t="shared" si="12"/>
        <v>3551.7760000000003</v>
      </c>
    </row>
    <row r="809" spans="1:14" x14ac:dyDescent="0.3">
      <c r="A809" t="s">
        <v>1665</v>
      </c>
      <c r="B809" s="2">
        <v>45369</v>
      </c>
      <c r="C809" t="s">
        <v>347</v>
      </c>
      <c r="D809" t="s">
        <v>728</v>
      </c>
      <c r="E809" t="s">
        <v>839</v>
      </c>
      <c r="F809">
        <v>4</v>
      </c>
      <c r="G809">
        <v>0</v>
      </c>
      <c r="H809" t="s">
        <v>861</v>
      </c>
      <c r="I809" t="str">
        <f>VLOOKUP(C809,Customers!A:C,2,FALSE)&amp;" "&amp;VLOOKUP(C809,Customers!A:C,3,FALSE)</f>
        <v>Lindsey Holder</v>
      </c>
      <c r="J809" t="str">
        <f>VLOOKUP(D809,Products!A:C,2,FALSE)</f>
        <v>Company Fruits</v>
      </c>
      <c r="K809" t="str">
        <f>VLOOKUP(D809,Products!A:C,3,FALSE)</f>
        <v>Groceries</v>
      </c>
      <c r="L809" t="str">
        <f>VLOOKUP(E809,Stores!A:B,2,FALSE)</f>
        <v>MegaMart New Michele</v>
      </c>
      <c r="M809">
        <f>VLOOKUP(D809,Products!A:E,5,FALSE)</f>
        <v>318.05</v>
      </c>
      <c r="N809" s="5">
        <f t="shared" si="12"/>
        <v>1272.2</v>
      </c>
    </row>
    <row r="810" spans="1:14" x14ac:dyDescent="0.3">
      <c r="A810" t="s">
        <v>1666</v>
      </c>
      <c r="B810" s="2">
        <v>45819</v>
      </c>
      <c r="C810" t="s">
        <v>593</v>
      </c>
      <c r="D810" t="s">
        <v>808</v>
      </c>
      <c r="E810" t="s">
        <v>846</v>
      </c>
      <c r="F810">
        <v>1</v>
      </c>
      <c r="G810">
        <v>0.1</v>
      </c>
      <c r="H810" t="s">
        <v>861</v>
      </c>
      <c r="I810" t="str">
        <f>VLOOKUP(C810,Customers!A:C,2,FALSE)&amp;" "&amp;VLOOKUP(C810,Customers!A:C,3,FALSE)</f>
        <v>Meagan Ali</v>
      </c>
      <c r="J810" t="str">
        <f>VLOOKUP(D810,Products!A:C,2,FALSE)</f>
        <v>Present Television</v>
      </c>
      <c r="K810" t="str">
        <f>VLOOKUP(D810,Products!A:C,3,FALSE)</f>
        <v>Electronics</v>
      </c>
      <c r="L810" t="str">
        <f>VLOOKUP(E810,Stores!A:B,2,FALSE)</f>
        <v>MegaMart Johnmouth</v>
      </c>
      <c r="M810">
        <f>VLOOKUP(D810,Products!A:E,5,FALSE)</f>
        <v>1635.01</v>
      </c>
      <c r="N810" s="5">
        <f t="shared" si="12"/>
        <v>1471.509</v>
      </c>
    </row>
    <row r="811" spans="1:14" x14ac:dyDescent="0.3">
      <c r="A811" t="s">
        <v>1667</v>
      </c>
      <c r="B811" s="2">
        <v>45749</v>
      </c>
      <c r="C811" t="s">
        <v>503</v>
      </c>
      <c r="D811" t="s">
        <v>734</v>
      </c>
      <c r="E811" t="s">
        <v>835</v>
      </c>
      <c r="F811">
        <v>3</v>
      </c>
      <c r="G811">
        <v>0</v>
      </c>
      <c r="H811" t="s">
        <v>865</v>
      </c>
      <c r="I811" t="str">
        <f>VLOOKUP(C811,Customers!A:C,2,FALSE)&amp;" "&amp;VLOOKUP(C811,Customers!A:C,3,FALSE)</f>
        <v>Breanna Moore</v>
      </c>
      <c r="J811" t="str">
        <f>VLOOKUP(D811,Products!A:C,2,FALSE)</f>
        <v>Recognize Footwear</v>
      </c>
      <c r="K811" t="str">
        <f>VLOOKUP(D811,Products!A:C,3,FALSE)</f>
        <v>Fashion</v>
      </c>
      <c r="L811" t="str">
        <f>VLOOKUP(E811,Stores!A:B,2,FALSE)</f>
        <v>MegaMart Peckmouth</v>
      </c>
      <c r="M811">
        <f>VLOOKUP(D811,Products!A:E,5,FALSE)</f>
        <v>109.78</v>
      </c>
      <c r="N811" s="5">
        <f t="shared" si="12"/>
        <v>329.34000000000003</v>
      </c>
    </row>
    <row r="812" spans="1:14" x14ac:dyDescent="0.3">
      <c r="A812" t="s">
        <v>1668</v>
      </c>
      <c r="B812" s="2">
        <v>45571</v>
      </c>
      <c r="C812" t="s">
        <v>24</v>
      </c>
      <c r="D812" t="s">
        <v>790</v>
      </c>
      <c r="E812" t="s">
        <v>846</v>
      </c>
      <c r="F812">
        <v>1</v>
      </c>
      <c r="G812">
        <v>0.15</v>
      </c>
      <c r="H812" t="s">
        <v>861</v>
      </c>
      <c r="I812" t="str">
        <f>VLOOKUP(C812,Customers!A:C,2,FALSE)&amp;" "&amp;VLOOKUP(C812,Customers!A:C,3,FALSE)</f>
        <v>Jamie Salinas</v>
      </c>
      <c r="J812" t="str">
        <f>VLOOKUP(D812,Products!A:C,2,FALSE)</f>
        <v>Difficult Vegetables</v>
      </c>
      <c r="K812" t="str">
        <f>VLOOKUP(D812,Products!A:C,3,FALSE)</f>
        <v>Groceries</v>
      </c>
      <c r="L812" t="str">
        <f>VLOOKUP(E812,Stores!A:B,2,FALSE)</f>
        <v>MegaMart Johnmouth</v>
      </c>
      <c r="M812">
        <f>VLOOKUP(D812,Products!A:E,5,FALSE)</f>
        <v>304.70999999999998</v>
      </c>
      <c r="N812" s="5">
        <f t="shared" si="12"/>
        <v>259.00349999999997</v>
      </c>
    </row>
    <row r="813" spans="1:14" x14ac:dyDescent="0.3">
      <c r="A813" t="s">
        <v>1669</v>
      </c>
      <c r="B813" s="2">
        <v>45413</v>
      </c>
      <c r="C813" t="s">
        <v>44</v>
      </c>
      <c r="D813" t="s">
        <v>764</v>
      </c>
      <c r="E813" t="s">
        <v>846</v>
      </c>
      <c r="F813">
        <v>3</v>
      </c>
      <c r="G813">
        <v>0.15</v>
      </c>
      <c r="H813" t="s">
        <v>861</v>
      </c>
      <c r="I813" t="str">
        <f>VLOOKUP(C813,Customers!A:C,2,FALSE)&amp;" "&amp;VLOOKUP(C813,Customers!A:C,3,FALSE)</f>
        <v>Catherine Rice</v>
      </c>
      <c r="J813" t="str">
        <f>VLOOKUP(D813,Products!A:C,2,FALSE)</f>
        <v>Simple Accessories</v>
      </c>
      <c r="K813" t="str">
        <f>VLOOKUP(D813,Products!A:C,3,FALSE)</f>
        <v>Fashion</v>
      </c>
      <c r="L813" t="str">
        <f>VLOOKUP(E813,Stores!A:B,2,FALSE)</f>
        <v>MegaMart Johnmouth</v>
      </c>
      <c r="M813">
        <f>VLOOKUP(D813,Products!A:E,5,FALSE)</f>
        <v>323.92</v>
      </c>
      <c r="N813" s="5">
        <f t="shared" si="12"/>
        <v>825.99599999999998</v>
      </c>
    </row>
    <row r="814" spans="1:14" x14ac:dyDescent="0.3">
      <c r="A814" t="s">
        <v>1670</v>
      </c>
      <c r="B814" s="2">
        <v>45289</v>
      </c>
      <c r="C814" t="s">
        <v>355</v>
      </c>
      <c r="D814" t="s">
        <v>796</v>
      </c>
      <c r="E814" t="s">
        <v>842</v>
      </c>
      <c r="F814">
        <v>2</v>
      </c>
      <c r="G814">
        <v>0.1</v>
      </c>
      <c r="H814" t="s">
        <v>861</v>
      </c>
      <c r="I814" t="str">
        <f>VLOOKUP(C814,Customers!A:C,2,FALSE)&amp;" "&amp;VLOOKUP(C814,Customers!A:C,3,FALSE)</f>
        <v>Kimberly Stokes</v>
      </c>
      <c r="J814" t="str">
        <f>VLOOKUP(D814,Products!A:C,2,FALSE)</f>
        <v>Chair Laptop</v>
      </c>
      <c r="K814" t="str">
        <f>VLOOKUP(D814,Products!A:C,3,FALSE)</f>
        <v>Electronics</v>
      </c>
      <c r="L814" t="str">
        <f>VLOOKUP(E814,Stores!A:B,2,FALSE)</f>
        <v>MegaMart Brianahaven</v>
      </c>
      <c r="M814">
        <f>VLOOKUP(D814,Products!A:E,5,FALSE)</f>
        <v>1562.43</v>
      </c>
      <c r="N814" s="5">
        <f t="shared" si="12"/>
        <v>2812.3740000000003</v>
      </c>
    </row>
    <row r="815" spans="1:14" x14ac:dyDescent="0.3">
      <c r="A815" t="s">
        <v>1671</v>
      </c>
      <c r="B815" s="2">
        <v>45335</v>
      </c>
      <c r="C815" t="s">
        <v>442</v>
      </c>
      <c r="D815" t="s">
        <v>806</v>
      </c>
      <c r="E815" t="s">
        <v>846</v>
      </c>
      <c r="F815">
        <v>5</v>
      </c>
      <c r="G815">
        <v>0</v>
      </c>
      <c r="H815" t="s">
        <v>858</v>
      </c>
      <c r="I815" t="str">
        <f>VLOOKUP(C815,Customers!A:C,2,FALSE)&amp;" "&amp;VLOOKUP(C815,Customers!A:C,3,FALSE)</f>
        <v>Jason Lloyd</v>
      </c>
      <c r="J815" t="str">
        <f>VLOOKUP(D815,Products!A:C,2,FALSE)</f>
        <v>Piece Headphones</v>
      </c>
      <c r="K815" t="str">
        <f>VLOOKUP(D815,Products!A:C,3,FALSE)</f>
        <v>Electronics</v>
      </c>
      <c r="L815" t="str">
        <f>VLOOKUP(E815,Stores!A:B,2,FALSE)</f>
        <v>MegaMart Johnmouth</v>
      </c>
      <c r="M815">
        <f>VLOOKUP(D815,Products!A:E,5,FALSE)</f>
        <v>1745.61</v>
      </c>
      <c r="N815" s="5">
        <f t="shared" si="12"/>
        <v>8728.0499999999993</v>
      </c>
    </row>
    <row r="816" spans="1:14" x14ac:dyDescent="0.3">
      <c r="A816" t="s">
        <v>1672</v>
      </c>
      <c r="B816" s="2">
        <v>45673</v>
      </c>
      <c r="C816" t="s">
        <v>355</v>
      </c>
      <c r="D816" t="s">
        <v>722</v>
      </c>
      <c r="E816" t="s">
        <v>846</v>
      </c>
      <c r="F816">
        <v>1</v>
      </c>
      <c r="G816">
        <v>0.05</v>
      </c>
      <c r="H816" t="s">
        <v>861</v>
      </c>
      <c r="I816" t="str">
        <f>VLOOKUP(C816,Customers!A:C,2,FALSE)&amp;" "&amp;VLOOKUP(C816,Customers!A:C,3,FALSE)</f>
        <v>Kimberly Stokes</v>
      </c>
      <c r="J816" t="str">
        <f>VLOOKUP(D816,Products!A:C,2,FALSE)</f>
        <v>Four Accessories</v>
      </c>
      <c r="K816" t="str">
        <f>VLOOKUP(D816,Products!A:C,3,FALSE)</f>
        <v>Fashion</v>
      </c>
      <c r="L816" t="str">
        <f>VLOOKUP(E816,Stores!A:B,2,FALSE)</f>
        <v>MegaMart Johnmouth</v>
      </c>
      <c r="M816">
        <f>VLOOKUP(D816,Products!A:E,5,FALSE)</f>
        <v>1853.77</v>
      </c>
      <c r="N816" s="5">
        <f t="shared" si="12"/>
        <v>1761.0815</v>
      </c>
    </row>
    <row r="817" spans="1:14" x14ac:dyDescent="0.3">
      <c r="A817" t="s">
        <v>1673</v>
      </c>
      <c r="B817" s="2">
        <v>45517</v>
      </c>
      <c r="C817" t="s">
        <v>683</v>
      </c>
      <c r="D817" t="s">
        <v>755</v>
      </c>
      <c r="E817" t="s">
        <v>846</v>
      </c>
      <c r="F817">
        <v>2</v>
      </c>
      <c r="G817">
        <v>0.15</v>
      </c>
      <c r="H817" t="s">
        <v>861</v>
      </c>
      <c r="I817" t="str">
        <f>VLOOKUP(C817,Customers!A:C,2,FALSE)&amp;" "&amp;VLOOKUP(C817,Customers!A:C,3,FALSE)</f>
        <v>Ann West</v>
      </c>
      <c r="J817" t="str">
        <f>VLOOKUP(D817,Products!A:C,2,FALSE)</f>
        <v>House Accessories</v>
      </c>
      <c r="K817" t="str">
        <f>VLOOKUP(D817,Products!A:C,3,FALSE)</f>
        <v>Fashion</v>
      </c>
      <c r="L817" t="str">
        <f>VLOOKUP(E817,Stores!A:B,2,FALSE)</f>
        <v>MegaMart Johnmouth</v>
      </c>
      <c r="M817">
        <f>VLOOKUP(D817,Products!A:E,5,FALSE)</f>
        <v>1858.75</v>
      </c>
      <c r="N817" s="5">
        <f t="shared" si="12"/>
        <v>3159.875</v>
      </c>
    </row>
    <row r="818" spans="1:14" x14ac:dyDescent="0.3">
      <c r="A818" t="s">
        <v>1674</v>
      </c>
      <c r="B818" s="2">
        <v>45789</v>
      </c>
      <c r="C818" t="s">
        <v>179</v>
      </c>
      <c r="D818" t="s">
        <v>725</v>
      </c>
      <c r="E818" t="s">
        <v>846</v>
      </c>
      <c r="F818">
        <v>5</v>
      </c>
      <c r="G818">
        <v>0.05</v>
      </c>
      <c r="H818" t="s">
        <v>858</v>
      </c>
      <c r="I818" t="str">
        <f>VLOOKUP(C818,Customers!A:C,2,FALSE)&amp;" "&amp;VLOOKUP(C818,Customers!A:C,3,FALSE)</f>
        <v>Dennis Poole</v>
      </c>
      <c r="J818" t="str">
        <f>VLOOKUP(D818,Products!A:C,2,FALSE)</f>
        <v>Knowledge Bags</v>
      </c>
      <c r="K818" t="str">
        <f>VLOOKUP(D818,Products!A:C,3,FALSE)</f>
        <v>Fashion</v>
      </c>
      <c r="L818" t="str">
        <f>VLOOKUP(E818,Stores!A:B,2,FALSE)</f>
        <v>MegaMart Johnmouth</v>
      </c>
      <c r="M818">
        <f>VLOOKUP(D818,Products!A:E,5,FALSE)</f>
        <v>1396.22</v>
      </c>
      <c r="N818" s="5">
        <f t="shared" si="12"/>
        <v>6632.0450000000001</v>
      </c>
    </row>
    <row r="819" spans="1:14" x14ac:dyDescent="0.3">
      <c r="A819" t="s">
        <v>1675</v>
      </c>
      <c r="B819" s="2">
        <v>45604</v>
      </c>
      <c r="C819" t="s">
        <v>347</v>
      </c>
      <c r="D819" t="s">
        <v>711</v>
      </c>
      <c r="E819" t="s">
        <v>831</v>
      </c>
      <c r="F819">
        <v>2</v>
      </c>
      <c r="G819">
        <v>0.15</v>
      </c>
      <c r="H819" t="s">
        <v>861</v>
      </c>
      <c r="I819" t="str">
        <f>VLOOKUP(C819,Customers!A:C,2,FALSE)&amp;" "&amp;VLOOKUP(C819,Customers!A:C,3,FALSE)</f>
        <v>Lindsey Holder</v>
      </c>
      <c r="J819" t="str">
        <f>VLOOKUP(D819,Products!A:C,2,FALSE)</f>
        <v>Like Camera</v>
      </c>
      <c r="K819" t="str">
        <f>VLOOKUP(D819,Products!A:C,3,FALSE)</f>
        <v>Electronics</v>
      </c>
      <c r="L819" t="str">
        <f>VLOOKUP(E819,Stores!A:B,2,FALSE)</f>
        <v>MegaMart Jimenezborough</v>
      </c>
      <c r="M819">
        <f>VLOOKUP(D819,Products!A:E,5,FALSE)</f>
        <v>1673.69</v>
      </c>
      <c r="N819" s="5">
        <f t="shared" si="12"/>
        <v>2845.2730000000001</v>
      </c>
    </row>
    <row r="820" spans="1:14" x14ac:dyDescent="0.3">
      <c r="A820" t="s">
        <v>1676</v>
      </c>
      <c r="B820" s="2">
        <v>45893</v>
      </c>
      <c r="C820" t="s">
        <v>71</v>
      </c>
      <c r="D820" t="s">
        <v>776</v>
      </c>
      <c r="E820" t="s">
        <v>839</v>
      </c>
      <c r="F820">
        <v>3</v>
      </c>
      <c r="G820">
        <v>0.05</v>
      </c>
      <c r="H820" t="s">
        <v>865</v>
      </c>
      <c r="I820" t="str">
        <f>VLOOKUP(C820,Customers!A:C,2,FALSE)&amp;" "&amp;VLOOKUP(C820,Customers!A:C,3,FALSE)</f>
        <v>Vanessa Anderson</v>
      </c>
      <c r="J820" t="str">
        <f>VLOOKUP(D820,Products!A:C,2,FALSE)</f>
        <v>Little Watches</v>
      </c>
      <c r="K820" t="str">
        <f>VLOOKUP(D820,Products!A:C,3,FALSE)</f>
        <v>Fashion</v>
      </c>
      <c r="L820" t="str">
        <f>VLOOKUP(E820,Stores!A:B,2,FALSE)</f>
        <v>MegaMart New Michele</v>
      </c>
      <c r="M820">
        <f>VLOOKUP(D820,Products!A:E,5,FALSE)</f>
        <v>429.15</v>
      </c>
      <c r="N820" s="5">
        <f t="shared" si="12"/>
        <v>1223.0774999999999</v>
      </c>
    </row>
    <row r="821" spans="1:14" x14ac:dyDescent="0.3">
      <c r="A821" t="s">
        <v>1677</v>
      </c>
      <c r="B821" s="2">
        <v>45717</v>
      </c>
      <c r="C821" t="s">
        <v>612</v>
      </c>
      <c r="D821" t="s">
        <v>818</v>
      </c>
      <c r="E821" t="s">
        <v>835</v>
      </c>
      <c r="F821">
        <v>5</v>
      </c>
      <c r="G821">
        <v>0.1</v>
      </c>
      <c r="H821" t="s">
        <v>858</v>
      </c>
      <c r="I821" t="str">
        <f>VLOOKUP(C821,Customers!A:C,2,FALSE)&amp;" "&amp;VLOOKUP(C821,Customers!A:C,3,FALSE)</f>
        <v>Michelle Smith</v>
      </c>
      <c r="J821" t="str">
        <f>VLOOKUP(D821,Products!A:C,2,FALSE)</f>
        <v>Nature Clothing</v>
      </c>
      <c r="K821" t="str">
        <f>VLOOKUP(D821,Products!A:C,3,FALSE)</f>
        <v>Fashion</v>
      </c>
      <c r="L821" t="str">
        <f>VLOOKUP(E821,Stores!A:B,2,FALSE)</f>
        <v>MegaMart Peckmouth</v>
      </c>
      <c r="M821">
        <f>VLOOKUP(D821,Products!A:E,5,FALSE)</f>
        <v>1165.3699999999999</v>
      </c>
      <c r="N821" s="5">
        <f t="shared" si="12"/>
        <v>5244.165</v>
      </c>
    </row>
    <row r="822" spans="1:14" x14ac:dyDescent="0.3">
      <c r="A822" t="s">
        <v>1678</v>
      </c>
      <c r="B822" s="2">
        <v>45480</v>
      </c>
      <c r="C822" t="s">
        <v>449</v>
      </c>
      <c r="D822" t="s">
        <v>728</v>
      </c>
      <c r="E822" t="s">
        <v>842</v>
      </c>
      <c r="F822">
        <v>1</v>
      </c>
      <c r="G822">
        <v>0</v>
      </c>
      <c r="H822" t="s">
        <v>855</v>
      </c>
      <c r="I822" t="str">
        <f>VLOOKUP(C822,Customers!A:C,2,FALSE)&amp;" "&amp;VLOOKUP(C822,Customers!A:C,3,FALSE)</f>
        <v>John Bell</v>
      </c>
      <c r="J822" t="str">
        <f>VLOOKUP(D822,Products!A:C,2,FALSE)</f>
        <v>Company Fruits</v>
      </c>
      <c r="K822" t="str">
        <f>VLOOKUP(D822,Products!A:C,3,FALSE)</f>
        <v>Groceries</v>
      </c>
      <c r="L822" t="str">
        <f>VLOOKUP(E822,Stores!A:B,2,FALSE)</f>
        <v>MegaMart Brianahaven</v>
      </c>
      <c r="M822">
        <f>VLOOKUP(D822,Products!A:E,5,FALSE)</f>
        <v>318.05</v>
      </c>
      <c r="N822" s="5">
        <f t="shared" si="12"/>
        <v>318.05</v>
      </c>
    </row>
    <row r="823" spans="1:14" x14ac:dyDescent="0.3">
      <c r="A823" t="s">
        <v>1679</v>
      </c>
      <c r="B823" s="2">
        <v>45661</v>
      </c>
      <c r="C823" t="s">
        <v>109</v>
      </c>
      <c r="D823" t="s">
        <v>753</v>
      </c>
      <c r="E823" t="s">
        <v>846</v>
      </c>
      <c r="F823">
        <v>3</v>
      </c>
      <c r="G823">
        <v>0.1</v>
      </c>
      <c r="H823" t="s">
        <v>861</v>
      </c>
      <c r="I823" t="str">
        <f>VLOOKUP(C823,Customers!A:C,2,FALSE)&amp;" "&amp;VLOOKUP(C823,Customers!A:C,3,FALSE)</f>
        <v>Jacqueline Martin</v>
      </c>
      <c r="J823" t="str">
        <f>VLOOKUP(D823,Products!A:C,2,FALSE)</f>
        <v>Whether Bags</v>
      </c>
      <c r="K823" t="str">
        <f>VLOOKUP(D823,Products!A:C,3,FALSE)</f>
        <v>Fashion</v>
      </c>
      <c r="L823" t="str">
        <f>VLOOKUP(E823,Stores!A:B,2,FALSE)</f>
        <v>MegaMart Johnmouth</v>
      </c>
      <c r="M823">
        <f>VLOOKUP(D823,Products!A:E,5,FALSE)</f>
        <v>270.45</v>
      </c>
      <c r="N823" s="5">
        <f t="shared" si="12"/>
        <v>730.21499999999992</v>
      </c>
    </row>
    <row r="824" spans="1:14" x14ac:dyDescent="0.3">
      <c r="A824" t="s">
        <v>1680</v>
      </c>
      <c r="B824" s="2">
        <v>45739</v>
      </c>
      <c r="C824" t="s">
        <v>364</v>
      </c>
      <c r="D824" t="s">
        <v>728</v>
      </c>
      <c r="E824" t="s">
        <v>842</v>
      </c>
      <c r="F824">
        <v>3</v>
      </c>
      <c r="G824">
        <v>0</v>
      </c>
      <c r="H824" t="s">
        <v>855</v>
      </c>
      <c r="I824" t="str">
        <f>VLOOKUP(C824,Customers!A:C,2,FALSE)&amp;" "&amp;VLOOKUP(C824,Customers!A:C,3,FALSE)</f>
        <v>Evelyn Gray</v>
      </c>
      <c r="J824" t="str">
        <f>VLOOKUP(D824,Products!A:C,2,FALSE)</f>
        <v>Company Fruits</v>
      </c>
      <c r="K824" t="str">
        <f>VLOOKUP(D824,Products!A:C,3,FALSE)</f>
        <v>Groceries</v>
      </c>
      <c r="L824" t="str">
        <f>VLOOKUP(E824,Stores!A:B,2,FALSE)</f>
        <v>MegaMart Brianahaven</v>
      </c>
      <c r="M824">
        <f>VLOOKUP(D824,Products!A:E,5,FALSE)</f>
        <v>318.05</v>
      </c>
      <c r="N824" s="5">
        <f t="shared" si="12"/>
        <v>954.15000000000009</v>
      </c>
    </row>
    <row r="825" spans="1:14" x14ac:dyDescent="0.3">
      <c r="A825" t="s">
        <v>1681</v>
      </c>
      <c r="B825" s="2">
        <v>45809</v>
      </c>
      <c r="C825" t="s">
        <v>364</v>
      </c>
      <c r="D825" t="s">
        <v>711</v>
      </c>
      <c r="E825" t="s">
        <v>835</v>
      </c>
      <c r="F825">
        <v>5</v>
      </c>
      <c r="G825">
        <v>0.15</v>
      </c>
      <c r="H825" t="s">
        <v>855</v>
      </c>
      <c r="I825" t="str">
        <f>VLOOKUP(C825,Customers!A:C,2,FALSE)&amp;" "&amp;VLOOKUP(C825,Customers!A:C,3,FALSE)</f>
        <v>Evelyn Gray</v>
      </c>
      <c r="J825" t="str">
        <f>VLOOKUP(D825,Products!A:C,2,FALSE)</f>
        <v>Like Camera</v>
      </c>
      <c r="K825" t="str">
        <f>VLOOKUP(D825,Products!A:C,3,FALSE)</f>
        <v>Electronics</v>
      </c>
      <c r="L825" t="str">
        <f>VLOOKUP(E825,Stores!A:B,2,FALSE)</f>
        <v>MegaMart Peckmouth</v>
      </c>
      <c r="M825">
        <f>VLOOKUP(D825,Products!A:E,5,FALSE)</f>
        <v>1673.69</v>
      </c>
      <c r="N825" s="5">
        <f t="shared" si="12"/>
        <v>7113.1825000000008</v>
      </c>
    </row>
    <row r="826" spans="1:14" x14ac:dyDescent="0.3">
      <c r="A826" t="s">
        <v>1682</v>
      </c>
      <c r="B826" s="2">
        <v>45346</v>
      </c>
      <c r="C826" t="s">
        <v>335</v>
      </c>
      <c r="D826" t="s">
        <v>742</v>
      </c>
      <c r="E826" t="s">
        <v>842</v>
      </c>
      <c r="F826">
        <v>4</v>
      </c>
      <c r="G826">
        <v>0</v>
      </c>
      <c r="H826" t="s">
        <v>861</v>
      </c>
      <c r="I826" t="str">
        <f>VLOOKUP(C826,Customers!A:C,2,FALSE)&amp;" "&amp;VLOOKUP(C826,Customers!A:C,3,FALSE)</f>
        <v>William Warner</v>
      </c>
      <c r="J826" t="str">
        <f>VLOOKUP(D826,Products!A:C,2,FALSE)</f>
        <v>Either Headphones</v>
      </c>
      <c r="K826" t="str">
        <f>VLOOKUP(D826,Products!A:C,3,FALSE)</f>
        <v>Electronics</v>
      </c>
      <c r="L826" t="str">
        <f>VLOOKUP(E826,Stores!A:B,2,FALSE)</f>
        <v>MegaMart Brianahaven</v>
      </c>
      <c r="M826">
        <f>VLOOKUP(D826,Products!A:E,5,FALSE)</f>
        <v>248.57</v>
      </c>
      <c r="N826" s="5">
        <f t="shared" si="12"/>
        <v>994.28</v>
      </c>
    </row>
    <row r="827" spans="1:14" x14ac:dyDescent="0.3">
      <c r="A827" t="s">
        <v>1683</v>
      </c>
      <c r="B827" s="2">
        <v>45245</v>
      </c>
      <c r="C827" t="s">
        <v>422</v>
      </c>
      <c r="D827" t="s">
        <v>802</v>
      </c>
      <c r="E827" t="s">
        <v>835</v>
      </c>
      <c r="F827">
        <v>2</v>
      </c>
      <c r="G827">
        <v>0</v>
      </c>
      <c r="H827" t="s">
        <v>855</v>
      </c>
      <c r="I827" t="str">
        <f>VLOOKUP(C827,Customers!A:C,2,FALSE)&amp;" "&amp;VLOOKUP(C827,Customers!A:C,3,FALSE)</f>
        <v>Heidi Wilson</v>
      </c>
      <c r="J827" t="str">
        <f>VLOOKUP(D827,Products!A:C,2,FALSE)</f>
        <v>Stage Footwear</v>
      </c>
      <c r="K827" t="str">
        <f>VLOOKUP(D827,Products!A:C,3,FALSE)</f>
        <v>Fashion</v>
      </c>
      <c r="L827" t="str">
        <f>VLOOKUP(E827,Stores!A:B,2,FALSE)</f>
        <v>MegaMart Peckmouth</v>
      </c>
      <c r="M827">
        <f>VLOOKUP(D827,Products!A:E,5,FALSE)</f>
        <v>366.93</v>
      </c>
      <c r="N827" s="5">
        <f t="shared" si="12"/>
        <v>733.86</v>
      </c>
    </row>
    <row r="828" spans="1:14" x14ac:dyDescent="0.3">
      <c r="A828" t="s">
        <v>1684</v>
      </c>
      <c r="B828" s="2">
        <v>45713</v>
      </c>
      <c r="C828" t="s">
        <v>213</v>
      </c>
      <c r="D828" t="s">
        <v>778</v>
      </c>
      <c r="E828" t="s">
        <v>835</v>
      </c>
      <c r="F828">
        <v>2</v>
      </c>
      <c r="G828">
        <v>0.05</v>
      </c>
      <c r="H828" t="s">
        <v>855</v>
      </c>
      <c r="I828" t="str">
        <f>VLOOKUP(C828,Customers!A:C,2,FALSE)&amp;" "&amp;VLOOKUP(C828,Customers!A:C,3,FALSE)</f>
        <v>Deborah Moody</v>
      </c>
      <c r="J828" t="str">
        <f>VLOOKUP(D828,Products!A:C,2,FALSE)</f>
        <v>Behavior Dairy</v>
      </c>
      <c r="K828" t="str">
        <f>VLOOKUP(D828,Products!A:C,3,FALSE)</f>
        <v>Groceries</v>
      </c>
      <c r="L828" t="str">
        <f>VLOOKUP(E828,Stores!A:B,2,FALSE)</f>
        <v>MegaMart Peckmouth</v>
      </c>
      <c r="M828">
        <f>VLOOKUP(D828,Products!A:E,5,FALSE)</f>
        <v>1015.76</v>
      </c>
      <c r="N828" s="5">
        <f t="shared" si="12"/>
        <v>1929.944</v>
      </c>
    </row>
    <row r="829" spans="1:14" x14ac:dyDescent="0.3">
      <c r="A829" t="s">
        <v>1685</v>
      </c>
      <c r="B829" s="2">
        <v>45538</v>
      </c>
      <c r="C829" t="s">
        <v>556</v>
      </c>
      <c r="D829" t="s">
        <v>761</v>
      </c>
      <c r="E829" t="s">
        <v>831</v>
      </c>
      <c r="F829">
        <v>2</v>
      </c>
      <c r="G829">
        <v>0.15</v>
      </c>
      <c r="H829" t="s">
        <v>855</v>
      </c>
      <c r="I829" t="str">
        <f>VLOOKUP(C829,Customers!A:C,2,FALSE)&amp;" "&amp;VLOOKUP(C829,Customers!A:C,3,FALSE)</f>
        <v>Jill Mcconnell</v>
      </c>
      <c r="J829" t="str">
        <f>VLOOKUP(D829,Products!A:C,2,FALSE)</f>
        <v>Traditional Laptop</v>
      </c>
      <c r="K829" t="str">
        <f>VLOOKUP(D829,Products!A:C,3,FALSE)</f>
        <v>Electronics</v>
      </c>
      <c r="L829" t="str">
        <f>VLOOKUP(E829,Stores!A:B,2,FALSE)</f>
        <v>MegaMart Jimenezborough</v>
      </c>
      <c r="M829">
        <f>VLOOKUP(D829,Products!A:E,5,FALSE)</f>
        <v>1762.92</v>
      </c>
      <c r="N829" s="5">
        <f t="shared" si="12"/>
        <v>2996.9639999999999</v>
      </c>
    </row>
    <row r="830" spans="1:14" x14ac:dyDescent="0.3">
      <c r="A830" t="s">
        <v>1686</v>
      </c>
      <c r="B830" s="2">
        <v>45271</v>
      </c>
      <c r="C830" t="s">
        <v>653</v>
      </c>
      <c r="D830" t="s">
        <v>766</v>
      </c>
      <c r="E830" t="s">
        <v>831</v>
      </c>
      <c r="F830">
        <v>4</v>
      </c>
      <c r="G830">
        <v>0.15</v>
      </c>
      <c r="H830" t="s">
        <v>858</v>
      </c>
      <c r="I830" t="str">
        <f>VLOOKUP(C830,Customers!A:C,2,FALSE)&amp;" "&amp;VLOOKUP(C830,Customers!A:C,3,FALSE)</f>
        <v>Joe Vincent</v>
      </c>
      <c r="J830" t="str">
        <f>VLOOKUP(D830,Products!A:C,2,FALSE)</f>
        <v>Firm Dairy</v>
      </c>
      <c r="K830" t="str">
        <f>VLOOKUP(D830,Products!A:C,3,FALSE)</f>
        <v>Groceries</v>
      </c>
      <c r="L830" t="str">
        <f>VLOOKUP(E830,Stores!A:B,2,FALSE)</f>
        <v>MegaMart Jimenezborough</v>
      </c>
      <c r="M830">
        <f>VLOOKUP(D830,Products!A:E,5,FALSE)</f>
        <v>1227.24</v>
      </c>
      <c r="N830" s="5">
        <f t="shared" si="12"/>
        <v>4172.616</v>
      </c>
    </row>
    <row r="831" spans="1:14" x14ac:dyDescent="0.3">
      <c r="A831" t="s">
        <v>1687</v>
      </c>
      <c r="B831" s="2">
        <v>45370</v>
      </c>
      <c r="C831" t="s">
        <v>210</v>
      </c>
      <c r="D831" t="s">
        <v>734</v>
      </c>
      <c r="E831" t="s">
        <v>846</v>
      </c>
      <c r="F831">
        <v>2</v>
      </c>
      <c r="G831">
        <v>0.15</v>
      </c>
      <c r="H831" t="s">
        <v>865</v>
      </c>
      <c r="I831" t="str">
        <f>VLOOKUP(C831,Customers!A:C,2,FALSE)&amp;" "&amp;VLOOKUP(C831,Customers!A:C,3,FALSE)</f>
        <v>Crystal Johnson</v>
      </c>
      <c r="J831" t="str">
        <f>VLOOKUP(D831,Products!A:C,2,FALSE)</f>
        <v>Recognize Footwear</v>
      </c>
      <c r="K831" t="str">
        <f>VLOOKUP(D831,Products!A:C,3,FALSE)</f>
        <v>Fashion</v>
      </c>
      <c r="L831" t="str">
        <f>VLOOKUP(E831,Stores!A:B,2,FALSE)</f>
        <v>MegaMart Johnmouth</v>
      </c>
      <c r="M831">
        <f>VLOOKUP(D831,Products!A:E,5,FALSE)</f>
        <v>109.78</v>
      </c>
      <c r="N831" s="5">
        <f t="shared" si="12"/>
        <v>186.626</v>
      </c>
    </row>
    <row r="832" spans="1:14" x14ac:dyDescent="0.3">
      <c r="A832" t="s">
        <v>1688</v>
      </c>
      <c r="B832" s="2">
        <v>45237</v>
      </c>
      <c r="C832" t="s">
        <v>241</v>
      </c>
      <c r="D832" t="s">
        <v>725</v>
      </c>
      <c r="E832" t="s">
        <v>831</v>
      </c>
      <c r="F832">
        <v>2</v>
      </c>
      <c r="G832">
        <v>0.05</v>
      </c>
      <c r="H832" t="s">
        <v>861</v>
      </c>
      <c r="I832" t="str">
        <f>VLOOKUP(C832,Customers!A:C,2,FALSE)&amp;" "&amp;VLOOKUP(C832,Customers!A:C,3,FALSE)</f>
        <v>Michael Johnson</v>
      </c>
      <c r="J832" t="str">
        <f>VLOOKUP(D832,Products!A:C,2,FALSE)</f>
        <v>Knowledge Bags</v>
      </c>
      <c r="K832" t="str">
        <f>VLOOKUP(D832,Products!A:C,3,FALSE)</f>
        <v>Fashion</v>
      </c>
      <c r="L832" t="str">
        <f>VLOOKUP(E832,Stores!A:B,2,FALSE)</f>
        <v>MegaMart Jimenezborough</v>
      </c>
      <c r="M832">
        <f>VLOOKUP(D832,Products!A:E,5,FALSE)</f>
        <v>1396.22</v>
      </c>
      <c r="N832" s="5">
        <f t="shared" si="12"/>
        <v>2652.8179999999998</v>
      </c>
    </row>
    <row r="833" spans="1:14" x14ac:dyDescent="0.3">
      <c r="A833" t="s">
        <v>1689</v>
      </c>
      <c r="B833" s="2">
        <v>45773</v>
      </c>
      <c r="C833" t="s">
        <v>579</v>
      </c>
      <c r="D833" t="s">
        <v>824</v>
      </c>
      <c r="E833" t="s">
        <v>846</v>
      </c>
      <c r="F833">
        <v>1</v>
      </c>
      <c r="G833">
        <v>0.05</v>
      </c>
      <c r="H833" t="s">
        <v>865</v>
      </c>
      <c r="I833" t="str">
        <f>VLOOKUP(C833,Customers!A:C,2,FALSE)&amp;" "&amp;VLOOKUP(C833,Customers!A:C,3,FALSE)</f>
        <v>Jill Roach</v>
      </c>
      <c r="J833" t="str">
        <f>VLOOKUP(D833,Products!A:C,2,FALSE)</f>
        <v>Possible Watches</v>
      </c>
      <c r="K833" t="str">
        <f>VLOOKUP(D833,Products!A:C,3,FALSE)</f>
        <v>Fashion</v>
      </c>
      <c r="L833" t="str">
        <f>VLOOKUP(E833,Stores!A:B,2,FALSE)</f>
        <v>MegaMart Johnmouth</v>
      </c>
      <c r="M833">
        <f>VLOOKUP(D833,Products!A:E,5,FALSE)</f>
        <v>388.26</v>
      </c>
      <c r="N833" s="5">
        <f t="shared" si="12"/>
        <v>368.84699999999998</v>
      </c>
    </row>
    <row r="834" spans="1:14" x14ac:dyDescent="0.3">
      <c r="A834" t="s">
        <v>1690</v>
      </c>
      <c r="B834" s="2">
        <v>45581</v>
      </c>
      <c r="C834" t="s">
        <v>167</v>
      </c>
      <c r="D834" t="s">
        <v>802</v>
      </c>
      <c r="E834" t="s">
        <v>839</v>
      </c>
      <c r="F834">
        <v>2</v>
      </c>
      <c r="G834">
        <v>0.15</v>
      </c>
      <c r="H834" t="s">
        <v>865</v>
      </c>
      <c r="I834" t="str">
        <f>VLOOKUP(C834,Customers!A:C,2,FALSE)&amp;" "&amp;VLOOKUP(C834,Customers!A:C,3,FALSE)</f>
        <v>Kenneth Allen</v>
      </c>
      <c r="J834" t="str">
        <f>VLOOKUP(D834,Products!A:C,2,FALSE)</f>
        <v>Stage Footwear</v>
      </c>
      <c r="K834" t="str">
        <f>VLOOKUP(D834,Products!A:C,3,FALSE)</f>
        <v>Fashion</v>
      </c>
      <c r="L834" t="str">
        <f>VLOOKUP(E834,Stores!A:B,2,FALSE)</f>
        <v>MegaMart New Michele</v>
      </c>
      <c r="M834">
        <f>VLOOKUP(D834,Products!A:E,5,FALSE)</f>
        <v>366.93</v>
      </c>
      <c r="N834" s="5">
        <f t="shared" si="12"/>
        <v>623.78099999999995</v>
      </c>
    </row>
    <row r="835" spans="1:14" x14ac:dyDescent="0.3">
      <c r="A835" t="s">
        <v>1691</v>
      </c>
      <c r="B835" s="2">
        <v>45844</v>
      </c>
      <c r="C835" t="s">
        <v>653</v>
      </c>
      <c r="D835" t="s">
        <v>739</v>
      </c>
      <c r="E835" t="s">
        <v>839</v>
      </c>
      <c r="F835">
        <v>1</v>
      </c>
      <c r="G835">
        <v>0.05</v>
      </c>
      <c r="H835" t="s">
        <v>858</v>
      </c>
      <c r="I835" t="str">
        <f>VLOOKUP(C835,Customers!A:C,2,FALSE)&amp;" "&amp;VLOOKUP(C835,Customers!A:C,3,FALSE)</f>
        <v>Joe Vincent</v>
      </c>
      <c r="J835" t="str">
        <f>VLOOKUP(D835,Products!A:C,2,FALSE)</f>
        <v>Step Smartphone</v>
      </c>
      <c r="K835" t="str">
        <f>VLOOKUP(D835,Products!A:C,3,FALSE)</f>
        <v>Electronics</v>
      </c>
      <c r="L835" t="str">
        <f>VLOOKUP(E835,Stores!A:B,2,FALSE)</f>
        <v>MegaMart New Michele</v>
      </c>
      <c r="M835">
        <f>VLOOKUP(D835,Products!A:E,5,FALSE)</f>
        <v>1194.1199999999999</v>
      </c>
      <c r="N835" s="5">
        <f t="shared" ref="N835:N898" si="13">F835*M835*(1-G835)</f>
        <v>1134.4139999999998</v>
      </c>
    </row>
    <row r="836" spans="1:14" x14ac:dyDescent="0.3">
      <c r="A836" t="s">
        <v>1692</v>
      </c>
      <c r="B836" s="2">
        <v>45666</v>
      </c>
      <c r="C836" t="s">
        <v>560</v>
      </c>
      <c r="D836" t="s">
        <v>814</v>
      </c>
      <c r="E836" t="s">
        <v>842</v>
      </c>
      <c r="F836">
        <v>4</v>
      </c>
      <c r="G836">
        <v>0.05</v>
      </c>
      <c r="H836" t="s">
        <v>861</v>
      </c>
      <c r="I836" t="str">
        <f>VLOOKUP(C836,Customers!A:C,2,FALSE)&amp;" "&amp;VLOOKUP(C836,Customers!A:C,3,FALSE)</f>
        <v>George Young</v>
      </c>
      <c r="J836" t="str">
        <f>VLOOKUP(D836,Products!A:C,2,FALSE)</f>
        <v>Least Accessories</v>
      </c>
      <c r="K836" t="str">
        <f>VLOOKUP(D836,Products!A:C,3,FALSE)</f>
        <v>Fashion</v>
      </c>
      <c r="L836" t="str">
        <f>VLOOKUP(E836,Stores!A:B,2,FALSE)</f>
        <v>MegaMart Brianahaven</v>
      </c>
      <c r="M836">
        <f>VLOOKUP(D836,Products!A:E,5,FALSE)</f>
        <v>1286.55</v>
      </c>
      <c r="N836" s="5">
        <f t="shared" si="13"/>
        <v>4888.8899999999994</v>
      </c>
    </row>
    <row r="837" spans="1:14" x14ac:dyDescent="0.3">
      <c r="A837" t="s">
        <v>1693</v>
      </c>
      <c r="B837" s="2">
        <v>45860</v>
      </c>
      <c r="C837" t="s">
        <v>396</v>
      </c>
      <c r="D837" t="s">
        <v>814</v>
      </c>
      <c r="E837" t="s">
        <v>846</v>
      </c>
      <c r="F837">
        <v>2</v>
      </c>
      <c r="G837">
        <v>0.05</v>
      </c>
      <c r="H837" t="s">
        <v>855</v>
      </c>
      <c r="I837" t="str">
        <f>VLOOKUP(C837,Customers!A:C,2,FALSE)&amp;" "&amp;VLOOKUP(C837,Customers!A:C,3,FALSE)</f>
        <v>Kevin Flores</v>
      </c>
      <c r="J837" t="str">
        <f>VLOOKUP(D837,Products!A:C,2,FALSE)</f>
        <v>Least Accessories</v>
      </c>
      <c r="K837" t="str">
        <f>VLOOKUP(D837,Products!A:C,3,FALSE)</f>
        <v>Fashion</v>
      </c>
      <c r="L837" t="str">
        <f>VLOOKUP(E837,Stores!A:B,2,FALSE)</f>
        <v>MegaMart Johnmouth</v>
      </c>
      <c r="M837">
        <f>VLOOKUP(D837,Products!A:E,5,FALSE)</f>
        <v>1286.55</v>
      </c>
      <c r="N837" s="5">
        <f t="shared" si="13"/>
        <v>2444.4449999999997</v>
      </c>
    </row>
    <row r="838" spans="1:14" x14ac:dyDescent="0.3">
      <c r="A838" t="s">
        <v>1694</v>
      </c>
      <c r="B838" s="2">
        <v>45534</v>
      </c>
      <c r="C838" t="s">
        <v>167</v>
      </c>
      <c r="D838" t="s">
        <v>776</v>
      </c>
      <c r="E838" t="s">
        <v>839</v>
      </c>
      <c r="F838">
        <v>4</v>
      </c>
      <c r="G838">
        <v>0</v>
      </c>
      <c r="H838" t="s">
        <v>861</v>
      </c>
      <c r="I838" t="str">
        <f>VLOOKUP(C838,Customers!A:C,2,FALSE)&amp;" "&amp;VLOOKUP(C838,Customers!A:C,3,FALSE)</f>
        <v>Kenneth Allen</v>
      </c>
      <c r="J838" t="str">
        <f>VLOOKUP(D838,Products!A:C,2,FALSE)</f>
        <v>Little Watches</v>
      </c>
      <c r="K838" t="str">
        <f>VLOOKUP(D838,Products!A:C,3,FALSE)</f>
        <v>Fashion</v>
      </c>
      <c r="L838" t="str">
        <f>VLOOKUP(E838,Stores!A:B,2,FALSE)</f>
        <v>MegaMart New Michele</v>
      </c>
      <c r="M838">
        <f>VLOOKUP(D838,Products!A:E,5,FALSE)</f>
        <v>429.15</v>
      </c>
      <c r="N838" s="5">
        <f t="shared" si="13"/>
        <v>1716.6</v>
      </c>
    </row>
    <row r="839" spans="1:14" x14ac:dyDescent="0.3">
      <c r="A839" t="s">
        <v>1695</v>
      </c>
      <c r="B839" s="2">
        <v>45509</v>
      </c>
      <c r="C839" t="s">
        <v>364</v>
      </c>
      <c r="D839" t="s">
        <v>776</v>
      </c>
      <c r="E839" t="s">
        <v>842</v>
      </c>
      <c r="F839">
        <v>2</v>
      </c>
      <c r="G839">
        <v>0</v>
      </c>
      <c r="H839" t="s">
        <v>865</v>
      </c>
      <c r="I839" t="str">
        <f>VLOOKUP(C839,Customers!A:C,2,FALSE)&amp;" "&amp;VLOOKUP(C839,Customers!A:C,3,FALSE)</f>
        <v>Evelyn Gray</v>
      </c>
      <c r="J839" t="str">
        <f>VLOOKUP(D839,Products!A:C,2,FALSE)</f>
        <v>Little Watches</v>
      </c>
      <c r="K839" t="str">
        <f>VLOOKUP(D839,Products!A:C,3,FALSE)</f>
        <v>Fashion</v>
      </c>
      <c r="L839" t="str">
        <f>VLOOKUP(E839,Stores!A:B,2,FALSE)</f>
        <v>MegaMart Brianahaven</v>
      </c>
      <c r="M839">
        <f>VLOOKUP(D839,Products!A:E,5,FALSE)</f>
        <v>429.15</v>
      </c>
      <c r="N839" s="5">
        <f t="shared" si="13"/>
        <v>858.3</v>
      </c>
    </row>
    <row r="840" spans="1:14" x14ac:dyDescent="0.3">
      <c r="A840" t="s">
        <v>1696</v>
      </c>
      <c r="B840" s="2">
        <v>45546</v>
      </c>
      <c r="C840" t="s">
        <v>202</v>
      </c>
      <c r="D840" t="s">
        <v>742</v>
      </c>
      <c r="E840" t="s">
        <v>846</v>
      </c>
      <c r="F840">
        <v>5</v>
      </c>
      <c r="G840">
        <v>0.15</v>
      </c>
      <c r="H840" t="s">
        <v>861</v>
      </c>
      <c r="I840" t="str">
        <f>VLOOKUP(C840,Customers!A:C,2,FALSE)&amp;" "&amp;VLOOKUP(C840,Customers!A:C,3,FALSE)</f>
        <v>Billy Hernandez</v>
      </c>
      <c r="J840" t="str">
        <f>VLOOKUP(D840,Products!A:C,2,FALSE)</f>
        <v>Either Headphones</v>
      </c>
      <c r="K840" t="str">
        <f>VLOOKUP(D840,Products!A:C,3,FALSE)</f>
        <v>Electronics</v>
      </c>
      <c r="L840" t="str">
        <f>VLOOKUP(E840,Stores!A:B,2,FALSE)</f>
        <v>MegaMart Johnmouth</v>
      </c>
      <c r="M840">
        <f>VLOOKUP(D840,Products!A:E,5,FALSE)</f>
        <v>248.57</v>
      </c>
      <c r="N840" s="5">
        <f t="shared" si="13"/>
        <v>1056.4224999999999</v>
      </c>
    </row>
    <row r="841" spans="1:14" x14ac:dyDescent="0.3">
      <c r="A841" t="s">
        <v>1697</v>
      </c>
      <c r="B841" s="2">
        <v>45497</v>
      </c>
      <c r="C841" t="s">
        <v>560</v>
      </c>
      <c r="D841" t="s">
        <v>776</v>
      </c>
      <c r="E841" t="s">
        <v>831</v>
      </c>
      <c r="F841">
        <v>2</v>
      </c>
      <c r="G841">
        <v>0.15</v>
      </c>
      <c r="H841" t="s">
        <v>865</v>
      </c>
      <c r="I841" t="str">
        <f>VLOOKUP(C841,Customers!A:C,2,FALSE)&amp;" "&amp;VLOOKUP(C841,Customers!A:C,3,FALSE)</f>
        <v>George Young</v>
      </c>
      <c r="J841" t="str">
        <f>VLOOKUP(D841,Products!A:C,2,FALSE)</f>
        <v>Little Watches</v>
      </c>
      <c r="K841" t="str">
        <f>VLOOKUP(D841,Products!A:C,3,FALSE)</f>
        <v>Fashion</v>
      </c>
      <c r="L841" t="str">
        <f>VLOOKUP(E841,Stores!A:B,2,FALSE)</f>
        <v>MegaMart Jimenezborough</v>
      </c>
      <c r="M841">
        <f>VLOOKUP(D841,Products!A:E,5,FALSE)</f>
        <v>429.15</v>
      </c>
      <c r="N841" s="5">
        <f t="shared" si="13"/>
        <v>729.55499999999995</v>
      </c>
    </row>
    <row r="842" spans="1:14" x14ac:dyDescent="0.3">
      <c r="A842" t="s">
        <v>1698</v>
      </c>
      <c r="B842" s="2">
        <v>45590</v>
      </c>
      <c r="C842" t="s">
        <v>500</v>
      </c>
      <c r="D842" t="s">
        <v>802</v>
      </c>
      <c r="E842" t="s">
        <v>846</v>
      </c>
      <c r="F842">
        <v>1</v>
      </c>
      <c r="G842">
        <v>0</v>
      </c>
      <c r="H842" t="s">
        <v>858</v>
      </c>
      <c r="I842" t="str">
        <f>VLOOKUP(C842,Customers!A:C,2,FALSE)&amp;" "&amp;VLOOKUP(C842,Customers!A:C,3,FALSE)</f>
        <v>Gary Lopez</v>
      </c>
      <c r="J842" t="str">
        <f>VLOOKUP(D842,Products!A:C,2,FALSE)</f>
        <v>Stage Footwear</v>
      </c>
      <c r="K842" t="str">
        <f>VLOOKUP(D842,Products!A:C,3,FALSE)</f>
        <v>Fashion</v>
      </c>
      <c r="L842" t="str">
        <f>VLOOKUP(E842,Stores!A:B,2,FALSE)</f>
        <v>MegaMart Johnmouth</v>
      </c>
      <c r="M842">
        <f>VLOOKUP(D842,Products!A:E,5,FALSE)</f>
        <v>366.93</v>
      </c>
      <c r="N842" s="5">
        <f t="shared" si="13"/>
        <v>366.93</v>
      </c>
    </row>
    <row r="843" spans="1:14" x14ac:dyDescent="0.3">
      <c r="A843" t="s">
        <v>1699</v>
      </c>
      <c r="B843" s="2">
        <v>45885</v>
      </c>
      <c r="C843" t="s">
        <v>601</v>
      </c>
      <c r="D843" t="s">
        <v>739</v>
      </c>
      <c r="E843" t="s">
        <v>835</v>
      </c>
      <c r="F843">
        <v>5</v>
      </c>
      <c r="G843">
        <v>0</v>
      </c>
      <c r="H843" t="s">
        <v>858</v>
      </c>
      <c r="I843" t="str">
        <f>VLOOKUP(C843,Customers!A:C,2,FALSE)&amp;" "&amp;VLOOKUP(C843,Customers!A:C,3,FALSE)</f>
        <v>Travis Watson</v>
      </c>
      <c r="J843" t="str">
        <f>VLOOKUP(D843,Products!A:C,2,FALSE)</f>
        <v>Step Smartphone</v>
      </c>
      <c r="K843" t="str">
        <f>VLOOKUP(D843,Products!A:C,3,FALSE)</f>
        <v>Electronics</v>
      </c>
      <c r="L843" t="str">
        <f>VLOOKUP(E843,Stores!A:B,2,FALSE)</f>
        <v>MegaMart Peckmouth</v>
      </c>
      <c r="M843">
        <f>VLOOKUP(D843,Products!A:E,5,FALSE)</f>
        <v>1194.1199999999999</v>
      </c>
      <c r="N843" s="5">
        <f t="shared" si="13"/>
        <v>5970.5999999999995</v>
      </c>
    </row>
    <row r="844" spans="1:14" x14ac:dyDescent="0.3">
      <c r="A844" t="s">
        <v>1700</v>
      </c>
      <c r="B844" s="2">
        <v>45875</v>
      </c>
      <c r="C844" t="s">
        <v>491</v>
      </c>
      <c r="D844" t="s">
        <v>772</v>
      </c>
      <c r="E844" t="s">
        <v>842</v>
      </c>
      <c r="F844">
        <v>3</v>
      </c>
      <c r="G844">
        <v>0</v>
      </c>
      <c r="H844" t="s">
        <v>858</v>
      </c>
      <c r="I844" t="str">
        <f>VLOOKUP(C844,Customers!A:C,2,FALSE)&amp;" "&amp;VLOOKUP(C844,Customers!A:C,3,FALSE)</f>
        <v>Emily Hart</v>
      </c>
      <c r="J844" t="str">
        <f>VLOOKUP(D844,Products!A:C,2,FALSE)</f>
        <v>And Footwear</v>
      </c>
      <c r="K844" t="str">
        <f>VLOOKUP(D844,Products!A:C,3,FALSE)</f>
        <v>Fashion</v>
      </c>
      <c r="L844" t="str">
        <f>VLOOKUP(E844,Stores!A:B,2,FALSE)</f>
        <v>MegaMart Brianahaven</v>
      </c>
      <c r="M844">
        <f>VLOOKUP(D844,Products!A:E,5,FALSE)</f>
        <v>1878.47</v>
      </c>
      <c r="N844" s="5">
        <f t="shared" si="13"/>
        <v>5635.41</v>
      </c>
    </row>
    <row r="845" spans="1:14" x14ac:dyDescent="0.3">
      <c r="A845" t="s">
        <v>1701</v>
      </c>
      <c r="B845" s="2">
        <v>45203</v>
      </c>
      <c r="C845" t="s">
        <v>228</v>
      </c>
      <c r="D845" t="s">
        <v>725</v>
      </c>
      <c r="E845" t="s">
        <v>842</v>
      </c>
      <c r="F845">
        <v>4</v>
      </c>
      <c r="G845">
        <v>0.1</v>
      </c>
      <c r="H845" t="s">
        <v>865</v>
      </c>
      <c r="I845" t="str">
        <f>VLOOKUP(C845,Customers!A:C,2,FALSE)&amp;" "&amp;VLOOKUP(C845,Customers!A:C,3,FALSE)</f>
        <v>Scott Wyatt</v>
      </c>
      <c r="J845" t="str">
        <f>VLOOKUP(D845,Products!A:C,2,FALSE)</f>
        <v>Knowledge Bags</v>
      </c>
      <c r="K845" t="str">
        <f>VLOOKUP(D845,Products!A:C,3,FALSE)</f>
        <v>Fashion</v>
      </c>
      <c r="L845" t="str">
        <f>VLOOKUP(E845,Stores!A:B,2,FALSE)</f>
        <v>MegaMart Brianahaven</v>
      </c>
      <c r="M845">
        <f>VLOOKUP(D845,Products!A:E,5,FALSE)</f>
        <v>1396.22</v>
      </c>
      <c r="N845" s="5">
        <f t="shared" si="13"/>
        <v>5026.3919999999998</v>
      </c>
    </row>
    <row r="846" spans="1:14" x14ac:dyDescent="0.3">
      <c r="A846" t="s">
        <v>1702</v>
      </c>
      <c r="B846" s="2">
        <v>45521</v>
      </c>
      <c r="C846" t="s">
        <v>407</v>
      </c>
      <c r="D846" t="s">
        <v>792</v>
      </c>
      <c r="E846" t="s">
        <v>835</v>
      </c>
      <c r="F846">
        <v>3</v>
      </c>
      <c r="G846">
        <v>0.15</v>
      </c>
      <c r="H846" t="s">
        <v>861</v>
      </c>
      <c r="I846" t="str">
        <f>VLOOKUP(C846,Customers!A:C,2,FALSE)&amp;" "&amp;VLOOKUP(C846,Customers!A:C,3,FALSE)</f>
        <v>Austin Hogan</v>
      </c>
      <c r="J846" t="str">
        <f>VLOOKUP(D846,Products!A:C,2,FALSE)</f>
        <v>Beat Accessories</v>
      </c>
      <c r="K846" t="str">
        <f>VLOOKUP(D846,Products!A:C,3,FALSE)</f>
        <v>Fashion</v>
      </c>
      <c r="L846" t="str">
        <f>VLOOKUP(E846,Stores!A:B,2,FALSE)</f>
        <v>MegaMart Peckmouth</v>
      </c>
      <c r="M846">
        <f>VLOOKUP(D846,Products!A:E,5,FALSE)</f>
        <v>1798.97</v>
      </c>
      <c r="N846" s="5">
        <f t="shared" si="13"/>
        <v>4587.3734999999997</v>
      </c>
    </row>
    <row r="847" spans="1:14" x14ac:dyDescent="0.3">
      <c r="A847" t="s">
        <v>1703</v>
      </c>
      <c r="B847" s="2">
        <v>45515</v>
      </c>
      <c r="C847" t="s">
        <v>89</v>
      </c>
      <c r="D847" t="s">
        <v>798</v>
      </c>
      <c r="E847" t="s">
        <v>839</v>
      </c>
      <c r="F847">
        <v>5</v>
      </c>
      <c r="G847">
        <v>0.15</v>
      </c>
      <c r="H847" t="s">
        <v>855</v>
      </c>
      <c r="I847" t="str">
        <f>VLOOKUP(C847,Customers!A:C,2,FALSE)&amp;" "&amp;VLOOKUP(C847,Customers!A:C,3,FALSE)</f>
        <v>Megan Velasquez</v>
      </c>
      <c r="J847" t="str">
        <f>VLOOKUP(D847,Products!A:C,2,FALSE)</f>
        <v>New Watches</v>
      </c>
      <c r="K847" t="str">
        <f>VLOOKUP(D847,Products!A:C,3,FALSE)</f>
        <v>Fashion</v>
      </c>
      <c r="L847" t="str">
        <f>VLOOKUP(E847,Stores!A:B,2,FALSE)</f>
        <v>MegaMart New Michele</v>
      </c>
      <c r="M847">
        <f>VLOOKUP(D847,Products!A:E,5,FALSE)</f>
        <v>1501.46</v>
      </c>
      <c r="N847" s="5">
        <f t="shared" si="13"/>
        <v>6381.2049999999999</v>
      </c>
    </row>
    <row r="848" spans="1:14" x14ac:dyDescent="0.3">
      <c r="A848" t="s">
        <v>1704</v>
      </c>
      <c r="B848" s="2">
        <v>45551</v>
      </c>
      <c r="C848" t="s">
        <v>191</v>
      </c>
      <c r="D848" t="s">
        <v>769</v>
      </c>
      <c r="E848" t="s">
        <v>831</v>
      </c>
      <c r="F848">
        <v>1</v>
      </c>
      <c r="G848">
        <v>0</v>
      </c>
      <c r="H848" t="s">
        <v>865</v>
      </c>
      <c r="I848" t="str">
        <f>VLOOKUP(C848,Customers!A:C,2,FALSE)&amp;" "&amp;VLOOKUP(C848,Customers!A:C,3,FALSE)</f>
        <v>Antonio Hamilton</v>
      </c>
      <c r="J848" t="str">
        <f>VLOOKUP(D848,Products!A:C,2,FALSE)</f>
        <v>How Vegetables</v>
      </c>
      <c r="K848" t="str">
        <f>VLOOKUP(D848,Products!A:C,3,FALSE)</f>
        <v>Groceries</v>
      </c>
      <c r="L848" t="str">
        <f>VLOOKUP(E848,Stores!A:B,2,FALSE)</f>
        <v>MegaMart Jimenezborough</v>
      </c>
      <c r="M848">
        <f>VLOOKUP(D848,Products!A:E,5,FALSE)</f>
        <v>25.57</v>
      </c>
      <c r="N848" s="5">
        <f t="shared" si="13"/>
        <v>25.57</v>
      </c>
    </row>
    <row r="849" spans="1:14" x14ac:dyDescent="0.3">
      <c r="A849" t="s">
        <v>1705</v>
      </c>
      <c r="B849" s="2">
        <v>45413</v>
      </c>
      <c r="C849" t="s">
        <v>364</v>
      </c>
      <c r="D849" t="s">
        <v>715</v>
      </c>
      <c r="E849" t="s">
        <v>835</v>
      </c>
      <c r="F849">
        <v>3</v>
      </c>
      <c r="G849">
        <v>0.15</v>
      </c>
      <c r="H849" t="s">
        <v>855</v>
      </c>
      <c r="I849" t="str">
        <f>VLOOKUP(C849,Customers!A:C,2,FALSE)&amp;" "&amp;VLOOKUP(C849,Customers!A:C,3,FALSE)</f>
        <v>Evelyn Gray</v>
      </c>
      <c r="J849" t="str">
        <f>VLOOKUP(D849,Products!A:C,2,FALSE)</f>
        <v>Audience Television</v>
      </c>
      <c r="K849" t="str">
        <f>VLOOKUP(D849,Products!A:C,3,FALSE)</f>
        <v>Electronics</v>
      </c>
      <c r="L849" t="str">
        <f>VLOOKUP(E849,Stores!A:B,2,FALSE)</f>
        <v>MegaMart Peckmouth</v>
      </c>
      <c r="M849">
        <f>VLOOKUP(D849,Products!A:E,5,FALSE)</f>
        <v>818.76</v>
      </c>
      <c r="N849" s="5">
        <f t="shared" si="13"/>
        <v>2087.8379999999997</v>
      </c>
    </row>
    <row r="850" spans="1:14" x14ac:dyDescent="0.3">
      <c r="A850" t="s">
        <v>1706</v>
      </c>
      <c r="B850" s="2">
        <v>45807</v>
      </c>
      <c r="C850" t="s">
        <v>112</v>
      </c>
      <c r="D850" t="s">
        <v>725</v>
      </c>
      <c r="E850" t="s">
        <v>835</v>
      </c>
      <c r="F850">
        <v>4</v>
      </c>
      <c r="G850">
        <v>0.1</v>
      </c>
      <c r="H850" t="s">
        <v>855</v>
      </c>
      <c r="I850" t="str">
        <f>VLOOKUP(C850,Customers!A:C,2,FALSE)&amp;" "&amp;VLOOKUP(C850,Customers!A:C,3,FALSE)</f>
        <v>John Carr</v>
      </c>
      <c r="J850" t="str">
        <f>VLOOKUP(D850,Products!A:C,2,FALSE)</f>
        <v>Knowledge Bags</v>
      </c>
      <c r="K850" t="str">
        <f>VLOOKUP(D850,Products!A:C,3,FALSE)</f>
        <v>Fashion</v>
      </c>
      <c r="L850" t="str">
        <f>VLOOKUP(E850,Stores!A:B,2,FALSE)</f>
        <v>MegaMart Peckmouth</v>
      </c>
      <c r="M850">
        <f>VLOOKUP(D850,Products!A:E,5,FALSE)</f>
        <v>1396.22</v>
      </c>
      <c r="N850" s="5">
        <f t="shared" si="13"/>
        <v>5026.3919999999998</v>
      </c>
    </row>
    <row r="851" spans="1:14" x14ac:dyDescent="0.3">
      <c r="A851" t="s">
        <v>1707</v>
      </c>
      <c r="B851" s="2">
        <v>45872</v>
      </c>
      <c r="C851" t="s">
        <v>503</v>
      </c>
      <c r="D851" t="s">
        <v>816</v>
      </c>
      <c r="E851" t="s">
        <v>842</v>
      </c>
      <c r="F851">
        <v>5</v>
      </c>
      <c r="G851">
        <v>0.1</v>
      </c>
      <c r="H851" t="s">
        <v>855</v>
      </c>
      <c r="I851" t="str">
        <f>VLOOKUP(C851,Customers!A:C,2,FALSE)&amp;" "&amp;VLOOKUP(C851,Customers!A:C,3,FALSE)</f>
        <v>Breanna Moore</v>
      </c>
      <c r="J851" t="str">
        <f>VLOOKUP(D851,Products!A:C,2,FALSE)</f>
        <v>Set Dairy</v>
      </c>
      <c r="K851" t="str">
        <f>VLOOKUP(D851,Products!A:C,3,FALSE)</f>
        <v>Groceries</v>
      </c>
      <c r="L851" t="str">
        <f>VLOOKUP(E851,Stores!A:B,2,FALSE)</f>
        <v>MegaMart Brianahaven</v>
      </c>
      <c r="M851">
        <f>VLOOKUP(D851,Products!A:E,5,FALSE)</f>
        <v>1879.08</v>
      </c>
      <c r="N851" s="5">
        <f t="shared" si="13"/>
        <v>8455.86</v>
      </c>
    </row>
    <row r="852" spans="1:14" x14ac:dyDescent="0.3">
      <c r="A852" t="s">
        <v>1708</v>
      </c>
      <c r="B852" s="2">
        <v>45489</v>
      </c>
      <c r="C852" t="s">
        <v>621</v>
      </c>
      <c r="D852" t="s">
        <v>806</v>
      </c>
      <c r="E852" t="s">
        <v>842</v>
      </c>
      <c r="F852">
        <v>2</v>
      </c>
      <c r="G852">
        <v>0.15</v>
      </c>
      <c r="H852" t="s">
        <v>858</v>
      </c>
      <c r="I852" t="str">
        <f>VLOOKUP(C852,Customers!A:C,2,FALSE)&amp;" "&amp;VLOOKUP(C852,Customers!A:C,3,FALSE)</f>
        <v>Stacey Thompson</v>
      </c>
      <c r="J852" t="str">
        <f>VLOOKUP(D852,Products!A:C,2,FALSE)</f>
        <v>Piece Headphones</v>
      </c>
      <c r="K852" t="str">
        <f>VLOOKUP(D852,Products!A:C,3,FALSE)</f>
        <v>Electronics</v>
      </c>
      <c r="L852" t="str">
        <f>VLOOKUP(E852,Stores!A:B,2,FALSE)</f>
        <v>MegaMart Brianahaven</v>
      </c>
      <c r="M852">
        <f>VLOOKUP(D852,Products!A:E,5,FALSE)</f>
        <v>1745.61</v>
      </c>
      <c r="N852" s="5">
        <f t="shared" si="13"/>
        <v>2967.5369999999998</v>
      </c>
    </row>
    <row r="853" spans="1:14" x14ac:dyDescent="0.3">
      <c r="A853" t="s">
        <v>1709</v>
      </c>
      <c r="B853" s="2">
        <v>45383</v>
      </c>
      <c r="C853" t="s">
        <v>179</v>
      </c>
      <c r="D853" t="s">
        <v>822</v>
      </c>
      <c r="E853" t="s">
        <v>839</v>
      </c>
      <c r="F853">
        <v>5</v>
      </c>
      <c r="G853">
        <v>0.15</v>
      </c>
      <c r="H853" t="s">
        <v>855</v>
      </c>
      <c r="I853" t="str">
        <f>VLOOKUP(C853,Customers!A:C,2,FALSE)&amp;" "&amp;VLOOKUP(C853,Customers!A:C,3,FALSE)</f>
        <v>Dennis Poole</v>
      </c>
      <c r="J853" t="str">
        <f>VLOOKUP(D853,Products!A:C,2,FALSE)</f>
        <v>Nor Bags</v>
      </c>
      <c r="K853" t="str">
        <f>VLOOKUP(D853,Products!A:C,3,FALSE)</f>
        <v>Fashion</v>
      </c>
      <c r="L853" t="str">
        <f>VLOOKUP(E853,Stores!A:B,2,FALSE)</f>
        <v>MegaMart New Michele</v>
      </c>
      <c r="M853">
        <f>VLOOKUP(D853,Products!A:E,5,FALSE)</f>
        <v>1216.3599999999999</v>
      </c>
      <c r="N853" s="5">
        <f t="shared" si="13"/>
        <v>5169.5299999999988</v>
      </c>
    </row>
    <row r="854" spans="1:14" x14ac:dyDescent="0.3">
      <c r="A854" t="s">
        <v>1710</v>
      </c>
      <c r="B854" s="2">
        <v>45601</v>
      </c>
      <c r="C854" t="s">
        <v>298</v>
      </c>
      <c r="D854" t="s">
        <v>718</v>
      </c>
      <c r="E854" t="s">
        <v>846</v>
      </c>
      <c r="F854">
        <v>3</v>
      </c>
      <c r="G854">
        <v>0.15</v>
      </c>
      <c r="H854" t="s">
        <v>861</v>
      </c>
      <c r="I854" t="str">
        <f>VLOOKUP(C854,Customers!A:C,2,FALSE)&amp;" "&amp;VLOOKUP(C854,Customers!A:C,3,FALSE)</f>
        <v>Donald Marsh</v>
      </c>
      <c r="J854" t="str">
        <f>VLOOKUP(D854,Products!A:C,2,FALSE)</f>
        <v>Here Footwear</v>
      </c>
      <c r="K854" t="str">
        <f>VLOOKUP(D854,Products!A:C,3,FALSE)</f>
        <v>Fashion</v>
      </c>
      <c r="L854" t="str">
        <f>VLOOKUP(E854,Stores!A:B,2,FALSE)</f>
        <v>MegaMart Johnmouth</v>
      </c>
      <c r="M854">
        <f>VLOOKUP(D854,Products!A:E,5,FALSE)</f>
        <v>337.63</v>
      </c>
      <c r="N854" s="5">
        <f t="shared" si="13"/>
        <v>860.95650000000001</v>
      </c>
    </row>
    <row r="855" spans="1:14" x14ac:dyDescent="0.3">
      <c r="A855" t="s">
        <v>1711</v>
      </c>
      <c r="B855" s="2">
        <v>45534</v>
      </c>
      <c r="C855" t="s">
        <v>601</v>
      </c>
      <c r="D855" t="s">
        <v>736</v>
      </c>
      <c r="E855" t="s">
        <v>831</v>
      </c>
      <c r="F855">
        <v>2</v>
      </c>
      <c r="G855">
        <v>0.15</v>
      </c>
      <c r="H855" t="s">
        <v>861</v>
      </c>
      <c r="I855" t="str">
        <f>VLOOKUP(C855,Customers!A:C,2,FALSE)&amp;" "&amp;VLOOKUP(C855,Customers!A:C,3,FALSE)</f>
        <v>Travis Watson</v>
      </c>
      <c r="J855" t="str">
        <f>VLOOKUP(D855,Products!A:C,2,FALSE)</f>
        <v>Us Snacks</v>
      </c>
      <c r="K855" t="str">
        <f>VLOOKUP(D855,Products!A:C,3,FALSE)</f>
        <v>Groceries</v>
      </c>
      <c r="L855" t="str">
        <f>VLOOKUP(E855,Stores!A:B,2,FALSE)</f>
        <v>MegaMart Jimenezborough</v>
      </c>
      <c r="M855">
        <f>VLOOKUP(D855,Products!A:E,5,FALSE)</f>
        <v>123.19</v>
      </c>
      <c r="N855" s="5">
        <f t="shared" si="13"/>
        <v>209.423</v>
      </c>
    </row>
    <row r="856" spans="1:14" x14ac:dyDescent="0.3">
      <c r="A856" t="s">
        <v>1712</v>
      </c>
      <c r="B856" s="2">
        <v>45244</v>
      </c>
      <c r="C856" t="s">
        <v>105</v>
      </c>
      <c r="D856" t="s">
        <v>745</v>
      </c>
      <c r="E856" t="s">
        <v>835</v>
      </c>
      <c r="F856">
        <v>5</v>
      </c>
      <c r="G856">
        <v>0.15</v>
      </c>
      <c r="H856" t="s">
        <v>855</v>
      </c>
      <c r="I856" t="str">
        <f>VLOOKUP(C856,Customers!A:C,2,FALSE)&amp;" "&amp;VLOOKUP(C856,Customers!A:C,3,FALSE)</f>
        <v>Justin Macdonald</v>
      </c>
      <c r="J856" t="str">
        <f>VLOOKUP(D856,Products!A:C,2,FALSE)</f>
        <v>Above Camera</v>
      </c>
      <c r="K856" t="str">
        <f>VLOOKUP(D856,Products!A:C,3,FALSE)</f>
        <v>Electronics</v>
      </c>
      <c r="L856" t="str">
        <f>VLOOKUP(E856,Stores!A:B,2,FALSE)</f>
        <v>MegaMart Peckmouth</v>
      </c>
      <c r="M856">
        <f>VLOOKUP(D856,Products!A:E,5,FALSE)</f>
        <v>1193.0899999999999</v>
      </c>
      <c r="N856" s="5">
        <f t="shared" si="13"/>
        <v>5070.6324999999997</v>
      </c>
    </row>
    <row r="857" spans="1:14" x14ac:dyDescent="0.3">
      <c r="A857" t="s">
        <v>1713</v>
      </c>
      <c r="B857" s="2">
        <v>45476</v>
      </c>
      <c r="C857" t="s">
        <v>512</v>
      </c>
      <c r="D857" t="s">
        <v>804</v>
      </c>
      <c r="E857" t="s">
        <v>846</v>
      </c>
      <c r="F857">
        <v>1</v>
      </c>
      <c r="G857">
        <v>0.05</v>
      </c>
      <c r="H857" t="s">
        <v>858</v>
      </c>
      <c r="I857" t="str">
        <f>VLOOKUP(C857,Customers!A:C,2,FALSE)&amp;" "&amp;VLOOKUP(C857,Customers!A:C,3,FALSE)</f>
        <v>Adam Lucas</v>
      </c>
      <c r="J857" t="str">
        <f>VLOOKUP(D857,Products!A:C,2,FALSE)</f>
        <v>Church Clothing</v>
      </c>
      <c r="K857" t="str">
        <f>VLOOKUP(D857,Products!A:C,3,FALSE)</f>
        <v>Fashion</v>
      </c>
      <c r="L857" t="str">
        <f>VLOOKUP(E857,Stores!A:B,2,FALSE)</f>
        <v>MegaMart Johnmouth</v>
      </c>
      <c r="M857">
        <f>VLOOKUP(D857,Products!A:E,5,FALSE)</f>
        <v>540.94000000000005</v>
      </c>
      <c r="N857" s="5">
        <f t="shared" si="13"/>
        <v>513.89300000000003</v>
      </c>
    </row>
    <row r="858" spans="1:14" x14ac:dyDescent="0.3">
      <c r="A858" t="s">
        <v>1714</v>
      </c>
      <c r="B858" s="2">
        <v>45660</v>
      </c>
      <c r="C858" t="s">
        <v>582</v>
      </c>
      <c r="D858" t="s">
        <v>769</v>
      </c>
      <c r="E858" t="s">
        <v>831</v>
      </c>
      <c r="F858">
        <v>1</v>
      </c>
      <c r="G858">
        <v>0.05</v>
      </c>
      <c r="H858" t="s">
        <v>858</v>
      </c>
      <c r="I858" t="str">
        <f>VLOOKUP(C858,Customers!A:C,2,FALSE)&amp;" "&amp;VLOOKUP(C858,Customers!A:C,3,FALSE)</f>
        <v>Erin Rogers</v>
      </c>
      <c r="J858" t="str">
        <f>VLOOKUP(D858,Products!A:C,2,FALSE)</f>
        <v>How Vegetables</v>
      </c>
      <c r="K858" t="str">
        <f>VLOOKUP(D858,Products!A:C,3,FALSE)</f>
        <v>Groceries</v>
      </c>
      <c r="L858" t="str">
        <f>VLOOKUP(E858,Stores!A:B,2,FALSE)</f>
        <v>MegaMart Jimenezborough</v>
      </c>
      <c r="M858">
        <f>VLOOKUP(D858,Products!A:E,5,FALSE)</f>
        <v>25.57</v>
      </c>
      <c r="N858" s="5">
        <f t="shared" si="13"/>
        <v>24.291499999999999</v>
      </c>
    </row>
    <row r="859" spans="1:14" x14ac:dyDescent="0.3">
      <c r="A859" t="s">
        <v>1715</v>
      </c>
      <c r="B859" s="2">
        <v>45763</v>
      </c>
      <c r="C859" t="s">
        <v>554</v>
      </c>
      <c r="D859" t="s">
        <v>788</v>
      </c>
      <c r="E859" t="s">
        <v>842</v>
      </c>
      <c r="F859">
        <v>1</v>
      </c>
      <c r="G859">
        <v>0</v>
      </c>
      <c r="H859" t="s">
        <v>855</v>
      </c>
      <c r="I859" t="str">
        <f>VLOOKUP(C859,Customers!A:C,2,FALSE)&amp;" "&amp;VLOOKUP(C859,Customers!A:C,3,FALSE)</f>
        <v>Lisa Martinez</v>
      </c>
      <c r="J859" t="str">
        <f>VLOOKUP(D859,Products!A:C,2,FALSE)</f>
        <v>Foot Snacks</v>
      </c>
      <c r="K859" t="str">
        <f>VLOOKUP(D859,Products!A:C,3,FALSE)</f>
        <v>Groceries</v>
      </c>
      <c r="L859" t="str">
        <f>VLOOKUP(E859,Stores!A:B,2,FALSE)</f>
        <v>MegaMart Brianahaven</v>
      </c>
      <c r="M859">
        <f>VLOOKUP(D859,Products!A:E,5,FALSE)</f>
        <v>1095.72</v>
      </c>
      <c r="N859" s="5">
        <f t="shared" si="13"/>
        <v>1095.72</v>
      </c>
    </row>
    <row r="860" spans="1:14" x14ac:dyDescent="0.3">
      <c r="A860" t="s">
        <v>1716</v>
      </c>
      <c r="B860" s="2">
        <v>45357</v>
      </c>
      <c r="C860" t="s">
        <v>221</v>
      </c>
      <c r="D860" t="s">
        <v>722</v>
      </c>
      <c r="E860" t="s">
        <v>839</v>
      </c>
      <c r="F860">
        <v>1</v>
      </c>
      <c r="G860">
        <v>0</v>
      </c>
      <c r="H860" t="s">
        <v>858</v>
      </c>
      <c r="I860" t="str">
        <f>VLOOKUP(C860,Customers!A:C,2,FALSE)&amp;" "&amp;VLOOKUP(C860,Customers!A:C,3,FALSE)</f>
        <v>Julie Gibson</v>
      </c>
      <c r="J860" t="str">
        <f>VLOOKUP(D860,Products!A:C,2,FALSE)</f>
        <v>Four Accessories</v>
      </c>
      <c r="K860" t="str">
        <f>VLOOKUP(D860,Products!A:C,3,FALSE)</f>
        <v>Fashion</v>
      </c>
      <c r="L860" t="str">
        <f>VLOOKUP(E860,Stores!A:B,2,FALSE)</f>
        <v>MegaMart New Michele</v>
      </c>
      <c r="M860">
        <f>VLOOKUP(D860,Products!A:E,5,FALSE)</f>
        <v>1853.77</v>
      </c>
      <c r="N860" s="5">
        <f t="shared" si="13"/>
        <v>1853.77</v>
      </c>
    </row>
    <row r="861" spans="1:14" x14ac:dyDescent="0.3">
      <c r="A861" t="s">
        <v>1717</v>
      </c>
      <c r="B861" s="2">
        <v>45527</v>
      </c>
      <c r="C861" t="s">
        <v>386</v>
      </c>
      <c r="D861" t="s">
        <v>747</v>
      </c>
      <c r="E861" t="s">
        <v>846</v>
      </c>
      <c r="F861">
        <v>5</v>
      </c>
      <c r="G861">
        <v>0.1</v>
      </c>
      <c r="H861" t="s">
        <v>865</v>
      </c>
      <c r="I861" t="str">
        <f>VLOOKUP(C861,Customers!A:C,2,FALSE)&amp;" "&amp;VLOOKUP(C861,Customers!A:C,3,FALSE)</f>
        <v>David Burns</v>
      </c>
      <c r="J861" t="str">
        <f>VLOOKUP(D861,Products!A:C,2,FALSE)</f>
        <v>World Watches</v>
      </c>
      <c r="K861" t="str">
        <f>VLOOKUP(D861,Products!A:C,3,FALSE)</f>
        <v>Fashion</v>
      </c>
      <c r="L861" t="str">
        <f>VLOOKUP(E861,Stores!A:B,2,FALSE)</f>
        <v>MegaMart Johnmouth</v>
      </c>
      <c r="M861">
        <f>VLOOKUP(D861,Products!A:E,5,FALSE)</f>
        <v>1134.8</v>
      </c>
      <c r="N861" s="5">
        <f t="shared" si="13"/>
        <v>5106.6000000000004</v>
      </c>
    </row>
    <row r="862" spans="1:14" x14ac:dyDescent="0.3">
      <c r="A862" t="s">
        <v>1718</v>
      </c>
      <c r="B862" s="2">
        <v>45862</v>
      </c>
      <c r="C862" t="s">
        <v>700</v>
      </c>
      <c r="D862" t="s">
        <v>812</v>
      </c>
      <c r="E862" t="s">
        <v>835</v>
      </c>
      <c r="F862">
        <v>4</v>
      </c>
      <c r="G862">
        <v>0.15</v>
      </c>
      <c r="H862" t="s">
        <v>865</v>
      </c>
      <c r="I862" t="str">
        <f>VLOOKUP(C862,Customers!A:C,2,FALSE)&amp;" "&amp;VLOOKUP(C862,Customers!A:C,3,FALSE)</f>
        <v>Juan Johnson</v>
      </c>
      <c r="J862" t="str">
        <f>VLOOKUP(D862,Products!A:C,2,FALSE)</f>
        <v>Soon Accessories</v>
      </c>
      <c r="K862" t="str">
        <f>VLOOKUP(D862,Products!A:C,3,FALSE)</f>
        <v>Fashion</v>
      </c>
      <c r="L862" t="str">
        <f>VLOOKUP(E862,Stores!A:B,2,FALSE)</f>
        <v>MegaMart Peckmouth</v>
      </c>
      <c r="M862">
        <f>VLOOKUP(D862,Products!A:E,5,FALSE)</f>
        <v>564.41999999999996</v>
      </c>
      <c r="N862" s="5">
        <f t="shared" si="13"/>
        <v>1919.0279999999998</v>
      </c>
    </row>
    <row r="863" spans="1:14" x14ac:dyDescent="0.3">
      <c r="A863" t="s">
        <v>1719</v>
      </c>
      <c r="B863" s="2">
        <v>45593</v>
      </c>
      <c r="C863" t="s">
        <v>202</v>
      </c>
      <c r="D863" t="s">
        <v>718</v>
      </c>
      <c r="E863" t="s">
        <v>846</v>
      </c>
      <c r="F863">
        <v>3</v>
      </c>
      <c r="G863">
        <v>0.05</v>
      </c>
      <c r="H863" t="s">
        <v>865</v>
      </c>
      <c r="I863" t="str">
        <f>VLOOKUP(C863,Customers!A:C,2,FALSE)&amp;" "&amp;VLOOKUP(C863,Customers!A:C,3,FALSE)</f>
        <v>Billy Hernandez</v>
      </c>
      <c r="J863" t="str">
        <f>VLOOKUP(D863,Products!A:C,2,FALSE)</f>
        <v>Here Footwear</v>
      </c>
      <c r="K863" t="str">
        <f>VLOOKUP(D863,Products!A:C,3,FALSE)</f>
        <v>Fashion</v>
      </c>
      <c r="L863" t="str">
        <f>VLOOKUP(E863,Stores!A:B,2,FALSE)</f>
        <v>MegaMart Johnmouth</v>
      </c>
      <c r="M863">
        <f>VLOOKUP(D863,Products!A:E,5,FALSE)</f>
        <v>337.63</v>
      </c>
      <c r="N863" s="5">
        <f t="shared" si="13"/>
        <v>962.24549999999999</v>
      </c>
    </row>
    <row r="864" spans="1:14" x14ac:dyDescent="0.3">
      <c r="A864" t="s">
        <v>1720</v>
      </c>
      <c r="B864" s="2">
        <v>45745</v>
      </c>
      <c r="C864" t="s">
        <v>554</v>
      </c>
      <c r="D864" t="s">
        <v>816</v>
      </c>
      <c r="E864" t="s">
        <v>846</v>
      </c>
      <c r="F864">
        <v>5</v>
      </c>
      <c r="G864">
        <v>0.05</v>
      </c>
      <c r="H864" t="s">
        <v>861</v>
      </c>
      <c r="I864" t="str">
        <f>VLOOKUP(C864,Customers!A:C,2,FALSE)&amp;" "&amp;VLOOKUP(C864,Customers!A:C,3,FALSE)</f>
        <v>Lisa Martinez</v>
      </c>
      <c r="J864" t="str">
        <f>VLOOKUP(D864,Products!A:C,2,FALSE)</f>
        <v>Set Dairy</v>
      </c>
      <c r="K864" t="str">
        <f>VLOOKUP(D864,Products!A:C,3,FALSE)</f>
        <v>Groceries</v>
      </c>
      <c r="L864" t="str">
        <f>VLOOKUP(E864,Stores!A:B,2,FALSE)</f>
        <v>MegaMart Johnmouth</v>
      </c>
      <c r="M864">
        <f>VLOOKUP(D864,Products!A:E,5,FALSE)</f>
        <v>1879.08</v>
      </c>
      <c r="N864" s="5">
        <f t="shared" si="13"/>
        <v>8925.6299999999992</v>
      </c>
    </row>
    <row r="865" spans="1:14" x14ac:dyDescent="0.3">
      <c r="A865" t="s">
        <v>1721</v>
      </c>
      <c r="B865" s="2">
        <v>45334</v>
      </c>
      <c r="C865" t="s">
        <v>615</v>
      </c>
      <c r="D865" t="s">
        <v>725</v>
      </c>
      <c r="E865" t="s">
        <v>831</v>
      </c>
      <c r="F865">
        <v>3</v>
      </c>
      <c r="G865">
        <v>0.05</v>
      </c>
      <c r="H865" t="s">
        <v>865</v>
      </c>
      <c r="I865" t="str">
        <f>VLOOKUP(C865,Customers!A:C,2,FALSE)&amp;" "&amp;VLOOKUP(C865,Customers!A:C,3,FALSE)</f>
        <v>Lisa Ruiz</v>
      </c>
      <c r="J865" t="str">
        <f>VLOOKUP(D865,Products!A:C,2,FALSE)</f>
        <v>Knowledge Bags</v>
      </c>
      <c r="K865" t="str">
        <f>VLOOKUP(D865,Products!A:C,3,FALSE)</f>
        <v>Fashion</v>
      </c>
      <c r="L865" t="str">
        <f>VLOOKUP(E865,Stores!A:B,2,FALSE)</f>
        <v>MegaMart Jimenezborough</v>
      </c>
      <c r="M865">
        <f>VLOOKUP(D865,Products!A:E,5,FALSE)</f>
        <v>1396.22</v>
      </c>
      <c r="N865" s="5">
        <f t="shared" si="13"/>
        <v>3979.2269999999999</v>
      </c>
    </row>
    <row r="866" spans="1:14" x14ac:dyDescent="0.3">
      <c r="A866" t="s">
        <v>1722</v>
      </c>
      <c r="B866" s="2">
        <v>45249</v>
      </c>
      <c r="C866" t="s">
        <v>159</v>
      </c>
      <c r="D866" t="s">
        <v>800</v>
      </c>
      <c r="E866" t="s">
        <v>831</v>
      </c>
      <c r="F866">
        <v>3</v>
      </c>
      <c r="G866">
        <v>0.15</v>
      </c>
      <c r="H866" t="s">
        <v>855</v>
      </c>
      <c r="I866" t="str">
        <f>VLOOKUP(C866,Customers!A:C,2,FALSE)&amp;" "&amp;VLOOKUP(C866,Customers!A:C,3,FALSE)</f>
        <v>Melissa Rodgers</v>
      </c>
      <c r="J866" t="str">
        <f>VLOOKUP(D866,Products!A:C,2,FALSE)</f>
        <v>Book Television</v>
      </c>
      <c r="K866" t="str">
        <f>VLOOKUP(D866,Products!A:C,3,FALSE)</f>
        <v>Electronics</v>
      </c>
      <c r="L866" t="str">
        <f>VLOOKUP(E866,Stores!A:B,2,FALSE)</f>
        <v>MegaMart Jimenezborough</v>
      </c>
      <c r="M866">
        <f>VLOOKUP(D866,Products!A:E,5,FALSE)</f>
        <v>1952.65</v>
      </c>
      <c r="N866" s="5">
        <f t="shared" si="13"/>
        <v>4979.2575000000006</v>
      </c>
    </row>
    <row r="867" spans="1:14" x14ac:dyDescent="0.3">
      <c r="A867" t="s">
        <v>1723</v>
      </c>
      <c r="B867" s="2">
        <v>45758</v>
      </c>
      <c r="C867" t="s">
        <v>612</v>
      </c>
      <c r="D867" t="s">
        <v>715</v>
      </c>
      <c r="E867" t="s">
        <v>842</v>
      </c>
      <c r="F867">
        <v>4</v>
      </c>
      <c r="G867">
        <v>0.05</v>
      </c>
      <c r="H867" t="s">
        <v>865</v>
      </c>
      <c r="I867" t="str">
        <f>VLOOKUP(C867,Customers!A:C,2,FALSE)&amp;" "&amp;VLOOKUP(C867,Customers!A:C,3,FALSE)</f>
        <v>Michelle Smith</v>
      </c>
      <c r="J867" t="str">
        <f>VLOOKUP(D867,Products!A:C,2,FALSE)</f>
        <v>Audience Television</v>
      </c>
      <c r="K867" t="str">
        <f>VLOOKUP(D867,Products!A:C,3,FALSE)</f>
        <v>Electronics</v>
      </c>
      <c r="L867" t="str">
        <f>VLOOKUP(E867,Stores!A:B,2,FALSE)</f>
        <v>MegaMart Brianahaven</v>
      </c>
      <c r="M867">
        <f>VLOOKUP(D867,Products!A:E,5,FALSE)</f>
        <v>818.76</v>
      </c>
      <c r="N867" s="5">
        <f t="shared" si="13"/>
        <v>3111.288</v>
      </c>
    </row>
    <row r="868" spans="1:14" x14ac:dyDescent="0.3">
      <c r="A868" t="s">
        <v>1724</v>
      </c>
      <c r="B868" s="2">
        <v>45444</v>
      </c>
      <c r="C868" t="s">
        <v>666</v>
      </c>
      <c r="D868" t="s">
        <v>812</v>
      </c>
      <c r="E868" t="s">
        <v>831</v>
      </c>
      <c r="F868">
        <v>1</v>
      </c>
      <c r="G868">
        <v>0.1</v>
      </c>
      <c r="H868" t="s">
        <v>855</v>
      </c>
      <c r="I868" t="str">
        <f>VLOOKUP(C868,Customers!A:C,2,FALSE)&amp;" "&amp;VLOOKUP(C868,Customers!A:C,3,FALSE)</f>
        <v>Steve Flynn</v>
      </c>
      <c r="J868" t="str">
        <f>VLOOKUP(D868,Products!A:C,2,FALSE)</f>
        <v>Soon Accessories</v>
      </c>
      <c r="K868" t="str">
        <f>VLOOKUP(D868,Products!A:C,3,FALSE)</f>
        <v>Fashion</v>
      </c>
      <c r="L868" t="str">
        <f>VLOOKUP(E868,Stores!A:B,2,FALSE)</f>
        <v>MegaMart Jimenezborough</v>
      </c>
      <c r="M868">
        <f>VLOOKUP(D868,Products!A:E,5,FALSE)</f>
        <v>564.41999999999996</v>
      </c>
      <c r="N868" s="5">
        <f t="shared" si="13"/>
        <v>507.97799999999995</v>
      </c>
    </row>
    <row r="869" spans="1:14" x14ac:dyDescent="0.3">
      <c r="A869" t="s">
        <v>1725</v>
      </c>
      <c r="B869" s="2">
        <v>45544</v>
      </c>
      <c r="C869" t="s">
        <v>335</v>
      </c>
      <c r="D869" t="s">
        <v>776</v>
      </c>
      <c r="E869" t="s">
        <v>839</v>
      </c>
      <c r="F869">
        <v>2</v>
      </c>
      <c r="G869">
        <v>0.05</v>
      </c>
      <c r="H869" t="s">
        <v>858</v>
      </c>
      <c r="I869" t="str">
        <f>VLOOKUP(C869,Customers!A:C,2,FALSE)&amp;" "&amp;VLOOKUP(C869,Customers!A:C,3,FALSE)</f>
        <v>William Warner</v>
      </c>
      <c r="J869" t="str">
        <f>VLOOKUP(D869,Products!A:C,2,FALSE)</f>
        <v>Little Watches</v>
      </c>
      <c r="K869" t="str">
        <f>VLOOKUP(D869,Products!A:C,3,FALSE)</f>
        <v>Fashion</v>
      </c>
      <c r="L869" t="str">
        <f>VLOOKUP(E869,Stores!A:B,2,FALSE)</f>
        <v>MegaMart New Michele</v>
      </c>
      <c r="M869">
        <f>VLOOKUP(D869,Products!A:E,5,FALSE)</f>
        <v>429.15</v>
      </c>
      <c r="N869" s="5">
        <f t="shared" si="13"/>
        <v>815.38499999999988</v>
      </c>
    </row>
    <row r="870" spans="1:14" x14ac:dyDescent="0.3">
      <c r="A870" t="s">
        <v>1726</v>
      </c>
      <c r="B870" s="2">
        <v>45634</v>
      </c>
      <c r="C870" t="s">
        <v>390</v>
      </c>
      <c r="D870" t="s">
        <v>742</v>
      </c>
      <c r="E870" t="s">
        <v>846</v>
      </c>
      <c r="F870">
        <v>1</v>
      </c>
      <c r="G870">
        <v>0.1</v>
      </c>
      <c r="H870" t="s">
        <v>861</v>
      </c>
      <c r="I870" t="str">
        <f>VLOOKUP(C870,Customers!A:C,2,FALSE)&amp;" "&amp;VLOOKUP(C870,Customers!A:C,3,FALSE)</f>
        <v>Brenda Dean</v>
      </c>
      <c r="J870" t="str">
        <f>VLOOKUP(D870,Products!A:C,2,FALSE)</f>
        <v>Either Headphones</v>
      </c>
      <c r="K870" t="str">
        <f>VLOOKUP(D870,Products!A:C,3,FALSE)</f>
        <v>Electronics</v>
      </c>
      <c r="L870" t="str">
        <f>VLOOKUP(E870,Stores!A:B,2,FALSE)</f>
        <v>MegaMart Johnmouth</v>
      </c>
      <c r="M870">
        <f>VLOOKUP(D870,Products!A:E,5,FALSE)</f>
        <v>248.57</v>
      </c>
      <c r="N870" s="5">
        <f t="shared" si="13"/>
        <v>223.71299999999999</v>
      </c>
    </row>
    <row r="871" spans="1:14" x14ac:dyDescent="0.3">
      <c r="A871" t="s">
        <v>1727</v>
      </c>
      <c r="B871" s="2">
        <v>45206</v>
      </c>
      <c r="C871" t="s">
        <v>393</v>
      </c>
      <c r="D871" t="s">
        <v>745</v>
      </c>
      <c r="E871" t="s">
        <v>846</v>
      </c>
      <c r="F871">
        <v>1</v>
      </c>
      <c r="G871">
        <v>0</v>
      </c>
      <c r="H871" t="s">
        <v>855</v>
      </c>
      <c r="I871" t="str">
        <f>VLOOKUP(C871,Customers!A:C,2,FALSE)&amp;" "&amp;VLOOKUP(C871,Customers!A:C,3,FALSE)</f>
        <v>Kenneth Berg</v>
      </c>
      <c r="J871" t="str">
        <f>VLOOKUP(D871,Products!A:C,2,FALSE)</f>
        <v>Above Camera</v>
      </c>
      <c r="K871" t="str">
        <f>VLOOKUP(D871,Products!A:C,3,FALSE)</f>
        <v>Electronics</v>
      </c>
      <c r="L871" t="str">
        <f>VLOOKUP(E871,Stores!A:B,2,FALSE)</f>
        <v>MegaMart Johnmouth</v>
      </c>
      <c r="M871">
        <f>VLOOKUP(D871,Products!A:E,5,FALSE)</f>
        <v>1193.0899999999999</v>
      </c>
      <c r="N871" s="5">
        <f t="shared" si="13"/>
        <v>1193.0899999999999</v>
      </c>
    </row>
    <row r="872" spans="1:14" x14ac:dyDescent="0.3">
      <c r="A872" t="s">
        <v>1728</v>
      </c>
      <c r="B872" s="2">
        <v>45617</v>
      </c>
      <c r="C872" t="s">
        <v>331</v>
      </c>
      <c r="D872" t="s">
        <v>802</v>
      </c>
      <c r="E872" t="s">
        <v>831</v>
      </c>
      <c r="F872">
        <v>5</v>
      </c>
      <c r="G872">
        <v>0.1</v>
      </c>
      <c r="H872" t="s">
        <v>855</v>
      </c>
      <c r="I872" t="str">
        <f>VLOOKUP(C872,Customers!A:C,2,FALSE)&amp;" "&amp;VLOOKUP(C872,Customers!A:C,3,FALSE)</f>
        <v>Brenda Costa</v>
      </c>
      <c r="J872" t="str">
        <f>VLOOKUP(D872,Products!A:C,2,FALSE)</f>
        <v>Stage Footwear</v>
      </c>
      <c r="K872" t="str">
        <f>VLOOKUP(D872,Products!A:C,3,FALSE)</f>
        <v>Fashion</v>
      </c>
      <c r="L872" t="str">
        <f>VLOOKUP(E872,Stores!A:B,2,FALSE)</f>
        <v>MegaMart Jimenezborough</v>
      </c>
      <c r="M872">
        <f>VLOOKUP(D872,Products!A:E,5,FALSE)</f>
        <v>366.93</v>
      </c>
      <c r="N872" s="5">
        <f t="shared" si="13"/>
        <v>1651.1850000000002</v>
      </c>
    </row>
    <row r="873" spans="1:14" x14ac:dyDescent="0.3">
      <c r="A873" t="s">
        <v>1729</v>
      </c>
      <c r="B873" s="2">
        <v>45858</v>
      </c>
      <c r="C873" t="s">
        <v>630</v>
      </c>
      <c r="D873" t="s">
        <v>808</v>
      </c>
      <c r="E873" t="s">
        <v>842</v>
      </c>
      <c r="F873">
        <v>4</v>
      </c>
      <c r="G873">
        <v>0.15</v>
      </c>
      <c r="H873" t="s">
        <v>861</v>
      </c>
      <c r="I873" t="str">
        <f>VLOOKUP(C873,Customers!A:C,2,FALSE)&amp;" "&amp;VLOOKUP(C873,Customers!A:C,3,FALSE)</f>
        <v>Mark Mcdonald</v>
      </c>
      <c r="J873" t="str">
        <f>VLOOKUP(D873,Products!A:C,2,FALSE)</f>
        <v>Present Television</v>
      </c>
      <c r="K873" t="str">
        <f>VLOOKUP(D873,Products!A:C,3,FALSE)</f>
        <v>Electronics</v>
      </c>
      <c r="L873" t="str">
        <f>VLOOKUP(E873,Stores!A:B,2,FALSE)</f>
        <v>MegaMart Brianahaven</v>
      </c>
      <c r="M873">
        <f>VLOOKUP(D873,Products!A:E,5,FALSE)</f>
        <v>1635.01</v>
      </c>
      <c r="N873" s="5">
        <f t="shared" si="13"/>
        <v>5559.0339999999997</v>
      </c>
    </row>
    <row r="874" spans="1:14" x14ac:dyDescent="0.3">
      <c r="A874" t="s">
        <v>1730</v>
      </c>
      <c r="B874" s="2">
        <v>45563</v>
      </c>
      <c r="C874" t="s">
        <v>683</v>
      </c>
      <c r="D874" t="s">
        <v>820</v>
      </c>
      <c r="E874" t="s">
        <v>839</v>
      </c>
      <c r="F874">
        <v>4</v>
      </c>
      <c r="G874">
        <v>0.15</v>
      </c>
      <c r="H874" t="s">
        <v>865</v>
      </c>
      <c r="I874" t="str">
        <f>VLOOKUP(C874,Customers!A:C,2,FALSE)&amp;" "&amp;VLOOKUP(C874,Customers!A:C,3,FALSE)</f>
        <v>Ann West</v>
      </c>
      <c r="J874" t="str">
        <f>VLOOKUP(D874,Products!A:C,2,FALSE)</f>
        <v>Or Smartphone</v>
      </c>
      <c r="K874" t="str">
        <f>VLOOKUP(D874,Products!A:C,3,FALSE)</f>
        <v>Electronics</v>
      </c>
      <c r="L874" t="str">
        <f>VLOOKUP(E874,Stores!A:B,2,FALSE)</f>
        <v>MegaMart New Michele</v>
      </c>
      <c r="M874">
        <f>VLOOKUP(D874,Products!A:E,5,FALSE)</f>
        <v>1197.18</v>
      </c>
      <c r="N874" s="5">
        <f t="shared" si="13"/>
        <v>4070.4120000000003</v>
      </c>
    </row>
    <row r="875" spans="1:14" x14ac:dyDescent="0.3">
      <c r="A875" t="s">
        <v>1731</v>
      </c>
      <c r="B875" s="2">
        <v>45570</v>
      </c>
      <c r="C875" t="s">
        <v>458</v>
      </c>
      <c r="D875" t="s">
        <v>806</v>
      </c>
      <c r="E875" t="s">
        <v>831</v>
      </c>
      <c r="F875">
        <v>3</v>
      </c>
      <c r="G875">
        <v>0</v>
      </c>
      <c r="H875" t="s">
        <v>858</v>
      </c>
      <c r="I875" t="str">
        <f>VLOOKUP(C875,Customers!A:C,2,FALSE)&amp;" "&amp;VLOOKUP(C875,Customers!A:C,3,FALSE)</f>
        <v>Chad Roberts</v>
      </c>
      <c r="J875" t="str">
        <f>VLOOKUP(D875,Products!A:C,2,FALSE)</f>
        <v>Piece Headphones</v>
      </c>
      <c r="K875" t="str">
        <f>VLOOKUP(D875,Products!A:C,3,FALSE)</f>
        <v>Electronics</v>
      </c>
      <c r="L875" t="str">
        <f>VLOOKUP(E875,Stores!A:B,2,FALSE)</f>
        <v>MegaMart Jimenezborough</v>
      </c>
      <c r="M875">
        <f>VLOOKUP(D875,Products!A:E,5,FALSE)</f>
        <v>1745.61</v>
      </c>
      <c r="N875" s="5">
        <f t="shared" si="13"/>
        <v>5236.83</v>
      </c>
    </row>
    <row r="876" spans="1:14" x14ac:dyDescent="0.3">
      <c r="A876" t="s">
        <v>1732</v>
      </c>
      <c r="B876" s="2">
        <v>45626</v>
      </c>
      <c r="C876" t="s">
        <v>582</v>
      </c>
      <c r="D876" t="s">
        <v>769</v>
      </c>
      <c r="E876" t="s">
        <v>835</v>
      </c>
      <c r="F876">
        <v>2</v>
      </c>
      <c r="G876">
        <v>0.1</v>
      </c>
      <c r="H876" t="s">
        <v>858</v>
      </c>
      <c r="I876" t="str">
        <f>VLOOKUP(C876,Customers!A:C,2,FALSE)&amp;" "&amp;VLOOKUP(C876,Customers!A:C,3,FALSE)</f>
        <v>Erin Rogers</v>
      </c>
      <c r="J876" t="str">
        <f>VLOOKUP(D876,Products!A:C,2,FALSE)</f>
        <v>How Vegetables</v>
      </c>
      <c r="K876" t="str">
        <f>VLOOKUP(D876,Products!A:C,3,FALSE)</f>
        <v>Groceries</v>
      </c>
      <c r="L876" t="str">
        <f>VLOOKUP(E876,Stores!A:B,2,FALSE)</f>
        <v>MegaMart Peckmouth</v>
      </c>
      <c r="M876">
        <f>VLOOKUP(D876,Products!A:E,5,FALSE)</f>
        <v>25.57</v>
      </c>
      <c r="N876" s="5">
        <f t="shared" si="13"/>
        <v>46.026000000000003</v>
      </c>
    </row>
    <row r="877" spans="1:14" x14ac:dyDescent="0.3">
      <c r="A877" t="s">
        <v>1733</v>
      </c>
      <c r="B877" s="2">
        <v>45435</v>
      </c>
      <c r="C877" t="s">
        <v>343</v>
      </c>
      <c r="D877" t="s">
        <v>822</v>
      </c>
      <c r="E877" t="s">
        <v>846</v>
      </c>
      <c r="F877">
        <v>5</v>
      </c>
      <c r="G877">
        <v>0</v>
      </c>
      <c r="H877" t="s">
        <v>855</v>
      </c>
      <c r="I877" t="str">
        <f>VLOOKUP(C877,Customers!A:C,2,FALSE)&amp;" "&amp;VLOOKUP(C877,Customers!A:C,3,FALSE)</f>
        <v>Brian Fowler</v>
      </c>
      <c r="J877" t="str">
        <f>VLOOKUP(D877,Products!A:C,2,FALSE)</f>
        <v>Nor Bags</v>
      </c>
      <c r="K877" t="str">
        <f>VLOOKUP(D877,Products!A:C,3,FALSE)</f>
        <v>Fashion</v>
      </c>
      <c r="L877" t="str">
        <f>VLOOKUP(E877,Stores!A:B,2,FALSE)</f>
        <v>MegaMart Johnmouth</v>
      </c>
      <c r="M877">
        <f>VLOOKUP(D877,Products!A:E,5,FALSE)</f>
        <v>1216.3599999999999</v>
      </c>
      <c r="N877" s="5">
        <f t="shared" si="13"/>
        <v>6081.7999999999993</v>
      </c>
    </row>
    <row r="878" spans="1:14" x14ac:dyDescent="0.3">
      <c r="A878" t="s">
        <v>1734</v>
      </c>
      <c r="B878" s="2">
        <v>45246</v>
      </c>
      <c r="C878" t="s">
        <v>243</v>
      </c>
      <c r="D878" t="s">
        <v>750</v>
      </c>
      <c r="E878" t="s">
        <v>839</v>
      </c>
      <c r="F878">
        <v>1</v>
      </c>
      <c r="G878">
        <v>0.15</v>
      </c>
      <c r="H878" t="s">
        <v>855</v>
      </c>
      <c r="I878" t="str">
        <f>VLOOKUP(C878,Customers!A:C,2,FALSE)&amp;" "&amp;VLOOKUP(C878,Customers!A:C,3,FALSE)</f>
        <v>Amanda Hoover</v>
      </c>
      <c r="J878" t="str">
        <f>VLOOKUP(D878,Products!A:C,2,FALSE)</f>
        <v>Add Clothing</v>
      </c>
      <c r="K878" t="str">
        <f>VLOOKUP(D878,Products!A:C,3,FALSE)</f>
        <v>Fashion</v>
      </c>
      <c r="L878" t="str">
        <f>VLOOKUP(E878,Stores!A:B,2,FALSE)</f>
        <v>MegaMart New Michele</v>
      </c>
      <c r="M878">
        <f>VLOOKUP(D878,Products!A:E,5,FALSE)</f>
        <v>1342.75</v>
      </c>
      <c r="N878" s="5">
        <f t="shared" si="13"/>
        <v>1141.3374999999999</v>
      </c>
    </row>
    <row r="879" spans="1:14" x14ac:dyDescent="0.3">
      <c r="A879" t="s">
        <v>1735</v>
      </c>
      <c r="B879" s="2">
        <v>45287</v>
      </c>
      <c r="C879" t="s">
        <v>81</v>
      </c>
      <c r="D879" t="s">
        <v>759</v>
      </c>
      <c r="E879" t="s">
        <v>846</v>
      </c>
      <c r="F879">
        <v>2</v>
      </c>
      <c r="G879">
        <v>0.15</v>
      </c>
      <c r="H879" t="s">
        <v>855</v>
      </c>
      <c r="I879" t="str">
        <f>VLOOKUP(C879,Customers!A:C,2,FALSE)&amp;" "&amp;VLOOKUP(C879,Customers!A:C,3,FALSE)</f>
        <v>Ryan Cole</v>
      </c>
      <c r="J879" t="str">
        <f>VLOOKUP(D879,Products!A:C,2,FALSE)</f>
        <v>Democratic Smartphone</v>
      </c>
      <c r="K879" t="str">
        <f>VLOOKUP(D879,Products!A:C,3,FALSE)</f>
        <v>Electronics</v>
      </c>
      <c r="L879" t="str">
        <f>VLOOKUP(E879,Stores!A:B,2,FALSE)</f>
        <v>MegaMart Johnmouth</v>
      </c>
      <c r="M879">
        <f>VLOOKUP(D879,Products!A:E,5,FALSE)</f>
        <v>1079.8900000000001</v>
      </c>
      <c r="N879" s="5">
        <f t="shared" si="13"/>
        <v>1835.8130000000001</v>
      </c>
    </row>
    <row r="880" spans="1:14" x14ac:dyDescent="0.3">
      <c r="A880" t="s">
        <v>1736</v>
      </c>
      <c r="B880" s="2">
        <v>45540</v>
      </c>
      <c r="C880" t="s">
        <v>343</v>
      </c>
      <c r="D880" t="s">
        <v>824</v>
      </c>
      <c r="E880" t="s">
        <v>835</v>
      </c>
      <c r="F880">
        <v>5</v>
      </c>
      <c r="G880">
        <v>0.1</v>
      </c>
      <c r="H880" t="s">
        <v>861</v>
      </c>
      <c r="I880" t="str">
        <f>VLOOKUP(C880,Customers!A:C,2,FALSE)&amp;" "&amp;VLOOKUP(C880,Customers!A:C,3,FALSE)</f>
        <v>Brian Fowler</v>
      </c>
      <c r="J880" t="str">
        <f>VLOOKUP(D880,Products!A:C,2,FALSE)</f>
        <v>Possible Watches</v>
      </c>
      <c r="K880" t="str">
        <f>VLOOKUP(D880,Products!A:C,3,FALSE)</f>
        <v>Fashion</v>
      </c>
      <c r="L880" t="str">
        <f>VLOOKUP(E880,Stores!A:B,2,FALSE)</f>
        <v>MegaMart Peckmouth</v>
      </c>
      <c r="M880">
        <f>VLOOKUP(D880,Products!A:E,5,FALSE)</f>
        <v>388.26</v>
      </c>
      <c r="N880" s="5">
        <f t="shared" si="13"/>
        <v>1747.17</v>
      </c>
    </row>
    <row r="881" spans="1:14" x14ac:dyDescent="0.3">
      <c r="A881" t="s">
        <v>1737</v>
      </c>
      <c r="B881" s="2">
        <v>45309</v>
      </c>
      <c r="C881" t="s">
        <v>677</v>
      </c>
      <c r="D881" t="s">
        <v>812</v>
      </c>
      <c r="E881" t="s">
        <v>835</v>
      </c>
      <c r="F881">
        <v>4</v>
      </c>
      <c r="G881">
        <v>0.05</v>
      </c>
      <c r="H881" t="s">
        <v>861</v>
      </c>
      <c r="I881" t="str">
        <f>VLOOKUP(C881,Customers!A:C,2,FALSE)&amp;" "&amp;VLOOKUP(C881,Customers!A:C,3,FALSE)</f>
        <v>James Wilson</v>
      </c>
      <c r="J881" t="str">
        <f>VLOOKUP(D881,Products!A:C,2,FALSE)</f>
        <v>Soon Accessories</v>
      </c>
      <c r="K881" t="str">
        <f>VLOOKUP(D881,Products!A:C,3,FALSE)</f>
        <v>Fashion</v>
      </c>
      <c r="L881" t="str">
        <f>VLOOKUP(E881,Stores!A:B,2,FALSE)</f>
        <v>MegaMart Peckmouth</v>
      </c>
      <c r="M881">
        <f>VLOOKUP(D881,Products!A:E,5,FALSE)</f>
        <v>564.41999999999996</v>
      </c>
      <c r="N881" s="5">
        <f t="shared" si="13"/>
        <v>2144.7959999999998</v>
      </c>
    </row>
    <row r="882" spans="1:14" x14ac:dyDescent="0.3">
      <c r="A882" t="s">
        <v>1738</v>
      </c>
      <c r="B882" s="2">
        <v>45520</v>
      </c>
      <c r="C882" t="s">
        <v>666</v>
      </c>
      <c r="D882" t="s">
        <v>786</v>
      </c>
      <c r="E882" t="s">
        <v>835</v>
      </c>
      <c r="F882">
        <v>3</v>
      </c>
      <c r="G882">
        <v>0.05</v>
      </c>
      <c r="H882" t="s">
        <v>861</v>
      </c>
      <c r="I882" t="str">
        <f>VLOOKUP(C882,Customers!A:C,2,FALSE)&amp;" "&amp;VLOOKUP(C882,Customers!A:C,3,FALSE)</f>
        <v>Steve Flynn</v>
      </c>
      <c r="J882" t="str">
        <f>VLOOKUP(D882,Products!A:C,2,FALSE)</f>
        <v>National Watches</v>
      </c>
      <c r="K882" t="str">
        <f>VLOOKUP(D882,Products!A:C,3,FALSE)</f>
        <v>Fashion</v>
      </c>
      <c r="L882" t="str">
        <f>VLOOKUP(E882,Stores!A:B,2,FALSE)</f>
        <v>MegaMart Peckmouth</v>
      </c>
      <c r="M882">
        <f>VLOOKUP(D882,Products!A:E,5,FALSE)</f>
        <v>29.24</v>
      </c>
      <c r="N882" s="5">
        <f t="shared" si="13"/>
        <v>83.333999999999989</v>
      </c>
    </row>
    <row r="883" spans="1:14" x14ac:dyDescent="0.3">
      <c r="A883" t="s">
        <v>1739</v>
      </c>
      <c r="B883" s="2">
        <v>45634</v>
      </c>
      <c r="C883" t="s">
        <v>202</v>
      </c>
      <c r="D883" t="s">
        <v>802</v>
      </c>
      <c r="E883" t="s">
        <v>835</v>
      </c>
      <c r="F883">
        <v>5</v>
      </c>
      <c r="G883">
        <v>0.1</v>
      </c>
      <c r="H883" t="s">
        <v>861</v>
      </c>
      <c r="I883" t="str">
        <f>VLOOKUP(C883,Customers!A:C,2,FALSE)&amp;" "&amp;VLOOKUP(C883,Customers!A:C,3,FALSE)</f>
        <v>Billy Hernandez</v>
      </c>
      <c r="J883" t="str">
        <f>VLOOKUP(D883,Products!A:C,2,FALSE)</f>
        <v>Stage Footwear</v>
      </c>
      <c r="K883" t="str">
        <f>VLOOKUP(D883,Products!A:C,3,FALSE)</f>
        <v>Fashion</v>
      </c>
      <c r="L883" t="str">
        <f>VLOOKUP(E883,Stores!A:B,2,FALSE)</f>
        <v>MegaMart Peckmouth</v>
      </c>
      <c r="M883">
        <f>VLOOKUP(D883,Products!A:E,5,FALSE)</f>
        <v>366.93</v>
      </c>
      <c r="N883" s="5">
        <f t="shared" si="13"/>
        <v>1651.1850000000002</v>
      </c>
    </row>
    <row r="884" spans="1:14" x14ac:dyDescent="0.3">
      <c r="A884" t="s">
        <v>1740</v>
      </c>
      <c r="B884" s="2">
        <v>45776</v>
      </c>
      <c r="C884" t="s">
        <v>702</v>
      </c>
      <c r="D884" t="s">
        <v>747</v>
      </c>
      <c r="E884" t="s">
        <v>831</v>
      </c>
      <c r="F884">
        <v>1</v>
      </c>
      <c r="G884">
        <v>0</v>
      </c>
      <c r="H884" t="s">
        <v>858</v>
      </c>
      <c r="I884" t="str">
        <f>VLOOKUP(C884,Customers!A:C,2,FALSE)&amp;" "&amp;VLOOKUP(C884,Customers!A:C,3,FALSE)</f>
        <v>Ronald Haley</v>
      </c>
      <c r="J884" t="str">
        <f>VLOOKUP(D884,Products!A:C,2,FALSE)</f>
        <v>World Watches</v>
      </c>
      <c r="K884" t="str">
        <f>VLOOKUP(D884,Products!A:C,3,FALSE)</f>
        <v>Fashion</v>
      </c>
      <c r="L884" t="str">
        <f>VLOOKUP(E884,Stores!A:B,2,FALSE)</f>
        <v>MegaMart Jimenezborough</v>
      </c>
      <c r="M884">
        <f>VLOOKUP(D884,Products!A:E,5,FALSE)</f>
        <v>1134.8</v>
      </c>
      <c r="N884" s="5">
        <f t="shared" si="13"/>
        <v>1134.8</v>
      </c>
    </row>
    <row r="885" spans="1:14" x14ac:dyDescent="0.3">
      <c r="A885" t="s">
        <v>1741</v>
      </c>
      <c r="B885" s="2">
        <v>45780</v>
      </c>
      <c r="C885" t="s">
        <v>567</v>
      </c>
      <c r="D885" t="s">
        <v>814</v>
      </c>
      <c r="E885" t="s">
        <v>831</v>
      </c>
      <c r="F885">
        <v>5</v>
      </c>
      <c r="G885">
        <v>0</v>
      </c>
      <c r="H885" t="s">
        <v>858</v>
      </c>
      <c r="I885" t="str">
        <f>VLOOKUP(C885,Customers!A:C,2,FALSE)&amp;" "&amp;VLOOKUP(C885,Customers!A:C,3,FALSE)</f>
        <v>Crystal Aguirre</v>
      </c>
      <c r="J885" t="str">
        <f>VLOOKUP(D885,Products!A:C,2,FALSE)</f>
        <v>Least Accessories</v>
      </c>
      <c r="K885" t="str">
        <f>VLOOKUP(D885,Products!A:C,3,FALSE)</f>
        <v>Fashion</v>
      </c>
      <c r="L885" t="str">
        <f>VLOOKUP(E885,Stores!A:B,2,FALSE)</f>
        <v>MegaMart Jimenezborough</v>
      </c>
      <c r="M885">
        <f>VLOOKUP(D885,Products!A:E,5,FALSE)</f>
        <v>1286.55</v>
      </c>
      <c r="N885" s="5">
        <f t="shared" si="13"/>
        <v>6432.75</v>
      </c>
    </row>
    <row r="886" spans="1:14" x14ac:dyDescent="0.3">
      <c r="A886" t="s">
        <v>1742</v>
      </c>
      <c r="B886" s="2">
        <v>45562</v>
      </c>
      <c r="C886" t="s">
        <v>362</v>
      </c>
      <c r="D886" t="s">
        <v>711</v>
      </c>
      <c r="E886" t="s">
        <v>846</v>
      </c>
      <c r="F886">
        <v>3</v>
      </c>
      <c r="G886">
        <v>0.15</v>
      </c>
      <c r="H886" t="s">
        <v>855</v>
      </c>
      <c r="I886" t="str">
        <f>VLOOKUP(C886,Customers!A:C,2,FALSE)&amp;" "&amp;VLOOKUP(C886,Customers!A:C,3,FALSE)</f>
        <v>Eric King</v>
      </c>
      <c r="J886" t="str">
        <f>VLOOKUP(D886,Products!A:C,2,FALSE)</f>
        <v>Like Camera</v>
      </c>
      <c r="K886" t="str">
        <f>VLOOKUP(D886,Products!A:C,3,FALSE)</f>
        <v>Electronics</v>
      </c>
      <c r="L886" t="str">
        <f>VLOOKUP(E886,Stores!A:B,2,FALSE)</f>
        <v>MegaMart Johnmouth</v>
      </c>
      <c r="M886">
        <f>VLOOKUP(D886,Products!A:E,5,FALSE)</f>
        <v>1673.69</v>
      </c>
      <c r="N886" s="5">
        <f t="shared" si="13"/>
        <v>4267.9094999999998</v>
      </c>
    </row>
    <row r="887" spans="1:14" x14ac:dyDescent="0.3">
      <c r="A887" t="s">
        <v>1743</v>
      </c>
      <c r="B887" s="2">
        <v>45621</v>
      </c>
      <c r="C887" t="s">
        <v>464</v>
      </c>
      <c r="D887" t="s">
        <v>761</v>
      </c>
      <c r="E887" t="s">
        <v>835</v>
      </c>
      <c r="F887">
        <v>5</v>
      </c>
      <c r="G887">
        <v>0.1</v>
      </c>
      <c r="H887" t="s">
        <v>858</v>
      </c>
      <c r="I887" t="str">
        <f>VLOOKUP(C887,Customers!A:C,2,FALSE)&amp;" "&amp;VLOOKUP(C887,Customers!A:C,3,FALSE)</f>
        <v>Monique Johnson</v>
      </c>
      <c r="J887" t="str">
        <f>VLOOKUP(D887,Products!A:C,2,FALSE)</f>
        <v>Traditional Laptop</v>
      </c>
      <c r="K887" t="str">
        <f>VLOOKUP(D887,Products!A:C,3,FALSE)</f>
        <v>Electronics</v>
      </c>
      <c r="L887" t="str">
        <f>VLOOKUP(E887,Stores!A:B,2,FALSE)</f>
        <v>MegaMart Peckmouth</v>
      </c>
      <c r="M887">
        <f>VLOOKUP(D887,Products!A:E,5,FALSE)</f>
        <v>1762.92</v>
      </c>
      <c r="N887" s="5">
        <f t="shared" si="13"/>
        <v>7933.14</v>
      </c>
    </row>
    <row r="888" spans="1:14" x14ac:dyDescent="0.3">
      <c r="A888" t="s">
        <v>1744</v>
      </c>
      <c r="B888" s="2">
        <v>45825</v>
      </c>
      <c r="C888" t="s">
        <v>221</v>
      </c>
      <c r="D888" t="s">
        <v>728</v>
      </c>
      <c r="E888" t="s">
        <v>846</v>
      </c>
      <c r="F888">
        <v>2</v>
      </c>
      <c r="G888">
        <v>0</v>
      </c>
      <c r="H888" t="s">
        <v>858</v>
      </c>
      <c r="I888" t="str">
        <f>VLOOKUP(C888,Customers!A:C,2,FALSE)&amp;" "&amp;VLOOKUP(C888,Customers!A:C,3,FALSE)</f>
        <v>Julie Gibson</v>
      </c>
      <c r="J888" t="str">
        <f>VLOOKUP(D888,Products!A:C,2,FALSE)</f>
        <v>Company Fruits</v>
      </c>
      <c r="K888" t="str">
        <f>VLOOKUP(D888,Products!A:C,3,FALSE)</f>
        <v>Groceries</v>
      </c>
      <c r="L888" t="str">
        <f>VLOOKUP(E888,Stores!A:B,2,FALSE)</f>
        <v>MegaMart Johnmouth</v>
      </c>
      <c r="M888">
        <f>VLOOKUP(D888,Products!A:E,5,FALSE)</f>
        <v>318.05</v>
      </c>
      <c r="N888" s="5">
        <f t="shared" si="13"/>
        <v>636.1</v>
      </c>
    </row>
    <row r="889" spans="1:14" x14ac:dyDescent="0.3">
      <c r="A889" t="s">
        <v>1745</v>
      </c>
      <c r="B889" s="2">
        <v>45467</v>
      </c>
      <c r="C889" t="s">
        <v>454</v>
      </c>
      <c r="D889" t="s">
        <v>780</v>
      </c>
      <c r="E889" t="s">
        <v>846</v>
      </c>
      <c r="F889">
        <v>1</v>
      </c>
      <c r="G889">
        <v>0.1</v>
      </c>
      <c r="H889" t="s">
        <v>858</v>
      </c>
      <c r="I889" t="str">
        <f>VLOOKUP(C889,Customers!A:C,2,FALSE)&amp;" "&amp;VLOOKUP(C889,Customers!A:C,3,FALSE)</f>
        <v>Peter Edwards</v>
      </c>
      <c r="J889" t="str">
        <f>VLOOKUP(D889,Products!A:C,2,FALSE)</f>
        <v>Hospital Smartphone</v>
      </c>
      <c r="K889" t="str">
        <f>VLOOKUP(D889,Products!A:C,3,FALSE)</f>
        <v>Electronics</v>
      </c>
      <c r="L889" t="str">
        <f>VLOOKUP(E889,Stores!A:B,2,FALSE)</f>
        <v>MegaMart Johnmouth</v>
      </c>
      <c r="M889">
        <f>VLOOKUP(D889,Products!A:E,5,FALSE)</f>
        <v>1272.23</v>
      </c>
      <c r="N889" s="5">
        <f t="shared" si="13"/>
        <v>1145.0070000000001</v>
      </c>
    </row>
    <row r="890" spans="1:14" x14ac:dyDescent="0.3">
      <c r="A890" t="s">
        <v>1746</v>
      </c>
      <c r="B890" s="2">
        <v>45874</v>
      </c>
      <c r="C890" t="s">
        <v>625</v>
      </c>
      <c r="D890" t="s">
        <v>776</v>
      </c>
      <c r="E890" t="s">
        <v>835</v>
      </c>
      <c r="F890">
        <v>4</v>
      </c>
      <c r="G890">
        <v>0</v>
      </c>
      <c r="H890" t="s">
        <v>858</v>
      </c>
      <c r="I890" t="str">
        <f>VLOOKUP(C890,Customers!A:C,2,FALSE)&amp;" "&amp;VLOOKUP(C890,Customers!A:C,3,FALSE)</f>
        <v>Peter Garcia</v>
      </c>
      <c r="J890" t="str">
        <f>VLOOKUP(D890,Products!A:C,2,FALSE)</f>
        <v>Little Watches</v>
      </c>
      <c r="K890" t="str">
        <f>VLOOKUP(D890,Products!A:C,3,FALSE)</f>
        <v>Fashion</v>
      </c>
      <c r="L890" t="str">
        <f>VLOOKUP(E890,Stores!A:B,2,FALSE)</f>
        <v>MegaMart Peckmouth</v>
      </c>
      <c r="M890">
        <f>VLOOKUP(D890,Products!A:E,5,FALSE)</f>
        <v>429.15</v>
      </c>
      <c r="N890" s="5">
        <f t="shared" si="13"/>
        <v>1716.6</v>
      </c>
    </row>
    <row r="891" spans="1:14" x14ac:dyDescent="0.3">
      <c r="A891" t="s">
        <v>1747</v>
      </c>
      <c r="B891" s="2">
        <v>45678</v>
      </c>
      <c r="C891" t="s">
        <v>306</v>
      </c>
      <c r="D891" t="s">
        <v>766</v>
      </c>
      <c r="E891" t="s">
        <v>831</v>
      </c>
      <c r="F891">
        <v>1</v>
      </c>
      <c r="G891">
        <v>0.05</v>
      </c>
      <c r="H891" t="s">
        <v>858</v>
      </c>
      <c r="I891" t="str">
        <f>VLOOKUP(C891,Customers!A:C,2,FALSE)&amp;" "&amp;VLOOKUP(C891,Customers!A:C,3,FALSE)</f>
        <v>Sarah Reynolds</v>
      </c>
      <c r="J891" t="str">
        <f>VLOOKUP(D891,Products!A:C,2,FALSE)</f>
        <v>Firm Dairy</v>
      </c>
      <c r="K891" t="str">
        <f>VLOOKUP(D891,Products!A:C,3,FALSE)</f>
        <v>Groceries</v>
      </c>
      <c r="L891" t="str">
        <f>VLOOKUP(E891,Stores!A:B,2,FALSE)</f>
        <v>MegaMart Jimenezborough</v>
      </c>
      <c r="M891">
        <f>VLOOKUP(D891,Products!A:E,5,FALSE)</f>
        <v>1227.24</v>
      </c>
      <c r="N891" s="5">
        <f t="shared" si="13"/>
        <v>1165.8779999999999</v>
      </c>
    </row>
    <row r="892" spans="1:14" x14ac:dyDescent="0.3">
      <c r="A892" t="s">
        <v>1748</v>
      </c>
      <c r="B892" s="2">
        <v>45705</v>
      </c>
      <c r="C892" t="s">
        <v>539</v>
      </c>
      <c r="D892" t="s">
        <v>757</v>
      </c>
      <c r="E892" t="s">
        <v>831</v>
      </c>
      <c r="F892">
        <v>3</v>
      </c>
      <c r="G892">
        <v>0.1</v>
      </c>
      <c r="H892" t="s">
        <v>855</v>
      </c>
      <c r="I892" t="str">
        <f>VLOOKUP(C892,Customers!A:C,2,FALSE)&amp;" "&amp;VLOOKUP(C892,Customers!A:C,3,FALSE)</f>
        <v>Melissa Torres</v>
      </c>
      <c r="J892" t="str">
        <f>VLOOKUP(D892,Products!A:C,2,FALSE)</f>
        <v>Find Headphones</v>
      </c>
      <c r="K892" t="str">
        <f>VLOOKUP(D892,Products!A:C,3,FALSE)</f>
        <v>Electronics</v>
      </c>
      <c r="L892" t="str">
        <f>VLOOKUP(E892,Stores!A:B,2,FALSE)</f>
        <v>MegaMart Jimenezborough</v>
      </c>
      <c r="M892">
        <f>VLOOKUP(D892,Products!A:E,5,FALSE)</f>
        <v>1246.1099999999999</v>
      </c>
      <c r="N892" s="5">
        <f t="shared" si="13"/>
        <v>3364.4969999999998</v>
      </c>
    </row>
    <row r="893" spans="1:14" x14ac:dyDescent="0.3">
      <c r="A893" t="s">
        <v>1749</v>
      </c>
      <c r="B893" s="2">
        <v>45849</v>
      </c>
      <c r="C893" t="s">
        <v>187</v>
      </c>
      <c r="D893" t="s">
        <v>772</v>
      </c>
      <c r="E893" t="s">
        <v>846</v>
      </c>
      <c r="F893">
        <v>3</v>
      </c>
      <c r="G893">
        <v>0.05</v>
      </c>
      <c r="H893" t="s">
        <v>855</v>
      </c>
      <c r="I893" t="str">
        <f>VLOOKUP(C893,Customers!A:C,2,FALSE)&amp;" "&amp;VLOOKUP(C893,Customers!A:C,3,FALSE)</f>
        <v>Alexis Crane</v>
      </c>
      <c r="J893" t="str">
        <f>VLOOKUP(D893,Products!A:C,2,FALSE)</f>
        <v>And Footwear</v>
      </c>
      <c r="K893" t="str">
        <f>VLOOKUP(D893,Products!A:C,3,FALSE)</f>
        <v>Fashion</v>
      </c>
      <c r="L893" t="str">
        <f>VLOOKUP(E893,Stores!A:B,2,FALSE)</f>
        <v>MegaMart Johnmouth</v>
      </c>
      <c r="M893">
        <f>VLOOKUP(D893,Products!A:E,5,FALSE)</f>
        <v>1878.47</v>
      </c>
      <c r="N893" s="5">
        <f t="shared" si="13"/>
        <v>5353.6394999999993</v>
      </c>
    </row>
    <row r="894" spans="1:14" x14ac:dyDescent="0.3">
      <c r="A894" t="s">
        <v>1750</v>
      </c>
      <c r="B894" s="2">
        <v>45231</v>
      </c>
      <c r="C894" t="s">
        <v>449</v>
      </c>
      <c r="D894" t="s">
        <v>772</v>
      </c>
      <c r="E894" t="s">
        <v>846</v>
      </c>
      <c r="F894">
        <v>3</v>
      </c>
      <c r="G894">
        <v>0.1</v>
      </c>
      <c r="H894" t="s">
        <v>861</v>
      </c>
      <c r="I894" t="str">
        <f>VLOOKUP(C894,Customers!A:C,2,FALSE)&amp;" "&amp;VLOOKUP(C894,Customers!A:C,3,FALSE)</f>
        <v>John Bell</v>
      </c>
      <c r="J894" t="str">
        <f>VLOOKUP(D894,Products!A:C,2,FALSE)</f>
        <v>And Footwear</v>
      </c>
      <c r="K894" t="str">
        <f>VLOOKUP(D894,Products!A:C,3,FALSE)</f>
        <v>Fashion</v>
      </c>
      <c r="L894" t="str">
        <f>VLOOKUP(E894,Stores!A:B,2,FALSE)</f>
        <v>MegaMart Johnmouth</v>
      </c>
      <c r="M894">
        <f>VLOOKUP(D894,Products!A:E,5,FALSE)</f>
        <v>1878.47</v>
      </c>
      <c r="N894" s="5">
        <f t="shared" si="13"/>
        <v>5071.8689999999997</v>
      </c>
    </row>
    <row r="895" spans="1:14" x14ac:dyDescent="0.3">
      <c r="A895" t="s">
        <v>1751</v>
      </c>
      <c r="B895" s="2">
        <v>45490</v>
      </c>
      <c r="C895" t="s">
        <v>469</v>
      </c>
      <c r="D895" t="s">
        <v>824</v>
      </c>
      <c r="E895" t="s">
        <v>842</v>
      </c>
      <c r="F895">
        <v>2</v>
      </c>
      <c r="G895">
        <v>0.15</v>
      </c>
      <c r="H895" t="s">
        <v>855</v>
      </c>
      <c r="I895" t="str">
        <f>VLOOKUP(C895,Customers!A:C,2,FALSE)&amp;" "&amp;VLOOKUP(C895,Customers!A:C,3,FALSE)</f>
        <v>Robert Collins</v>
      </c>
      <c r="J895" t="str">
        <f>VLOOKUP(D895,Products!A:C,2,FALSE)</f>
        <v>Possible Watches</v>
      </c>
      <c r="K895" t="str">
        <f>VLOOKUP(D895,Products!A:C,3,FALSE)</f>
        <v>Fashion</v>
      </c>
      <c r="L895" t="str">
        <f>VLOOKUP(E895,Stores!A:B,2,FALSE)</f>
        <v>MegaMart Brianahaven</v>
      </c>
      <c r="M895">
        <f>VLOOKUP(D895,Products!A:E,5,FALSE)</f>
        <v>388.26</v>
      </c>
      <c r="N895" s="5">
        <f t="shared" si="13"/>
        <v>660.04199999999992</v>
      </c>
    </row>
    <row r="896" spans="1:14" x14ac:dyDescent="0.3">
      <c r="A896" t="s">
        <v>1752</v>
      </c>
      <c r="B896" s="2">
        <v>45607</v>
      </c>
      <c r="C896" t="s">
        <v>355</v>
      </c>
      <c r="D896" t="s">
        <v>804</v>
      </c>
      <c r="E896" t="s">
        <v>842</v>
      </c>
      <c r="F896">
        <v>3</v>
      </c>
      <c r="G896">
        <v>0.15</v>
      </c>
      <c r="H896" t="s">
        <v>861</v>
      </c>
      <c r="I896" t="str">
        <f>VLOOKUP(C896,Customers!A:C,2,FALSE)&amp;" "&amp;VLOOKUP(C896,Customers!A:C,3,FALSE)</f>
        <v>Kimberly Stokes</v>
      </c>
      <c r="J896" t="str">
        <f>VLOOKUP(D896,Products!A:C,2,FALSE)</f>
        <v>Church Clothing</v>
      </c>
      <c r="K896" t="str">
        <f>VLOOKUP(D896,Products!A:C,3,FALSE)</f>
        <v>Fashion</v>
      </c>
      <c r="L896" t="str">
        <f>VLOOKUP(E896,Stores!A:B,2,FALSE)</f>
        <v>MegaMart Brianahaven</v>
      </c>
      <c r="M896">
        <f>VLOOKUP(D896,Products!A:E,5,FALSE)</f>
        <v>540.94000000000005</v>
      </c>
      <c r="N896" s="5">
        <f t="shared" si="13"/>
        <v>1379.3970000000002</v>
      </c>
    </row>
    <row r="897" spans="1:14" x14ac:dyDescent="0.3">
      <c r="A897" t="s">
        <v>1753</v>
      </c>
      <c r="B897" s="2">
        <v>45821</v>
      </c>
      <c r="C897" t="s">
        <v>533</v>
      </c>
      <c r="D897" t="s">
        <v>753</v>
      </c>
      <c r="E897" t="s">
        <v>835</v>
      </c>
      <c r="F897">
        <v>5</v>
      </c>
      <c r="G897">
        <v>0.05</v>
      </c>
      <c r="H897" t="s">
        <v>865</v>
      </c>
      <c r="I897" t="str">
        <f>VLOOKUP(C897,Customers!A:C,2,FALSE)&amp;" "&amp;VLOOKUP(C897,Customers!A:C,3,FALSE)</f>
        <v>Crystal Garrison</v>
      </c>
      <c r="J897" t="str">
        <f>VLOOKUP(D897,Products!A:C,2,FALSE)</f>
        <v>Whether Bags</v>
      </c>
      <c r="K897" t="str">
        <f>VLOOKUP(D897,Products!A:C,3,FALSE)</f>
        <v>Fashion</v>
      </c>
      <c r="L897" t="str">
        <f>VLOOKUP(E897,Stores!A:B,2,FALSE)</f>
        <v>MegaMart Peckmouth</v>
      </c>
      <c r="M897">
        <f>VLOOKUP(D897,Products!A:E,5,FALSE)</f>
        <v>270.45</v>
      </c>
      <c r="N897" s="5">
        <f t="shared" si="13"/>
        <v>1284.6375</v>
      </c>
    </row>
    <row r="898" spans="1:14" x14ac:dyDescent="0.3">
      <c r="A898" t="s">
        <v>1754</v>
      </c>
      <c r="B898" s="2">
        <v>45339</v>
      </c>
      <c r="C898" t="s">
        <v>653</v>
      </c>
      <c r="D898" t="s">
        <v>764</v>
      </c>
      <c r="E898" t="s">
        <v>839</v>
      </c>
      <c r="F898">
        <v>2</v>
      </c>
      <c r="G898">
        <v>0.15</v>
      </c>
      <c r="H898" t="s">
        <v>858</v>
      </c>
      <c r="I898" t="str">
        <f>VLOOKUP(C898,Customers!A:C,2,FALSE)&amp;" "&amp;VLOOKUP(C898,Customers!A:C,3,FALSE)</f>
        <v>Joe Vincent</v>
      </c>
      <c r="J898" t="str">
        <f>VLOOKUP(D898,Products!A:C,2,FALSE)</f>
        <v>Simple Accessories</v>
      </c>
      <c r="K898" t="str">
        <f>VLOOKUP(D898,Products!A:C,3,FALSE)</f>
        <v>Fashion</v>
      </c>
      <c r="L898" t="str">
        <f>VLOOKUP(E898,Stores!A:B,2,FALSE)</f>
        <v>MegaMart New Michele</v>
      </c>
      <c r="M898">
        <f>VLOOKUP(D898,Products!A:E,5,FALSE)</f>
        <v>323.92</v>
      </c>
      <c r="N898" s="5">
        <f t="shared" si="13"/>
        <v>550.66399999999999</v>
      </c>
    </row>
    <row r="899" spans="1:14" x14ac:dyDescent="0.3">
      <c r="A899" t="s">
        <v>1755</v>
      </c>
      <c r="B899" s="2">
        <v>45667</v>
      </c>
      <c r="C899" t="s">
        <v>198</v>
      </c>
      <c r="D899" t="s">
        <v>796</v>
      </c>
      <c r="E899" t="s">
        <v>835</v>
      </c>
      <c r="F899">
        <v>2</v>
      </c>
      <c r="G899">
        <v>0.15</v>
      </c>
      <c r="H899" t="s">
        <v>865</v>
      </c>
      <c r="I899" t="str">
        <f>VLOOKUP(C899,Customers!A:C,2,FALSE)&amp;" "&amp;VLOOKUP(C899,Customers!A:C,3,FALSE)</f>
        <v>Madison Sellers</v>
      </c>
      <c r="J899" t="str">
        <f>VLOOKUP(D899,Products!A:C,2,FALSE)</f>
        <v>Chair Laptop</v>
      </c>
      <c r="K899" t="str">
        <f>VLOOKUP(D899,Products!A:C,3,FALSE)</f>
        <v>Electronics</v>
      </c>
      <c r="L899" t="str">
        <f>VLOOKUP(E899,Stores!A:B,2,FALSE)</f>
        <v>MegaMart Peckmouth</v>
      </c>
      <c r="M899">
        <f>VLOOKUP(D899,Products!A:E,5,FALSE)</f>
        <v>1562.43</v>
      </c>
      <c r="N899" s="5">
        <f t="shared" ref="N899:N962" si="14">F899*M899*(1-G899)</f>
        <v>2656.1309999999999</v>
      </c>
    </row>
    <row r="900" spans="1:14" x14ac:dyDescent="0.3">
      <c r="A900" t="s">
        <v>1756</v>
      </c>
      <c r="B900" s="2">
        <v>45501</v>
      </c>
      <c r="C900" t="s">
        <v>179</v>
      </c>
      <c r="D900" t="s">
        <v>788</v>
      </c>
      <c r="E900" t="s">
        <v>842</v>
      </c>
      <c r="F900">
        <v>4</v>
      </c>
      <c r="G900">
        <v>0.05</v>
      </c>
      <c r="H900" t="s">
        <v>855</v>
      </c>
      <c r="I900" t="str">
        <f>VLOOKUP(C900,Customers!A:C,2,FALSE)&amp;" "&amp;VLOOKUP(C900,Customers!A:C,3,FALSE)</f>
        <v>Dennis Poole</v>
      </c>
      <c r="J900" t="str">
        <f>VLOOKUP(D900,Products!A:C,2,FALSE)</f>
        <v>Foot Snacks</v>
      </c>
      <c r="K900" t="str">
        <f>VLOOKUP(D900,Products!A:C,3,FALSE)</f>
        <v>Groceries</v>
      </c>
      <c r="L900" t="str">
        <f>VLOOKUP(E900,Stores!A:B,2,FALSE)</f>
        <v>MegaMart Brianahaven</v>
      </c>
      <c r="M900">
        <f>VLOOKUP(D900,Products!A:E,5,FALSE)</f>
        <v>1095.72</v>
      </c>
      <c r="N900" s="5">
        <f t="shared" si="14"/>
        <v>4163.7359999999999</v>
      </c>
    </row>
    <row r="901" spans="1:14" x14ac:dyDescent="0.3">
      <c r="A901" t="s">
        <v>1757</v>
      </c>
      <c r="B901" s="2">
        <v>45517</v>
      </c>
      <c r="C901" t="s">
        <v>462</v>
      </c>
      <c r="D901" t="s">
        <v>810</v>
      </c>
      <c r="E901" t="s">
        <v>839</v>
      </c>
      <c r="F901">
        <v>3</v>
      </c>
      <c r="G901">
        <v>0</v>
      </c>
      <c r="H901" t="s">
        <v>858</v>
      </c>
      <c r="I901" t="str">
        <f>VLOOKUP(C901,Customers!A:C,2,FALSE)&amp;" "&amp;VLOOKUP(C901,Customers!A:C,3,FALSE)</f>
        <v>Kimberly Parker</v>
      </c>
      <c r="J901" t="str">
        <f>VLOOKUP(D901,Products!A:C,2,FALSE)</f>
        <v>Maybe Clothing</v>
      </c>
      <c r="K901" t="str">
        <f>VLOOKUP(D901,Products!A:C,3,FALSE)</f>
        <v>Fashion</v>
      </c>
      <c r="L901" t="str">
        <f>VLOOKUP(E901,Stores!A:B,2,FALSE)</f>
        <v>MegaMart New Michele</v>
      </c>
      <c r="M901">
        <f>VLOOKUP(D901,Products!A:E,5,FALSE)</f>
        <v>453.62</v>
      </c>
      <c r="N901" s="5">
        <f t="shared" si="14"/>
        <v>1360.8600000000001</v>
      </c>
    </row>
    <row r="902" spans="1:14" x14ac:dyDescent="0.3">
      <c r="A902" t="s">
        <v>1758</v>
      </c>
      <c r="B902" s="2">
        <v>45626</v>
      </c>
      <c r="C902" t="s">
        <v>105</v>
      </c>
      <c r="D902" t="s">
        <v>759</v>
      </c>
      <c r="E902" t="s">
        <v>835</v>
      </c>
      <c r="F902">
        <v>1</v>
      </c>
      <c r="G902">
        <v>0.05</v>
      </c>
      <c r="H902" t="s">
        <v>855</v>
      </c>
      <c r="I902" t="str">
        <f>VLOOKUP(C902,Customers!A:C,2,FALSE)&amp;" "&amp;VLOOKUP(C902,Customers!A:C,3,FALSE)</f>
        <v>Justin Macdonald</v>
      </c>
      <c r="J902" t="str">
        <f>VLOOKUP(D902,Products!A:C,2,FALSE)</f>
        <v>Democratic Smartphone</v>
      </c>
      <c r="K902" t="str">
        <f>VLOOKUP(D902,Products!A:C,3,FALSE)</f>
        <v>Electronics</v>
      </c>
      <c r="L902" t="str">
        <f>VLOOKUP(E902,Stores!A:B,2,FALSE)</f>
        <v>MegaMart Peckmouth</v>
      </c>
      <c r="M902">
        <f>VLOOKUP(D902,Products!A:E,5,FALSE)</f>
        <v>1079.8900000000001</v>
      </c>
      <c r="N902" s="5">
        <f t="shared" si="14"/>
        <v>1025.8955000000001</v>
      </c>
    </row>
    <row r="903" spans="1:14" x14ac:dyDescent="0.3">
      <c r="A903" t="s">
        <v>1759</v>
      </c>
      <c r="B903" s="2">
        <v>45342</v>
      </c>
      <c r="C903" t="s">
        <v>452</v>
      </c>
      <c r="D903" t="s">
        <v>725</v>
      </c>
      <c r="E903" t="s">
        <v>831</v>
      </c>
      <c r="F903">
        <v>4</v>
      </c>
      <c r="G903">
        <v>0.1</v>
      </c>
      <c r="H903" t="s">
        <v>855</v>
      </c>
      <c r="I903" t="str">
        <f>VLOOKUP(C903,Customers!A:C,2,FALSE)&amp;" "&amp;VLOOKUP(C903,Customers!A:C,3,FALSE)</f>
        <v>Amy Smith</v>
      </c>
      <c r="J903" t="str">
        <f>VLOOKUP(D903,Products!A:C,2,FALSE)</f>
        <v>Knowledge Bags</v>
      </c>
      <c r="K903" t="str">
        <f>VLOOKUP(D903,Products!A:C,3,FALSE)</f>
        <v>Fashion</v>
      </c>
      <c r="L903" t="str">
        <f>VLOOKUP(E903,Stores!A:B,2,FALSE)</f>
        <v>MegaMart Jimenezborough</v>
      </c>
      <c r="M903">
        <f>VLOOKUP(D903,Products!A:E,5,FALSE)</f>
        <v>1396.22</v>
      </c>
      <c r="N903" s="5">
        <f t="shared" si="14"/>
        <v>5026.3919999999998</v>
      </c>
    </row>
    <row r="904" spans="1:14" x14ac:dyDescent="0.3">
      <c r="A904" t="s">
        <v>1760</v>
      </c>
      <c r="B904" s="2">
        <v>45507</v>
      </c>
      <c r="C904" t="s">
        <v>351</v>
      </c>
      <c r="D904" t="s">
        <v>780</v>
      </c>
      <c r="E904" t="s">
        <v>839</v>
      </c>
      <c r="F904">
        <v>5</v>
      </c>
      <c r="G904">
        <v>0.1</v>
      </c>
      <c r="H904" t="s">
        <v>855</v>
      </c>
      <c r="I904" t="str">
        <f>VLOOKUP(C904,Customers!A:C,2,FALSE)&amp;" "&amp;VLOOKUP(C904,Customers!A:C,3,FALSE)</f>
        <v>Stanley Brown</v>
      </c>
      <c r="J904" t="str">
        <f>VLOOKUP(D904,Products!A:C,2,FALSE)</f>
        <v>Hospital Smartphone</v>
      </c>
      <c r="K904" t="str">
        <f>VLOOKUP(D904,Products!A:C,3,FALSE)</f>
        <v>Electronics</v>
      </c>
      <c r="L904" t="str">
        <f>VLOOKUP(E904,Stores!A:B,2,FALSE)</f>
        <v>MegaMart New Michele</v>
      </c>
      <c r="M904">
        <f>VLOOKUP(D904,Products!A:E,5,FALSE)</f>
        <v>1272.23</v>
      </c>
      <c r="N904" s="5">
        <f t="shared" si="14"/>
        <v>5725.0349999999999</v>
      </c>
    </row>
    <row r="905" spans="1:14" x14ac:dyDescent="0.3">
      <c r="A905" t="s">
        <v>1761</v>
      </c>
      <c r="B905" s="2">
        <v>45514</v>
      </c>
      <c r="C905" t="s">
        <v>28</v>
      </c>
      <c r="D905" t="s">
        <v>759</v>
      </c>
      <c r="E905" t="s">
        <v>842</v>
      </c>
      <c r="F905">
        <v>1</v>
      </c>
      <c r="G905">
        <v>0.1</v>
      </c>
      <c r="H905" t="s">
        <v>861</v>
      </c>
      <c r="I905" t="str">
        <f>VLOOKUP(C905,Customers!A:C,2,FALSE)&amp;" "&amp;VLOOKUP(C905,Customers!A:C,3,FALSE)</f>
        <v>Danny Moore</v>
      </c>
      <c r="J905" t="str">
        <f>VLOOKUP(D905,Products!A:C,2,FALSE)</f>
        <v>Democratic Smartphone</v>
      </c>
      <c r="K905" t="str">
        <f>VLOOKUP(D905,Products!A:C,3,FALSE)</f>
        <v>Electronics</v>
      </c>
      <c r="L905" t="str">
        <f>VLOOKUP(E905,Stores!A:B,2,FALSE)</f>
        <v>MegaMart Brianahaven</v>
      </c>
      <c r="M905">
        <f>VLOOKUP(D905,Products!A:E,5,FALSE)</f>
        <v>1079.8900000000001</v>
      </c>
      <c r="N905" s="5">
        <f t="shared" si="14"/>
        <v>971.90100000000007</v>
      </c>
    </row>
    <row r="906" spans="1:14" x14ac:dyDescent="0.3">
      <c r="A906" t="s">
        <v>1762</v>
      </c>
      <c r="B906" s="2">
        <v>45775</v>
      </c>
      <c r="C906" t="s">
        <v>536</v>
      </c>
      <c r="D906" t="s">
        <v>711</v>
      </c>
      <c r="E906" t="s">
        <v>846</v>
      </c>
      <c r="F906">
        <v>5</v>
      </c>
      <c r="G906">
        <v>0.05</v>
      </c>
      <c r="H906" t="s">
        <v>855</v>
      </c>
      <c r="I906" t="str">
        <f>VLOOKUP(C906,Customers!A:C,2,FALSE)&amp;" "&amp;VLOOKUP(C906,Customers!A:C,3,FALSE)</f>
        <v>John Foster</v>
      </c>
      <c r="J906" t="str">
        <f>VLOOKUP(D906,Products!A:C,2,FALSE)</f>
        <v>Like Camera</v>
      </c>
      <c r="K906" t="str">
        <f>VLOOKUP(D906,Products!A:C,3,FALSE)</f>
        <v>Electronics</v>
      </c>
      <c r="L906" t="str">
        <f>VLOOKUP(E906,Stores!A:B,2,FALSE)</f>
        <v>MegaMart Johnmouth</v>
      </c>
      <c r="M906">
        <f>VLOOKUP(D906,Products!A:E,5,FALSE)</f>
        <v>1673.69</v>
      </c>
      <c r="N906" s="5">
        <f t="shared" si="14"/>
        <v>7950.0275000000001</v>
      </c>
    </row>
    <row r="907" spans="1:14" x14ac:dyDescent="0.3">
      <c r="A907" t="s">
        <v>1763</v>
      </c>
      <c r="B907" s="2">
        <v>45851</v>
      </c>
      <c r="C907" t="s">
        <v>343</v>
      </c>
      <c r="D907" t="s">
        <v>790</v>
      </c>
      <c r="E907" t="s">
        <v>839</v>
      </c>
      <c r="F907">
        <v>5</v>
      </c>
      <c r="G907">
        <v>0.15</v>
      </c>
      <c r="H907" t="s">
        <v>858</v>
      </c>
      <c r="I907" t="str">
        <f>VLOOKUP(C907,Customers!A:C,2,FALSE)&amp;" "&amp;VLOOKUP(C907,Customers!A:C,3,FALSE)</f>
        <v>Brian Fowler</v>
      </c>
      <c r="J907" t="str">
        <f>VLOOKUP(D907,Products!A:C,2,FALSE)</f>
        <v>Difficult Vegetables</v>
      </c>
      <c r="K907" t="str">
        <f>VLOOKUP(D907,Products!A:C,3,FALSE)</f>
        <v>Groceries</v>
      </c>
      <c r="L907" t="str">
        <f>VLOOKUP(E907,Stores!A:B,2,FALSE)</f>
        <v>MegaMart New Michele</v>
      </c>
      <c r="M907">
        <f>VLOOKUP(D907,Products!A:E,5,FALSE)</f>
        <v>304.70999999999998</v>
      </c>
      <c r="N907" s="5">
        <f t="shared" si="14"/>
        <v>1295.0174999999999</v>
      </c>
    </row>
    <row r="908" spans="1:14" x14ac:dyDescent="0.3">
      <c r="A908" t="s">
        <v>1764</v>
      </c>
      <c r="B908" s="2">
        <v>45683</v>
      </c>
      <c r="C908" t="s">
        <v>85</v>
      </c>
      <c r="D908" t="s">
        <v>816</v>
      </c>
      <c r="E908" t="s">
        <v>842</v>
      </c>
      <c r="F908">
        <v>5</v>
      </c>
      <c r="G908">
        <v>0.1</v>
      </c>
      <c r="H908" t="s">
        <v>858</v>
      </c>
      <c r="I908" t="str">
        <f>VLOOKUP(C908,Customers!A:C,2,FALSE)&amp;" "&amp;VLOOKUP(C908,Customers!A:C,3,FALSE)</f>
        <v>Debbie Martin</v>
      </c>
      <c r="J908" t="str">
        <f>VLOOKUP(D908,Products!A:C,2,FALSE)</f>
        <v>Set Dairy</v>
      </c>
      <c r="K908" t="str">
        <f>VLOOKUP(D908,Products!A:C,3,FALSE)</f>
        <v>Groceries</v>
      </c>
      <c r="L908" t="str">
        <f>VLOOKUP(E908,Stores!A:B,2,FALSE)</f>
        <v>MegaMart Brianahaven</v>
      </c>
      <c r="M908">
        <f>VLOOKUP(D908,Products!A:E,5,FALSE)</f>
        <v>1879.08</v>
      </c>
      <c r="N908" s="5">
        <f t="shared" si="14"/>
        <v>8455.86</v>
      </c>
    </row>
    <row r="909" spans="1:14" x14ac:dyDescent="0.3">
      <c r="A909" t="s">
        <v>1765</v>
      </c>
      <c r="B909" s="2">
        <v>45238</v>
      </c>
      <c r="C909" t="s">
        <v>579</v>
      </c>
      <c r="D909" t="s">
        <v>802</v>
      </c>
      <c r="E909" t="s">
        <v>835</v>
      </c>
      <c r="F909">
        <v>2</v>
      </c>
      <c r="G909">
        <v>0.1</v>
      </c>
      <c r="H909" t="s">
        <v>858</v>
      </c>
      <c r="I909" t="str">
        <f>VLOOKUP(C909,Customers!A:C,2,FALSE)&amp;" "&amp;VLOOKUP(C909,Customers!A:C,3,FALSE)</f>
        <v>Jill Roach</v>
      </c>
      <c r="J909" t="str">
        <f>VLOOKUP(D909,Products!A:C,2,FALSE)</f>
        <v>Stage Footwear</v>
      </c>
      <c r="K909" t="str">
        <f>VLOOKUP(D909,Products!A:C,3,FALSE)</f>
        <v>Fashion</v>
      </c>
      <c r="L909" t="str">
        <f>VLOOKUP(E909,Stores!A:B,2,FALSE)</f>
        <v>MegaMart Peckmouth</v>
      </c>
      <c r="M909">
        <f>VLOOKUP(D909,Products!A:E,5,FALSE)</f>
        <v>366.93</v>
      </c>
      <c r="N909" s="5">
        <f t="shared" si="14"/>
        <v>660.47400000000005</v>
      </c>
    </row>
    <row r="910" spans="1:14" x14ac:dyDescent="0.3">
      <c r="A910" t="s">
        <v>1766</v>
      </c>
      <c r="B910" s="2">
        <v>45504</v>
      </c>
      <c r="C910" t="s">
        <v>579</v>
      </c>
      <c r="D910" t="s">
        <v>774</v>
      </c>
      <c r="E910" t="s">
        <v>846</v>
      </c>
      <c r="F910">
        <v>5</v>
      </c>
      <c r="G910">
        <v>0.15</v>
      </c>
      <c r="H910" t="s">
        <v>865</v>
      </c>
      <c r="I910" t="str">
        <f>VLOOKUP(C910,Customers!A:C,2,FALSE)&amp;" "&amp;VLOOKUP(C910,Customers!A:C,3,FALSE)</f>
        <v>Jill Roach</v>
      </c>
      <c r="J910" t="str">
        <f>VLOOKUP(D910,Products!A:C,2,FALSE)</f>
        <v>Him Smartphone</v>
      </c>
      <c r="K910" t="str">
        <f>VLOOKUP(D910,Products!A:C,3,FALSE)</f>
        <v>Electronics</v>
      </c>
      <c r="L910" t="str">
        <f>VLOOKUP(E910,Stores!A:B,2,FALSE)</f>
        <v>MegaMart Johnmouth</v>
      </c>
      <c r="M910">
        <f>VLOOKUP(D910,Products!A:E,5,FALSE)</f>
        <v>1487.41</v>
      </c>
      <c r="N910" s="5">
        <f t="shared" si="14"/>
        <v>6321.4925000000003</v>
      </c>
    </row>
    <row r="911" spans="1:14" x14ac:dyDescent="0.3">
      <c r="A911" t="s">
        <v>1767</v>
      </c>
      <c r="B911" s="2">
        <v>45361</v>
      </c>
      <c r="C911" t="s">
        <v>85</v>
      </c>
      <c r="D911" t="s">
        <v>732</v>
      </c>
      <c r="E911" t="s">
        <v>835</v>
      </c>
      <c r="F911">
        <v>3</v>
      </c>
      <c r="G911">
        <v>0.05</v>
      </c>
      <c r="H911" t="s">
        <v>855</v>
      </c>
      <c r="I911" t="str">
        <f>VLOOKUP(C911,Customers!A:C,2,FALSE)&amp;" "&amp;VLOOKUP(C911,Customers!A:C,3,FALSE)</f>
        <v>Debbie Martin</v>
      </c>
      <c r="J911" t="str">
        <f>VLOOKUP(D911,Products!A:C,2,FALSE)</f>
        <v>Understand Camera</v>
      </c>
      <c r="K911" t="str">
        <f>VLOOKUP(D911,Products!A:C,3,FALSE)</f>
        <v>Electronics</v>
      </c>
      <c r="L911" t="str">
        <f>VLOOKUP(E911,Stores!A:B,2,FALSE)</f>
        <v>MegaMart Peckmouth</v>
      </c>
      <c r="M911">
        <f>VLOOKUP(D911,Products!A:E,5,FALSE)</f>
        <v>1474.12</v>
      </c>
      <c r="N911" s="5">
        <f t="shared" si="14"/>
        <v>4201.2419999999993</v>
      </c>
    </row>
    <row r="912" spans="1:14" x14ac:dyDescent="0.3">
      <c r="A912" t="s">
        <v>1768</v>
      </c>
      <c r="B912" s="2">
        <v>45507</v>
      </c>
      <c r="C912" t="s">
        <v>310</v>
      </c>
      <c r="D912" t="s">
        <v>759</v>
      </c>
      <c r="E912" t="s">
        <v>839</v>
      </c>
      <c r="F912">
        <v>3</v>
      </c>
      <c r="G912">
        <v>0.15</v>
      </c>
      <c r="H912" t="s">
        <v>855</v>
      </c>
      <c r="I912" t="str">
        <f>VLOOKUP(C912,Customers!A:C,2,FALSE)&amp;" "&amp;VLOOKUP(C912,Customers!A:C,3,FALSE)</f>
        <v>Amy Haley</v>
      </c>
      <c r="J912" t="str">
        <f>VLOOKUP(D912,Products!A:C,2,FALSE)</f>
        <v>Democratic Smartphone</v>
      </c>
      <c r="K912" t="str">
        <f>VLOOKUP(D912,Products!A:C,3,FALSE)</f>
        <v>Electronics</v>
      </c>
      <c r="L912" t="str">
        <f>VLOOKUP(E912,Stores!A:B,2,FALSE)</f>
        <v>MegaMart New Michele</v>
      </c>
      <c r="M912">
        <f>VLOOKUP(D912,Products!A:E,5,FALSE)</f>
        <v>1079.8900000000001</v>
      </c>
      <c r="N912" s="5">
        <f t="shared" si="14"/>
        <v>2753.7195000000002</v>
      </c>
    </row>
    <row r="913" spans="1:14" x14ac:dyDescent="0.3">
      <c r="A913" t="s">
        <v>1769</v>
      </c>
      <c r="B913" s="2">
        <v>45361</v>
      </c>
      <c r="C913" t="s">
        <v>426</v>
      </c>
      <c r="D913" t="s">
        <v>747</v>
      </c>
      <c r="E913" t="s">
        <v>839</v>
      </c>
      <c r="F913">
        <v>5</v>
      </c>
      <c r="G913">
        <v>0.15</v>
      </c>
      <c r="H913" t="s">
        <v>858</v>
      </c>
      <c r="I913" t="str">
        <f>VLOOKUP(C913,Customers!A:C,2,FALSE)&amp;" "&amp;VLOOKUP(C913,Customers!A:C,3,FALSE)</f>
        <v>Miranda Rodriguez</v>
      </c>
      <c r="J913" t="str">
        <f>VLOOKUP(D913,Products!A:C,2,FALSE)</f>
        <v>World Watches</v>
      </c>
      <c r="K913" t="str">
        <f>VLOOKUP(D913,Products!A:C,3,FALSE)</f>
        <v>Fashion</v>
      </c>
      <c r="L913" t="str">
        <f>VLOOKUP(E913,Stores!A:B,2,FALSE)</f>
        <v>MegaMart New Michele</v>
      </c>
      <c r="M913">
        <f>VLOOKUP(D913,Products!A:E,5,FALSE)</f>
        <v>1134.8</v>
      </c>
      <c r="N913" s="5">
        <f t="shared" si="14"/>
        <v>4822.8999999999996</v>
      </c>
    </row>
    <row r="914" spans="1:14" x14ac:dyDescent="0.3">
      <c r="A914" t="s">
        <v>1770</v>
      </c>
      <c r="B914" s="2">
        <v>45733</v>
      </c>
      <c r="C914" t="s">
        <v>167</v>
      </c>
      <c r="D914" t="s">
        <v>711</v>
      </c>
      <c r="E914" t="s">
        <v>835</v>
      </c>
      <c r="F914">
        <v>1</v>
      </c>
      <c r="G914">
        <v>0.05</v>
      </c>
      <c r="H914" t="s">
        <v>861</v>
      </c>
      <c r="I914" t="str">
        <f>VLOOKUP(C914,Customers!A:C,2,FALSE)&amp;" "&amp;VLOOKUP(C914,Customers!A:C,3,FALSE)</f>
        <v>Kenneth Allen</v>
      </c>
      <c r="J914" t="str">
        <f>VLOOKUP(D914,Products!A:C,2,FALSE)</f>
        <v>Like Camera</v>
      </c>
      <c r="K914" t="str">
        <f>VLOOKUP(D914,Products!A:C,3,FALSE)</f>
        <v>Electronics</v>
      </c>
      <c r="L914" t="str">
        <f>VLOOKUP(E914,Stores!A:B,2,FALSE)</f>
        <v>MegaMart Peckmouth</v>
      </c>
      <c r="M914">
        <f>VLOOKUP(D914,Products!A:E,5,FALSE)</f>
        <v>1673.69</v>
      </c>
      <c r="N914" s="5">
        <f t="shared" si="14"/>
        <v>1590.0055</v>
      </c>
    </row>
    <row r="915" spans="1:14" x14ac:dyDescent="0.3">
      <c r="A915" t="s">
        <v>1771</v>
      </c>
      <c r="B915" s="2">
        <v>45726</v>
      </c>
      <c r="C915" t="s">
        <v>604</v>
      </c>
      <c r="D915" t="s">
        <v>734</v>
      </c>
      <c r="E915" t="s">
        <v>839</v>
      </c>
      <c r="F915">
        <v>1</v>
      </c>
      <c r="G915">
        <v>0.05</v>
      </c>
      <c r="H915" t="s">
        <v>861</v>
      </c>
      <c r="I915" t="str">
        <f>VLOOKUP(C915,Customers!A:C,2,FALSE)&amp;" "&amp;VLOOKUP(C915,Customers!A:C,3,FALSE)</f>
        <v>Amber Graham</v>
      </c>
      <c r="J915" t="str">
        <f>VLOOKUP(D915,Products!A:C,2,FALSE)</f>
        <v>Recognize Footwear</v>
      </c>
      <c r="K915" t="str">
        <f>VLOOKUP(D915,Products!A:C,3,FALSE)</f>
        <v>Fashion</v>
      </c>
      <c r="L915" t="str">
        <f>VLOOKUP(E915,Stores!A:B,2,FALSE)</f>
        <v>MegaMart New Michele</v>
      </c>
      <c r="M915">
        <f>VLOOKUP(D915,Products!A:E,5,FALSE)</f>
        <v>109.78</v>
      </c>
      <c r="N915" s="5">
        <f t="shared" si="14"/>
        <v>104.291</v>
      </c>
    </row>
    <row r="916" spans="1:14" x14ac:dyDescent="0.3">
      <c r="A916" t="s">
        <v>1772</v>
      </c>
      <c r="B916" s="2">
        <v>45350</v>
      </c>
      <c r="C916" t="s">
        <v>382</v>
      </c>
      <c r="D916" t="s">
        <v>747</v>
      </c>
      <c r="E916" t="s">
        <v>831</v>
      </c>
      <c r="F916">
        <v>1</v>
      </c>
      <c r="G916">
        <v>0</v>
      </c>
      <c r="H916" t="s">
        <v>858</v>
      </c>
      <c r="I916" t="str">
        <f>VLOOKUP(C916,Customers!A:C,2,FALSE)&amp;" "&amp;VLOOKUP(C916,Customers!A:C,3,FALSE)</f>
        <v>Carolyn Perez</v>
      </c>
      <c r="J916" t="str">
        <f>VLOOKUP(D916,Products!A:C,2,FALSE)</f>
        <v>World Watches</v>
      </c>
      <c r="K916" t="str">
        <f>VLOOKUP(D916,Products!A:C,3,FALSE)</f>
        <v>Fashion</v>
      </c>
      <c r="L916" t="str">
        <f>VLOOKUP(E916,Stores!A:B,2,FALSE)</f>
        <v>MegaMart Jimenezborough</v>
      </c>
      <c r="M916">
        <f>VLOOKUP(D916,Products!A:E,5,FALSE)</f>
        <v>1134.8</v>
      </c>
      <c r="N916" s="5">
        <f t="shared" si="14"/>
        <v>1134.8</v>
      </c>
    </row>
    <row r="917" spans="1:14" x14ac:dyDescent="0.3">
      <c r="A917" t="s">
        <v>1773</v>
      </c>
      <c r="B917" s="2">
        <v>45838</v>
      </c>
      <c r="C917" t="s">
        <v>512</v>
      </c>
      <c r="D917" t="s">
        <v>808</v>
      </c>
      <c r="E917" t="s">
        <v>831</v>
      </c>
      <c r="F917">
        <v>1</v>
      </c>
      <c r="G917">
        <v>0.15</v>
      </c>
      <c r="H917" t="s">
        <v>865</v>
      </c>
      <c r="I917" t="str">
        <f>VLOOKUP(C917,Customers!A:C,2,FALSE)&amp;" "&amp;VLOOKUP(C917,Customers!A:C,3,FALSE)</f>
        <v>Adam Lucas</v>
      </c>
      <c r="J917" t="str">
        <f>VLOOKUP(D917,Products!A:C,2,FALSE)</f>
        <v>Present Television</v>
      </c>
      <c r="K917" t="str">
        <f>VLOOKUP(D917,Products!A:C,3,FALSE)</f>
        <v>Electronics</v>
      </c>
      <c r="L917" t="str">
        <f>VLOOKUP(E917,Stores!A:B,2,FALSE)</f>
        <v>MegaMart Jimenezborough</v>
      </c>
      <c r="M917">
        <f>VLOOKUP(D917,Products!A:E,5,FALSE)</f>
        <v>1635.01</v>
      </c>
      <c r="N917" s="5">
        <f t="shared" si="14"/>
        <v>1389.7584999999999</v>
      </c>
    </row>
    <row r="918" spans="1:14" x14ac:dyDescent="0.3">
      <c r="A918" t="s">
        <v>1774</v>
      </c>
      <c r="B918" s="2">
        <v>45354</v>
      </c>
      <c r="C918" t="s">
        <v>109</v>
      </c>
      <c r="D918" t="s">
        <v>812</v>
      </c>
      <c r="E918" t="s">
        <v>839</v>
      </c>
      <c r="F918">
        <v>5</v>
      </c>
      <c r="G918">
        <v>0.05</v>
      </c>
      <c r="H918" t="s">
        <v>865</v>
      </c>
      <c r="I918" t="str">
        <f>VLOOKUP(C918,Customers!A:C,2,FALSE)&amp;" "&amp;VLOOKUP(C918,Customers!A:C,3,FALSE)</f>
        <v>Jacqueline Martin</v>
      </c>
      <c r="J918" t="str">
        <f>VLOOKUP(D918,Products!A:C,2,FALSE)</f>
        <v>Soon Accessories</v>
      </c>
      <c r="K918" t="str">
        <f>VLOOKUP(D918,Products!A:C,3,FALSE)</f>
        <v>Fashion</v>
      </c>
      <c r="L918" t="str">
        <f>VLOOKUP(E918,Stores!A:B,2,FALSE)</f>
        <v>MegaMart New Michele</v>
      </c>
      <c r="M918">
        <f>VLOOKUP(D918,Products!A:E,5,FALSE)</f>
        <v>564.41999999999996</v>
      </c>
      <c r="N918" s="5">
        <f t="shared" si="14"/>
        <v>2680.9949999999999</v>
      </c>
    </row>
    <row r="919" spans="1:14" x14ac:dyDescent="0.3">
      <c r="A919" t="s">
        <v>1775</v>
      </c>
      <c r="B919" s="2">
        <v>45717</v>
      </c>
      <c r="C919" t="s">
        <v>599</v>
      </c>
      <c r="D919" t="s">
        <v>774</v>
      </c>
      <c r="E919" t="s">
        <v>842</v>
      </c>
      <c r="F919">
        <v>3</v>
      </c>
      <c r="G919">
        <v>0.05</v>
      </c>
      <c r="H919" t="s">
        <v>861</v>
      </c>
      <c r="I919" t="str">
        <f>VLOOKUP(C919,Customers!A:C,2,FALSE)&amp;" "&amp;VLOOKUP(C919,Customers!A:C,3,FALSE)</f>
        <v>Richard Jones</v>
      </c>
      <c r="J919" t="str">
        <f>VLOOKUP(D919,Products!A:C,2,FALSE)</f>
        <v>Him Smartphone</v>
      </c>
      <c r="K919" t="str">
        <f>VLOOKUP(D919,Products!A:C,3,FALSE)</f>
        <v>Electronics</v>
      </c>
      <c r="L919" t="str">
        <f>VLOOKUP(E919,Stores!A:B,2,FALSE)</f>
        <v>MegaMart Brianahaven</v>
      </c>
      <c r="M919">
        <f>VLOOKUP(D919,Products!A:E,5,FALSE)</f>
        <v>1487.41</v>
      </c>
      <c r="N919" s="5">
        <f t="shared" si="14"/>
        <v>4239.1185000000005</v>
      </c>
    </row>
    <row r="920" spans="1:14" x14ac:dyDescent="0.3">
      <c r="A920" t="s">
        <v>1776</v>
      </c>
      <c r="B920" s="2">
        <v>45636</v>
      </c>
      <c r="C920" t="s">
        <v>666</v>
      </c>
      <c r="D920" t="s">
        <v>778</v>
      </c>
      <c r="E920" t="s">
        <v>839</v>
      </c>
      <c r="F920">
        <v>4</v>
      </c>
      <c r="G920">
        <v>0.05</v>
      </c>
      <c r="H920" t="s">
        <v>861</v>
      </c>
      <c r="I920" t="str">
        <f>VLOOKUP(C920,Customers!A:C,2,FALSE)&amp;" "&amp;VLOOKUP(C920,Customers!A:C,3,FALSE)</f>
        <v>Steve Flynn</v>
      </c>
      <c r="J920" t="str">
        <f>VLOOKUP(D920,Products!A:C,2,FALSE)</f>
        <v>Behavior Dairy</v>
      </c>
      <c r="K920" t="str">
        <f>VLOOKUP(D920,Products!A:C,3,FALSE)</f>
        <v>Groceries</v>
      </c>
      <c r="L920" t="str">
        <f>VLOOKUP(E920,Stores!A:B,2,FALSE)</f>
        <v>MegaMart New Michele</v>
      </c>
      <c r="M920">
        <f>VLOOKUP(D920,Products!A:E,5,FALSE)</f>
        <v>1015.76</v>
      </c>
      <c r="N920" s="5">
        <f t="shared" si="14"/>
        <v>3859.8879999999999</v>
      </c>
    </row>
    <row r="921" spans="1:14" x14ac:dyDescent="0.3">
      <c r="A921" t="s">
        <v>1777</v>
      </c>
      <c r="B921" s="2">
        <v>45726</v>
      </c>
      <c r="C921" t="s">
        <v>494</v>
      </c>
      <c r="D921" t="s">
        <v>804</v>
      </c>
      <c r="E921" t="s">
        <v>835</v>
      </c>
      <c r="F921">
        <v>1</v>
      </c>
      <c r="G921">
        <v>0</v>
      </c>
      <c r="H921" t="s">
        <v>855</v>
      </c>
      <c r="I921" t="str">
        <f>VLOOKUP(C921,Customers!A:C,2,FALSE)&amp;" "&amp;VLOOKUP(C921,Customers!A:C,3,FALSE)</f>
        <v>Mario Cuevas</v>
      </c>
      <c r="J921" t="str">
        <f>VLOOKUP(D921,Products!A:C,2,FALSE)</f>
        <v>Church Clothing</v>
      </c>
      <c r="K921" t="str">
        <f>VLOOKUP(D921,Products!A:C,3,FALSE)</f>
        <v>Fashion</v>
      </c>
      <c r="L921" t="str">
        <f>VLOOKUP(E921,Stores!A:B,2,FALSE)</f>
        <v>MegaMart Peckmouth</v>
      </c>
      <c r="M921">
        <f>VLOOKUP(D921,Products!A:E,5,FALSE)</f>
        <v>540.94000000000005</v>
      </c>
      <c r="N921" s="5">
        <f t="shared" si="14"/>
        <v>540.94000000000005</v>
      </c>
    </row>
    <row r="922" spans="1:14" x14ac:dyDescent="0.3">
      <c r="A922" t="s">
        <v>1778</v>
      </c>
      <c r="B922" s="2">
        <v>45748</v>
      </c>
      <c r="C922" t="s">
        <v>317</v>
      </c>
      <c r="D922" t="s">
        <v>796</v>
      </c>
      <c r="E922" t="s">
        <v>842</v>
      </c>
      <c r="F922">
        <v>4</v>
      </c>
      <c r="G922">
        <v>0.1</v>
      </c>
      <c r="H922" t="s">
        <v>858</v>
      </c>
      <c r="I922" t="str">
        <f>VLOOKUP(C922,Customers!A:C,2,FALSE)&amp;" "&amp;VLOOKUP(C922,Customers!A:C,3,FALSE)</f>
        <v>Amanda Lee</v>
      </c>
      <c r="J922" t="str">
        <f>VLOOKUP(D922,Products!A:C,2,FALSE)</f>
        <v>Chair Laptop</v>
      </c>
      <c r="K922" t="str">
        <f>VLOOKUP(D922,Products!A:C,3,FALSE)</f>
        <v>Electronics</v>
      </c>
      <c r="L922" t="str">
        <f>VLOOKUP(E922,Stores!A:B,2,FALSE)</f>
        <v>MegaMart Brianahaven</v>
      </c>
      <c r="M922">
        <f>VLOOKUP(D922,Products!A:E,5,FALSE)</f>
        <v>1562.43</v>
      </c>
      <c r="N922" s="5">
        <f t="shared" si="14"/>
        <v>5624.7480000000005</v>
      </c>
    </row>
    <row r="923" spans="1:14" x14ac:dyDescent="0.3">
      <c r="A923" t="s">
        <v>1779</v>
      </c>
      <c r="B923" s="2">
        <v>45711</v>
      </c>
      <c r="C923" t="s">
        <v>137</v>
      </c>
      <c r="D923" t="s">
        <v>774</v>
      </c>
      <c r="E923" t="s">
        <v>846</v>
      </c>
      <c r="F923">
        <v>2</v>
      </c>
      <c r="G923">
        <v>0.15</v>
      </c>
      <c r="H923" t="s">
        <v>858</v>
      </c>
      <c r="I923" t="str">
        <f>VLOOKUP(C923,Customers!A:C,2,FALSE)&amp;" "&amp;VLOOKUP(C923,Customers!A:C,3,FALSE)</f>
        <v>Kimberly King</v>
      </c>
      <c r="J923" t="str">
        <f>VLOOKUP(D923,Products!A:C,2,FALSE)</f>
        <v>Him Smartphone</v>
      </c>
      <c r="K923" t="str">
        <f>VLOOKUP(D923,Products!A:C,3,FALSE)</f>
        <v>Electronics</v>
      </c>
      <c r="L923" t="str">
        <f>VLOOKUP(E923,Stores!A:B,2,FALSE)</f>
        <v>MegaMart Johnmouth</v>
      </c>
      <c r="M923">
        <f>VLOOKUP(D923,Products!A:E,5,FALSE)</f>
        <v>1487.41</v>
      </c>
      <c r="N923" s="5">
        <f t="shared" si="14"/>
        <v>2528.5970000000002</v>
      </c>
    </row>
    <row r="924" spans="1:14" x14ac:dyDescent="0.3">
      <c r="A924" t="s">
        <v>1780</v>
      </c>
      <c r="B924" s="2">
        <v>45600</v>
      </c>
      <c r="C924" t="s">
        <v>494</v>
      </c>
      <c r="D924" t="s">
        <v>747</v>
      </c>
      <c r="E924" t="s">
        <v>846</v>
      </c>
      <c r="F924">
        <v>3</v>
      </c>
      <c r="G924">
        <v>0.1</v>
      </c>
      <c r="H924" t="s">
        <v>858</v>
      </c>
      <c r="I924" t="str">
        <f>VLOOKUP(C924,Customers!A:C,2,FALSE)&amp;" "&amp;VLOOKUP(C924,Customers!A:C,3,FALSE)</f>
        <v>Mario Cuevas</v>
      </c>
      <c r="J924" t="str">
        <f>VLOOKUP(D924,Products!A:C,2,FALSE)</f>
        <v>World Watches</v>
      </c>
      <c r="K924" t="str">
        <f>VLOOKUP(D924,Products!A:C,3,FALSE)</f>
        <v>Fashion</v>
      </c>
      <c r="L924" t="str">
        <f>VLOOKUP(E924,Stores!A:B,2,FALSE)</f>
        <v>MegaMart Johnmouth</v>
      </c>
      <c r="M924">
        <f>VLOOKUP(D924,Products!A:E,5,FALSE)</f>
        <v>1134.8</v>
      </c>
      <c r="N924" s="5">
        <f t="shared" si="14"/>
        <v>3063.9599999999996</v>
      </c>
    </row>
    <row r="925" spans="1:14" x14ac:dyDescent="0.3">
      <c r="A925" t="s">
        <v>1781</v>
      </c>
      <c r="B925" s="2">
        <v>45639</v>
      </c>
      <c r="C925" t="s">
        <v>505</v>
      </c>
      <c r="D925" t="s">
        <v>742</v>
      </c>
      <c r="E925" t="s">
        <v>835</v>
      </c>
      <c r="F925">
        <v>1</v>
      </c>
      <c r="G925">
        <v>0.15</v>
      </c>
      <c r="H925" t="s">
        <v>855</v>
      </c>
      <c r="I925" t="str">
        <f>VLOOKUP(C925,Customers!A:C,2,FALSE)&amp;" "&amp;VLOOKUP(C925,Customers!A:C,3,FALSE)</f>
        <v>Alexander Mcfarland</v>
      </c>
      <c r="J925" t="str">
        <f>VLOOKUP(D925,Products!A:C,2,FALSE)</f>
        <v>Either Headphones</v>
      </c>
      <c r="K925" t="str">
        <f>VLOOKUP(D925,Products!A:C,3,FALSE)</f>
        <v>Electronics</v>
      </c>
      <c r="L925" t="str">
        <f>VLOOKUP(E925,Stores!A:B,2,FALSE)</f>
        <v>MegaMart Peckmouth</v>
      </c>
      <c r="M925">
        <f>VLOOKUP(D925,Products!A:E,5,FALSE)</f>
        <v>248.57</v>
      </c>
      <c r="N925" s="5">
        <f t="shared" si="14"/>
        <v>211.28449999999998</v>
      </c>
    </row>
    <row r="926" spans="1:14" x14ac:dyDescent="0.3">
      <c r="A926" t="s">
        <v>1782</v>
      </c>
      <c r="B926" s="2">
        <v>45679</v>
      </c>
      <c r="C926" t="s">
        <v>355</v>
      </c>
      <c r="D926" t="s">
        <v>780</v>
      </c>
      <c r="E926" t="s">
        <v>842</v>
      </c>
      <c r="F926">
        <v>3</v>
      </c>
      <c r="G926">
        <v>0.05</v>
      </c>
      <c r="H926" t="s">
        <v>855</v>
      </c>
      <c r="I926" t="str">
        <f>VLOOKUP(C926,Customers!A:C,2,FALSE)&amp;" "&amp;VLOOKUP(C926,Customers!A:C,3,FALSE)</f>
        <v>Kimberly Stokes</v>
      </c>
      <c r="J926" t="str">
        <f>VLOOKUP(D926,Products!A:C,2,FALSE)</f>
        <v>Hospital Smartphone</v>
      </c>
      <c r="K926" t="str">
        <f>VLOOKUP(D926,Products!A:C,3,FALSE)</f>
        <v>Electronics</v>
      </c>
      <c r="L926" t="str">
        <f>VLOOKUP(E926,Stores!A:B,2,FALSE)</f>
        <v>MegaMart Brianahaven</v>
      </c>
      <c r="M926">
        <f>VLOOKUP(D926,Products!A:E,5,FALSE)</f>
        <v>1272.23</v>
      </c>
      <c r="N926" s="5">
        <f t="shared" si="14"/>
        <v>3625.8554999999997</v>
      </c>
    </row>
    <row r="927" spans="1:14" x14ac:dyDescent="0.3">
      <c r="A927" t="s">
        <v>1783</v>
      </c>
      <c r="B927" s="2">
        <v>45606</v>
      </c>
      <c r="C927" t="s">
        <v>15</v>
      </c>
      <c r="D927" t="s">
        <v>711</v>
      </c>
      <c r="E927" t="s">
        <v>831</v>
      </c>
      <c r="F927">
        <v>5</v>
      </c>
      <c r="G927">
        <v>0.05</v>
      </c>
      <c r="H927" t="s">
        <v>855</v>
      </c>
      <c r="I927" t="str">
        <f>VLOOKUP(C927,Customers!A:C,2,FALSE)&amp;" "&amp;VLOOKUP(C927,Customers!A:C,3,FALSE)</f>
        <v>Carol Hays</v>
      </c>
      <c r="J927" t="str">
        <f>VLOOKUP(D927,Products!A:C,2,FALSE)</f>
        <v>Like Camera</v>
      </c>
      <c r="K927" t="str">
        <f>VLOOKUP(D927,Products!A:C,3,FALSE)</f>
        <v>Electronics</v>
      </c>
      <c r="L927" t="str">
        <f>VLOOKUP(E927,Stores!A:B,2,FALSE)</f>
        <v>MegaMart Jimenezborough</v>
      </c>
      <c r="M927">
        <f>VLOOKUP(D927,Products!A:E,5,FALSE)</f>
        <v>1673.69</v>
      </c>
      <c r="N927" s="5">
        <f t="shared" si="14"/>
        <v>7950.0275000000001</v>
      </c>
    </row>
    <row r="928" spans="1:14" x14ac:dyDescent="0.3">
      <c r="A928" t="s">
        <v>1784</v>
      </c>
      <c r="B928" s="2">
        <v>45704</v>
      </c>
      <c r="C928" t="s">
        <v>280</v>
      </c>
      <c r="D928" t="s">
        <v>755</v>
      </c>
      <c r="E928" t="s">
        <v>842</v>
      </c>
      <c r="F928">
        <v>5</v>
      </c>
      <c r="G928">
        <v>0</v>
      </c>
      <c r="H928" t="s">
        <v>858</v>
      </c>
      <c r="I928" t="str">
        <f>VLOOKUP(C928,Customers!A:C,2,FALSE)&amp;" "&amp;VLOOKUP(C928,Customers!A:C,3,FALSE)</f>
        <v>Jesus Singh</v>
      </c>
      <c r="J928" t="str">
        <f>VLOOKUP(D928,Products!A:C,2,FALSE)</f>
        <v>House Accessories</v>
      </c>
      <c r="K928" t="str">
        <f>VLOOKUP(D928,Products!A:C,3,FALSE)</f>
        <v>Fashion</v>
      </c>
      <c r="L928" t="str">
        <f>VLOOKUP(E928,Stores!A:B,2,FALSE)</f>
        <v>MegaMart Brianahaven</v>
      </c>
      <c r="M928">
        <f>VLOOKUP(D928,Products!A:E,5,FALSE)</f>
        <v>1858.75</v>
      </c>
      <c r="N928" s="5">
        <f t="shared" si="14"/>
        <v>9293.75</v>
      </c>
    </row>
    <row r="929" spans="1:14" x14ac:dyDescent="0.3">
      <c r="A929" t="s">
        <v>1785</v>
      </c>
      <c r="B929" s="2">
        <v>45204</v>
      </c>
      <c r="C929" t="s">
        <v>683</v>
      </c>
      <c r="D929" t="s">
        <v>778</v>
      </c>
      <c r="E929" t="s">
        <v>842</v>
      </c>
      <c r="F929">
        <v>3</v>
      </c>
      <c r="G929">
        <v>0</v>
      </c>
      <c r="H929" t="s">
        <v>858</v>
      </c>
      <c r="I929" t="str">
        <f>VLOOKUP(C929,Customers!A:C,2,FALSE)&amp;" "&amp;VLOOKUP(C929,Customers!A:C,3,FALSE)</f>
        <v>Ann West</v>
      </c>
      <c r="J929" t="str">
        <f>VLOOKUP(D929,Products!A:C,2,FALSE)</f>
        <v>Behavior Dairy</v>
      </c>
      <c r="K929" t="str">
        <f>VLOOKUP(D929,Products!A:C,3,FALSE)</f>
        <v>Groceries</v>
      </c>
      <c r="L929" t="str">
        <f>VLOOKUP(E929,Stores!A:B,2,FALSE)</f>
        <v>MegaMart Brianahaven</v>
      </c>
      <c r="M929">
        <f>VLOOKUP(D929,Products!A:E,5,FALSE)</f>
        <v>1015.76</v>
      </c>
      <c r="N929" s="5">
        <f t="shared" si="14"/>
        <v>3047.2799999999997</v>
      </c>
    </row>
    <row r="930" spans="1:14" x14ac:dyDescent="0.3">
      <c r="A930" t="s">
        <v>1786</v>
      </c>
      <c r="B930" s="2">
        <v>45493</v>
      </c>
      <c r="C930" t="s">
        <v>284</v>
      </c>
      <c r="D930" t="s">
        <v>711</v>
      </c>
      <c r="E930" t="s">
        <v>846</v>
      </c>
      <c r="F930">
        <v>2</v>
      </c>
      <c r="G930">
        <v>0</v>
      </c>
      <c r="H930" t="s">
        <v>855</v>
      </c>
      <c r="I930" t="str">
        <f>VLOOKUP(C930,Customers!A:C,2,FALSE)&amp;" "&amp;VLOOKUP(C930,Customers!A:C,3,FALSE)</f>
        <v>Seth Moore</v>
      </c>
      <c r="J930" t="str">
        <f>VLOOKUP(D930,Products!A:C,2,FALSE)</f>
        <v>Like Camera</v>
      </c>
      <c r="K930" t="str">
        <f>VLOOKUP(D930,Products!A:C,3,FALSE)</f>
        <v>Electronics</v>
      </c>
      <c r="L930" t="str">
        <f>VLOOKUP(E930,Stores!A:B,2,FALSE)</f>
        <v>MegaMart Johnmouth</v>
      </c>
      <c r="M930">
        <f>VLOOKUP(D930,Products!A:E,5,FALSE)</f>
        <v>1673.69</v>
      </c>
      <c r="N930" s="5">
        <f t="shared" si="14"/>
        <v>3347.38</v>
      </c>
    </row>
    <row r="931" spans="1:14" x14ac:dyDescent="0.3">
      <c r="A931" t="s">
        <v>1787</v>
      </c>
      <c r="B931" s="2">
        <v>45872</v>
      </c>
      <c r="C931" t="s">
        <v>191</v>
      </c>
      <c r="D931" t="s">
        <v>725</v>
      </c>
      <c r="E931" t="s">
        <v>842</v>
      </c>
      <c r="F931">
        <v>5</v>
      </c>
      <c r="G931">
        <v>0.15</v>
      </c>
      <c r="H931" t="s">
        <v>858</v>
      </c>
      <c r="I931" t="str">
        <f>VLOOKUP(C931,Customers!A:C,2,FALSE)&amp;" "&amp;VLOOKUP(C931,Customers!A:C,3,FALSE)</f>
        <v>Antonio Hamilton</v>
      </c>
      <c r="J931" t="str">
        <f>VLOOKUP(D931,Products!A:C,2,FALSE)</f>
        <v>Knowledge Bags</v>
      </c>
      <c r="K931" t="str">
        <f>VLOOKUP(D931,Products!A:C,3,FALSE)</f>
        <v>Fashion</v>
      </c>
      <c r="L931" t="str">
        <f>VLOOKUP(E931,Stores!A:B,2,FALSE)</f>
        <v>MegaMart Brianahaven</v>
      </c>
      <c r="M931">
        <f>VLOOKUP(D931,Products!A:E,5,FALSE)</f>
        <v>1396.22</v>
      </c>
      <c r="N931" s="5">
        <f t="shared" si="14"/>
        <v>5933.9350000000004</v>
      </c>
    </row>
    <row r="932" spans="1:14" x14ac:dyDescent="0.3">
      <c r="A932" t="s">
        <v>1788</v>
      </c>
      <c r="B932" s="2">
        <v>45756</v>
      </c>
      <c r="C932" t="s">
        <v>243</v>
      </c>
      <c r="D932" t="s">
        <v>778</v>
      </c>
      <c r="E932" t="s">
        <v>835</v>
      </c>
      <c r="F932">
        <v>4</v>
      </c>
      <c r="G932">
        <v>0.15</v>
      </c>
      <c r="H932" t="s">
        <v>861</v>
      </c>
      <c r="I932" t="str">
        <f>VLOOKUP(C932,Customers!A:C,2,FALSE)&amp;" "&amp;VLOOKUP(C932,Customers!A:C,3,FALSE)</f>
        <v>Amanda Hoover</v>
      </c>
      <c r="J932" t="str">
        <f>VLOOKUP(D932,Products!A:C,2,FALSE)</f>
        <v>Behavior Dairy</v>
      </c>
      <c r="K932" t="str">
        <f>VLOOKUP(D932,Products!A:C,3,FALSE)</f>
        <v>Groceries</v>
      </c>
      <c r="L932" t="str">
        <f>VLOOKUP(E932,Stores!A:B,2,FALSE)</f>
        <v>MegaMart Peckmouth</v>
      </c>
      <c r="M932">
        <f>VLOOKUP(D932,Products!A:E,5,FALSE)</f>
        <v>1015.76</v>
      </c>
      <c r="N932" s="5">
        <f t="shared" si="14"/>
        <v>3453.5839999999998</v>
      </c>
    </row>
    <row r="933" spans="1:14" x14ac:dyDescent="0.3">
      <c r="A933" t="s">
        <v>1789</v>
      </c>
      <c r="B933" s="2">
        <v>45894</v>
      </c>
      <c r="C933" t="s">
        <v>258</v>
      </c>
      <c r="D933" t="s">
        <v>718</v>
      </c>
      <c r="E933" t="s">
        <v>831</v>
      </c>
      <c r="F933">
        <v>4</v>
      </c>
      <c r="G933">
        <v>0.05</v>
      </c>
      <c r="H933" t="s">
        <v>855</v>
      </c>
      <c r="I933" t="str">
        <f>VLOOKUP(C933,Customers!A:C,2,FALSE)&amp;" "&amp;VLOOKUP(C933,Customers!A:C,3,FALSE)</f>
        <v>Alexandra Montoya</v>
      </c>
      <c r="J933" t="str">
        <f>VLOOKUP(D933,Products!A:C,2,FALSE)</f>
        <v>Here Footwear</v>
      </c>
      <c r="K933" t="str">
        <f>VLOOKUP(D933,Products!A:C,3,FALSE)</f>
        <v>Fashion</v>
      </c>
      <c r="L933" t="str">
        <f>VLOOKUP(E933,Stores!A:B,2,FALSE)</f>
        <v>MegaMart Jimenezborough</v>
      </c>
      <c r="M933">
        <f>VLOOKUP(D933,Products!A:E,5,FALSE)</f>
        <v>337.63</v>
      </c>
      <c r="N933" s="5">
        <f t="shared" si="14"/>
        <v>1282.9939999999999</v>
      </c>
    </row>
    <row r="934" spans="1:14" x14ac:dyDescent="0.3">
      <c r="A934" t="s">
        <v>1790</v>
      </c>
      <c r="B934" s="2">
        <v>45278</v>
      </c>
      <c r="C934" t="s">
        <v>277</v>
      </c>
      <c r="D934" t="s">
        <v>753</v>
      </c>
      <c r="E934" t="s">
        <v>846</v>
      </c>
      <c r="F934">
        <v>3</v>
      </c>
      <c r="G934">
        <v>0.15</v>
      </c>
      <c r="H934" t="s">
        <v>861</v>
      </c>
      <c r="I934" t="str">
        <f>VLOOKUP(C934,Customers!A:C,2,FALSE)&amp;" "&amp;VLOOKUP(C934,Customers!A:C,3,FALSE)</f>
        <v>Carl Armstrong</v>
      </c>
      <c r="J934" t="str">
        <f>VLOOKUP(D934,Products!A:C,2,FALSE)</f>
        <v>Whether Bags</v>
      </c>
      <c r="K934" t="str">
        <f>VLOOKUP(D934,Products!A:C,3,FALSE)</f>
        <v>Fashion</v>
      </c>
      <c r="L934" t="str">
        <f>VLOOKUP(E934,Stores!A:B,2,FALSE)</f>
        <v>MegaMart Johnmouth</v>
      </c>
      <c r="M934">
        <f>VLOOKUP(D934,Products!A:E,5,FALSE)</f>
        <v>270.45</v>
      </c>
      <c r="N934" s="5">
        <f t="shared" si="14"/>
        <v>689.64749999999992</v>
      </c>
    </row>
    <row r="935" spans="1:14" x14ac:dyDescent="0.3">
      <c r="A935" t="s">
        <v>1791</v>
      </c>
      <c r="B935" s="2">
        <v>45691</v>
      </c>
      <c r="C935" t="s">
        <v>74</v>
      </c>
      <c r="D935" t="s">
        <v>810</v>
      </c>
      <c r="E935" t="s">
        <v>835</v>
      </c>
      <c r="F935">
        <v>2</v>
      </c>
      <c r="G935">
        <v>0.1</v>
      </c>
      <c r="H935" t="s">
        <v>865</v>
      </c>
      <c r="I935" t="str">
        <f>VLOOKUP(C935,Customers!A:C,2,FALSE)&amp;" "&amp;VLOOKUP(C935,Customers!A:C,3,FALSE)</f>
        <v>Breanna Davis</v>
      </c>
      <c r="J935" t="str">
        <f>VLOOKUP(D935,Products!A:C,2,FALSE)</f>
        <v>Maybe Clothing</v>
      </c>
      <c r="K935" t="str">
        <f>VLOOKUP(D935,Products!A:C,3,FALSE)</f>
        <v>Fashion</v>
      </c>
      <c r="L935" t="str">
        <f>VLOOKUP(E935,Stores!A:B,2,FALSE)</f>
        <v>MegaMart Peckmouth</v>
      </c>
      <c r="M935">
        <f>VLOOKUP(D935,Products!A:E,5,FALSE)</f>
        <v>453.62</v>
      </c>
      <c r="N935" s="5">
        <f t="shared" si="14"/>
        <v>816.51600000000008</v>
      </c>
    </row>
    <row r="936" spans="1:14" x14ac:dyDescent="0.3">
      <c r="A936" t="s">
        <v>1792</v>
      </c>
      <c r="B936" s="2">
        <v>45423</v>
      </c>
      <c r="C936" t="s">
        <v>585</v>
      </c>
      <c r="D936" t="s">
        <v>822</v>
      </c>
      <c r="E936" t="s">
        <v>842</v>
      </c>
      <c r="F936">
        <v>5</v>
      </c>
      <c r="G936">
        <v>0.15</v>
      </c>
      <c r="H936" t="s">
        <v>855</v>
      </c>
      <c r="I936" t="str">
        <f>VLOOKUP(C936,Customers!A:C,2,FALSE)&amp;" "&amp;VLOOKUP(C936,Customers!A:C,3,FALSE)</f>
        <v>Linda Vasquez</v>
      </c>
      <c r="J936" t="str">
        <f>VLOOKUP(D936,Products!A:C,2,FALSE)</f>
        <v>Nor Bags</v>
      </c>
      <c r="K936" t="str">
        <f>VLOOKUP(D936,Products!A:C,3,FALSE)</f>
        <v>Fashion</v>
      </c>
      <c r="L936" t="str">
        <f>VLOOKUP(E936,Stores!A:B,2,FALSE)</f>
        <v>MegaMart Brianahaven</v>
      </c>
      <c r="M936">
        <f>VLOOKUP(D936,Products!A:E,5,FALSE)</f>
        <v>1216.3599999999999</v>
      </c>
      <c r="N936" s="5">
        <f t="shared" si="14"/>
        <v>5169.5299999999988</v>
      </c>
    </row>
    <row r="937" spans="1:14" x14ac:dyDescent="0.3">
      <c r="A937" t="s">
        <v>1793</v>
      </c>
      <c r="B937" s="2">
        <v>45556</v>
      </c>
      <c r="C937" t="s">
        <v>636</v>
      </c>
      <c r="D937" t="s">
        <v>778</v>
      </c>
      <c r="E937" t="s">
        <v>846</v>
      </c>
      <c r="F937">
        <v>4</v>
      </c>
      <c r="G937">
        <v>0.05</v>
      </c>
      <c r="H937" t="s">
        <v>855</v>
      </c>
      <c r="I937" t="str">
        <f>VLOOKUP(C937,Customers!A:C,2,FALSE)&amp;" "&amp;VLOOKUP(C937,Customers!A:C,3,FALSE)</f>
        <v>Nichole Calhoun</v>
      </c>
      <c r="J937" t="str">
        <f>VLOOKUP(D937,Products!A:C,2,FALSE)</f>
        <v>Behavior Dairy</v>
      </c>
      <c r="K937" t="str">
        <f>VLOOKUP(D937,Products!A:C,3,FALSE)</f>
        <v>Groceries</v>
      </c>
      <c r="L937" t="str">
        <f>VLOOKUP(E937,Stores!A:B,2,FALSE)</f>
        <v>MegaMart Johnmouth</v>
      </c>
      <c r="M937">
        <f>VLOOKUP(D937,Products!A:E,5,FALSE)</f>
        <v>1015.76</v>
      </c>
      <c r="N937" s="5">
        <f t="shared" si="14"/>
        <v>3859.8879999999999</v>
      </c>
    </row>
    <row r="938" spans="1:14" x14ac:dyDescent="0.3">
      <c r="A938" t="s">
        <v>1794</v>
      </c>
      <c r="B938" s="2">
        <v>45333</v>
      </c>
      <c r="C938" t="s">
        <v>24</v>
      </c>
      <c r="D938" t="s">
        <v>800</v>
      </c>
      <c r="E938" t="s">
        <v>835</v>
      </c>
      <c r="F938">
        <v>1</v>
      </c>
      <c r="G938">
        <v>0</v>
      </c>
      <c r="H938" t="s">
        <v>861</v>
      </c>
      <c r="I938" t="str">
        <f>VLOOKUP(C938,Customers!A:C,2,FALSE)&amp;" "&amp;VLOOKUP(C938,Customers!A:C,3,FALSE)</f>
        <v>Jamie Salinas</v>
      </c>
      <c r="J938" t="str">
        <f>VLOOKUP(D938,Products!A:C,2,FALSE)</f>
        <v>Book Television</v>
      </c>
      <c r="K938" t="str">
        <f>VLOOKUP(D938,Products!A:C,3,FALSE)</f>
        <v>Electronics</v>
      </c>
      <c r="L938" t="str">
        <f>VLOOKUP(E938,Stores!A:B,2,FALSE)</f>
        <v>MegaMart Peckmouth</v>
      </c>
      <c r="M938">
        <f>VLOOKUP(D938,Products!A:E,5,FALSE)</f>
        <v>1952.65</v>
      </c>
      <c r="N938" s="5">
        <f t="shared" si="14"/>
        <v>1952.65</v>
      </c>
    </row>
    <row r="939" spans="1:14" x14ac:dyDescent="0.3">
      <c r="A939" t="s">
        <v>1795</v>
      </c>
      <c r="B939" s="2">
        <v>45424</v>
      </c>
      <c r="C939" t="s">
        <v>109</v>
      </c>
      <c r="D939" t="s">
        <v>769</v>
      </c>
      <c r="E939" t="s">
        <v>839</v>
      </c>
      <c r="F939">
        <v>3</v>
      </c>
      <c r="G939">
        <v>0.05</v>
      </c>
      <c r="H939" t="s">
        <v>858</v>
      </c>
      <c r="I939" t="str">
        <f>VLOOKUP(C939,Customers!A:C,2,FALSE)&amp;" "&amp;VLOOKUP(C939,Customers!A:C,3,FALSE)</f>
        <v>Jacqueline Martin</v>
      </c>
      <c r="J939" t="str">
        <f>VLOOKUP(D939,Products!A:C,2,FALSE)</f>
        <v>How Vegetables</v>
      </c>
      <c r="K939" t="str">
        <f>VLOOKUP(D939,Products!A:C,3,FALSE)</f>
        <v>Groceries</v>
      </c>
      <c r="L939" t="str">
        <f>VLOOKUP(E939,Stores!A:B,2,FALSE)</f>
        <v>MegaMart New Michele</v>
      </c>
      <c r="M939">
        <f>VLOOKUP(D939,Products!A:E,5,FALSE)</f>
        <v>25.57</v>
      </c>
      <c r="N939" s="5">
        <f t="shared" si="14"/>
        <v>72.874499999999998</v>
      </c>
    </row>
    <row r="940" spans="1:14" x14ac:dyDescent="0.3">
      <c r="A940" t="s">
        <v>1796</v>
      </c>
      <c r="B940" s="2">
        <v>45764</v>
      </c>
      <c r="C940" t="s">
        <v>661</v>
      </c>
      <c r="D940" t="s">
        <v>792</v>
      </c>
      <c r="E940" t="s">
        <v>831</v>
      </c>
      <c r="F940">
        <v>2</v>
      </c>
      <c r="G940">
        <v>0</v>
      </c>
      <c r="H940" t="s">
        <v>861</v>
      </c>
      <c r="I940" t="str">
        <f>VLOOKUP(C940,Customers!A:C,2,FALSE)&amp;" "&amp;VLOOKUP(C940,Customers!A:C,3,FALSE)</f>
        <v>Cynthia Cherry</v>
      </c>
      <c r="J940" t="str">
        <f>VLOOKUP(D940,Products!A:C,2,FALSE)</f>
        <v>Beat Accessories</v>
      </c>
      <c r="K940" t="str">
        <f>VLOOKUP(D940,Products!A:C,3,FALSE)</f>
        <v>Fashion</v>
      </c>
      <c r="L940" t="str">
        <f>VLOOKUP(E940,Stores!A:B,2,FALSE)</f>
        <v>MegaMart Jimenezborough</v>
      </c>
      <c r="M940">
        <f>VLOOKUP(D940,Products!A:E,5,FALSE)</f>
        <v>1798.97</v>
      </c>
      <c r="N940" s="5">
        <f t="shared" si="14"/>
        <v>3597.94</v>
      </c>
    </row>
    <row r="941" spans="1:14" x14ac:dyDescent="0.3">
      <c r="A941" t="s">
        <v>1797</v>
      </c>
      <c r="B941" s="2">
        <v>45491</v>
      </c>
      <c r="C941" t="s">
        <v>20</v>
      </c>
      <c r="D941" t="s">
        <v>755</v>
      </c>
      <c r="E941" t="s">
        <v>842</v>
      </c>
      <c r="F941">
        <v>2</v>
      </c>
      <c r="G941">
        <v>0.1</v>
      </c>
      <c r="H941" t="s">
        <v>858</v>
      </c>
      <c r="I941" t="str">
        <f>VLOOKUP(C941,Customers!A:C,2,FALSE)&amp;" "&amp;VLOOKUP(C941,Customers!A:C,3,FALSE)</f>
        <v>Joseph Ward</v>
      </c>
      <c r="J941" t="str">
        <f>VLOOKUP(D941,Products!A:C,2,FALSE)</f>
        <v>House Accessories</v>
      </c>
      <c r="K941" t="str">
        <f>VLOOKUP(D941,Products!A:C,3,FALSE)</f>
        <v>Fashion</v>
      </c>
      <c r="L941" t="str">
        <f>VLOOKUP(E941,Stores!A:B,2,FALSE)</f>
        <v>MegaMart Brianahaven</v>
      </c>
      <c r="M941">
        <f>VLOOKUP(D941,Products!A:E,5,FALSE)</f>
        <v>1858.75</v>
      </c>
      <c r="N941" s="5">
        <f t="shared" si="14"/>
        <v>3345.75</v>
      </c>
    </row>
    <row r="942" spans="1:14" x14ac:dyDescent="0.3">
      <c r="A942" t="s">
        <v>1798</v>
      </c>
      <c r="B942" s="2">
        <v>45315</v>
      </c>
      <c r="C942" t="s">
        <v>302</v>
      </c>
      <c r="D942" t="s">
        <v>790</v>
      </c>
      <c r="E942" t="s">
        <v>842</v>
      </c>
      <c r="F942">
        <v>3</v>
      </c>
      <c r="G942">
        <v>0.15</v>
      </c>
      <c r="H942" t="s">
        <v>865</v>
      </c>
      <c r="I942" t="str">
        <f>VLOOKUP(C942,Customers!A:C,2,FALSE)&amp;" "&amp;VLOOKUP(C942,Customers!A:C,3,FALSE)</f>
        <v>Grace Garcia</v>
      </c>
      <c r="J942" t="str">
        <f>VLOOKUP(D942,Products!A:C,2,FALSE)</f>
        <v>Difficult Vegetables</v>
      </c>
      <c r="K942" t="str">
        <f>VLOOKUP(D942,Products!A:C,3,FALSE)</f>
        <v>Groceries</v>
      </c>
      <c r="L942" t="str">
        <f>VLOOKUP(E942,Stores!A:B,2,FALSE)</f>
        <v>MegaMart Brianahaven</v>
      </c>
      <c r="M942">
        <f>VLOOKUP(D942,Products!A:E,5,FALSE)</f>
        <v>304.70999999999998</v>
      </c>
      <c r="N942" s="5">
        <f t="shared" si="14"/>
        <v>777.01049999999987</v>
      </c>
    </row>
    <row r="943" spans="1:14" x14ac:dyDescent="0.3">
      <c r="A943" t="s">
        <v>1799</v>
      </c>
      <c r="B943" s="2">
        <v>45779</v>
      </c>
      <c r="C943" t="s">
        <v>320</v>
      </c>
      <c r="D943" t="s">
        <v>750</v>
      </c>
      <c r="E943" t="s">
        <v>831</v>
      </c>
      <c r="F943">
        <v>2</v>
      </c>
      <c r="G943">
        <v>0</v>
      </c>
      <c r="H943" t="s">
        <v>855</v>
      </c>
      <c r="I943" t="str">
        <f>VLOOKUP(C943,Customers!A:C,2,FALSE)&amp;" "&amp;VLOOKUP(C943,Customers!A:C,3,FALSE)</f>
        <v>Juan Ramirez</v>
      </c>
      <c r="J943" t="str">
        <f>VLOOKUP(D943,Products!A:C,2,FALSE)</f>
        <v>Add Clothing</v>
      </c>
      <c r="K943" t="str">
        <f>VLOOKUP(D943,Products!A:C,3,FALSE)</f>
        <v>Fashion</v>
      </c>
      <c r="L943" t="str">
        <f>VLOOKUP(E943,Stores!A:B,2,FALSE)</f>
        <v>MegaMart Jimenezborough</v>
      </c>
      <c r="M943">
        <f>VLOOKUP(D943,Products!A:E,5,FALSE)</f>
        <v>1342.75</v>
      </c>
      <c r="N943" s="5">
        <f t="shared" si="14"/>
        <v>2685.5</v>
      </c>
    </row>
    <row r="944" spans="1:14" x14ac:dyDescent="0.3">
      <c r="A944" t="s">
        <v>1800</v>
      </c>
      <c r="B944" s="2">
        <v>45828</v>
      </c>
      <c r="C944" t="s">
        <v>700</v>
      </c>
      <c r="D944" t="s">
        <v>816</v>
      </c>
      <c r="E944" t="s">
        <v>842</v>
      </c>
      <c r="F944">
        <v>1</v>
      </c>
      <c r="G944">
        <v>0.15</v>
      </c>
      <c r="H944" t="s">
        <v>861</v>
      </c>
      <c r="I944" t="str">
        <f>VLOOKUP(C944,Customers!A:C,2,FALSE)&amp;" "&amp;VLOOKUP(C944,Customers!A:C,3,FALSE)</f>
        <v>Juan Johnson</v>
      </c>
      <c r="J944" t="str">
        <f>VLOOKUP(D944,Products!A:C,2,FALSE)</f>
        <v>Set Dairy</v>
      </c>
      <c r="K944" t="str">
        <f>VLOOKUP(D944,Products!A:C,3,FALSE)</f>
        <v>Groceries</v>
      </c>
      <c r="L944" t="str">
        <f>VLOOKUP(E944,Stores!A:B,2,FALSE)</f>
        <v>MegaMart Brianahaven</v>
      </c>
      <c r="M944">
        <f>VLOOKUP(D944,Products!A:E,5,FALSE)</f>
        <v>1879.08</v>
      </c>
      <c r="N944" s="5">
        <f t="shared" si="14"/>
        <v>1597.2179999999998</v>
      </c>
    </row>
    <row r="945" spans="1:14" x14ac:dyDescent="0.3">
      <c r="A945" t="s">
        <v>1801</v>
      </c>
      <c r="B945" s="2">
        <v>45617</v>
      </c>
      <c r="C945" t="s">
        <v>195</v>
      </c>
      <c r="D945" t="s">
        <v>761</v>
      </c>
      <c r="E945" t="s">
        <v>839</v>
      </c>
      <c r="F945">
        <v>4</v>
      </c>
      <c r="G945">
        <v>0</v>
      </c>
      <c r="H945" t="s">
        <v>865</v>
      </c>
      <c r="I945" t="str">
        <f>VLOOKUP(C945,Customers!A:C,2,FALSE)&amp;" "&amp;VLOOKUP(C945,Customers!A:C,3,FALSE)</f>
        <v>Kelly Mcmillan</v>
      </c>
      <c r="J945" t="str">
        <f>VLOOKUP(D945,Products!A:C,2,FALSE)</f>
        <v>Traditional Laptop</v>
      </c>
      <c r="K945" t="str">
        <f>VLOOKUP(D945,Products!A:C,3,FALSE)</f>
        <v>Electronics</v>
      </c>
      <c r="L945" t="str">
        <f>VLOOKUP(E945,Stores!A:B,2,FALSE)</f>
        <v>MegaMart New Michele</v>
      </c>
      <c r="M945">
        <f>VLOOKUP(D945,Products!A:E,5,FALSE)</f>
        <v>1762.92</v>
      </c>
      <c r="N945" s="5">
        <f t="shared" si="14"/>
        <v>7051.68</v>
      </c>
    </row>
    <row r="946" spans="1:14" x14ac:dyDescent="0.3">
      <c r="A946" t="s">
        <v>1802</v>
      </c>
      <c r="B946" s="2">
        <v>45875</v>
      </c>
      <c r="C946" t="s">
        <v>693</v>
      </c>
      <c r="D946" t="s">
        <v>739</v>
      </c>
      <c r="E946" t="s">
        <v>835</v>
      </c>
      <c r="F946">
        <v>4</v>
      </c>
      <c r="G946">
        <v>0.15</v>
      </c>
      <c r="H946" t="s">
        <v>861</v>
      </c>
      <c r="I946" t="str">
        <f>VLOOKUP(C946,Customers!A:C,2,FALSE)&amp;" "&amp;VLOOKUP(C946,Customers!A:C,3,FALSE)</f>
        <v>Matthew Dixon</v>
      </c>
      <c r="J946" t="str">
        <f>VLOOKUP(D946,Products!A:C,2,FALSE)</f>
        <v>Step Smartphone</v>
      </c>
      <c r="K946" t="str">
        <f>VLOOKUP(D946,Products!A:C,3,FALSE)</f>
        <v>Electronics</v>
      </c>
      <c r="L946" t="str">
        <f>VLOOKUP(E946,Stores!A:B,2,FALSE)</f>
        <v>MegaMart Peckmouth</v>
      </c>
      <c r="M946">
        <f>VLOOKUP(D946,Products!A:E,5,FALSE)</f>
        <v>1194.1199999999999</v>
      </c>
      <c r="N946" s="5">
        <f t="shared" si="14"/>
        <v>4060.0079999999994</v>
      </c>
    </row>
    <row r="947" spans="1:14" x14ac:dyDescent="0.3">
      <c r="A947" t="s">
        <v>1803</v>
      </c>
      <c r="B947" s="2">
        <v>45858</v>
      </c>
      <c r="C947" t="s">
        <v>666</v>
      </c>
      <c r="D947" t="s">
        <v>753</v>
      </c>
      <c r="E947" t="s">
        <v>831</v>
      </c>
      <c r="F947">
        <v>2</v>
      </c>
      <c r="G947">
        <v>0.15</v>
      </c>
      <c r="H947" t="s">
        <v>865</v>
      </c>
      <c r="I947" t="str">
        <f>VLOOKUP(C947,Customers!A:C,2,FALSE)&amp;" "&amp;VLOOKUP(C947,Customers!A:C,3,FALSE)</f>
        <v>Steve Flynn</v>
      </c>
      <c r="J947" t="str">
        <f>VLOOKUP(D947,Products!A:C,2,FALSE)</f>
        <v>Whether Bags</v>
      </c>
      <c r="K947" t="str">
        <f>VLOOKUP(D947,Products!A:C,3,FALSE)</f>
        <v>Fashion</v>
      </c>
      <c r="L947" t="str">
        <f>VLOOKUP(E947,Stores!A:B,2,FALSE)</f>
        <v>MegaMart Jimenezborough</v>
      </c>
      <c r="M947">
        <f>VLOOKUP(D947,Products!A:E,5,FALSE)</f>
        <v>270.45</v>
      </c>
      <c r="N947" s="5">
        <f t="shared" si="14"/>
        <v>459.76499999999999</v>
      </c>
    </row>
    <row r="948" spans="1:14" x14ac:dyDescent="0.3">
      <c r="A948" t="s">
        <v>1804</v>
      </c>
      <c r="B948" s="2">
        <v>45654</v>
      </c>
      <c r="C948" t="s">
        <v>491</v>
      </c>
      <c r="D948" t="s">
        <v>798</v>
      </c>
      <c r="E948" t="s">
        <v>835</v>
      </c>
      <c r="F948">
        <v>4</v>
      </c>
      <c r="G948">
        <v>0.15</v>
      </c>
      <c r="H948" t="s">
        <v>855</v>
      </c>
      <c r="I948" t="str">
        <f>VLOOKUP(C948,Customers!A:C,2,FALSE)&amp;" "&amp;VLOOKUP(C948,Customers!A:C,3,FALSE)</f>
        <v>Emily Hart</v>
      </c>
      <c r="J948" t="str">
        <f>VLOOKUP(D948,Products!A:C,2,FALSE)</f>
        <v>New Watches</v>
      </c>
      <c r="K948" t="str">
        <f>VLOOKUP(D948,Products!A:C,3,FALSE)</f>
        <v>Fashion</v>
      </c>
      <c r="L948" t="str">
        <f>VLOOKUP(E948,Stores!A:B,2,FALSE)</f>
        <v>MegaMart Peckmouth</v>
      </c>
      <c r="M948">
        <f>VLOOKUP(D948,Products!A:E,5,FALSE)</f>
        <v>1501.46</v>
      </c>
      <c r="N948" s="5">
        <f t="shared" si="14"/>
        <v>5104.9639999999999</v>
      </c>
    </row>
    <row r="949" spans="1:14" x14ac:dyDescent="0.3">
      <c r="A949" t="s">
        <v>1805</v>
      </c>
      <c r="B949" s="2">
        <v>45552</v>
      </c>
      <c r="C949" t="s">
        <v>313</v>
      </c>
      <c r="D949" t="s">
        <v>742</v>
      </c>
      <c r="E949" t="s">
        <v>835</v>
      </c>
      <c r="F949">
        <v>1</v>
      </c>
      <c r="G949">
        <v>0</v>
      </c>
      <c r="H949" t="s">
        <v>855</v>
      </c>
      <c r="I949" t="str">
        <f>VLOOKUP(C949,Customers!A:C,2,FALSE)&amp;" "&amp;VLOOKUP(C949,Customers!A:C,3,FALSE)</f>
        <v>Jeremy Robles</v>
      </c>
      <c r="J949" t="str">
        <f>VLOOKUP(D949,Products!A:C,2,FALSE)</f>
        <v>Either Headphones</v>
      </c>
      <c r="K949" t="str">
        <f>VLOOKUP(D949,Products!A:C,3,FALSE)</f>
        <v>Electronics</v>
      </c>
      <c r="L949" t="str">
        <f>VLOOKUP(E949,Stores!A:B,2,FALSE)</f>
        <v>MegaMart Peckmouth</v>
      </c>
      <c r="M949">
        <f>VLOOKUP(D949,Products!A:E,5,FALSE)</f>
        <v>248.57</v>
      </c>
      <c r="N949" s="5">
        <f t="shared" si="14"/>
        <v>248.57</v>
      </c>
    </row>
    <row r="950" spans="1:14" x14ac:dyDescent="0.3">
      <c r="A950" t="s">
        <v>1806</v>
      </c>
      <c r="B950" s="2">
        <v>45254</v>
      </c>
      <c r="C950" t="s">
        <v>458</v>
      </c>
      <c r="D950" t="s">
        <v>772</v>
      </c>
      <c r="E950" t="s">
        <v>839</v>
      </c>
      <c r="F950">
        <v>2</v>
      </c>
      <c r="G950">
        <v>0.1</v>
      </c>
      <c r="H950" t="s">
        <v>865</v>
      </c>
      <c r="I950" t="str">
        <f>VLOOKUP(C950,Customers!A:C,2,FALSE)&amp;" "&amp;VLOOKUP(C950,Customers!A:C,3,FALSE)</f>
        <v>Chad Roberts</v>
      </c>
      <c r="J950" t="str">
        <f>VLOOKUP(D950,Products!A:C,2,FALSE)</f>
        <v>And Footwear</v>
      </c>
      <c r="K950" t="str">
        <f>VLOOKUP(D950,Products!A:C,3,FALSE)</f>
        <v>Fashion</v>
      </c>
      <c r="L950" t="str">
        <f>VLOOKUP(E950,Stores!A:B,2,FALSE)</f>
        <v>MegaMart New Michele</v>
      </c>
      <c r="M950">
        <f>VLOOKUP(D950,Products!A:E,5,FALSE)</f>
        <v>1878.47</v>
      </c>
      <c r="N950" s="5">
        <f t="shared" si="14"/>
        <v>3381.2460000000001</v>
      </c>
    </row>
    <row r="951" spans="1:14" x14ac:dyDescent="0.3">
      <c r="A951" t="s">
        <v>1807</v>
      </c>
      <c r="B951" s="2">
        <v>45275</v>
      </c>
      <c r="C951" t="s">
        <v>608</v>
      </c>
      <c r="D951" t="s">
        <v>806</v>
      </c>
      <c r="E951" t="s">
        <v>835</v>
      </c>
      <c r="F951">
        <v>1</v>
      </c>
      <c r="G951">
        <v>0.05</v>
      </c>
      <c r="H951" t="s">
        <v>858</v>
      </c>
      <c r="I951" t="str">
        <f>VLOOKUP(C951,Customers!A:C,2,FALSE)&amp;" "&amp;VLOOKUP(C951,Customers!A:C,3,FALSE)</f>
        <v>Christina Dominguez</v>
      </c>
      <c r="J951" t="str">
        <f>VLOOKUP(D951,Products!A:C,2,FALSE)</f>
        <v>Piece Headphones</v>
      </c>
      <c r="K951" t="str">
        <f>VLOOKUP(D951,Products!A:C,3,FALSE)</f>
        <v>Electronics</v>
      </c>
      <c r="L951" t="str">
        <f>VLOOKUP(E951,Stores!A:B,2,FALSE)</f>
        <v>MegaMart Peckmouth</v>
      </c>
      <c r="M951">
        <f>VLOOKUP(D951,Products!A:E,5,FALSE)</f>
        <v>1745.61</v>
      </c>
      <c r="N951" s="5">
        <f t="shared" si="14"/>
        <v>1658.3294999999998</v>
      </c>
    </row>
    <row r="952" spans="1:14" x14ac:dyDescent="0.3">
      <c r="A952" t="s">
        <v>1808</v>
      </c>
      <c r="B952" s="2">
        <v>45856</v>
      </c>
      <c r="C952" t="s">
        <v>317</v>
      </c>
      <c r="D952" t="s">
        <v>776</v>
      </c>
      <c r="E952" t="s">
        <v>831</v>
      </c>
      <c r="F952">
        <v>2</v>
      </c>
      <c r="G952">
        <v>0.1</v>
      </c>
      <c r="H952" t="s">
        <v>865</v>
      </c>
      <c r="I952" t="str">
        <f>VLOOKUP(C952,Customers!A:C,2,FALSE)&amp;" "&amp;VLOOKUP(C952,Customers!A:C,3,FALSE)</f>
        <v>Amanda Lee</v>
      </c>
      <c r="J952" t="str">
        <f>VLOOKUP(D952,Products!A:C,2,FALSE)</f>
        <v>Little Watches</v>
      </c>
      <c r="K952" t="str">
        <f>VLOOKUP(D952,Products!A:C,3,FALSE)</f>
        <v>Fashion</v>
      </c>
      <c r="L952" t="str">
        <f>VLOOKUP(E952,Stores!A:B,2,FALSE)</f>
        <v>MegaMart Jimenezborough</v>
      </c>
      <c r="M952">
        <f>VLOOKUP(D952,Products!A:E,5,FALSE)</f>
        <v>429.15</v>
      </c>
      <c r="N952" s="5">
        <f t="shared" si="14"/>
        <v>772.47</v>
      </c>
    </row>
    <row r="953" spans="1:14" x14ac:dyDescent="0.3">
      <c r="A953" t="s">
        <v>1809</v>
      </c>
      <c r="B953" s="2">
        <v>45503</v>
      </c>
      <c r="C953" t="s">
        <v>382</v>
      </c>
      <c r="D953" t="s">
        <v>804</v>
      </c>
      <c r="E953" t="s">
        <v>835</v>
      </c>
      <c r="F953">
        <v>1</v>
      </c>
      <c r="G953">
        <v>0</v>
      </c>
      <c r="H953" t="s">
        <v>858</v>
      </c>
      <c r="I953" t="str">
        <f>VLOOKUP(C953,Customers!A:C,2,FALSE)&amp;" "&amp;VLOOKUP(C953,Customers!A:C,3,FALSE)</f>
        <v>Carolyn Perez</v>
      </c>
      <c r="J953" t="str">
        <f>VLOOKUP(D953,Products!A:C,2,FALSE)</f>
        <v>Church Clothing</v>
      </c>
      <c r="K953" t="str">
        <f>VLOOKUP(D953,Products!A:C,3,FALSE)</f>
        <v>Fashion</v>
      </c>
      <c r="L953" t="str">
        <f>VLOOKUP(E953,Stores!A:B,2,FALSE)</f>
        <v>MegaMart Peckmouth</v>
      </c>
      <c r="M953">
        <f>VLOOKUP(D953,Products!A:E,5,FALSE)</f>
        <v>540.94000000000005</v>
      </c>
      <c r="N953" s="5">
        <f t="shared" si="14"/>
        <v>540.94000000000005</v>
      </c>
    </row>
    <row r="954" spans="1:14" x14ac:dyDescent="0.3">
      <c r="A954" t="s">
        <v>1810</v>
      </c>
      <c r="B954" s="2">
        <v>45535</v>
      </c>
      <c r="C954" t="s">
        <v>627</v>
      </c>
      <c r="D954" t="s">
        <v>750</v>
      </c>
      <c r="E954" t="s">
        <v>846</v>
      </c>
      <c r="F954">
        <v>2</v>
      </c>
      <c r="G954">
        <v>0.1</v>
      </c>
      <c r="H954" t="s">
        <v>865</v>
      </c>
      <c r="I954" t="str">
        <f>VLOOKUP(C954,Customers!A:C,2,FALSE)&amp;" "&amp;VLOOKUP(C954,Customers!A:C,3,FALSE)</f>
        <v>Anthony Gould</v>
      </c>
      <c r="J954" t="str">
        <f>VLOOKUP(D954,Products!A:C,2,FALSE)</f>
        <v>Add Clothing</v>
      </c>
      <c r="K954" t="str">
        <f>VLOOKUP(D954,Products!A:C,3,FALSE)</f>
        <v>Fashion</v>
      </c>
      <c r="L954" t="str">
        <f>VLOOKUP(E954,Stores!A:B,2,FALSE)</f>
        <v>MegaMart Johnmouth</v>
      </c>
      <c r="M954">
        <f>VLOOKUP(D954,Products!A:E,5,FALSE)</f>
        <v>1342.75</v>
      </c>
      <c r="N954" s="5">
        <f t="shared" si="14"/>
        <v>2416.9500000000003</v>
      </c>
    </row>
    <row r="955" spans="1:14" x14ac:dyDescent="0.3">
      <c r="A955" t="s">
        <v>1811</v>
      </c>
      <c r="B955" s="2">
        <v>45515</v>
      </c>
      <c r="C955" t="s">
        <v>243</v>
      </c>
      <c r="D955" t="s">
        <v>732</v>
      </c>
      <c r="E955" t="s">
        <v>835</v>
      </c>
      <c r="F955">
        <v>4</v>
      </c>
      <c r="G955">
        <v>0</v>
      </c>
      <c r="H955" t="s">
        <v>855</v>
      </c>
      <c r="I955" t="str">
        <f>VLOOKUP(C955,Customers!A:C,2,FALSE)&amp;" "&amp;VLOOKUP(C955,Customers!A:C,3,FALSE)</f>
        <v>Amanda Hoover</v>
      </c>
      <c r="J955" t="str">
        <f>VLOOKUP(D955,Products!A:C,2,FALSE)</f>
        <v>Understand Camera</v>
      </c>
      <c r="K955" t="str">
        <f>VLOOKUP(D955,Products!A:C,3,FALSE)</f>
        <v>Electronics</v>
      </c>
      <c r="L955" t="str">
        <f>VLOOKUP(E955,Stores!A:B,2,FALSE)</f>
        <v>MegaMart Peckmouth</v>
      </c>
      <c r="M955">
        <f>VLOOKUP(D955,Products!A:E,5,FALSE)</f>
        <v>1474.12</v>
      </c>
      <c r="N955" s="5">
        <f t="shared" si="14"/>
        <v>5896.48</v>
      </c>
    </row>
    <row r="956" spans="1:14" x14ac:dyDescent="0.3">
      <c r="A956" t="s">
        <v>1812</v>
      </c>
      <c r="B956" s="2">
        <v>45420</v>
      </c>
      <c r="C956" t="s">
        <v>687</v>
      </c>
      <c r="D956" t="s">
        <v>802</v>
      </c>
      <c r="E956" t="s">
        <v>831</v>
      </c>
      <c r="F956">
        <v>1</v>
      </c>
      <c r="G956">
        <v>0.1</v>
      </c>
      <c r="H956" t="s">
        <v>861</v>
      </c>
      <c r="I956" t="str">
        <f>VLOOKUP(C956,Customers!A:C,2,FALSE)&amp;" "&amp;VLOOKUP(C956,Customers!A:C,3,FALSE)</f>
        <v>James Mitchell</v>
      </c>
      <c r="J956" t="str">
        <f>VLOOKUP(D956,Products!A:C,2,FALSE)</f>
        <v>Stage Footwear</v>
      </c>
      <c r="K956" t="str">
        <f>VLOOKUP(D956,Products!A:C,3,FALSE)</f>
        <v>Fashion</v>
      </c>
      <c r="L956" t="str">
        <f>VLOOKUP(E956,Stores!A:B,2,FALSE)</f>
        <v>MegaMart Jimenezborough</v>
      </c>
      <c r="M956">
        <f>VLOOKUP(D956,Products!A:E,5,FALSE)</f>
        <v>366.93</v>
      </c>
      <c r="N956" s="5">
        <f t="shared" si="14"/>
        <v>330.23700000000002</v>
      </c>
    </row>
    <row r="957" spans="1:14" x14ac:dyDescent="0.3">
      <c r="A957" t="s">
        <v>1813</v>
      </c>
      <c r="B957" s="2">
        <v>45621</v>
      </c>
      <c r="C957" t="s">
        <v>636</v>
      </c>
      <c r="D957" t="s">
        <v>810</v>
      </c>
      <c r="E957" t="s">
        <v>846</v>
      </c>
      <c r="F957">
        <v>1</v>
      </c>
      <c r="G957">
        <v>0.05</v>
      </c>
      <c r="H957" t="s">
        <v>858</v>
      </c>
      <c r="I957" t="str">
        <f>VLOOKUP(C957,Customers!A:C,2,FALSE)&amp;" "&amp;VLOOKUP(C957,Customers!A:C,3,FALSE)</f>
        <v>Nichole Calhoun</v>
      </c>
      <c r="J957" t="str">
        <f>VLOOKUP(D957,Products!A:C,2,FALSE)</f>
        <v>Maybe Clothing</v>
      </c>
      <c r="K957" t="str">
        <f>VLOOKUP(D957,Products!A:C,3,FALSE)</f>
        <v>Fashion</v>
      </c>
      <c r="L957" t="str">
        <f>VLOOKUP(E957,Stores!A:B,2,FALSE)</f>
        <v>MegaMart Johnmouth</v>
      </c>
      <c r="M957">
        <f>VLOOKUP(D957,Products!A:E,5,FALSE)</f>
        <v>453.62</v>
      </c>
      <c r="N957" s="5">
        <f t="shared" si="14"/>
        <v>430.93899999999996</v>
      </c>
    </row>
    <row r="958" spans="1:14" x14ac:dyDescent="0.3">
      <c r="A958" t="s">
        <v>1814</v>
      </c>
      <c r="B958" s="2">
        <v>45530</v>
      </c>
      <c r="C958" t="s">
        <v>230</v>
      </c>
      <c r="D958" t="s">
        <v>757</v>
      </c>
      <c r="E958" t="s">
        <v>839</v>
      </c>
      <c r="F958">
        <v>5</v>
      </c>
      <c r="G958">
        <v>0.1</v>
      </c>
      <c r="H958" t="s">
        <v>858</v>
      </c>
      <c r="I958" t="str">
        <f>VLOOKUP(C958,Customers!A:C,2,FALSE)&amp;" "&amp;VLOOKUP(C958,Customers!A:C,3,FALSE)</f>
        <v>Anthony Conway</v>
      </c>
      <c r="J958" t="str">
        <f>VLOOKUP(D958,Products!A:C,2,FALSE)</f>
        <v>Find Headphones</v>
      </c>
      <c r="K958" t="str">
        <f>VLOOKUP(D958,Products!A:C,3,FALSE)</f>
        <v>Electronics</v>
      </c>
      <c r="L958" t="str">
        <f>VLOOKUP(E958,Stores!A:B,2,FALSE)</f>
        <v>MegaMart New Michele</v>
      </c>
      <c r="M958">
        <f>VLOOKUP(D958,Products!A:E,5,FALSE)</f>
        <v>1246.1099999999999</v>
      </c>
      <c r="N958" s="5">
        <f t="shared" si="14"/>
        <v>5607.4949999999999</v>
      </c>
    </row>
    <row r="959" spans="1:14" x14ac:dyDescent="0.3">
      <c r="A959" t="s">
        <v>1815</v>
      </c>
      <c r="B959" s="2">
        <v>45210</v>
      </c>
      <c r="C959" t="s">
        <v>664</v>
      </c>
      <c r="D959" t="s">
        <v>761</v>
      </c>
      <c r="E959" t="s">
        <v>835</v>
      </c>
      <c r="F959">
        <v>1</v>
      </c>
      <c r="G959">
        <v>0.15</v>
      </c>
      <c r="H959" t="s">
        <v>855</v>
      </c>
      <c r="I959" t="str">
        <f>VLOOKUP(C959,Customers!A:C,2,FALSE)&amp;" "&amp;VLOOKUP(C959,Customers!A:C,3,FALSE)</f>
        <v>Ryan Flores</v>
      </c>
      <c r="J959" t="str">
        <f>VLOOKUP(D959,Products!A:C,2,FALSE)</f>
        <v>Traditional Laptop</v>
      </c>
      <c r="K959" t="str">
        <f>VLOOKUP(D959,Products!A:C,3,FALSE)</f>
        <v>Electronics</v>
      </c>
      <c r="L959" t="str">
        <f>VLOOKUP(E959,Stores!A:B,2,FALSE)</f>
        <v>MegaMart Peckmouth</v>
      </c>
      <c r="M959">
        <f>VLOOKUP(D959,Products!A:E,5,FALSE)</f>
        <v>1762.92</v>
      </c>
      <c r="N959" s="5">
        <f t="shared" si="14"/>
        <v>1498.482</v>
      </c>
    </row>
    <row r="960" spans="1:14" x14ac:dyDescent="0.3">
      <c r="A960" t="s">
        <v>1816</v>
      </c>
      <c r="B960" s="2">
        <v>45399</v>
      </c>
      <c r="C960" t="s">
        <v>657</v>
      </c>
      <c r="D960" t="s">
        <v>792</v>
      </c>
      <c r="E960" t="s">
        <v>835</v>
      </c>
      <c r="F960">
        <v>3</v>
      </c>
      <c r="G960">
        <v>0</v>
      </c>
      <c r="H960" t="s">
        <v>858</v>
      </c>
      <c r="I960" t="str">
        <f>VLOOKUP(C960,Customers!A:C,2,FALSE)&amp;" "&amp;VLOOKUP(C960,Customers!A:C,3,FALSE)</f>
        <v>Vicki Guzman</v>
      </c>
      <c r="J960" t="str">
        <f>VLOOKUP(D960,Products!A:C,2,FALSE)</f>
        <v>Beat Accessories</v>
      </c>
      <c r="K960" t="str">
        <f>VLOOKUP(D960,Products!A:C,3,FALSE)</f>
        <v>Fashion</v>
      </c>
      <c r="L960" t="str">
        <f>VLOOKUP(E960,Stores!A:B,2,FALSE)</f>
        <v>MegaMart Peckmouth</v>
      </c>
      <c r="M960">
        <f>VLOOKUP(D960,Products!A:E,5,FALSE)</f>
        <v>1798.97</v>
      </c>
      <c r="N960" s="5">
        <f t="shared" si="14"/>
        <v>5396.91</v>
      </c>
    </row>
    <row r="961" spans="1:14" x14ac:dyDescent="0.3">
      <c r="A961" t="s">
        <v>1817</v>
      </c>
      <c r="B961" s="2">
        <v>45856</v>
      </c>
      <c r="C961" t="s">
        <v>640</v>
      </c>
      <c r="D961" t="s">
        <v>764</v>
      </c>
      <c r="E961" t="s">
        <v>842</v>
      </c>
      <c r="F961">
        <v>5</v>
      </c>
      <c r="G961">
        <v>0.1</v>
      </c>
      <c r="H961" t="s">
        <v>858</v>
      </c>
      <c r="I961" t="str">
        <f>VLOOKUP(C961,Customers!A:C,2,FALSE)&amp;" "&amp;VLOOKUP(C961,Customers!A:C,3,FALSE)</f>
        <v>Brittany Oneal</v>
      </c>
      <c r="J961" t="str">
        <f>VLOOKUP(D961,Products!A:C,2,FALSE)</f>
        <v>Simple Accessories</v>
      </c>
      <c r="K961" t="str">
        <f>VLOOKUP(D961,Products!A:C,3,FALSE)</f>
        <v>Fashion</v>
      </c>
      <c r="L961" t="str">
        <f>VLOOKUP(E961,Stores!A:B,2,FALSE)</f>
        <v>MegaMart Brianahaven</v>
      </c>
      <c r="M961">
        <f>VLOOKUP(D961,Products!A:E,5,FALSE)</f>
        <v>323.92</v>
      </c>
      <c r="N961" s="5">
        <f t="shared" si="14"/>
        <v>1457.64</v>
      </c>
    </row>
    <row r="962" spans="1:14" x14ac:dyDescent="0.3">
      <c r="A962" t="s">
        <v>1818</v>
      </c>
      <c r="B962" s="2">
        <v>45807</v>
      </c>
      <c r="C962" t="s">
        <v>191</v>
      </c>
      <c r="D962" t="s">
        <v>753</v>
      </c>
      <c r="E962" t="s">
        <v>846</v>
      </c>
      <c r="F962">
        <v>2</v>
      </c>
      <c r="G962">
        <v>0.1</v>
      </c>
      <c r="H962" t="s">
        <v>855</v>
      </c>
      <c r="I962" t="str">
        <f>VLOOKUP(C962,Customers!A:C,2,FALSE)&amp;" "&amp;VLOOKUP(C962,Customers!A:C,3,FALSE)</f>
        <v>Antonio Hamilton</v>
      </c>
      <c r="J962" t="str">
        <f>VLOOKUP(D962,Products!A:C,2,FALSE)</f>
        <v>Whether Bags</v>
      </c>
      <c r="K962" t="str">
        <f>VLOOKUP(D962,Products!A:C,3,FALSE)</f>
        <v>Fashion</v>
      </c>
      <c r="L962" t="str">
        <f>VLOOKUP(E962,Stores!A:B,2,FALSE)</f>
        <v>MegaMart Johnmouth</v>
      </c>
      <c r="M962">
        <f>VLOOKUP(D962,Products!A:E,5,FALSE)</f>
        <v>270.45</v>
      </c>
      <c r="N962" s="5">
        <f t="shared" si="14"/>
        <v>486.81</v>
      </c>
    </row>
    <row r="963" spans="1:14" x14ac:dyDescent="0.3">
      <c r="A963" t="s">
        <v>1819</v>
      </c>
      <c r="B963" s="2">
        <v>45822</v>
      </c>
      <c r="C963" t="s">
        <v>664</v>
      </c>
      <c r="D963" t="s">
        <v>788</v>
      </c>
      <c r="E963" t="s">
        <v>842</v>
      </c>
      <c r="F963">
        <v>3</v>
      </c>
      <c r="G963">
        <v>0.05</v>
      </c>
      <c r="H963" t="s">
        <v>865</v>
      </c>
      <c r="I963" t="str">
        <f>VLOOKUP(C963,Customers!A:C,2,FALSE)&amp;" "&amp;VLOOKUP(C963,Customers!A:C,3,FALSE)</f>
        <v>Ryan Flores</v>
      </c>
      <c r="J963" t="str">
        <f>VLOOKUP(D963,Products!A:C,2,FALSE)</f>
        <v>Foot Snacks</v>
      </c>
      <c r="K963" t="str">
        <f>VLOOKUP(D963,Products!A:C,3,FALSE)</f>
        <v>Groceries</v>
      </c>
      <c r="L963" t="str">
        <f>VLOOKUP(E963,Stores!A:B,2,FALSE)</f>
        <v>MegaMart Brianahaven</v>
      </c>
      <c r="M963">
        <f>VLOOKUP(D963,Products!A:E,5,FALSE)</f>
        <v>1095.72</v>
      </c>
      <c r="N963" s="5">
        <f t="shared" ref="N963:N1026" si="15">F963*M963*(1-G963)</f>
        <v>3122.8019999999997</v>
      </c>
    </row>
    <row r="964" spans="1:14" x14ac:dyDescent="0.3">
      <c r="A964" t="s">
        <v>1820</v>
      </c>
      <c r="B964" s="2">
        <v>45189</v>
      </c>
      <c r="C964" t="s">
        <v>498</v>
      </c>
      <c r="D964" t="s">
        <v>820</v>
      </c>
      <c r="E964" t="s">
        <v>835</v>
      </c>
      <c r="F964">
        <v>4</v>
      </c>
      <c r="G964">
        <v>0.1</v>
      </c>
      <c r="H964" t="s">
        <v>855</v>
      </c>
      <c r="I964" t="str">
        <f>VLOOKUP(C964,Customers!A:C,2,FALSE)&amp;" "&amp;VLOOKUP(C964,Customers!A:C,3,FALSE)</f>
        <v>Amanda Garcia</v>
      </c>
      <c r="J964" t="str">
        <f>VLOOKUP(D964,Products!A:C,2,FALSE)</f>
        <v>Or Smartphone</v>
      </c>
      <c r="K964" t="str">
        <f>VLOOKUP(D964,Products!A:C,3,FALSE)</f>
        <v>Electronics</v>
      </c>
      <c r="L964" t="str">
        <f>VLOOKUP(E964,Stores!A:B,2,FALSE)</f>
        <v>MegaMart Peckmouth</v>
      </c>
      <c r="M964">
        <f>VLOOKUP(D964,Products!A:E,5,FALSE)</f>
        <v>1197.18</v>
      </c>
      <c r="N964" s="5">
        <f t="shared" si="15"/>
        <v>4309.848</v>
      </c>
    </row>
    <row r="965" spans="1:14" x14ac:dyDescent="0.3">
      <c r="A965" t="s">
        <v>1821</v>
      </c>
      <c r="B965" s="2">
        <v>45504</v>
      </c>
      <c r="C965" t="s">
        <v>505</v>
      </c>
      <c r="D965" t="s">
        <v>818</v>
      </c>
      <c r="E965" t="s">
        <v>839</v>
      </c>
      <c r="F965">
        <v>4</v>
      </c>
      <c r="G965">
        <v>0</v>
      </c>
      <c r="H965" t="s">
        <v>858</v>
      </c>
      <c r="I965" t="str">
        <f>VLOOKUP(C965,Customers!A:C,2,FALSE)&amp;" "&amp;VLOOKUP(C965,Customers!A:C,3,FALSE)</f>
        <v>Alexander Mcfarland</v>
      </c>
      <c r="J965" t="str">
        <f>VLOOKUP(D965,Products!A:C,2,FALSE)</f>
        <v>Nature Clothing</v>
      </c>
      <c r="K965" t="str">
        <f>VLOOKUP(D965,Products!A:C,3,FALSE)</f>
        <v>Fashion</v>
      </c>
      <c r="L965" t="str">
        <f>VLOOKUP(E965,Stores!A:B,2,FALSE)</f>
        <v>MegaMart New Michele</v>
      </c>
      <c r="M965">
        <f>VLOOKUP(D965,Products!A:E,5,FALSE)</f>
        <v>1165.3699999999999</v>
      </c>
      <c r="N965" s="5">
        <f t="shared" si="15"/>
        <v>4661.4799999999996</v>
      </c>
    </row>
    <row r="966" spans="1:14" x14ac:dyDescent="0.3">
      <c r="A966" t="s">
        <v>1822</v>
      </c>
      <c r="B966" s="2">
        <v>45739</v>
      </c>
      <c r="C966" t="s">
        <v>664</v>
      </c>
      <c r="D966" t="s">
        <v>786</v>
      </c>
      <c r="E966" t="s">
        <v>835</v>
      </c>
      <c r="F966">
        <v>1</v>
      </c>
      <c r="G966">
        <v>0.1</v>
      </c>
      <c r="H966" t="s">
        <v>861</v>
      </c>
      <c r="I966" t="str">
        <f>VLOOKUP(C966,Customers!A:C,2,FALSE)&amp;" "&amp;VLOOKUP(C966,Customers!A:C,3,FALSE)</f>
        <v>Ryan Flores</v>
      </c>
      <c r="J966" t="str">
        <f>VLOOKUP(D966,Products!A:C,2,FALSE)</f>
        <v>National Watches</v>
      </c>
      <c r="K966" t="str">
        <f>VLOOKUP(D966,Products!A:C,3,FALSE)</f>
        <v>Fashion</v>
      </c>
      <c r="L966" t="str">
        <f>VLOOKUP(E966,Stores!A:B,2,FALSE)</f>
        <v>MegaMart Peckmouth</v>
      </c>
      <c r="M966">
        <f>VLOOKUP(D966,Products!A:E,5,FALSE)</f>
        <v>29.24</v>
      </c>
      <c r="N966" s="5">
        <f t="shared" si="15"/>
        <v>26.315999999999999</v>
      </c>
    </row>
    <row r="967" spans="1:14" x14ac:dyDescent="0.3">
      <c r="A967" t="s">
        <v>1823</v>
      </c>
      <c r="B967" s="2">
        <v>45324</v>
      </c>
      <c r="C967" t="s">
        <v>313</v>
      </c>
      <c r="D967" t="s">
        <v>718</v>
      </c>
      <c r="E967" t="s">
        <v>831</v>
      </c>
      <c r="F967">
        <v>5</v>
      </c>
      <c r="G967">
        <v>0.15</v>
      </c>
      <c r="H967" t="s">
        <v>861</v>
      </c>
      <c r="I967" t="str">
        <f>VLOOKUP(C967,Customers!A:C,2,FALSE)&amp;" "&amp;VLOOKUP(C967,Customers!A:C,3,FALSE)</f>
        <v>Jeremy Robles</v>
      </c>
      <c r="J967" t="str">
        <f>VLOOKUP(D967,Products!A:C,2,FALSE)</f>
        <v>Here Footwear</v>
      </c>
      <c r="K967" t="str">
        <f>VLOOKUP(D967,Products!A:C,3,FALSE)</f>
        <v>Fashion</v>
      </c>
      <c r="L967" t="str">
        <f>VLOOKUP(E967,Stores!A:B,2,FALSE)</f>
        <v>MegaMart Jimenezborough</v>
      </c>
      <c r="M967">
        <f>VLOOKUP(D967,Products!A:E,5,FALSE)</f>
        <v>337.63</v>
      </c>
      <c r="N967" s="5">
        <f t="shared" si="15"/>
        <v>1434.9275</v>
      </c>
    </row>
    <row r="968" spans="1:14" x14ac:dyDescent="0.3">
      <c r="A968" t="s">
        <v>1824</v>
      </c>
      <c r="B968" s="2">
        <v>45542</v>
      </c>
      <c r="C968" t="s">
        <v>494</v>
      </c>
      <c r="D968" t="s">
        <v>769</v>
      </c>
      <c r="E968" t="s">
        <v>842</v>
      </c>
      <c r="F968">
        <v>5</v>
      </c>
      <c r="G968">
        <v>0.05</v>
      </c>
      <c r="H968" t="s">
        <v>855</v>
      </c>
      <c r="I968" t="str">
        <f>VLOOKUP(C968,Customers!A:C,2,FALSE)&amp;" "&amp;VLOOKUP(C968,Customers!A:C,3,FALSE)</f>
        <v>Mario Cuevas</v>
      </c>
      <c r="J968" t="str">
        <f>VLOOKUP(D968,Products!A:C,2,FALSE)</f>
        <v>How Vegetables</v>
      </c>
      <c r="K968" t="str">
        <f>VLOOKUP(D968,Products!A:C,3,FALSE)</f>
        <v>Groceries</v>
      </c>
      <c r="L968" t="str">
        <f>VLOOKUP(E968,Stores!A:B,2,FALSE)</f>
        <v>MegaMart Brianahaven</v>
      </c>
      <c r="M968">
        <f>VLOOKUP(D968,Products!A:E,5,FALSE)</f>
        <v>25.57</v>
      </c>
      <c r="N968" s="5">
        <f t="shared" si="15"/>
        <v>121.4575</v>
      </c>
    </row>
    <row r="969" spans="1:14" x14ac:dyDescent="0.3">
      <c r="A969" t="s">
        <v>1825</v>
      </c>
      <c r="B969" s="2">
        <v>45677</v>
      </c>
      <c r="C969" t="s">
        <v>313</v>
      </c>
      <c r="D969" t="s">
        <v>788</v>
      </c>
      <c r="E969" t="s">
        <v>842</v>
      </c>
      <c r="F969">
        <v>3</v>
      </c>
      <c r="G969">
        <v>0</v>
      </c>
      <c r="H969" t="s">
        <v>865</v>
      </c>
      <c r="I969" t="str">
        <f>VLOOKUP(C969,Customers!A:C,2,FALSE)&amp;" "&amp;VLOOKUP(C969,Customers!A:C,3,FALSE)</f>
        <v>Jeremy Robles</v>
      </c>
      <c r="J969" t="str">
        <f>VLOOKUP(D969,Products!A:C,2,FALSE)</f>
        <v>Foot Snacks</v>
      </c>
      <c r="K969" t="str">
        <f>VLOOKUP(D969,Products!A:C,3,FALSE)</f>
        <v>Groceries</v>
      </c>
      <c r="L969" t="str">
        <f>VLOOKUP(E969,Stores!A:B,2,FALSE)</f>
        <v>MegaMart Brianahaven</v>
      </c>
      <c r="M969">
        <f>VLOOKUP(D969,Products!A:E,5,FALSE)</f>
        <v>1095.72</v>
      </c>
      <c r="N969" s="5">
        <f t="shared" si="15"/>
        <v>3287.16</v>
      </c>
    </row>
    <row r="970" spans="1:14" x14ac:dyDescent="0.3">
      <c r="A970" t="s">
        <v>1826</v>
      </c>
      <c r="B970" s="2">
        <v>45296</v>
      </c>
      <c r="C970" t="s">
        <v>491</v>
      </c>
      <c r="D970" t="s">
        <v>742</v>
      </c>
      <c r="E970" t="s">
        <v>831</v>
      </c>
      <c r="F970">
        <v>1</v>
      </c>
      <c r="G970">
        <v>0.05</v>
      </c>
      <c r="H970" t="s">
        <v>861</v>
      </c>
      <c r="I970" t="str">
        <f>VLOOKUP(C970,Customers!A:C,2,FALSE)&amp;" "&amp;VLOOKUP(C970,Customers!A:C,3,FALSE)</f>
        <v>Emily Hart</v>
      </c>
      <c r="J970" t="str">
        <f>VLOOKUP(D970,Products!A:C,2,FALSE)</f>
        <v>Either Headphones</v>
      </c>
      <c r="K970" t="str">
        <f>VLOOKUP(D970,Products!A:C,3,FALSE)</f>
        <v>Electronics</v>
      </c>
      <c r="L970" t="str">
        <f>VLOOKUP(E970,Stores!A:B,2,FALSE)</f>
        <v>MegaMart Jimenezborough</v>
      </c>
      <c r="M970">
        <f>VLOOKUP(D970,Products!A:E,5,FALSE)</f>
        <v>248.57</v>
      </c>
      <c r="N970" s="5">
        <f t="shared" si="15"/>
        <v>236.14149999999998</v>
      </c>
    </row>
    <row r="971" spans="1:14" x14ac:dyDescent="0.3">
      <c r="A971" t="s">
        <v>1827</v>
      </c>
      <c r="B971" s="2">
        <v>45599</v>
      </c>
      <c r="C971" t="s">
        <v>40</v>
      </c>
      <c r="D971" t="s">
        <v>810</v>
      </c>
      <c r="E971" t="s">
        <v>835</v>
      </c>
      <c r="F971">
        <v>1</v>
      </c>
      <c r="G971">
        <v>0.15</v>
      </c>
      <c r="H971" t="s">
        <v>861</v>
      </c>
      <c r="I971" t="str">
        <f>VLOOKUP(C971,Customers!A:C,2,FALSE)&amp;" "&amp;VLOOKUP(C971,Customers!A:C,3,FALSE)</f>
        <v>Richard Pacheco</v>
      </c>
      <c r="J971" t="str">
        <f>VLOOKUP(D971,Products!A:C,2,FALSE)</f>
        <v>Maybe Clothing</v>
      </c>
      <c r="K971" t="str">
        <f>VLOOKUP(D971,Products!A:C,3,FALSE)</f>
        <v>Fashion</v>
      </c>
      <c r="L971" t="str">
        <f>VLOOKUP(E971,Stores!A:B,2,FALSE)</f>
        <v>MegaMart Peckmouth</v>
      </c>
      <c r="M971">
        <f>VLOOKUP(D971,Products!A:E,5,FALSE)</f>
        <v>453.62</v>
      </c>
      <c r="N971" s="5">
        <f t="shared" si="15"/>
        <v>385.577</v>
      </c>
    </row>
    <row r="972" spans="1:14" x14ac:dyDescent="0.3">
      <c r="A972" t="s">
        <v>1828</v>
      </c>
      <c r="B972" s="2">
        <v>45856</v>
      </c>
      <c r="C972" t="s">
        <v>105</v>
      </c>
      <c r="D972" t="s">
        <v>755</v>
      </c>
      <c r="E972" t="s">
        <v>831</v>
      </c>
      <c r="F972">
        <v>5</v>
      </c>
      <c r="G972">
        <v>0.15</v>
      </c>
      <c r="H972" t="s">
        <v>858</v>
      </c>
      <c r="I972" t="str">
        <f>VLOOKUP(C972,Customers!A:C,2,FALSE)&amp;" "&amp;VLOOKUP(C972,Customers!A:C,3,FALSE)</f>
        <v>Justin Macdonald</v>
      </c>
      <c r="J972" t="str">
        <f>VLOOKUP(D972,Products!A:C,2,FALSE)</f>
        <v>House Accessories</v>
      </c>
      <c r="K972" t="str">
        <f>VLOOKUP(D972,Products!A:C,3,FALSE)</f>
        <v>Fashion</v>
      </c>
      <c r="L972" t="str">
        <f>VLOOKUP(E972,Stores!A:B,2,FALSE)</f>
        <v>MegaMart Jimenezborough</v>
      </c>
      <c r="M972">
        <f>VLOOKUP(D972,Products!A:E,5,FALSE)</f>
        <v>1858.75</v>
      </c>
      <c r="N972" s="5">
        <f t="shared" si="15"/>
        <v>7899.6875</v>
      </c>
    </row>
    <row r="973" spans="1:14" x14ac:dyDescent="0.3">
      <c r="A973" t="s">
        <v>1829</v>
      </c>
      <c r="B973" s="2">
        <v>45733</v>
      </c>
      <c r="C973" t="s">
        <v>494</v>
      </c>
      <c r="D973" t="s">
        <v>800</v>
      </c>
      <c r="E973" t="s">
        <v>846</v>
      </c>
      <c r="F973">
        <v>5</v>
      </c>
      <c r="G973">
        <v>0.1</v>
      </c>
      <c r="H973" t="s">
        <v>865</v>
      </c>
      <c r="I973" t="str">
        <f>VLOOKUP(C973,Customers!A:C,2,FALSE)&amp;" "&amp;VLOOKUP(C973,Customers!A:C,3,FALSE)</f>
        <v>Mario Cuevas</v>
      </c>
      <c r="J973" t="str">
        <f>VLOOKUP(D973,Products!A:C,2,FALSE)</f>
        <v>Book Television</v>
      </c>
      <c r="K973" t="str">
        <f>VLOOKUP(D973,Products!A:C,3,FALSE)</f>
        <v>Electronics</v>
      </c>
      <c r="L973" t="str">
        <f>VLOOKUP(E973,Stores!A:B,2,FALSE)</f>
        <v>MegaMart Johnmouth</v>
      </c>
      <c r="M973">
        <f>VLOOKUP(D973,Products!A:E,5,FALSE)</f>
        <v>1952.65</v>
      </c>
      <c r="N973" s="5">
        <f t="shared" si="15"/>
        <v>8786.9250000000011</v>
      </c>
    </row>
    <row r="974" spans="1:14" x14ac:dyDescent="0.3">
      <c r="A974" t="s">
        <v>1830</v>
      </c>
      <c r="B974" s="2">
        <v>45808</v>
      </c>
      <c r="C974" t="s">
        <v>355</v>
      </c>
      <c r="D974" t="s">
        <v>814</v>
      </c>
      <c r="E974" t="s">
        <v>835</v>
      </c>
      <c r="F974">
        <v>5</v>
      </c>
      <c r="G974">
        <v>0</v>
      </c>
      <c r="H974" t="s">
        <v>865</v>
      </c>
      <c r="I974" t="str">
        <f>VLOOKUP(C974,Customers!A:C,2,FALSE)&amp;" "&amp;VLOOKUP(C974,Customers!A:C,3,FALSE)</f>
        <v>Kimberly Stokes</v>
      </c>
      <c r="J974" t="str">
        <f>VLOOKUP(D974,Products!A:C,2,FALSE)</f>
        <v>Least Accessories</v>
      </c>
      <c r="K974" t="str">
        <f>VLOOKUP(D974,Products!A:C,3,FALSE)</f>
        <v>Fashion</v>
      </c>
      <c r="L974" t="str">
        <f>VLOOKUP(E974,Stores!A:B,2,FALSE)</f>
        <v>MegaMart Peckmouth</v>
      </c>
      <c r="M974">
        <f>VLOOKUP(D974,Products!A:E,5,FALSE)</f>
        <v>1286.55</v>
      </c>
      <c r="N974" s="5">
        <f t="shared" si="15"/>
        <v>6432.75</v>
      </c>
    </row>
    <row r="975" spans="1:14" x14ac:dyDescent="0.3">
      <c r="A975" t="s">
        <v>1831</v>
      </c>
      <c r="B975" s="2">
        <v>45377</v>
      </c>
      <c r="C975" t="s">
        <v>210</v>
      </c>
      <c r="D975" t="s">
        <v>816</v>
      </c>
      <c r="E975" t="s">
        <v>842</v>
      </c>
      <c r="F975">
        <v>1</v>
      </c>
      <c r="G975">
        <v>0.15</v>
      </c>
      <c r="H975" t="s">
        <v>865</v>
      </c>
      <c r="I975" t="str">
        <f>VLOOKUP(C975,Customers!A:C,2,FALSE)&amp;" "&amp;VLOOKUP(C975,Customers!A:C,3,FALSE)</f>
        <v>Crystal Johnson</v>
      </c>
      <c r="J975" t="str">
        <f>VLOOKUP(D975,Products!A:C,2,FALSE)</f>
        <v>Set Dairy</v>
      </c>
      <c r="K975" t="str">
        <f>VLOOKUP(D975,Products!A:C,3,FALSE)</f>
        <v>Groceries</v>
      </c>
      <c r="L975" t="str">
        <f>VLOOKUP(E975,Stores!A:B,2,FALSE)</f>
        <v>MegaMart Brianahaven</v>
      </c>
      <c r="M975">
        <f>VLOOKUP(D975,Products!A:E,5,FALSE)</f>
        <v>1879.08</v>
      </c>
      <c r="N975" s="5">
        <f t="shared" si="15"/>
        <v>1597.2179999999998</v>
      </c>
    </row>
    <row r="976" spans="1:14" x14ac:dyDescent="0.3">
      <c r="A976" t="s">
        <v>1832</v>
      </c>
      <c r="B976" s="2">
        <v>45372</v>
      </c>
      <c r="C976" t="s">
        <v>351</v>
      </c>
      <c r="D976" t="s">
        <v>816</v>
      </c>
      <c r="E976" t="s">
        <v>846</v>
      </c>
      <c r="F976">
        <v>4</v>
      </c>
      <c r="G976">
        <v>0.1</v>
      </c>
      <c r="H976" t="s">
        <v>865</v>
      </c>
      <c r="I976" t="str">
        <f>VLOOKUP(C976,Customers!A:C,2,FALSE)&amp;" "&amp;VLOOKUP(C976,Customers!A:C,3,FALSE)</f>
        <v>Stanley Brown</v>
      </c>
      <c r="J976" t="str">
        <f>VLOOKUP(D976,Products!A:C,2,FALSE)</f>
        <v>Set Dairy</v>
      </c>
      <c r="K976" t="str">
        <f>VLOOKUP(D976,Products!A:C,3,FALSE)</f>
        <v>Groceries</v>
      </c>
      <c r="L976" t="str">
        <f>VLOOKUP(E976,Stores!A:B,2,FALSE)</f>
        <v>MegaMart Johnmouth</v>
      </c>
      <c r="M976">
        <f>VLOOKUP(D976,Products!A:E,5,FALSE)</f>
        <v>1879.08</v>
      </c>
      <c r="N976" s="5">
        <f t="shared" si="15"/>
        <v>6764.6880000000001</v>
      </c>
    </row>
    <row r="977" spans="1:14" x14ac:dyDescent="0.3">
      <c r="A977" t="s">
        <v>1833</v>
      </c>
      <c r="B977" s="2">
        <v>45760</v>
      </c>
      <c r="C977" t="s">
        <v>567</v>
      </c>
      <c r="D977" t="s">
        <v>816</v>
      </c>
      <c r="E977" t="s">
        <v>839</v>
      </c>
      <c r="F977">
        <v>5</v>
      </c>
      <c r="G977">
        <v>0</v>
      </c>
      <c r="H977" t="s">
        <v>865</v>
      </c>
      <c r="I977" t="str">
        <f>VLOOKUP(C977,Customers!A:C,2,FALSE)&amp;" "&amp;VLOOKUP(C977,Customers!A:C,3,FALSE)</f>
        <v>Crystal Aguirre</v>
      </c>
      <c r="J977" t="str">
        <f>VLOOKUP(D977,Products!A:C,2,FALSE)</f>
        <v>Set Dairy</v>
      </c>
      <c r="K977" t="str">
        <f>VLOOKUP(D977,Products!A:C,3,FALSE)</f>
        <v>Groceries</v>
      </c>
      <c r="L977" t="str">
        <f>VLOOKUP(E977,Stores!A:B,2,FALSE)</f>
        <v>MegaMart New Michele</v>
      </c>
      <c r="M977">
        <f>VLOOKUP(D977,Products!A:E,5,FALSE)</f>
        <v>1879.08</v>
      </c>
      <c r="N977" s="5">
        <f t="shared" si="15"/>
        <v>9395.4</v>
      </c>
    </row>
    <row r="978" spans="1:14" x14ac:dyDescent="0.3">
      <c r="A978" t="s">
        <v>1834</v>
      </c>
      <c r="B978" s="2">
        <v>45513</v>
      </c>
      <c r="C978" t="s">
        <v>294</v>
      </c>
      <c r="D978" t="s">
        <v>816</v>
      </c>
      <c r="E978" t="s">
        <v>831</v>
      </c>
      <c r="F978">
        <v>2</v>
      </c>
      <c r="G978">
        <v>0</v>
      </c>
      <c r="H978" t="s">
        <v>865</v>
      </c>
      <c r="I978" t="str">
        <f>VLOOKUP(C978,Customers!A:C,2,FALSE)&amp;" "&amp;VLOOKUP(C978,Customers!A:C,3,FALSE)</f>
        <v>Jeanne Young</v>
      </c>
      <c r="J978" t="str">
        <f>VLOOKUP(D978,Products!A:C,2,FALSE)</f>
        <v>Set Dairy</v>
      </c>
      <c r="K978" t="str">
        <f>VLOOKUP(D978,Products!A:C,3,FALSE)</f>
        <v>Groceries</v>
      </c>
      <c r="L978" t="str">
        <f>VLOOKUP(E978,Stores!A:B,2,FALSE)</f>
        <v>MegaMart Jimenezborough</v>
      </c>
      <c r="M978">
        <f>VLOOKUP(D978,Products!A:E,5,FALSE)</f>
        <v>1879.08</v>
      </c>
      <c r="N978" s="5">
        <f t="shared" si="15"/>
        <v>3758.16</v>
      </c>
    </row>
    <row r="979" spans="1:14" x14ac:dyDescent="0.3">
      <c r="A979" t="s">
        <v>1835</v>
      </c>
      <c r="B979" s="2">
        <v>45659</v>
      </c>
      <c r="C979" t="s">
        <v>657</v>
      </c>
      <c r="D979" t="s">
        <v>792</v>
      </c>
      <c r="E979" t="s">
        <v>835</v>
      </c>
      <c r="F979">
        <v>5</v>
      </c>
      <c r="G979">
        <v>0.15</v>
      </c>
      <c r="H979" t="s">
        <v>861</v>
      </c>
      <c r="I979" t="str">
        <f>VLOOKUP(C979,Customers!A:C,2,FALSE)&amp;" "&amp;VLOOKUP(C979,Customers!A:C,3,FALSE)</f>
        <v>Vicki Guzman</v>
      </c>
      <c r="J979" t="str">
        <f>VLOOKUP(D979,Products!A:C,2,FALSE)</f>
        <v>Beat Accessories</v>
      </c>
      <c r="K979" t="str">
        <f>VLOOKUP(D979,Products!A:C,3,FALSE)</f>
        <v>Fashion</v>
      </c>
      <c r="L979" t="str">
        <f>VLOOKUP(E979,Stores!A:B,2,FALSE)</f>
        <v>MegaMart Peckmouth</v>
      </c>
      <c r="M979">
        <f>VLOOKUP(D979,Products!A:E,5,FALSE)</f>
        <v>1798.97</v>
      </c>
      <c r="N979" s="5">
        <f t="shared" si="15"/>
        <v>7645.6225000000004</v>
      </c>
    </row>
    <row r="980" spans="1:14" x14ac:dyDescent="0.3">
      <c r="A980" t="s">
        <v>1836</v>
      </c>
      <c r="B980" s="2">
        <v>45230</v>
      </c>
      <c r="C980" t="s">
        <v>195</v>
      </c>
      <c r="D980" t="s">
        <v>750</v>
      </c>
      <c r="E980" t="s">
        <v>846</v>
      </c>
      <c r="F980">
        <v>2</v>
      </c>
      <c r="G980">
        <v>0.05</v>
      </c>
      <c r="H980" t="s">
        <v>858</v>
      </c>
      <c r="I980" t="str">
        <f>VLOOKUP(C980,Customers!A:C,2,FALSE)&amp;" "&amp;VLOOKUP(C980,Customers!A:C,3,FALSE)</f>
        <v>Kelly Mcmillan</v>
      </c>
      <c r="J980" t="str">
        <f>VLOOKUP(D980,Products!A:C,2,FALSE)</f>
        <v>Add Clothing</v>
      </c>
      <c r="K980" t="str">
        <f>VLOOKUP(D980,Products!A:C,3,FALSE)</f>
        <v>Fashion</v>
      </c>
      <c r="L980" t="str">
        <f>VLOOKUP(E980,Stores!A:B,2,FALSE)</f>
        <v>MegaMart Johnmouth</v>
      </c>
      <c r="M980">
        <f>VLOOKUP(D980,Products!A:E,5,FALSE)</f>
        <v>1342.75</v>
      </c>
      <c r="N980" s="5">
        <f t="shared" si="15"/>
        <v>2551.2249999999999</v>
      </c>
    </row>
    <row r="981" spans="1:14" x14ac:dyDescent="0.3">
      <c r="A981" t="s">
        <v>1837</v>
      </c>
      <c r="B981" s="2">
        <v>45638</v>
      </c>
      <c r="C981" t="s">
        <v>677</v>
      </c>
      <c r="D981" t="s">
        <v>711</v>
      </c>
      <c r="E981" t="s">
        <v>831</v>
      </c>
      <c r="F981">
        <v>5</v>
      </c>
      <c r="G981">
        <v>0.1</v>
      </c>
      <c r="H981" t="s">
        <v>858</v>
      </c>
      <c r="I981" t="str">
        <f>VLOOKUP(C981,Customers!A:C,2,FALSE)&amp;" "&amp;VLOOKUP(C981,Customers!A:C,3,FALSE)</f>
        <v>James Wilson</v>
      </c>
      <c r="J981" t="str">
        <f>VLOOKUP(D981,Products!A:C,2,FALSE)</f>
        <v>Like Camera</v>
      </c>
      <c r="K981" t="str">
        <f>VLOOKUP(D981,Products!A:C,3,FALSE)</f>
        <v>Electronics</v>
      </c>
      <c r="L981" t="str">
        <f>VLOOKUP(E981,Stores!A:B,2,FALSE)</f>
        <v>MegaMart Jimenezborough</v>
      </c>
      <c r="M981">
        <f>VLOOKUP(D981,Products!A:E,5,FALSE)</f>
        <v>1673.69</v>
      </c>
      <c r="N981" s="5">
        <f t="shared" si="15"/>
        <v>7531.6050000000005</v>
      </c>
    </row>
    <row r="982" spans="1:14" x14ac:dyDescent="0.3">
      <c r="A982" t="s">
        <v>1838</v>
      </c>
      <c r="B982" s="2">
        <v>45472</v>
      </c>
      <c r="C982" t="s">
        <v>636</v>
      </c>
      <c r="D982" t="s">
        <v>788</v>
      </c>
      <c r="E982" t="s">
        <v>842</v>
      </c>
      <c r="F982">
        <v>1</v>
      </c>
      <c r="G982">
        <v>0.05</v>
      </c>
      <c r="H982" t="s">
        <v>861</v>
      </c>
      <c r="I982" t="str">
        <f>VLOOKUP(C982,Customers!A:C,2,FALSE)&amp;" "&amp;VLOOKUP(C982,Customers!A:C,3,FALSE)</f>
        <v>Nichole Calhoun</v>
      </c>
      <c r="J982" t="str">
        <f>VLOOKUP(D982,Products!A:C,2,FALSE)</f>
        <v>Foot Snacks</v>
      </c>
      <c r="K982" t="str">
        <f>VLOOKUP(D982,Products!A:C,3,FALSE)</f>
        <v>Groceries</v>
      </c>
      <c r="L982" t="str">
        <f>VLOOKUP(E982,Stores!A:B,2,FALSE)</f>
        <v>MegaMart Brianahaven</v>
      </c>
      <c r="M982">
        <f>VLOOKUP(D982,Products!A:E,5,FALSE)</f>
        <v>1095.72</v>
      </c>
      <c r="N982" s="5">
        <f t="shared" si="15"/>
        <v>1040.934</v>
      </c>
    </row>
    <row r="983" spans="1:14" x14ac:dyDescent="0.3">
      <c r="A983" t="s">
        <v>1839</v>
      </c>
      <c r="B983" s="2">
        <v>45867</v>
      </c>
      <c r="C983" t="s">
        <v>512</v>
      </c>
      <c r="D983" t="s">
        <v>715</v>
      </c>
      <c r="E983" t="s">
        <v>842</v>
      </c>
      <c r="F983">
        <v>5</v>
      </c>
      <c r="G983">
        <v>0.1</v>
      </c>
      <c r="H983" t="s">
        <v>861</v>
      </c>
      <c r="I983" t="str">
        <f>VLOOKUP(C983,Customers!A:C,2,FALSE)&amp;" "&amp;VLOOKUP(C983,Customers!A:C,3,FALSE)</f>
        <v>Adam Lucas</v>
      </c>
      <c r="J983" t="str">
        <f>VLOOKUP(D983,Products!A:C,2,FALSE)</f>
        <v>Audience Television</v>
      </c>
      <c r="K983" t="str">
        <f>VLOOKUP(D983,Products!A:C,3,FALSE)</f>
        <v>Electronics</v>
      </c>
      <c r="L983" t="str">
        <f>VLOOKUP(E983,Stores!A:B,2,FALSE)</f>
        <v>MegaMart Brianahaven</v>
      </c>
      <c r="M983">
        <f>VLOOKUP(D983,Products!A:E,5,FALSE)</f>
        <v>818.76</v>
      </c>
      <c r="N983" s="5">
        <f t="shared" si="15"/>
        <v>3684.42</v>
      </c>
    </row>
    <row r="984" spans="1:14" x14ac:dyDescent="0.3">
      <c r="A984" t="s">
        <v>1840</v>
      </c>
      <c r="B984" s="2">
        <v>45861</v>
      </c>
      <c r="C984" t="s">
        <v>500</v>
      </c>
      <c r="D984" t="s">
        <v>761</v>
      </c>
      <c r="E984" t="s">
        <v>846</v>
      </c>
      <c r="F984">
        <v>4</v>
      </c>
      <c r="G984">
        <v>0.1</v>
      </c>
      <c r="H984" t="s">
        <v>855</v>
      </c>
      <c r="I984" t="str">
        <f>VLOOKUP(C984,Customers!A:C,2,FALSE)&amp;" "&amp;VLOOKUP(C984,Customers!A:C,3,FALSE)</f>
        <v>Gary Lopez</v>
      </c>
      <c r="J984" t="str">
        <f>VLOOKUP(D984,Products!A:C,2,FALSE)</f>
        <v>Traditional Laptop</v>
      </c>
      <c r="K984" t="str">
        <f>VLOOKUP(D984,Products!A:C,3,FALSE)</f>
        <v>Electronics</v>
      </c>
      <c r="L984" t="str">
        <f>VLOOKUP(E984,Stores!A:B,2,FALSE)</f>
        <v>MegaMart Johnmouth</v>
      </c>
      <c r="M984">
        <f>VLOOKUP(D984,Products!A:E,5,FALSE)</f>
        <v>1762.92</v>
      </c>
      <c r="N984" s="5">
        <f t="shared" si="15"/>
        <v>6346.5120000000006</v>
      </c>
    </row>
    <row r="985" spans="1:14" x14ac:dyDescent="0.3">
      <c r="A985" t="s">
        <v>1841</v>
      </c>
      <c r="B985" s="2">
        <v>45583</v>
      </c>
      <c r="C985" t="s">
        <v>512</v>
      </c>
      <c r="D985" t="s">
        <v>784</v>
      </c>
      <c r="E985" t="s">
        <v>839</v>
      </c>
      <c r="F985">
        <v>3</v>
      </c>
      <c r="G985">
        <v>0.15</v>
      </c>
      <c r="H985" t="s">
        <v>858</v>
      </c>
      <c r="I985" t="str">
        <f>VLOOKUP(C985,Customers!A:C,2,FALSE)&amp;" "&amp;VLOOKUP(C985,Customers!A:C,3,FALSE)</f>
        <v>Adam Lucas</v>
      </c>
      <c r="J985" t="str">
        <f>VLOOKUP(D985,Products!A:C,2,FALSE)</f>
        <v>Road Clothing</v>
      </c>
      <c r="K985" t="str">
        <f>VLOOKUP(D985,Products!A:C,3,FALSE)</f>
        <v>Fashion</v>
      </c>
      <c r="L985" t="str">
        <f>VLOOKUP(E985,Stores!A:B,2,FALSE)</f>
        <v>MegaMart New Michele</v>
      </c>
      <c r="M985">
        <f>VLOOKUP(D985,Products!A:E,5,FALSE)</f>
        <v>1485.05</v>
      </c>
      <c r="N985" s="5">
        <f t="shared" si="15"/>
        <v>3786.8774999999996</v>
      </c>
    </row>
    <row r="986" spans="1:14" x14ac:dyDescent="0.3">
      <c r="A986" t="s">
        <v>1842</v>
      </c>
      <c r="B986" s="2">
        <v>45477</v>
      </c>
      <c r="C986" t="s">
        <v>657</v>
      </c>
      <c r="D986" t="s">
        <v>778</v>
      </c>
      <c r="E986" t="s">
        <v>839</v>
      </c>
      <c r="F986">
        <v>5</v>
      </c>
      <c r="G986">
        <v>0.05</v>
      </c>
      <c r="H986" t="s">
        <v>861</v>
      </c>
      <c r="I986" t="str">
        <f>VLOOKUP(C986,Customers!A:C,2,FALSE)&amp;" "&amp;VLOOKUP(C986,Customers!A:C,3,FALSE)</f>
        <v>Vicki Guzman</v>
      </c>
      <c r="J986" t="str">
        <f>VLOOKUP(D986,Products!A:C,2,FALSE)</f>
        <v>Behavior Dairy</v>
      </c>
      <c r="K986" t="str">
        <f>VLOOKUP(D986,Products!A:C,3,FALSE)</f>
        <v>Groceries</v>
      </c>
      <c r="L986" t="str">
        <f>VLOOKUP(E986,Stores!A:B,2,FALSE)</f>
        <v>MegaMart New Michele</v>
      </c>
      <c r="M986">
        <f>VLOOKUP(D986,Products!A:E,5,FALSE)</f>
        <v>1015.76</v>
      </c>
      <c r="N986" s="5">
        <f t="shared" si="15"/>
        <v>4824.8599999999997</v>
      </c>
    </row>
    <row r="987" spans="1:14" x14ac:dyDescent="0.3">
      <c r="A987" t="s">
        <v>1843</v>
      </c>
      <c r="B987" s="2">
        <v>45525</v>
      </c>
      <c r="C987" t="s">
        <v>364</v>
      </c>
      <c r="D987" t="s">
        <v>774</v>
      </c>
      <c r="E987" t="s">
        <v>846</v>
      </c>
      <c r="F987">
        <v>3</v>
      </c>
      <c r="G987">
        <v>0.1</v>
      </c>
      <c r="H987" t="s">
        <v>858</v>
      </c>
      <c r="I987" t="str">
        <f>VLOOKUP(C987,Customers!A:C,2,FALSE)&amp;" "&amp;VLOOKUP(C987,Customers!A:C,3,FALSE)</f>
        <v>Evelyn Gray</v>
      </c>
      <c r="J987" t="str">
        <f>VLOOKUP(D987,Products!A:C,2,FALSE)</f>
        <v>Him Smartphone</v>
      </c>
      <c r="K987" t="str">
        <f>VLOOKUP(D987,Products!A:C,3,FALSE)</f>
        <v>Electronics</v>
      </c>
      <c r="L987" t="str">
        <f>VLOOKUP(E987,Stores!A:B,2,FALSE)</f>
        <v>MegaMart Johnmouth</v>
      </c>
      <c r="M987">
        <f>VLOOKUP(D987,Products!A:E,5,FALSE)</f>
        <v>1487.41</v>
      </c>
      <c r="N987" s="5">
        <f t="shared" si="15"/>
        <v>4016.0070000000005</v>
      </c>
    </row>
    <row r="988" spans="1:14" x14ac:dyDescent="0.3">
      <c r="A988" t="s">
        <v>1844</v>
      </c>
      <c r="B988" s="2">
        <v>45533</v>
      </c>
      <c r="C988" t="s">
        <v>429</v>
      </c>
      <c r="D988" t="s">
        <v>786</v>
      </c>
      <c r="E988" t="s">
        <v>842</v>
      </c>
      <c r="F988">
        <v>1</v>
      </c>
      <c r="G988">
        <v>0</v>
      </c>
      <c r="H988" t="s">
        <v>855</v>
      </c>
      <c r="I988" t="str">
        <f>VLOOKUP(C988,Customers!A:C,2,FALSE)&amp;" "&amp;VLOOKUP(C988,Customers!A:C,3,FALSE)</f>
        <v>Jose Smith</v>
      </c>
      <c r="J988" t="str">
        <f>VLOOKUP(D988,Products!A:C,2,FALSE)</f>
        <v>National Watches</v>
      </c>
      <c r="K988" t="str">
        <f>VLOOKUP(D988,Products!A:C,3,FALSE)</f>
        <v>Fashion</v>
      </c>
      <c r="L988" t="str">
        <f>VLOOKUP(E988,Stores!A:B,2,FALSE)</f>
        <v>MegaMart Brianahaven</v>
      </c>
      <c r="M988">
        <f>VLOOKUP(D988,Products!A:E,5,FALSE)</f>
        <v>29.24</v>
      </c>
      <c r="N988" s="5">
        <f t="shared" si="15"/>
        <v>29.24</v>
      </c>
    </row>
    <row r="989" spans="1:14" x14ac:dyDescent="0.3">
      <c r="A989" t="s">
        <v>1845</v>
      </c>
      <c r="B989" s="2">
        <v>45559</v>
      </c>
      <c r="C989" t="s">
        <v>551</v>
      </c>
      <c r="D989" t="s">
        <v>786</v>
      </c>
      <c r="E989" t="s">
        <v>831</v>
      </c>
      <c r="F989">
        <v>5</v>
      </c>
      <c r="G989">
        <v>0.05</v>
      </c>
      <c r="H989" t="s">
        <v>855</v>
      </c>
      <c r="I989" t="str">
        <f>VLOOKUP(C989,Customers!A:C,2,FALSE)&amp;" "&amp;VLOOKUP(C989,Customers!A:C,3,FALSE)</f>
        <v>Nancy Gordon</v>
      </c>
      <c r="J989" t="str">
        <f>VLOOKUP(D989,Products!A:C,2,FALSE)</f>
        <v>National Watches</v>
      </c>
      <c r="K989" t="str">
        <f>VLOOKUP(D989,Products!A:C,3,FALSE)</f>
        <v>Fashion</v>
      </c>
      <c r="L989" t="str">
        <f>VLOOKUP(E989,Stores!A:B,2,FALSE)</f>
        <v>MegaMart Jimenezborough</v>
      </c>
      <c r="M989">
        <f>VLOOKUP(D989,Products!A:E,5,FALSE)</f>
        <v>29.24</v>
      </c>
      <c r="N989" s="5">
        <f t="shared" si="15"/>
        <v>138.88999999999999</v>
      </c>
    </row>
    <row r="990" spans="1:14" x14ac:dyDescent="0.3">
      <c r="A990" t="s">
        <v>1846</v>
      </c>
      <c r="B990" s="2">
        <v>45235</v>
      </c>
      <c r="C990" t="s">
        <v>12</v>
      </c>
      <c r="D990" t="s">
        <v>732</v>
      </c>
      <c r="E990" t="s">
        <v>839</v>
      </c>
      <c r="F990">
        <v>2</v>
      </c>
      <c r="G990">
        <v>0.05</v>
      </c>
      <c r="H990" t="s">
        <v>855</v>
      </c>
      <c r="I990" t="str">
        <f>VLOOKUP(C990,Customers!A:C,2,FALSE)&amp;" "&amp;VLOOKUP(C990,Customers!A:C,3,FALSE)</f>
        <v>Michael Miller</v>
      </c>
      <c r="J990" t="str">
        <f>VLOOKUP(D990,Products!A:C,2,FALSE)</f>
        <v>Understand Camera</v>
      </c>
      <c r="K990" t="str">
        <f>VLOOKUP(D990,Products!A:C,3,FALSE)</f>
        <v>Electronics</v>
      </c>
      <c r="L990" t="str">
        <f>VLOOKUP(E990,Stores!A:B,2,FALSE)</f>
        <v>MegaMart New Michele</v>
      </c>
      <c r="M990">
        <f>VLOOKUP(D990,Products!A:E,5,FALSE)</f>
        <v>1474.12</v>
      </c>
      <c r="N990" s="5">
        <f t="shared" si="15"/>
        <v>2800.8279999999995</v>
      </c>
    </row>
    <row r="991" spans="1:14" x14ac:dyDescent="0.3">
      <c r="A991" t="s">
        <v>1847</v>
      </c>
      <c r="B991" s="2">
        <v>45803</v>
      </c>
      <c r="C991" t="s">
        <v>28</v>
      </c>
      <c r="D991" t="s">
        <v>764</v>
      </c>
      <c r="E991" t="s">
        <v>839</v>
      </c>
      <c r="F991">
        <v>5</v>
      </c>
      <c r="G991">
        <v>0.05</v>
      </c>
      <c r="H991" t="s">
        <v>865</v>
      </c>
      <c r="I991" t="str">
        <f>VLOOKUP(C991,Customers!A:C,2,FALSE)&amp;" "&amp;VLOOKUP(C991,Customers!A:C,3,FALSE)</f>
        <v>Danny Moore</v>
      </c>
      <c r="J991" t="str">
        <f>VLOOKUP(D991,Products!A:C,2,FALSE)</f>
        <v>Simple Accessories</v>
      </c>
      <c r="K991" t="str">
        <f>VLOOKUP(D991,Products!A:C,3,FALSE)</f>
        <v>Fashion</v>
      </c>
      <c r="L991" t="str">
        <f>VLOOKUP(E991,Stores!A:B,2,FALSE)</f>
        <v>MegaMart New Michele</v>
      </c>
      <c r="M991">
        <f>VLOOKUP(D991,Products!A:E,5,FALSE)</f>
        <v>323.92</v>
      </c>
      <c r="N991" s="5">
        <f t="shared" si="15"/>
        <v>1538.6200000000001</v>
      </c>
    </row>
    <row r="992" spans="1:14" x14ac:dyDescent="0.3">
      <c r="A992" t="s">
        <v>1848</v>
      </c>
      <c r="B992" s="2">
        <v>45475</v>
      </c>
      <c r="C992" t="s">
        <v>44</v>
      </c>
      <c r="D992" t="s">
        <v>818</v>
      </c>
      <c r="E992" t="s">
        <v>842</v>
      </c>
      <c r="F992">
        <v>3</v>
      </c>
      <c r="G992">
        <v>0.05</v>
      </c>
      <c r="H992" t="s">
        <v>861</v>
      </c>
      <c r="I992" t="str">
        <f>VLOOKUP(C992,Customers!A:C,2,FALSE)&amp;" "&amp;VLOOKUP(C992,Customers!A:C,3,FALSE)</f>
        <v>Catherine Rice</v>
      </c>
      <c r="J992" t="str">
        <f>VLOOKUP(D992,Products!A:C,2,FALSE)</f>
        <v>Nature Clothing</v>
      </c>
      <c r="K992" t="str">
        <f>VLOOKUP(D992,Products!A:C,3,FALSE)</f>
        <v>Fashion</v>
      </c>
      <c r="L992" t="str">
        <f>VLOOKUP(E992,Stores!A:B,2,FALSE)</f>
        <v>MegaMart Brianahaven</v>
      </c>
      <c r="M992">
        <f>VLOOKUP(D992,Products!A:E,5,FALSE)</f>
        <v>1165.3699999999999</v>
      </c>
      <c r="N992" s="5">
        <f t="shared" si="15"/>
        <v>3321.3044999999997</v>
      </c>
    </row>
    <row r="993" spans="1:14" x14ac:dyDescent="0.3">
      <c r="A993" t="s">
        <v>1849</v>
      </c>
      <c r="B993" s="2">
        <v>45273</v>
      </c>
      <c r="C993" t="s">
        <v>258</v>
      </c>
      <c r="D993" t="s">
        <v>742</v>
      </c>
      <c r="E993" t="s">
        <v>839</v>
      </c>
      <c r="F993">
        <v>5</v>
      </c>
      <c r="G993">
        <v>0.05</v>
      </c>
      <c r="H993" t="s">
        <v>861</v>
      </c>
      <c r="I993" t="str">
        <f>VLOOKUP(C993,Customers!A:C,2,FALSE)&amp;" "&amp;VLOOKUP(C993,Customers!A:C,3,FALSE)</f>
        <v>Alexandra Montoya</v>
      </c>
      <c r="J993" t="str">
        <f>VLOOKUP(D993,Products!A:C,2,FALSE)</f>
        <v>Either Headphones</v>
      </c>
      <c r="K993" t="str">
        <f>VLOOKUP(D993,Products!A:C,3,FALSE)</f>
        <v>Electronics</v>
      </c>
      <c r="L993" t="str">
        <f>VLOOKUP(E993,Stores!A:B,2,FALSE)</f>
        <v>MegaMart New Michele</v>
      </c>
      <c r="M993">
        <f>VLOOKUP(D993,Products!A:E,5,FALSE)</f>
        <v>248.57</v>
      </c>
      <c r="N993" s="5">
        <f t="shared" si="15"/>
        <v>1180.7074999999998</v>
      </c>
    </row>
    <row r="994" spans="1:14" x14ac:dyDescent="0.3">
      <c r="A994" t="s">
        <v>1850</v>
      </c>
      <c r="B994" s="2">
        <v>45317</v>
      </c>
      <c r="C994" t="s">
        <v>250</v>
      </c>
      <c r="D994" t="s">
        <v>784</v>
      </c>
      <c r="E994" t="s">
        <v>839</v>
      </c>
      <c r="F994">
        <v>1</v>
      </c>
      <c r="G994">
        <v>0.15</v>
      </c>
      <c r="H994" t="s">
        <v>861</v>
      </c>
      <c r="I994" t="str">
        <f>VLOOKUP(C994,Customers!A:C,2,FALSE)&amp;" "&amp;VLOOKUP(C994,Customers!A:C,3,FALSE)</f>
        <v>Jason Jenkins</v>
      </c>
      <c r="J994" t="str">
        <f>VLOOKUP(D994,Products!A:C,2,FALSE)</f>
        <v>Road Clothing</v>
      </c>
      <c r="K994" t="str">
        <f>VLOOKUP(D994,Products!A:C,3,FALSE)</f>
        <v>Fashion</v>
      </c>
      <c r="L994" t="str">
        <f>VLOOKUP(E994,Stores!A:B,2,FALSE)</f>
        <v>MegaMart New Michele</v>
      </c>
      <c r="M994">
        <f>VLOOKUP(D994,Products!A:E,5,FALSE)</f>
        <v>1485.05</v>
      </c>
      <c r="N994" s="5">
        <f t="shared" si="15"/>
        <v>1262.2925</v>
      </c>
    </row>
    <row r="995" spans="1:14" x14ac:dyDescent="0.3">
      <c r="A995" t="s">
        <v>1851</v>
      </c>
      <c r="B995" s="2">
        <v>45540</v>
      </c>
      <c r="C995" t="s">
        <v>664</v>
      </c>
      <c r="D995" t="s">
        <v>755</v>
      </c>
      <c r="E995" t="s">
        <v>831</v>
      </c>
      <c r="F995">
        <v>3</v>
      </c>
      <c r="G995">
        <v>0.15</v>
      </c>
      <c r="H995" t="s">
        <v>861</v>
      </c>
      <c r="I995" t="str">
        <f>VLOOKUP(C995,Customers!A:C,2,FALSE)&amp;" "&amp;VLOOKUP(C995,Customers!A:C,3,FALSE)</f>
        <v>Ryan Flores</v>
      </c>
      <c r="J995" t="str">
        <f>VLOOKUP(D995,Products!A:C,2,FALSE)</f>
        <v>House Accessories</v>
      </c>
      <c r="K995" t="str">
        <f>VLOOKUP(D995,Products!A:C,3,FALSE)</f>
        <v>Fashion</v>
      </c>
      <c r="L995" t="str">
        <f>VLOOKUP(E995,Stores!A:B,2,FALSE)</f>
        <v>MegaMart Jimenezborough</v>
      </c>
      <c r="M995">
        <f>VLOOKUP(D995,Products!A:E,5,FALSE)</f>
        <v>1858.75</v>
      </c>
      <c r="N995" s="5">
        <f t="shared" si="15"/>
        <v>4739.8125</v>
      </c>
    </row>
    <row r="996" spans="1:14" x14ac:dyDescent="0.3">
      <c r="A996" t="s">
        <v>1852</v>
      </c>
      <c r="B996" s="2">
        <v>45539</v>
      </c>
      <c r="C996" t="s">
        <v>462</v>
      </c>
      <c r="D996" t="s">
        <v>766</v>
      </c>
      <c r="E996" t="s">
        <v>846</v>
      </c>
      <c r="F996">
        <v>1</v>
      </c>
      <c r="G996">
        <v>0.1</v>
      </c>
      <c r="H996" t="s">
        <v>865</v>
      </c>
      <c r="I996" t="str">
        <f>VLOOKUP(C996,Customers!A:C,2,FALSE)&amp;" "&amp;VLOOKUP(C996,Customers!A:C,3,FALSE)</f>
        <v>Kimberly Parker</v>
      </c>
      <c r="J996" t="str">
        <f>VLOOKUP(D996,Products!A:C,2,FALSE)</f>
        <v>Firm Dairy</v>
      </c>
      <c r="K996" t="str">
        <f>VLOOKUP(D996,Products!A:C,3,FALSE)</f>
        <v>Groceries</v>
      </c>
      <c r="L996" t="str">
        <f>VLOOKUP(E996,Stores!A:B,2,FALSE)</f>
        <v>MegaMart Johnmouth</v>
      </c>
      <c r="M996">
        <f>VLOOKUP(D996,Products!A:E,5,FALSE)</f>
        <v>1227.24</v>
      </c>
      <c r="N996" s="5">
        <f t="shared" si="15"/>
        <v>1104.5160000000001</v>
      </c>
    </row>
    <row r="997" spans="1:14" x14ac:dyDescent="0.3">
      <c r="A997" t="s">
        <v>1853</v>
      </c>
      <c r="B997" s="2">
        <v>45533</v>
      </c>
      <c r="C997" t="s">
        <v>664</v>
      </c>
      <c r="D997" t="s">
        <v>790</v>
      </c>
      <c r="E997" t="s">
        <v>846</v>
      </c>
      <c r="F997">
        <v>4</v>
      </c>
      <c r="G997">
        <v>0</v>
      </c>
      <c r="H997" t="s">
        <v>865</v>
      </c>
      <c r="I997" t="str">
        <f>VLOOKUP(C997,Customers!A:C,2,FALSE)&amp;" "&amp;VLOOKUP(C997,Customers!A:C,3,FALSE)</f>
        <v>Ryan Flores</v>
      </c>
      <c r="J997" t="str">
        <f>VLOOKUP(D997,Products!A:C,2,FALSE)</f>
        <v>Difficult Vegetables</v>
      </c>
      <c r="K997" t="str">
        <f>VLOOKUP(D997,Products!A:C,3,FALSE)</f>
        <v>Groceries</v>
      </c>
      <c r="L997" t="str">
        <f>VLOOKUP(E997,Stores!A:B,2,FALSE)</f>
        <v>MegaMart Johnmouth</v>
      </c>
      <c r="M997">
        <f>VLOOKUP(D997,Products!A:E,5,FALSE)</f>
        <v>304.70999999999998</v>
      </c>
      <c r="N997" s="5">
        <f t="shared" si="15"/>
        <v>1218.8399999999999</v>
      </c>
    </row>
    <row r="998" spans="1:14" x14ac:dyDescent="0.3">
      <c r="A998" t="s">
        <v>1854</v>
      </c>
      <c r="B998" s="2">
        <v>45436</v>
      </c>
      <c r="C998" t="s">
        <v>696</v>
      </c>
      <c r="D998" t="s">
        <v>826</v>
      </c>
      <c r="E998" t="s">
        <v>839</v>
      </c>
      <c r="F998">
        <v>3</v>
      </c>
      <c r="G998">
        <v>0.15</v>
      </c>
      <c r="H998" t="s">
        <v>858</v>
      </c>
      <c r="I998" t="str">
        <f>VLOOKUP(C998,Customers!A:C,2,FALSE)&amp;" "&amp;VLOOKUP(C998,Customers!A:C,3,FALSE)</f>
        <v>Jessica Mullins</v>
      </c>
      <c r="J998" t="str">
        <f>VLOOKUP(D998,Products!A:C,2,FALSE)</f>
        <v>Maybe Footwear</v>
      </c>
      <c r="K998" t="str">
        <f>VLOOKUP(D998,Products!A:C,3,FALSE)</f>
        <v>Fashion</v>
      </c>
      <c r="L998" t="str">
        <f>VLOOKUP(E998,Stores!A:B,2,FALSE)</f>
        <v>MegaMart New Michele</v>
      </c>
      <c r="M998">
        <f>VLOOKUP(D998,Products!A:E,5,FALSE)</f>
        <v>1044.6400000000001</v>
      </c>
      <c r="N998" s="5">
        <f t="shared" si="15"/>
        <v>2663.8319999999999</v>
      </c>
    </row>
    <row r="999" spans="1:14" x14ac:dyDescent="0.3">
      <c r="A999" t="s">
        <v>1855</v>
      </c>
      <c r="B999" s="2">
        <v>45596</v>
      </c>
      <c r="C999" t="s">
        <v>123</v>
      </c>
      <c r="D999" t="s">
        <v>750</v>
      </c>
      <c r="E999" t="s">
        <v>835</v>
      </c>
      <c r="F999">
        <v>5</v>
      </c>
      <c r="G999">
        <v>0</v>
      </c>
      <c r="H999" t="s">
        <v>858</v>
      </c>
      <c r="I999" t="str">
        <f>VLOOKUP(C999,Customers!A:C,2,FALSE)&amp;" "&amp;VLOOKUP(C999,Customers!A:C,3,FALSE)</f>
        <v>Ashley Gibson</v>
      </c>
      <c r="J999" t="str">
        <f>VLOOKUP(D999,Products!A:C,2,FALSE)</f>
        <v>Add Clothing</v>
      </c>
      <c r="K999" t="str">
        <f>VLOOKUP(D999,Products!A:C,3,FALSE)</f>
        <v>Fashion</v>
      </c>
      <c r="L999" t="str">
        <f>VLOOKUP(E999,Stores!A:B,2,FALSE)</f>
        <v>MegaMart Peckmouth</v>
      </c>
      <c r="M999">
        <f>VLOOKUP(D999,Products!A:E,5,FALSE)</f>
        <v>1342.75</v>
      </c>
      <c r="N999" s="5">
        <f t="shared" si="15"/>
        <v>6713.75</v>
      </c>
    </row>
    <row r="1000" spans="1:14" x14ac:dyDescent="0.3">
      <c r="A1000" t="s">
        <v>1856</v>
      </c>
      <c r="B1000" s="2">
        <v>45303</v>
      </c>
      <c r="C1000" t="s">
        <v>59</v>
      </c>
      <c r="D1000" t="s">
        <v>774</v>
      </c>
      <c r="E1000" t="s">
        <v>839</v>
      </c>
      <c r="F1000">
        <v>5</v>
      </c>
      <c r="G1000">
        <v>0</v>
      </c>
      <c r="H1000" t="s">
        <v>855</v>
      </c>
      <c r="I1000" t="str">
        <f>VLOOKUP(C1000,Customers!A:C,2,FALSE)&amp;" "&amp;VLOOKUP(C1000,Customers!A:C,3,FALSE)</f>
        <v>Brittany Green</v>
      </c>
      <c r="J1000" t="str">
        <f>VLOOKUP(D1000,Products!A:C,2,FALSE)</f>
        <v>Him Smartphone</v>
      </c>
      <c r="K1000" t="str">
        <f>VLOOKUP(D1000,Products!A:C,3,FALSE)</f>
        <v>Electronics</v>
      </c>
      <c r="L1000" t="str">
        <f>VLOOKUP(E1000,Stores!A:B,2,FALSE)</f>
        <v>MegaMart New Michele</v>
      </c>
      <c r="M1000">
        <f>VLOOKUP(D1000,Products!A:E,5,FALSE)</f>
        <v>1487.41</v>
      </c>
      <c r="N1000" s="5">
        <f t="shared" si="15"/>
        <v>7437.05</v>
      </c>
    </row>
    <row r="1001" spans="1:14" x14ac:dyDescent="0.3">
      <c r="A1001" t="s">
        <v>1857</v>
      </c>
      <c r="B1001" s="2">
        <v>45881</v>
      </c>
      <c r="C1001" t="s">
        <v>505</v>
      </c>
      <c r="D1001" t="s">
        <v>800</v>
      </c>
      <c r="E1001" t="s">
        <v>846</v>
      </c>
      <c r="F1001">
        <v>2</v>
      </c>
      <c r="G1001">
        <v>0.1</v>
      </c>
      <c r="H1001" t="s">
        <v>861</v>
      </c>
      <c r="I1001" t="str">
        <f>VLOOKUP(C1001,Customers!A:C,2,FALSE)&amp;" "&amp;VLOOKUP(C1001,Customers!A:C,3,FALSE)</f>
        <v>Alexander Mcfarland</v>
      </c>
      <c r="J1001" t="str">
        <f>VLOOKUP(D1001,Products!A:C,2,FALSE)</f>
        <v>Book Television</v>
      </c>
      <c r="K1001" t="str">
        <f>VLOOKUP(D1001,Products!A:C,3,FALSE)</f>
        <v>Electronics</v>
      </c>
      <c r="L1001" t="str">
        <f>VLOOKUP(E1001,Stores!A:B,2,FALSE)</f>
        <v>MegaMart Johnmouth</v>
      </c>
      <c r="M1001">
        <f>VLOOKUP(D1001,Products!A:E,5,FALSE)</f>
        <v>1952.65</v>
      </c>
      <c r="N1001" s="5">
        <f t="shared" si="15"/>
        <v>3514.7700000000004</v>
      </c>
    </row>
    <row r="1002" spans="1:14" x14ac:dyDescent="0.3">
      <c r="A1002" t="s">
        <v>1858</v>
      </c>
      <c r="B1002" s="2">
        <v>45654</v>
      </c>
      <c r="C1002" t="s">
        <v>155</v>
      </c>
      <c r="D1002" t="s">
        <v>820</v>
      </c>
      <c r="E1002" t="s">
        <v>831</v>
      </c>
      <c r="F1002">
        <v>4</v>
      </c>
      <c r="G1002">
        <v>0.15</v>
      </c>
      <c r="H1002" t="s">
        <v>865</v>
      </c>
      <c r="I1002" t="str">
        <f>VLOOKUP(C1002,Customers!A:C,2,FALSE)&amp;" "&amp;VLOOKUP(C1002,Customers!A:C,3,FALSE)</f>
        <v>Scott Powell</v>
      </c>
      <c r="J1002" t="str">
        <f>VLOOKUP(D1002,Products!A:C,2,FALSE)</f>
        <v>Or Smartphone</v>
      </c>
      <c r="K1002" t="str">
        <f>VLOOKUP(D1002,Products!A:C,3,FALSE)</f>
        <v>Electronics</v>
      </c>
      <c r="L1002" t="str">
        <f>VLOOKUP(E1002,Stores!A:B,2,FALSE)</f>
        <v>MegaMart Jimenezborough</v>
      </c>
      <c r="M1002">
        <f>VLOOKUP(D1002,Products!A:E,5,FALSE)</f>
        <v>1197.18</v>
      </c>
      <c r="N1002" s="5">
        <f t="shared" si="15"/>
        <v>4070.4120000000003</v>
      </c>
    </row>
    <row r="1003" spans="1:14" x14ac:dyDescent="0.3">
      <c r="A1003" t="s">
        <v>1859</v>
      </c>
      <c r="B1003" s="2">
        <v>45624</v>
      </c>
      <c r="C1003" t="s">
        <v>221</v>
      </c>
      <c r="D1003" t="s">
        <v>753</v>
      </c>
      <c r="E1003" t="s">
        <v>842</v>
      </c>
      <c r="F1003">
        <v>3</v>
      </c>
      <c r="G1003">
        <v>0.15</v>
      </c>
      <c r="H1003" t="s">
        <v>861</v>
      </c>
      <c r="I1003" t="str">
        <f>VLOOKUP(C1003,Customers!A:C,2,FALSE)&amp;" "&amp;VLOOKUP(C1003,Customers!A:C,3,FALSE)</f>
        <v>Julie Gibson</v>
      </c>
      <c r="J1003" t="str">
        <f>VLOOKUP(D1003,Products!A:C,2,FALSE)</f>
        <v>Whether Bags</v>
      </c>
      <c r="K1003" t="str">
        <f>VLOOKUP(D1003,Products!A:C,3,FALSE)</f>
        <v>Fashion</v>
      </c>
      <c r="L1003" t="str">
        <f>VLOOKUP(E1003,Stores!A:B,2,FALSE)</f>
        <v>MegaMart Brianahaven</v>
      </c>
      <c r="M1003">
        <f>VLOOKUP(D1003,Products!A:E,5,FALSE)</f>
        <v>270.45</v>
      </c>
      <c r="N1003" s="5">
        <f t="shared" si="15"/>
        <v>689.64749999999992</v>
      </c>
    </row>
    <row r="1004" spans="1:14" x14ac:dyDescent="0.3">
      <c r="A1004" t="s">
        <v>1860</v>
      </c>
      <c r="B1004" s="2">
        <v>45345</v>
      </c>
      <c r="C1004" t="s">
        <v>134</v>
      </c>
      <c r="D1004" t="s">
        <v>786</v>
      </c>
      <c r="E1004" t="s">
        <v>839</v>
      </c>
      <c r="F1004">
        <v>1</v>
      </c>
      <c r="G1004">
        <v>0.15</v>
      </c>
      <c r="H1004" t="s">
        <v>865</v>
      </c>
      <c r="I1004" t="str">
        <f>VLOOKUP(C1004,Customers!A:C,2,FALSE)&amp;" "&amp;VLOOKUP(C1004,Customers!A:C,3,FALSE)</f>
        <v>Kari Miller</v>
      </c>
      <c r="J1004" t="str">
        <f>VLOOKUP(D1004,Products!A:C,2,FALSE)</f>
        <v>National Watches</v>
      </c>
      <c r="K1004" t="str">
        <f>VLOOKUP(D1004,Products!A:C,3,FALSE)</f>
        <v>Fashion</v>
      </c>
      <c r="L1004" t="str">
        <f>VLOOKUP(E1004,Stores!A:B,2,FALSE)</f>
        <v>MegaMart New Michele</v>
      </c>
      <c r="M1004">
        <f>VLOOKUP(D1004,Products!A:E,5,FALSE)</f>
        <v>29.24</v>
      </c>
      <c r="N1004" s="5">
        <f t="shared" si="15"/>
        <v>24.853999999999999</v>
      </c>
    </row>
    <row r="1005" spans="1:14" x14ac:dyDescent="0.3">
      <c r="A1005" t="s">
        <v>1861</v>
      </c>
      <c r="B1005" s="2">
        <v>45634</v>
      </c>
      <c r="C1005" t="s">
        <v>512</v>
      </c>
      <c r="D1005" t="s">
        <v>761</v>
      </c>
      <c r="E1005" t="s">
        <v>842</v>
      </c>
      <c r="F1005">
        <v>3</v>
      </c>
      <c r="G1005">
        <v>0</v>
      </c>
      <c r="H1005" t="s">
        <v>858</v>
      </c>
      <c r="I1005" t="str">
        <f>VLOOKUP(C1005,Customers!A:C,2,FALSE)&amp;" "&amp;VLOOKUP(C1005,Customers!A:C,3,FALSE)</f>
        <v>Adam Lucas</v>
      </c>
      <c r="J1005" t="str">
        <f>VLOOKUP(D1005,Products!A:C,2,FALSE)</f>
        <v>Traditional Laptop</v>
      </c>
      <c r="K1005" t="str">
        <f>VLOOKUP(D1005,Products!A:C,3,FALSE)</f>
        <v>Electronics</v>
      </c>
      <c r="L1005" t="str">
        <f>VLOOKUP(E1005,Stores!A:B,2,FALSE)</f>
        <v>MegaMart Brianahaven</v>
      </c>
      <c r="M1005">
        <f>VLOOKUP(D1005,Products!A:E,5,FALSE)</f>
        <v>1762.92</v>
      </c>
      <c r="N1005" s="5">
        <f t="shared" si="15"/>
        <v>5288.76</v>
      </c>
    </row>
    <row r="1006" spans="1:14" x14ac:dyDescent="0.3">
      <c r="A1006" t="s">
        <v>1862</v>
      </c>
      <c r="B1006" s="2">
        <v>45442</v>
      </c>
      <c r="C1006" t="s">
        <v>472</v>
      </c>
      <c r="D1006" t="s">
        <v>750</v>
      </c>
      <c r="E1006" t="s">
        <v>842</v>
      </c>
      <c r="F1006">
        <v>2</v>
      </c>
      <c r="G1006">
        <v>0.05</v>
      </c>
      <c r="H1006" t="s">
        <v>858</v>
      </c>
      <c r="I1006" t="str">
        <f>VLOOKUP(C1006,Customers!A:C,2,FALSE)&amp;" "&amp;VLOOKUP(C1006,Customers!A:C,3,FALSE)</f>
        <v>Gary Taylor</v>
      </c>
      <c r="J1006" t="str">
        <f>VLOOKUP(D1006,Products!A:C,2,FALSE)</f>
        <v>Add Clothing</v>
      </c>
      <c r="K1006" t="str">
        <f>VLOOKUP(D1006,Products!A:C,3,FALSE)</f>
        <v>Fashion</v>
      </c>
      <c r="L1006" t="str">
        <f>VLOOKUP(E1006,Stores!A:B,2,FALSE)</f>
        <v>MegaMart Brianahaven</v>
      </c>
      <c r="M1006">
        <f>VLOOKUP(D1006,Products!A:E,5,FALSE)</f>
        <v>1342.75</v>
      </c>
      <c r="N1006" s="5">
        <f t="shared" si="15"/>
        <v>2551.2249999999999</v>
      </c>
    </row>
    <row r="1007" spans="1:14" x14ac:dyDescent="0.3">
      <c r="A1007" t="s">
        <v>1863</v>
      </c>
      <c r="B1007" s="2">
        <v>45637</v>
      </c>
      <c r="C1007" t="s">
        <v>524</v>
      </c>
      <c r="D1007" t="s">
        <v>715</v>
      </c>
      <c r="E1007" t="s">
        <v>835</v>
      </c>
      <c r="F1007">
        <v>4</v>
      </c>
      <c r="G1007">
        <v>0.15</v>
      </c>
      <c r="H1007" t="s">
        <v>861</v>
      </c>
      <c r="I1007" t="str">
        <f>VLOOKUP(C1007,Customers!A:C,2,FALSE)&amp;" "&amp;VLOOKUP(C1007,Customers!A:C,3,FALSE)</f>
        <v>Betty Johnson</v>
      </c>
      <c r="J1007" t="str">
        <f>VLOOKUP(D1007,Products!A:C,2,FALSE)</f>
        <v>Audience Television</v>
      </c>
      <c r="K1007" t="str">
        <f>VLOOKUP(D1007,Products!A:C,3,FALSE)</f>
        <v>Electronics</v>
      </c>
      <c r="L1007" t="str">
        <f>VLOOKUP(E1007,Stores!A:B,2,FALSE)</f>
        <v>MegaMart Peckmouth</v>
      </c>
      <c r="M1007">
        <f>VLOOKUP(D1007,Products!A:E,5,FALSE)</f>
        <v>818.76</v>
      </c>
      <c r="N1007" s="5">
        <f t="shared" si="15"/>
        <v>2783.7840000000001</v>
      </c>
    </row>
    <row r="1008" spans="1:14" x14ac:dyDescent="0.3">
      <c r="A1008" t="s">
        <v>1864</v>
      </c>
      <c r="B1008" s="2">
        <v>45370</v>
      </c>
      <c r="C1008" t="s">
        <v>524</v>
      </c>
      <c r="D1008" t="s">
        <v>759</v>
      </c>
      <c r="E1008" t="s">
        <v>846</v>
      </c>
      <c r="F1008">
        <v>5</v>
      </c>
      <c r="G1008">
        <v>0.05</v>
      </c>
      <c r="H1008" t="s">
        <v>861</v>
      </c>
      <c r="I1008" t="str">
        <f>VLOOKUP(C1008,Customers!A:C,2,FALSE)&amp;" "&amp;VLOOKUP(C1008,Customers!A:C,3,FALSE)</f>
        <v>Betty Johnson</v>
      </c>
      <c r="J1008" t="str">
        <f>VLOOKUP(D1008,Products!A:C,2,FALSE)</f>
        <v>Democratic Smartphone</v>
      </c>
      <c r="K1008" t="str">
        <f>VLOOKUP(D1008,Products!A:C,3,FALSE)</f>
        <v>Electronics</v>
      </c>
      <c r="L1008" t="str">
        <f>VLOOKUP(E1008,Stores!A:B,2,FALSE)</f>
        <v>MegaMart Johnmouth</v>
      </c>
      <c r="M1008">
        <f>VLOOKUP(D1008,Products!A:E,5,FALSE)</f>
        <v>1079.8900000000001</v>
      </c>
      <c r="N1008" s="5">
        <f t="shared" si="15"/>
        <v>5129.4775000000009</v>
      </c>
    </row>
    <row r="1009" spans="1:14" x14ac:dyDescent="0.3">
      <c r="A1009" t="s">
        <v>1865</v>
      </c>
      <c r="B1009" s="2">
        <v>45818</v>
      </c>
      <c r="C1009" t="s">
        <v>77</v>
      </c>
      <c r="D1009" t="s">
        <v>750</v>
      </c>
      <c r="E1009" t="s">
        <v>839</v>
      </c>
      <c r="F1009">
        <v>4</v>
      </c>
      <c r="G1009">
        <v>0.1</v>
      </c>
      <c r="H1009" t="s">
        <v>865</v>
      </c>
      <c r="I1009" t="str">
        <f>VLOOKUP(C1009,Customers!A:C,2,FALSE)&amp;" "&amp;VLOOKUP(C1009,Customers!A:C,3,FALSE)</f>
        <v>John Smith</v>
      </c>
      <c r="J1009" t="str">
        <f>VLOOKUP(D1009,Products!A:C,2,FALSE)</f>
        <v>Add Clothing</v>
      </c>
      <c r="K1009" t="str">
        <f>VLOOKUP(D1009,Products!A:C,3,FALSE)</f>
        <v>Fashion</v>
      </c>
      <c r="L1009" t="str">
        <f>VLOOKUP(E1009,Stores!A:B,2,FALSE)</f>
        <v>MegaMart New Michele</v>
      </c>
      <c r="M1009">
        <f>VLOOKUP(D1009,Products!A:E,5,FALSE)</f>
        <v>1342.75</v>
      </c>
      <c r="N1009" s="5">
        <f t="shared" si="15"/>
        <v>4833.9000000000005</v>
      </c>
    </row>
    <row r="1010" spans="1:14" x14ac:dyDescent="0.3">
      <c r="A1010" t="s">
        <v>1866</v>
      </c>
      <c r="B1010" s="2">
        <v>45231</v>
      </c>
      <c r="C1010" t="s">
        <v>115</v>
      </c>
      <c r="D1010" t="s">
        <v>820</v>
      </c>
      <c r="E1010" t="s">
        <v>842</v>
      </c>
      <c r="F1010">
        <v>4</v>
      </c>
      <c r="G1010">
        <v>0.1</v>
      </c>
      <c r="H1010" t="s">
        <v>855</v>
      </c>
      <c r="I1010" t="str">
        <f>VLOOKUP(C1010,Customers!A:C,2,FALSE)&amp;" "&amp;VLOOKUP(C1010,Customers!A:C,3,FALSE)</f>
        <v>Tyler Levine</v>
      </c>
      <c r="J1010" t="str">
        <f>VLOOKUP(D1010,Products!A:C,2,FALSE)</f>
        <v>Or Smartphone</v>
      </c>
      <c r="K1010" t="str">
        <f>VLOOKUP(D1010,Products!A:C,3,FALSE)</f>
        <v>Electronics</v>
      </c>
      <c r="L1010" t="str">
        <f>VLOOKUP(E1010,Stores!A:B,2,FALSE)</f>
        <v>MegaMart Brianahaven</v>
      </c>
      <c r="M1010">
        <f>VLOOKUP(D1010,Products!A:E,5,FALSE)</f>
        <v>1197.18</v>
      </c>
      <c r="N1010" s="5">
        <f t="shared" si="15"/>
        <v>4309.848</v>
      </c>
    </row>
    <row r="1011" spans="1:14" x14ac:dyDescent="0.3">
      <c r="A1011" t="s">
        <v>1867</v>
      </c>
      <c r="B1011" s="2">
        <v>45421</v>
      </c>
      <c r="C1011" t="s">
        <v>191</v>
      </c>
      <c r="D1011" t="s">
        <v>798</v>
      </c>
      <c r="E1011" t="s">
        <v>839</v>
      </c>
      <c r="F1011">
        <v>3</v>
      </c>
      <c r="G1011">
        <v>0</v>
      </c>
      <c r="H1011" t="s">
        <v>855</v>
      </c>
      <c r="I1011" t="str">
        <f>VLOOKUP(C1011,Customers!A:C,2,FALSE)&amp;" "&amp;VLOOKUP(C1011,Customers!A:C,3,FALSE)</f>
        <v>Antonio Hamilton</v>
      </c>
      <c r="J1011" t="str">
        <f>VLOOKUP(D1011,Products!A:C,2,FALSE)</f>
        <v>New Watches</v>
      </c>
      <c r="K1011" t="str">
        <f>VLOOKUP(D1011,Products!A:C,3,FALSE)</f>
        <v>Fashion</v>
      </c>
      <c r="L1011" t="str">
        <f>VLOOKUP(E1011,Stores!A:B,2,FALSE)</f>
        <v>MegaMart New Michele</v>
      </c>
      <c r="M1011">
        <f>VLOOKUP(D1011,Products!A:E,5,FALSE)</f>
        <v>1501.46</v>
      </c>
      <c r="N1011" s="5">
        <f t="shared" si="15"/>
        <v>4504.38</v>
      </c>
    </row>
    <row r="1012" spans="1:14" x14ac:dyDescent="0.3">
      <c r="A1012" t="s">
        <v>1868</v>
      </c>
      <c r="B1012" s="2">
        <v>45403</v>
      </c>
      <c r="C1012" t="s">
        <v>171</v>
      </c>
      <c r="D1012" t="s">
        <v>711</v>
      </c>
      <c r="E1012" t="s">
        <v>839</v>
      </c>
      <c r="F1012">
        <v>5</v>
      </c>
      <c r="G1012">
        <v>0.15</v>
      </c>
      <c r="H1012" t="s">
        <v>861</v>
      </c>
      <c r="I1012" t="str">
        <f>VLOOKUP(C1012,Customers!A:C,2,FALSE)&amp;" "&amp;VLOOKUP(C1012,Customers!A:C,3,FALSE)</f>
        <v>Parker Sparks</v>
      </c>
      <c r="J1012" t="str">
        <f>VLOOKUP(D1012,Products!A:C,2,FALSE)</f>
        <v>Like Camera</v>
      </c>
      <c r="K1012" t="str">
        <f>VLOOKUP(D1012,Products!A:C,3,FALSE)</f>
        <v>Electronics</v>
      </c>
      <c r="L1012" t="str">
        <f>VLOOKUP(E1012,Stores!A:B,2,FALSE)</f>
        <v>MegaMart New Michele</v>
      </c>
      <c r="M1012">
        <f>VLOOKUP(D1012,Products!A:E,5,FALSE)</f>
        <v>1673.69</v>
      </c>
      <c r="N1012" s="5">
        <f t="shared" si="15"/>
        <v>7113.1825000000008</v>
      </c>
    </row>
    <row r="1013" spans="1:14" x14ac:dyDescent="0.3">
      <c r="A1013" t="s">
        <v>1869</v>
      </c>
      <c r="B1013" s="2">
        <v>45343</v>
      </c>
      <c r="C1013" t="s">
        <v>422</v>
      </c>
      <c r="D1013" t="s">
        <v>782</v>
      </c>
      <c r="E1013" t="s">
        <v>831</v>
      </c>
      <c r="F1013">
        <v>2</v>
      </c>
      <c r="G1013">
        <v>0.05</v>
      </c>
      <c r="H1013" t="s">
        <v>855</v>
      </c>
      <c r="I1013" t="str">
        <f>VLOOKUP(C1013,Customers!A:C,2,FALSE)&amp;" "&amp;VLOOKUP(C1013,Customers!A:C,3,FALSE)</f>
        <v>Heidi Wilson</v>
      </c>
      <c r="J1013" t="str">
        <f>VLOOKUP(D1013,Products!A:C,2,FALSE)</f>
        <v>Deal Smartphone</v>
      </c>
      <c r="K1013" t="str">
        <f>VLOOKUP(D1013,Products!A:C,3,FALSE)</f>
        <v>Electronics</v>
      </c>
      <c r="L1013" t="str">
        <f>VLOOKUP(E1013,Stores!A:B,2,FALSE)</f>
        <v>MegaMart Jimenezborough</v>
      </c>
      <c r="M1013">
        <f>VLOOKUP(D1013,Products!A:E,5,FALSE)</f>
        <v>673.78</v>
      </c>
      <c r="N1013" s="5">
        <f t="shared" si="15"/>
        <v>1280.1819999999998</v>
      </c>
    </row>
    <row r="1014" spans="1:14" x14ac:dyDescent="0.3">
      <c r="A1014" t="s">
        <v>1870</v>
      </c>
      <c r="B1014" s="2">
        <v>45341</v>
      </c>
      <c r="C1014" t="s">
        <v>155</v>
      </c>
      <c r="D1014" t="s">
        <v>764</v>
      </c>
      <c r="E1014" t="s">
        <v>831</v>
      </c>
      <c r="F1014">
        <v>1</v>
      </c>
      <c r="G1014">
        <v>0</v>
      </c>
      <c r="H1014" t="s">
        <v>861</v>
      </c>
      <c r="I1014" t="str">
        <f>VLOOKUP(C1014,Customers!A:C,2,FALSE)&amp;" "&amp;VLOOKUP(C1014,Customers!A:C,3,FALSE)</f>
        <v>Scott Powell</v>
      </c>
      <c r="J1014" t="str">
        <f>VLOOKUP(D1014,Products!A:C,2,FALSE)</f>
        <v>Simple Accessories</v>
      </c>
      <c r="K1014" t="str">
        <f>VLOOKUP(D1014,Products!A:C,3,FALSE)</f>
        <v>Fashion</v>
      </c>
      <c r="L1014" t="str">
        <f>VLOOKUP(E1014,Stores!A:B,2,FALSE)</f>
        <v>MegaMart Jimenezborough</v>
      </c>
      <c r="M1014">
        <f>VLOOKUP(D1014,Products!A:E,5,FALSE)</f>
        <v>323.92</v>
      </c>
      <c r="N1014" s="5">
        <f t="shared" si="15"/>
        <v>323.92</v>
      </c>
    </row>
    <row r="1015" spans="1:14" x14ac:dyDescent="0.3">
      <c r="A1015" t="s">
        <v>1871</v>
      </c>
      <c r="B1015" s="2">
        <v>45790</v>
      </c>
      <c r="C1015" t="s">
        <v>570</v>
      </c>
      <c r="D1015" t="s">
        <v>734</v>
      </c>
      <c r="E1015" t="s">
        <v>835</v>
      </c>
      <c r="F1015">
        <v>3</v>
      </c>
      <c r="G1015">
        <v>0</v>
      </c>
      <c r="H1015" t="s">
        <v>855</v>
      </c>
      <c r="I1015" t="str">
        <f>VLOOKUP(C1015,Customers!A:C,2,FALSE)&amp;" "&amp;VLOOKUP(C1015,Customers!A:C,3,FALSE)</f>
        <v>Thomas Chung</v>
      </c>
      <c r="J1015" t="str">
        <f>VLOOKUP(D1015,Products!A:C,2,FALSE)</f>
        <v>Recognize Footwear</v>
      </c>
      <c r="K1015" t="str">
        <f>VLOOKUP(D1015,Products!A:C,3,FALSE)</f>
        <v>Fashion</v>
      </c>
      <c r="L1015" t="str">
        <f>VLOOKUP(E1015,Stores!A:B,2,FALSE)</f>
        <v>MegaMart Peckmouth</v>
      </c>
      <c r="M1015">
        <f>VLOOKUP(D1015,Products!A:E,5,FALSE)</f>
        <v>109.78</v>
      </c>
      <c r="N1015" s="5">
        <f t="shared" si="15"/>
        <v>329.34000000000003</v>
      </c>
    </row>
    <row r="1016" spans="1:14" x14ac:dyDescent="0.3">
      <c r="A1016" t="s">
        <v>1872</v>
      </c>
      <c r="B1016" s="2">
        <v>45828</v>
      </c>
      <c r="C1016" t="s">
        <v>630</v>
      </c>
      <c r="D1016" t="s">
        <v>725</v>
      </c>
      <c r="E1016" t="s">
        <v>831</v>
      </c>
      <c r="F1016">
        <v>3</v>
      </c>
      <c r="G1016">
        <v>0.15</v>
      </c>
      <c r="H1016" t="s">
        <v>858</v>
      </c>
      <c r="I1016" t="str">
        <f>VLOOKUP(C1016,Customers!A:C,2,FALSE)&amp;" "&amp;VLOOKUP(C1016,Customers!A:C,3,FALSE)</f>
        <v>Mark Mcdonald</v>
      </c>
      <c r="J1016" t="str">
        <f>VLOOKUP(D1016,Products!A:C,2,FALSE)</f>
        <v>Knowledge Bags</v>
      </c>
      <c r="K1016" t="str">
        <f>VLOOKUP(D1016,Products!A:C,3,FALSE)</f>
        <v>Fashion</v>
      </c>
      <c r="L1016" t="str">
        <f>VLOOKUP(E1016,Stores!A:B,2,FALSE)</f>
        <v>MegaMart Jimenezborough</v>
      </c>
      <c r="M1016">
        <f>VLOOKUP(D1016,Products!A:E,5,FALSE)</f>
        <v>1396.22</v>
      </c>
      <c r="N1016" s="5">
        <f t="shared" si="15"/>
        <v>3560.3609999999999</v>
      </c>
    </row>
    <row r="1017" spans="1:14" x14ac:dyDescent="0.3">
      <c r="A1017" t="s">
        <v>1873</v>
      </c>
      <c r="B1017" s="2">
        <v>45480</v>
      </c>
      <c r="C1017" t="s">
        <v>28</v>
      </c>
      <c r="D1017" t="s">
        <v>778</v>
      </c>
      <c r="E1017" t="s">
        <v>839</v>
      </c>
      <c r="F1017">
        <v>2</v>
      </c>
      <c r="G1017">
        <v>0.05</v>
      </c>
      <c r="H1017" t="s">
        <v>861</v>
      </c>
      <c r="I1017" t="str">
        <f>VLOOKUP(C1017,Customers!A:C,2,FALSE)&amp;" "&amp;VLOOKUP(C1017,Customers!A:C,3,FALSE)</f>
        <v>Danny Moore</v>
      </c>
      <c r="J1017" t="str">
        <f>VLOOKUP(D1017,Products!A:C,2,FALSE)</f>
        <v>Behavior Dairy</v>
      </c>
      <c r="K1017" t="str">
        <f>VLOOKUP(D1017,Products!A:C,3,FALSE)</f>
        <v>Groceries</v>
      </c>
      <c r="L1017" t="str">
        <f>VLOOKUP(E1017,Stores!A:B,2,FALSE)</f>
        <v>MegaMart New Michele</v>
      </c>
      <c r="M1017">
        <f>VLOOKUP(D1017,Products!A:E,5,FALSE)</f>
        <v>1015.76</v>
      </c>
      <c r="N1017" s="5">
        <f t="shared" si="15"/>
        <v>1929.944</v>
      </c>
    </row>
    <row r="1018" spans="1:14" x14ac:dyDescent="0.3">
      <c r="A1018" t="s">
        <v>1874</v>
      </c>
      <c r="B1018" s="2">
        <v>45243</v>
      </c>
      <c r="C1018" t="s">
        <v>509</v>
      </c>
      <c r="D1018" t="s">
        <v>818</v>
      </c>
      <c r="E1018" t="s">
        <v>846</v>
      </c>
      <c r="F1018">
        <v>3</v>
      </c>
      <c r="G1018">
        <v>0.15</v>
      </c>
      <c r="H1018" t="s">
        <v>861</v>
      </c>
      <c r="I1018" t="str">
        <f>VLOOKUP(C1018,Customers!A:C,2,FALSE)&amp;" "&amp;VLOOKUP(C1018,Customers!A:C,3,FALSE)</f>
        <v>Stacy Williams</v>
      </c>
      <c r="J1018" t="str">
        <f>VLOOKUP(D1018,Products!A:C,2,FALSE)</f>
        <v>Nature Clothing</v>
      </c>
      <c r="K1018" t="str">
        <f>VLOOKUP(D1018,Products!A:C,3,FALSE)</f>
        <v>Fashion</v>
      </c>
      <c r="L1018" t="str">
        <f>VLOOKUP(E1018,Stores!A:B,2,FALSE)</f>
        <v>MegaMart Johnmouth</v>
      </c>
      <c r="M1018">
        <f>VLOOKUP(D1018,Products!A:E,5,FALSE)</f>
        <v>1165.3699999999999</v>
      </c>
      <c r="N1018" s="5">
        <f t="shared" si="15"/>
        <v>2971.6934999999999</v>
      </c>
    </row>
    <row r="1019" spans="1:14" x14ac:dyDescent="0.3">
      <c r="A1019" t="s">
        <v>1875</v>
      </c>
      <c r="B1019" s="2">
        <v>45451</v>
      </c>
      <c r="C1019" t="s">
        <v>630</v>
      </c>
      <c r="D1019" t="s">
        <v>790</v>
      </c>
      <c r="E1019" t="s">
        <v>831</v>
      </c>
      <c r="F1019">
        <v>4</v>
      </c>
      <c r="G1019">
        <v>0</v>
      </c>
      <c r="H1019" t="s">
        <v>855</v>
      </c>
      <c r="I1019" t="str">
        <f>VLOOKUP(C1019,Customers!A:C,2,FALSE)&amp;" "&amp;VLOOKUP(C1019,Customers!A:C,3,FALSE)</f>
        <v>Mark Mcdonald</v>
      </c>
      <c r="J1019" t="str">
        <f>VLOOKUP(D1019,Products!A:C,2,FALSE)</f>
        <v>Difficult Vegetables</v>
      </c>
      <c r="K1019" t="str">
        <f>VLOOKUP(D1019,Products!A:C,3,FALSE)</f>
        <v>Groceries</v>
      </c>
      <c r="L1019" t="str">
        <f>VLOOKUP(E1019,Stores!A:B,2,FALSE)</f>
        <v>MegaMart Jimenezborough</v>
      </c>
      <c r="M1019">
        <f>VLOOKUP(D1019,Products!A:E,5,FALSE)</f>
        <v>304.70999999999998</v>
      </c>
      <c r="N1019" s="5">
        <f t="shared" si="15"/>
        <v>1218.8399999999999</v>
      </c>
    </row>
    <row r="1020" spans="1:14" x14ac:dyDescent="0.3">
      <c r="A1020" t="s">
        <v>1876</v>
      </c>
      <c r="B1020" s="2">
        <v>45470</v>
      </c>
      <c r="C1020" t="s">
        <v>171</v>
      </c>
      <c r="D1020" t="s">
        <v>804</v>
      </c>
      <c r="E1020" t="s">
        <v>831</v>
      </c>
      <c r="F1020">
        <v>3</v>
      </c>
      <c r="G1020">
        <v>0.05</v>
      </c>
      <c r="H1020" t="s">
        <v>855</v>
      </c>
      <c r="I1020" t="str">
        <f>VLOOKUP(C1020,Customers!A:C,2,FALSE)&amp;" "&amp;VLOOKUP(C1020,Customers!A:C,3,FALSE)</f>
        <v>Parker Sparks</v>
      </c>
      <c r="J1020" t="str">
        <f>VLOOKUP(D1020,Products!A:C,2,FALSE)</f>
        <v>Church Clothing</v>
      </c>
      <c r="K1020" t="str">
        <f>VLOOKUP(D1020,Products!A:C,3,FALSE)</f>
        <v>Fashion</v>
      </c>
      <c r="L1020" t="str">
        <f>VLOOKUP(E1020,Stores!A:B,2,FALSE)</f>
        <v>MegaMart Jimenezborough</v>
      </c>
      <c r="M1020">
        <f>VLOOKUP(D1020,Products!A:E,5,FALSE)</f>
        <v>540.94000000000005</v>
      </c>
      <c r="N1020" s="5">
        <f t="shared" si="15"/>
        <v>1541.6790000000001</v>
      </c>
    </row>
    <row r="1021" spans="1:14" x14ac:dyDescent="0.3">
      <c r="A1021" t="s">
        <v>1877</v>
      </c>
      <c r="B1021" s="2">
        <v>45890</v>
      </c>
      <c r="C1021" t="s">
        <v>59</v>
      </c>
      <c r="D1021" t="s">
        <v>739</v>
      </c>
      <c r="E1021" t="s">
        <v>842</v>
      </c>
      <c r="F1021">
        <v>1</v>
      </c>
      <c r="G1021">
        <v>0</v>
      </c>
      <c r="H1021" t="s">
        <v>858</v>
      </c>
      <c r="I1021" t="str">
        <f>VLOOKUP(C1021,Customers!A:C,2,FALSE)&amp;" "&amp;VLOOKUP(C1021,Customers!A:C,3,FALSE)</f>
        <v>Brittany Green</v>
      </c>
      <c r="J1021" t="str">
        <f>VLOOKUP(D1021,Products!A:C,2,FALSE)</f>
        <v>Step Smartphone</v>
      </c>
      <c r="K1021" t="str">
        <f>VLOOKUP(D1021,Products!A:C,3,FALSE)</f>
        <v>Electronics</v>
      </c>
      <c r="L1021" t="str">
        <f>VLOOKUP(E1021,Stores!A:B,2,FALSE)</f>
        <v>MegaMart Brianahaven</v>
      </c>
      <c r="M1021">
        <f>VLOOKUP(D1021,Products!A:E,5,FALSE)</f>
        <v>1194.1199999999999</v>
      </c>
      <c r="N1021" s="5">
        <f t="shared" si="15"/>
        <v>1194.1199999999999</v>
      </c>
    </row>
    <row r="1022" spans="1:14" x14ac:dyDescent="0.3">
      <c r="A1022" t="s">
        <v>1878</v>
      </c>
      <c r="B1022" s="2">
        <v>45333</v>
      </c>
      <c r="C1022" t="s">
        <v>604</v>
      </c>
      <c r="D1022" t="s">
        <v>728</v>
      </c>
      <c r="E1022" t="s">
        <v>839</v>
      </c>
      <c r="F1022">
        <v>3</v>
      </c>
      <c r="G1022">
        <v>0</v>
      </c>
      <c r="H1022" t="s">
        <v>865</v>
      </c>
      <c r="I1022" t="str">
        <f>VLOOKUP(C1022,Customers!A:C,2,FALSE)&amp;" "&amp;VLOOKUP(C1022,Customers!A:C,3,FALSE)</f>
        <v>Amber Graham</v>
      </c>
      <c r="J1022" t="str">
        <f>VLOOKUP(D1022,Products!A:C,2,FALSE)</f>
        <v>Company Fruits</v>
      </c>
      <c r="K1022" t="str">
        <f>VLOOKUP(D1022,Products!A:C,3,FALSE)</f>
        <v>Groceries</v>
      </c>
      <c r="L1022" t="str">
        <f>VLOOKUP(E1022,Stores!A:B,2,FALSE)</f>
        <v>MegaMart New Michele</v>
      </c>
      <c r="M1022">
        <f>VLOOKUP(D1022,Products!A:E,5,FALSE)</f>
        <v>318.05</v>
      </c>
      <c r="N1022" s="5">
        <f t="shared" si="15"/>
        <v>954.15000000000009</v>
      </c>
    </row>
    <row r="1023" spans="1:14" x14ac:dyDescent="0.3">
      <c r="A1023" t="s">
        <v>1879</v>
      </c>
      <c r="B1023" s="2">
        <v>45359</v>
      </c>
      <c r="C1023" t="s">
        <v>284</v>
      </c>
      <c r="D1023" t="s">
        <v>778</v>
      </c>
      <c r="E1023" t="s">
        <v>842</v>
      </c>
      <c r="F1023">
        <v>2</v>
      </c>
      <c r="G1023">
        <v>0.15</v>
      </c>
      <c r="H1023" t="s">
        <v>865</v>
      </c>
      <c r="I1023" t="str">
        <f>VLOOKUP(C1023,Customers!A:C,2,FALSE)&amp;" "&amp;VLOOKUP(C1023,Customers!A:C,3,FALSE)</f>
        <v>Seth Moore</v>
      </c>
      <c r="J1023" t="str">
        <f>VLOOKUP(D1023,Products!A:C,2,FALSE)</f>
        <v>Behavior Dairy</v>
      </c>
      <c r="K1023" t="str">
        <f>VLOOKUP(D1023,Products!A:C,3,FALSE)</f>
        <v>Groceries</v>
      </c>
      <c r="L1023" t="str">
        <f>VLOOKUP(E1023,Stores!A:B,2,FALSE)</f>
        <v>MegaMart Brianahaven</v>
      </c>
      <c r="M1023">
        <f>VLOOKUP(D1023,Products!A:E,5,FALSE)</f>
        <v>1015.76</v>
      </c>
      <c r="N1023" s="5">
        <f t="shared" si="15"/>
        <v>1726.7919999999999</v>
      </c>
    </row>
    <row r="1024" spans="1:14" x14ac:dyDescent="0.3">
      <c r="A1024" t="s">
        <v>1880</v>
      </c>
      <c r="B1024" s="2">
        <v>45483</v>
      </c>
      <c r="C1024" t="s">
        <v>306</v>
      </c>
      <c r="D1024" t="s">
        <v>711</v>
      </c>
      <c r="E1024" t="s">
        <v>842</v>
      </c>
      <c r="F1024">
        <v>5</v>
      </c>
      <c r="G1024">
        <v>0</v>
      </c>
      <c r="H1024" t="s">
        <v>861</v>
      </c>
      <c r="I1024" t="str">
        <f>VLOOKUP(C1024,Customers!A:C,2,FALSE)&amp;" "&amp;VLOOKUP(C1024,Customers!A:C,3,FALSE)</f>
        <v>Sarah Reynolds</v>
      </c>
      <c r="J1024" t="str">
        <f>VLOOKUP(D1024,Products!A:C,2,FALSE)</f>
        <v>Like Camera</v>
      </c>
      <c r="K1024" t="str">
        <f>VLOOKUP(D1024,Products!A:C,3,FALSE)</f>
        <v>Electronics</v>
      </c>
      <c r="L1024" t="str">
        <f>VLOOKUP(E1024,Stores!A:B,2,FALSE)</f>
        <v>MegaMart Brianahaven</v>
      </c>
      <c r="M1024">
        <f>VLOOKUP(D1024,Products!A:E,5,FALSE)</f>
        <v>1673.69</v>
      </c>
      <c r="N1024" s="5">
        <f t="shared" si="15"/>
        <v>8368.4500000000007</v>
      </c>
    </row>
    <row r="1025" spans="1:14" x14ac:dyDescent="0.3">
      <c r="A1025" t="s">
        <v>1881</v>
      </c>
      <c r="B1025" s="2">
        <v>45630</v>
      </c>
      <c r="C1025" t="s">
        <v>198</v>
      </c>
      <c r="D1025" t="s">
        <v>804</v>
      </c>
      <c r="E1025" t="s">
        <v>846</v>
      </c>
      <c r="F1025">
        <v>4</v>
      </c>
      <c r="G1025">
        <v>0</v>
      </c>
      <c r="H1025" t="s">
        <v>865</v>
      </c>
      <c r="I1025" t="str">
        <f>VLOOKUP(C1025,Customers!A:C,2,FALSE)&amp;" "&amp;VLOOKUP(C1025,Customers!A:C,3,FALSE)</f>
        <v>Madison Sellers</v>
      </c>
      <c r="J1025" t="str">
        <f>VLOOKUP(D1025,Products!A:C,2,FALSE)</f>
        <v>Church Clothing</v>
      </c>
      <c r="K1025" t="str">
        <f>VLOOKUP(D1025,Products!A:C,3,FALSE)</f>
        <v>Fashion</v>
      </c>
      <c r="L1025" t="str">
        <f>VLOOKUP(E1025,Stores!A:B,2,FALSE)</f>
        <v>MegaMart Johnmouth</v>
      </c>
      <c r="M1025">
        <f>VLOOKUP(D1025,Products!A:E,5,FALSE)</f>
        <v>540.94000000000005</v>
      </c>
      <c r="N1025" s="5">
        <f t="shared" si="15"/>
        <v>2163.7600000000002</v>
      </c>
    </row>
    <row r="1026" spans="1:14" x14ac:dyDescent="0.3">
      <c r="A1026" t="s">
        <v>1882</v>
      </c>
      <c r="B1026" s="2">
        <v>45287</v>
      </c>
      <c r="C1026" t="s">
        <v>243</v>
      </c>
      <c r="D1026" t="s">
        <v>772</v>
      </c>
      <c r="E1026" t="s">
        <v>846</v>
      </c>
      <c r="F1026">
        <v>3</v>
      </c>
      <c r="G1026">
        <v>0.1</v>
      </c>
      <c r="H1026" t="s">
        <v>858</v>
      </c>
      <c r="I1026" t="str">
        <f>VLOOKUP(C1026,Customers!A:C,2,FALSE)&amp;" "&amp;VLOOKUP(C1026,Customers!A:C,3,FALSE)</f>
        <v>Amanda Hoover</v>
      </c>
      <c r="J1026" t="str">
        <f>VLOOKUP(D1026,Products!A:C,2,FALSE)</f>
        <v>And Footwear</v>
      </c>
      <c r="K1026" t="str">
        <f>VLOOKUP(D1026,Products!A:C,3,FALSE)</f>
        <v>Fashion</v>
      </c>
      <c r="L1026" t="str">
        <f>VLOOKUP(E1026,Stores!A:B,2,FALSE)</f>
        <v>MegaMart Johnmouth</v>
      </c>
      <c r="M1026">
        <f>VLOOKUP(D1026,Products!A:E,5,FALSE)</f>
        <v>1878.47</v>
      </c>
      <c r="N1026" s="5">
        <f t="shared" si="15"/>
        <v>5071.8689999999997</v>
      </c>
    </row>
    <row r="1027" spans="1:14" x14ac:dyDescent="0.3">
      <c r="A1027" t="s">
        <v>1883</v>
      </c>
      <c r="B1027" s="2">
        <v>45195</v>
      </c>
      <c r="C1027" t="s">
        <v>379</v>
      </c>
      <c r="D1027" t="s">
        <v>814</v>
      </c>
      <c r="E1027" t="s">
        <v>835</v>
      </c>
      <c r="F1027">
        <v>1</v>
      </c>
      <c r="G1027">
        <v>0.1</v>
      </c>
      <c r="H1027" t="s">
        <v>855</v>
      </c>
      <c r="I1027" t="str">
        <f>VLOOKUP(C1027,Customers!A:C,2,FALSE)&amp;" "&amp;VLOOKUP(C1027,Customers!A:C,3,FALSE)</f>
        <v>William Pope</v>
      </c>
      <c r="J1027" t="str">
        <f>VLOOKUP(D1027,Products!A:C,2,FALSE)</f>
        <v>Least Accessories</v>
      </c>
      <c r="K1027" t="str">
        <f>VLOOKUP(D1027,Products!A:C,3,FALSE)</f>
        <v>Fashion</v>
      </c>
      <c r="L1027" t="str">
        <f>VLOOKUP(E1027,Stores!A:B,2,FALSE)</f>
        <v>MegaMart Peckmouth</v>
      </c>
      <c r="M1027">
        <f>VLOOKUP(D1027,Products!A:E,5,FALSE)</f>
        <v>1286.55</v>
      </c>
      <c r="N1027" s="5">
        <f t="shared" ref="N1027:N1090" si="16">F1027*M1027*(1-G1027)</f>
        <v>1157.895</v>
      </c>
    </row>
    <row r="1028" spans="1:14" x14ac:dyDescent="0.3">
      <c r="A1028" t="s">
        <v>1884</v>
      </c>
      <c r="B1028" s="2">
        <v>45596</v>
      </c>
      <c r="C1028" t="s">
        <v>343</v>
      </c>
      <c r="D1028" t="s">
        <v>806</v>
      </c>
      <c r="E1028" t="s">
        <v>839</v>
      </c>
      <c r="F1028">
        <v>2</v>
      </c>
      <c r="G1028">
        <v>0.1</v>
      </c>
      <c r="H1028" t="s">
        <v>865</v>
      </c>
      <c r="I1028" t="str">
        <f>VLOOKUP(C1028,Customers!A:C,2,FALSE)&amp;" "&amp;VLOOKUP(C1028,Customers!A:C,3,FALSE)</f>
        <v>Brian Fowler</v>
      </c>
      <c r="J1028" t="str">
        <f>VLOOKUP(D1028,Products!A:C,2,FALSE)</f>
        <v>Piece Headphones</v>
      </c>
      <c r="K1028" t="str">
        <f>VLOOKUP(D1028,Products!A:C,3,FALSE)</f>
        <v>Electronics</v>
      </c>
      <c r="L1028" t="str">
        <f>VLOOKUP(E1028,Stores!A:B,2,FALSE)</f>
        <v>MegaMart New Michele</v>
      </c>
      <c r="M1028">
        <f>VLOOKUP(D1028,Products!A:E,5,FALSE)</f>
        <v>1745.61</v>
      </c>
      <c r="N1028" s="5">
        <f t="shared" si="16"/>
        <v>3142.098</v>
      </c>
    </row>
    <row r="1029" spans="1:14" x14ac:dyDescent="0.3">
      <c r="A1029" t="s">
        <v>1885</v>
      </c>
      <c r="B1029" s="2">
        <v>45726</v>
      </c>
      <c r="C1029" t="s">
        <v>577</v>
      </c>
      <c r="D1029" t="s">
        <v>715</v>
      </c>
      <c r="E1029" t="s">
        <v>839</v>
      </c>
      <c r="F1029">
        <v>4</v>
      </c>
      <c r="G1029">
        <v>0</v>
      </c>
      <c r="H1029" t="s">
        <v>855</v>
      </c>
      <c r="I1029" t="str">
        <f>VLOOKUP(C1029,Customers!A:C,2,FALSE)&amp;" "&amp;VLOOKUP(C1029,Customers!A:C,3,FALSE)</f>
        <v>Michael Perez</v>
      </c>
      <c r="J1029" t="str">
        <f>VLOOKUP(D1029,Products!A:C,2,FALSE)</f>
        <v>Audience Television</v>
      </c>
      <c r="K1029" t="str">
        <f>VLOOKUP(D1029,Products!A:C,3,FALSE)</f>
        <v>Electronics</v>
      </c>
      <c r="L1029" t="str">
        <f>VLOOKUP(E1029,Stores!A:B,2,FALSE)</f>
        <v>MegaMart New Michele</v>
      </c>
      <c r="M1029">
        <f>VLOOKUP(D1029,Products!A:E,5,FALSE)</f>
        <v>818.76</v>
      </c>
      <c r="N1029" s="5">
        <f t="shared" si="16"/>
        <v>3275.04</v>
      </c>
    </row>
    <row r="1030" spans="1:14" x14ac:dyDescent="0.3">
      <c r="A1030" t="s">
        <v>1886</v>
      </c>
      <c r="B1030" s="2">
        <v>45342</v>
      </c>
      <c r="C1030" t="s">
        <v>224</v>
      </c>
      <c r="D1030" t="s">
        <v>788</v>
      </c>
      <c r="E1030" t="s">
        <v>835</v>
      </c>
      <c r="F1030">
        <v>3</v>
      </c>
      <c r="G1030">
        <v>0.15</v>
      </c>
      <c r="H1030" t="s">
        <v>861</v>
      </c>
      <c r="I1030" t="str">
        <f>VLOOKUP(C1030,Customers!A:C,2,FALSE)&amp;" "&amp;VLOOKUP(C1030,Customers!A:C,3,FALSE)</f>
        <v>Lawrence Stewart</v>
      </c>
      <c r="J1030" t="str">
        <f>VLOOKUP(D1030,Products!A:C,2,FALSE)</f>
        <v>Foot Snacks</v>
      </c>
      <c r="K1030" t="str">
        <f>VLOOKUP(D1030,Products!A:C,3,FALSE)</f>
        <v>Groceries</v>
      </c>
      <c r="L1030" t="str">
        <f>VLOOKUP(E1030,Stores!A:B,2,FALSE)</f>
        <v>MegaMart Peckmouth</v>
      </c>
      <c r="M1030">
        <f>VLOOKUP(D1030,Products!A:E,5,FALSE)</f>
        <v>1095.72</v>
      </c>
      <c r="N1030" s="5">
        <f t="shared" si="16"/>
        <v>2794.0859999999998</v>
      </c>
    </row>
    <row r="1031" spans="1:14" x14ac:dyDescent="0.3">
      <c r="A1031" t="s">
        <v>1887</v>
      </c>
      <c r="B1031" s="2">
        <v>45270</v>
      </c>
      <c r="C1031" t="s">
        <v>93</v>
      </c>
      <c r="D1031" t="s">
        <v>711</v>
      </c>
      <c r="E1031" t="s">
        <v>842</v>
      </c>
      <c r="F1031">
        <v>5</v>
      </c>
      <c r="G1031">
        <v>0.05</v>
      </c>
      <c r="H1031" t="s">
        <v>858</v>
      </c>
      <c r="I1031" t="str">
        <f>VLOOKUP(C1031,Customers!A:C,2,FALSE)&amp;" "&amp;VLOOKUP(C1031,Customers!A:C,3,FALSE)</f>
        <v>Mark Martinez</v>
      </c>
      <c r="J1031" t="str">
        <f>VLOOKUP(D1031,Products!A:C,2,FALSE)</f>
        <v>Like Camera</v>
      </c>
      <c r="K1031" t="str">
        <f>VLOOKUP(D1031,Products!A:C,3,FALSE)</f>
        <v>Electronics</v>
      </c>
      <c r="L1031" t="str">
        <f>VLOOKUP(E1031,Stores!A:B,2,FALSE)</f>
        <v>MegaMart Brianahaven</v>
      </c>
      <c r="M1031">
        <f>VLOOKUP(D1031,Products!A:E,5,FALSE)</f>
        <v>1673.69</v>
      </c>
      <c r="N1031" s="5">
        <f t="shared" si="16"/>
        <v>7950.0275000000001</v>
      </c>
    </row>
    <row r="1032" spans="1:14" x14ac:dyDescent="0.3">
      <c r="A1032" t="s">
        <v>1888</v>
      </c>
      <c r="B1032" s="2">
        <v>45378</v>
      </c>
      <c r="C1032" t="s">
        <v>238</v>
      </c>
      <c r="D1032" t="s">
        <v>800</v>
      </c>
      <c r="E1032" t="s">
        <v>846</v>
      </c>
      <c r="F1032">
        <v>2</v>
      </c>
      <c r="G1032">
        <v>0.15</v>
      </c>
      <c r="H1032" t="s">
        <v>855</v>
      </c>
      <c r="I1032" t="str">
        <f>VLOOKUP(C1032,Customers!A:C,2,FALSE)&amp;" "&amp;VLOOKUP(C1032,Customers!A:C,3,FALSE)</f>
        <v>Susan Salinas</v>
      </c>
      <c r="J1032" t="str">
        <f>VLOOKUP(D1032,Products!A:C,2,FALSE)</f>
        <v>Book Television</v>
      </c>
      <c r="K1032" t="str">
        <f>VLOOKUP(D1032,Products!A:C,3,FALSE)</f>
        <v>Electronics</v>
      </c>
      <c r="L1032" t="str">
        <f>VLOOKUP(E1032,Stores!A:B,2,FALSE)</f>
        <v>MegaMart Johnmouth</v>
      </c>
      <c r="M1032">
        <f>VLOOKUP(D1032,Products!A:E,5,FALSE)</f>
        <v>1952.65</v>
      </c>
      <c r="N1032" s="5">
        <f t="shared" si="16"/>
        <v>3319.5050000000001</v>
      </c>
    </row>
    <row r="1033" spans="1:14" x14ac:dyDescent="0.3">
      <c r="A1033" t="s">
        <v>1889</v>
      </c>
      <c r="B1033" s="2">
        <v>45453</v>
      </c>
      <c r="C1033" t="s">
        <v>556</v>
      </c>
      <c r="D1033" t="s">
        <v>761</v>
      </c>
      <c r="E1033" t="s">
        <v>839</v>
      </c>
      <c r="F1033">
        <v>4</v>
      </c>
      <c r="G1033">
        <v>0.05</v>
      </c>
      <c r="H1033" t="s">
        <v>861</v>
      </c>
      <c r="I1033" t="str">
        <f>VLOOKUP(C1033,Customers!A:C,2,FALSE)&amp;" "&amp;VLOOKUP(C1033,Customers!A:C,3,FALSE)</f>
        <v>Jill Mcconnell</v>
      </c>
      <c r="J1033" t="str">
        <f>VLOOKUP(D1033,Products!A:C,2,FALSE)</f>
        <v>Traditional Laptop</v>
      </c>
      <c r="K1033" t="str">
        <f>VLOOKUP(D1033,Products!A:C,3,FALSE)</f>
        <v>Electronics</v>
      </c>
      <c r="L1033" t="str">
        <f>VLOOKUP(E1033,Stores!A:B,2,FALSE)</f>
        <v>MegaMart New Michele</v>
      </c>
      <c r="M1033">
        <f>VLOOKUP(D1033,Products!A:E,5,FALSE)</f>
        <v>1762.92</v>
      </c>
      <c r="N1033" s="5">
        <f t="shared" si="16"/>
        <v>6699.0959999999995</v>
      </c>
    </row>
    <row r="1034" spans="1:14" x14ac:dyDescent="0.3">
      <c r="A1034" t="s">
        <v>1890</v>
      </c>
      <c r="B1034" s="2">
        <v>45671</v>
      </c>
      <c r="C1034" t="s">
        <v>599</v>
      </c>
      <c r="D1034" t="s">
        <v>780</v>
      </c>
      <c r="E1034" t="s">
        <v>835</v>
      </c>
      <c r="F1034">
        <v>5</v>
      </c>
      <c r="G1034">
        <v>0.05</v>
      </c>
      <c r="H1034" t="s">
        <v>861</v>
      </c>
      <c r="I1034" t="str">
        <f>VLOOKUP(C1034,Customers!A:C,2,FALSE)&amp;" "&amp;VLOOKUP(C1034,Customers!A:C,3,FALSE)</f>
        <v>Richard Jones</v>
      </c>
      <c r="J1034" t="str">
        <f>VLOOKUP(D1034,Products!A:C,2,FALSE)</f>
        <v>Hospital Smartphone</v>
      </c>
      <c r="K1034" t="str">
        <f>VLOOKUP(D1034,Products!A:C,3,FALSE)</f>
        <v>Electronics</v>
      </c>
      <c r="L1034" t="str">
        <f>VLOOKUP(E1034,Stores!A:B,2,FALSE)</f>
        <v>MegaMart Peckmouth</v>
      </c>
      <c r="M1034">
        <f>VLOOKUP(D1034,Products!A:E,5,FALSE)</f>
        <v>1272.23</v>
      </c>
      <c r="N1034" s="5">
        <f t="shared" si="16"/>
        <v>6043.0924999999997</v>
      </c>
    </row>
    <row r="1035" spans="1:14" x14ac:dyDescent="0.3">
      <c r="A1035" t="s">
        <v>1891</v>
      </c>
      <c r="B1035" s="2">
        <v>45211</v>
      </c>
      <c r="C1035" t="s">
        <v>302</v>
      </c>
      <c r="D1035" t="s">
        <v>739</v>
      </c>
      <c r="E1035" t="s">
        <v>846</v>
      </c>
      <c r="F1035">
        <v>2</v>
      </c>
      <c r="G1035">
        <v>0.15</v>
      </c>
      <c r="H1035" t="s">
        <v>861</v>
      </c>
      <c r="I1035" t="str">
        <f>VLOOKUP(C1035,Customers!A:C,2,FALSE)&amp;" "&amp;VLOOKUP(C1035,Customers!A:C,3,FALSE)</f>
        <v>Grace Garcia</v>
      </c>
      <c r="J1035" t="str">
        <f>VLOOKUP(D1035,Products!A:C,2,FALSE)</f>
        <v>Step Smartphone</v>
      </c>
      <c r="K1035" t="str">
        <f>VLOOKUP(D1035,Products!A:C,3,FALSE)</f>
        <v>Electronics</v>
      </c>
      <c r="L1035" t="str">
        <f>VLOOKUP(E1035,Stores!A:B,2,FALSE)</f>
        <v>MegaMart Johnmouth</v>
      </c>
      <c r="M1035">
        <f>VLOOKUP(D1035,Products!A:E,5,FALSE)</f>
        <v>1194.1199999999999</v>
      </c>
      <c r="N1035" s="5">
        <f t="shared" si="16"/>
        <v>2030.0039999999997</v>
      </c>
    </row>
    <row r="1036" spans="1:14" x14ac:dyDescent="0.3">
      <c r="A1036" t="s">
        <v>1892</v>
      </c>
      <c r="B1036" s="2">
        <v>45694</v>
      </c>
      <c r="C1036" t="s">
        <v>599</v>
      </c>
      <c r="D1036" t="s">
        <v>772</v>
      </c>
      <c r="E1036" t="s">
        <v>846</v>
      </c>
      <c r="F1036">
        <v>2</v>
      </c>
      <c r="G1036">
        <v>0.1</v>
      </c>
      <c r="H1036" t="s">
        <v>865</v>
      </c>
      <c r="I1036" t="str">
        <f>VLOOKUP(C1036,Customers!A:C,2,FALSE)&amp;" "&amp;VLOOKUP(C1036,Customers!A:C,3,FALSE)</f>
        <v>Richard Jones</v>
      </c>
      <c r="J1036" t="str">
        <f>VLOOKUP(D1036,Products!A:C,2,FALSE)</f>
        <v>And Footwear</v>
      </c>
      <c r="K1036" t="str">
        <f>VLOOKUP(D1036,Products!A:C,3,FALSE)</f>
        <v>Fashion</v>
      </c>
      <c r="L1036" t="str">
        <f>VLOOKUP(E1036,Stores!A:B,2,FALSE)</f>
        <v>MegaMart Johnmouth</v>
      </c>
      <c r="M1036">
        <f>VLOOKUP(D1036,Products!A:E,5,FALSE)</f>
        <v>1878.47</v>
      </c>
      <c r="N1036" s="5">
        <f t="shared" si="16"/>
        <v>3381.2460000000001</v>
      </c>
    </row>
    <row r="1037" spans="1:14" x14ac:dyDescent="0.3">
      <c r="A1037" t="s">
        <v>1893</v>
      </c>
      <c r="B1037" s="2">
        <v>45508</v>
      </c>
      <c r="C1037" t="s">
        <v>520</v>
      </c>
      <c r="D1037" t="s">
        <v>715</v>
      </c>
      <c r="E1037" t="s">
        <v>846</v>
      </c>
      <c r="F1037">
        <v>1</v>
      </c>
      <c r="G1037">
        <v>0.05</v>
      </c>
      <c r="H1037" t="s">
        <v>855</v>
      </c>
      <c r="I1037" t="str">
        <f>VLOOKUP(C1037,Customers!A:C,2,FALSE)&amp;" "&amp;VLOOKUP(C1037,Customers!A:C,3,FALSE)</f>
        <v>Cynthia Carlson</v>
      </c>
      <c r="J1037" t="str">
        <f>VLOOKUP(D1037,Products!A:C,2,FALSE)</f>
        <v>Audience Television</v>
      </c>
      <c r="K1037" t="str">
        <f>VLOOKUP(D1037,Products!A:C,3,FALSE)</f>
        <v>Electronics</v>
      </c>
      <c r="L1037" t="str">
        <f>VLOOKUP(E1037,Stores!A:B,2,FALSE)</f>
        <v>MegaMart Johnmouth</v>
      </c>
      <c r="M1037">
        <f>VLOOKUP(D1037,Products!A:E,5,FALSE)</f>
        <v>818.76</v>
      </c>
      <c r="N1037" s="5">
        <f t="shared" si="16"/>
        <v>777.822</v>
      </c>
    </row>
    <row r="1038" spans="1:14" x14ac:dyDescent="0.3">
      <c r="A1038" t="s">
        <v>1894</v>
      </c>
      <c r="B1038" s="2">
        <v>45588</v>
      </c>
      <c r="C1038" t="s">
        <v>148</v>
      </c>
      <c r="D1038" t="s">
        <v>826</v>
      </c>
      <c r="E1038" t="s">
        <v>831</v>
      </c>
      <c r="F1038">
        <v>3</v>
      </c>
      <c r="G1038">
        <v>0.15</v>
      </c>
      <c r="H1038" t="s">
        <v>858</v>
      </c>
      <c r="I1038" t="str">
        <f>VLOOKUP(C1038,Customers!A:C,2,FALSE)&amp;" "&amp;VLOOKUP(C1038,Customers!A:C,3,FALSE)</f>
        <v>Tracey Davis</v>
      </c>
      <c r="J1038" t="str">
        <f>VLOOKUP(D1038,Products!A:C,2,FALSE)</f>
        <v>Maybe Footwear</v>
      </c>
      <c r="K1038" t="str">
        <f>VLOOKUP(D1038,Products!A:C,3,FALSE)</f>
        <v>Fashion</v>
      </c>
      <c r="L1038" t="str">
        <f>VLOOKUP(E1038,Stores!A:B,2,FALSE)</f>
        <v>MegaMart Jimenezborough</v>
      </c>
      <c r="M1038">
        <f>VLOOKUP(D1038,Products!A:E,5,FALSE)</f>
        <v>1044.6400000000001</v>
      </c>
      <c r="N1038" s="5">
        <f t="shared" si="16"/>
        <v>2663.8319999999999</v>
      </c>
    </row>
    <row r="1039" spans="1:14" x14ac:dyDescent="0.3">
      <c r="A1039" t="s">
        <v>1895</v>
      </c>
      <c r="B1039" s="2">
        <v>45299</v>
      </c>
      <c r="C1039" t="s">
        <v>294</v>
      </c>
      <c r="D1039" t="s">
        <v>761</v>
      </c>
      <c r="E1039" t="s">
        <v>842</v>
      </c>
      <c r="F1039">
        <v>3</v>
      </c>
      <c r="G1039">
        <v>0.05</v>
      </c>
      <c r="H1039" t="s">
        <v>861</v>
      </c>
      <c r="I1039" t="str">
        <f>VLOOKUP(C1039,Customers!A:C,2,FALSE)&amp;" "&amp;VLOOKUP(C1039,Customers!A:C,3,FALSE)</f>
        <v>Jeanne Young</v>
      </c>
      <c r="J1039" t="str">
        <f>VLOOKUP(D1039,Products!A:C,2,FALSE)</f>
        <v>Traditional Laptop</v>
      </c>
      <c r="K1039" t="str">
        <f>VLOOKUP(D1039,Products!A:C,3,FALSE)</f>
        <v>Electronics</v>
      </c>
      <c r="L1039" t="str">
        <f>VLOOKUP(E1039,Stores!A:B,2,FALSE)</f>
        <v>MegaMart Brianahaven</v>
      </c>
      <c r="M1039">
        <f>VLOOKUP(D1039,Products!A:E,5,FALSE)</f>
        <v>1762.92</v>
      </c>
      <c r="N1039" s="5">
        <f t="shared" si="16"/>
        <v>5024.3220000000001</v>
      </c>
    </row>
    <row r="1040" spans="1:14" x14ac:dyDescent="0.3">
      <c r="A1040" t="s">
        <v>1896</v>
      </c>
      <c r="B1040" s="2">
        <v>45821</v>
      </c>
      <c r="C1040" t="s">
        <v>112</v>
      </c>
      <c r="D1040" t="s">
        <v>786</v>
      </c>
      <c r="E1040" t="s">
        <v>835</v>
      </c>
      <c r="F1040">
        <v>2</v>
      </c>
      <c r="G1040">
        <v>0</v>
      </c>
      <c r="H1040" t="s">
        <v>855</v>
      </c>
      <c r="I1040" t="str">
        <f>VLOOKUP(C1040,Customers!A:C,2,FALSE)&amp;" "&amp;VLOOKUP(C1040,Customers!A:C,3,FALSE)</f>
        <v>John Carr</v>
      </c>
      <c r="J1040" t="str">
        <f>VLOOKUP(D1040,Products!A:C,2,FALSE)</f>
        <v>National Watches</v>
      </c>
      <c r="K1040" t="str">
        <f>VLOOKUP(D1040,Products!A:C,3,FALSE)</f>
        <v>Fashion</v>
      </c>
      <c r="L1040" t="str">
        <f>VLOOKUP(E1040,Stores!A:B,2,FALSE)</f>
        <v>MegaMart Peckmouth</v>
      </c>
      <c r="M1040">
        <f>VLOOKUP(D1040,Products!A:E,5,FALSE)</f>
        <v>29.24</v>
      </c>
      <c r="N1040" s="5">
        <f t="shared" si="16"/>
        <v>58.48</v>
      </c>
    </row>
    <row r="1041" spans="1:14" x14ac:dyDescent="0.3">
      <c r="A1041" t="s">
        <v>1897</v>
      </c>
      <c r="B1041" s="2">
        <v>45377</v>
      </c>
      <c r="C1041" t="s">
        <v>560</v>
      </c>
      <c r="D1041" t="s">
        <v>814</v>
      </c>
      <c r="E1041" t="s">
        <v>846</v>
      </c>
      <c r="F1041">
        <v>5</v>
      </c>
      <c r="G1041">
        <v>0.05</v>
      </c>
      <c r="H1041" t="s">
        <v>861</v>
      </c>
      <c r="I1041" t="str">
        <f>VLOOKUP(C1041,Customers!A:C,2,FALSE)&amp;" "&amp;VLOOKUP(C1041,Customers!A:C,3,FALSE)</f>
        <v>George Young</v>
      </c>
      <c r="J1041" t="str">
        <f>VLOOKUP(D1041,Products!A:C,2,FALSE)</f>
        <v>Least Accessories</v>
      </c>
      <c r="K1041" t="str">
        <f>VLOOKUP(D1041,Products!A:C,3,FALSE)</f>
        <v>Fashion</v>
      </c>
      <c r="L1041" t="str">
        <f>VLOOKUP(E1041,Stores!A:B,2,FALSE)</f>
        <v>MegaMart Johnmouth</v>
      </c>
      <c r="M1041">
        <f>VLOOKUP(D1041,Products!A:E,5,FALSE)</f>
        <v>1286.55</v>
      </c>
      <c r="N1041" s="5">
        <f t="shared" si="16"/>
        <v>6111.1124999999993</v>
      </c>
    </row>
    <row r="1042" spans="1:14" x14ac:dyDescent="0.3">
      <c r="A1042" t="s">
        <v>1898</v>
      </c>
      <c r="B1042" s="2">
        <v>45799</v>
      </c>
      <c r="C1042" t="s">
        <v>230</v>
      </c>
      <c r="D1042" t="s">
        <v>715</v>
      </c>
      <c r="E1042" t="s">
        <v>831</v>
      </c>
      <c r="F1042">
        <v>3</v>
      </c>
      <c r="G1042">
        <v>0</v>
      </c>
      <c r="H1042" t="s">
        <v>858</v>
      </c>
      <c r="I1042" t="str">
        <f>VLOOKUP(C1042,Customers!A:C,2,FALSE)&amp;" "&amp;VLOOKUP(C1042,Customers!A:C,3,FALSE)</f>
        <v>Anthony Conway</v>
      </c>
      <c r="J1042" t="str">
        <f>VLOOKUP(D1042,Products!A:C,2,FALSE)</f>
        <v>Audience Television</v>
      </c>
      <c r="K1042" t="str">
        <f>VLOOKUP(D1042,Products!A:C,3,FALSE)</f>
        <v>Electronics</v>
      </c>
      <c r="L1042" t="str">
        <f>VLOOKUP(E1042,Stores!A:B,2,FALSE)</f>
        <v>MegaMart Jimenezborough</v>
      </c>
      <c r="M1042">
        <f>VLOOKUP(D1042,Products!A:E,5,FALSE)</f>
        <v>818.76</v>
      </c>
      <c r="N1042" s="5">
        <f t="shared" si="16"/>
        <v>2456.2799999999997</v>
      </c>
    </row>
    <row r="1043" spans="1:14" x14ac:dyDescent="0.3">
      <c r="A1043" t="s">
        <v>1899</v>
      </c>
      <c r="B1043" s="2">
        <v>45584</v>
      </c>
      <c r="C1043" t="s">
        <v>137</v>
      </c>
      <c r="D1043" t="s">
        <v>711</v>
      </c>
      <c r="E1043" t="s">
        <v>846</v>
      </c>
      <c r="F1043">
        <v>5</v>
      </c>
      <c r="G1043">
        <v>0.15</v>
      </c>
      <c r="H1043" t="s">
        <v>855</v>
      </c>
      <c r="I1043" t="str">
        <f>VLOOKUP(C1043,Customers!A:C,2,FALSE)&amp;" "&amp;VLOOKUP(C1043,Customers!A:C,3,FALSE)</f>
        <v>Kimberly King</v>
      </c>
      <c r="J1043" t="str">
        <f>VLOOKUP(D1043,Products!A:C,2,FALSE)</f>
        <v>Like Camera</v>
      </c>
      <c r="K1043" t="str">
        <f>VLOOKUP(D1043,Products!A:C,3,FALSE)</f>
        <v>Electronics</v>
      </c>
      <c r="L1043" t="str">
        <f>VLOOKUP(E1043,Stores!A:B,2,FALSE)</f>
        <v>MegaMart Johnmouth</v>
      </c>
      <c r="M1043">
        <f>VLOOKUP(D1043,Products!A:E,5,FALSE)</f>
        <v>1673.69</v>
      </c>
      <c r="N1043" s="5">
        <f t="shared" si="16"/>
        <v>7113.1825000000008</v>
      </c>
    </row>
    <row r="1044" spans="1:14" x14ac:dyDescent="0.3">
      <c r="A1044" t="s">
        <v>1900</v>
      </c>
      <c r="B1044" s="2">
        <v>45413</v>
      </c>
      <c r="C1044" t="s">
        <v>187</v>
      </c>
      <c r="D1044" t="s">
        <v>711</v>
      </c>
      <c r="E1044" t="s">
        <v>842</v>
      </c>
      <c r="F1044">
        <v>4</v>
      </c>
      <c r="G1044">
        <v>0.15</v>
      </c>
      <c r="H1044" t="s">
        <v>861</v>
      </c>
      <c r="I1044" t="str">
        <f>VLOOKUP(C1044,Customers!A:C,2,FALSE)&amp;" "&amp;VLOOKUP(C1044,Customers!A:C,3,FALSE)</f>
        <v>Alexis Crane</v>
      </c>
      <c r="J1044" t="str">
        <f>VLOOKUP(D1044,Products!A:C,2,FALSE)</f>
        <v>Like Camera</v>
      </c>
      <c r="K1044" t="str">
        <f>VLOOKUP(D1044,Products!A:C,3,FALSE)</f>
        <v>Electronics</v>
      </c>
      <c r="L1044" t="str">
        <f>VLOOKUP(E1044,Stores!A:B,2,FALSE)</f>
        <v>MegaMart Brianahaven</v>
      </c>
      <c r="M1044">
        <f>VLOOKUP(D1044,Products!A:E,5,FALSE)</f>
        <v>1673.69</v>
      </c>
      <c r="N1044" s="5">
        <f t="shared" si="16"/>
        <v>5690.5460000000003</v>
      </c>
    </row>
    <row r="1045" spans="1:14" x14ac:dyDescent="0.3">
      <c r="A1045" t="s">
        <v>1901</v>
      </c>
      <c r="B1045" s="2">
        <v>45485</v>
      </c>
      <c r="C1045" t="s">
        <v>163</v>
      </c>
      <c r="D1045" t="s">
        <v>782</v>
      </c>
      <c r="E1045" t="s">
        <v>835</v>
      </c>
      <c r="F1045">
        <v>2</v>
      </c>
      <c r="G1045">
        <v>0</v>
      </c>
      <c r="H1045" t="s">
        <v>858</v>
      </c>
      <c r="I1045" t="str">
        <f>VLOOKUP(C1045,Customers!A:C,2,FALSE)&amp;" "&amp;VLOOKUP(C1045,Customers!A:C,3,FALSE)</f>
        <v>Anna Andrews</v>
      </c>
      <c r="J1045" t="str">
        <f>VLOOKUP(D1045,Products!A:C,2,FALSE)</f>
        <v>Deal Smartphone</v>
      </c>
      <c r="K1045" t="str">
        <f>VLOOKUP(D1045,Products!A:C,3,FALSE)</f>
        <v>Electronics</v>
      </c>
      <c r="L1045" t="str">
        <f>VLOOKUP(E1045,Stores!A:B,2,FALSE)</f>
        <v>MegaMart Peckmouth</v>
      </c>
      <c r="M1045">
        <f>VLOOKUP(D1045,Products!A:E,5,FALSE)</f>
        <v>673.78</v>
      </c>
      <c r="N1045" s="5">
        <f t="shared" si="16"/>
        <v>1347.56</v>
      </c>
    </row>
    <row r="1046" spans="1:14" x14ac:dyDescent="0.3">
      <c r="A1046" t="s">
        <v>1902</v>
      </c>
      <c r="B1046" s="2">
        <v>45600</v>
      </c>
      <c r="C1046" t="s">
        <v>690</v>
      </c>
      <c r="D1046" t="s">
        <v>824</v>
      </c>
      <c r="E1046" t="s">
        <v>831</v>
      </c>
      <c r="F1046">
        <v>3</v>
      </c>
      <c r="G1046">
        <v>0.15</v>
      </c>
      <c r="H1046" t="s">
        <v>861</v>
      </c>
      <c r="I1046" t="str">
        <f>VLOOKUP(C1046,Customers!A:C,2,FALSE)&amp;" "&amp;VLOOKUP(C1046,Customers!A:C,3,FALSE)</f>
        <v>James Noble</v>
      </c>
      <c r="J1046" t="str">
        <f>VLOOKUP(D1046,Products!A:C,2,FALSE)</f>
        <v>Possible Watches</v>
      </c>
      <c r="K1046" t="str">
        <f>VLOOKUP(D1046,Products!A:C,3,FALSE)</f>
        <v>Fashion</v>
      </c>
      <c r="L1046" t="str">
        <f>VLOOKUP(E1046,Stores!A:B,2,FALSE)</f>
        <v>MegaMart Jimenezborough</v>
      </c>
      <c r="M1046">
        <f>VLOOKUP(D1046,Products!A:E,5,FALSE)</f>
        <v>388.26</v>
      </c>
      <c r="N1046" s="5">
        <f t="shared" si="16"/>
        <v>990.06299999999999</v>
      </c>
    </row>
    <row r="1047" spans="1:14" x14ac:dyDescent="0.3">
      <c r="A1047" t="s">
        <v>1903</v>
      </c>
      <c r="B1047" s="2">
        <v>45719</v>
      </c>
      <c r="C1047" t="s">
        <v>673</v>
      </c>
      <c r="D1047" t="s">
        <v>761</v>
      </c>
      <c r="E1047" t="s">
        <v>835</v>
      </c>
      <c r="F1047">
        <v>2</v>
      </c>
      <c r="G1047">
        <v>0</v>
      </c>
      <c r="H1047" t="s">
        <v>861</v>
      </c>
      <c r="I1047" t="str">
        <f>VLOOKUP(C1047,Customers!A:C,2,FALSE)&amp;" "&amp;VLOOKUP(C1047,Customers!A:C,3,FALSE)</f>
        <v>Karen Quinn</v>
      </c>
      <c r="J1047" t="str">
        <f>VLOOKUP(D1047,Products!A:C,2,FALSE)</f>
        <v>Traditional Laptop</v>
      </c>
      <c r="K1047" t="str">
        <f>VLOOKUP(D1047,Products!A:C,3,FALSE)</f>
        <v>Electronics</v>
      </c>
      <c r="L1047" t="str">
        <f>VLOOKUP(E1047,Stores!A:B,2,FALSE)</f>
        <v>MegaMart Peckmouth</v>
      </c>
      <c r="M1047">
        <f>VLOOKUP(D1047,Products!A:E,5,FALSE)</f>
        <v>1762.92</v>
      </c>
      <c r="N1047" s="5">
        <f t="shared" si="16"/>
        <v>3525.84</v>
      </c>
    </row>
    <row r="1048" spans="1:14" x14ac:dyDescent="0.3">
      <c r="A1048" t="s">
        <v>1904</v>
      </c>
      <c r="B1048" s="2">
        <v>45184</v>
      </c>
      <c r="C1048" t="s">
        <v>422</v>
      </c>
      <c r="D1048" t="s">
        <v>798</v>
      </c>
      <c r="E1048" t="s">
        <v>846</v>
      </c>
      <c r="F1048">
        <v>4</v>
      </c>
      <c r="G1048">
        <v>0.1</v>
      </c>
      <c r="H1048" t="s">
        <v>858</v>
      </c>
      <c r="I1048" t="str">
        <f>VLOOKUP(C1048,Customers!A:C,2,FALSE)&amp;" "&amp;VLOOKUP(C1048,Customers!A:C,3,FALSE)</f>
        <v>Heidi Wilson</v>
      </c>
      <c r="J1048" t="str">
        <f>VLOOKUP(D1048,Products!A:C,2,FALSE)</f>
        <v>New Watches</v>
      </c>
      <c r="K1048" t="str">
        <f>VLOOKUP(D1048,Products!A:C,3,FALSE)</f>
        <v>Fashion</v>
      </c>
      <c r="L1048" t="str">
        <f>VLOOKUP(E1048,Stores!A:B,2,FALSE)</f>
        <v>MegaMart Johnmouth</v>
      </c>
      <c r="M1048">
        <f>VLOOKUP(D1048,Products!A:E,5,FALSE)</f>
        <v>1501.46</v>
      </c>
      <c r="N1048" s="5">
        <f t="shared" si="16"/>
        <v>5405.2560000000003</v>
      </c>
    </row>
    <row r="1049" spans="1:14" x14ac:dyDescent="0.3">
      <c r="A1049" t="s">
        <v>1905</v>
      </c>
      <c r="B1049" s="2">
        <v>45308</v>
      </c>
      <c r="C1049" t="s">
        <v>243</v>
      </c>
      <c r="D1049" t="s">
        <v>774</v>
      </c>
      <c r="E1049" t="s">
        <v>842</v>
      </c>
      <c r="F1049">
        <v>4</v>
      </c>
      <c r="G1049">
        <v>0</v>
      </c>
      <c r="H1049" t="s">
        <v>858</v>
      </c>
      <c r="I1049" t="str">
        <f>VLOOKUP(C1049,Customers!A:C,2,FALSE)&amp;" "&amp;VLOOKUP(C1049,Customers!A:C,3,FALSE)</f>
        <v>Amanda Hoover</v>
      </c>
      <c r="J1049" t="str">
        <f>VLOOKUP(D1049,Products!A:C,2,FALSE)</f>
        <v>Him Smartphone</v>
      </c>
      <c r="K1049" t="str">
        <f>VLOOKUP(D1049,Products!A:C,3,FALSE)</f>
        <v>Electronics</v>
      </c>
      <c r="L1049" t="str">
        <f>VLOOKUP(E1049,Stores!A:B,2,FALSE)</f>
        <v>MegaMart Brianahaven</v>
      </c>
      <c r="M1049">
        <f>VLOOKUP(D1049,Products!A:E,5,FALSE)</f>
        <v>1487.41</v>
      </c>
      <c r="N1049" s="5">
        <f t="shared" si="16"/>
        <v>5949.64</v>
      </c>
    </row>
    <row r="1050" spans="1:14" x14ac:dyDescent="0.3">
      <c r="A1050" t="s">
        <v>1906</v>
      </c>
      <c r="B1050" s="2">
        <v>45282</v>
      </c>
      <c r="C1050" t="s">
        <v>653</v>
      </c>
      <c r="D1050" t="s">
        <v>764</v>
      </c>
      <c r="E1050" t="s">
        <v>839</v>
      </c>
      <c r="F1050">
        <v>4</v>
      </c>
      <c r="G1050">
        <v>0</v>
      </c>
      <c r="H1050" t="s">
        <v>865</v>
      </c>
      <c r="I1050" t="str">
        <f>VLOOKUP(C1050,Customers!A:C,2,FALSE)&amp;" "&amp;VLOOKUP(C1050,Customers!A:C,3,FALSE)</f>
        <v>Joe Vincent</v>
      </c>
      <c r="J1050" t="str">
        <f>VLOOKUP(D1050,Products!A:C,2,FALSE)</f>
        <v>Simple Accessories</v>
      </c>
      <c r="K1050" t="str">
        <f>VLOOKUP(D1050,Products!A:C,3,FALSE)</f>
        <v>Fashion</v>
      </c>
      <c r="L1050" t="str">
        <f>VLOOKUP(E1050,Stores!A:B,2,FALSE)</f>
        <v>MegaMart New Michele</v>
      </c>
      <c r="M1050">
        <f>VLOOKUP(D1050,Products!A:E,5,FALSE)</f>
        <v>323.92</v>
      </c>
      <c r="N1050" s="5">
        <f t="shared" si="16"/>
        <v>1295.68</v>
      </c>
    </row>
    <row r="1051" spans="1:14" x14ac:dyDescent="0.3">
      <c r="A1051" t="s">
        <v>1907</v>
      </c>
      <c r="B1051" s="2">
        <v>45454</v>
      </c>
      <c r="C1051" t="s">
        <v>432</v>
      </c>
      <c r="D1051" t="s">
        <v>822</v>
      </c>
      <c r="E1051" t="s">
        <v>842</v>
      </c>
      <c r="F1051">
        <v>1</v>
      </c>
      <c r="G1051">
        <v>0.05</v>
      </c>
      <c r="H1051" t="s">
        <v>858</v>
      </c>
      <c r="I1051" t="str">
        <f>VLOOKUP(C1051,Customers!A:C,2,FALSE)&amp;" "&amp;VLOOKUP(C1051,Customers!A:C,3,FALSE)</f>
        <v>Jamie Webb</v>
      </c>
      <c r="J1051" t="str">
        <f>VLOOKUP(D1051,Products!A:C,2,FALSE)</f>
        <v>Nor Bags</v>
      </c>
      <c r="K1051" t="str">
        <f>VLOOKUP(D1051,Products!A:C,3,FALSE)</f>
        <v>Fashion</v>
      </c>
      <c r="L1051" t="str">
        <f>VLOOKUP(E1051,Stores!A:B,2,FALSE)</f>
        <v>MegaMart Brianahaven</v>
      </c>
      <c r="M1051">
        <f>VLOOKUP(D1051,Products!A:E,5,FALSE)</f>
        <v>1216.3599999999999</v>
      </c>
      <c r="N1051" s="5">
        <f t="shared" si="16"/>
        <v>1155.5419999999999</v>
      </c>
    </row>
    <row r="1052" spans="1:14" x14ac:dyDescent="0.3">
      <c r="A1052" t="s">
        <v>1908</v>
      </c>
      <c r="B1052" s="2">
        <v>45530</v>
      </c>
      <c r="C1052" t="s">
        <v>666</v>
      </c>
      <c r="D1052" t="s">
        <v>755</v>
      </c>
      <c r="E1052" t="s">
        <v>831</v>
      </c>
      <c r="F1052">
        <v>5</v>
      </c>
      <c r="G1052">
        <v>0.15</v>
      </c>
      <c r="H1052" t="s">
        <v>865</v>
      </c>
      <c r="I1052" t="str">
        <f>VLOOKUP(C1052,Customers!A:C,2,FALSE)&amp;" "&amp;VLOOKUP(C1052,Customers!A:C,3,FALSE)</f>
        <v>Steve Flynn</v>
      </c>
      <c r="J1052" t="str">
        <f>VLOOKUP(D1052,Products!A:C,2,FALSE)</f>
        <v>House Accessories</v>
      </c>
      <c r="K1052" t="str">
        <f>VLOOKUP(D1052,Products!A:C,3,FALSE)</f>
        <v>Fashion</v>
      </c>
      <c r="L1052" t="str">
        <f>VLOOKUP(E1052,Stores!A:B,2,FALSE)</f>
        <v>MegaMart Jimenezborough</v>
      </c>
      <c r="M1052">
        <f>VLOOKUP(D1052,Products!A:E,5,FALSE)</f>
        <v>1858.75</v>
      </c>
      <c r="N1052" s="5">
        <f t="shared" si="16"/>
        <v>7899.6875</v>
      </c>
    </row>
    <row r="1053" spans="1:14" x14ac:dyDescent="0.3">
      <c r="A1053" t="s">
        <v>1909</v>
      </c>
      <c r="B1053" s="2">
        <v>45643</v>
      </c>
      <c r="C1053" t="s">
        <v>191</v>
      </c>
      <c r="D1053" t="s">
        <v>790</v>
      </c>
      <c r="E1053" t="s">
        <v>839</v>
      </c>
      <c r="F1053">
        <v>4</v>
      </c>
      <c r="G1053">
        <v>0.15</v>
      </c>
      <c r="H1053" t="s">
        <v>855</v>
      </c>
      <c r="I1053" t="str">
        <f>VLOOKUP(C1053,Customers!A:C,2,FALSE)&amp;" "&amp;VLOOKUP(C1053,Customers!A:C,3,FALSE)</f>
        <v>Antonio Hamilton</v>
      </c>
      <c r="J1053" t="str">
        <f>VLOOKUP(D1053,Products!A:C,2,FALSE)</f>
        <v>Difficult Vegetables</v>
      </c>
      <c r="K1053" t="str">
        <f>VLOOKUP(D1053,Products!A:C,3,FALSE)</f>
        <v>Groceries</v>
      </c>
      <c r="L1053" t="str">
        <f>VLOOKUP(E1053,Stores!A:B,2,FALSE)</f>
        <v>MegaMart New Michele</v>
      </c>
      <c r="M1053">
        <f>VLOOKUP(D1053,Products!A:E,5,FALSE)</f>
        <v>304.70999999999998</v>
      </c>
      <c r="N1053" s="5">
        <f t="shared" si="16"/>
        <v>1036.0139999999999</v>
      </c>
    </row>
    <row r="1054" spans="1:14" x14ac:dyDescent="0.3">
      <c r="A1054" t="s">
        <v>1910</v>
      </c>
      <c r="B1054" s="2">
        <v>45448</v>
      </c>
      <c r="C1054" t="s">
        <v>700</v>
      </c>
      <c r="D1054" t="s">
        <v>824</v>
      </c>
      <c r="E1054" t="s">
        <v>839</v>
      </c>
      <c r="F1054">
        <v>4</v>
      </c>
      <c r="G1054">
        <v>0.05</v>
      </c>
      <c r="H1054" t="s">
        <v>858</v>
      </c>
      <c r="I1054" t="str">
        <f>VLOOKUP(C1054,Customers!A:C,2,FALSE)&amp;" "&amp;VLOOKUP(C1054,Customers!A:C,3,FALSE)</f>
        <v>Juan Johnson</v>
      </c>
      <c r="J1054" t="str">
        <f>VLOOKUP(D1054,Products!A:C,2,FALSE)</f>
        <v>Possible Watches</v>
      </c>
      <c r="K1054" t="str">
        <f>VLOOKUP(D1054,Products!A:C,3,FALSE)</f>
        <v>Fashion</v>
      </c>
      <c r="L1054" t="str">
        <f>VLOOKUP(E1054,Stores!A:B,2,FALSE)</f>
        <v>MegaMart New Michele</v>
      </c>
      <c r="M1054">
        <f>VLOOKUP(D1054,Products!A:E,5,FALSE)</f>
        <v>388.26</v>
      </c>
      <c r="N1054" s="5">
        <f t="shared" si="16"/>
        <v>1475.3879999999999</v>
      </c>
    </row>
    <row r="1055" spans="1:14" x14ac:dyDescent="0.3">
      <c r="A1055" t="s">
        <v>1911</v>
      </c>
      <c r="B1055" s="2">
        <v>45710</v>
      </c>
      <c r="C1055" t="s">
        <v>287</v>
      </c>
      <c r="D1055" t="s">
        <v>745</v>
      </c>
      <c r="E1055" t="s">
        <v>846</v>
      </c>
      <c r="F1055">
        <v>1</v>
      </c>
      <c r="G1055">
        <v>0.05</v>
      </c>
      <c r="H1055" t="s">
        <v>858</v>
      </c>
      <c r="I1055" t="str">
        <f>VLOOKUP(C1055,Customers!A:C,2,FALSE)&amp;" "&amp;VLOOKUP(C1055,Customers!A:C,3,FALSE)</f>
        <v>Phyllis Durham</v>
      </c>
      <c r="J1055" t="str">
        <f>VLOOKUP(D1055,Products!A:C,2,FALSE)</f>
        <v>Above Camera</v>
      </c>
      <c r="K1055" t="str">
        <f>VLOOKUP(D1055,Products!A:C,3,FALSE)</f>
        <v>Electronics</v>
      </c>
      <c r="L1055" t="str">
        <f>VLOOKUP(E1055,Stores!A:B,2,FALSE)</f>
        <v>MegaMart Johnmouth</v>
      </c>
      <c r="M1055">
        <f>VLOOKUP(D1055,Products!A:E,5,FALSE)</f>
        <v>1193.0899999999999</v>
      </c>
      <c r="N1055" s="5">
        <f t="shared" si="16"/>
        <v>1133.4354999999998</v>
      </c>
    </row>
    <row r="1056" spans="1:14" x14ac:dyDescent="0.3">
      <c r="A1056" t="s">
        <v>1912</v>
      </c>
      <c r="B1056" s="2">
        <v>45258</v>
      </c>
      <c r="C1056" t="s">
        <v>593</v>
      </c>
      <c r="D1056" t="s">
        <v>747</v>
      </c>
      <c r="E1056" t="s">
        <v>842</v>
      </c>
      <c r="F1056">
        <v>1</v>
      </c>
      <c r="G1056">
        <v>0</v>
      </c>
      <c r="H1056" t="s">
        <v>861</v>
      </c>
      <c r="I1056" t="str">
        <f>VLOOKUP(C1056,Customers!A:C,2,FALSE)&amp;" "&amp;VLOOKUP(C1056,Customers!A:C,3,FALSE)</f>
        <v>Meagan Ali</v>
      </c>
      <c r="J1056" t="str">
        <f>VLOOKUP(D1056,Products!A:C,2,FALSE)</f>
        <v>World Watches</v>
      </c>
      <c r="K1056" t="str">
        <f>VLOOKUP(D1056,Products!A:C,3,FALSE)</f>
        <v>Fashion</v>
      </c>
      <c r="L1056" t="str">
        <f>VLOOKUP(E1056,Stores!A:B,2,FALSE)</f>
        <v>MegaMart Brianahaven</v>
      </c>
      <c r="M1056">
        <f>VLOOKUP(D1056,Products!A:E,5,FALSE)</f>
        <v>1134.8</v>
      </c>
      <c r="N1056" s="5">
        <f t="shared" si="16"/>
        <v>1134.8</v>
      </c>
    </row>
    <row r="1057" spans="1:14" x14ac:dyDescent="0.3">
      <c r="A1057" t="s">
        <v>1913</v>
      </c>
      <c r="B1057" s="2">
        <v>45275</v>
      </c>
      <c r="C1057" t="s">
        <v>702</v>
      </c>
      <c r="D1057" t="s">
        <v>750</v>
      </c>
      <c r="E1057" t="s">
        <v>846</v>
      </c>
      <c r="F1057">
        <v>5</v>
      </c>
      <c r="G1057">
        <v>0.05</v>
      </c>
      <c r="H1057" t="s">
        <v>858</v>
      </c>
      <c r="I1057" t="str">
        <f>VLOOKUP(C1057,Customers!A:C,2,FALSE)&amp;" "&amp;VLOOKUP(C1057,Customers!A:C,3,FALSE)</f>
        <v>Ronald Haley</v>
      </c>
      <c r="J1057" t="str">
        <f>VLOOKUP(D1057,Products!A:C,2,FALSE)</f>
        <v>Add Clothing</v>
      </c>
      <c r="K1057" t="str">
        <f>VLOOKUP(D1057,Products!A:C,3,FALSE)</f>
        <v>Fashion</v>
      </c>
      <c r="L1057" t="str">
        <f>VLOOKUP(E1057,Stores!A:B,2,FALSE)</f>
        <v>MegaMart Johnmouth</v>
      </c>
      <c r="M1057">
        <f>VLOOKUP(D1057,Products!A:E,5,FALSE)</f>
        <v>1342.75</v>
      </c>
      <c r="N1057" s="5">
        <f t="shared" si="16"/>
        <v>6378.0625</v>
      </c>
    </row>
    <row r="1058" spans="1:14" x14ac:dyDescent="0.3">
      <c r="A1058" t="s">
        <v>1914</v>
      </c>
      <c r="B1058" s="2">
        <v>45285</v>
      </c>
      <c r="C1058" t="s">
        <v>396</v>
      </c>
      <c r="D1058" t="s">
        <v>715</v>
      </c>
      <c r="E1058" t="s">
        <v>839</v>
      </c>
      <c r="F1058">
        <v>4</v>
      </c>
      <c r="G1058">
        <v>0</v>
      </c>
      <c r="H1058" t="s">
        <v>861</v>
      </c>
      <c r="I1058" t="str">
        <f>VLOOKUP(C1058,Customers!A:C,2,FALSE)&amp;" "&amp;VLOOKUP(C1058,Customers!A:C,3,FALSE)</f>
        <v>Kevin Flores</v>
      </c>
      <c r="J1058" t="str">
        <f>VLOOKUP(D1058,Products!A:C,2,FALSE)</f>
        <v>Audience Television</v>
      </c>
      <c r="K1058" t="str">
        <f>VLOOKUP(D1058,Products!A:C,3,FALSE)</f>
        <v>Electronics</v>
      </c>
      <c r="L1058" t="str">
        <f>VLOOKUP(E1058,Stores!A:B,2,FALSE)</f>
        <v>MegaMart New Michele</v>
      </c>
      <c r="M1058">
        <f>VLOOKUP(D1058,Products!A:E,5,FALSE)</f>
        <v>818.76</v>
      </c>
      <c r="N1058" s="5">
        <f t="shared" si="16"/>
        <v>3275.04</v>
      </c>
    </row>
    <row r="1059" spans="1:14" x14ac:dyDescent="0.3">
      <c r="A1059" t="s">
        <v>1915</v>
      </c>
      <c r="B1059" s="2">
        <v>45363</v>
      </c>
      <c r="C1059" t="s">
        <v>435</v>
      </c>
      <c r="D1059" t="s">
        <v>810</v>
      </c>
      <c r="E1059" t="s">
        <v>846</v>
      </c>
      <c r="F1059">
        <v>2</v>
      </c>
      <c r="G1059">
        <v>0.15</v>
      </c>
      <c r="H1059" t="s">
        <v>865</v>
      </c>
      <c r="I1059" t="str">
        <f>VLOOKUP(C1059,Customers!A:C,2,FALSE)&amp;" "&amp;VLOOKUP(C1059,Customers!A:C,3,FALSE)</f>
        <v>Timothy Beck</v>
      </c>
      <c r="J1059" t="str">
        <f>VLOOKUP(D1059,Products!A:C,2,FALSE)</f>
        <v>Maybe Clothing</v>
      </c>
      <c r="K1059" t="str">
        <f>VLOOKUP(D1059,Products!A:C,3,FALSE)</f>
        <v>Fashion</v>
      </c>
      <c r="L1059" t="str">
        <f>VLOOKUP(E1059,Stores!A:B,2,FALSE)</f>
        <v>MegaMart Johnmouth</v>
      </c>
      <c r="M1059">
        <f>VLOOKUP(D1059,Products!A:E,5,FALSE)</f>
        <v>453.62</v>
      </c>
      <c r="N1059" s="5">
        <f t="shared" si="16"/>
        <v>771.154</v>
      </c>
    </row>
    <row r="1060" spans="1:14" x14ac:dyDescent="0.3">
      <c r="A1060" t="s">
        <v>1916</v>
      </c>
      <c r="B1060" s="2">
        <v>45860</v>
      </c>
      <c r="C1060" t="s">
        <v>247</v>
      </c>
      <c r="D1060" t="s">
        <v>753</v>
      </c>
      <c r="E1060" t="s">
        <v>839</v>
      </c>
      <c r="F1060">
        <v>2</v>
      </c>
      <c r="G1060">
        <v>0</v>
      </c>
      <c r="H1060" t="s">
        <v>865</v>
      </c>
      <c r="I1060" t="str">
        <f>VLOOKUP(C1060,Customers!A:C,2,FALSE)&amp;" "&amp;VLOOKUP(C1060,Customers!A:C,3,FALSE)</f>
        <v>Scott Duke</v>
      </c>
      <c r="J1060" t="str">
        <f>VLOOKUP(D1060,Products!A:C,2,FALSE)</f>
        <v>Whether Bags</v>
      </c>
      <c r="K1060" t="str">
        <f>VLOOKUP(D1060,Products!A:C,3,FALSE)</f>
        <v>Fashion</v>
      </c>
      <c r="L1060" t="str">
        <f>VLOOKUP(E1060,Stores!A:B,2,FALSE)</f>
        <v>MegaMart New Michele</v>
      </c>
      <c r="M1060">
        <f>VLOOKUP(D1060,Products!A:E,5,FALSE)</f>
        <v>270.45</v>
      </c>
      <c r="N1060" s="5">
        <f t="shared" si="16"/>
        <v>540.9</v>
      </c>
    </row>
    <row r="1061" spans="1:14" x14ac:dyDescent="0.3">
      <c r="A1061" t="s">
        <v>1917</v>
      </c>
      <c r="B1061" s="2">
        <v>45665</v>
      </c>
      <c r="C1061" t="s">
        <v>119</v>
      </c>
      <c r="D1061" t="s">
        <v>794</v>
      </c>
      <c r="E1061" t="s">
        <v>842</v>
      </c>
      <c r="F1061">
        <v>3</v>
      </c>
      <c r="G1061">
        <v>0</v>
      </c>
      <c r="H1061" t="s">
        <v>858</v>
      </c>
      <c r="I1061" t="str">
        <f>VLOOKUP(C1061,Customers!A:C,2,FALSE)&amp;" "&amp;VLOOKUP(C1061,Customers!A:C,3,FALSE)</f>
        <v>Lacey Hall</v>
      </c>
      <c r="J1061" t="str">
        <f>VLOOKUP(D1061,Products!A:C,2,FALSE)</f>
        <v>Everything Laptop</v>
      </c>
      <c r="K1061" t="str">
        <f>VLOOKUP(D1061,Products!A:C,3,FALSE)</f>
        <v>Electronics</v>
      </c>
      <c r="L1061" t="str">
        <f>VLOOKUP(E1061,Stores!A:B,2,FALSE)</f>
        <v>MegaMart Brianahaven</v>
      </c>
      <c r="M1061">
        <f>VLOOKUP(D1061,Products!A:E,5,FALSE)</f>
        <v>428.05</v>
      </c>
      <c r="N1061" s="5">
        <f t="shared" si="16"/>
        <v>1284.1500000000001</v>
      </c>
    </row>
    <row r="1062" spans="1:14" x14ac:dyDescent="0.3">
      <c r="A1062" t="s">
        <v>1918</v>
      </c>
      <c r="B1062" s="2">
        <v>45563</v>
      </c>
      <c r="C1062" t="s">
        <v>661</v>
      </c>
      <c r="D1062" t="s">
        <v>802</v>
      </c>
      <c r="E1062" t="s">
        <v>846</v>
      </c>
      <c r="F1062">
        <v>5</v>
      </c>
      <c r="G1062">
        <v>0.05</v>
      </c>
      <c r="H1062" t="s">
        <v>858</v>
      </c>
      <c r="I1062" t="str">
        <f>VLOOKUP(C1062,Customers!A:C,2,FALSE)&amp;" "&amp;VLOOKUP(C1062,Customers!A:C,3,FALSE)</f>
        <v>Cynthia Cherry</v>
      </c>
      <c r="J1062" t="str">
        <f>VLOOKUP(D1062,Products!A:C,2,FALSE)</f>
        <v>Stage Footwear</v>
      </c>
      <c r="K1062" t="str">
        <f>VLOOKUP(D1062,Products!A:C,3,FALSE)</f>
        <v>Fashion</v>
      </c>
      <c r="L1062" t="str">
        <f>VLOOKUP(E1062,Stores!A:B,2,FALSE)</f>
        <v>MegaMart Johnmouth</v>
      </c>
      <c r="M1062">
        <f>VLOOKUP(D1062,Products!A:E,5,FALSE)</f>
        <v>366.93</v>
      </c>
      <c r="N1062" s="5">
        <f t="shared" si="16"/>
        <v>1742.9175</v>
      </c>
    </row>
    <row r="1063" spans="1:14" x14ac:dyDescent="0.3">
      <c r="A1063" t="s">
        <v>1919</v>
      </c>
      <c r="B1063" s="2">
        <v>45388</v>
      </c>
      <c r="C1063" t="s">
        <v>512</v>
      </c>
      <c r="D1063" t="s">
        <v>792</v>
      </c>
      <c r="E1063" t="s">
        <v>842</v>
      </c>
      <c r="F1063">
        <v>1</v>
      </c>
      <c r="G1063">
        <v>0.05</v>
      </c>
      <c r="H1063" t="s">
        <v>855</v>
      </c>
      <c r="I1063" t="str">
        <f>VLOOKUP(C1063,Customers!A:C,2,FALSE)&amp;" "&amp;VLOOKUP(C1063,Customers!A:C,3,FALSE)</f>
        <v>Adam Lucas</v>
      </c>
      <c r="J1063" t="str">
        <f>VLOOKUP(D1063,Products!A:C,2,FALSE)</f>
        <v>Beat Accessories</v>
      </c>
      <c r="K1063" t="str">
        <f>VLOOKUP(D1063,Products!A:C,3,FALSE)</f>
        <v>Fashion</v>
      </c>
      <c r="L1063" t="str">
        <f>VLOOKUP(E1063,Stores!A:B,2,FALSE)</f>
        <v>MegaMart Brianahaven</v>
      </c>
      <c r="M1063">
        <f>VLOOKUP(D1063,Products!A:E,5,FALSE)</f>
        <v>1798.97</v>
      </c>
      <c r="N1063" s="5">
        <f t="shared" si="16"/>
        <v>1709.0214999999998</v>
      </c>
    </row>
    <row r="1064" spans="1:14" x14ac:dyDescent="0.3">
      <c r="A1064" t="s">
        <v>1920</v>
      </c>
      <c r="B1064" s="2">
        <v>45443</v>
      </c>
      <c r="C1064" t="s">
        <v>527</v>
      </c>
      <c r="D1064" t="s">
        <v>816</v>
      </c>
      <c r="E1064" t="s">
        <v>835</v>
      </c>
      <c r="F1064">
        <v>2</v>
      </c>
      <c r="G1064">
        <v>0.05</v>
      </c>
      <c r="H1064" t="s">
        <v>861</v>
      </c>
      <c r="I1064" t="str">
        <f>VLOOKUP(C1064,Customers!A:C,2,FALSE)&amp;" "&amp;VLOOKUP(C1064,Customers!A:C,3,FALSE)</f>
        <v>Paige Osborne</v>
      </c>
      <c r="J1064" t="str">
        <f>VLOOKUP(D1064,Products!A:C,2,FALSE)</f>
        <v>Set Dairy</v>
      </c>
      <c r="K1064" t="str">
        <f>VLOOKUP(D1064,Products!A:C,3,FALSE)</f>
        <v>Groceries</v>
      </c>
      <c r="L1064" t="str">
        <f>VLOOKUP(E1064,Stores!A:B,2,FALSE)</f>
        <v>MegaMart Peckmouth</v>
      </c>
      <c r="M1064">
        <f>VLOOKUP(D1064,Products!A:E,5,FALSE)</f>
        <v>1879.08</v>
      </c>
      <c r="N1064" s="5">
        <f t="shared" si="16"/>
        <v>3570.2519999999995</v>
      </c>
    </row>
    <row r="1065" spans="1:14" x14ac:dyDescent="0.3">
      <c r="A1065" t="s">
        <v>1921</v>
      </c>
      <c r="B1065" s="2">
        <v>45256</v>
      </c>
      <c r="C1065" t="s">
        <v>693</v>
      </c>
      <c r="D1065" t="s">
        <v>806</v>
      </c>
      <c r="E1065" t="s">
        <v>831</v>
      </c>
      <c r="F1065">
        <v>4</v>
      </c>
      <c r="G1065">
        <v>0.1</v>
      </c>
      <c r="H1065" t="s">
        <v>855</v>
      </c>
      <c r="I1065" t="str">
        <f>VLOOKUP(C1065,Customers!A:C,2,FALSE)&amp;" "&amp;VLOOKUP(C1065,Customers!A:C,3,FALSE)</f>
        <v>Matthew Dixon</v>
      </c>
      <c r="J1065" t="str">
        <f>VLOOKUP(D1065,Products!A:C,2,FALSE)</f>
        <v>Piece Headphones</v>
      </c>
      <c r="K1065" t="str">
        <f>VLOOKUP(D1065,Products!A:C,3,FALSE)</f>
        <v>Electronics</v>
      </c>
      <c r="L1065" t="str">
        <f>VLOOKUP(E1065,Stores!A:B,2,FALSE)</f>
        <v>MegaMart Jimenezborough</v>
      </c>
      <c r="M1065">
        <f>VLOOKUP(D1065,Products!A:E,5,FALSE)</f>
        <v>1745.61</v>
      </c>
      <c r="N1065" s="5">
        <f t="shared" si="16"/>
        <v>6284.1959999999999</v>
      </c>
    </row>
    <row r="1066" spans="1:14" x14ac:dyDescent="0.3">
      <c r="A1066" t="s">
        <v>1922</v>
      </c>
      <c r="B1066" s="2">
        <v>45461</v>
      </c>
      <c r="C1066" t="s">
        <v>661</v>
      </c>
      <c r="D1066" t="s">
        <v>822</v>
      </c>
      <c r="E1066" t="s">
        <v>842</v>
      </c>
      <c r="F1066">
        <v>3</v>
      </c>
      <c r="G1066">
        <v>0.05</v>
      </c>
      <c r="H1066" t="s">
        <v>865</v>
      </c>
      <c r="I1066" t="str">
        <f>VLOOKUP(C1066,Customers!A:C,2,FALSE)&amp;" "&amp;VLOOKUP(C1066,Customers!A:C,3,FALSE)</f>
        <v>Cynthia Cherry</v>
      </c>
      <c r="J1066" t="str">
        <f>VLOOKUP(D1066,Products!A:C,2,FALSE)</f>
        <v>Nor Bags</v>
      </c>
      <c r="K1066" t="str">
        <f>VLOOKUP(D1066,Products!A:C,3,FALSE)</f>
        <v>Fashion</v>
      </c>
      <c r="L1066" t="str">
        <f>VLOOKUP(E1066,Stores!A:B,2,FALSE)</f>
        <v>MegaMart Brianahaven</v>
      </c>
      <c r="M1066">
        <f>VLOOKUP(D1066,Products!A:E,5,FALSE)</f>
        <v>1216.3599999999999</v>
      </c>
      <c r="N1066" s="5">
        <f t="shared" si="16"/>
        <v>3466.6259999999997</v>
      </c>
    </row>
    <row r="1067" spans="1:14" x14ac:dyDescent="0.3">
      <c r="A1067" t="s">
        <v>1923</v>
      </c>
      <c r="B1067" s="2">
        <v>45724</v>
      </c>
      <c r="C1067" t="s">
        <v>134</v>
      </c>
      <c r="D1067" t="s">
        <v>800</v>
      </c>
      <c r="E1067" t="s">
        <v>835</v>
      </c>
      <c r="F1067">
        <v>1</v>
      </c>
      <c r="G1067">
        <v>0.1</v>
      </c>
      <c r="H1067" t="s">
        <v>865</v>
      </c>
      <c r="I1067" t="str">
        <f>VLOOKUP(C1067,Customers!A:C,2,FALSE)&amp;" "&amp;VLOOKUP(C1067,Customers!A:C,3,FALSE)</f>
        <v>Kari Miller</v>
      </c>
      <c r="J1067" t="str">
        <f>VLOOKUP(D1067,Products!A:C,2,FALSE)</f>
        <v>Book Television</v>
      </c>
      <c r="K1067" t="str">
        <f>VLOOKUP(D1067,Products!A:C,3,FALSE)</f>
        <v>Electronics</v>
      </c>
      <c r="L1067" t="str">
        <f>VLOOKUP(E1067,Stores!A:B,2,FALSE)</f>
        <v>MegaMart Peckmouth</v>
      </c>
      <c r="M1067">
        <f>VLOOKUP(D1067,Products!A:E,5,FALSE)</f>
        <v>1952.65</v>
      </c>
      <c r="N1067" s="5">
        <f t="shared" si="16"/>
        <v>1757.3850000000002</v>
      </c>
    </row>
    <row r="1068" spans="1:14" x14ac:dyDescent="0.3">
      <c r="A1068" t="s">
        <v>1924</v>
      </c>
      <c r="B1068" s="2">
        <v>45660</v>
      </c>
      <c r="C1068" t="s">
        <v>438</v>
      </c>
      <c r="D1068" t="s">
        <v>747</v>
      </c>
      <c r="E1068" t="s">
        <v>842</v>
      </c>
      <c r="F1068">
        <v>4</v>
      </c>
      <c r="G1068">
        <v>0</v>
      </c>
      <c r="H1068" t="s">
        <v>858</v>
      </c>
      <c r="I1068" t="str">
        <f>VLOOKUP(C1068,Customers!A:C,2,FALSE)&amp;" "&amp;VLOOKUP(C1068,Customers!A:C,3,FALSE)</f>
        <v>Gina Bradford</v>
      </c>
      <c r="J1068" t="str">
        <f>VLOOKUP(D1068,Products!A:C,2,FALSE)</f>
        <v>World Watches</v>
      </c>
      <c r="K1068" t="str">
        <f>VLOOKUP(D1068,Products!A:C,3,FALSE)</f>
        <v>Fashion</v>
      </c>
      <c r="L1068" t="str">
        <f>VLOOKUP(E1068,Stores!A:B,2,FALSE)</f>
        <v>MegaMart Brianahaven</v>
      </c>
      <c r="M1068">
        <f>VLOOKUP(D1068,Products!A:E,5,FALSE)</f>
        <v>1134.8</v>
      </c>
      <c r="N1068" s="5">
        <f t="shared" si="16"/>
        <v>4539.2</v>
      </c>
    </row>
    <row r="1069" spans="1:14" x14ac:dyDescent="0.3">
      <c r="A1069" t="s">
        <v>1925</v>
      </c>
      <c r="B1069" s="2">
        <v>45594</v>
      </c>
      <c r="C1069" t="s">
        <v>234</v>
      </c>
      <c r="D1069" t="s">
        <v>824</v>
      </c>
      <c r="E1069" t="s">
        <v>835</v>
      </c>
      <c r="F1069">
        <v>5</v>
      </c>
      <c r="G1069">
        <v>0.15</v>
      </c>
      <c r="H1069" t="s">
        <v>858</v>
      </c>
      <c r="I1069" t="str">
        <f>VLOOKUP(C1069,Customers!A:C,2,FALSE)&amp;" "&amp;VLOOKUP(C1069,Customers!A:C,3,FALSE)</f>
        <v>Heather Russell</v>
      </c>
      <c r="J1069" t="str">
        <f>VLOOKUP(D1069,Products!A:C,2,FALSE)</f>
        <v>Possible Watches</v>
      </c>
      <c r="K1069" t="str">
        <f>VLOOKUP(D1069,Products!A:C,3,FALSE)</f>
        <v>Fashion</v>
      </c>
      <c r="L1069" t="str">
        <f>VLOOKUP(E1069,Stores!A:B,2,FALSE)</f>
        <v>MegaMart Peckmouth</v>
      </c>
      <c r="M1069">
        <f>VLOOKUP(D1069,Products!A:E,5,FALSE)</f>
        <v>388.26</v>
      </c>
      <c r="N1069" s="5">
        <f t="shared" si="16"/>
        <v>1650.105</v>
      </c>
    </row>
    <row r="1070" spans="1:14" x14ac:dyDescent="0.3">
      <c r="A1070" t="s">
        <v>1926</v>
      </c>
      <c r="B1070" s="2">
        <v>45623</v>
      </c>
      <c r="C1070" t="s">
        <v>393</v>
      </c>
      <c r="D1070" t="s">
        <v>769</v>
      </c>
      <c r="E1070" t="s">
        <v>842</v>
      </c>
      <c r="F1070">
        <v>1</v>
      </c>
      <c r="G1070">
        <v>0</v>
      </c>
      <c r="H1070" t="s">
        <v>861</v>
      </c>
      <c r="I1070" t="str">
        <f>VLOOKUP(C1070,Customers!A:C,2,FALSE)&amp;" "&amp;VLOOKUP(C1070,Customers!A:C,3,FALSE)</f>
        <v>Kenneth Berg</v>
      </c>
      <c r="J1070" t="str">
        <f>VLOOKUP(D1070,Products!A:C,2,FALSE)</f>
        <v>How Vegetables</v>
      </c>
      <c r="K1070" t="str">
        <f>VLOOKUP(D1070,Products!A:C,3,FALSE)</f>
        <v>Groceries</v>
      </c>
      <c r="L1070" t="str">
        <f>VLOOKUP(E1070,Stores!A:B,2,FALSE)</f>
        <v>MegaMart Brianahaven</v>
      </c>
      <c r="M1070">
        <f>VLOOKUP(D1070,Products!A:E,5,FALSE)</f>
        <v>25.57</v>
      </c>
      <c r="N1070" s="5">
        <f t="shared" si="16"/>
        <v>25.57</v>
      </c>
    </row>
    <row r="1071" spans="1:14" x14ac:dyDescent="0.3">
      <c r="A1071" t="s">
        <v>1927</v>
      </c>
      <c r="B1071" s="2">
        <v>45478</v>
      </c>
      <c r="C1071" t="s">
        <v>512</v>
      </c>
      <c r="D1071" t="s">
        <v>718</v>
      </c>
      <c r="E1071" t="s">
        <v>839</v>
      </c>
      <c r="F1071">
        <v>5</v>
      </c>
      <c r="G1071">
        <v>0.05</v>
      </c>
      <c r="H1071" t="s">
        <v>865</v>
      </c>
      <c r="I1071" t="str">
        <f>VLOOKUP(C1071,Customers!A:C,2,FALSE)&amp;" "&amp;VLOOKUP(C1071,Customers!A:C,3,FALSE)</f>
        <v>Adam Lucas</v>
      </c>
      <c r="J1071" t="str">
        <f>VLOOKUP(D1071,Products!A:C,2,FALSE)</f>
        <v>Here Footwear</v>
      </c>
      <c r="K1071" t="str">
        <f>VLOOKUP(D1071,Products!A:C,3,FALSE)</f>
        <v>Fashion</v>
      </c>
      <c r="L1071" t="str">
        <f>VLOOKUP(E1071,Stores!A:B,2,FALSE)</f>
        <v>MegaMart New Michele</v>
      </c>
      <c r="M1071">
        <f>VLOOKUP(D1071,Products!A:E,5,FALSE)</f>
        <v>337.63</v>
      </c>
      <c r="N1071" s="5">
        <f t="shared" si="16"/>
        <v>1603.7425000000001</v>
      </c>
    </row>
    <row r="1072" spans="1:14" x14ac:dyDescent="0.3">
      <c r="A1072" t="s">
        <v>1928</v>
      </c>
      <c r="B1072" s="2">
        <v>45722</v>
      </c>
      <c r="C1072" t="s">
        <v>187</v>
      </c>
      <c r="D1072" t="s">
        <v>804</v>
      </c>
      <c r="E1072" t="s">
        <v>835</v>
      </c>
      <c r="F1072">
        <v>1</v>
      </c>
      <c r="G1072">
        <v>0.1</v>
      </c>
      <c r="H1072" t="s">
        <v>865</v>
      </c>
      <c r="I1072" t="str">
        <f>VLOOKUP(C1072,Customers!A:C,2,FALSE)&amp;" "&amp;VLOOKUP(C1072,Customers!A:C,3,FALSE)</f>
        <v>Alexis Crane</v>
      </c>
      <c r="J1072" t="str">
        <f>VLOOKUP(D1072,Products!A:C,2,FALSE)</f>
        <v>Church Clothing</v>
      </c>
      <c r="K1072" t="str">
        <f>VLOOKUP(D1072,Products!A:C,3,FALSE)</f>
        <v>Fashion</v>
      </c>
      <c r="L1072" t="str">
        <f>VLOOKUP(E1072,Stores!A:B,2,FALSE)</f>
        <v>MegaMart Peckmouth</v>
      </c>
      <c r="M1072">
        <f>VLOOKUP(D1072,Products!A:E,5,FALSE)</f>
        <v>540.94000000000005</v>
      </c>
      <c r="N1072" s="5">
        <f t="shared" si="16"/>
        <v>486.84600000000006</v>
      </c>
    </row>
    <row r="1073" spans="1:14" x14ac:dyDescent="0.3">
      <c r="A1073" t="s">
        <v>1929</v>
      </c>
      <c r="B1073" s="2">
        <v>45348</v>
      </c>
      <c r="C1073" t="s">
        <v>148</v>
      </c>
      <c r="D1073" t="s">
        <v>747</v>
      </c>
      <c r="E1073" t="s">
        <v>831</v>
      </c>
      <c r="F1073">
        <v>5</v>
      </c>
      <c r="G1073">
        <v>0.1</v>
      </c>
      <c r="H1073" t="s">
        <v>855</v>
      </c>
      <c r="I1073" t="str">
        <f>VLOOKUP(C1073,Customers!A:C,2,FALSE)&amp;" "&amp;VLOOKUP(C1073,Customers!A:C,3,FALSE)</f>
        <v>Tracey Davis</v>
      </c>
      <c r="J1073" t="str">
        <f>VLOOKUP(D1073,Products!A:C,2,FALSE)</f>
        <v>World Watches</v>
      </c>
      <c r="K1073" t="str">
        <f>VLOOKUP(D1073,Products!A:C,3,FALSE)</f>
        <v>Fashion</v>
      </c>
      <c r="L1073" t="str">
        <f>VLOOKUP(E1073,Stores!A:B,2,FALSE)</f>
        <v>MegaMart Jimenezborough</v>
      </c>
      <c r="M1073">
        <f>VLOOKUP(D1073,Products!A:E,5,FALSE)</f>
        <v>1134.8</v>
      </c>
      <c r="N1073" s="5">
        <f t="shared" si="16"/>
        <v>5106.6000000000004</v>
      </c>
    </row>
    <row r="1074" spans="1:14" x14ac:dyDescent="0.3">
      <c r="A1074" t="s">
        <v>1930</v>
      </c>
      <c r="B1074" s="2">
        <v>45708</v>
      </c>
      <c r="C1074" t="s">
        <v>93</v>
      </c>
      <c r="D1074" t="s">
        <v>808</v>
      </c>
      <c r="E1074" t="s">
        <v>831</v>
      </c>
      <c r="F1074">
        <v>1</v>
      </c>
      <c r="G1074">
        <v>0.15</v>
      </c>
      <c r="H1074" t="s">
        <v>861</v>
      </c>
      <c r="I1074" t="str">
        <f>VLOOKUP(C1074,Customers!A:C,2,FALSE)&amp;" "&amp;VLOOKUP(C1074,Customers!A:C,3,FALSE)</f>
        <v>Mark Martinez</v>
      </c>
      <c r="J1074" t="str">
        <f>VLOOKUP(D1074,Products!A:C,2,FALSE)</f>
        <v>Present Television</v>
      </c>
      <c r="K1074" t="str">
        <f>VLOOKUP(D1074,Products!A:C,3,FALSE)</f>
        <v>Electronics</v>
      </c>
      <c r="L1074" t="str">
        <f>VLOOKUP(E1074,Stores!A:B,2,FALSE)</f>
        <v>MegaMart Jimenezborough</v>
      </c>
      <c r="M1074">
        <f>VLOOKUP(D1074,Products!A:E,5,FALSE)</f>
        <v>1635.01</v>
      </c>
      <c r="N1074" s="5">
        <f t="shared" si="16"/>
        <v>1389.7584999999999</v>
      </c>
    </row>
    <row r="1075" spans="1:14" x14ac:dyDescent="0.3">
      <c r="A1075" t="s">
        <v>1931</v>
      </c>
      <c r="B1075" s="2">
        <v>45480</v>
      </c>
      <c r="C1075" t="s">
        <v>163</v>
      </c>
      <c r="D1075" t="s">
        <v>816</v>
      </c>
      <c r="E1075" t="s">
        <v>839</v>
      </c>
      <c r="F1075">
        <v>5</v>
      </c>
      <c r="G1075">
        <v>0.05</v>
      </c>
      <c r="H1075" t="s">
        <v>858</v>
      </c>
      <c r="I1075" t="str">
        <f>VLOOKUP(C1075,Customers!A:C,2,FALSE)&amp;" "&amp;VLOOKUP(C1075,Customers!A:C,3,FALSE)</f>
        <v>Anna Andrews</v>
      </c>
      <c r="J1075" t="str">
        <f>VLOOKUP(D1075,Products!A:C,2,FALSE)</f>
        <v>Set Dairy</v>
      </c>
      <c r="K1075" t="str">
        <f>VLOOKUP(D1075,Products!A:C,3,FALSE)</f>
        <v>Groceries</v>
      </c>
      <c r="L1075" t="str">
        <f>VLOOKUP(E1075,Stores!A:B,2,FALSE)</f>
        <v>MegaMart New Michele</v>
      </c>
      <c r="M1075">
        <f>VLOOKUP(D1075,Products!A:E,5,FALSE)</f>
        <v>1879.08</v>
      </c>
      <c r="N1075" s="5">
        <f t="shared" si="16"/>
        <v>8925.6299999999992</v>
      </c>
    </row>
    <row r="1076" spans="1:14" x14ac:dyDescent="0.3">
      <c r="A1076" t="s">
        <v>1932</v>
      </c>
      <c r="B1076" s="2">
        <v>45685</v>
      </c>
      <c r="C1076" t="s">
        <v>677</v>
      </c>
      <c r="D1076" t="s">
        <v>728</v>
      </c>
      <c r="E1076" t="s">
        <v>846</v>
      </c>
      <c r="F1076">
        <v>3</v>
      </c>
      <c r="G1076">
        <v>0</v>
      </c>
      <c r="H1076" t="s">
        <v>865</v>
      </c>
      <c r="I1076" t="str">
        <f>VLOOKUP(C1076,Customers!A:C,2,FALSE)&amp;" "&amp;VLOOKUP(C1076,Customers!A:C,3,FALSE)</f>
        <v>James Wilson</v>
      </c>
      <c r="J1076" t="str">
        <f>VLOOKUP(D1076,Products!A:C,2,FALSE)</f>
        <v>Company Fruits</v>
      </c>
      <c r="K1076" t="str">
        <f>VLOOKUP(D1076,Products!A:C,3,FALSE)</f>
        <v>Groceries</v>
      </c>
      <c r="L1076" t="str">
        <f>VLOOKUP(E1076,Stores!A:B,2,FALSE)</f>
        <v>MegaMart Johnmouth</v>
      </c>
      <c r="M1076">
        <f>VLOOKUP(D1076,Products!A:E,5,FALSE)</f>
        <v>318.05</v>
      </c>
      <c r="N1076" s="5">
        <f t="shared" si="16"/>
        <v>954.15000000000009</v>
      </c>
    </row>
    <row r="1077" spans="1:14" x14ac:dyDescent="0.3">
      <c r="A1077" t="s">
        <v>1933</v>
      </c>
      <c r="B1077" s="2">
        <v>45836</v>
      </c>
      <c r="C1077" t="s">
        <v>693</v>
      </c>
      <c r="D1077" t="s">
        <v>782</v>
      </c>
      <c r="E1077" t="s">
        <v>839</v>
      </c>
      <c r="F1077">
        <v>3</v>
      </c>
      <c r="G1077">
        <v>0.1</v>
      </c>
      <c r="H1077" t="s">
        <v>858</v>
      </c>
      <c r="I1077" t="str">
        <f>VLOOKUP(C1077,Customers!A:C,2,FALSE)&amp;" "&amp;VLOOKUP(C1077,Customers!A:C,3,FALSE)</f>
        <v>Matthew Dixon</v>
      </c>
      <c r="J1077" t="str">
        <f>VLOOKUP(D1077,Products!A:C,2,FALSE)</f>
        <v>Deal Smartphone</v>
      </c>
      <c r="K1077" t="str">
        <f>VLOOKUP(D1077,Products!A:C,3,FALSE)</f>
        <v>Electronics</v>
      </c>
      <c r="L1077" t="str">
        <f>VLOOKUP(E1077,Stores!A:B,2,FALSE)</f>
        <v>MegaMart New Michele</v>
      </c>
      <c r="M1077">
        <f>VLOOKUP(D1077,Products!A:E,5,FALSE)</f>
        <v>673.78</v>
      </c>
      <c r="N1077" s="5">
        <f t="shared" si="16"/>
        <v>1819.2059999999999</v>
      </c>
    </row>
    <row r="1078" spans="1:14" x14ac:dyDescent="0.3">
      <c r="A1078" t="s">
        <v>1934</v>
      </c>
      <c r="B1078" s="2">
        <v>45800</v>
      </c>
      <c r="C1078" t="s">
        <v>74</v>
      </c>
      <c r="D1078" t="s">
        <v>757</v>
      </c>
      <c r="E1078" t="s">
        <v>842</v>
      </c>
      <c r="F1078">
        <v>5</v>
      </c>
      <c r="G1078">
        <v>0</v>
      </c>
      <c r="H1078" t="s">
        <v>855</v>
      </c>
      <c r="I1078" t="str">
        <f>VLOOKUP(C1078,Customers!A:C,2,FALSE)&amp;" "&amp;VLOOKUP(C1078,Customers!A:C,3,FALSE)</f>
        <v>Breanna Davis</v>
      </c>
      <c r="J1078" t="str">
        <f>VLOOKUP(D1078,Products!A:C,2,FALSE)</f>
        <v>Find Headphones</v>
      </c>
      <c r="K1078" t="str">
        <f>VLOOKUP(D1078,Products!A:C,3,FALSE)</f>
        <v>Electronics</v>
      </c>
      <c r="L1078" t="str">
        <f>VLOOKUP(E1078,Stores!A:B,2,FALSE)</f>
        <v>MegaMart Brianahaven</v>
      </c>
      <c r="M1078">
        <f>VLOOKUP(D1078,Products!A:E,5,FALSE)</f>
        <v>1246.1099999999999</v>
      </c>
      <c r="N1078" s="5">
        <f t="shared" si="16"/>
        <v>6230.5499999999993</v>
      </c>
    </row>
    <row r="1079" spans="1:14" x14ac:dyDescent="0.3">
      <c r="A1079" t="s">
        <v>1935</v>
      </c>
      <c r="B1079" s="2">
        <v>45650</v>
      </c>
      <c r="C1079" t="s">
        <v>449</v>
      </c>
      <c r="D1079" t="s">
        <v>736</v>
      </c>
      <c r="E1079" t="s">
        <v>835</v>
      </c>
      <c r="F1079">
        <v>1</v>
      </c>
      <c r="G1079">
        <v>0.1</v>
      </c>
      <c r="H1079" t="s">
        <v>855</v>
      </c>
      <c r="I1079" t="str">
        <f>VLOOKUP(C1079,Customers!A:C,2,FALSE)&amp;" "&amp;VLOOKUP(C1079,Customers!A:C,3,FALSE)</f>
        <v>John Bell</v>
      </c>
      <c r="J1079" t="str">
        <f>VLOOKUP(D1079,Products!A:C,2,FALSE)</f>
        <v>Us Snacks</v>
      </c>
      <c r="K1079" t="str">
        <f>VLOOKUP(D1079,Products!A:C,3,FALSE)</f>
        <v>Groceries</v>
      </c>
      <c r="L1079" t="str">
        <f>VLOOKUP(E1079,Stores!A:B,2,FALSE)</f>
        <v>MegaMart Peckmouth</v>
      </c>
      <c r="M1079">
        <f>VLOOKUP(D1079,Products!A:E,5,FALSE)</f>
        <v>123.19</v>
      </c>
      <c r="N1079" s="5">
        <f t="shared" si="16"/>
        <v>110.871</v>
      </c>
    </row>
    <row r="1080" spans="1:14" x14ac:dyDescent="0.3">
      <c r="A1080" t="s">
        <v>1936</v>
      </c>
      <c r="B1080" s="2">
        <v>45650</v>
      </c>
      <c r="C1080" t="s">
        <v>494</v>
      </c>
      <c r="D1080" t="s">
        <v>820</v>
      </c>
      <c r="E1080" t="s">
        <v>842</v>
      </c>
      <c r="F1080">
        <v>5</v>
      </c>
      <c r="G1080">
        <v>0.05</v>
      </c>
      <c r="H1080" t="s">
        <v>861</v>
      </c>
      <c r="I1080" t="str">
        <f>VLOOKUP(C1080,Customers!A:C,2,FALSE)&amp;" "&amp;VLOOKUP(C1080,Customers!A:C,3,FALSE)</f>
        <v>Mario Cuevas</v>
      </c>
      <c r="J1080" t="str">
        <f>VLOOKUP(D1080,Products!A:C,2,FALSE)</f>
        <v>Or Smartphone</v>
      </c>
      <c r="K1080" t="str">
        <f>VLOOKUP(D1080,Products!A:C,3,FALSE)</f>
        <v>Electronics</v>
      </c>
      <c r="L1080" t="str">
        <f>VLOOKUP(E1080,Stores!A:B,2,FALSE)</f>
        <v>MegaMart Brianahaven</v>
      </c>
      <c r="M1080">
        <f>VLOOKUP(D1080,Products!A:E,5,FALSE)</f>
        <v>1197.18</v>
      </c>
      <c r="N1080" s="5">
        <f t="shared" si="16"/>
        <v>5686.6050000000005</v>
      </c>
    </row>
    <row r="1081" spans="1:14" x14ac:dyDescent="0.3">
      <c r="A1081" t="s">
        <v>1937</v>
      </c>
      <c r="B1081" s="2">
        <v>45540</v>
      </c>
      <c r="C1081" t="s">
        <v>563</v>
      </c>
      <c r="D1081" t="s">
        <v>722</v>
      </c>
      <c r="E1081" t="s">
        <v>831</v>
      </c>
      <c r="F1081">
        <v>1</v>
      </c>
      <c r="G1081">
        <v>0</v>
      </c>
      <c r="H1081" t="s">
        <v>858</v>
      </c>
      <c r="I1081" t="str">
        <f>VLOOKUP(C1081,Customers!A:C,2,FALSE)&amp;" "&amp;VLOOKUP(C1081,Customers!A:C,3,FALSE)</f>
        <v>Connie Terry</v>
      </c>
      <c r="J1081" t="str">
        <f>VLOOKUP(D1081,Products!A:C,2,FALSE)</f>
        <v>Four Accessories</v>
      </c>
      <c r="K1081" t="str">
        <f>VLOOKUP(D1081,Products!A:C,3,FALSE)</f>
        <v>Fashion</v>
      </c>
      <c r="L1081" t="str">
        <f>VLOOKUP(E1081,Stores!A:B,2,FALSE)</f>
        <v>MegaMart Jimenezborough</v>
      </c>
      <c r="M1081">
        <f>VLOOKUP(D1081,Products!A:E,5,FALSE)</f>
        <v>1853.77</v>
      </c>
      <c r="N1081" s="5">
        <f t="shared" si="16"/>
        <v>1853.77</v>
      </c>
    </row>
    <row r="1082" spans="1:14" x14ac:dyDescent="0.3">
      <c r="A1082" t="s">
        <v>1938</v>
      </c>
      <c r="B1082" s="2">
        <v>45286</v>
      </c>
      <c r="C1082" t="s">
        <v>657</v>
      </c>
      <c r="D1082" t="s">
        <v>715</v>
      </c>
      <c r="E1082" t="s">
        <v>846</v>
      </c>
      <c r="F1082">
        <v>3</v>
      </c>
      <c r="G1082">
        <v>0.15</v>
      </c>
      <c r="H1082" t="s">
        <v>855</v>
      </c>
      <c r="I1082" t="str">
        <f>VLOOKUP(C1082,Customers!A:C,2,FALSE)&amp;" "&amp;VLOOKUP(C1082,Customers!A:C,3,FALSE)</f>
        <v>Vicki Guzman</v>
      </c>
      <c r="J1082" t="str">
        <f>VLOOKUP(D1082,Products!A:C,2,FALSE)</f>
        <v>Audience Television</v>
      </c>
      <c r="K1082" t="str">
        <f>VLOOKUP(D1082,Products!A:C,3,FALSE)</f>
        <v>Electronics</v>
      </c>
      <c r="L1082" t="str">
        <f>VLOOKUP(E1082,Stores!A:B,2,FALSE)</f>
        <v>MegaMart Johnmouth</v>
      </c>
      <c r="M1082">
        <f>VLOOKUP(D1082,Products!A:E,5,FALSE)</f>
        <v>818.76</v>
      </c>
      <c r="N1082" s="5">
        <f t="shared" si="16"/>
        <v>2087.8379999999997</v>
      </c>
    </row>
    <row r="1083" spans="1:14" x14ac:dyDescent="0.3">
      <c r="A1083" t="s">
        <v>1939</v>
      </c>
      <c r="B1083" s="2">
        <v>45270</v>
      </c>
      <c r="C1083" t="s">
        <v>254</v>
      </c>
      <c r="D1083" t="s">
        <v>761</v>
      </c>
      <c r="E1083" t="s">
        <v>846</v>
      </c>
      <c r="F1083">
        <v>5</v>
      </c>
      <c r="G1083">
        <v>0.1</v>
      </c>
      <c r="H1083" t="s">
        <v>861</v>
      </c>
      <c r="I1083" t="str">
        <f>VLOOKUP(C1083,Customers!A:C,2,FALSE)&amp;" "&amp;VLOOKUP(C1083,Customers!A:C,3,FALSE)</f>
        <v>Daniel Maldonado</v>
      </c>
      <c r="J1083" t="str">
        <f>VLOOKUP(D1083,Products!A:C,2,FALSE)</f>
        <v>Traditional Laptop</v>
      </c>
      <c r="K1083" t="str">
        <f>VLOOKUP(D1083,Products!A:C,3,FALSE)</f>
        <v>Electronics</v>
      </c>
      <c r="L1083" t="str">
        <f>VLOOKUP(E1083,Stores!A:B,2,FALSE)</f>
        <v>MegaMart Johnmouth</v>
      </c>
      <c r="M1083">
        <f>VLOOKUP(D1083,Products!A:E,5,FALSE)</f>
        <v>1762.92</v>
      </c>
      <c r="N1083" s="5">
        <f t="shared" si="16"/>
        <v>7933.14</v>
      </c>
    </row>
    <row r="1084" spans="1:14" x14ac:dyDescent="0.3">
      <c r="A1084" t="s">
        <v>1940</v>
      </c>
      <c r="B1084" s="2">
        <v>45399</v>
      </c>
      <c r="C1084" t="s">
        <v>567</v>
      </c>
      <c r="D1084" t="s">
        <v>776</v>
      </c>
      <c r="E1084" t="s">
        <v>846</v>
      </c>
      <c r="F1084">
        <v>4</v>
      </c>
      <c r="G1084">
        <v>0.15</v>
      </c>
      <c r="H1084" t="s">
        <v>858</v>
      </c>
      <c r="I1084" t="str">
        <f>VLOOKUP(C1084,Customers!A:C,2,FALSE)&amp;" "&amp;VLOOKUP(C1084,Customers!A:C,3,FALSE)</f>
        <v>Crystal Aguirre</v>
      </c>
      <c r="J1084" t="str">
        <f>VLOOKUP(D1084,Products!A:C,2,FALSE)</f>
        <v>Little Watches</v>
      </c>
      <c r="K1084" t="str">
        <f>VLOOKUP(D1084,Products!A:C,3,FALSE)</f>
        <v>Fashion</v>
      </c>
      <c r="L1084" t="str">
        <f>VLOOKUP(E1084,Stores!A:B,2,FALSE)</f>
        <v>MegaMart Johnmouth</v>
      </c>
      <c r="M1084">
        <f>VLOOKUP(D1084,Products!A:E,5,FALSE)</f>
        <v>429.15</v>
      </c>
      <c r="N1084" s="5">
        <f t="shared" si="16"/>
        <v>1459.11</v>
      </c>
    </row>
    <row r="1085" spans="1:14" x14ac:dyDescent="0.3">
      <c r="A1085" t="s">
        <v>1941</v>
      </c>
      <c r="B1085" s="2">
        <v>45745</v>
      </c>
      <c r="C1085" t="s">
        <v>183</v>
      </c>
      <c r="D1085" t="s">
        <v>736</v>
      </c>
      <c r="E1085" t="s">
        <v>846</v>
      </c>
      <c r="F1085">
        <v>2</v>
      </c>
      <c r="G1085">
        <v>0.1</v>
      </c>
      <c r="H1085" t="s">
        <v>861</v>
      </c>
      <c r="I1085" t="str">
        <f>VLOOKUP(C1085,Customers!A:C,2,FALSE)&amp;" "&amp;VLOOKUP(C1085,Customers!A:C,3,FALSE)</f>
        <v>Mary Decker</v>
      </c>
      <c r="J1085" t="str">
        <f>VLOOKUP(D1085,Products!A:C,2,FALSE)</f>
        <v>Us Snacks</v>
      </c>
      <c r="K1085" t="str">
        <f>VLOOKUP(D1085,Products!A:C,3,FALSE)</f>
        <v>Groceries</v>
      </c>
      <c r="L1085" t="str">
        <f>VLOOKUP(E1085,Stores!A:B,2,FALSE)</f>
        <v>MegaMart Johnmouth</v>
      </c>
      <c r="M1085">
        <f>VLOOKUP(D1085,Products!A:E,5,FALSE)</f>
        <v>123.19</v>
      </c>
      <c r="N1085" s="5">
        <f t="shared" si="16"/>
        <v>221.74199999999999</v>
      </c>
    </row>
    <row r="1086" spans="1:14" x14ac:dyDescent="0.3">
      <c r="A1086" t="s">
        <v>1942</v>
      </c>
      <c r="B1086" s="2">
        <v>45621</v>
      </c>
      <c r="C1086" t="s">
        <v>7</v>
      </c>
      <c r="D1086" t="s">
        <v>753</v>
      </c>
      <c r="E1086" t="s">
        <v>831</v>
      </c>
      <c r="F1086">
        <v>1</v>
      </c>
      <c r="G1086">
        <v>0.15</v>
      </c>
      <c r="H1086" t="s">
        <v>865</v>
      </c>
      <c r="I1086" t="str">
        <f>VLOOKUP(C1086,Customers!A:C,2,FALSE)&amp;" "&amp;VLOOKUP(C1086,Customers!A:C,3,FALSE)</f>
        <v>Michael Davis</v>
      </c>
      <c r="J1086" t="str">
        <f>VLOOKUP(D1086,Products!A:C,2,FALSE)</f>
        <v>Whether Bags</v>
      </c>
      <c r="K1086" t="str">
        <f>VLOOKUP(D1086,Products!A:C,3,FALSE)</f>
        <v>Fashion</v>
      </c>
      <c r="L1086" t="str">
        <f>VLOOKUP(E1086,Stores!A:B,2,FALSE)</f>
        <v>MegaMart Jimenezborough</v>
      </c>
      <c r="M1086">
        <f>VLOOKUP(D1086,Products!A:E,5,FALSE)</f>
        <v>270.45</v>
      </c>
      <c r="N1086" s="5">
        <f t="shared" si="16"/>
        <v>229.88249999999999</v>
      </c>
    </row>
    <row r="1087" spans="1:14" x14ac:dyDescent="0.3">
      <c r="A1087" t="s">
        <v>1943</v>
      </c>
      <c r="B1087" s="2">
        <v>45751</v>
      </c>
      <c r="C1087" t="s">
        <v>666</v>
      </c>
      <c r="D1087" t="s">
        <v>802</v>
      </c>
      <c r="E1087" t="s">
        <v>835</v>
      </c>
      <c r="F1087">
        <v>5</v>
      </c>
      <c r="G1087">
        <v>0.15</v>
      </c>
      <c r="H1087" t="s">
        <v>858</v>
      </c>
      <c r="I1087" t="str">
        <f>VLOOKUP(C1087,Customers!A:C,2,FALSE)&amp;" "&amp;VLOOKUP(C1087,Customers!A:C,3,FALSE)</f>
        <v>Steve Flynn</v>
      </c>
      <c r="J1087" t="str">
        <f>VLOOKUP(D1087,Products!A:C,2,FALSE)</f>
        <v>Stage Footwear</v>
      </c>
      <c r="K1087" t="str">
        <f>VLOOKUP(D1087,Products!A:C,3,FALSE)</f>
        <v>Fashion</v>
      </c>
      <c r="L1087" t="str">
        <f>VLOOKUP(E1087,Stores!A:B,2,FALSE)</f>
        <v>MegaMart Peckmouth</v>
      </c>
      <c r="M1087">
        <f>VLOOKUP(D1087,Products!A:E,5,FALSE)</f>
        <v>366.93</v>
      </c>
      <c r="N1087" s="5">
        <f t="shared" si="16"/>
        <v>1559.4525000000001</v>
      </c>
    </row>
    <row r="1088" spans="1:14" x14ac:dyDescent="0.3">
      <c r="A1088" t="s">
        <v>1944</v>
      </c>
      <c r="B1088" s="2">
        <v>45663</v>
      </c>
      <c r="C1088" t="s">
        <v>51</v>
      </c>
      <c r="D1088" t="s">
        <v>818</v>
      </c>
      <c r="E1088" t="s">
        <v>839</v>
      </c>
      <c r="F1088">
        <v>3</v>
      </c>
      <c r="G1088">
        <v>0.05</v>
      </c>
      <c r="H1088" t="s">
        <v>865</v>
      </c>
      <c r="I1088" t="str">
        <f>VLOOKUP(C1088,Customers!A:C,2,FALSE)&amp;" "&amp;VLOOKUP(C1088,Customers!A:C,3,FALSE)</f>
        <v>Dale Perry</v>
      </c>
      <c r="J1088" t="str">
        <f>VLOOKUP(D1088,Products!A:C,2,FALSE)</f>
        <v>Nature Clothing</v>
      </c>
      <c r="K1088" t="str">
        <f>VLOOKUP(D1088,Products!A:C,3,FALSE)</f>
        <v>Fashion</v>
      </c>
      <c r="L1088" t="str">
        <f>VLOOKUP(E1088,Stores!A:B,2,FALSE)</f>
        <v>MegaMart New Michele</v>
      </c>
      <c r="M1088">
        <f>VLOOKUP(D1088,Products!A:E,5,FALSE)</f>
        <v>1165.3699999999999</v>
      </c>
      <c r="N1088" s="5">
        <f t="shared" si="16"/>
        <v>3321.3044999999997</v>
      </c>
    </row>
    <row r="1089" spans="1:14" x14ac:dyDescent="0.3">
      <c r="A1089" t="s">
        <v>1945</v>
      </c>
      <c r="B1089" s="2">
        <v>45353</v>
      </c>
      <c r="C1089" t="s">
        <v>585</v>
      </c>
      <c r="D1089" t="s">
        <v>725</v>
      </c>
      <c r="E1089" t="s">
        <v>835</v>
      </c>
      <c r="F1089">
        <v>3</v>
      </c>
      <c r="G1089">
        <v>0.1</v>
      </c>
      <c r="H1089" t="s">
        <v>865</v>
      </c>
      <c r="I1089" t="str">
        <f>VLOOKUP(C1089,Customers!A:C,2,FALSE)&amp;" "&amp;VLOOKUP(C1089,Customers!A:C,3,FALSE)</f>
        <v>Linda Vasquez</v>
      </c>
      <c r="J1089" t="str">
        <f>VLOOKUP(D1089,Products!A:C,2,FALSE)</f>
        <v>Knowledge Bags</v>
      </c>
      <c r="K1089" t="str">
        <f>VLOOKUP(D1089,Products!A:C,3,FALSE)</f>
        <v>Fashion</v>
      </c>
      <c r="L1089" t="str">
        <f>VLOOKUP(E1089,Stores!A:B,2,FALSE)</f>
        <v>MegaMart Peckmouth</v>
      </c>
      <c r="M1089">
        <f>VLOOKUP(D1089,Products!A:E,5,FALSE)</f>
        <v>1396.22</v>
      </c>
      <c r="N1089" s="5">
        <f t="shared" si="16"/>
        <v>3769.7939999999999</v>
      </c>
    </row>
    <row r="1090" spans="1:14" x14ac:dyDescent="0.3">
      <c r="A1090" t="s">
        <v>1946</v>
      </c>
      <c r="B1090" s="2">
        <v>45385</v>
      </c>
      <c r="C1090" t="s">
        <v>298</v>
      </c>
      <c r="D1090" t="s">
        <v>778</v>
      </c>
      <c r="E1090" t="s">
        <v>839</v>
      </c>
      <c r="F1090">
        <v>5</v>
      </c>
      <c r="G1090">
        <v>0.1</v>
      </c>
      <c r="H1090" t="s">
        <v>865</v>
      </c>
      <c r="I1090" t="str">
        <f>VLOOKUP(C1090,Customers!A:C,2,FALSE)&amp;" "&amp;VLOOKUP(C1090,Customers!A:C,3,FALSE)</f>
        <v>Donald Marsh</v>
      </c>
      <c r="J1090" t="str">
        <f>VLOOKUP(D1090,Products!A:C,2,FALSE)</f>
        <v>Behavior Dairy</v>
      </c>
      <c r="K1090" t="str">
        <f>VLOOKUP(D1090,Products!A:C,3,FALSE)</f>
        <v>Groceries</v>
      </c>
      <c r="L1090" t="str">
        <f>VLOOKUP(E1090,Stores!A:B,2,FALSE)</f>
        <v>MegaMart New Michele</v>
      </c>
      <c r="M1090">
        <f>VLOOKUP(D1090,Products!A:E,5,FALSE)</f>
        <v>1015.76</v>
      </c>
      <c r="N1090" s="5">
        <f t="shared" si="16"/>
        <v>4570.92</v>
      </c>
    </row>
    <row r="1091" spans="1:14" x14ac:dyDescent="0.3">
      <c r="A1091" t="s">
        <v>1947</v>
      </c>
      <c r="B1091" s="2">
        <v>45371</v>
      </c>
      <c r="C1091" t="s">
        <v>119</v>
      </c>
      <c r="D1091" t="s">
        <v>736</v>
      </c>
      <c r="E1091" t="s">
        <v>839</v>
      </c>
      <c r="F1091">
        <v>3</v>
      </c>
      <c r="G1091">
        <v>0.15</v>
      </c>
      <c r="H1091" t="s">
        <v>865</v>
      </c>
      <c r="I1091" t="str">
        <f>VLOOKUP(C1091,Customers!A:C,2,FALSE)&amp;" "&amp;VLOOKUP(C1091,Customers!A:C,3,FALSE)</f>
        <v>Lacey Hall</v>
      </c>
      <c r="J1091" t="str">
        <f>VLOOKUP(D1091,Products!A:C,2,FALSE)</f>
        <v>Us Snacks</v>
      </c>
      <c r="K1091" t="str">
        <f>VLOOKUP(D1091,Products!A:C,3,FALSE)</f>
        <v>Groceries</v>
      </c>
      <c r="L1091" t="str">
        <f>VLOOKUP(E1091,Stores!A:B,2,FALSE)</f>
        <v>MegaMart New Michele</v>
      </c>
      <c r="M1091">
        <f>VLOOKUP(D1091,Products!A:E,5,FALSE)</f>
        <v>123.19</v>
      </c>
      <c r="N1091" s="5">
        <f t="shared" ref="N1091:N1154" si="17">F1091*M1091*(1-G1091)</f>
        <v>314.1345</v>
      </c>
    </row>
    <row r="1092" spans="1:14" x14ac:dyDescent="0.3">
      <c r="A1092" t="s">
        <v>1948</v>
      </c>
      <c r="B1092" s="2">
        <v>45680</v>
      </c>
      <c r="C1092" t="s">
        <v>175</v>
      </c>
      <c r="D1092" t="s">
        <v>806</v>
      </c>
      <c r="E1092" t="s">
        <v>835</v>
      </c>
      <c r="F1092">
        <v>3</v>
      </c>
      <c r="G1092">
        <v>0.1</v>
      </c>
      <c r="H1092" t="s">
        <v>858</v>
      </c>
      <c r="I1092" t="str">
        <f>VLOOKUP(C1092,Customers!A:C,2,FALSE)&amp;" "&amp;VLOOKUP(C1092,Customers!A:C,3,FALSE)</f>
        <v>Kelly Shaw</v>
      </c>
      <c r="J1092" t="str">
        <f>VLOOKUP(D1092,Products!A:C,2,FALSE)</f>
        <v>Piece Headphones</v>
      </c>
      <c r="K1092" t="str">
        <f>VLOOKUP(D1092,Products!A:C,3,FALSE)</f>
        <v>Electronics</v>
      </c>
      <c r="L1092" t="str">
        <f>VLOOKUP(E1092,Stores!A:B,2,FALSE)</f>
        <v>MegaMart Peckmouth</v>
      </c>
      <c r="M1092">
        <f>VLOOKUP(D1092,Products!A:E,5,FALSE)</f>
        <v>1745.61</v>
      </c>
      <c r="N1092" s="5">
        <f t="shared" si="17"/>
        <v>4713.1469999999999</v>
      </c>
    </row>
    <row r="1093" spans="1:14" x14ac:dyDescent="0.3">
      <c r="A1093" t="s">
        <v>1949</v>
      </c>
      <c r="B1093" s="2">
        <v>45850</v>
      </c>
      <c r="C1093" t="s">
        <v>452</v>
      </c>
      <c r="D1093" t="s">
        <v>808</v>
      </c>
      <c r="E1093" t="s">
        <v>831</v>
      </c>
      <c r="F1093">
        <v>2</v>
      </c>
      <c r="G1093">
        <v>0.15</v>
      </c>
      <c r="H1093" t="s">
        <v>861</v>
      </c>
      <c r="I1093" t="str">
        <f>VLOOKUP(C1093,Customers!A:C,2,FALSE)&amp;" "&amp;VLOOKUP(C1093,Customers!A:C,3,FALSE)</f>
        <v>Amy Smith</v>
      </c>
      <c r="J1093" t="str">
        <f>VLOOKUP(D1093,Products!A:C,2,FALSE)</f>
        <v>Present Television</v>
      </c>
      <c r="K1093" t="str">
        <f>VLOOKUP(D1093,Products!A:C,3,FALSE)</f>
        <v>Electronics</v>
      </c>
      <c r="L1093" t="str">
        <f>VLOOKUP(E1093,Stores!A:B,2,FALSE)</f>
        <v>MegaMart Jimenezborough</v>
      </c>
      <c r="M1093">
        <f>VLOOKUP(D1093,Products!A:E,5,FALSE)</f>
        <v>1635.01</v>
      </c>
      <c r="N1093" s="5">
        <f t="shared" si="17"/>
        <v>2779.5169999999998</v>
      </c>
    </row>
    <row r="1094" spans="1:14" x14ac:dyDescent="0.3">
      <c r="A1094" t="s">
        <v>1950</v>
      </c>
      <c r="B1094" s="2">
        <v>45502</v>
      </c>
      <c r="C1094" t="s">
        <v>577</v>
      </c>
      <c r="D1094" t="s">
        <v>792</v>
      </c>
      <c r="E1094" t="s">
        <v>842</v>
      </c>
      <c r="F1094">
        <v>5</v>
      </c>
      <c r="G1094">
        <v>0.1</v>
      </c>
      <c r="H1094" t="s">
        <v>858</v>
      </c>
      <c r="I1094" t="str">
        <f>VLOOKUP(C1094,Customers!A:C,2,FALSE)&amp;" "&amp;VLOOKUP(C1094,Customers!A:C,3,FALSE)</f>
        <v>Michael Perez</v>
      </c>
      <c r="J1094" t="str">
        <f>VLOOKUP(D1094,Products!A:C,2,FALSE)</f>
        <v>Beat Accessories</v>
      </c>
      <c r="K1094" t="str">
        <f>VLOOKUP(D1094,Products!A:C,3,FALSE)</f>
        <v>Fashion</v>
      </c>
      <c r="L1094" t="str">
        <f>VLOOKUP(E1094,Stores!A:B,2,FALSE)</f>
        <v>MegaMart Brianahaven</v>
      </c>
      <c r="M1094">
        <f>VLOOKUP(D1094,Products!A:E,5,FALSE)</f>
        <v>1798.97</v>
      </c>
      <c r="N1094" s="5">
        <f t="shared" si="17"/>
        <v>8095.3650000000007</v>
      </c>
    </row>
    <row r="1095" spans="1:14" x14ac:dyDescent="0.3">
      <c r="A1095" t="s">
        <v>1951</v>
      </c>
      <c r="B1095" s="2">
        <v>45441</v>
      </c>
      <c r="C1095" t="s">
        <v>396</v>
      </c>
      <c r="D1095" t="s">
        <v>764</v>
      </c>
      <c r="E1095" t="s">
        <v>831</v>
      </c>
      <c r="F1095">
        <v>5</v>
      </c>
      <c r="G1095">
        <v>0.1</v>
      </c>
      <c r="H1095" t="s">
        <v>855</v>
      </c>
      <c r="I1095" t="str">
        <f>VLOOKUP(C1095,Customers!A:C,2,FALSE)&amp;" "&amp;VLOOKUP(C1095,Customers!A:C,3,FALSE)</f>
        <v>Kevin Flores</v>
      </c>
      <c r="J1095" t="str">
        <f>VLOOKUP(D1095,Products!A:C,2,FALSE)</f>
        <v>Simple Accessories</v>
      </c>
      <c r="K1095" t="str">
        <f>VLOOKUP(D1095,Products!A:C,3,FALSE)</f>
        <v>Fashion</v>
      </c>
      <c r="L1095" t="str">
        <f>VLOOKUP(E1095,Stores!A:B,2,FALSE)</f>
        <v>MegaMart Jimenezborough</v>
      </c>
      <c r="M1095">
        <f>VLOOKUP(D1095,Products!A:E,5,FALSE)</f>
        <v>323.92</v>
      </c>
      <c r="N1095" s="5">
        <f t="shared" si="17"/>
        <v>1457.64</v>
      </c>
    </row>
    <row r="1096" spans="1:14" x14ac:dyDescent="0.3">
      <c r="A1096" t="s">
        <v>1952</v>
      </c>
      <c r="B1096" s="2">
        <v>45822</v>
      </c>
      <c r="C1096" t="s">
        <v>520</v>
      </c>
      <c r="D1096" t="s">
        <v>794</v>
      </c>
      <c r="E1096" t="s">
        <v>846</v>
      </c>
      <c r="F1096">
        <v>1</v>
      </c>
      <c r="G1096">
        <v>0.05</v>
      </c>
      <c r="H1096" t="s">
        <v>855</v>
      </c>
      <c r="I1096" t="str">
        <f>VLOOKUP(C1096,Customers!A:C,2,FALSE)&amp;" "&amp;VLOOKUP(C1096,Customers!A:C,3,FALSE)</f>
        <v>Cynthia Carlson</v>
      </c>
      <c r="J1096" t="str">
        <f>VLOOKUP(D1096,Products!A:C,2,FALSE)</f>
        <v>Everything Laptop</v>
      </c>
      <c r="K1096" t="str">
        <f>VLOOKUP(D1096,Products!A:C,3,FALSE)</f>
        <v>Electronics</v>
      </c>
      <c r="L1096" t="str">
        <f>VLOOKUP(E1096,Stores!A:B,2,FALSE)</f>
        <v>MegaMart Johnmouth</v>
      </c>
      <c r="M1096">
        <f>VLOOKUP(D1096,Products!A:E,5,FALSE)</f>
        <v>428.05</v>
      </c>
      <c r="N1096" s="5">
        <f t="shared" si="17"/>
        <v>406.64749999999998</v>
      </c>
    </row>
    <row r="1097" spans="1:14" x14ac:dyDescent="0.3">
      <c r="A1097" t="s">
        <v>1953</v>
      </c>
      <c r="B1097" s="2">
        <v>45746</v>
      </c>
      <c r="C1097" t="s">
        <v>343</v>
      </c>
      <c r="D1097" t="s">
        <v>788</v>
      </c>
      <c r="E1097" t="s">
        <v>831</v>
      </c>
      <c r="F1097">
        <v>2</v>
      </c>
      <c r="G1097">
        <v>0.1</v>
      </c>
      <c r="H1097" t="s">
        <v>865</v>
      </c>
      <c r="I1097" t="str">
        <f>VLOOKUP(C1097,Customers!A:C,2,FALSE)&amp;" "&amp;VLOOKUP(C1097,Customers!A:C,3,FALSE)</f>
        <v>Brian Fowler</v>
      </c>
      <c r="J1097" t="str">
        <f>VLOOKUP(D1097,Products!A:C,2,FALSE)</f>
        <v>Foot Snacks</v>
      </c>
      <c r="K1097" t="str">
        <f>VLOOKUP(D1097,Products!A:C,3,FALSE)</f>
        <v>Groceries</v>
      </c>
      <c r="L1097" t="str">
        <f>VLOOKUP(E1097,Stores!A:B,2,FALSE)</f>
        <v>MegaMart Jimenezborough</v>
      </c>
      <c r="M1097">
        <f>VLOOKUP(D1097,Products!A:E,5,FALSE)</f>
        <v>1095.72</v>
      </c>
      <c r="N1097" s="5">
        <f t="shared" si="17"/>
        <v>1972.296</v>
      </c>
    </row>
    <row r="1098" spans="1:14" x14ac:dyDescent="0.3">
      <c r="A1098" t="s">
        <v>1954</v>
      </c>
      <c r="B1098" s="2">
        <v>45550</v>
      </c>
      <c r="C1098" t="s">
        <v>327</v>
      </c>
      <c r="D1098" t="s">
        <v>715</v>
      </c>
      <c r="E1098" t="s">
        <v>842</v>
      </c>
      <c r="F1098">
        <v>5</v>
      </c>
      <c r="G1098">
        <v>0.05</v>
      </c>
      <c r="H1098" t="s">
        <v>858</v>
      </c>
      <c r="I1098" t="str">
        <f>VLOOKUP(C1098,Customers!A:C,2,FALSE)&amp;" "&amp;VLOOKUP(C1098,Customers!A:C,3,FALSE)</f>
        <v>Laurie Mason</v>
      </c>
      <c r="J1098" t="str">
        <f>VLOOKUP(D1098,Products!A:C,2,FALSE)</f>
        <v>Audience Television</v>
      </c>
      <c r="K1098" t="str">
        <f>VLOOKUP(D1098,Products!A:C,3,FALSE)</f>
        <v>Electronics</v>
      </c>
      <c r="L1098" t="str">
        <f>VLOOKUP(E1098,Stores!A:B,2,FALSE)</f>
        <v>MegaMart Brianahaven</v>
      </c>
      <c r="M1098">
        <f>VLOOKUP(D1098,Products!A:E,5,FALSE)</f>
        <v>818.76</v>
      </c>
      <c r="N1098" s="5">
        <f t="shared" si="17"/>
        <v>3889.11</v>
      </c>
    </row>
    <row r="1099" spans="1:14" x14ac:dyDescent="0.3">
      <c r="A1099" t="s">
        <v>1955</v>
      </c>
      <c r="B1099" s="2">
        <v>45608</v>
      </c>
      <c r="C1099" t="s">
        <v>187</v>
      </c>
      <c r="D1099" t="s">
        <v>772</v>
      </c>
      <c r="E1099" t="s">
        <v>846</v>
      </c>
      <c r="F1099">
        <v>1</v>
      </c>
      <c r="G1099">
        <v>0.1</v>
      </c>
      <c r="H1099" t="s">
        <v>855</v>
      </c>
      <c r="I1099" t="str">
        <f>VLOOKUP(C1099,Customers!A:C,2,FALSE)&amp;" "&amp;VLOOKUP(C1099,Customers!A:C,3,FALSE)</f>
        <v>Alexis Crane</v>
      </c>
      <c r="J1099" t="str">
        <f>VLOOKUP(D1099,Products!A:C,2,FALSE)</f>
        <v>And Footwear</v>
      </c>
      <c r="K1099" t="str">
        <f>VLOOKUP(D1099,Products!A:C,3,FALSE)</f>
        <v>Fashion</v>
      </c>
      <c r="L1099" t="str">
        <f>VLOOKUP(E1099,Stores!A:B,2,FALSE)</f>
        <v>MegaMart Johnmouth</v>
      </c>
      <c r="M1099">
        <f>VLOOKUP(D1099,Products!A:E,5,FALSE)</f>
        <v>1878.47</v>
      </c>
      <c r="N1099" s="5">
        <f t="shared" si="17"/>
        <v>1690.623</v>
      </c>
    </row>
    <row r="1100" spans="1:14" x14ac:dyDescent="0.3">
      <c r="A1100" t="s">
        <v>1956</v>
      </c>
      <c r="B1100" s="2">
        <v>45844</v>
      </c>
      <c r="C1100" t="s">
        <v>643</v>
      </c>
      <c r="D1100" t="s">
        <v>745</v>
      </c>
      <c r="E1100" t="s">
        <v>831</v>
      </c>
      <c r="F1100">
        <v>3</v>
      </c>
      <c r="G1100">
        <v>0.15</v>
      </c>
      <c r="H1100" t="s">
        <v>865</v>
      </c>
      <c r="I1100" t="str">
        <f>VLOOKUP(C1100,Customers!A:C,2,FALSE)&amp;" "&amp;VLOOKUP(C1100,Customers!A:C,3,FALSE)</f>
        <v>Meghan Wright</v>
      </c>
      <c r="J1100" t="str">
        <f>VLOOKUP(D1100,Products!A:C,2,FALSE)</f>
        <v>Above Camera</v>
      </c>
      <c r="K1100" t="str">
        <f>VLOOKUP(D1100,Products!A:C,3,FALSE)</f>
        <v>Electronics</v>
      </c>
      <c r="L1100" t="str">
        <f>VLOOKUP(E1100,Stores!A:B,2,FALSE)</f>
        <v>MegaMart Jimenezborough</v>
      </c>
      <c r="M1100">
        <f>VLOOKUP(D1100,Products!A:E,5,FALSE)</f>
        <v>1193.0899999999999</v>
      </c>
      <c r="N1100" s="5">
        <f t="shared" si="17"/>
        <v>3042.3794999999996</v>
      </c>
    </row>
    <row r="1101" spans="1:14" x14ac:dyDescent="0.3">
      <c r="A1101" t="s">
        <v>1957</v>
      </c>
      <c r="B1101" s="2">
        <v>45615</v>
      </c>
      <c r="C1101" t="s">
        <v>469</v>
      </c>
      <c r="D1101" t="s">
        <v>796</v>
      </c>
      <c r="E1101" t="s">
        <v>835</v>
      </c>
      <c r="F1101">
        <v>3</v>
      </c>
      <c r="G1101">
        <v>0.15</v>
      </c>
      <c r="H1101" t="s">
        <v>855</v>
      </c>
      <c r="I1101" t="str">
        <f>VLOOKUP(C1101,Customers!A:C,2,FALSE)&amp;" "&amp;VLOOKUP(C1101,Customers!A:C,3,FALSE)</f>
        <v>Robert Collins</v>
      </c>
      <c r="J1101" t="str">
        <f>VLOOKUP(D1101,Products!A:C,2,FALSE)</f>
        <v>Chair Laptop</v>
      </c>
      <c r="K1101" t="str">
        <f>VLOOKUP(D1101,Products!A:C,3,FALSE)</f>
        <v>Electronics</v>
      </c>
      <c r="L1101" t="str">
        <f>VLOOKUP(E1101,Stores!A:B,2,FALSE)</f>
        <v>MegaMart Peckmouth</v>
      </c>
      <c r="M1101">
        <f>VLOOKUP(D1101,Products!A:E,5,FALSE)</f>
        <v>1562.43</v>
      </c>
      <c r="N1101" s="5">
        <f t="shared" si="17"/>
        <v>3984.1965</v>
      </c>
    </row>
    <row r="1102" spans="1:14" x14ac:dyDescent="0.3">
      <c r="A1102" t="s">
        <v>1958</v>
      </c>
      <c r="B1102" s="2">
        <v>45777</v>
      </c>
      <c r="C1102" t="s">
        <v>217</v>
      </c>
      <c r="D1102" t="s">
        <v>757</v>
      </c>
      <c r="E1102" t="s">
        <v>846</v>
      </c>
      <c r="F1102">
        <v>3</v>
      </c>
      <c r="G1102">
        <v>0.05</v>
      </c>
      <c r="H1102" t="s">
        <v>865</v>
      </c>
      <c r="I1102" t="str">
        <f>VLOOKUP(C1102,Customers!A:C,2,FALSE)&amp;" "&amp;VLOOKUP(C1102,Customers!A:C,3,FALSE)</f>
        <v>Carl Wyatt</v>
      </c>
      <c r="J1102" t="str">
        <f>VLOOKUP(D1102,Products!A:C,2,FALSE)</f>
        <v>Find Headphones</v>
      </c>
      <c r="K1102" t="str">
        <f>VLOOKUP(D1102,Products!A:C,3,FALSE)</f>
        <v>Electronics</v>
      </c>
      <c r="L1102" t="str">
        <f>VLOOKUP(E1102,Stores!A:B,2,FALSE)</f>
        <v>MegaMart Johnmouth</v>
      </c>
      <c r="M1102">
        <f>VLOOKUP(D1102,Products!A:E,5,FALSE)</f>
        <v>1246.1099999999999</v>
      </c>
      <c r="N1102" s="5">
        <f t="shared" si="17"/>
        <v>3551.4134999999997</v>
      </c>
    </row>
    <row r="1103" spans="1:14" x14ac:dyDescent="0.3">
      <c r="A1103" t="s">
        <v>1959</v>
      </c>
      <c r="B1103" s="2">
        <v>45835</v>
      </c>
      <c r="C1103" t="s">
        <v>362</v>
      </c>
      <c r="D1103" t="s">
        <v>794</v>
      </c>
      <c r="E1103" t="s">
        <v>831</v>
      </c>
      <c r="F1103">
        <v>2</v>
      </c>
      <c r="G1103">
        <v>0</v>
      </c>
      <c r="H1103" t="s">
        <v>858</v>
      </c>
      <c r="I1103" t="str">
        <f>VLOOKUP(C1103,Customers!A:C,2,FALSE)&amp;" "&amp;VLOOKUP(C1103,Customers!A:C,3,FALSE)</f>
        <v>Eric King</v>
      </c>
      <c r="J1103" t="str">
        <f>VLOOKUP(D1103,Products!A:C,2,FALSE)</f>
        <v>Everything Laptop</v>
      </c>
      <c r="K1103" t="str">
        <f>VLOOKUP(D1103,Products!A:C,3,FALSE)</f>
        <v>Electronics</v>
      </c>
      <c r="L1103" t="str">
        <f>VLOOKUP(E1103,Stores!A:B,2,FALSE)</f>
        <v>MegaMart Jimenezborough</v>
      </c>
      <c r="M1103">
        <f>VLOOKUP(D1103,Products!A:E,5,FALSE)</f>
        <v>428.05</v>
      </c>
      <c r="N1103" s="5">
        <f t="shared" si="17"/>
        <v>856.1</v>
      </c>
    </row>
    <row r="1104" spans="1:14" x14ac:dyDescent="0.3">
      <c r="A1104" t="s">
        <v>1960</v>
      </c>
      <c r="B1104" s="2">
        <v>45815</v>
      </c>
      <c r="C1104" t="s">
        <v>476</v>
      </c>
      <c r="D1104" t="s">
        <v>759</v>
      </c>
      <c r="E1104" t="s">
        <v>831</v>
      </c>
      <c r="F1104">
        <v>4</v>
      </c>
      <c r="G1104">
        <v>0.05</v>
      </c>
      <c r="H1104" t="s">
        <v>861</v>
      </c>
      <c r="I1104" t="str">
        <f>VLOOKUP(C1104,Customers!A:C,2,FALSE)&amp;" "&amp;VLOOKUP(C1104,Customers!A:C,3,FALSE)</f>
        <v>Aaron Bailey</v>
      </c>
      <c r="J1104" t="str">
        <f>VLOOKUP(D1104,Products!A:C,2,FALSE)</f>
        <v>Democratic Smartphone</v>
      </c>
      <c r="K1104" t="str">
        <f>VLOOKUP(D1104,Products!A:C,3,FALSE)</f>
        <v>Electronics</v>
      </c>
      <c r="L1104" t="str">
        <f>VLOOKUP(E1104,Stores!A:B,2,FALSE)</f>
        <v>MegaMart Jimenezborough</v>
      </c>
      <c r="M1104">
        <f>VLOOKUP(D1104,Products!A:E,5,FALSE)</f>
        <v>1079.8900000000001</v>
      </c>
      <c r="N1104" s="5">
        <f t="shared" si="17"/>
        <v>4103.5820000000003</v>
      </c>
    </row>
    <row r="1105" spans="1:14" x14ac:dyDescent="0.3">
      <c r="A1105" t="s">
        <v>1961</v>
      </c>
      <c r="B1105" s="2">
        <v>45300</v>
      </c>
      <c r="C1105" t="s">
        <v>331</v>
      </c>
      <c r="D1105" t="s">
        <v>747</v>
      </c>
      <c r="E1105" t="s">
        <v>842</v>
      </c>
      <c r="F1105">
        <v>5</v>
      </c>
      <c r="G1105">
        <v>0.1</v>
      </c>
      <c r="H1105" t="s">
        <v>855</v>
      </c>
      <c r="I1105" t="str">
        <f>VLOOKUP(C1105,Customers!A:C,2,FALSE)&amp;" "&amp;VLOOKUP(C1105,Customers!A:C,3,FALSE)</f>
        <v>Brenda Costa</v>
      </c>
      <c r="J1105" t="str">
        <f>VLOOKUP(D1105,Products!A:C,2,FALSE)</f>
        <v>World Watches</v>
      </c>
      <c r="K1105" t="str">
        <f>VLOOKUP(D1105,Products!A:C,3,FALSE)</f>
        <v>Fashion</v>
      </c>
      <c r="L1105" t="str">
        <f>VLOOKUP(E1105,Stores!A:B,2,FALSE)</f>
        <v>MegaMart Brianahaven</v>
      </c>
      <c r="M1105">
        <f>VLOOKUP(D1105,Products!A:E,5,FALSE)</f>
        <v>1134.8</v>
      </c>
      <c r="N1105" s="5">
        <f t="shared" si="17"/>
        <v>5106.6000000000004</v>
      </c>
    </row>
    <row r="1106" spans="1:14" x14ac:dyDescent="0.3">
      <c r="A1106" t="s">
        <v>1962</v>
      </c>
      <c r="B1106" s="2">
        <v>45779</v>
      </c>
      <c r="C1106" t="s">
        <v>144</v>
      </c>
      <c r="D1106" t="s">
        <v>742</v>
      </c>
      <c r="E1106" t="s">
        <v>831</v>
      </c>
      <c r="F1106">
        <v>5</v>
      </c>
      <c r="G1106">
        <v>0.05</v>
      </c>
      <c r="H1106" t="s">
        <v>861</v>
      </c>
      <c r="I1106" t="str">
        <f>VLOOKUP(C1106,Customers!A:C,2,FALSE)&amp;" "&amp;VLOOKUP(C1106,Customers!A:C,3,FALSE)</f>
        <v>Miranda Nelson</v>
      </c>
      <c r="J1106" t="str">
        <f>VLOOKUP(D1106,Products!A:C,2,FALSE)</f>
        <v>Either Headphones</v>
      </c>
      <c r="K1106" t="str">
        <f>VLOOKUP(D1106,Products!A:C,3,FALSE)</f>
        <v>Electronics</v>
      </c>
      <c r="L1106" t="str">
        <f>VLOOKUP(E1106,Stores!A:B,2,FALSE)</f>
        <v>MegaMart Jimenezborough</v>
      </c>
      <c r="M1106">
        <f>VLOOKUP(D1106,Products!A:E,5,FALSE)</f>
        <v>248.57</v>
      </c>
      <c r="N1106" s="5">
        <f t="shared" si="17"/>
        <v>1180.7074999999998</v>
      </c>
    </row>
    <row r="1107" spans="1:14" x14ac:dyDescent="0.3">
      <c r="A1107" t="s">
        <v>1963</v>
      </c>
      <c r="B1107" s="2">
        <v>45388</v>
      </c>
      <c r="C1107" t="s">
        <v>657</v>
      </c>
      <c r="D1107" t="s">
        <v>780</v>
      </c>
      <c r="E1107" t="s">
        <v>831</v>
      </c>
      <c r="F1107">
        <v>4</v>
      </c>
      <c r="G1107">
        <v>0.15</v>
      </c>
      <c r="H1107" t="s">
        <v>865</v>
      </c>
      <c r="I1107" t="str">
        <f>VLOOKUP(C1107,Customers!A:C,2,FALSE)&amp;" "&amp;VLOOKUP(C1107,Customers!A:C,3,FALSE)</f>
        <v>Vicki Guzman</v>
      </c>
      <c r="J1107" t="str">
        <f>VLOOKUP(D1107,Products!A:C,2,FALSE)</f>
        <v>Hospital Smartphone</v>
      </c>
      <c r="K1107" t="str">
        <f>VLOOKUP(D1107,Products!A:C,3,FALSE)</f>
        <v>Electronics</v>
      </c>
      <c r="L1107" t="str">
        <f>VLOOKUP(E1107,Stores!A:B,2,FALSE)</f>
        <v>MegaMart Jimenezborough</v>
      </c>
      <c r="M1107">
        <f>VLOOKUP(D1107,Products!A:E,5,FALSE)</f>
        <v>1272.23</v>
      </c>
      <c r="N1107" s="5">
        <f t="shared" si="17"/>
        <v>4325.5820000000003</v>
      </c>
    </row>
    <row r="1108" spans="1:14" x14ac:dyDescent="0.3">
      <c r="A1108" t="s">
        <v>1964</v>
      </c>
      <c r="B1108" s="2">
        <v>45808</v>
      </c>
      <c r="C1108" t="s">
        <v>12</v>
      </c>
      <c r="D1108" t="s">
        <v>736</v>
      </c>
      <c r="E1108" t="s">
        <v>839</v>
      </c>
      <c r="F1108">
        <v>1</v>
      </c>
      <c r="G1108">
        <v>0</v>
      </c>
      <c r="H1108" t="s">
        <v>855</v>
      </c>
      <c r="I1108" t="str">
        <f>VLOOKUP(C1108,Customers!A:C,2,FALSE)&amp;" "&amp;VLOOKUP(C1108,Customers!A:C,3,FALSE)</f>
        <v>Michael Miller</v>
      </c>
      <c r="J1108" t="str">
        <f>VLOOKUP(D1108,Products!A:C,2,FALSE)</f>
        <v>Us Snacks</v>
      </c>
      <c r="K1108" t="str">
        <f>VLOOKUP(D1108,Products!A:C,3,FALSE)</f>
        <v>Groceries</v>
      </c>
      <c r="L1108" t="str">
        <f>VLOOKUP(E1108,Stores!A:B,2,FALSE)</f>
        <v>MegaMart New Michele</v>
      </c>
      <c r="M1108">
        <f>VLOOKUP(D1108,Products!A:E,5,FALSE)</f>
        <v>123.19</v>
      </c>
      <c r="N1108" s="5">
        <f t="shared" si="17"/>
        <v>123.19</v>
      </c>
    </row>
    <row r="1109" spans="1:14" x14ac:dyDescent="0.3">
      <c r="A1109" t="s">
        <v>1965</v>
      </c>
      <c r="B1109" s="2">
        <v>45888</v>
      </c>
      <c r="C1109" t="s">
        <v>445</v>
      </c>
      <c r="D1109" t="s">
        <v>755</v>
      </c>
      <c r="E1109" t="s">
        <v>831</v>
      </c>
      <c r="F1109">
        <v>1</v>
      </c>
      <c r="G1109">
        <v>0.1</v>
      </c>
      <c r="H1109" t="s">
        <v>865</v>
      </c>
      <c r="I1109" t="str">
        <f>VLOOKUP(C1109,Customers!A:C,2,FALSE)&amp;" "&amp;VLOOKUP(C1109,Customers!A:C,3,FALSE)</f>
        <v>Curtis Faulkner</v>
      </c>
      <c r="J1109" t="str">
        <f>VLOOKUP(D1109,Products!A:C,2,FALSE)</f>
        <v>House Accessories</v>
      </c>
      <c r="K1109" t="str">
        <f>VLOOKUP(D1109,Products!A:C,3,FALSE)</f>
        <v>Fashion</v>
      </c>
      <c r="L1109" t="str">
        <f>VLOOKUP(E1109,Stores!A:B,2,FALSE)</f>
        <v>MegaMart Jimenezborough</v>
      </c>
      <c r="M1109">
        <f>VLOOKUP(D1109,Products!A:E,5,FALSE)</f>
        <v>1858.75</v>
      </c>
      <c r="N1109" s="5">
        <f t="shared" si="17"/>
        <v>1672.875</v>
      </c>
    </row>
    <row r="1110" spans="1:14" x14ac:dyDescent="0.3">
      <c r="A1110" t="s">
        <v>1966</v>
      </c>
      <c r="B1110" s="2">
        <v>45785</v>
      </c>
      <c r="C1110" t="s">
        <v>536</v>
      </c>
      <c r="D1110" t="s">
        <v>722</v>
      </c>
      <c r="E1110" t="s">
        <v>839</v>
      </c>
      <c r="F1110">
        <v>2</v>
      </c>
      <c r="G1110">
        <v>0.1</v>
      </c>
      <c r="H1110" t="s">
        <v>861</v>
      </c>
      <c r="I1110" t="str">
        <f>VLOOKUP(C1110,Customers!A:C,2,FALSE)&amp;" "&amp;VLOOKUP(C1110,Customers!A:C,3,FALSE)</f>
        <v>John Foster</v>
      </c>
      <c r="J1110" t="str">
        <f>VLOOKUP(D1110,Products!A:C,2,FALSE)</f>
        <v>Four Accessories</v>
      </c>
      <c r="K1110" t="str">
        <f>VLOOKUP(D1110,Products!A:C,3,FALSE)</f>
        <v>Fashion</v>
      </c>
      <c r="L1110" t="str">
        <f>VLOOKUP(E1110,Stores!A:B,2,FALSE)</f>
        <v>MegaMart New Michele</v>
      </c>
      <c r="M1110">
        <f>VLOOKUP(D1110,Products!A:E,5,FALSE)</f>
        <v>1853.77</v>
      </c>
      <c r="N1110" s="5">
        <f t="shared" si="17"/>
        <v>3336.7860000000001</v>
      </c>
    </row>
    <row r="1111" spans="1:14" x14ac:dyDescent="0.3">
      <c r="A1111" t="s">
        <v>1967</v>
      </c>
      <c r="B1111" s="2">
        <v>45330</v>
      </c>
      <c r="C1111" t="s">
        <v>195</v>
      </c>
      <c r="D1111" t="s">
        <v>728</v>
      </c>
      <c r="E1111" t="s">
        <v>839</v>
      </c>
      <c r="F1111">
        <v>3</v>
      </c>
      <c r="G1111">
        <v>0.1</v>
      </c>
      <c r="H1111" t="s">
        <v>858</v>
      </c>
      <c r="I1111" t="str">
        <f>VLOOKUP(C1111,Customers!A:C,2,FALSE)&amp;" "&amp;VLOOKUP(C1111,Customers!A:C,3,FALSE)</f>
        <v>Kelly Mcmillan</v>
      </c>
      <c r="J1111" t="str">
        <f>VLOOKUP(D1111,Products!A:C,2,FALSE)</f>
        <v>Company Fruits</v>
      </c>
      <c r="K1111" t="str">
        <f>VLOOKUP(D1111,Products!A:C,3,FALSE)</f>
        <v>Groceries</v>
      </c>
      <c r="L1111" t="str">
        <f>VLOOKUP(E1111,Stores!A:B,2,FALSE)</f>
        <v>MegaMart New Michele</v>
      </c>
      <c r="M1111">
        <f>VLOOKUP(D1111,Products!A:E,5,FALSE)</f>
        <v>318.05</v>
      </c>
      <c r="N1111" s="5">
        <f t="shared" si="17"/>
        <v>858.73500000000013</v>
      </c>
    </row>
    <row r="1112" spans="1:14" x14ac:dyDescent="0.3">
      <c r="A1112" t="s">
        <v>1968</v>
      </c>
      <c r="B1112" s="2">
        <v>45533</v>
      </c>
      <c r="C1112" t="s">
        <v>612</v>
      </c>
      <c r="D1112" t="s">
        <v>766</v>
      </c>
      <c r="E1112" t="s">
        <v>831</v>
      </c>
      <c r="F1112">
        <v>3</v>
      </c>
      <c r="G1112">
        <v>0.05</v>
      </c>
      <c r="H1112" t="s">
        <v>861</v>
      </c>
      <c r="I1112" t="str">
        <f>VLOOKUP(C1112,Customers!A:C,2,FALSE)&amp;" "&amp;VLOOKUP(C1112,Customers!A:C,3,FALSE)</f>
        <v>Michelle Smith</v>
      </c>
      <c r="J1112" t="str">
        <f>VLOOKUP(D1112,Products!A:C,2,FALSE)</f>
        <v>Firm Dairy</v>
      </c>
      <c r="K1112" t="str">
        <f>VLOOKUP(D1112,Products!A:C,3,FALSE)</f>
        <v>Groceries</v>
      </c>
      <c r="L1112" t="str">
        <f>VLOOKUP(E1112,Stores!A:B,2,FALSE)</f>
        <v>MegaMart Jimenezborough</v>
      </c>
      <c r="M1112">
        <f>VLOOKUP(D1112,Products!A:E,5,FALSE)</f>
        <v>1227.24</v>
      </c>
      <c r="N1112" s="5">
        <f t="shared" si="17"/>
        <v>3497.634</v>
      </c>
    </row>
    <row r="1113" spans="1:14" x14ac:dyDescent="0.3">
      <c r="A1113" t="s">
        <v>1969</v>
      </c>
      <c r="B1113" s="2">
        <v>45670</v>
      </c>
      <c r="C1113" t="s">
        <v>270</v>
      </c>
      <c r="D1113" t="s">
        <v>816</v>
      </c>
      <c r="E1113" t="s">
        <v>831</v>
      </c>
      <c r="F1113">
        <v>1</v>
      </c>
      <c r="G1113">
        <v>0</v>
      </c>
      <c r="H1113" t="s">
        <v>861</v>
      </c>
      <c r="I1113" t="str">
        <f>VLOOKUP(C1113,Customers!A:C,2,FALSE)&amp;" "&amp;VLOOKUP(C1113,Customers!A:C,3,FALSE)</f>
        <v>Denise Gutierrez</v>
      </c>
      <c r="J1113" t="str">
        <f>VLOOKUP(D1113,Products!A:C,2,FALSE)</f>
        <v>Set Dairy</v>
      </c>
      <c r="K1113" t="str">
        <f>VLOOKUP(D1113,Products!A:C,3,FALSE)</f>
        <v>Groceries</v>
      </c>
      <c r="L1113" t="str">
        <f>VLOOKUP(E1113,Stores!A:B,2,FALSE)</f>
        <v>MegaMart Jimenezborough</v>
      </c>
      <c r="M1113">
        <f>VLOOKUP(D1113,Products!A:E,5,FALSE)</f>
        <v>1879.08</v>
      </c>
      <c r="N1113" s="5">
        <f t="shared" si="17"/>
        <v>1879.08</v>
      </c>
    </row>
    <row r="1114" spans="1:14" x14ac:dyDescent="0.3">
      <c r="A1114" t="s">
        <v>1970</v>
      </c>
      <c r="B1114" s="2">
        <v>45255</v>
      </c>
      <c r="C1114" t="s">
        <v>505</v>
      </c>
      <c r="D1114" t="s">
        <v>776</v>
      </c>
      <c r="E1114" t="s">
        <v>839</v>
      </c>
      <c r="F1114">
        <v>5</v>
      </c>
      <c r="G1114">
        <v>0.1</v>
      </c>
      <c r="H1114" t="s">
        <v>855</v>
      </c>
      <c r="I1114" t="str">
        <f>VLOOKUP(C1114,Customers!A:C,2,FALSE)&amp;" "&amp;VLOOKUP(C1114,Customers!A:C,3,FALSE)</f>
        <v>Alexander Mcfarland</v>
      </c>
      <c r="J1114" t="str">
        <f>VLOOKUP(D1114,Products!A:C,2,FALSE)</f>
        <v>Little Watches</v>
      </c>
      <c r="K1114" t="str">
        <f>VLOOKUP(D1114,Products!A:C,3,FALSE)</f>
        <v>Fashion</v>
      </c>
      <c r="L1114" t="str">
        <f>VLOOKUP(E1114,Stores!A:B,2,FALSE)</f>
        <v>MegaMart New Michele</v>
      </c>
      <c r="M1114">
        <f>VLOOKUP(D1114,Products!A:E,5,FALSE)</f>
        <v>429.15</v>
      </c>
      <c r="N1114" s="5">
        <f t="shared" si="17"/>
        <v>1931.175</v>
      </c>
    </row>
    <row r="1115" spans="1:14" x14ac:dyDescent="0.3">
      <c r="A1115" t="s">
        <v>1971</v>
      </c>
      <c r="B1115" s="2">
        <v>45788</v>
      </c>
      <c r="C1115" t="s">
        <v>144</v>
      </c>
      <c r="D1115" t="s">
        <v>784</v>
      </c>
      <c r="E1115" t="s">
        <v>839</v>
      </c>
      <c r="F1115">
        <v>5</v>
      </c>
      <c r="G1115">
        <v>0.05</v>
      </c>
      <c r="H1115" t="s">
        <v>861</v>
      </c>
      <c r="I1115" t="str">
        <f>VLOOKUP(C1115,Customers!A:C,2,FALSE)&amp;" "&amp;VLOOKUP(C1115,Customers!A:C,3,FALSE)</f>
        <v>Miranda Nelson</v>
      </c>
      <c r="J1115" t="str">
        <f>VLOOKUP(D1115,Products!A:C,2,FALSE)</f>
        <v>Road Clothing</v>
      </c>
      <c r="K1115" t="str">
        <f>VLOOKUP(D1115,Products!A:C,3,FALSE)</f>
        <v>Fashion</v>
      </c>
      <c r="L1115" t="str">
        <f>VLOOKUP(E1115,Stores!A:B,2,FALSE)</f>
        <v>MegaMart New Michele</v>
      </c>
      <c r="M1115">
        <f>VLOOKUP(D1115,Products!A:E,5,FALSE)</f>
        <v>1485.05</v>
      </c>
      <c r="N1115" s="5">
        <f t="shared" si="17"/>
        <v>7053.9874999999993</v>
      </c>
    </row>
    <row r="1116" spans="1:14" x14ac:dyDescent="0.3">
      <c r="A1116" t="s">
        <v>1972</v>
      </c>
      <c r="B1116" s="2">
        <v>45288</v>
      </c>
      <c r="C1116" t="s">
        <v>77</v>
      </c>
      <c r="D1116" t="s">
        <v>810</v>
      </c>
      <c r="E1116" t="s">
        <v>839</v>
      </c>
      <c r="F1116">
        <v>5</v>
      </c>
      <c r="G1116">
        <v>0.1</v>
      </c>
      <c r="H1116" t="s">
        <v>858</v>
      </c>
      <c r="I1116" t="str">
        <f>VLOOKUP(C1116,Customers!A:C,2,FALSE)&amp;" "&amp;VLOOKUP(C1116,Customers!A:C,3,FALSE)</f>
        <v>John Smith</v>
      </c>
      <c r="J1116" t="str">
        <f>VLOOKUP(D1116,Products!A:C,2,FALSE)</f>
        <v>Maybe Clothing</v>
      </c>
      <c r="K1116" t="str">
        <f>VLOOKUP(D1116,Products!A:C,3,FALSE)</f>
        <v>Fashion</v>
      </c>
      <c r="L1116" t="str">
        <f>VLOOKUP(E1116,Stores!A:B,2,FALSE)</f>
        <v>MegaMart New Michele</v>
      </c>
      <c r="M1116">
        <f>VLOOKUP(D1116,Products!A:E,5,FALSE)</f>
        <v>453.62</v>
      </c>
      <c r="N1116" s="5">
        <f t="shared" si="17"/>
        <v>2041.29</v>
      </c>
    </row>
    <row r="1117" spans="1:14" x14ac:dyDescent="0.3">
      <c r="A1117" t="s">
        <v>1973</v>
      </c>
      <c r="B1117" s="2">
        <v>45212</v>
      </c>
      <c r="C1117" t="s">
        <v>55</v>
      </c>
      <c r="D1117" t="s">
        <v>764</v>
      </c>
      <c r="E1117" t="s">
        <v>835</v>
      </c>
      <c r="F1117">
        <v>1</v>
      </c>
      <c r="G1117">
        <v>0.15</v>
      </c>
      <c r="H1117" t="s">
        <v>865</v>
      </c>
      <c r="I1117" t="str">
        <f>VLOOKUP(C1117,Customers!A:C,2,FALSE)&amp;" "&amp;VLOOKUP(C1117,Customers!A:C,3,FALSE)</f>
        <v>Robert Anderson</v>
      </c>
      <c r="J1117" t="str">
        <f>VLOOKUP(D1117,Products!A:C,2,FALSE)</f>
        <v>Simple Accessories</v>
      </c>
      <c r="K1117" t="str">
        <f>VLOOKUP(D1117,Products!A:C,3,FALSE)</f>
        <v>Fashion</v>
      </c>
      <c r="L1117" t="str">
        <f>VLOOKUP(E1117,Stores!A:B,2,FALSE)</f>
        <v>MegaMart Peckmouth</v>
      </c>
      <c r="M1117">
        <f>VLOOKUP(D1117,Products!A:E,5,FALSE)</f>
        <v>323.92</v>
      </c>
      <c r="N1117" s="5">
        <f t="shared" si="17"/>
        <v>275.33199999999999</v>
      </c>
    </row>
    <row r="1118" spans="1:14" x14ac:dyDescent="0.3">
      <c r="A1118" t="s">
        <v>1974</v>
      </c>
      <c r="B1118" s="2">
        <v>45283</v>
      </c>
      <c r="C1118" t="s">
        <v>112</v>
      </c>
      <c r="D1118" t="s">
        <v>745</v>
      </c>
      <c r="E1118" t="s">
        <v>842</v>
      </c>
      <c r="F1118">
        <v>1</v>
      </c>
      <c r="G1118">
        <v>0</v>
      </c>
      <c r="H1118" t="s">
        <v>858</v>
      </c>
      <c r="I1118" t="str">
        <f>VLOOKUP(C1118,Customers!A:C,2,FALSE)&amp;" "&amp;VLOOKUP(C1118,Customers!A:C,3,FALSE)</f>
        <v>John Carr</v>
      </c>
      <c r="J1118" t="str">
        <f>VLOOKUP(D1118,Products!A:C,2,FALSE)</f>
        <v>Above Camera</v>
      </c>
      <c r="K1118" t="str">
        <f>VLOOKUP(D1118,Products!A:C,3,FALSE)</f>
        <v>Electronics</v>
      </c>
      <c r="L1118" t="str">
        <f>VLOOKUP(E1118,Stores!A:B,2,FALSE)</f>
        <v>MegaMart Brianahaven</v>
      </c>
      <c r="M1118">
        <f>VLOOKUP(D1118,Products!A:E,5,FALSE)</f>
        <v>1193.0899999999999</v>
      </c>
      <c r="N1118" s="5">
        <f t="shared" si="17"/>
        <v>1193.0899999999999</v>
      </c>
    </row>
    <row r="1119" spans="1:14" x14ac:dyDescent="0.3">
      <c r="A1119" t="s">
        <v>1975</v>
      </c>
      <c r="B1119" s="2">
        <v>45487</v>
      </c>
      <c r="C1119" t="s">
        <v>379</v>
      </c>
      <c r="D1119" t="s">
        <v>715</v>
      </c>
      <c r="E1119" t="s">
        <v>835</v>
      </c>
      <c r="F1119">
        <v>5</v>
      </c>
      <c r="G1119">
        <v>0.15</v>
      </c>
      <c r="H1119" t="s">
        <v>855</v>
      </c>
      <c r="I1119" t="str">
        <f>VLOOKUP(C1119,Customers!A:C,2,FALSE)&amp;" "&amp;VLOOKUP(C1119,Customers!A:C,3,FALSE)</f>
        <v>William Pope</v>
      </c>
      <c r="J1119" t="str">
        <f>VLOOKUP(D1119,Products!A:C,2,FALSE)</f>
        <v>Audience Television</v>
      </c>
      <c r="K1119" t="str">
        <f>VLOOKUP(D1119,Products!A:C,3,FALSE)</f>
        <v>Electronics</v>
      </c>
      <c r="L1119" t="str">
        <f>VLOOKUP(E1119,Stores!A:B,2,FALSE)</f>
        <v>MegaMart Peckmouth</v>
      </c>
      <c r="M1119">
        <f>VLOOKUP(D1119,Products!A:E,5,FALSE)</f>
        <v>818.76</v>
      </c>
      <c r="N1119" s="5">
        <f t="shared" si="17"/>
        <v>3479.73</v>
      </c>
    </row>
    <row r="1120" spans="1:14" x14ac:dyDescent="0.3">
      <c r="A1120" t="s">
        <v>1976</v>
      </c>
      <c r="B1120" s="2">
        <v>45408</v>
      </c>
      <c r="C1120" t="s">
        <v>302</v>
      </c>
      <c r="D1120" t="s">
        <v>769</v>
      </c>
      <c r="E1120" t="s">
        <v>839</v>
      </c>
      <c r="F1120">
        <v>2</v>
      </c>
      <c r="G1120">
        <v>0</v>
      </c>
      <c r="H1120" t="s">
        <v>858</v>
      </c>
      <c r="I1120" t="str">
        <f>VLOOKUP(C1120,Customers!A:C,2,FALSE)&amp;" "&amp;VLOOKUP(C1120,Customers!A:C,3,FALSE)</f>
        <v>Grace Garcia</v>
      </c>
      <c r="J1120" t="str">
        <f>VLOOKUP(D1120,Products!A:C,2,FALSE)</f>
        <v>How Vegetables</v>
      </c>
      <c r="K1120" t="str">
        <f>VLOOKUP(D1120,Products!A:C,3,FALSE)</f>
        <v>Groceries</v>
      </c>
      <c r="L1120" t="str">
        <f>VLOOKUP(E1120,Stores!A:B,2,FALSE)</f>
        <v>MegaMart New Michele</v>
      </c>
      <c r="M1120">
        <f>VLOOKUP(D1120,Products!A:E,5,FALSE)</f>
        <v>25.57</v>
      </c>
      <c r="N1120" s="5">
        <f t="shared" si="17"/>
        <v>51.14</v>
      </c>
    </row>
    <row r="1121" spans="1:14" x14ac:dyDescent="0.3">
      <c r="A1121" t="s">
        <v>1977</v>
      </c>
      <c r="B1121" s="2">
        <v>45817</v>
      </c>
      <c r="C1121" t="s">
        <v>531</v>
      </c>
      <c r="D1121" t="s">
        <v>766</v>
      </c>
      <c r="E1121" t="s">
        <v>835</v>
      </c>
      <c r="F1121">
        <v>1</v>
      </c>
      <c r="G1121">
        <v>0.15</v>
      </c>
      <c r="H1121" t="s">
        <v>865</v>
      </c>
      <c r="I1121" t="str">
        <f>VLOOKUP(C1121,Customers!A:C,2,FALSE)&amp;" "&amp;VLOOKUP(C1121,Customers!A:C,3,FALSE)</f>
        <v>John Johnson</v>
      </c>
      <c r="J1121" t="str">
        <f>VLOOKUP(D1121,Products!A:C,2,FALSE)</f>
        <v>Firm Dairy</v>
      </c>
      <c r="K1121" t="str">
        <f>VLOOKUP(D1121,Products!A:C,3,FALSE)</f>
        <v>Groceries</v>
      </c>
      <c r="L1121" t="str">
        <f>VLOOKUP(E1121,Stores!A:B,2,FALSE)</f>
        <v>MegaMart Peckmouth</v>
      </c>
      <c r="M1121">
        <f>VLOOKUP(D1121,Products!A:E,5,FALSE)</f>
        <v>1227.24</v>
      </c>
      <c r="N1121" s="5">
        <f t="shared" si="17"/>
        <v>1043.154</v>
      </c>
    </row>
    <row r="1122" spans="1:14" x14ac:dyDescent="0.3">
      <c r="A1122" t="s">
        <v>1978</v>
      </c>
      <c r="B1122" s="2">
        <v>45234</v>
      </c>
      <c r="C1122" t="s">
        <v>435</v>
      </c>
      <c r="D1122" t="s">
        <v>778</v>
      </c>
      <c r="E1122" t="s">
        <v>839</v>
      </c>
      <c r="F1122">
        <v>4</v>
      </c>
      <c r="G1122">
        <v>0.15</v>
      </c>
      <c r="H1122" t="s">
        <v>861</v>
      </c>
      <c r="I1122" t="str">
        <f>VLOOKUP(C1122,Customers!A:C,2,FALSE)&amp;" "&amp;VLOOKUP(C1122,Customers!A:C,3,FALSE)</f>
        <v>Timothy Beck</v>
      </c>
      <c r="J1122" t="str">
        <f>VLOOKUP(D1122,Products!A:C,2,FALSE)</f>
        <v>Behavior Dairy</v>
      </c>
      <c r="K1122" t="str">
        <f>VLOOKUP(D1122,Products!A:C,3,FALSE)</f>
        <v>Groceries</v>
      </c>
      <c r="L1122" t="str">
        <f>VLOOKUP(E1122,Stores!A:B,2,FALSE)</f>
        <v>MegaMart New Michele</v>
      </c>
      <c r="M1122">
        <f>VLOOKUP(D1122,Products!A:E,5,FALSE)</f>
        <v>1015.76</v>
      </c>
      <c r="N1122" s="5">
        <f t="shared" si="17"/>
        <v>3453.5839999999998</v>
      </c>
    </row>
    <row r="1123" spans="1:14" x14ac:dyDescent="0.3">
      <c r="A1123" t="s">
        <v>1979</v>
      </c>
      <c r="B1123" s="2">
        <v>45472</v>
      </c>
      <c r="C1123" t="s">
        <v>224</v>
      </c>
      <c r="D1123" t="s">
        <v>806</v>
      </c>
      <c r="E1123" t="s">
        <v>835</v>
      </c>
      <c r="F1123">
        <v>5</v>
      </c>
      <c r="G1123">
        <v>0.1</v>
      </c>
      <c r="H1123" t="s">
        <v>855</v>
      </c>
      <c r="I1123" t="str">
        <f>VLOOKUP(C1123,Customers!A:C,2,FALSE)&amp;" "&amp;VLOOKUP(C1123,Customers!A:C,3,FALSE)</f>
        <v>Lawrence Stewart</v>
      </c>
      <c r="J1123" t="str">
        <f>VLOOKUP(D1123,Products!A:C,2,FALSE)</f>
        <v>Piece Headphones</v>
      </c>
      <c r="K1123" t="str">
        <f>VLOOKUP(D1123,Products!A:C,3,FALSE)</f>
        <v>Electronics</v>
      </c>
      <c r="L1123" t="str">
        <f>VLOOKUP(E1123,Stores!A:B,2,FALSE)</f>
        <v>MegaMart Peckmouth</v>
      </c>
      <c r="M1123">
        <f>VLOOKUP(D1123,Products!A:E,5,FALSE)</f>
        <v>1745.61</v>
      </c>
      <c r="N1123" s="5">
        <f t="shared" si="17"/>
        <v>7855.2449999999999</v>
      </c>
    </row>
    <row r="1124" spans="1:14" x14ac:dyDescent="0.3">
      <c r="A1124" t="s">
        <v>1980</v>
      </c>
      <c r="B1124" s="2">
        <v>45862</v>
      </c>
      <c r="C1124" t="s">
        <v>379</v>
      </c>
      <c r="D1124" t="s">
        <v>766</v>
      </c>
      <c r="E1124" t="s">
        <v>835</v>
      </c>
      <c r="F1124">
        <v>3</v>
      </c>
      <c r="G1124">
        <v>0.1</v>
      </c>
      <c r="H1124" t="s">
        <v>858</v>
      </c>
      <c r="I1124" t="str">
        <f>VLOOKUP(C1124,Customers!A:C,2,FALSE)&amp;" "&amp;VLOOKUP(C1124,Customers!A:C,3,FALSE)</f>
        <v>William Pope</v>
      </c>
      <c r="J1124" t="str">
        <f>VLOOKUP(D1124,Products!A:C,2,FALSE)</f>
        <v>Firm Dairy</v>
      </c>
      <c r="K1124" t="str">
        <f>VLOOKUP(D1124,Products!A:C,3,FALSE)</f>
        <v>Groceries</v>
      </c>
      <c r="L1124" t="str">
        <f>VLOOKUP(E1124,Stores!A:B,2,FALSE)</f>
        <v>MegaMart Peckmouth</v>
      </c>
      <c r="M1124">
        <f>VLOOKUP(D1124,Products!A:E,5,FALSE)</f>
        <v>1227.24</v>
      </c>
      <c r="N1124" s="5">
        <f t="shared" si="17"/>
        <v>3313.5480000000002</v>
      </c>
    </row>
    <row r="1125" spans="1:14" x14ac:dyDescent="0.3">
      <c r="A1125" t="s">
        <v>1981</v>
      </c>
      <c r="B1125" s="2">
        <v>45581</v>
      </c>
      <c r="C1125" t="s">
        <v>462</v>
      </c>
      <c r="D1125" t="s">
        <v>766</v>
      </c>
      <c r="E1125" t="s">
        <v>831</v>
      </c>
      <c r="F1125">
        <v>1</v>
      </c>
      <c r="G1125">
        <v>0.15</v>
      </c>
      <c r="H1125" t="s">
        <v>865</v>
      </c>
      <c r="I1125" t="str">
        <f>VLOOKUP(C1125,Customers!A:C,2,FALSE)&amp;" "&amp;VLOOKUP(C1125,Customers!A:C,3,FALSE)</f>
        <v>Kimberly Parker</v>
      </c>
      <c r="J1125" t="str">
        <f>VLOOKUP(D1125,Products!A:C,2,FALSE)</f>
        <v>Firm Dairy</v>
      </c>
      <c r="K1125" t="str">
        <f>VLOOKUP(D1125,Products!A:C,3,FALSE)</f>
        <v>Groceries</v>
      </c>
      <c r="L1125" t="str">
        <f>VLOOKUP(E1125,Stores!A:B,2,FALSE)</f>
        <v>MegaMart Jimenezborough</v>
      </c>
      <c r="M1125">
        <f>VLOOKUP(D1125,Products!A:E,5,FALSE)</f>
        <v>1227.24</v>
      </c>
      <c r="N1125" s="5">
        <f t="shared" si="17"/>
        <v>1043.154</v>
      </c>
    </row>
    <row r="1126" spans="1:14" x14ac:dyDescent="0.3">
      <c r="A1126" t="s">
        <v>1982</v>
      </c>
      <c r="B1126" s="2">
        <v>45735</v>
      </c>
      <c r="C1126" t="s">
        <v>339</v>
      </c>
      <c r="D1126" t="s">
        <v>790</v>
      </c>
      <c r="E1126" t="s">
        <v>842</v>
      </c>
      <c r="F1126">
        <v>4</v>
      </c>
      <c r="G1126">
        <v>0.05</v>
      </c>
      <c r="H1126" t="s">
        <v>855</v>
      </c>
      <c r="I1126" t="str">
        <f>VLOOKUP(C1126,Customers!A:C,2,FALSE)&amp;" "&amp;VLOOKUP(C1126,Customers!A:C,3,FALSE)</f>
        <v>Carrie Peterson</v>
      </c>
      <c r="J1126" t="str">
        <f>VLOOKUP(D1126,Products!A:C,2,FALSE)</f>
        <v>Difficult Vegetables</v>
      </c>
      <c r="K1126" t="str">
        <f>VLOOKUP(D1126,Products!A:C,3,FALSE)</f>
        <v>Groceries</v>
      </c>
      <c r="L1126" t="str">
        <f>VLOOKUP(E1126,Stores!A:B,2,FALSE)</f>
        <v>MegaMart Brianahaven</v>
      </c>
      <c r="M1126">
        <f>VLOOKUP(D1126,Products!A:E,5,FALSE)</f>
        <v>304.70999999999998</v>
      </c>
      <c r="N1126" s="5">
        <f t="shared" si="17"/>
        <v>1157.8979999999999</v>
      </c>
    </row>
    <row r="1127" spans="1:14" x14ac:dyDescent="0.3">
      <c r="A1127" t="s">
        <v>1983</v>
      </c>
      <c r="B1127" s="2">
        <v>45717</v>
      </c>
      <c r="C1127" t="s">
        <v>693</v>
      </c>
      <c r="D1127" t="s">
        <v>796</v>
      </c>
      <c r="E1127" t="s">
        <v>839</v>
      </c>
      <c r="F1127">
        <v>5</v>
      </c>
      <c r="G1127">
        <v>0.05</v>
      </c>
      <c r="H1127" t="s">
        <v>865</v>
      </c>
      <c r="I1127" t="str">
        <f>VLOOKUP(C1127,Customers!A:C,2,FALSE)&amp;" "&amp;VLOOKUP(C1127,Customers!A:C,3,FALSE)</f>
        <v>Matthew Dixon</v>
      </c>
      <c r="J1127" t="str">
        <f>VLOOKUP(D1127,Products!A:C,2,FALSE)</f>
        <v>Chair Laptop</v>
      </c>
      <c r="K1127" t="str">
        <f>VLOOKUP(D1127,Products!A:C,3,FALSE)</f>
        <v>Electronics</v>
      </c>
      <c r="L1127" t="str">
        <f>VLOOKUP(E1127,Stores!A:B,2,FALSE)</f>
        <v>MegaMart New Michele</v>
      </c>
      <c r="M1127">
        <f>VLOOKUP(D1127,Products!A:E,5,FALSE)</f>
        <v>1562.43</v>
      </c>
      <c r="N1127" s="5">
        <f t="shared" si="17"/>
        <v>7421.5425000000005</v>
      </c>
    </row>
    <row r="1128" spans="1:14" x14ac:dyDescent="0.3">
      <c r="A1128" t="s">
        <v>1984</v>
      </c>
      <c r="B1128" s="2">
        <v>45835</v>
      </c>
      <c r="C1128" t="s">
        <v>390</v>
      </c>
      <c r="D1128" t="s">
        <v>778</v>
      </c>
      <c r="E1128" t="s">
        <v>831</v>
      </c>
      <c r="F1128">
        <v>3</v>
      </c>
      <c r="G1128">
        <v>0</v>
      </c>
      <c r="H1128" t="s">
        <v>855</v>
      </c>
      <c r="I1128" t="str">
        <f>VLOOKUP(C1128,Customers!A:C,2,FALSE)&amp;" "&amp;VLOOKUP(C1128,Customers!A:C,3,FALSE)</f>
        <v>Brenda Dean</v>
      </c>
      <c r="J1128" t="str">
        <f>VLOOKUP(D1128,Products!A:C,2,FALSE)</f>
        <v>Behavior Dairy</v>
      </c>
      <c r="K1128" t="str">
        <f>VLOOKUP(D1128,Products!A:C,3,FALSE)</f>
        <v>Groceries</v>
      </c>
      <c r="L1128" t="str">
        <f>VLOOKUP(E1128,Stores!A:B,2,FALSE)</f>
        <v>MegaMart Jimenezborough</v>
      </c>
      <c r="M1128">
        <f>VLOOKUP(D1128,Products!A:E,5,FALSE)</f>
        <v>1015.76</v>
      </c>
      <c r="N1128" s="5">
        <f t="shared" si="17"/>
        <v>3047.2799999999997</v>
      </c>
    </row>
    <row r="1129" spans="1:14" x14ac:dyDescent="0.3">
      <c r="A1129" t="s">
        <v>1985</v>
      </c>
      <c r="B1129" s="2">
        <v>45251</v>
      </c>
      <c r="C1129" t="s">
        <v>500</v>
      </c>
      <c r="D1129" t="s">
        <v>788</v>
      </c>
      <c r="E1129" t="s">
        <v>842</v>
      </c>
      <c r="F1129">
        <v>4</v>
      </c>
      <c r="G1129">
        <v>0.15</v>
      </c>
      <c r="H1129" t="s">
        <v>861</v>
      </c>
      <c r="I1129" t="str">
        <f>VLOOKUP(C1129,Customers!A:C,2,FALSE)&amp;" "&amp;VLOOKUP(C1129,Customers!A:C,3,FALSE)</f>
        <v>Gary Lopez</v>
      </c>
      <c r="J1129" t="str">
        <f>VLOOKUP(D1129,Products!A:C,2,FALSE)</f>
        <v>Foot Snacks</v>
      </c>
      <c r="K1129" t="str">
        <f>VLOOKUP(D1129,Products!A:C,3,FALSE)</f>
        <v>Groceries</v>
      </c>
      <c r="L1129" t="str">
        <f>VLOOKUP(E1129,Stores!A:B,2,FALSE)</f>
        <v>MegaMart Brianahaven</v>
      </c>
      <c r="M1129">
        <f>VLOOKUP(D1129,Products!A:E,5,FALSE)</f>
        <v>1095.72</v>
      </c>
      <c r="N1129" s="5">
        <f t="shared" si="17"/>
        <v>3725.4479999999999</v>
      </c>
    </row>
    <row r="1130" spans="1:14" x14ac:dyDescent="0.3">
      <c r="A1130" t="s">
        <v>1986</v>
      </c>
      <c r="B1130" s="2">
        <v>45320</v>
      </c>
      <c r="C1130" t="s">
        <v>570</v>
      </c>
      <c r="D1130" t="s">
        <v>798</v>
      </c>
      <c r="E1130" t="s">
        <v>835</v>
      </c>
      <c r="F1130">
        <v>5</v>
      </c>
      <c r="G1130">
        <v>0.05</v>
      </c>
      <c r="H1130" t="s">
        <v>858</v>
      </c>
      <c r="I1130" t="str">
        <f>VLOOKUP(C1130,Customers!A:C,2,FALSE)&amp;" "&amp;VLOOKUP(C1130,Customers!A:C,3,FALSE)</f>
        <v>Thomas Chung</v>
      </c>
      <c r="J1130" t="str">
        <f>VLOOKUP(D1130,Products!A:C,2,FALSE)</f>
        <v>New Watches</v>
      </c>
      <c r="K1130" t="str">
        <f>VLOOKUP(D1130,Products!A:C,3,FALSE)</f>
        <v>Fashion</v>
      </c>
      <c r="L1130" t="str">
        <f>VLOOKUP(E1130,Stores!A:B,2,FALSE)</f>
        <v>MegaMart Peckmouth</v>
      </c>
      <c r="M1130">
        <f>VLOOKUP(D1130,Products!A:E,5,FALSE)</f>
        <v>1501.46</v>
      </c>
      <c r="N1130" s="5">
        <f t="shared" si="17"/>
        <v>7131.9349999999995</v>
      </c>
    </row>
    <row r="1131" spans="1:14" x14ac:dyDescent="0.3">
      <c r="A1131" t="s">
        <v>1987</v>
      </c>
      <c r="B1131" s="2">
        <v>45348</v>
      </c>
      <c r="C1131" t="s">
        <v>372</v>
      </c>
      <c r="D1131" t="s">
        <v>745</v>
      </c>
      <c r="E1131" t="s">
        <v>831</v>
      </c>
      <c r="F1131">
        <v>3</v>
      </c>
      <c r="G1131">
        <v>0.05</v>
      </c>
      <c r="H1131" t="s">
        <v>858</v>
      </c>
      <c r="I1131" t="str">
        <f>VLOOKUP(C1131,Customers!A:C,2,FALSE)&amp;" "&amp;VLOOKUP(C1131,Customers!A:C,3,FALSE)</f>
        <v>Kimberly Jones</v>
      </c>
      <c r="J1131" t="str">
        <f>VLOOKUP(D1131,Products!A:C,2,FALSE)</f>
        <v>Above Camera</v>
      </c>
      <c r="K1131" t="str">
        <f>VLOOKUP(D1131,Products!A:C,3,FALSE)</f>
        <v>Electronics</v>
      </c>
      <c r="L1131" t="str">
        <f>VLOOKUP(E1131,Stores!A:B,2,FALSE)</f>
        <v>MegaMart Jimenezborough</v>
      </c>
      <c r="M1131">
        <f>VLOOKUP(D1131,Products!A:E,5,FALSE)</f>
        <v>1193.0899999999999</v>
      </c>
      <c r="N1131" s="5">
        <f t="shared" si="17"/>
        <v>3400.3064999999992</v>
      </c>
    </row>
    <row r="1132" spans="1:14" x14ac:dyDescent="0.3">
      <c r="A1132" t="s">
        <v>1988</v>
      </c>
      <c r="B1132" s="2">
        <v>45273</v>
      </c>
      <c r="C1132" t="s">
        <v>419</v>
      </c>
      <c r="D1132" t="s">
        <v>728</v>
      </c>
      <c r="E1132" t="s">
        <v>846</v>
      </c>
      <c r="F1132">
        <v>3</v>
      </c>
      <c r="G1132">
        <v>0.05</v>
      </c>
      <c r="H1132" t="s">
        <v>861</v>
      </c>
      <c r="I1132" t="str">
        <f>VLOOKUP(C1132,Customers!A:C,2,FALSE)&amp;" "&amp;VLOOKUP(C1132,Customers!A:C,3,FALSE)</f>
        <v>Jeffrey Smith</v>
      </c>
      <c r="J1132" t="str">
        <f>VLOOKUP(D1132,Products!A:C,2,FALSE)</f>
        <v>Company Fruits</v>
      </c>
      <c r="K1132" t="str">
        <f>VLOOKUP(D1132,Products!A:C,3,FALSE)</f>
        <v>Groceries</v>
      </c>
      <c r="L1132" t="str">
        <f>VLOOKUP(E1132,Stores!A:B,2,FALSE)</f>
        <v>MegaMart Johnmouth</v>
      </c>
      <c r="M1132">
        <f>VLOOKUP(D1132,Products!A:E,5,FALSE)</f>
        <v>318.05</v>
      </c>
      <c r="N1132" s="5">
        <f t="shared" si="17"/>
        <v>906.4425</v>
      </c>
    </row>
    <row r="1133" spans="1:14" x14ac:dyDescent="0.3">
      <c r="A1133" t="s">
        <v>1989</v>
      </c>
      <c r="B1133" s="2">
        <v>45201</v>
      </c>
      <c r="C1133" t="s">
        <v>604</v>
      </c>
      <c r="D1133" t="s">
        <v>774</v>
      </c>
      <c r="E1133" t="s">
        <v>831</v>
      </c>
      <c r="F1133">
        <v>5</v>
      </c>
      <c r="G1133">
        <v>0.15</v>
      </c>
      <c r="H1133" t="s">
        <v>865</v>
      </c>
      <c r="I1133" t="str">
        <f>VLOOKUP(C1133,Customers!A:C,2,FALSE)&amp;" "&amp;VLOOKUP(C1133,Customers!A:C,3,FALSE)</f>
        <v>Amber Graham</v>
      </c>
      <c r="J1133" t="str">
        <f>VLOOKUP(D1133,Products!A:C,2,FALSE)</f>
        <v>Him Smartphone</v>
      </c>
      <c r="K1133" t="str">
        <f>VLOOKUP(D1133,Products!A:C,3,FALSE)</f>
        <v>Electronics</v>
      </c>
      <c r="L1133" t="str">
        <f>VLOOKUP(E1133,Stores!A:B,2,FALSE)</f>
        <v>MegaMart Jimenezborough</v>
      </c>
      <c r="M1133">
        <f>VLOOKUP(D1133,Products!A:E,5,FALSE)</f>
        <v>1487.41</v>
      </c>
      <c r="N1133" s="5">
        <f t="shared" si="17"/>
        <v>6321.4925000000003</v>
      </c>
    </row>
    <row r="1134" spans="1:14" x14ac:dyDescent="0.3">
      <c r="A1134" t="s">
        <v>1990</v>
      </c>
      <c r="B1134" s="2">
        <v>45556</v>
      </c>
      <c r="C1134" t="s">
        <v>549</v>
      </c>
      <c r="D1134" t="s">
        <v>747</v>
      </c>
      <c r="E1134" t="s">
        <v>846</v>
      </c>
      <c r="F1134">
        <v>4</v>
      </c>
      <c r="G1134">
        <v>0.1</v>
      </c>
      <c r="H1134" t="s">
        <v>865</v>
      </c>
      <c r="I1134" t="str">
        <f>VLOOKUP(C1134,Customers!A:C,2,FALSE)&amp;" "&amp;VLOOKUP(C1134,Customers!A:C,3,FALSE)</f>
        <v>Brittany Green</v>
      </c>
      <c r="J1134" t="str">
        <f>VLOOKUP(D1134,Products!A:C,2,FALSE)</f>
        <v>World Watches</v>
      </c>
      <c r="K1134" t="str">
        <f>VLOOKUP(D1134,Products!A:C,3,FALSE)</f>
        <v>Fashion</v>
      </c>
      <c r="L1134" t="str">
        <f>VLOOKUP(E1134,Stores!A:B,2,FALSE)</f>
        <v>MegaMart Johnmouth</v>
      </c>
      <c r="M1134">
        <f>VLOOKUP(D1134,Products!A:E,5,FALSE)</f>
        <v>1134.8</v>
      </c>
      <c r="N1134" s="5">
        <f t="shared" si="17"/>
        <v>4085.2799999999997</v>
      </c>
    </row>
    <row r="1135" spans="1:14" x14ac:dyDescent="0.3">
      <c r="A1135" t="s">
        <v>1991</v>
      </c>
      <c r="B1135" s="2">
        <v>45671</v>
      </c>
      <c r="C1135" t="s">
        <v>426</v>
      </c>
      <c r="D1135" t="s">
        <v>757</v>
      </c>
      <c r="E1135" t="s">
        <v>835</v>
      </c>
      <c r="F1135">
        <v>3</v>
      </c>
      <c r="G1135">
        <v>0.15</v>
      </c>
      <c r="H1135" t="s">
        <v>865</v>
      </c>
      <c r="I1135" t="str">
        <f>VLOOKUP(C1135,Customers!A:C,2,FALSE)&amp;" "&amp;VLOOKUP(C1135,Customers!A:C,3,FALSE)</f>
        <v>Miranda Rodriguez</v>
      </c>
      <c r="J1135" t="str">
        <f>VLOOKUP(D1135,Products!A:C,2,FALSE)</f>
        <v>Find Headphones</v>
      </c>
      <c r="K1135" t="str">
        <f>VLOOKUP(D1135,Products!A:C,3,FALSE)</f>
        <v>Electronics</v>
      </c>
      <c r="L1135" t="str">
        <f>VLOOKUP(E1135,Stores!A:B,2,FALSE)</f>
        <v>MegaMart Peckmouth</v>
      </c>
      <c r="M1135">
        <f>VLOOKUP(D1135,Products!A:E,5,FALSE)</f>
        <v>1246.1099999999999</v>
      </c>
      <c r="N1135" s="5">
        <f t="shared" si="17"/>
        <v>3177.5805</v>
      </c>
    </row>
    <row r="1136" spans="1:14" x14ac:dyDescent="0.3">
      <c r="A1136" t="s">
        <v>1992</v>
      </c>
      <c r="B1136" s="2">
        <v>45663</v>
      </c>
      <c r="C1136" t="s">
        <v>554</v>
      </c>
      <c r="D1136" t="s">
        <v>772</v>
      </c>
      <c r="E1136" t="s">
        <v>831</v>
      </c>
      <c r="F1136">
        <v>5</v>
      </c>
      <c r="G1136">
        <v>0.15</v>
      </c>
      <c r="H1136" t="s">
        <v>855</v>
      </c>
      <c r="I1136" t="str">
        <f>VLOOKUP(C1136,Customers!A:C,2,FALSE)&amp;" "&amp;VLOOKUP(C1136,Customers!A:C,3,FALSE)</f>
        <v>Lisa Martinez</v>
      </c>
      <c r="J1136" t="str">
        <f>VLOOKUP(D1136,Products!A:C,2,FALSE)</f>
        <v>And Footwear</v>
      </c>
      <c r="K1136" t="str">
        <f>VLOOKUP(D1136,Products!A:C,3,FALSE)</f>
        <v>Fashion</v>
      </c>
      <c r="L1136" t="str">
        <f>VLOOKUP(E1136,Stores!A:B,2,FALSE)</f>
        <v>MegaMart Jimenezborough</v>
      </c>
      <c r="M1136">
        <f>VLOOKUP(D1136,Products!A:E,5,FALSE)</f>
        <v>1878.47</v>
      </c>
      <c r="N1136" s="5">
        <f t="shared" si="17"/>
        <v>7983.4975000000004</v>
      </c>
    </row>
    <row r="1137" spans="1:14" x14ac:dyDescent="0.3">
      <c r="A1137" t="s">
        <v>1993</v>
      </c>
      <c r="B1137" s="2">
        <v>45729</v>
      </c>
      <c r="C1137" t="s">
        <v>467</v>
      </c>
      <c r="D1137" t="s">
        <v>800</v>
      </c>
      <c r="E1137" t="s">
        <v>831</v>
      </c>
      <c r="F1137">
        <v>1</v>
      </c>
      <c r="G1137">
        <v>0.05</v>
      </c>
      <c r="H1137" t="s">
        <v>861</v>
      </c>
      <c r="I1137" t="str">
        <f>VLOOKUP(C1137,Customers!A:C,2,FALSE)&amp;" "&amp;VLOOKUP(C1137,Customers!A:C,3,FALSE)</f>
        <v>John Allen</v>
      </c>
      <c r="J1137" t="str">
        <f>VLOOKUP(D1137,Products!A:C,2,FALSE)</f>
        <v>Book Television</v>
      </c>
      <c r="K1137" t="str">
        <f>VLOOKUP(D1137,Products!A:C,3,FALSE)</f>
        <v>Electronics</v>
      </c>
      <c r="L1137" t="str">
        <f>VLOOKUP(E1137,Stores!A:B,2,FALSE)</f>
        <v>MegaMart Jimenezborough</v>
      </c>
      <c r="M1137">
        <f>VLOOKUP(D1137,Products!A:E,5,FALSE)</f>
        <v>1952.65</v>
      </c>
      <c r="N1137" s="5">
        <f t="shared" si="17"/>
        <v>1855.0174999999999</v>
      </c>
    </row>
    <row r="1138" spans="1:14" x14ac:dyDescent="0.3">
      <c r="A1138" t="s">
        <v>1994</v>
      </c>
      <c r="B1138" s="2">
        <v>45882</v>
      </c>
      <c r="C1138" t="s">
        <v>539</v>
      </c>
      <c r="D1138" t="s">
        <v>794</v>
      </c>
      <c r="E1138" t="s">
        <v>831</v>
      </c>
      <c r="F1138">
        <v>2</v>
      </c>
      <c r="G1138">
        <v>0.05</v>
      </c>
      <c r="H1138" t="s">
        <v>858</v>
      </c>
      <c r="I1138" t="str">
        <f>VLOOKUP(C1138,Customers!A:C,2,FALSE)&amp;" "&amp;VLOOKUP(C1138,Customers!A:C,3,FALSE)</f>
        <v>Melissa Torres</v>
      </c>
      <c r="J1138" t="str">
        <f>VLOOKUP(D1138,Products!A:C,2,FALSE)</f>
        <v>Everything Laptop</v>
      </c>
      <c r="K1138" t="str">
        <f>VLOOKUP(D1138,Products!A:C,3,FALSE)</f>
        <v>Electronics</v>
      </c>
      <c r="L1138" t="str">
        <f>VLOOKUP(E1138,Stores!A:B,2,FALSE)</f>
        <v>MegaMart Jimenezborough</v>
      </c>
      <c r="M1138">
        <f>VLOOKUP(D1138,Products!A:E,5,FALSE)</f>
        <v>428.05</v>
      </c>
      <c r="N1138" s="5">
        <f t="shared" si="17"/>
        <v>813.29499999999996</v>
      </c>
    </row>
    <row r="1139" spans="1:14" x14ac:dyDescent="0.3">
      <c r="A1139" t="s">
        <v>1995</v>
      </c>
      <c r="B1139" s="2">
        <v>45485</v>
      </c>
      <c r="C1139" t="s">
        <v>500</v>
      </c>
      <c r="D1139" t="s">
        <v>810</v>
      </c>
      <c r="E1139" t="s">
        <v>839</v>
      </c>
      <c r="F1139">
        <v>4</v>
      </c>
      <c r="G1139">
        <v>0.15</v>
      </c>
      <c r="H1139" t="s">
        <v>861</v>
      </c>
      <c r="I1139" t="str">
        <f>VLOOKUP(C1139,Customers!A:C,2,FALSE)&amp;" "&amp;VLOOKUP(C1139,Customers!A:C,3,FALSE)</f>
        <v>Gary Lopez</v>
      </c>
      <c r="J1139" t="str">
        <f>VLOOKUP(D1139,Products!A:C,2,FALSE)</f>
        <v>Maybe Clothing</v>
      </c>
      <c r="K1139" t="str">
        <f>VLOOKUP(D1139,Products!A:C,3,FALSE)</f>
        <v>Fashion</v>
      </c>
      <c r="L1139" t="str">
        <f>VLOOKUP(E1139,Stores!A:B,2,FALSE)</f>
        <v>MegaMart New Michele</v>
      </c>
      <c r="M1139">
        <f>VLOOKUP(D1139,Products!A:E,5,FALSE)</f>
        <v>453.62</v>
      </c>
      <c r="N1139" s="5">
        <f t="shared" si="17"/>
        <v>1542.308</v>
      </c>
    </row>
    <row r="1140" spans="1:14" x14ac:dyDescent="0.3">
      <c r="A1140" t="s">
        <v>1996</v>
      </c>
      <c r="B1140" s="2">
        <v>45793</v>
      </c>
      <c r="C1140" t="s">
        <v>206</v>
      </c>
      <c r="D1140" t="s">
        <v>820</v>
      </c>
      <c r="E1140" t="s">
        <v>839</v>
      </c>
      <c r="F1140">
        <v>3</v>
      </c>
      <c r="G1140">
        <v>0.1</v>
      </c>
      <c r="H1140" t="s">
        <v>858</v>
      </c>
      <c r="I1140" t="str">
        <f>VLOOKUP(C1140,Customers!A:C,2,FALSE)&amp;" "&amp;VLOOKUP(C1140,Customers!A:C,3,FALSE)</f>
        <v>Felicia Morgan</v>
      </c>
      <c r="J1140" t="str">
        <f>VLOOKUP(D1140,Products!A:C,2,FALSE)</f>
        <v>Or Smartphone</v>
      </c>
      <c r="K1140" t="str">
        <f>VLOOKUP(D1140,Products!A:C,3,FALSE)</f>
        <v>Electronics</v>
      </c>
      <c r="L1140" t="str">
        <f>VLOOKUP(E1140,Stores!A:B,2,FALSE)</f>
        <v>MegaMart New Michele</v>
      </c>
      <c r="M1140">
        <f>VLOOKUP(D1140,Products!A:E,5,FALSE)</f>
        <v>1197.18</v>
      </c>
      <c r="N1140" s="5">
        <f t="shared" si="17"/>
        <v>3232.386</v>
      </c>
    </row>
    <row r="1141" spans="1:14" x14ac:dyDescent="0.3">
      <c r="A1141" t="s">
        <v>1997</v>
      </c>
      <c r="B1141" s="2">
        <v>45883</v>
      </c>
      <c r="C1141" t="s">
        <v>650</v>
      </c>
      <c r="D1141" t="s">
        <v>757</v>
      </c>
      <c r="E1141" t="s">
        <v>839</v>
      </c>
      <c r="F1141">
        <v>1</v>
      </c>
      <c r="G1141">
        <v>0</v>
      </c>
      <c r="H1141" t="s">
        <v>858</v>
      </c>
      <c r="I1141" t="str">
        <f>VLOOKUP(C1141,Customers!A:C,2,FALSE)&amp;" "&amp;VLOOKUP(C1141,Customers!A:C,3,FALSE)</f>
        <v>Daniel Mcintyre</v>
      </c>
      <c r="J1141" t="str">
        <f>VLOOKUP(D1141,Products!A:C,2,FALSE)</f>
        <v>Find Headphones</v>
      </c>
      <c r="K1141" t="str">
        <f>VLOOKUP(D1141,Products!A:C,3,FALSE)</f>
        <v>Electronics</v>
      </c>
      <c r="L1141" t="str">
        <f>VLOOKUP(E1141,Stores!A:B,2,FALSE)</f>
        <v>MegaMart New Michele</v>
      </c>
      <c r="M1141">
        <f>VLOOKUP(D1141,Products!A:E,5,FALSE)</f>
        <v>1246.1099999999999</v>
      </c>
      <c r="N1141" s="5">
        <f t="shared" si="17"/>
        <v>1246.1099999999999</v>
      </c>
    </row>
    <row r="1142" spans="1:14" x14ac:dyDescent="0.3">
      <c r="A1142" t="s">
        <v>1998</v>
      </c>
      <c r="B1142" s="2">
        <v>45701</v>
      </c>
      <c r="C1142" t="s">
        <v>130</v>
      </c>
      <c r="D1142" t="s">
        <v>761</v>
      </c>
      <c r="E1142" t="s">
        <v>839</v>
      </c>
      <c r="F1142">
        <v>1</v>
      </c>
      <c r="G1142">
        <v>0.1</v>
      </c>
      <c r="H1142" t="s">
        <v>865</v>
      </c>
      <c r="I1142" t="str">
        <f>VLOOKUP(C1142,Customers!A:C,2,FALSE)&amp;" "&amp;VLOOKUP(C1142,Customers!A:C,3,FALSE)</f>
        <v>Jenny Beck</v>
      </c>
      <c r="J1142" t="str">
        <f>VLOOKUP(D1142,Products!A:C,2,FALSE)</f>
        <v>Traditional Laptop</v>
      </c>
      <c r="K1142" t="str">
        <f>VLOOKUP(D1142,Products!A:C,3,FALSE)</f>
        <v>Electronics</v>
      </c>
      <c r="L1142" t="str">
        <f>VLOOKUP(E1142,Stores!A:B,2,FALSE)</f>
        <v>MegaMart New Michele</v>
      </c>
      <c r="M1142">
        <f>VLOOKUP(D1142,Products!A:E,5,FALSE)</f>
        <v>1762.92</v>
      </c>
      <c r="N1142" s="5">
        <f t="shared" si="17"/>
        <v>1586.6280000000002</v>
      </c>
    </row>
    <row r="1143" spans="1:14" x14ac:dyDescent="0.3">
      <c r="A1143" t="s">
        <v>1999</v>
      </c>
      <c r="B1143" s="2">
        <v>45352</v>
      </c>
      <c r="C1143" t="s">
        <v>7</v>
      </c>
      <c r="D1143" t="s">
        <v>818</v>
      </c>
      <c r="E1143" t="s">
        <v>846</v>
      </c>
      <c r="F1143">
        <v>3</v>
      </c>
      <c r="G1143">
        <v>0</v>
      </c>
      <c r="H1143" t="s">
        <v>855</v>
      </c>
      <c r="I1143" t="str">
        <f>VLOOKUP(C1143,Customers!A:C,2,FALSE)&amp;" "&amp;VLOOKUP(C1143,Customers!A:C,3,FALSE)</f>
        <v>Michael Davis</v>
      </c>
      <c r="J1143" t="str">
        <f>VLOOKUP(D1143,Products!A:C,2,FALSE)</f>
        <v>Nature Clothing</v>
      </c>
      <c r="K1143" t="str">
        <f>VLOOKUP(D1143,Products!A:C,3,FALSE)</f>
        <v>Fashion</v>
      </c>
      <c r="L1143" t="str">
        <f>VLOOKUP(E1143,Stores!A:B,2,FALSE)</f>
        <v>MegaMart Johnmouth</v>
      </c>
      <c r="M1143">
        <f>VLOOKUP(D1143,Products!A:E,5,FALSE)</f>
        <v>1165.3699999999999</v>
      </c>
      <c r="N1143" s="5">
        <f t="shared" si="17"/>
        <v>3496.1099999999997</v>
      </c>
    </row>
    <row r="1144" spans="1:14" x14ac:dyDescent="0.3">
      <c r="A1144" t="s">
        <v>2000</v>
      </c>
      <c r="B1144" s="2">
        <v>45693</v>
      </c>
      <c r="C1144" t="s">
        <v>36</v>
      </c>
      <c r="D1144" t="s">
        <v>772</v>
      </c>
      <c r="E1144" t="s">
        <v>835</v>
      </c>
      <c r="F1144">
        <v>4</v>
      </c>
      <c r="G1144">
        <v>0.15</v>
      </c>
      <c r="H1144" t="s">
        <v>855</v>
      </c>
      <c r="I1144" t="str">
        <f>VLOOKUP(C1144,Customers!A:C,2,FALSE)&amp;" "&amp;VLOOKUP(C1144,Customers!A:C,3,FALSE)</f>
        <v>Isaiah Williams</v>
      </c>
      <c r="J1144" t="str">
        <f>VLOOKUP(D1144,Products!A:C,2,FALSE)</f>
        <v>And Footwear</v>
      </c>
      <c r="K1144" t="str">
        <f>VLOOKUP(D1144,Products!A:C,3,FALSE)</f>
        <v>Fashion</v>
      </c>
      <c r="L1144" t="str">
        <f>VLOOKUP(E1144,Stores!A:B,2,FALSE)</f>
        <v>MegaMart Peckmouth</v>
      </c>
      <c r="M1144">
        <f>VLOOKUP(D1144,Products!A:E,5,FALSE)</f>
        <v>1878.47</v>
      </c>
      <c r="N1144" s="5">
        <f t="shared" si="17"/>
        <v>6386.7979999999998</v>
      </c>
    </row>
    <row r="1145" spans="1:14" x14ac:dyDescent="0.3">
      <c r="A1145" t="s">
        <v>2001</v>
      </c>
      <c r="B1145" s="2">
        <v>45394</v>
      </c>
      <c r="C1145" t="s">
        <v>647</v>
      </c>
      <c r="D1145" t="s">
        <v>766</v>
      </c>
      <c r="E1145" t="s">
        <v>842</v>
      </c>
      <c r="F1145">
        <v>4</v>
      </c>
      <c r="G1145">
        <v>0.15</v>
      </c>
      <c r="H1145" t="s">
        <v>858</v>
      </c>
      <c r="I1145" t="str">
        <f>VLOOKUP(C1145,Customers!A:C,2,FALSE)&amp;" "&amp;VLOOKUP(C1145,Customers!A:C,3,FALSE)</f>
        <v>Mary Dawson</v>
      </c>
      <c r="J1145" t="str">
        <f>VLOOKUP(D1145,Products!A:C,2,FALSE)</f>
        <v>Firm Dairy</v>
      </c>
      <c r="K1145" t="str">
        <f>VLOOKUP(D1145,Products!A:C,3,FALSE)</f>
        <v>Groceries</v>
      </c>
      <c r="L1145" t="str">
        <f>VLOOKUP(E1145,Stores!A:B,2,FALSE)</f>
        <v>MegaMart Brianahaven</v>
      </c>
      <c r="M1145">
        <f>VLOOKUP(D1145,Products!A:E,5,FALSE)</f>
        <v>1227.24</v>
      </c>
      <c r="N1145" s="5">
        <f t="shared" si="17"/>
        <v>4172.616</v>
      </c>
    </row>
    <row r="1146" spans="1:14" x14ac:dyDescent="0.3">
      <c r="A1146" t="s">
        <v>2002</v>
      </c>
      <c r="B1146" s="2">
        <v>45870</v>
      </c>
      <c r="C1146" t="s">
        <v>509</v>
      </c>
      <c r="D1146" t="s">
        <v>764</v>
      </c>
      <c r="E1146" t="s">
        <v>835</v>
      </c>
      <c r="F1146">
        <v>2</v>
      </c>
      <c r="G1146">
        <v>0.15</v>
      </c>
      <c r="H1146" t="s">
        <v>861</v>
      </c>
      <c r="I1146" t="str">
        <f>VLOOKUP(C1146,Customers!A:C,2,FALSE)&amp;" "&amp;VLOOKUP(C1146,Customers!A:C,3,FALSE)</f>
        <v>Stacy Williams</v>
      </c>
      <c r="J1146" t="str">
        <f>VLOOKUP(D1146,Products!A:C,2,FALSE)</f>
        <v>Simple Accessories</v>
      </c>
      <c r="K1146" t="str">
        <f>VLOOKUP(D1146,Products!A:C,3,FALSE)</f>
        <v>Fashion</v>
      </c>
      <c r="L1146" t="str">
        <f>VLOOKUP(E1146,Stores!A:B,2,FALSE)</f>
        <v>MegaMart Peckmouth</v>
      </c>
      <c r="M1146">
        <f>VLOOKUP(D1146,Products!A:E,5,FALSE)</f>
        <v>323.92</v>
      </c>
      <c r="N1146" s="5">
        <f t="shared" si="17"/>
        <v>550.66399999999999</v>
      </c>
    </row>
    <row r="1147" spans="1:14" x14ac:dyDescent="0.3">
      <c r="A1147" t="s">
        <v>2003</v>
      </c>
      <c r="B1147" s="2">
        <v>45544</v>
      </c>
      <c r="C1147" t="s">
        <v>191</v>
      </c>
      <c r="D1147" t="s">
        <v>810</v>
      </c>
      <c r="E1147" t="s">
        <v>846</v>
      </c>
      <c r="F1147">
        <v>4</v>
      </c>
      <c r="G1147">
        <v>0.1</v>
      </c>
      <c r="H1147" t="s">
        <v>858</v>
      </c>
      <c r="I1147" t="str">
        <f>VLOOKUP(C1147,Customers!A:C,2,FALSE)&amp;" "&amp;VLOOKUP(C1147,Customers!A:C,3,FALSE)</f>
        <v>Antonio Hamilton</v>
      </c>
      <c r="J1147" t="str">
        <f>VLOOKUP(D1147,Products!A:C,2,FALSE)</f>
        <v>Maybe Clothing</v>
      </c>
      <c r="K1147" t="str">
        <f>VLOOKUP(D1147,Products!A:C,3,FALSE)</f>
        <v>Fashion</v>
      </c>
      <c r="L1147" t="str">
        <f>VLOOKUP(E1147,Stores!A:B,2,FALSE)</f>
        <v>MegaMart Johnmouth</v>
      </c>
      <c r="M1147">
        <f>VLOOKUP(D1147,Products!A:E,5,FALSE)</f>
        <v>453.62</v>
      </c>
      <c r="N1147" s="5">
        <f t="shared" si="17"/>
        <v>1633.0320000000002</v>
      </c>
    </row>
    <row r="1148" spans="1:14" x14ac:dyDescent="0.3">
      <c r="A1148" t="s">
        <v>2004</v>
      </c>
      <c r="B1148" s="2">
        <v>45262</v>
      </c>
      <c r="C1148" t="s">
        <v>155</v>
      </c>
      <c r="D1148" t="s">
        <v>808</v>
      </c>
      <c r="E1148" t="s">
        <v>839</v>
      </c>
      <c r="F1148">
        <v>2</v>
      </c>
      <c r="G1148">
        <v>0.05</v>
      </c>
      <c r="H1148" t="s">
        <v>865</v>
      </c>
      <c r="I1148" t="str">
        <f>VLOOKUP(C1148,Customers!A:C,2,FALSE)&amp;" "&amp;VLOOKUP(C1148,Customers!A:C,3,FALSE)</f>
        <v>Scott Powell</v>
      </c>
      <c r="J1148" t="str">
        <f>VLOOKUP(D1148,Products!A:C,2,FALSE)</f>
        <v>Present Television</v>
      </c>
      <c r="K1148" t="str">
        <f>VLOOKUP(D1148,Products!A:C,3,FALSE)</f>
        <v>Electronics</v>
      </c>
      <c r="L1148" t="str">
        <f>VLOOKUP(E1148,Stores!A:B,2,FALSE)</f>
        <v>MegaMart New Michele</v>
      </c>
      <c r="M1148">
        <f>VLOOKUP(D1148,Products!A:E,5,FALSE)</f>
        <v>1635.01</v>
      </c>
      <c r="N1148" s="5">
        <f t="shared" si="17"/>
        <v>3106.5189999999998</v>
      </c>
    </row>
    <row r="1149" spans="1:14" x14ac:dyDescent="0.3">
      <c r="A1149" t="s">
        <v>2005</v>
      </c>
      <c r="B1149" s="2">
        <v>45564</v>
      </c>
      <c r="C1149" t="s">
        <v>77</v>
      </c>
      <c r="D1149" t="s">
        <v>715</v>
      </c>
      <c r="E1149" t="s">
        <v>831</v>
      </c>
      <c r="F1149">
        <v>2</v>
      </c>
      <c r="G1149">
        <v>0.15</v>
      </c>
      <c r="H1149" t="s">
        <v>858</v>
      </c>
      <c r="I1149" t="str">
        <f>VLOOKUP(C1149,Customers!A:C,2,FALSE)&amp;" "&amp;VLOOKUP(C1149,Customers!A:C,3,FALSE)</f>
        <v>John Smith</v>
      </c>
      <c r="J1149" t="str">
        <f>VLOOKUP(D1149,Products!A:C,2,FALSE)</f>
        <v>Audience Television</v>
      </c>
      <c r="K1149" t="str">
        <f>VLOOKUP(D1149,Products!A:C,3,FALSE)</f>
        <v>Electronics</v>
      </c>
      <c r="L1149" t="str">
        <f>VLOOKUP(E1149,Stores!A:B,2,FALSE)</f>
        <v>MegaMart Jimenezborough</v>
      </c>
      <c r="M1149">
        <f>VLOOKUP(D1149,Products!A:E,5,FALSE)</f>
        <v>818.76</v>
      </c>
      <c r="N1149" s="5">
        <f t="shared" si="17"/>
        <v>1391.8920000000001</v>
      </c>
    </row>
    <row r="1150" spans="1:14" x14ac:dyDescent="0.3">
      <c r="A1150" t="s">
        <v>2006</v>
      </c>
      <c r="B1150" s="2">
        <v>45858</v>
      </c>
      <c r="C1150" t="s">
        <v>137</v>
      </c>
      <c r="D1150" t="s">
        <v>794</v>
      </c>
      <c r="E1150" t="s">
        <v>831</v>
      </c>
      <c r="F1150">
        <v>2</v>
      </c>
      <c r="G1150">
        <v>0.15</v>
      </c>
      <c r="H1150" t="s">
        <v>858</v>
      </c>
      <c r="I1150" t="str">
        <f>VLOOKUP(C1150,Customers!A:C,2,FALSE)&amp;" "&amp;VLOOKUP(C1150,Customers!A:C,3,FALSE)</f>
        <v>Kimberly King</v>
      </c>
      <c r="J1150" t="str">
        <f>VLOOKUP(D1150,Products!A:C,2,FALSE)</f>
        <v>Everything Laptop</v>
      </c>
      <c r="K1150" t="str">
        <f>VLOOKUP(D1150,Products!A:C,3,FALSE)</f>
        <v>Electronics</v>
      </c>
      <c r="L1150" t="str">
        <f>VLOOKUP(E1150,Stores!A:B,2,FALSE)</f>
        <v>MegaMart Jimenezborough</v>
      </c>
      <c r="M1150">
        <f>VLOOKUP(D1150,Products!A:E,5,FALSE)</f>
        <v>428.05</v>
      </c>
      <c r="N1150" s="5">
        <f t="shared" si="17"/>
        <v>727.68499999999995</v>
      </c>
    </row>
    <row r="1151" spans="1:14" x14ac:dyDescent="0.3">
      <c r="A1151" t="s">
        <v>2007</v>
      </c>
      <c r="B1151" s="2">
        <v>45402</v>
      </c>
      <c r="C1151" t="s">
        <v>633</v>
      </c>
      <c r="D1151" t="s">
        <v>784</v>
      </c>
      <c r="E1151" t="s">
        <v>846</v>
      </c>
      <c r="F1151">
        <v>4</v>
      </c>
      <c r="G1151">
        <v>0.05</v>
      </c>
      <c r="H1151" t="s">
        <v>858</v>
      </c>
      <c r="I1151" t="str">
        <f>VLOOKUP(C1151,Customers!A:C,2,FALSE)&amp;" "&amp;VLOOKUP(C1151,Customers!A:C,3,FALSE)</f>
        <v>Dennis Wallace</v>
      </c>
      <c r="J1151" t="str">
        <f>VLOOKUP(D1151,Products!A:C,2,FALSE)</f>
        <v>Road Clothing</v>
      </c>
      <c r="K1151" t="str">
        <f>VLOOKUP(D1151,Products!A:C,3,FALSE)</f>
        <v>Fashion</v>
      </c>
      <c r="L1151" t="str">
        <f>VLOOKUP(E1151,Stores!A:B,2,FALSE)</f>
        <v>MegaMart Johnmouth</v>
      </c>
      <c r="M1151">
        <f>VLOOKUP(D1151,Products!A:E,5,FALSE)</f>
        <v>1485.05</v>
      </c>
      <c r="N1151" s="5">
        <f t="shared" si="17"/>
        <v>5643.19</v>
      </c>
    </row>
    <row r="1152" spans="1:14" x14ac:dyDescent="0.3">
      <c r="A1152" t="s">
        <v>2008</v>
      </c>
      <c r="B1152" s="2">
        <v>45597</v>
      </c>
      <c r="C1152" t="s">
        <v>480</v>
      </c>
      <c r="D1152" t="s">
        <v>784</v>
      </c>
      <c r="E1152" t="s">
        <v>842</v>
      </c>
      <c r="F1152">
        <v>5</v>
      </c>
      <c r="G1152">
        <v>0.15</v>
      </c>
      <c r="H1152" t="s">
        <v>858</v>
      </c>
      <c r="I1152" t="str">
        <f>VLOOKUP(C1152,Customers!A:C,2,FALSE)&amp;" "&amp;VLOOKUP(C1152,Customers!A:C,3,FALSE)</f>
        <v>Denise Jackson</v>
      </c>
      <c r="J1152" t="str">
        <f>VLOOKUP(D1152,Products!A:C,2,FALSE)</f>
        <v>Road Clothing</v>
      </c>
      <c r="K1152" t="str">
        <f>VLOOKUP(D1152,Products!A:C,3,FALSE)</f>
        <v>Fashion</v>
      </c>
      <c r="L1152" t="str">
        <f>VLOOKUP(E1152,Stores!A:B,2,FALSE)</f>
        <v>MegaMart Brianahaven</v>
      </c>
      <c r="M1152">
        <f>VLOOKUP(D1152,Products!A:E,5,FALSE)</f>
        <v>1485.05</v>
      </c>
      <c r="N1152" s="5">
        <f t="shared" si="17"/>
        <v>6311.4624999999996</v>
      </c>
    </row>
    <row r="1153" spans="1:14" x14ac:dyDescent="0.3">
      <c r="A1153" t="s">
        <v>2009</v>
      </c>
      <c r="B1153" s="2">
        <v>45323</v>
      </c>
      <c r="C1153" t="s">
        <v>343</v>
      </c>
      <c r="D1153" t="s">
        <v>736</v>
      </c>
      <c r="E1153" t="s">
        <v>835</v>
      </c>
      <c r="F1153">
        <v>2</v>
      </c>
      <c r="G1153">
        <v>0.15</v>
      </c>
      <c r="H1153" t="s">
        <v>865</v>
      </c>
      <c r="I1153" t="str">
        <f>VLOOKUP(C1153,Customers!A:C,2,FALSE)&amp;" "&amp;VLOOKUP(C1153,Customers!A:C,3,FALSE)</f>
        <v>Brian Fowler</v>
      </c>
      <c r="J1153" t="str">
        <f>VLOOKUP(D1153,Products!A:C,2,FALSE)</f>
        <v>Us Snacks</v>
      </c>
      <c r="K1153" t="str">
        <f>VLOOKUP(D1153,Products!A:C,3,FALSE)</f>
        <v>Groceries</v>
      </c>
      <c r="L1153" t="str">
        <f>VLOOKUP(E1153,Stores!A:B,2,FALSE)</f>
        <v>MegaMart Peckmouth</v>
      </c>
      <c r="M1153">
        <f>VLOOKUP(D1153,Products!A:E,5,FALSE)</f>
        <v>123.19</v>
      </c>
      <c r="N1153" s="5">
        <f t="shared" si="17"/>
        <v>209.423</v>
      </c>
    </row>
    <row r="1154" spans="1:14" x14ac:dyDescent="0.3">
      <c r="A1154" t="s">
        <v>2010</v>
      </c>
      <c r="B1154" s="2">
        <v>45283</v>
      </c>
      <c r="C1154" t="s">
        <v>536</v>
      </c>
      <c r="D1154" t="s">
        <v>818</v>
      </c>
      <c r="E1154" t="s">
        <v>842</v>
      </c>
      <c r="F1154">
        <v>2</v>
      </c>
      <c r="G1154">
        <v>0.1</v>
      </c>
      <c r="H1154" t="s">
        <v>858</v>
      </c>
      <c r="I1154" t="str">
        <f>VLOOKUP(C1154,Customers!A:C,2,FALSE)&amp;" "&amp;VLOOKUP(C1154,Customers!A:C,3,FALSE)</f>
        <v>John Foster</v>
      </c>
      <c r="J1154" t="str">
        <f>VLOOKUP(D1154,Products!A:C,2,FALSE)</f>
        <v>Nature Clothing</v>
      </c>
      <c r="K1154" t="str">
        <f>VLOOKUP(D1154,Products!A:C,3,FALSE)</f>
        <v>Fashion</v>
      </c>
      <c r="L1154" t="str">
        <f>VLOOKUP(E1154,Stores!A:B,2,FALSE)</f>
        <v>MegaMart Brianahaven</v>
      </c>
      <c r="M1154">
        <f>VLOOKUP(D1154,Products!A:E,5,FALSE)</f>
        <v>1165.3699999999999</v>
      </c>
      <c r="N1154" s="5">
        <f t="shared" si="17"/>
        <v>2097.6659999999997</v>
      </c>
    </row>
    <row r="1155" spans="1:14" x14ac:dyDescent="0.3">
      <c r="A1155" t="s">
        <v>2011</v>
      </c>
      <c r="B1155" s="2">
        <v>45651</v>
      </c>
      <c r="C1155" t="s">
        <v>509</v>
      </c>
      <c r="D1155" t="s">
        <v>788</v>
      </c>
      <c r="E1155" t="s">
        <v>846</v>
      </c>
      <c r="F1155">
        <v>3</v>
      </c>
      <c r="G1155">
        <v>0</v>
      </c>
      <c r="H1155" t="s">
        <v>865</v>
      </c>
      <c r="I1155" t="str">
        <f>VLOOKUP(C1155,Customers!A:C,2,FALSE)&amp;" "&amp;VLOOKUP(C1155,Customers!A:C,3,FALSE)</f>
        <v>Stacy Williams</v>
      </c>
      <c r="J1155" t="str">
        <f>VLOOKUP(D1155,Products!A:C,2,FALSE)</f>
        <v>Foot Snacks</v>
      </c>
      <c r="K1155" t="str">
        <f>VLOOKUP(D1155,Products!A:C,3,FALSE)</f>
        <v>Groceries</v>
      </c>
      <c r="L1155" t="str">
        <f>VLOOKUP(E1155,Stores!A:B,2,FALSE)</f>
        <v>MegaMart Johnmouth</v>
      </c>
      <c r="M1155">
        <f>VLOOKUP(D1155,Products!A:E,5,FALSE)</f>
        <v>1095.72</v>
      </c>
      <c r="N1155" s="5">
        <f t="shared" ref="N1155:N1218" si="18">F1155*M1155*(1-G1155)</f>
        <v>3287.16</v>
      </c>
    </row>
    <row r="1156" spans="1:14" x14ac:dyDescent="0.3">
      <c r="A1156" t="s">
        <v>2012</v>
      </c>
      <c r="B1156" s="2">
        <v>45792</v>
      </c>
      <c r="C1156" t="s">
        <v>531</v>
      </c>
      <c r="D1156" t="s">
        <v>816</v>
      </c>
      <c r="E1156" t="s">
        <v>842</v>
      </c>
      <c r="F1156">
        <v>3</v>
      </c>
      <c r="G1156">
        <v>0</v>
      </c>
      <c r="H1156" t="s">
        <v>858</v>
      </c>
      <c r="I1156" t="str">
        <f>VLOOKUP(C1156,Customers!A:C,2,FALSE)&amp;" "&amp;VLOOKUP(C1156,Customers!A:C,3,FALSE)</f>
        <v>John Johnson</v>
      </c>
      <c r="J1156" t="str">
        <f>VLOOKUP(D1156,Products!A:C,2,FALSE)</f>
        <v>Set Dairy</v>
      </c>
      <c r="K1156" t="str">
        <f>VLOOKUP(D1156,Products!A:C,3,FALSE)</f>
        <v>Groceries</v>
      </c>
      <c r="L1156" t="str">
        <f>VLOOKUP(E1156,Stores!A:B,2,FALSE)</f>
        <v>MegaMart Brianahaven</v>
      </c>
      <c r="M1156">
        <f>VLOOKUP(D1156,Products!A:E,5,FALSE)</f>
        <v>1879.08</v>
      </c>
      <c r="N1156" s="5">
        <f t="shared" si="18"/>
        <v>5637.24</v>
      </c>
    </row>
    <row r="1157" spans="1:14" x14ac:dyDescent="0.3">
      <c r="A1157" t="s">
        <v>2013</v>
      </c>
      <c r="B1157" s="2">
        <v>45319</v>
      </c>
      <c r="C1157" t="s">
        <v>627</v>
      </c>
      <c r="D1157" t="s">
        <v>802</v>
      </c>
      <c r="E1157" t="s">
        <v>831</v>
      </c>
      <c r="F1157">
        <v>2</v>
      </c>
      <c r="G1157">
        <v>0.1</v>
      </c>
      <c r="H1157" t="s">
        <v>858</v>
      </c>
      <c r="I1157" t="str">
        <f>VLOOKUP(C1157,Customers!A:C,2,FALSE)&amp;" "&amp;VLOOKUP(C1157,Customers!A:C,3,FALSE)</f>
        <v>Anthony Gould</v>
      </c>
      <c r="J1157" t="str">
        <f>VLOOKUP(D1157,Products!A:C,2,FALSE)</f>
        <v>Stage Footwear</v>
      </c>
      <c r="K1157" t="str">
        <f>VLOOKUP(D1157,Products!A:C,3,FALSE)</f>
        <v>Fashion</v>
      </c>
      <c r="L1157" t="str">
        <f>VLOOKUP(E1157,Stores!A:B,2,FALSE)</f>
        <v>MegaMart Jimenezborough</v>
      </c>
      <c r="M1157">
        <f>VLOOKUP(D1157,Products!A:E,5,FALSE)</f>
        <v>366.93</v>
      </c>
      <c r="N1157" s="5">
        <f t="shared" si="18"/>
        <v>660.47400000000005</v>
      </c>
    </row>
    <row r="1158" spans="1:14" x14ac:dyDescent="0.3">
      <c r="A1158" t="s">
        <v>2014</v>
      </c>
      <c r="B1158" s="2">
        <v>45578</v>
      </c>
      <c r="C1158" t="s">
        <v>487</v>
      </c>
      <c r="D1158" t="s">
        <v>794</v>
      </c>
      <c r="E1158" t="s">
        <v>831</v>
      </c>
      <c r="F1158">
        <v>5</v>
      </c>
      <c r="G1158">
        <v>0</v>
      </c>
      <c r="H1158" t="s">
        <v>861</v>
      </c>
      <c r="I1158" t="str">
        <f>VLOOKUP(C1158,Customers!A:C,2,FALSE)&amp;" "&amp;VLOOKUP(C1158,Customers!A:C,3,FALSE)</f>
        <v>Yvette Roth</v>
      </c>
      <c r="J1158" t="str">
        <f>VLOOKUP(D1158,Products!A:C,2,FALSE)</f>
        <v>Everything Laptop</v>
      </c>
      <c r="K1158" t="str">
        <f>VLOOKUP(D1158,Products!A:C,3,FALSE)</f>
        <v>Electronics</v>
      </c>
      <c r="L1158" t="str">
        <f>VLOOKUP(E1158,Stores!A:B,2,FALSE)</f>
        <v>MegaMart Jimenezborough</v>
      </c>
      <c r="M1158">
        <f>VLOOKUP(D1158,Products!A:E,5,FALSE)</f>
        <v>428.05</v>
      </c>
      <c r="N1158" s="5">
        <f t="shared" si="18"/>
        <v>2140.25</v>
      </c>
    </row>
    <row r="1159" spans="1:14" x14ac:dyDescent="0.3">
      <c r="A1159" t="s">
        <v>2015</v>
      </c>
      <c r="B1159" s="2">
        <v>45803</v>
      </c>
      <c r="C1159" t="s">
        <v>449</v>
      </c>
      <c r="D1159" t="s">
        <v>788</v>
      </c>
      <c r="E1159" t="s">
        <v>831</v>
      </c>
      <c r="F1159">
        <v>5</v>
      </c>
      <c r="G1159">
        <v>0.1</v>
      </c>
      <c r="H1159" t="s">
        <v>865</v>
      </c>
      <c r="I1159" t="str">
        <f>VLOOKUP(C1159,Customers!A:C,2,FALSE)&amp;" "&amp;VLOOKUP(C1159,Customers!A:C,3,FALSE)</f>
        <v>John Bell</v>
      </c>
      <c r="J1159" t="str">
        <f>VLOOKUP(D1159,Products!A:C,2,FALSE)</f>
        <v>Foot Snacks</v>
      </c>
      <c r="K1159" t="str">
        <f>VLOOKUP(D1159,Products!A:C,3,FALSE)</f>
        <v>Groceries</v>
      </c>
      <c r="L1159" t="str">
        <f>VLOOKUP(E1159,Stores!A:B,2,FALSE)</f>
        <v>MegaMart Jimenezborough</v>
      </c>
      <c r="M1159">
        <f>VLOOKUP(D1159,Products!A:E,5,FALSE)</f>
        <v>1095.72</v>
      </c>
      <c r="N1159" s="5">
        <f t="shared" si="18"/>
        <v>4930.7400000000007</v>
      </c>
    </row>
    <row r="1160" spans="1:14" x14ac:dyDescent="0.3">
      <c r="A1160" t="s">
        <v>2016</v>
      </c>
      <c r="B1160" s="2">
        <v>45603</v>
      </c>
      <c r="C1160" t="s">
        <v>331</v>
      </c>
      <c r="D1160" t="s">
        <v>742</v>
      </c>
      <c r="E1160" t="s">
        <v>846</v>
      </c>
      <c r="F1160">
        <v>1</v>
      </c>
      <c r="G1160">
        <v>0.15</v>
      </c>
      <c r="H1160" t="s">
        <v>858</v>
      </c>
      <c r="I1160" t="str">
        <f>VLOOKUP(C1160,Customers!A:C,2,FALSE)&amp;" "&amp;VLOOKUP(C1160,Customers!A:C,3,FALSE)</f>
        <v>Brenda Costa</v>
      </c>
      <c r="J1160" t="str">
        <f>VLOOKUP(D1160,Products!A:C,2,FALSE)</f>
        <v>Either Headphones</v>
      </c>
      <c r="K1160" t="str">
        <f>VLOOKUP(D1160,Products!A:C,3,FALSE)</f>
        <v>Electronics</v>
      </c>
      <c r="L1160" t="str">
        <f>VLOOKUP(E1160,Stores!A:B,2,FALSE)</f>
        <v>MegaMart Johnmouth</v>
      </c>
      <c r="M1160">
        <f>VLOOKUP(D1160,Products!A:E,5,FALSE)</f>
        <v>248.57</v>
      </c>
      <c r="N1160" s="5">
        <f t="shared" si="18"/>
        <v>211.28449999999998</v>
      </c>
    </row>
    <row r="1161" spans="1:14" x14ac:dyDescent="0.3">
      <c r="A1161" t="s">
        <v>2017</v>
      </c>
      <c r="B1161" s="2">
        <v>45683</v>
      </c>
      <c r="C1161" t="s">
        <v>483</v>
      </c>
      <c r="D1161" t="s">
        <v>816</v>
      </c>
      <c r="E1161" t="s">
        <v>842</v>
      </c>
      <c r="F1161">
        <v>5</v>
      </c>
      <c r="G1161">
        <v>0.1</v>
      </c>
      <c r="H1161" t="s">
        <v>858</v>
      </c>
      <c r="I1161" t="str">
        <f>VLOOKUP(C1161,Customers!A:C,2,FALSE)&amp;" "&amp;VLOOKUP(C1161,Customers!A:C,3,FALSE)</f>
        <v>Jared Ochoa</v>
      </c>
      <c r="J1161" t="str">
        <f>VLOOKUP(D1161,Products!A:C,2,FALSE)</f>
        <v>Set Dairy</v>
      </c>
      <c r="K1161" t="str">
        <f>VLOOKUP(D1161,Products!A:C,3,FALSE)</f>
        <v>Groceries</v>
      </c>
      <c r="L1161" t="str">
        <f>VLOOKUP(E1161,Stores!A:B,2,FALSE)</f>
        <v>MegaMart Brianahaven</v>
      </c>
      <c r="M1161">
        <f>VLOOKUP(D1161,Products!A:E,5,FALSE)</f>
        <v>1879.08</v>
      </c>
      <c r="N1161" s="5">
        <f t="shared" si="18"/>
        <v>8455.86</v>
      </c>
    </row>
    <row r="1162" spans="1:14" x14ac:dyDescent="0.3">
      <c r="A1162" t="s">
        <v>2018</v>
      </c>
      <c r="B1162" s="2">
        <v>45893</v>
      </c>
      <c r="C1162" t="s">
        <v>343</v>
      </c>
      <c r="D1162" t="s">
        <v>736</v>
      </c>
      <c r="E1162" t="s">
        <v>839</v>
      </c>
      <c r="F1162">
        <v>3</v>
      </c>
      <c r="G1162">
        <v>0.05</v>
      </c>
      <c r="H1162" t="s">
        <v>865</v>
      </c>
      <c r="I1162" t="str">
        <f>VLOOKUP(C1162,Customers!A:C,2,FALSE)&amp;" "&amp;VLOOKUP(C1162,Customers!A:C,3,FALSE)</f>
        <v>Brian Fowler</v>
      </c>
      <c r="J1162" t="str">
        <f>VLOOKUP(D1162,Products!A:C,2,FALSE)</f>
        <v>Us Snacks</v>
      </c>
      <c r="K1162" t="str">
        <f>VLOOKUP(D1162,Products!A:C,3,FALSE)</f>
        <v>Groceries</v>
      </c>
      <c r="L1162" t="str">
        <f>VLOOKUP(E1162,Stores!A:B,2,FALSE)</f>
        <v>MegaMart New Michele</v>
      </c>
      <c r="M1162">
        <f>VLOOKUP(D1162,Products!A:E,5,FALSE)</f>
        <v>123.19</v>
      </c>
      <c r="N1162" s="5">
        <f t="shared" si="18"/>
        <v>351.0915</v>
      </c>
    </row>
    <row r="1163" spans="1:14" x14ac:dyDescent="0.3">
      <c r="A1163" t="s">
        <v>2019</v>
      </c>
      <c r="B1163" s="2">
        <v>45567</v>
      </c>
      <c r="C1163" t="s">
        <v>630</v>
      </c>
      <c r="D1163" t="s">
        <v>808</v>
      </c>
      <c r="E1163" t="s">
        <v>846</v>
      </c>
      <c r="F1163">
        <v>3</v>
      </c>
      <c r="G1163">
        <v>0.1</v>
      </c>
      <c r="H1163" t="s">
        <v>865</v>
      </c>
      <c r="I1163" t="str">
        <f>VLOOKUP(C1163,Customers!A:C,2,FALSE)&amp;" "&amp;VLOOKUP(C1163,Customers!A:C,3,FALSE)</f>
        <v>Mark Mcdonald</v>
      </c>
      <c r="J1163" t="str">
        <f>VLOOKUP(D1163,Products!A:C,2,FALSE)</f>
        <v>Present Television</v>
      </c>
      <c r="K1163" t="str">
        <f>VLOOKUP(D1163,Products!A:C,3,FALSE)</f>
        <v>Electronics</v>
      </c>
      <c r="L1163" t="str">
        <f>VLOOKUP(E1163,Stores!A:B,2,FALSE)</f>
        <v>MegaMart Johnmouth</v>
      </c>
      <c r="M1163">
        <f>VLOOKUP(D1163,Products!A:E,5,FALSE)</f>
        <v>1635.01</v>
      </c>
      <c r="N1163" s="5">
        <f t="shared" si="18"/>
        <v>4414.527</v>
      </c>
    </row>
    <row r="1164" spans="1:14" x14ac:dyDescent="0.3">
      <c r="A1164" t="s">
        <v>2020</v>
      </c>
      <c r="B1164" s="2">
        <v>45206</v>
      </c>
      <c r="C1164" t="s">
        <v>579</v>
      </c>
      <c r="D1164" t="s">
        <v>792</v>
      </c>
      <c r="E1164" t="s">
        <v>842</v>
      </c>
      <c r="F1164">
        <v>5</v>
      </c>
      <c r="G1164">
        <v>0.05</v>
      </c>
      <c r="H1164" t="s">
        <v>865</v>
      </c>
      <c r="I1164" t="str">
        <f>VLOOKUP(C1164,Customers!A:C,2,FALSE)&amp;" "&amp;VLOOKUP(C1164,Customers!A:C,3,FALSE)</f>
        <v>Jill Roach</v>
      </c>
      <c r="J1164" t="str">
        <f>VLOOKUP(D1164,Products!A:C,2,FALSE)</f>
        <v>Beat Accessories</v>
      </c>
      <c r="K1164" t="str">
        <f>VLOOKUP(D1164,Products!A:C,3,FALSE)</f>
        <v>Fashion</v>
      </c>
      <c r="L1164" t="str">
        <f>VLOOKUP(E1164,Stores!A:B,2,FALSE)</f>
        <v>MegaMart Brianahaven</v>
      </c>
      <c r="M1164">
        <f>VLOOKUP(D1164,Products!A:E,5,FALSE)</f>
        <v>1798.97</v>
      </c>
      <c r="N1164" s="5">
        <f t="shared" si="18"/>
        <v>8545.1075000000001</v>
      </c>
    </row>
    <row r="1165" spans="1:14" x14ac:dyDescent="0.3">
      <c r="A1165" t="s">
        <v>2021</v>
      </c>
      <c r="B1165" s="2">
        <v>45287</v>
      </c>
      <c r="C1165" t="s">
        <v>601</v>
      </c>
      <c r="D1165" t="s">
        <v>792</v>
      </c>
      <c r="E1165" t="s">
        <v>839</v>
      </c>
      <c r="F1165">
        <v>5</v>
      </c>
      <c r="G1165">
        <v>0</v>
      </c>
      <c r="H1165" t="s">
        <v>855</v>
      </c>
      <c r="I1165" t="str">
        <f>VLOOKUP(C1165,Customers!A:C,2,FALSE)&amp;" "&amp;VLOOKUP(C1165,Customers!A:C,3,FALSE)</f>
        <v>Travis Watson</v>
      </c>
      <c r="J1165" t="str">
        <f>VLOOKUP(D1165,Products!A:C,2,FALSE)</f>
        <v>Beat Accessories</v>
      </c>
      <c r="K1165" t="str">
        <f>VLOOKUP(D1165,Products!A:C,3,FALSE)</f>
        <v>Fashion</v>
      </c>
      <c r="L1165" t="str">
        <f>VLOOKUP(E1165,Stores!A:B,2,FALSE)</f>
        <v>MegaMart New Michele</v>
      </c>
      <c r="M1165">
        <f>VLOOKUP(D1165,Products!A:E,5,FALSE)</f>
        <v>1798.97</v>
      </c>
      <c r="N1165" s="5">
        <f t="shared" si="18"/>
        <v>8994.85</v>
      </c>
    </row>
    <row r="1166" spans="1:14" x14ac:dyDescent="0.3">
      <c r="A1166" t="s">
        <v>2022</v>
      </c>
      <c r="B1166" s="2">
        <v>45723</v>
      </c>
      <c r="C1166" t="s">
        <v>462</v>
      </c>
      <c r="D1166" t="s">
        <v>772</v>
      </c>
      <c r="E1166" t="s">
        <v>831</v>
      </c>
      <c r="F1166">
        <v>2</v>
      </c>
      <c r="G1166">
        <v>0</v>
      </c>
      <c r="H1166" t="s">
        <v>855</v>
      </c>
      <c r="I1166" t="str">
        <f>VLOOKUP(C1166,Customers!A:C,2,FALSE)&amp;" "&amp;VLOOKUP(C1166,Customers!A:C,3,FALSE)</f>
        <v>Kimberly Parker</v>
      </c>
      <c r="J1166" t="str">
        <f>VLOOKUP(D1166,Products!A:C,2,FALSE)</f>
        <v>And Footwear</v>
      </c>
      <c r="K1166" t="str">
        <f>VLOOKUP(D1166,Products!A:C,3,FALSE)</f>
        <v>Fashion</v>
      </c>
      <c r="L1166" t="str">
        <f>VLOOKUP(E1166,Stores!A:B,2,FALSE)</f>
        <v>MegaMart Jimenezborough</v>
      </c>
      <c r="M1166">
        <f>VLOOKUP(D1166,Products!A:E,5,FALSE)</f>
        <v>1878.47</v>
      </c>
      <c r="N1166" s="5">
        <f t="shared" si="18"/>
        <v>3756.94</v>
      </c>
    </row>
    <row r="1167" spans="1:14" x14ac:dyDescent="0.3">
      <c r="A1167" t="s">
        <v>2023</v>
      </c>
      <c r="B1167" s="2">
        <v>45743</v>
      </c>
      <c r="C1167" t="s">
        <v>247</v>
      </c>
      <c r="D1167" t="s">
        <v>718</v>
      </c>
      <c r="E1167" t="s">
        <v>835</v>
      </c>
      <c r="F1167">
        <v>5</v>
      </c>
      <c r="G1167">
        <v>0.1</v>
      </c>
      <c r="H1167" t="s">
        <v>855</v>
      </c>
      <c r="I1167" t="str">
        <f>VLOOKUP(C1167,Customers!A:C,2,FALSE)&amp;" "&amp;VLOOKUP(C1167,Customers!A:C,3,FALSE)</f>
        <v>Scott Duke</v>
      </c>
      <c r="J1167" t="str">
        <f>VLOOKUP(D1167,Products!A:C,2,FALSE)</f>
        <v>Here Footwear</v>
      </c>
      <c r="K1167" t="str">
        <f>VLOOKUP(D1167,Products!A:C,3,FALSE)</f>
        <v>Fashion</v>
      </c>
      <c r="L1167" t="str">
        <f>VLOOKUP(E1167,Stores!A:B,2,FALSE)</f>
        <v>MegaMart Peckmouth</v>
      </c>
      <c r="M1167">
        <f>VLOOKUP(D1167,Products!A:E,5,FALSE)</f>
        <v>337.63</v>
      </c>
      <c r="N1167" s="5">
        <f t="shared" si="18"/>
        <v>1519.335</v>
      </c>
    </row>
    <row r="1168" spans="1:14" x14ac:dyDescent="0.3">
      <c r="A1168" t="s">
        <v>2024</v>
      </c>
      <c r="B1168" s="2">
        <v>45841</v>
      </c>
      <c r="C1168" t="s">
        <v>250</v>
      </c>
      <c r="D1168" t="s">
        <v>715</v>
      </c>
      <c r="E1168" t="s">
        <v>831</v>
      </c>
      <c r="F1168">
        <v>1</v>
      </c>
      <c r="G1168">
        <v>0.05</v>
      </c>
      <c r="H1168" t="s">
        <v>861</v>
      </c>
      <c r="I1168" t="str">
        <f>VLOOKUP(C1168,Customers!A:C,2,FALSE)&amp;" "&amp;VLOOKUP(C1168,Customers!A:C,3,FALSE)</f>
        <v>Jason Jenkins</v>
      </c>
      <c r="J1168" t="str">
        <f>VLOOKUP(D1168,Products!A:C,2,FALSE)</f>
        <v>Audience Television</v>
      </c>
      <c r="K1168" t="str">
        <f>VLOOKUP(D1168,Products!A:C,3,FALSE)</f>
        <v>Electronics</v>
      </c>
      <c r="L1168" t="str">
        <f>VLOOKUP(E1168,Stores!A:B,2,FALSE)</f>
        <v>MegaMart Jimenezborough</v>
      </c>
      <c r="M1168">
        <f>VLOOKUP(D1168,Products!A:E,5,FALSE)</f>
        <v>818.76</v>
      </c>
      <c r="N1168" s="5">
        <f t="shared" si="18"/>
        <v>777.822</v>
      </c>
    </row>
    <row r="1169" spans="1:14" x14ac:dyDescent="0.3">
      <c r="A1169" t="s">
        <v>2025</v>
      </c>
      <c r="B1169" s="2">
        <v>45283</v>
      </c>
      <c r="C1169" t="s">
        <v>601</v>
      </c>
      <c r="D1169" t="s">
        <v>810</v>
      </c>
      <c r="E1169" t="s">
        <v>842</v>
      </c>
      <c r="F1169">
        <v>3</v>
      </c>
      <c r="G1169">
        <v>0.05</v>
      </c>
      <c r="H1169" t="s">
        <v>855</v>
      </c>
      <c r="I1169" t="str">
        <f>VLOOKUP(C1169,Customers!A:C,2,FALSE)&amp;" "&amp;VLOOKUP(C1169,Customers!A:C,3,FALSE)</f>
        <v>Travis Watson</v>
      </c>
      <c r="J1169" t="str">
        <f>VLOOKUP(D1169,Products!A:C,2,FALSE)</f>
        <v>Maybe Clothing</v>
      </c>
      <c r="K1169" t="str">
        <f>VLOOKUP(D1169,Products!A:C,3,FALSE)</f>
        <v>Fashion</v>
      </c>
      <c r="L1169" t="str">
        <f>VLOOKUP(E1169,Stores!A:B,2,FALSE)</f>
        <v>MegaMart Brianahaven</v>
      </c>
      <c r="M1169">
        <f>VLOOKUP(D1169,Products!A:E,5,FALSE)</f>
        <v>453.62</v>
      </c>
      <c r="N1169" s="5">
        <f t="shared" si="18"/>
        <v>1292.817</v>
      </c>
    </row>
    <row r="1170" spans="1:14" x14ac:dyDescent="0.3">
      <c r="A1170" t="s">
        <v>2026</v>
      </c>
      <c r="B1170" s="2">
        <v>45670</v>
      </c>
      <c r="C1170" t="s">
        <v>636</v>
      </c>
      <c r="D1170" t="s">
        <v>755</v>
      </c>
      <c r="E1170" t="s">
        <v>835</v>
      </c>
      <c r="F1170">
        <v>4</v>
      </c>
      <c r="G1170">
        <v>0.05</v>
      </c>
      <c r="H1170" t="s">
        <v>865</v>
      </c>
      <c r="I1170" t="str">
        <f>VLOOKUP(C1170,Customers!A:C,2,FALSE)&amp;" "&amp;VLOOKUP(C1170,Customers!A:C,3,FALSE)</f>
        <v>Nichole Calhoun</v>
      </c>
      <c r="J1170" t="str">
        <f>VLOOKUP(D1170,Products!A:C,2,FALSE)</f>
        <v>House Accessories</v>
      </c>
      <c r="K1170" t="str">
        <f>VLOOKUP(D1170,Products!A:C,3,FALSE)</f>
        <v>Fashion</v>
      </c>
      <c r="L1170" t="str">
        <f>VLOOKUP(E1170,Stores!A:B,2,FALSE)</f>
        <v>MegaMart Peckmouth</v>
      </c>
      <c r="M1170">
        <f>VLOOKUP(D1170,Products!A:E,5,FALSE)</f>
        <v>1858.75</v>
      </c>
      <c r="N1170" s="5">
        <f t="shared" si="18"/>
        <v>7063.25</v>
      </c>
    </row>
    <row r="1171" spans="1:14" x14ac:dyDescent="0.3">
      <c r="A1171" t="s">
        <v>2027</v>
      </c>
      <c r="B1171" s="2">
        <v>45779</v>
      </c>
      <c r="C1171" t="s">
        <v>331</v>
      </c>
      <c r="D1171" t="s">
        <v>826</v>
      </c>
      <c r="E1171" t="s">
        <v>831</v>
      </c>
      <c r="F1171">
        <v>2</v>
      </c>
      <c r="G1171">
        <v>0.05</v>
      </c>
      <c r="H1171" t="s">
        <v>858</v>
      </c>
      <c r="I1171" t="str">
        <f>VLOOKUP(C1171,Customers!A:C,2,FALSE)&amp;" "&amp;VLOOKUP(C1171,Customers!A:C,3,FALSE)</f>
        <v>Brenda Costa</v>
      </c>
      <c r="J1171" t="str">
        <f>VLOOKUP(D1171,Products!A:C,2,FALSE)</f>
        <v>Maybe Footwear</v>
      </c>
      <c r="K1171" t="str">
        <f>VLOOKUP(D1171,Products!A:C,3,FALSE)</f>
        <v>Fashion</v>
      </c>
      <c r="L1171" t="str">
        <f>VLOOKUP(E1171,Stores!A:B,2,FALSE)</f>
        <v>MegaMart Jimenezborough</v>
      </c>
      <c r="M1171">
        <f>VLOOKUP(D1171,Products!A:E,5,FALSE)</f>
        <v>1044.6400000000001</v>
      </c>
      <c r="N1171" s="5">
        <f t="shared" si="18"/>
        <v>1984.816</v>
      </c>
    </row>
    <row r="1172" spans="1:14" x14ac:dyDescent="0.3">
      <c r="A1172" t="s">
        <v>2028</v>
      </c>
      <c r="B1172" s="2">
        <v>45540</v>
      </c>
      <c r="C1172" t="s">
        <v>680</v>
      </c>
      <c r="D1172" t="s">
        <v>722</v>
      </c>
      <c r="E1172" t="s">
        <v>842</v>
      </c>
      <c r="F1172">
        <v>4</v>
      </c>
      <c r="G1172">
        <v>0.05</v>
      </c>
      <c r="H1172" t="s">
        <v>858</v>
      </c>
      <c r="I1172" t="str">
        <f>VLOOKUP(C1172,Customers!A:C,2,FALSE)&amp;" "&amp;VLOOKUP(C1172,Customers!A:C,3,FALSE)</f>
        <v>Donald Meza</v>
      </c>
      <c r="J1172" t="str">
        <f>VLOOKUP(D1172,Products!A:C,2,FALSE)</f>
        <v>Four Accessories</v>
      </c>
      <c r="K1172" t="str">
        <f>VLOOKUP(D1172,Products!A:C,3,FALSE)</f>
        <v>Fashion</v>
      </c>
      <c r="L1172" t="str">
        <f>VLOOKUP(E1172,Stores!A:B,2,FALSE)</f>
        <v>MegaMart Brianahaven</v>
      </c>
      <c r="M1172">
        <f>VLOOKUP(D1172,Products!A:E,5,FALSE)</f>
        <v>1853.77</v>
      </c>
      <c r="N1172" s="5">
        <f t="shared" si="18"/>
        <v>7044.326</v>
      </c>
    </row>
    <row r="1173" spans="1:14" x14ac:dyDescent="0.3">
      <c r="A1173" t="s">
        <v>2029</v>
      </c>
      <c r="B1173" s="2">
        <v>45830</v>
      </c>
      <c r="C1173" t="s">
        <v>657</v>
      </c>
      <c r="D1173" t="s">
        <v>816</v>
      </c>
      <c r="E1173" t="s">
        <v>835</v>
      </c>
      <c r="F1173">
        <v>2</v>
      </c>
      <c r="G1173">
        <v>0.1</v>
      </c>
      <c r="H1173" t="s">
        <v>865</v>
      </c>
      <c r="I1173" t="str">
        <f>VLOOKUP(C1173,Customers!A:C,2,FALSE)&amp;" "&amp;VLOOKUP(C1173,Customers!A:C,3,FALSE)</f>
        <v>Vicki Guzman</v>
      </c>
      <c r="J1173" t="str">
        <f>VLOOKUP(D1173,Products!A:C,2,FALSE)</f>
        <v>Set Dairy</v>
      </c>
      <c r="K1173" t="str">
        <f>VLOOKUP(D1173,Products!A:C,3,FALSE)</f>
        <v>Groceries</v>
      </c>
      <c r="L1173" t="str">
        <f>VLOOKUP(E1173,Stores!A:B,2,FALSE)</f>
        <v>MegaMart Peckmouth</v>
      </c>
      <c r="M1173">
        <f>VLOOKUP(D1173,Products!A:E,5,FALSE)</f>
        <v>1879.08</v>
      </c>
      <c r="N1173" s="5">
        <f t="shared" si="18"/>
        <v>3382.3440000000001</v>
      </c>
    </row>
    <row r="1174" spans="1:14" x14ac:dyDescent="0.3">
      <c r="A1174" t="s">
        <v>2030</v>
      </c>
      <c r="B1174" s="2">
        <v>45806</v>
      </c>
      <c r="C1174" t="s">
        <v>589</v>
      </c>
      <c r="D1174" t="s">
        <v>788</v>
      </c>
      <c r="E1174" t="s">
        <v>839</v>
      </c>
      <c r="F1174">
        <v>1</v>
      </c>
      <c r="G1174">
        <v>0</v>
      </c>
      <c r="H1174" t="s">
        <v>861</v>
      </c>
      <c r="I1174" t="str">
        <f>VLOOKUP(C1174,Customers!A:C,2,FALSE)&amp;" "&amp;VLOOKUP(C1174,Customers!A:C,3,FALSE)</f>
        <v>Tanya Mueller</v>
      </c>
      <c r="J1174" t="str">
        <f>VLOOKUP(D1174,Products!A:C,2,FALSE)</f>
        <v>Foot Snacks</v>
      </c>
      <c r="K1174" t="str">
        <f>VLOOKUP(D1174,Products!A:C,3,FALSE)</f>
        <v>Groceries</v>
      </c>
      <c r="L1174" t="str">
        <f>VLOOKUP(E1174,Stores!A:B,2,FALSE)</f>
        <v>MegaMart New Michele</v>
      </c>
      <c r="M1174">
        <f>VLOOKUP(D1174,Products!A:E,5,FALSE)</f>
        <v>1095.72</v>
      </c>
      <c r="N1174" s="5">
        <f t="shared" si="18"/>
        <v>1095.72</v>
      </c>
    </row>
    <row r="1175" spans="1:14" x14ac:dyDescent="0.3">
      <c r="A1175" t="s">
        <v>2031</v>
      </c>
      <c r="B1175" s="2">
        <v>45396</v>
      </c>
      <c r="C1175" t="s">
        <v>442</v>
      </c>
      <c r="D1175" t="s">
        <v>808</v>
      </c>
      <c r="E1175" t="s">
        <v>842</v>
      </c>
      <c r="F1175">
        <v>4</v>
      </c>
      <c r="G1175">
        <v>0.1</v>
      </c>
      <c r="H1175" t="s">
        <v>858</v>
      </c>
      <c r="I1175" t="str">
        <f>VLOOKUP(C1175,Customers!A:C,2,FALSE)&amp;" "&amp;VLOOKUP(C1175,Customers!A:C,3,FALSE)</f>
        <v>Jason Lloyd</v>
      </c>
      <c r="J1175" t="str">
        <f>VLOOKUP(D1175,Products!A:C,2,FALSE)</f>
        <v>Present Television</v>
      </c>
      <c r="K1175" t="str">
        <f>VLOOKUP(D1175,Products!A:C,3,FALSE)</f>
        <v>Electronics</v>
      </c>
      <c r="L1175" t="str">
        <f>VLOOKUP(E1175,Stores!A:B,2,FALSE)</f>
        <v>MegaMart Brianahaven</v>
      </c>
      <c r="M1175">
        <f>VLOOKUP(D1175,Products!A:E,5,FALSE)</f>
        <v>1635.01</v>
      </c>
      <c r="N1175" s="5">
        <f t="shared" si="18"/>
        <v>5886.0360000000001</v>
      </c>
    </row>
    <row r="1176" spans="1:14" x14ac:dyDescent="0.3">
      <c r="A1176" t="s">
        <v>2032</v>
      </c>
      <c r="B1176" s="2">
        <v>45567</v>
      </c>
      <c r="C1176" t="s">
        <v>677</v>
      </c>
      <c r="D1176" t="s">
        <v>794</v>
      </c>
      <c r="E1176" t="s">
        <v>846</v>
      </c>
      <c r="F1176">
        <v>2</v>
      </c>
      <c r="G1176">
        <v>0.15</v>
      </c>
      <c r="H1176" t="s">
        <v>858</v>
      </c>
      <c r="I1176" t="str">
        <f>VLOOKUP(C1176,Customers!A:C,2,FALSE)&amp;" "&amp;VLOOKUP(C1176,Customers!A:C,3,FALSE)</f>
        <v>James Wilson</v>
      </c>
      <c r="J1176" t="str">
        <f>VLOOKUP(D1176,Products!A:C,2,FALSE)</f>
        <v>Everything Laptop</v>
      </c>
      <c r="K1176" t="str">
        <f>VLOOKUP(D1176,Products!A:C,3,FALSE)</f>
        <v>Electronics</v>
      </c>
      <c r="L1176" t="str">
        <f>VLOOKUP(E1176,Stores!A:B,2,FALSE)</f>
        <v>MegaMart Johnmouth</v>
      </c>
      <c r="M1176">
        <f>VLOOKUP(D1176,Products!A:E,5,FALSE)</f>
        <v>428.05</v>
      </c>
      <c r="N1176" s="5">
        <f t="shared" si="18"/>
        <v>727.68499999999995</v>
      </c>
    </row>
    <row r="1177" spans="1:14" x14ac:dyDescent="0.3">
      <c r="A1177" t="s">
        <v>2033</v>
      </c>
      <c r="B1177" s="2">
        <v>45884</v>
      </c>
      <c r="C1177" t="s">
        <v>452</v>
      </c>
      <c r="D1177" t="s">
        <v>798</v>
      </c>
      <c r="E1177" t="s">
        <v>839</v>
      </c>
      <c r="F1177">
        <v>2</v>
      </c>
      <c r="G1177">
        <v>0.15</v>
      </c>
      <c r="H1177" t="s">
        <v>865</v>
      </c>
      <c r="I1177" t="str">
        <f>VLOOKUP(C1177,Customers!A:C,2,FALSE)&amp;" "&amp;VLOOKUP(C1177,Customers!A:C,3,FALSE)</f>
        <v>Amy Smith</v>
      </c>
      <c r="J1177" t="str">
        <f>VLOOKUP(D1177,Products!A:C,2,FALSE)</f>
        <v>New Watches</v>
      </c>
      <c r="K1177" t="str">
        <f>VLOOKUP(D1177,Products!A:C,3,FALSE)</f>
        <v>Fashion</v>
      </c>
      <c r="L1177" t="str">
        <f>VLOOKUP(E1177,Stores!A:B,2,FALSE)</f>
        <v>MegaMart New Michele</v>
      </c>
      <c r="M1177">
        <f>VLOOKUP(D1177,Products!A:E,5,FALSE)</f>
        <v>1501.46</v>
      </c>
      <c r="N1177" s="5">
        <f t="shared" si="18"/>
        <v>2552.482</v>
      </c>
    </row>
    <row r="1178" spans="1:14" x14ac:dyDescent="0.3">
      <c r="A1178" t="s">
        <v>2034</v>
      </c>
      <c r="B1178" s="2">
        <v>45220</v>
      </c>
      <c r="C1178" t="s">
        <v>280</v>
      </c>
      <c r="D1178" t="s">
        <v>766</v>
      </c>
      <c r="E1178" t="s">
        <v>842</v>
      </c>
      <c r="F1178">
        <v>4</v>
      </c>
      <c r="G1178">
        <v>0.1</v>
      </c>
      <c r="H1178" t="s">
        <v>865</v>
      </c>
      <c r="I1178" t="str">
        <f>VLOOKUP(C1178,Customers!A:C,2,FALSE)&amp;" "&amp;VLOOKUP(C1178,Customers!A:C,3,FALSE)</f>
        <v>Jesus Singh</v>
      </c>
      <c r="J1178" t="str">
        <f>VLOOKUP(D1178,Products!A:C,2,FALSE)</f>
        <v>Firm Dairy</v>
      </c>
      <c r="K1178" t="str">
        <f>VLOOKUP(D1178,Products!A:C,3,FALSE)</f>
        <v>Groceries</v>
      </c>
      <c r="L1178" t="str">
        <f>VLOOKUP(E1178,Stores!A:B,2,FALSE)</f>
        <v>MegaMart Brianahaven</v>
      </c>
      <c r="M1178">
        <f>VLOOKUP(D1178,Products!A:E,5,FALSE)</f>
        <v>1227.24</v>
      </c>
      <c r="N1178" s="5">
        <f t="shared" si="18"/>
        <v>4418.0640000000003</v>
      </c>
    </row>
    <row r="1179" spans="1:14" x14ac:dyDescent="0.3">
      <c r="A1179" t="s">
        <v>2035</v>
      </c>
      <c r="B1179" s="2">
        <v>45399</v>
      </c>
      <c r="C1179" t="s">
        <v>101</v>
      </c>
      <c r="D1179" t="s">
        <v>742</v>
      </c>
      <c r="E1179" t="s">
        <v>846</v>
      </c>
      <c r="F1179">
        <v>3</v>
      </c>
      <c r="G1179">
        <v>0.15</v>
      </c>
      <c r="H1179" t="s">
        <v>855</v>
      </c>
      <c r="I1179" t="str">
        <f>VLOOKUP(C1179,Customers!A:C,2,FALSE)&amp;" "&amp;VLOOKUP(C1179,Customers!A:C,3,FALSE)</f>
        <v>Cheryl Gilbert</v>
      </c>
      <c r="J1179" t="str">
        <f>VLOOKUP(D1179,Products!A:C,2,FALSE)</f>
        <v>Either Headphones</v>
      </c>
      <c r="K1179" t="str">
        <f>VLOOKUP(D1179,Products!A:C,3,FALSE)</f>
        <v>Electronics</v>
      </c>
      <c r="L1179" t="str">
        <f>VLOOKUP(E1179,Stores!A:B,2,FALSE)</f>
        <v>MegaMart Johnmouth</v>
      </c>
      <c r="M1179">
        <f>VLOOKUP(D1179,Products!A:E,5,FALSE)</f>
        <v>248.57</v>
      </c>
      <c r="N1179" s="5">
        <f t="shared" si="18"/>
        <v>633.85350000000005</v>
      </c>
    </row>
    <row r="1180" spans="1:14" x14ac:dyDescent="0.3">
      <c r="A1180" t="s">
        <v>2036</v>
      </c>
      <c r="B1180" s="2">
        <v>45669</v>
      </c>
      <c r="C1180" t="s">
        <v>324</v>
      </c>
      <c r="D1180" t="s">
        <v>778</v>
      </c>
      <c r="E1180" t="s">
        <v>839</v>
      </c>
      <c r="F1180">
        <v>3</v>
      </c>
      <c r="G1180">
        <v>0</v>
      </c>
      <c r="H1180" t="s">
        <v>855</v>
      </c>
      <c r="I1180" t="str">
        <f>VLOOKUP(C1180,Customers!A:C,2,FALSE)&amp;" "&amp;VLOOKUP(C1180,Customers!A:C,3,FALSE)</f>
        <v>Lawrence Hunter</v>
      </c>
      <c r="J1180" t="str">
        <f>VLOOKUP(D1180,Products!A:C,2,FALSE)</f>
        <v>Behavior Dairy</v>
      </c>
      <c r="K1180" t="str">
        <f>VLOOKUP(D1180,Products!A:C,3,FALSE)</f>
        <v>Groceries</v>
      </c>
      <c r="L1180" t="str">
        <f>VLOOKUP(E1180,Stores!A:B,2,FALSE)</f>
        <v>MegaMart New Michele</v>
      </c>
      <c r="M1180">
        <f>VLOOKUP(D1180,Products!A:E,5,FALSE)</f>
        <v>1015.76</v>
      </c>
      <c r="N1180" s="5">
        <f t="shared" si="18"/>
        <v>3047.2799999999997</v>
      </c>
    </row>
    <row r="1181" spans="1:14" x14ac:dyDescent="0.3">
      <c r="A1181" t="s">
        <v>2037</v>
      </c>
      <c r="B1181" s="2">
        <v>45253</v>
      </c>
      <c r="C1181" t="s">
        <v>599</v>
      </c>
      <c r="D1181" t="s">
        <v>782</v>
      </c>
      <c r="E1181" t="s">
        <v>846</v>
      </c>
      <c r="F1181">
        <v>4</v>
      </c>
      <c r="G1181">
        <v>0.15</v>
      </c>
      <c r="H1181" t="s">
        <v>861</v>
      </c>
      <c r="I1181" t="str">
        <f>VLOOKUP(C1181,Customers!A:C,2,FALSE)&amp;" "&amp;VLOOKUP(C1181,Customers!A:C,3,FALSE)</f>
        <v>Richard Jones</v>
      </c>
      <c r="J1181" t="str">
        <f>VLOOKUP(D1181,Products!A:C,2,FALSE)</f>
        <v>Deal Smartphone</v>
      </c>
      <c r="K1181" t="str">
        <f>VLOOKUP(D1181,Products!A:C,3,FALSE)</f>
        <v>Electronics</v>
      </c>
      <c r="L1181" t="str">
        <f>VLOOKUP(E1181,Stores!A:B,2,FALSE)</f>
        <v>MegaMart Johnmouth</v>
      </c>
      <c r="M1181">
        <f>VLOOKUP(D1181,Products!A:E,5,FALSE)</f>
        <v>673.78</v>
      </c>
      <c r="N1181" s="5">
        <f t="shared" si="18"/>
        <v>2290.8519999999999</v>
      </c>
    </row>
    <row r="1182" spans="1:14" x14ac:dyDescent="0.3">
      <c r="A1182" t="s">
        <v>2038</v>
      </c>
      <c r="B1182" s="2">
        <v>45277</v>
      </c>
      <c r="C1182" t="s">
        <v>664</v>
      </c>
      <c r="D1182" t="s">
        <v>711</v>
      </c>
      <c r="E1182" t="s">
        <v>846</v>
      </c>
      <c r="F1182">
        <v>2</v>
      </c>
      <c r="G1182">
        <v>0.1</v>
      </c>
      <c r="H1182" t="s">
        <v>861</v>
      </c>
      <c r="I1182" t="str">
        <f>VLOOKUP(C1182,Customers!A:C,2,FALSE)&amp;" "&amp;VLOOKUP(C1182,Customers!A:C,3,FALSE)</f>
        <v>Ryan Flores</v>
      </c>
      <c r="J1182" t="str">
        <f>VLOOKUP(D1182,Products!A:C,2,FALSE)</f>
        <v>Like Camera</v>
      </c>
      <c r="K1182" t="str">
        <f>VLOOKUP(D1182,Products!A:C,3,FALSE)</f>
        <v>Electronics</v>
      </c>
      <c r="L1182" t="str">
        <f>VLOOKUP(E1182,Stores!A:B,2,FALSE)</f>
        <v>MegaMart Johnmouth</v>
      </c>
      <c r="M1182">
        <f>VLOOKUP(D1182,Products!A:E,5,FALSE)</f>
        <v>1673.69</v>
      </c>
      <c r="N1182" s="5">
        <f t="shared" si="18"/>
        <v>3012.6420000000003</v>
      </c>
    </row>
    <row r="1183" spans="1:14" x14ac:dyDescent="0.3">
      <c r="A1183" t="s">
        <v>2039</v>
      </c>
      <c r="B1183" s="2">
        <v>45848</v>
      </c>
      <c r="C1183" t="s">
        <v>306</v>
      </c>
      <c r="D1183" t="s">
        <v>778</v>
      </c>
      <c r="E1183" t="s">
        <v>846</v>
      </c>
      <c r="F1183">
        <v>1</v>
      </c>
      <c r="G1183">
        <v>0</v>
      </c>
      <c r="H1183" t="s">
        <v>865</v>
      </c>
      <c r="I1183" t="str">
        <f>VLOOKUP(C1183,Customers!A:C,2,FALSE)&amp;" "&amp;VLOOKUP(C1183,Customers!A:C,3,FALSE)</f>
        <v>Sarah Reynolds</v>
      </c>
      <c r="J1183" t="str">
        <f>VLOOKUP(D1183,Products!A:C,2,FALSE)</f>
        <v>Behavior Dairy</v>
      </c>
      <c r="K1183" t="str">
        <f>VLOOKUP(D1183,Products!A:C,3,FALSE)</f>
        <v>Groceries</v>
      </c>
      <c r="L1183" t="str">
        <f>VLOOKUP(E1183,Stores!A:B,2,FALSE)</f>
        <v>MegaMart Johnmouth</v>
      </c>
      <c r="M1183">
        <f>VLOOKUP(D1183,Products!A:E,5,FALSE)</f>
        <v>1015.76</v>
      </c>
      <c r="N1183" s="5">
        <f t="shared" si="18"/>
        <v>1015.76</v>
      </c>
    </row>
    <row r="1184" spans="1:14" x14ac:dyDescent="0.3">
      <c r="A1184" t="s">
        <v>2040</v>
      </c>
      <c r="B1184" s="2">
        <v>45795</v>
      </c>
      <c r="C1184" t="s">
        <v>20</v>
      </c>
      <c r="D1184" t="s">
        <v>826</v>
      </c>
      <c r="E1184" t="s">
        <v>842</v>
      </c>
      <c r="F1184">
        <v>1</v>
      </c>
      <c r="G1184">
        <v>0</v>
      </c>
      <c r="H1184" t="s">
        <v>858</v>
      </c>
      <c r="I1184" t="str">
        <f>VLOOKUP(C1184,Customers!A:C,2,FALSE)&amp;" "&amp;VLOOKUP(C1184,Customers!A:C,3,FALSE)</f>
        <v>Joseph Ward</v>
      </c>
      <c r="J1184" t="str">
        <f>VLOOKUP(D1184,Products!A:C,2,FALSE)</f>
        <v>Maybe Footwear</v>
      </c>
      <c r="K1184" t="str">
        <f>VLOOKUP(D1184,Products!A:C,3,FALSE)</f>
        <v>Fashion</v>
      </c>
      <c r="L1184" t="str">
        <f>VLOOKUP(E1184,Stores!A:B,2,FALSE)</f>
        <v>MegaMart Brianahaven</v>
      </c>
      <c r="M1184">
        <f>VLOOKUP(D1184,Products!A:E,5,FALSE)</f>
        <v>1044.6400000000001</v>
      </c>
      <c r="N1184" s="5">
        <f t="shared" si="18"/>
        <v>1044.6400000000001</v>
      </c>
    </row>
    <row r="1185" spans="1:14" x14ac:dyDescent="0.3">
      <c r="A1185" t="s">
        <v>2041</v>
      </c>
      <c r="B1185" s="2">
        <v>45331</v>
      </c>
      <c r="C1185" t="s">
        <v>339</v>
      </c>
      <c r="D1185" t="s">
        <v>753</v>
      </c>
      <c r="E1185" t="s">
        <v>835</v>
      </c>
      <c r="F1185">
        <v>3</v>
      </c>
      <c r="G1185">
        <v>0.1</v>
      </c>
      <c r="H1185" t="s">
        <v>861</v>
      </c>
      <c r="I1185" t="str">
        <f>VLOOKUP(C1185,Customers!A:C,2,FALSE)&amp;" "&amp;VLOOKUP(C1185,Customers!A:C,3,FALSE)</f>
        <v>Carrie Peterson</v>
      </c>
      <c r="J1185" t="str">
        <f>VLOOKUP(D1185,Products!A:C,2,FALSE)</f>
        <v>Whether Bags</v>
      </c>
      <c r="K1185" t="str">
        <f>VLOOKUP(D1185,Products!A:C,3,FALSE)</f>
        <v>Fashion</v>
      </c>
      <c r="L1185" t="str">
        <f>VLOOKUP(E1185,Stores!A:B,2,FALSE)</f>
        <v>MegaMart Peckmouth</v>
      </c>
      <c r="M1185">
        <f>VLOOKUP(D1185,Products!A:E,5,FALSE)</f>
        <v>270.45</v>
      </c>
      <c r="N1185" s="5">
        <f t="shared" si="18"/>
        <v>730.21499999999992</v>
      </c>
    </row>
    <row r="1186" spans="1:14" x14ac:dyDescent="0.3">
      <c r="A1186" t="s">
        <v>2042</v>
      </c>
      <c r="B1186" s="2">
        <v>45625</v>
      </c>
      <c r="C1186" t="s">
        <v>40</v>
      </c>
      <c r="D1186" t="s">
        <v>796</v>
      </c>
      <c r="E1186" t="s">
        <v>831</v>
      </c>
      <c r="F1186">
        <v>5</v>
      </c>
      <c r="G1186">
        <v>0</v>
      </c>
      <c r="H1186" t="s">
        <v>865</v>
      </c>
      <c r="I1186" t="str">
        <f>VLOOKUP(C1186,Customers!A:C,2,FALSE)&amp;" "&amp;VLOOKUP(C1186,Customers!A:C,3,FALSE)</f>
        <v>Richard Pacheco</v>
      </c>
      <c r="J1186" t="str">
        <f>VLOOKUP(D1186,Products!A:C,2,FALSE)</f>
        <v>Chair Laptop</v>
      </c>
      <c r="K1186" t="str">
        <f>VLOOKUP(D1186,Products!A:C,3,FALSE)</f>
        <v>Electronics</v>
      </c>
      <c r="L1186" t="str">
        <f>VLOOKUP(E1186,Stores!A:B,2,FALSE)</f>
        <v>MegaMart Jimenezborough</v>
      </c>
      <c r="M1186">
        <f>VLOOKUP(D1186,Products!A:E,5,FALSE)</f>
        <v>1562.43</v>
      </c>
      <c r="N1186" s="5">
        <f t="shared" si="18"/>
        <v>7812.1500000000005</v>
      </c>
    </row>
    <row r="1187" spans="1:14" x14ac:dyDescent="0.3">
      <c r="A1187" t="s">
        <v>2043</v>
      </c>
      <c r="B1187" s="2">
        <v>45648</v>
      </c>
      <c r="C1187" t="s">
        <v>551</v>
      </c>
      <c r="D1187" t="s">
        <v>800</v>
      </c>
      <c r="E1187" t="s">
        <v>835</v>
      </c>
      <c r="F1187">
        <v>5</v>
      </c>
      <c r="G1187">
        <v>0</v>
      </c>
      <c r="H1187" t="s">
        <v>865</v>
      </c>
      <c r="I1187" t="str">
        <f>VLOOKUP(C1187,Customers!A:C,2,FALSE)&amp;" "&amp;VLOOKUP(C1187,Customers!A:C,3,FALSE)</f>
        <v>Nancy Gordon</v>
      </c>
      <c r="J1187" t="str">
        <f>VLOOKUP(D1187,Products!A:C,2,FALSE)</f>
        <v>Book Television</v>
      </c>
      <c r="K1187" t="str">
        <f>VLOOKUP(D1187,Products!A:C,3,FALSE)</f>
        <v>Electronics</v>
      </c>
      <c r="L1187" t="str">
        <f>VLOOKUP(E1187,Stores!A:B,2,FALSE)</f>
        <v>MegaMart Peckmouth</v>
      </c>
      <c r="M1187">
        <f>VLOOKUP(D1187,Products!A:E,5,FALSE)</f>
        <v>1952.65</v>
      </c>
      <c r="N1187" s="5">
        <f t="shared" si="18"/>
        <v>9763.25</v>
      </c>
    </row>
    <row r="1188" spans="1:14" x14ac:dyDescent="0.3">
      <c r="A1188" t="s">
        <v>2044</v>
      </c>
      <c r="B1188" s="2">
        <v>45642</v>
      </c>
      <c r="C1188" t="s">
        <v>93</v>
      </c>
      <c r="D1188" t="s">
        <v>734</v>
      </c>
      <c r="E1188" t="s">
        <v>846</v>
      </c>
      <c r="F1188">
        <v>2</v>
      </c>
      <c r="G1188">
        <v>0.15</v>
      </c>
      <c r="H1188" t="s">
        <v>861</v>
      </c>
      <c r="I1188" t="str">
        <f>VLOOKUP(C1188,Customers!A:C,2,FALSE)&amp;" "&amp;VLOOKUP(C1188,Customers!A:C,3,FALSE)</f>
        <v>Mark Martinez</v>
      </c>
      <c r="J1188" t="str">
        <f>VLOOKUP(D1188,Products!A:C,2,FALSE)</f>
        <v>Recognize Footwear</v>
      </c>
      <c r="K1188" t="str">
        <f>VLOOKUP(D1188,Products!A:C,3,FALSE)</f>
        <v>Fashion</v>
      </c>
      <c r="L1188" t="str">
        <f>VLOOKUP(E1188,Stores!A:B,2,FALSE)</f>
        <v>MegaMart Johnmouth</v>
      </c>
      <c r="M1188">
        <f>VLOOKUP(D1188,Products!A:E,5,FALSE)</f>
        <v>109.78</v>
      </c>
      <c r="N1188" s="5">
        <f t="shared" si="18"/>
        <v>186.626</v>
      </c>
    </row>
    <row r="1189" spans="1:14" x14ac:dyDescent="0.3">
      <c r="A1189" t="s">
        <v>2045</v>
      </c>
      <c r="B1189" s="2">
        <v>45721</v>
      </c>
      <c r="C1189" t="s">
        <v>115</v>
      </c>
      <c r="D1189" t="s">
        <v>774</v>
      </c>
      <c r="E1189" t="s">
        <v>835</v>
      </c>
      <c r="F1189">
        <v>3</v>
      </c>
      <c r="G1189">
        <v>0.1</v>
      </c>
      <c r="H1189" t="s">
        <v>858</v>
      </c>
      <c r="I1189" t="str">
        <f>VLOOKUP(C1189,Customers!A:C,2,FALSE)&amp;" "&amp;VLOOKUP(C1189,Customers!A:C,3,FALSE)</f>
        <v>Tyler Levine</v>
      </c>
      <c r="J1189" t="str">
        <f>VLOOKUP(D1189,Products!A:C,2,FALSE)</f>
        <v>Him Smartphone</v>
      </c>
      <c r="K1189" t="str">
        <f>VLOOKUP(D1189,Products!A:C,3,FALSE)</f>
        <v>Electronics</v>
      </c>
      <c r="L1189" t="str">
        <f>VLOOKUP(E1189,Stores!A:B,2,FALSE)</f>
        <v>MegaMart Peckmouth</v>
      </c>
      <c r="M1189">
        <f>VLOOKUP(D1189,Products!A:E,5,FALSE)</f>
        <v>1487.41</v>
      </c>
      <c r="N1189" s="5">
        <f t="shared" si="18"/>
        <v>4016.0070000000005</v>
      </c>
    </row>
    <row r="1190" spans="1:14" x14ac:dyDescent="0.3">
      <c r="A1190" t="s">
        <v>2046</v>
      </c>
      <c r="B1190" s="2">
        <v>45706</v>
      </c>
      <c r="C1190" t="s">
        <v>604</v>
      </c>
      <c r="D1190" t="s">
        <v>796</v>
      </c>
      <c r="E1190" t="s">
        <v>831</v>
      </c>
      <c r="F1190">
        <v>4</v>
      </c>
      <c r="G1190">
        <v>0.1</v>
      </c>
      <c r="H1190" t="s">
        <v>858</v>
      </c>
      <c r="I1190" t="str">
        <f>VLOOKUP(C1190,Customers!A:C,2,FALSE)&amp;" "&amp;VLOOKUP(C1190,Customers!A:C,3,FALSE)</f>
        <v>Amber Graham</v>
      </c>
      <c r="J1190" t="str">
        <f>VLOOKUP(D1190,Products!A:C,2,FALSE)</f>
        <v>Chair Laptop</v>
      </c>
      <c r="K1190" t="str">
        <f>VLOOKUP(D1190,Products!A:C,3,FALSE)</f>
        <v>Electronics</v>
      </c>
      <c r="L1190" t="str">
        <f>VLOOKUP(E1190,Stores!A:B,2,FALSE)</f>
        <v>MegaMart Jimenezborough</v>
      </c>
      <c r="M1190">
        <f>VLOOKUP(D1190,Products!A:E,5,FALSE)</f>
        <v>1562.43</v>
      </c>
      <c r="N1190" s="5">
        <f t="shared" si="18"/>
        <v>5624.7480000000005</v>
      </c>
    </row>
    <row r="1191" spans="1:14" x14ac:dyDescent="0.3">
      <c r="A1191" t="s">
        <v>2047</v>
      </c>
      <c r="B1191" s="2">
        <v>45900</v>
      </c>
      <c r="C1191" t="s">
        <v>630</v>
      </c>
      <c r="D1191" t="s">
        <v>757</v>
      </c>
      <c r="E1191" t="s">
        <v>839</v>
      </c>
      <c r="F1191">
        <v>3</v>
      </c>
      <c r="G1191">
        <v>0.05</v>
      </c>
      <c r="H1191" t="s">
        <v>865</v>
      </c>
      <c r="I1191" t="str">
        <f>VLOOKUP(C1191,Customers!A:C,2,FALSE)&amp;" "&amp;VLOOKUP(C1191,Customers!A:C,3,FALSE)</f>
        <v>Mark Mcdonald</v>
      </c>
      <c r="J1191" t="str">
        <f>VLOOKUP(D1191,Products!A:C,2,FALSE)</f>
        <v>Find Headphones</v>
      </c>
      <c r="K1191" t="str">
        <f>VLOOKUP(D1191,Products!A:C,3,FALSE)</f>
        <v>Electronics</v>
      </c>
      <c r="L1191" t="str">
        <f>VLOOKUP(E1191,Stores!A:B,2,FALSE)</f>
        <v>MegaMart New Michele</v>
      </c>
      <c r="M1191">
        <f>VLOOKUP(D1191,Products!A:E,5,FALSE)</f>
        <v>1246.1099999999999</v>
      </c>
      <c r="N1191" s="5">
        <f t="shared" si="18"/>
        <v>3551.4134999999997</v>
      </c>
    </row>
    <row r="1192" spans="1:14" x14ac:dyDescent="0.3">
      <c r="A1192" t="s">
        <v>2048</v>
      </c>
      <c r="B1192" s="2">
        <v>45382</v>
      </c>
      <c r="C1192" t="s">
        <v>270</v>
      </c>
      <c r="D1192" t="s">
        <v>772</v>
      </c>
      <c r="E1192" t="s">
        <v>831</v>
      </c>
      <c r="F1192">
        <v>4</v>
      </c>
      <c r="G1192">
        <v>0.15</v>
      </c>
      <c r="H1192" t="s">
        <v>855</v>
      </c>
      <c r="I1192" t="str">
        <f>VLOOKUP(C1192,Customers!A:C,2,FALSE)&amp;" "&amp;VLOOKUP(C1192,Customers!A:C,3,FALSE)</f>
        <v>Denise Gutierrez</v>
      </c>
      <c r="J1192" t="str">
        <f>VLOOKUP(D1192,Products!A:C,2,FALSE)</f>
        <v>And Footwear</v>
      </c>
      <c r="K1192" t="str">
        <f>VLOOKUP(D1192,Products!A:C,3,FALSE)</f>
        <v>Fashion</v>
      </c>
      <c r="L1192" t="str">
        <f>VLOOKUP(E1192,Stores!A:B,2,FALSE)</f>
        <v>MegaMart Jimenezborough</v>
      </c>
      <c r="M1192">
        <f>VLOOKUP(D1192,Products!A:E,5,FALSE)</f>
        <v>1878.47</v>
      </c>
      <c r="N1192" s="5">
        <f t="shared" si="18"/>
        <v>6386.7979999999998</v>
      </c>
    </row>
    <row r="1193" spans="1:14" x14ac:dyDescent="0.3">
      <c r="A1193" t="s">
        <v>2049</v>
      </c>
      <c r="B1193" s="2">
        <v>45274</v>
      </c>
      <c r="C1193" t="s">
        <v>67</v>
      </c>
      <c r="D1193" t="s">
        <v>755</v>
      </c>
      <c r="E1193" t="s">
        <v>839</v>
      </c>
      <c r="F1193">
        <v>3</v>
      </c>
      <c r="G1193">
        <v>0.05</v>
      </c>
      <c r="H1193" t="s">
        <v>858</v>
      </c>
      <c r="I1193" t="str">
        <f>VLOOKUP(C1193,Customers!A:C,2,FALSE)&amp;" "&amp;VLOOKUP(C1193,Customers!A:C,3,FALSE)</f>
        <v>Miguel Johnson</v>
      </c>
      <c r="J1193" t="str">
        <f>VLOOKUP(D1193,Products!A:C,2,FALSE)</f>
        <v>House Accessories</v>
      </c>
      <c r="K1193" t="str">
        <f>VLOOKUP(D1193,Products!A:C,3,FALSE)</f>
        <v>Fashion</v>
      </c>
      <c r="L1193" t="str">
        <f>VLOOKUP(E1193,Stores!A:B,2,FALSE)</f>
        <v>MegaMart New Michele</v>
      </c>
      <c r="M1193">
        <f>VLOOKUP(D1193,Products!A:E,5,FALSE)</f>
        <v>1858.75</v>
      </c>
      <c r="N1193" s="5">
        <f t="shared" si="18"/>
        <v>5297.4375</v>
      </c>
    </row>
    <row r="1194" spans="1:14" x14ac:dyDescent="0.3">
      <c r="A1194" t="s">
        <v>2050</v>
      </c>
      <c r="B1194" s="2">
        <v>45511</v>
      </c>
      <c r="C1194" t="s">
        <v>74</v>
      </c>
      <c r="D1194" t="s">
        <v>739</v>
      </c>
      <c r="E1194" t="s">
        <v>842</v>
      </c>
      <c r="F1194">
        <v>2</v>
      </c>
      <c r="G1194">
        <v>0.15</v>
      </c>
      <c r="H1194" t="s">
        <v>861</v>
      </c>
      <c r="I1194" t="str">
        <f>VLOOKUP(C1194,Customers!A:C,2,FALSE)&amp;" "&amp;VLOOKUP(C1194,Customers!A:C,3,FALSE)</f>
        <v>Breanna Davis</v>
      </c>
      <c r="J1194" t="str">
        <f>VLOOKUP(D1194,Products!A:C,2,FALSE)</f>
        <v>Step Smartphone</v>
      </c>
      <c r="K1194" t="str">
        <f>VLOOKUP(D1194,Products!A:C,3,FALSE)</f>
        <v>Electronics</v>
      </c>
      <c r="L1194" t="str">
        <f>VLOOKUP(E1194,Stores!A:B,2,FALSE)</f>
        <v>MegaMart Brianahaven</v>
      </c>
      <c r="M1194">
        <f>VLOOKUP(D1194,Products!A:E,5,FALSE)</f>
        <v>1194.1199999999999</v>
      </c>
      <c r="N1194" s="5">
        <f t="shared" si="18"/>
        <v>2030.0039999999997</v>
      </c>
    </row>
    <row r="1195" spans="1:14" x14ac:dyDescent="0.3">
      <c r="A1195" t="s">
        <v>2051</v>
      </c>
      <c r="B1195" s="2">
        <v>45486</v>
      </c>
      <c r="C1195" t="s">
        <v>593</v>
      </c>
      <c r="D1195" t="s">
        <v>776</v>
      </c>
      <c r="E1195" t="s">
        <v>842</v>
      </c>
      <c r="F1195">
        <v>1</v>
      </c>
      <c r="G1195">
        <v>0.05</v>
      </c>
      <c r="H1195" t="s">
        <v>858</v>
      </c>
      <c r="I1195" t="str">
        <f>VLOOKUP(C1195,Customers!A:C,2,FALSE)&amp;" "&amp;VLOOKUP(C1195,Customers!A:C,3,FALSE)</f>
        <v>Meagan Ali</v>
      </c>
      <c r="J1195" t="str">
        <f>VLOOKUP(D1195,Products!A:C,2,FALSE)</f>
        <v>Little Watches</v>
      </c>
      <c r="K1195" t="str">
        <f>VLOOKUP(D1195,Products!A:C,3,FALSE)</f>
        <v>Fashion</v>
      </c>
      <c r="L1195" t="str">
        <f>VLOOKUP(E1195,Stores!A:B,2,FALSE)</f>
        <v>MegaMart Brianahaven</v>
      </c>
      <c r="M1195">
        <f>VLOOKUP(D1195,Products!A:E,5,FALSE)</f>
        <v>429.15</v>
      </c>
      <c r="N1195" s="5">
        <f t="shared" si="18"/>
        <v>407.69249999999994</v>
      </c>
    </row>
    <row r="1196" spans="1:14" x14ac:dyDescent="0.3">
      <c r="A1196" t="s">
        <v>2052</v>
      </c>
      <c r="B1196" s="2">
        <v>45895</v>
      </c>
      <c r="C1196" t="s">
        <v>217</v>
      </c>
      <c r="D1196" t="s">
        <v>790</v>
      </c>
      <c r="E1196" t="s">
        <v>846</v>
      </c>
      <c r="F1196">
        <v>1</v>
      </c>
      <c r="G1196">
        <v>0.15</v>
      </c>
      <c r="H1196" t="s">
        <v>855</v>
      </c>
      <c r="I1196" t="str">
        <f>VLOOKUP(C1196,Customers!A:C,2,FALSE)&amp;" "&amp;VLOOKUP(C1196,Customers!A:C,3,FALSE)</f>
        <v>Carl Wyatt</v>
      </c>
      <c r="J1196" t="str">
        <f>VLOOKUP(D1196,Products!A:C,2,FALSE)</f>
        <v>Difficult Vegetables</v>
      </c>
      <c r="K1196" t="str">
        <f>VLOOKUP(D1196,Products!A:C,3,FALSE)</f>
        <v>Groceries</v>
      </c>
      <c r="L1196" t="str">
        <f>VLOOKUP(E1196,Stores!A:B,2,FALSE)</f>
        <v>MegaMart Johnmouth</v>
      </c>
      <c r="M1196">
        <f>VLOOKUP(D1196,Products!A:E,5,FALSE)</f>
        <v>304.70999999999998</v>
      </c>
      <c r="N1196" s="5">
        <f t="shared" si="18"/>
        <v>259.00349999999997</v>
      </c>
    </row>
    <row r="1197" spans="1:14" x14ac:dyDescent="0.3">
      <c r="A1197" t="s">
        <v>2053</v>
      </c>
      <c r="B1197" s="2">
        <v>45727</v>
      </c>
      <c r="C1197" t="s">
        <v>109</v>
      </c>
      <c r="D1197" t="s">
        <v>788</v>
      </c>
      <c r="E1197" t="s">
        <v>831</v>
      </c>
      <c r="F1197">
        <v>1</v>
      </c>
      <c r="G1197">
        <v>0</v>
      </c>
      <c r="H1197" t="s">
        <v>855</v>
      </c>
      <c r="I1197" t="str">
        <f>VLOOKUP(C1197,Customers!A:C,2,FALSE)&amp;" "&amp;VLOOKUP(C1197,Customers!A:C,3,FALSE)</f>
        <v>Jacqueline Martin</v>
      </c>
      <c r="J1197" t="str">
        <f>VLOOKUP(D1197,Products!A:C,2,FALSE)</f>
        <v>Foot Snacks</v>
      </c>
      <c r="K1197" t="str">
        <f>VLOOKUP(D1197,Products!A:C,3,FALSE)</f>
        <v>Groceries</v>
      </c>
      <c r="L1197" t="str">
        <f>VLOOKUP(E1197,Stores!A:B,2,FALSE)</f>
        <v>MegaMart Jimenezborough</v>
      </c>
      <c r="M1197">
        <f>VLOOKUP(D1197,Products!A:E,5,FALSE)</f>
        <v>1095.72</v>
      </c>
      <c r="N1197" s="5">
        <f t="shared" si="18"/>
        <v>1095.72</v>
      </c>
    </row>
    <row r="1198" spans="1:14" x14ac:dyDescent="0.3">
      <c r="A1198" t="s">
        <v>2054</v>
      </c>
      <c r="B1198" s="2">
        <v>45348</v>
      </c>
      <c r="C1198" t="s">
        <v>700</v>
      </c>
      <c r="D1198" t="s">
        <v>761</v>
      </c>
      <c r="E1198" t="s">
        <v>842</v>
      </c>
      <c r="F1198">
        <v>1</v>
      </c>
      <c r="G1198">
        <v>0.15</v>
      </c>
      <c r="H1198" t="s">
        <v>861</v>
      </c>
      <c r="I1198" t="str">
        <f>VLOOKUP(C1198,Customers!A:C,2,FALSE)&amp;" "&amp;VLOOKUP(C1198,Customers!A:C,3,FALSE)</f>
        <v>Juan Johnson</v>
      </c>
      <c r="J1198" t="str">
        <f>VLOOKUP(D1198,Products!A:C,2,FALSE)</f>
        <v>Traditional Laptop</v>
      </c>
      <c r="K1198" t="str">
        <f>VLOOKUP(D1198,Products!A:C,3,FALSE)</f>
        <v>Electronics</v>
      </c>
      <c r="L1198" t="str">
        <f>VLOOKUP(E1198,Stores!A:B,2,FALSE)</f>
        <v>MegaMart Brianahaven</v>
      </c>
      <c r="M1198">
        <f>VLOOKUP(D1198,Products!A:E,5,FALSE)</f>
        <v>1762.92</v>
      </c>
      <c r="N1198" s="5">
        <f t="shared" si="18"/>
        <v>1498.482</v>
      </c>
    </row>
    <row r="1199" spans="1:14" x14ac:dyDescent="0.3">
      <c r="A1199" t="s">
        <v>2055</v>
      </c>
      <c r="B1199" s="2">
        <v>45849</v>
      </c>
      <c r="C1199" t="s">
        <v>599</v>
      </c>
      <c r="D1199" t="s">
        <v>800</v>
      </c>
      <c r="E1199" t="s">
        <v>831</v>
      </c>
      <c r="F1199">
        <v>1</v>
      </c>
      <c r="G1199">
        <v>0.15</v>
      </c>
      <c r="H1199" t="s">
        <v>855</v>
      </c>
      <c r="I1199" t="str">
        <f>VLOOKUP(C1199,Customers!A:C,2,FALSE)&amp;" "&amp;VLOOKUP(C1199,Customers!A:C,3,FALSE)</f>
        <v>Richard Jones</v>
      </c>
      <c r="J1199" t="str">
        <f>VLOOKUP(D1199,Products!A:C,2,FALSE)</f>
        <v>Book Television</v>
      </c>
      <c r="K1199" t="str">
        <f>VLOOKUP(D1199,Products!A:C,3,FALSE)</f>
        <v>Electronics</v>
      </c>
      <c r="L1199" t="str">
        <f>VLOOKUP(E1199,Stores!A:B,2,FALSE)</f>
        <v>MegaMart Jimenezborough</v>
      </c>
      <c r="M1199">
        <f>VLOOKUP(D1199,Products!A:E,5,FALSE)</f>
        <v>1952.65</v>
      </c>
      <c r="N1199" s="5">
        <f t="shared" si="18"/>
        <v>1659.7525000000001</v>
      </c>
    </row>
    <row r="1200" spans="1:14" x14ac:dyDescent="0.3">
      <c r="A1200" t="s">
        <v>2056</v>
      </c>
      <c r="B1200" s="2">
        <v>45906</v>
      </c>
      <c r="C1200" t="s">
        <v>151</v>
      </c>
      <c r="D1200" t="s">
        <v>759</v>
      </c>
      <c r="E1200" t="s">
        <v>839</v>
      </c>
      <c r="F1200">
        <v>4</v>
      </c>
      <c r="G1200">
        <v>0</v>
      </c>
      <c r="H1200" t="s">
        <v>858</v>
      </c>
      <c r="I1200" t="str">
        <f>VLOOKUP(C1200,Customers!A:C,2,FALSE)&amp;" "&amp;VLOOKUP(C1200,Customers!A:C,3,FALSE)</f>
        <v>Nancy Savage</v>
      </c>
      <c r="J1200" t="str">
        <f>VLOOKUP(D1200,Products!A:C,2,FALSE)</f>
        <v>Democratic Smartphone</v>
      </c>
      <c r="K1200" t="str">
        <f>VLOOKUP(D1200,Products!A:C,3,FALSE)</f>
        <v>Electronics</v>
      </c>
      <c r="L1200" t="str">
        <f>VLOOKUP(E1200,Stores!A:B,2,FALSE)</f>
        <v>MegaMart New Michele</v>
      </c>
      <c r="M1200">
        <f>VLOOKUP(D1200,Products!A:E,5,FALSE)</f>
        <v>1079.8900000000001</v>
      </c>
      <c r="N1200" s="5">
        <f t="shared" si="18"/>
        <v>4319.5600000000004</v>
      </c>
    </row>
    <row r="1201" spans="1:14" x14ac:dyDescent="0.3">
      <c r="A1201" t="s">
        <v>2057</v>
      </c>
      <c r="B1201" s="2">
        <v>45248</v>
      </c>
      <c r="C1201" t="s">
        <v>454</v>
      </c>
      <c r="D1201" t="s">
        <v>732</v>
      </c>
      <c r="E1201" t="s">
        <v>842</v>
      </c>
      <c r="F1201">
        <v>4</v>
      </c>
      <c r="G1201">
        <v>0</v>
      </c>
      <c r="H1201" t="s">
        <v>861</v>
      </c>
      <c r="I1201" t="str">
        <f>VLOOKUP(C1201,Customers!A:C,2,FALSE)&amp;" "&amp;VLOOKUP(C1201,Customers!A:C,3,FALSE)</f>
        <v>Peter Edwards</v>
      </c>
      <c r="J1201" t="str">
        <f>VLOOKUP(D1201,Products!A:C,2,FALSE)</f>
        <v>Understand Camera</v>
      </c>
      <c r="K1201" t="str">
        <f>VLOOKUP(D1201,Products!A:C,3,FALSE)</f>
        <v>Electronics</v>
      </c>
      <c r="L1201" t="str">
        <f>VLOOKUP(E1201,Stores!A:B,2,FALSE)</f>
        <v>MegaMart Brianahaven</v>
      </c>
      <c r="M1201">
        <f>VLOOKUP(D1201,Products!A:E,5,FALSE)</f>
        <v>1474.12</v>
      </c>
      <c r="N1201" s="5">
        <f t="shared" si="18"/>
        <v>5896.48</v>
      </c>
    </row>
    <row r="1202" spans="1:14" x14ac:dyDescent="0.3">
      <c r="A1202" t="s">
        <v>2058</v>
      </c>
      <c r="B1202" s="2">
        <v>45271</v>
      </c>
      <c r="C1202" t="s">
        <v>7</v>
      </c>
      <c r="D1202" t="s">
        <v>822</v>
      </c>
      <c r="E1202" t="s">
        <v>842</v>
      </c>
      <c r="F1202">
        <v>4</v>
      </c>
      <c r="G1202">
        <v>0</v>
      </c>
      <c r="H1202" t="s">
        <v>855</v>
      </c>
      <c r="I1202" t="str">
        <f>VLOOKUP(C1202,Customers!A:C,2,FALSE)&amp;" "&amp;VLOOKUP(C1202,Customers!A:C,3,FALSE)</f>
        <v>Michael Davis</v>
      </c>
      <c r="J1202" t="str">
        <f>VLOOKUP(D1202,Products!A:C,2,FALSE)</f>
        <v>Nor Bags</v>
      </c>
      <c r="K1202" t="str">
        <f>VLOOKUP(D1202,Products!A:C,3,FALSE)</f>
        <v>Fashion</v>
      </c>
      <c r="L1202" t="str">
        <f>VLOOKUP(E1202,Stores!A:B,2,FALSE)</f>
        <v>MegaMart Brianahaven</v>
      </c>
      <c r="M1202">
        <f>VLOOKUP(D1202,Products!A:E,5,FALSE)</f>
        <v>1216.3599999999999</v>
      </c>
      <c r="N1202" s="5">
        <f t="shared" si="18"/>
        <v>4865.4399999999996</v>
      </c>
    </row>
    <row r="1203" spans="1:14" x14ac:dyDescent="0.3">
      <c r="A1203" t="s">
        <v>2059</v>
      </c>
      <c r="B1203" s="2">
        <v>45695</v>
      </c>
      <c r="C1203" t="s">
        <v>324</v>
      </c>
      <c r="D1203" t="s">
        <v>818</v>
      </c>
      <c r="E1203" t="s">
        <v>839</v>
      </c>
      <c r="F1203">
        <v>4</v>
      </c>
      <c r="G1203">
        <v>0</v>
      </c>
      <c r="H1203" t="s">
        <v>865</v>
      </c>
      <c r="I1203" t="str">
        <f>VLOOKUP(C1203,Customers!A:C,2,FALSE)&amp;" "&amp;VLOOKUP(C1203,Customers!A:C,3,FALSE)</f>
        <v>Lawrence Hunter</v>
      </c>
      <c r="J1203" t="str">
        <f>VLOOKUP(D1203,Products!A:C,2,FALSE)</f>
        <v>Nature Clothing</v>
      </c>
      <c r="K1203" t="str">
        <f>VLOOKUP(D1203,Products!A:C,3,FALSE)</f>
        <v>Fashion</v>
      </c>
      <c r="L1203" t="str">
        <f>VLOOKUP(E1203,Stores!A:B,2,FALSE)</f>
        <v>MegaMart New Michele</v>
      </c>
      <c r="M1203">
        <f>VLOOKUP(D1203,Products!A:E,5,FALSE)</f>
        <v>1165.3699999999999</v>
      </c>
      <c r="N1203" s="5">
        <f t="shared" si="18"/>
        <v>4661.4799999999996</v>
      </c>
    </row>
    <row r="1204" spans="1:14" x14ac:dyDescent="0.3">
      <c r="A1204" t="s">
        <v>2060</v>
      </c>
      <c r="B1204" s="2">
        <v>45666</v>
      </c>
      <c r="C1204" t="s">
        <v>355</v>
      </c>
      <c r="D1204" t="s">
        <v>810</v>
      </c>
      <c r="E1204" t="s">
        <v>846</v>
      </c>
      <c r="F1204">
        <v>3</v>
      </c>
      <c r="G1204">
        <v>0</v>
      </c>
      <c r="H1204" t="s">
        <v>858</v>
      </c>
      <c r="I1204" t="str">
        <f>VLOOKUP(C1204,Customers!A:C,2,FALSE)&amp;" "&amp;VLOOKUP(C1204,Customers!A:C,3,FALSE)</f>
        <v>Kimberly Stokes</v>
      </c>
      <c r="J1204" t="str">
        <f>VLOOKUP(D1204,Products!A:C,2,FALSE)</f>
        <v>Maybe Clothing</v>
      </c>
      <c r="K1204" t="str">
        <f>VLOOKUP(D1204,Products!A:C,3,FALSE)</f>
        <v>Fashion</v>
      </c>
      <c r="L1204" t="str">
        <f>VLOOKUP(E1204,Stores!A:B,2,FALSE)</f>
        <v>MegaMart Johnmouth</v>
      </c>
      <c r="M1204">
        <f>VLOOKUP(D1204,Products!A:E,5,FALSE)</f>
        <v>453.62</v>
      </c>
      <c r="N1204" s="5">
        <f t="shared" si="18"/>
        <v>1360.8600000000001</v>
      </c>
    </row>
    <row r="1205" spans="1:14" x14ac:dyDescent="0.3">
      <c r="A1205" t="s">
        <v>2061</v>
      </c>
      <c r="B1205" s="2">
        <v>45307</v>
      </c>
      <c r="C1205" t="s">
        <v>687</v>
      </c>
      <c r="D1205" t="s">
        <v>759</v>
      </c>
      <c r="E1205" t="s">
        <v>839</v>
      </c>
      <c r="F1205">
        <v>2</v>
      </c>
      <c r="G1205">
        <v>0.05</v>
      </c>
      <c r="H1205" t="s">
        <v>865</v>
      </c>
      <c r="I1205" t="str">
        <f>VLOOKUP(C1205,Customers!A:C,2,FALSE)&amp;" "&amp;VLOOKUP(C1205,Customers!A:C,3,FALSE)</f>
        <v>James Mitchell</v>
      </c>
      <c r="J1205" t="str">
        <f>VLOOKUP(D1205,Products!A:C,2,FALSE)</f>
        <v>Democratic Smartphone</v>
      </c>
      <c r="K1205" t="str">
        <f>VLOOKUP(D1205,Products!A:C,3,FALSE)</f>
        <v>Electronics</v>
      </c>
      <c r="L1205" t="str">
        <f>VLOOKUP(E1205,Stores!A:B,2,FALSE)</f>
        <v>MegaMart New Michele</v>
      </c>
      <c r="M1205">
        <f>VLOOKUP(D1205,Products!A:E,5,FALSE)</f>
        <v>1079.8900000000001</v>
      </c>
      <c r="N1205" s="5">
        <f t="shared" si="18"/>
        <v>2051.7910000000002</v>
      </c>
    </row>
    <row r="1206" spans="1:14" x14ac:dyDescent="0.3">
      <c r="A1206" t="s">
        <v>2062</v>
      </c>
      <c r="B1206" s="2">
        <v>45902</v>
      </c>
      <c r="C1206" t="s">
        <v>372</v>
      </c>
      <c r="D1206" t="s">
        <v>722</v>
      </c>
      <c r="E1206" t="s">
        <v>835</v>
      </c>
      <c r="F1206">
        <v>3</v>
      </c>
      <c r="G1206">
        <v>0.15</v>
      </c>
      <c r="H1206" t="s">
        <v>865</v>
      </c>
      <c r="I1206" t="str">
        <f>VLOOKUP(C1206,Customers!A:C,2,FALSE)&amp;" "&amp;VLOOKUP(C1206,Customers!A:C,3,FALSE)</f>
        <v>Kimberly Jones</v>
      </c>
      <c r="J1206" t="str">
        <f>VLOOKUP(D1206,Products!A:C,2,FALSE)</f>
        <v>Four Accessories</v>
      </c>
      <c r="K1206" t="str">
        <f>VLOOKUP(D1206,Products!A:C,3,FALSE)</f>
        <v>Fashion</v>
      </c>
      <c r="L1206" t="str">
        <f>VLOOKUP(E1206,Stores!A:B,2,FALSE)</f>
        <v>MegaMart Peckmouth</v>
      </c>
      <c r="M1206">
        <f>VLOOKUP(D1206,Products!A:E,5,FALSE)</f>
        <v>1853.77</v>
      </c>
      <c r="N1206" s="5">
        <f t="shared" si="18"/>
        <v>4727.1134999999995</v>
      </c>
    </row>
    <row r="1207" spans="1:14" x14ac:dyDescent="0.3">
      <c r="A1207" t="s">
        <v>2063</v>
      </c>
      <c r="B1207" s="2">
        <v>45455</v>
      </c>
      <c r="C1207" t="s">
        <v>579</v>
      </c>
      <c r="D1207" t="s">
        <v>820</v>
      </c>
      <c r="E1207" t="s">
        <v>839</v>
      </c>
      <c r="F1207">
        <v>4</v>
      </c>
      <c r="G1207">
        <v>0</v>
      </c>
      <c r="H1207" t="s">
        <v>858</v>
      </c>
      <c r="I1207" t="str">
        <f>VLOOKUP(C1207,Customers!A:C,2,FALSE)&amp;" "&amp;VLOOKUP(C1207,Customers!A:C,3,FALSE)</f>
        <v>Jill Roach</v>
      </c>
      <c r="J1207" t="str">
        <f>VLOOKUP(D1207,Products!A:C,2,FALSE)</f>
        <v>Or Smartphone</v>
      </c>
      <c r="K1207" t="str">
        <f>VLOOKUP(D1207,Products!A:C,3,FALSE)</f>
        <v>Electronics</v>
      </c>
      <c r="L1207" t="str">
        <f>VLOOKUP(E1207,Stores!A:B,2,FALSE)</f>
        <v>MegaMart New Michele</v>
      </c>
      <c r="M1207">
        <f>VLOOKUP(D1207,Products!A:E,5,FALSE)</f>
        <v>1197.18</v>
      </c>
      <c r="N1207" s="5">
        <f t="shared" si="18"/>
        <v>4788.72</v>
      </c>
    </row>
    <row r="1208" spans="1:14" x14ac:dyDescent="0.3">
      <c r="A1208" t="s">
        <v>2064</v>
      </c>
      <c r="B1208" s="2">
        <v>45326</v>
      </c>
      <c r="C1208" t="s">
        <v>666</v>
      </c>
      <c r="D1208" t="s">
        <v>755</v>
      </c>
      <c r="E1208" t="s">
        <v>835</v>
      </c>
      <c r="F1208">
        <v>2</v>
      </c>
      <c r="G1208">
        <v>0</v>
      </c>
      <c r="H1208" t="s">
        <v>861</v>
      </c>
      <c r="I1208" t="str">
        <f>VLOOKUP(C1208,Customers!A:C,2,FALSE)&amp;" "&amp;VLOOKUP(C1208,Customers!A:C,3,FALSE)</f>
        <v>Steve Flynn</v>
      </c>
      <c r="J1208" t="str">
        <f>VLOOKUP(D1208,Products!A:C,2,FALSE)</f>
        <v>House Accessories</v>
      </c>
      <c r="K1208" t="str">
        <f>VLOOKUP(D1208,Products!A:C,3,FALSE)</f>
        <v>Fashion</v>
      </c>
      <c r="L1208" t="str">
        <f>VLOOKUP(E1208,Stores!A:B,2,FALSE)</f>
        <v>MegaMart Peckmouth</v>
      </c>
      <c r="M1208">
        <f>VLOOKUP(D1208,Products!A:E,5,FALSE)</f>
        <v>1858.75</v>
      </c>
      <c r="N1208" s="5">
        <f t="shared" si="18"/>
        <v>3717.5</v>
      </c>
    </row>
    <row r="1209" spans="1:14" x14ac:dyDescent="0.3">
      <c r="A1209" t="s">
        <v>2065</v>
      </c>
      <c r="B1209" s="2">
        <v>45781</v>
      </c>
      <c r="C1209" t="s">
        <v>32</v>
      </c>
      <c r="D1209" t="s">
        <v>736</v>
      </c>
      <c r="E1209" t="s">
        <v>846</v>
      </c>
      <c r="F1209">
        <v>2</v>
      </c>
      <c r="G1209">
        <v>0.15</v>
      </c>
      <c r="H1209" t="s">
        <v>858</v>
      </c>
      <c r="I1209" t="str">
        <f>VLOOKUP(C1209,Customers!A:C,2,FALSE)&amp;" "&amp;VLOOKUP(C1209,Customers!A:C,3,FALSE)</f>
        <v>Erin Walker</v>
      </c>
      <c r="J1209" t="str">
        <f>VLOOKUP(D1209,Products!A:C,2,FALSE)</f>
        <v>Us Snacks</v>
      </c>
      <c r="K1209" t="str">
        <f>VLOOKUP(D1209,Products!A:C,3,FALSE)</f>
        <v>Groceries</v>
      </c>
      <c r="L1209" t="str">
        <f>VLOOKUP(E1209,Stores!A:B,2,FALSE)</f>
        <v>MegaMart Johnmouth</v>
      </c>
      <c r="M1209">
        <f>VLOOKUP(D1209,Products!A:E,5,FALSE)</f>
        <v>123.19</v>
      </c>
      <c r="N1209" s="5">
        <f t="shared" si="18"/>
        <v>209.423</v>
      </c>
    </row>
    <row r="1210" spans="1:14" x14ac:dyDescent="0.3">
      <c r="A1210" t="s">
        <v>2066</v>
      </c>
      <c r="B1210" s="2">
        <v>45829</v>
      </c>
      <c r="C1210" t="s">
        <v>71</v>
      </c>
      <c r="D1210" t="s">
        <v>790</v>
      </c>
      <c r="E1210" t="s">
        <v>846</v>
      </c>
      <c r="F1210">
        <v>3</v>
      </c>
      <c r="G1210">
        <v>0.15</v>
      </c>
      <c r="H1210" t="s">
        <v>858</v>
      </c>
      <c r="I1210" t="str">
        <f>VLOOKUP(C1210,Customers!A:C,2,FALSE)&amp;" "&amp;VLOOKUP(C1210,Customers!A:C,3,FALSE)</f>
        <v>Vanessa Anderson</v>
      </c>
      <c r="J1210" t="str">
        <f>VLOOKUP(D1210,Products!A:C,2,FALSE)</f>
        <v>Difficult Vegetables</v>
      </c>
      <c r="K1210" t="str">
        <f>VLOOKUP(D1210,Products!A:C,3,FALSE)</f>
        <v>Groceries</v>
      </c>
      <c r="L1210" t="str">
        <f>VLOOKUP(E1210,Stores!A:B,2,FALSE)</f>
        <v>MegaMart Johnmouth</v>
      </c>
      <c r="M1210">
        <f>VLOOKUP(D1210,Products!A:E,5,FALSE)</f>
        <v>304.70999999999998</v>
      </c>
      <c r="N1210" s="5">
        <f t="shared" si="18"/>
        <v>777.01049999999987</v>
      </c>
    </row>
    <row r="1211" spans="1:14" x14ac:dyDescent="0.3">
      <c r="A1211" t="s">
        <v>2067</v>
      </c>
      <c r="B1211" s="2">
        <v>45325</v>
      </c>
      <c r="C1211" t="s">
        <v>24</v>
      </c>
      <c r="D1211" t="s">
        <v>782</v>
      </c>
      <c r="E1211" t="s">
        <v>831</v>
      </c>
      <c r="F1211">
        <v>3</v>
      </c>
      <c r="G1211">
        <v>0</v>
      </c>
      <c r="H1211" t="s">
        <v>855</v>
      </c>
      <c r="I1211" t="str">
        <f>VLOOKUP(C1211,Customers!A:C,2,FALSE)&amp;" "&amp;VLOOKUP(C1211,Customers!A:C,3,FALSE)</f>
        <v>Jamie Salinas</v>
      </c>
      <c r="J1211" t="str">
        <f>VLOOKUP(D1211,Products!A:C,2,FALSE)</f>
        <v>Deal Smartphone</v>
      </c>
      <c r="K1211" t="str">
        <f>VLOOKUP(D1211,Products!A:C,3,FALSE)</f>
        <v>Electronics</v>
      </c>
      <c r="L1211" t="str">
        <f>VLOOKUP(E1211,Stores!A:B,2,FALSE)</f>
        <v>MegaMart Jimenezborough</v>
      </c>
      <c r="M1211">
        <f>VLOOKUP(D1211,Products!A:E,5,FALSE)</f>
        <v>673.78</v>
      </c>
      <c r="N1211" s="5">
        <f t="shared" si="18"/>
        <v>2021.34</v>
      </c>
    </row>
    <row r="1212" spans="1:14" x14ac:dyDescent="0.3">
      <c r="A1212" t="s">
        <v>2068</v>
      </c>
      <c r="B1212" s="2">
        <v>45648</v>
      </c>
      <c r="C1212" t="s">
        <v>653</v>
      </c>
      <c r="D1212" t="s">
        <v>784</v>
      </c>
      <c r="E1212" t="s">
        <v>831</v>
      </c>
      <c r="F1212">
        <v>4</v>
      </c>
      <c r="G1212">
        <v>0</v>
      </c>
      <c r="H1212" t="s">
        <v>861</v>
      </c>
      <c r="I1212" t="str">
        <f>VLOOKUP(C1212,Customers!A:C,2,FALSE)&amp;" "&amp;VLOOKUP(C1212,Customers!A:C,3,FALSE)</f>
        <v>Joe Vincent</v>
      </c>
      <c r="J1212" t="str">
        <f>VLOOKUP(D1212,Products!A:C,2,FALSE)</f>
        <v>Road Clothing</v>
      </c>
      <c r="K1212" t="str">
        <f>VLOOKUP(D1212,Products!A:C,3,FALSE)</f>
        <v>Fashion</v>
      </c>
      <c r="L1212" t="str">
        <f>VLOOKUP(E1212,Stores!A:B,2,FALSE)</f>
        <v>MegaMart Jimenezborough</v>
      </c>
      <c r="M1212">
        <f>VLOOKUP(D1212,Products!A:E,5,FALSE)</f>
        <v>1485.05</v>
      </c>
      <c r="N1212" s="5">
        <f t="shared" si="18"/>
        <v>5940.2</v>
      </c>
    </row>
    <row r="1213" spans="1:14" x14ac:dyDescent="0.3">
      <c r="A1213" t="s">
        <v>2069</v>
      </c>
      <c r="B1213" s="2">
        <v>45621</v>
      </c>
      <c r="C1213" t="s">
        <v>599</v>
      </c>
      <c r="D1213" t="s">
        <v>764</v>
      </c>
      <c r="E1213" t="s">
        <v>846</v>
      </c>
      <c r="F1213">
        <v>4</v>
      </c>
      <c r="G1213">
        <v>0.05</v>
      </c>
      <c r="H1213" t="s">
        <v>861</v>
      </c>
      <c r="I1213" t="str">
        <f>VLOOKUP(C1213,Customers!A:C,2,FALSE)&amp;" "&amp;VLOOKUP(C1213,Customers!A:C,3,FALSE)</f>
        <v>Richard Jones</v>
      </c>
      <c r="J1213" t="str">
        <f>VLOOKUP(D1213,Products!A:C,2,FALSE)</f>
        <v>Simple Accessories</v>
      </c>
      <c r="K1213" t="str">
        <f>VLOOKUP(D1213,Products!A:C,3,FALSE)</f>
        <v>Fashion</v>
      </c>
      <c r="L1213" t="str">
        <f>VLOOKUP(E1213,Stores!A:B,2,FALSE)</f>
        <v>MegaMart Johnmouth</v>
      </c>
      <c r="M1213">
        <f>VLOOKUP(D1213,Products!A:E,5,FALSE)</f>
        <v>323.92</v>
      </c>
      <c r="N1213" s="5">
        <f t="shared" si="18"/>
        <v>1230.896</v>
      </c>
    </row>
    <row r="1214" spans="1:14" x14ac:dyDescent="0.3">
      <c r="A1214" t="s">
        <v>2070</v>
      </c>
      <c r="B1214" s="2">
        <v>45265</v>
      </c>
      <c r="C1214" t="s">
        <v>77</v>
      </c>
      <c r="D1214" t="s">
        <v>772</v>
      </c>
      <c r="E1214" t="s">
        <v>831</v>
      </c>
      <c r="F1214">
        <v>2</v>
      </c>
      <c r="G1214">
        <v>0.15</v>
      </c>
      <c r="H1214" t="s">
        <v>865</v>
      </c>
      <c r="I1214" t="str">
        <f>VLOOKUP(C1214,Customers!A:C,2,FALSE)&amp;" "&amp;VLOOKUP(C1214,Customers!A:C,3,FALSE)</f>
        <v>John Smith</v>
      </c>
      <c r="J1214" t="str">
        <f>VLOOKUP(D1214,Products!A:C,2,FALSE)</f>
        <v>And Footwear</v>
      </c>
      <c r="K1214" t="str">
        <f>VLOOKUP(D1214,Products!A:C,3,FALSE)</f>
        <v>Fashion</v>
      </c>
      <c r="L1214" t="str">
        <f>VLOOKUP(E1214,Stores!A:B,2,FALSE)</f>
        <v>MegaMart Jimenezborough</v>
      </c>
      <c r="M1214">
        <f>VLOOKUP(D1214,Products!A:E,5,FALSE)</f>
        <v>1878.47</v>
      </c>
      <c r="N1214" s="5">
        <f t="shared" si="18"/>
        <v>3193.3989999999999</v>
      </c>
    </row>
    <row r="1215" spans="1:14" x14ac:dyDescent="0.3">
      <c r="A1215" t="s">
        <v>2071</v>
      </c>
      <c r="B1215" s="2">
        <v>45630</v>
      </c>
      <c r="C1215" t="s">
        <v>449</v>
      </c>
      <c r="D1215" t="s">
        <v>753</v>
      </c>
      <c r="E1215" t="s">
        <v>846</v>
      </c>
      <c r="F1215">
        <v>1</v>
      </c>
      <c r="G1215">
        <v>0.05</v>
      </c>
      <c r="H1215" t="s">
        <v>861</v>
      </c>
      <c r="I1215" t="str">
        <f>VLOOKUP(C1215,Customers!A:C,2,FALSE)&amp;" "&amp;VLOOKUP(C1215,Customers!A:C,3,FALSE)</f>
        <v>John Bell</v>
      </c>
      <c r="J1215" t="str">
        <f>VLOOKUP(D1215,Products!A:C,2,FALSE)</f>
        <v>Whether Bags</v>
      </c>
      <c r="K1215" t="str">
        <f>VLOOKUP(D1215,Products!A:C,3,FALSE)</f>
        <v>Fashion</v>
      </c>
      <c r="L1215" t="str">
        <f>VLOOKUP(E1215,Stores!A:B,2,FALSE)</f>
        <v>MegaMart Johnmouth</v>
      </c>
      <c r="M1215">
        <f>VLOOKUP(D1215,Products!A:E,5,FALSE)</f>
        <v>270.45</v>
      </c>
      <c r="N1215" s="5">
        <f t="shared" si="18"/>
        <v>256.92749999999995</v>
      </c>
    </row>
    <row r="1216" spans="1:14" x14ac:dyDescent="0.3">
      <c r="A1216" t="s">
        <v>2072</v>
      </c>
      <c r="B1216" s="2">
        <v>45764</v>
      </c>
      <c r="C1216" t="s">
        <v>20</v>
      </c>
      <c r="D1216" t="s">
        <v>816</v>
      </c>
      <c r="E1216" t="s">
        <v>835</v>
      </c>
      <c r="F1216">
        <v>1</v>
      </c>
      <c r="G1216">
        <v>0.1</v>
      </c>
      <c r="H1216" t="s">
        <v>865</v>
      </c>
      <c r="I1216" t="str">
        <f>VLOOKUP(C1216,Customers!A:C,2,FALSE)&amp;" "&amp;VLOOKUP(C1216,Customers!A:C,3,FALSE)</f>
        <v>Joseph Ward</v>
      </c>
      <c r="J1216" t="str">
        <f>VLOOKUP(D1216,Products!A:C,2,FALSE)</f>
        <v>Set Dairy</v>
      </c>
      <c r="K1216" t="str">
        <f>VLOOKUP(D1216,Products!A:C,3,FALSE)</f>
        <v>Groceries</v>
      </c>
      <c r="L1216" t="str">
        <f>VLOOKUP(E1216,Stores!A:B,2,FALSE)</f>
        <v>MegaMart Peckmouth</v>
      </c>
      <c r="M1216">
        <f>VLOOKUP(D1216,Products!A:E,5,FALSE)</f>
        <v>1879.08</v>
      </c>
      <c r="N1216" s="5">
        <f t="shared" si="18"/>
        <v>1691.172</v>
      </c>
    </row>
    <row r="1217" spans="1:14" x14ac:dyDescent="0.3">
      <c r="A1217" t="s">
        <v>2073</v>
      </c>
      <c r="B1217" s="2">
        <v>45906</v>
      </c>
      <c r="C1217" t="s">
        <v>435</v>
      </c>
      <c r="D1217" t="s">
        <v>818</v>
      </c>
      <c r="E1217" t="s">
        <v>846</v>
      </c>
      <c r="F1217">
        <v>2</v>
      </c>
      <c r="G1217">
        <v>0</v>
      </c>
      <c r="H1217" t="s">
        <v>865</v>
      </c>
      <c r="I1217" t="str">
        <f>VLOOKUP(C1217,Customers!A:C,2,FALSE)&amp;" "&amp;VLOOKUP(C1217,Customers!A:C,3,FALSE)</f>
        <v>Timothy Beck</v>
      </c>
      <c r="J1217" t="str">
        <f>VLOOKUP(D1217,Products!A:C,2,FALSE)</f>
        <v>Nature Clothing</v>
      </c>
      <c r="K1217" t="str">
        <f>VLOOKUP(D1217,Products!A:C,3,FALSE)</f>
        <v>Fashion</v>
      </c>
      <c r="L1217" t="str">
        <f>VLOOKUP(E1217,Stores!A:B,2,FALSE)</f>
        <v>MegaMart Johnmouth</v>
      </c>
      <c r="M1217">
        <f>VLOOKUP(D1217,Products!A:E,5,FALSE)</f>
        <v>1165.3699999999999</v>
      </c>
      <c r="N1217" s="5">
        <f t="shared" si="18"/>
        <v>2330.7399999999998</v>
      </c>
    </row>
    <row r="1218" spans="1:14" x14ac:dyDescent="0.3">
      <c r="A1218" t="s">
        <v>2074</v>
      </c>
      <c r="B1218" s="2">
        <v>45642</v>
      </c>
      <c r="C1218" t="s">
        <v>119</v>
      </c>
      <c r="D1218" t="s">
        <v>766</v>
      </c>
      <c r="E1218" t="s">
        <v>842</v>
      </c>
      <c r="F1218">
        <v>5</v>
      </c>
      <c r="G1218">
        <v>0.05</v>
      </c>
      <c r="H1218" t="s">
        <v>865</v>
      </c>
      <c r="I1218" t="str">
        <f>VLOOKUP(C1218,Customers!A:C,2,FALSE)&amp;" "&amp;VLOOKUP(C1218,Customers!A:C,3,FALSE)</f>
        <v>Lacey Hall</v>
      </c>
      <c r="J1218" t="str">
        <f>VLOOKUP(D1218,Products!A:C,2,FALSE)</f>
        <v>Firm Dairy</v>
      </c>
      <c r="K1218" t="str">
        <f>VLOOKUP(D1218,Products!A:C,3,FALSE)</f>
        <v>Groceries</v>
      </c>
      <c r="L1218" t="str">
        <f>VLOOKUP(E1218,Stores!A:B,2,FALSE)</f>
        <v>MegaMart Brianahaven</v>
      </c>
      <c r="M1218">
        <f>VLOOKUP(D1218,Products!A:E,5,FALSE)</f>
        <v>1227.24</v>
      </c>
      <c r="N1218" s="5">
        <f t="shared" si="18"/>
        <v>5829.3899999999994</v>
      </c>
    </row>
    <row r="1219" spans="1:14" x14ac:dyDescent="0.3">
      <c r="A1219" t="s">
        <v>2075</v>
      </c>
      <c r="B1219" s="2">
        <v>45798</v>
      </c>
      <c r="C1219" t="s">
        <v>202</v>
      </c>
      <c r="D1219" t="s">
        <v>711</v>
      </c>
      <c r="E1219" t="s">
        <v>842</v>
      </c>
      <c r="F1219">
        <v>3</v>
      </c>
      <c r="G1219">
        <v>0.15</v>
      </c>
      <c r="H1219" t="s">
        <v>855</v>
      </c>
      <c r="I1219" t="str">
        <f>VLOOKUP(C1219,Customers!A:C,2,FALSE)&amp;" "&amp;VLOOKUP(C1219,Customers!A:C,3,FALSE)</f>
        <v>Billy Hernandez</v>
      </c>
      <c r="J1219" t="str">
        <f>VLOOKUP(D1219,Products!A:C,2,FALSE)</f>
        <v>Like Camera</v>
      </c>
      <c r="K1219" t="str">
        <f>VLOOKUP(D1219,Products!A:C,3,FALSE)</f>
        <v>Electronics</v>
      </c>
      <c r="L1219" t="str">
        <f>VLOOKUP(E1219,Stores!A:B,2,FALSE)</f>
        <v>MegaMart Brianahaven</v>
      </c>
      <c r="M1219">
        <f>VLOOKUP(D1219,Products!A:E,5,FALSE)</f>
        <v>1673.69</v>
      </c>
      <c r="N1219" s="5">
        <f t="shared" ref="N1219:N1282" si="19">F1219*M1219*(1-G1219)</f>
        <v>4267.9094999999998</v>
      </c>
    </row>
    <row r="1220" spans="1:14" x14ac:dyDescent="0.3">
      <c r="A1220" t="s">
        <v>2076</v>
      </c>
      <c r="B1220" s="2">
        <v>45853</v>
      </c>
      <c r="C1220" t="s">
        <v>123</v>
      </c>
      <c r="D1220" t="s">
        <v>794</v>
      </c>
      <c r="E1220" t="s">
        <v>846</v>
      </c>
      <c r="F1220">
        <v>5</v>
      </c>
      <c r="G1220">
        <v>0.05</v>
      </c>
      <c r="H1220" t="s">
        <v>855</v>
      </c>
      <c r="I1220" t="str">
        <f>VLOOKUP(C1220,Customers!A:C,2,FALSE)&amp;" "&amp;VLOOKUP(C1220,Customers!A:C,3,FALSE)</f>
        <v>Ashley Gibson</v>
      </c>
      <c r="J1220" t="str">
        <f>VLOOKUP(D1220,Products!A:C,2,FALSE)</f>
        <v>Everything Laptop</v>
      </c>
      <c r="K1220" t="str">
        <f>VLOOKUP(D1220,Products!A:C,3,FALSE)</f>
        <v>Electronics</v>
      </c>
      <c r="L1220" t="str">
        <f>VLOOKUP(E1220,Stores!A:B,2,FALSE)</f>
        <v>MegaMart Johnmouth</v>
      </c>
      <c r="M1220">
        <f>VLOOKUP(D1220,Products!A:E,5,FALSE)</f>
        <v>428.05</v>
      </c>
      <c r="N1220" s="5">
        <f t="shared" si="19"/>
        <v>2033.2375</v>
      </c>
    </row>
    <row r="1221" spans="1:14" x14ac:dyDescent="0.3">
      <c r="A1221" t="s">
        <v>2077</v>
      </c>
      <c r="B1221" s="2">
        <v>45581</v>
      </c>
      <c r="C1221" t="s">
        <v>213</v>
      </c>
      <c r="D1221" t="s">
        <v>822</v>
      </c>
      <c r="E1221" t="s">
        <v>831</v>
      </c>
      <c r="F1221">
        <v>5</v>
      </c>
      <c r="G1221">
        <v>0.05</v>
      </c>
      <c r="H1221" t="s">
        <v>855</v>
      </c>
      <c r="I1221" t="str">
        <f>VLOOKUP(C1221,Customers!A:C,2,FALSE)&amp;" "&amp;VLOOKUP(C1221,Customers!A:C,3,FALSE)</f>
        <v>Deborah Moody</v>
      </c>
      <c r="J1221" t="str">
        <f>VLOOKUP(D1221,Products!A:C,2,FALSE)</f>
        <v>Nor Bags</v>
      </c>
      <c r="K1221" t="str">
        <f>VLOOKUP(D1221,Products!A:C,3,FALSE)</f>
        <v>Fashion</v>
      </c>
      <c r="L1221" t="str">
        <f>VLOOKUP(E1221,Stores!A:B,2,FALSE)</f>
        <v>MegaMart Jimenezborough</v>
      </c>
      <c r="M1221">
        <f>VLOOKUP(D1221,Products!A:E,5,FALSE)</f>
        <v>1216.3599999999999</v>
      </c>
      <c r="N1221" s="5">
        <f t="shared" si="19"/>
        <v>5777.7099999999991</v>
      </c>
    </row>
    <row r="1222" spans="1:14" x14ac:dyDescent="0.3">
      <c r="A1222" t="s">
        <v>2078</v>
      </c>
      <c r="B1222" s="2">
        <v>45782</v>
      </c>
      <c r="C1222" t="s">
        <v>71</v>
      </c>
      <c r="D1222" t="s">
        <v>808</v>
      </c>
      <c r="E1222" t="s">
        <v>831</v>
      </c>
      <c r="F1222">
        <v>3</v>
      </c>
      <c r="G1222">
        <v>0.05</v>
      </c>
      <c r="H1222" t="s">
        <v>858</v>
      </c>
      <c r="I1222" t="str">
        <f>VLOOKUP(C1222,Customers!A:C,2,FALSE)&amp;" "&amp;VLOOKUP(C1222,Customers!A:C,3,FALSE)</f>
        <v>Vanessa Anderson</v>
      </c>
      <c r="J1222" t="str">
        <f>VLOOKUP(D1222,Products!A:C,2,FALSE)</f>
        <v>Present Television</v>
      </c>
      <c r="K1222" t="str">
        <f>VLOOKUP(D1222,Products!A:C,3,FALSE)</f>
        <v>Electronics</v>
      </c>
      <c r="L1222" t="str">
        <f>VLOOKUP(E1222,Stores!A:B,2,FALSE)</f>
        <v>MegaMart Jimenezborough</v>
      </c>
      <c r="M1222">
        <f>VLOOKUP(D1222,Products!A:E,5,FALSE)</f>
        <v>1635.01</v>
      </c>
      <c r="N1222" s="5">
        <f t="shared" si="19"/>
        <v>4659.7784999999994</v>
      </c>
    </row>
    <row r="1223" spans="1:14" x14ac:dyDescent="0.3">
      <c r="A1223" t="s">
        <v>2079</v>
      </c>
      <c r="B1223" s="2">
        <v>45869</v>
      </c>
      <c r="C1223" t="s">
        <v>171</v>
      </c>
      <c r="D1223" t="s">
        <v>818</v>
      </c>
      <c r="E1223" t="s">
        <v>839</v>
      </c>
      <c r="F1223">
        <v>5</v>
      </c>
      <c r="G1223">
        <v>0.05</v>
      </c>
      <c r="H1223" t="s">
        <v>858</v>
      </c>
      <c r="I1223" t="str">
        <f>VLOOKUP(C1223,Customers!A:C,2,FALSE)&amp;" "&amp;VLOOKUP(C1223,Customers!A:C,3,FALSE)</f>
        <v>Parker Sparks</v>
      </c>
      <c r="J1223" t="str">
        <f>VLOOKUP(D1223,Products!A:C,2,FALSE)</f>
        <v>Nature Clothing</v>
      </c>
      <c r="K1223" t="str">
        <f>VLOOKUP(D1223,Products!A:C,3,FALSE)</f>
        <v>Fashion</v>
      </c>
      <c r="L1223" t="str">
        <f>VLOOKUP(E1223,Stores!A:B,2,FALSE)</f>
        <v>MegaMart New Michele</v>
      </c>
      <c r="M1223">
        <f>VLOOKUP(D1223,Products!A:E,5,FALSE)</f>
        <v>1165.3699999999999</v>
      </c>
      <c r="N1223" s="5">
        <f t="shared" si="19"/>
        <v>5535.5074999999988</v>
      </c>
    </row>
    <row r="1224" spans="1:14" x14ac:dyDescent="0.3">
      <c r="A1224" t="s">
        <v>2080</v>
      </c>
      <c r="B1224" s="2">
        <v>45473</v>
      </c>
      <c r="C1224" t="s">
        <v>241</v>
      </c>
      <c r="D1224" t="s">
        <v>784</v>
      </c>
      <c r="E1224" t="s">
        <v>846</v>
      </c>
      <c r="F1224">
        <v>1</v>
      </c>
      <c r="G1224">
        <v>0.05</v>
      </c>
      <c r="H1224" t="s">
        <v>865</v>
      </c>
      <c r="I1224" t="str">
        <f>VLOOKUP(C1224,Customers!A:C,2,FALSE)&amp;" "&amp;VLOOKUP(C1224,Customers!A:C,3,FALSE)</f>
        <v>Michael Johnson</v>
      </c>
      <c r="J1224" t="str">
        <f>VLOOKUP(D1224,Products!A:C,2,FALSE)</f>
        <v>Road Clothing</v>
      </c>
      <c r="K1224" t="str">
        <f>VLOOKUP(D1224,Products!A:C,3,FALSE)</f>
        <v>Fashion</v>
      </c>
      <c r="L1224" t="str">
        <f>VLOOKUP(E1224,Stores!A:B,2,FALSE)</f>
        <v>MegaMart Johnmouth</v>
      </c>
      <c r="M1224">
        <f>VLOOKUP(D1224,Products!A:E,5,FALSE)</f>
        <v>1485.05</v>
      </c>
      <c r="N1224" s="5">
        <f t="shared" si="19"/>
        <v>1410.7974999999999</v>
      </c>
    </row>
    <row r="1225" spans="1:14" x14ac:dyDescent="0.3">
      <c r="A1225" t="s">
        <v>2081</v>
      </c>
      <c r="B1225" s="2">
        <v>45317</v>
      </c>
      <c r="C1225" t="s">
        <v>579</v>
      </c>
      <c r="D1225" t="s">
        <v>715</v>
      </c>
      <c r="E1225" t="s">
        <v>846</v>
      </c>
      <c r="F1225">
        <v>4</v>
      </c>
      <c r="G1225">
        <v>0.05</v>
      </c>
      <c r="H1225" t="s">
        <v>865</v>
      </c>
      <c r="I1225" t="str">
        <f>VLOOKUP(C1225,Customers!A:C,2,FALSE)&amp;" "&amp;VLOOKUP(C1225,Customers!A:C,3,FALSE)</f>
        <v>Jill Roach</v>
      </c>
      <c r="J1225" t="str">
        <f>VLOOKUP(D1225,Products!A:C,2,FALSE)</f>
        <v>Audience Television</v>
      </c>
      <c r="K1225" t="str">
        <f>VLOOKUP(D1225,Products!A:C,3,FALSE)</f>
        <v>Electronics</v>
      </c>
      <c r="L1225" t="str">
        <f>VLOOKUP(E1225,Stores!A:B,2,FALSE)</f>
        <v>MegaMart Johnmouth</v>
      </c>
      <c r="M1225">
        <f>VLOOKUP(D1225,Products!A:E,5,FALSE)</f>
        <v>818.76</v>
      </c>
      <c r="N1225" s="5">
        <f t="shared" si="19"/>
        <v>3111.288</v>
      </c>
    </row>
    <row r="1226" spans="1:14" x14ac:dyDescent="0.3">
      <c r="A1226" t="s">
        <v>2082</v>
      </c>
      <c r="B1226" s="2">
        <v>45389</v>
      </c>
      <c r="C1226" t="s">
        <v>462</v>
      </c>
      <c r="D1226" t="s">
        <v>728</v>
      </c>
      <c r="E1226" t="s">
        <v>831</v>
      </c>
      <c r="F1226">
        <v>1</v>
      </c>
      <c r="G1226">
        <v>0</v>
      </c>
      <c r="H1226" t="s">
        <v>861</v>
      </c>
      <c r="I1226" t="str">
        <f>VLOOKUP(C1226,Customers!A:C,2,FALSE)&amp;" "&amp;VLOOKUP(C1226,Customers!A:C,3,FALSE)</f>
        <v>Kimberly Parker</v>
      </c>
      <c r="J1226" t="str">
        <f>VLOOKUP(D1226,Products!A:C,2,FALSE)</f>
        <v>Company Fruits</v>
      </c>
      <c r="K1226" t="str">
        <f>VLOOKUP(D1226,Products!A:C,3,FALSE)</f>
        <v>Groceries</v>
      </c>
      <c r="L1226" t="str">
        <f>VLOOKUP(E1226,Stores!A:B,2,FALSE)</f>
        <v>MegaMart Jimenezborough</v>
      </c>
      <c r="M1226">
        <f>VLOOKUP(D1226,Products!A:E,5,FALSE)</f>
        <v>318.05</v>
      </c>
      <c r="N1226" s="5">
        <f t="shared" si="19"/>
        <v>318.05</v>
      </c>
    </row>
    <row r="1227" spans="1:14" x14ac:dyDescent="0.3">
      <c r="A1227" t="s">
        <v>2083</v>
      </c>
      <c r="B1227" s="2">
        <v>45214</v>
      </c>
      <c r="C1227" t="s">
        <v>93</v>
      </c>
      <c r="D1227" t="s">
        <v>784</v>
      </c>
      <c r="E1227" t="s">
        <v>846</v>
      </c>
      <c r="F1227">
        <v>3</v>
      </c>
      <c r="G1227">
        <v>0.15</v>
      </c>
      <c r="H1227" t="s">
        <v>858</v>
      </c>
      <c r="I1227" t="str">
        <f>VLOOKUP(C1227,Customers!A:C,2,FALSE)&amp;" "&amp;VLOOKUP(C1227,Customers!A:C,3,FALSE)</f>
        <v>Mark Martinez</v>
      </c>
      <c r="J1227" t="str">
        <f>VLOOKUP(D1227,Products!A:C,2,FALSE)</f>
        <v>Road Clothing</v>
      </c>
      <c r="K1227" t="str">
        <f>VLOOKUP(D1227,Products!A:C,3,FALSE)</f>
        <v>Fashion</v>
      </c>
      <c r="L1227" t="str">
        <f>VLOOKUP(E1227,Stores!A:B,2,FALSE)</f>
        <v>MegaMart Johnmouth</v>
      </c>
      <c r="M1227">
        <f>VLOOKUP(D1227,Products!A:E,5,FALSE)</f>
        <v>1485.05</v>
      </c>
      <c r="N1227" s="5">
        <f t="shared" si="19"/>
        <v>3786.8774999999996</v>
      </c>
    </row>
    <row r="1228" spans="1:14" x14ac:dyDescent="0.3">
      <c r="A1228" t="s">
        <v>2084</v>
      </c>
      <c r="B1228" s="2">
        <v>45310</v>
      </c>
      <c r="C1228" t="s">
        <v>630</v>
      </c>
      <c r="D1228" t="s">
        <v>772</v>
      </c>
      <c r="E1228" t="s">
        <v>835</v>
      </c>
      <c r="F1228">
        <v>2</v>
      </c>
      <c r="G1228">
        <v>0.05</v>
      </c>
      <c r="H1228" t="s">
        <v>855</v>
      </c>
      <c r="I1228" t="str">
        <f>VLOOKUP(C1228,Customers!A:C,2,FALSE)&amp;" "&amp;VLOOKUP(C1228,Customers!A:C,3,FALSE)</f>
        <v>Mark Mcdonald</v>
      </c>
      <c r="J1228" t="str">
        <f>VLOOKUP(D1228,Products!A:C,2,FALSE)</f>
        <v>And Footwear</v>
      </c>
      <c r="K1228" t="str">
        <f>VLOOKUP(D1228,Products!A:C,3,FALSE)</f>
        <v>Fashion</v>
      </c>
      <c r="L1228" t="str">
        <f>VLOOKUP(E1228,Stores!A:B,2,FALSE)</f>
        <v>MegaMart Peckmouth</v>
      </c>
      <c r="M1228">
        <f>VLOOKUP(D1228,Products!A:E,5,FALSE)</f>
        <v>1878.47</v>
      </c>
      <c r="N1228" s="5">
        <f t="shared" si="19"/>
        <v>3569.0929999999998</v>
      </c>
    </row>
    <row r="1229" spans="1:14" x14ac:dyDescent="0.3">
      <c r="A1229" t="s">
        <v>2085</v>
      </c>
      <c r="B1229" s="2">
        <v>45459</v>
      </c>
      <c r="C1229" t="s">
        <v>491</v>
      </c>
      <c r="D1229" t="s">
        <v>784</v>
      </c>
      <c r="E1229" t="s">
        <v>842</v>
      </c>
      <c r="F1229">
        <v>4</v>
      </c>
      <c r="G1229">
        <v>0.05</v>
      </c>
      <c r="H1229" t="s">
        <v>861</v>
      </c>
      <c r="I1229" t="str">
        <f>VLOOKUP(C1229,Customers!A:C,2,FALSE)&amp;" "&amp;VLOOKUP(C1229,Customers!A:C,3,FALSE)</f>
        <v>Emily Hart</v>
      </c>
      <c r="J1229" t="str">
        <f>VLOOKUP(D1229,Products!A:C,2,FALSE)</f>
        <v>Road Clothing</v>
      </c>
      <c r="K1229" t="str">
        <f>VLOOKUP(D1229,Products!A:C,3,FALSE)</f>
        <v>Fashion</v>
      </c>
      <c r="L1229" t="str">
        <f>VLOOKUP(E1229,Stores!A:B,2,FALSE)</f>
        <v>MegaMart Brianahaven</v>
      </c>
      <c r="M1229">
        <f>VLOOKUP(D1229,Products!A:E,5,FALSE)</f>
        <v>1485.05</v>
      </c>
      <c r="N1229" s="5">
        <f t="shared" si="19"/>
        <v>5643.19</v>
      </c>
    </row>
    <row r="1230" spans="1:14" x14ac:dyDescent="0.3">
      <c r="A1230" t="s">
        <v>2086</v>
      </c>
      <c r="B1230" s="2">
        <v>45210</v>
      </c>
      <c r="C1230" t="s">
        <v>563</v>
      </c>
      <c r="D1230" t="s">
        <v>722</v>
      </c>
      <c r="E1230" t="s">
        <v>831</v>
      </c>
      <c r="F1230">
        <v>5</v>
      </c>
      <c r="G1230">
        <v>0.05</v>
      </c>
      <c r="H1230" t="s">
        <v>858</v>
      </c>
      <c r="I1230" t="str">
        <f>VLOOKUP(C1230,Customers!A:C,2,FALSE)&amp;" "&amp;VLOOKUP(C1230,Customers!A:C,3,FALSE)</f>
        <v>Connie Terry</v>
      </c>
      <c r="J1230" t="str">
        <f>VLOOKUP(D1230,Products!A:C,2,FALSE)</f>
        <v>Four Accessories</v>
      </c>
      <c r="K1230" t="str">
        <f>VLOOKUP(D1230,Products!A:C,3,FALSE)</f>
        <v>Fashion</v>
      </c>
      <c r="L1230" t="str">
        <f>VLOOKUP(E1230,Stores!A:B,2,FALSE)</f>
        <v>MegaMart Jimenezborough</v>
      </c>
      <c r="M1230">
        <f>VLOOKUP(D1230,Products!A:E,5,FALSE)</f>
        <v>1853.77</v>
      </c>
      <c r="N1230" s="5">
        <f t="shared" si="19"/>
        <v>8805.4074999999993</v>
      </c>
    </row>
    <row r="1231" spans="1:14" x14ac:dyDescent="0.3">
      <c r="A1231" t="s">
        <v>2087</v>
      </c>
      <c r="B1231" s="2">
        <v>45468</v>
      </c>
      <c r="C1231" t="s">
        <v>563</v>
      </c>
      <c r="D1231" t="s">
        <v>788</v>
      </c>
      <c r="E1231" t="s">
        <v>831</v>
      </c>
      <c r="F1231">
        <v>3</v>
      </c>
      <c r="G1231">
        <v>0.1</v>
      </c>
      <c r="H1231" t="s">
        <v>858</v>
      </c>
      <c r="I1231" t="str">
        <f>VLOOKUP(C1231,Customers!A:C,2,FALSE)&amp;" "&amp;VLOOKUP(C1231,Customers!A:C,3,FALSE)</f>
        <v>Connie Terry</v>
      </c>
      <c r="J1231" t="str">
        <f>VLOOKUP(D1231,Products!A:C,2,FALSE)</f>
        <v>Foot Snacks</v>
      </c>
      <c r="K1231" t="str">
        <f>VLOOKUP(D1231,Products!A:C,3,FALSE)</f>
        <v>Groceries</v>
      </c>
      <c r="L1231" t="str">
        <f>VLOOKUP(E1231,Stores!A:B,2,FALSE)</f>
        <v>MegaMart Jimenezborough</v>
      </c>
      <c r="M1231">
        <f>VLOOKUP(D1231,Products!A:E,5,FALSE)</f>
        <v>1095.72</v>
      </c>
      <c r="N1231" s="5">
        <f t="shared" si="19"/>
        <v>2958.444</v>
      </c>
    </row>
    <row r="1232" spans="1:14" x14ac:dyDescent="0.3">
      <c r="A1232" t="s">
        <v>2088</v>
      </c>
      <c r="B1232" s="2">
        <v>45435</v>
      </c>
      <c r="C1232" t="s">
        <v>12</v>
      </c>
      <c r="D1232" t="s">
        <v>800</v>
      </c>
      <c r="E1232" t="s">
        <v>846</v>
      </c>
      <c r="F1232">
        <v>2</v>
      </c>
      <c r="G1232">
        <v>0.05</v>
      </c>
      <c r="H1232" t="s">
        <v>865</v>
      </c>
      <c r="I1232" t="str">
        <f>VLOOKUP(C1232,Customers!A:C,2,FALSE)&amp;" "&amp;VLOOKUP(C1232,Customers!A:C,3,FALSE)</f>
        <v>Michael Miller</v>
      </c>
      <c r="J1232" t="str">
        <f>VLOOKUP(D1232,Products!A:C,2,FALSE)</f>
        <v>Book Television</v>
      </c>
      <c r="K1232" t="str">
        <f>VLOOKUP(D1232,Products!A:C,3,FALSE)</f>
        <v>Electronics</v>
      </c>
      <c r="L1232" t="str">
        <f>VLOOKUP(E1232,Stores!A:B,2,FALSE)</f>
        <v>MegaMart Johnmouth</v>
      </c>
      <c r="M1232">
        <f>VLOOKUP(D1232,Products!A:E,5,FALSE)</f>
        <v>1952.65</v>
      </c>
      <c r="N1232" s="5">
        <f t="shared" si="19"/>
        <v>3710.0349999999999</v>
      </c>
    </row>
    <row r="1233" spans="1:14" x14ac:dyDescent="0.3">
      <c r="A1233" t="s">
        <v>2089</v>
      </c>
      <c r="B1233" s="2">
        <v>45865</v>
      </c>
      <c r="C1233" t="s">
        <v>498</v>
      </c>
      <c r="D1233" t="s">
        <v>802</v>
      </c>
      <c r="E1233" t="s">
        <v>831</v>
      </c>
      <c r="F1233">
        <v>5</v>
      </c>
      <c r="G1233">
        <v>0.1</v>
      </c>
      <c r="H1233" t="s">
        <v>861</v>
      </c>
      <c r="I1233" t="str">
        <f>VLOOKUP(C1233,Customers!A:C,2,FALSE)&amp;" "&amp;VLOOKUP(C1233,Customers!A:C,3,FALSE)</f>
        <v>Amanda Garcia</v>
      </c>
      <c r="J1233" t="str">
        <f>VLOOKUP(D1233,Products!A:C,2,FALSE)</f>
        <v>Stage Footwear</v>
      </c>
      <c r="K1233" t="str">
        <f>VLOOKUP(D1233,Products!A:C,3,FALSE)</f>
        <v>Fashion</v>
      </c>
      <c r="L1233" t="str">
        <f>VLOOKUP(E1233,Stores!A:B,2,FALSE)</f>
        <v>MegaMart Jimenezborough</v>
      </c>
      <c r="M1233">
        <f>VLOOKUP(D1233,Products!A:E,5,FALSE)</f>
        <v>366.93</v>
      </c>
      <c r="N1233" s="5">
        <f t="shared" si="19"/>
        <v>1651.1850000000002</v>
      </c>
    </row>
    <row r="1234" spans="1:14" x14ac:dyDescent="0.3">
      <c r="A1234" t="s">
        <v>2090</v>
      </c>
      <c r="B1234" s="2">
        <v>45691</v>
      </c>
      <c r="C1234" t="s">
        <v>442</v>
      </c>
      <c r="D1234" t="s">
        <v>747</v>
      </c>
      <c r="E1234" t="s">
        <v>835</v>
      </c>
      <c r="F1234">
        <v>3</v>
      </c>
      <c r="G1234">
        <v>0</v>
      </c>
      <c r="H1234" t="s">
        <v>861</v>
      </c>
      <c r="I1234" t="str">
        <f>VLOOKUP(C1234,Customers!A:C,2,FALSE)&amp;" "&amp;VLOOKUP(C1234,Customers!A:C,3,FALSE)</f>
        <v>Jason Lloyd</v>
      </c>
      <c r="J1234" t="str">
        <f>VLOOKUP(D1234,Products!A:C,2,FALSE)</f>
        <v>World Watches</v>
      </c>
      <c r="K1234" t="str">
        <f>VLOOKUP(D1234,Products!A:C,3,FALSE)</f>
        <v>Fashion</v>
      </c>
      <c r="L1234" t="str">
        <f>VLOOKUP(E1234,Stores!A:B,2,FALSE)</f>
        <v>MegaMart Peckmouth</v>
      </c>
      <c r="M1234">
        <f>VLOOKUP(D1234,Products!A:E,5,FALSE)</f>
        <v>1134.8</v>
      </c>
      <c r="N1234" s="5">
        <f t="shared" si="19"/>
        <v>3404.3999999999996</v>
      </c>
    </row>
    <row r="1235" spans="1:14" x14ac:dyDescent="0.3">
      <c r="A1235" t="s">
        <v>2091</v>
      </c>
      <c r="B1235" s="2">
        <v>45343</v>
      </c>
      <c r="C1235" t="s">
        <v>115</v>
      </c>
      <c r="D1235" t="s">
        <v>753</v>
      </c>
      <c r="E1235" t="s">
        <v>835</v>
      </c>
      <c r="F1235">
        <v>4</v>
      </c>
      <c r="G1235">
        <v>0.15</v>
      </c>
      <c r="H1235" t="s">
        <v>861</v>
      </c>
      <c r="I1235" t="str">
        <f>VLOOKUP(C1235,Customers!A:C,2,FALSE)&amp;" "&amp;VLOOKUP(C1235,Customers!A:C,3,FALSE)</f>
        <v>Tyler Levine</v>
      </c>
      <c r="J1235" t="str">
        <f>VLOOKUP(D1235,Products!A:C,2,FALSE)</f>
        <v>Whether Bags</v>
      </c>
      <c r="K1235" t="str">
        <f>VLOOKUP(D1235,Products!A:C,3,FALSE)</f>
        <v>Fashion</v>
      </c>
      <c r="L1235" t="str">
        <f>VLOOKUP(E1235,Stores!A:B,2,FALSE)</f>
        <v>MegaMart Peckmouth</v>
      </c>
      <c r="M1235">
        <f>VLOOKUP(D1235,Products!A:E,5,FALSE)</f>
        <v>270.45</v>
      </c>
      <c r="N1235" s="5">
        <f t="shared" si="19"/>
        <v>919.53</v>
      </c>
    </row>
    <row r="1236" spans="1:14" x14ac:dyDescent="0.3">
      <c r="A1236" t="s">
        <v>2092</v>
      </c>
      <c r="B1236" s="2">
        <v>45425</v>
      </c>
      <c r="C1236" t="s">
        <v>159</v>
      </c>
      <c r="D1236" t="s">
        <v>784</v>
      </c>
      <c r="E1236" t="s">
        <v>831</v>
      </c>
      <c r="F1236">
        <v>1</v>
      </c>
      <c r="G1236">
        <v>0.1</v>
      </c>
      <c r="H1236" t="s">
        <v>855</v>
      </c>
      <c r="I1236" t="str">
        <f>VLOOKUP(C1236,Customers!A:C,2,FALSE)&amp;" "&amp;VLOOKUP(C1236,Customers!A:C,3,FALSE)</f>
        <v>Melissa Rodgers</v>
      </c>
      <c r="J1236" t="str">
        <f>VLOOKUP(D1236,Products!A:C,2,FALSE)</f>
        <v>Road Clothing</v>
      </c>
      <c r="K1236" t="str">
        <f>VLOOKUP(D1236,Products!A:C,3,FALSE)</f>
        <v>Fashion</v>
      </c>
      <c r="L1236" t="str">
        <f>VLOOKUP(E1236,Stores!A:B,2,FALSE)</f>
        <v>MegaMart Jimenezborough</v>
      </c>
      <c r="M1236">
        <f>VLOOKUP(D1236,Products!A:E,5,FALSE)</f>
        <v>1485.05</v>
      </c>
      <c r="N1236" s="5">
        <f t="shared" si="19"/>
        <v>1336.5450000000001</v>
      </c>
    </row>
    <row r="1237" spans="1:14" x14ac:dyDescent="0.3">
      <c r="A1237" t="s">
        <v>2093</v>
      </c>
      <c r="B1237" s="2">
        <v>45475</v>
      </c>
      <c r="C1237" t="s">
        <v>210</v>
      </c>
      <c r="D1237" t="s">
        <v>722</v>
      </c>
      <c r="E1237" t="s">
        <v>842</v>
      </c>
      <c r="F1237">
        <v>3</v>
      </c>
      <c r="G1237">
        <v>0.1</v>
      </c>
      <c r="H1237" t="s">
        <v>858</v>
      </c>
      <c r="I1237" t="str">
        <f>VLOOKUP(C1237,Customers!A:C,2,FALSE)&amp;" "&amp;VLOOKUP(C1237,Customers!A:C,3,FALSE)</f>
        <v>Crystal Johnson</v>
      </c>
      <c r="J1237" t="str">
        <f>VLOOKUP(D1237,Products!A:C,2,FALSE)</f>
        <v>Four Accessories</v>
      </c>
      <c r="K1237" t="str">
        <f>VLOOKUP(D1237,Products!A:C,3,FALSE)</f>
        <v>Fashion</v>
      </c>
      <c r="L1237" t="str">
        <f>VLOOKUP(E1237,Stores!A:B,2,FALSE)</f>
        <v>MegaMart Brianahaven</v>
      </c>
      <c r="M1237">
        <f>VLOOKUP(D1237,Products!A:E,5,FALSE)</f>
        <v>1853.77</v>
      </c>
      <c r="N1237" s="5">
        <f t="shared" si="19"/>
        <v>5005.1790000000001</v>
      </c>
    </row>
    <row r="1238" spans="1:14" x14ac:dyDescent="0.3">
      <c r="A1238" t="s">
        <v>2094</v>
      </c>
      <c r="B1238" s="2">
        <v>45490</v>
      </c>
      <c r="C1238" t="s">
        <v>51</v>
      </c>
      <c r="D1238" t="s">
        <v>772</v>
      </c>
      <c r="E1238" t="s">
        <v>831</v>
      </c>
      <c r="F1238">
        <v>1</v>
      </c>
      <c r="G1238">
        <v>0.05</v>
      </c>
      <c r="H1238" t="s">
        <v>861</v>
      </c>
      <c r="I1238" t="str">
        <f>VLOOKUP(C1238,Customers!A:C,2,FALSE)&amp;" "&amp;VLOOKUP(C1238,Customers!A:C,3,FALSE)</f>
        <v>Dale Perry</v>
      </c>
      <c r="J1238" t="str">
        <f>VLOOKUP(D1238,Products!A:C,2,FALSE)</f>
        <v>And Footwear</v>
      </c>
      <c r="K1238" t="str">
        <f>VLOOKUP(D1238,Products!A:C,3,FALSE)</f>
        <v>Fashion</v>
      </c>
      <c r="L1238" t="str">
        <f>VLOOKUP(E1238,Stores!A:B,2,FALSE)</f>
        <v>MegaMart Jimenezborough</v>
      </c>
      <c r="M1238">
        <f>VLOOKUP(D1238,Products!A:E,5,FALSE)</f>
        <v>1878.47</v>
      </c>
      <c r="N1238" s="5">
        <f t="shared" si="19"/>
        <v>1784.5464999999999</v>
      </c>
    </row>
    <row r="1239" spans="1:14" x14ac:dyDescent="0.3">
      <c r="A1239" t="s">
        <v>2095</v>
      </c>
      <c r="B1239" s="2">
        <v>45685</v>
      </c>
      <c r="C1239" t="s">
        <v>36</v>
      </c>
      <c r="D1239" t="s">
        <v>750</v>
      </c>
      <c r="E1239" t="s">
        <v>842</v>
      </c>
      <c r="F1239">
        <v>5</v>
      </c>
      <c r="G1239">
        <v>0</v>
      </c>
      <c r="H1239" t="s">
        <v>865</v>
      </c>
      <c r="I1239" t="str">
        <f>VLOOKUP(C1239,Customers!A:C,2,FALSE)&amp;" "&amp;VLOOKUP(C1239,Customers!A:C,3,FALSE)</f>
        <v>Isaiah Williams</v>
      </c>
      <c r="J1239" t="str">
        <f>VLOOKUP(D1239,Products!A:C,2,FALSE)</f>
        <v>Add Clothing</v>
      </c>
      <c r="K1239" t="str">
        <f>VLOOKUP(D1239,Products!A:C,3,FALSE)</f>
        <v>Fashion</v>
      </c>
      <c r="L1239" t="str">
        <f>VLOOKUP(E1239,Stores!A:B,2,FALSE)</f>
        <v>MegaMart Brianahaven</v>
      </c>
      <c r="M1239">
        <f>VLOOKUP(D1239,Products!A:E,5,FALSE)</f>
        <v>1342.75</v>
      </c>
      <c r="N1239" s="5">
        <f t="shared" si="19"/>
        <v>6713.75</v>
      </c>
    </row>
    <row r="1240" spans="1:14" x14ac:dyDescent="0.3">
      <c r="A1240" t="s">
        <v>2096</v>
      </c>
      <c r="B1240" s="2">
        <v>45626</v>
      </c>
      <c r="C1240" t="s">
        <v>234</v>
      </c>
      <c r="D1240" t="s">
        <v>766</v>
      </c>
      <c r="E1240" t="s">
        <v>842</v>
      </c>
      <c r="F1240">
        <v>5</v>
      </c>
      <c r="G1240">
        <v>0.1</v>
      </c>
      <c r="H1240" t="s">
        <v>858</v>
      </c>
      <c r="I1240" t="str">
        <f>VLOOKUP(C1240,Customers!A:C,2,FALSE)&amp;" "&amp;VLOOKUP(C1240,Customers!A:C,3,FALSE)</f>
        <v>Heather Russell</v>
      </c>
      <c r="J1240" t="str">
        <f>VLOOKUP(D1240,Products!A:C,2,FALSE)</f>
        <v>Firm Dairy</v>
      </c>
      <c r="K1240" t="str">
        <f>VLOOKUP(D1240,Products!A:C,3,FALSE)</f>
        <v>Groceries</v>
      </c>
      <c r="L1240" t="str">
        <f>VLOOKUP(E1240,Stores!A:B,2,FALSE)</f>
        <v>MegaMart Brianahaven</v>
      </c>
      <c r="M1240">
        <f>VLOOKUP(D1240,Products!A:E,5,FALSE)</f>
        <v>1227.24</v>
      </c>
      <c r="N1240" s="5">
        <f t="shared" si="19"/>
        <v>5522.58</v>
      </c>
    </row>
    <row r="1241" spans="1:14" x14ac:dyDescent="0.3">
      <c r="A1241" t="s">
        <v>2097</v>
      </c>
      <c r="B1241" s="2">
        <v>45578</v>
      </c>
      <c r="C1241" t="s">
        <v>198</v>
      </c>
      <c r="D1241" t="s">
        <v>804</v>
      </c>
      <c r="E1241" t="s">
        <v>839</v>
      </c>
      <c r="F1241">
        <v>2</v>
      </c>
      <c r="G1241">
        <v>0</v>
      </c>
      <c r="H1241" t="s">
        <v>855</v>
      </c>
      <c r="I1241" t="str">
        <f>VLOOKUP(C1241,Customers!A:C,2,FALSE)&amp;" "&amp;VLOOKUP(C1241,Customers!A:C,3,FALSE)</f>
        <v>Madison Sellers</v>
      </c>
      <c r="J1241" t="str">
        <f>VLOOKUP(D1241,Products!A:C,2,FALSE)</f>
        <v>Church Clothing</v>
      </c>
      <c r="K1241" t="str">
        <f>VLOOKUP(D1241,Products!A:C,3,FALSE)</f>
        <v>Fashion</v>
      </c>
      <c r="L1241" t="str">
        <f>VLOOKUP(E1241,Stores!A:B,2,FALSE)</f>
        <v>MegaMart New Michele</v>
      </c>
      <c r="M1241">
        <f>VLOOKUP(D1241,Products!A:E,5,FALSE)</f>
        <v>540.94000000000005</v>
      </c>
      <c r="N1241" s="5">
        <f t="shared" si="19"/>
        <v>1081.8800000000001</v>
      </c>
    </row>
    <row r="1242" spans="1:14" x14ac:dyDescent="0.3">
      <c r="A1242" t="s">
        <v>2098</v>
      </c>
      <c r="B1242" s="2">
        <v>45226</v>
      </c>
      <c r="C1242" t="s">
        <v>228</v>
      </c>
      <c r="D1242" t="s">
        <v>826</v>
      </c>
      <c r="E1242" t="s">
        <v>831</v>
      </c>
      <c r="F1242">
        <v>2</v>
      </c>
      <c r="G1242">
        <v>0.15</v>
      </c>
      <c r="H1242" t="s">
        <v>861</v>
      </c>
      <c r="I1242" t="str">
        <f>VLOOKUP(C1242,Customers!A:C,2,FALSE)&amp;" "&amp;VLOOKUP(C1242,Customers!A:C,3,FALSE)</f>
        <v>Scott Wyatt</v>
      </c>
      <c r="J1242" t="str">
        <f>VLOOKUP(D1242,Products!A:C,2,FALSE)</f>
        <v>Maybe Footwear</v>
      </c>
      <c r="K1242" t="str">
        <f>VLOOKUP(D1242,Products!A:C,3,FALSE)</f>
        <v>Fashion</v>
      </c>
      <c r="L1242" t="str">
        <f>VLOOKUP(E1242,Stores!A:B,2,FALSE)</f>
        <v>MegaMart Jimenezborough</v>
      </c>
      <c r="M1242">
        <f>VLOOKUP(D1242,Products!A:E,5,FALSE)</f>
        <v>1044.6400000000001</v>
      </c>
      <c r="N1242" s="5">
        <f t="shared" si="19"/>
        <v>1775.8880000000001</v>
      </c>
    </row>
    <row r="1243" spans="1:14" x14ac:dyDescent="0.3">
      <c r="A1243" t="s">
        <v>2099</v>
      </c>
      <c r="B1243" s="2">
        <v>45238</v>
      </c>
      <c r="C1243" t="s">
        <v>364</v>
      </c>
      <c r="D1243" t="s">
        <v>736</v>
      </c>
      <c r="E1243" t="s">
        <v>835</v>
      </c>
      <c r="F1243">
        <v>1</v>
      </c>
      <c r="G1243">
        <v>0.15</v>
      </c>
      <c r="H1243" t="s">
        <v>858</v>
      </c>
      <c r="I1243" t="str">
        <f>VLOOKUP(C1243,Customers!A:C,2,FALSE)&amp;" "&amp;VLOOKUP(C1243,Customers!A:C,3,FALSE)</f>
        <v>Evelyn Gray</v>
      </c>
      <c r="J1243" t="str">
        <f>VLOOKUP(D1243,Products!A:C,2,FALSE)</f>
        <v>Us Snacks</v>
      </c>
      <c r="K1243" t="str">
        <f>VLOOKUP(D1243,Products!A:C,3,FALSE)</f>
        <v>Groceries</v>
      </c>
      <c r="L1243" t="str">
        <f>VLOOKUP(E1243,Stores!A:B,2,FALSE)</f>
        <v>MegaMart Peckmouth</v>
      </c>
      <c r="M1243">
        <f>VLOOKUP(D1243,Products!A:E,5,FALSE)</f>
        <v>123.19</v>
      </c>
      <c r="N1243" s="5">
        <f t="shared" si="19"/>
        <v>104.7115</v>
      </c>
    </row>
    <row r="1244" spans="1:14" x14ac:dyDescent="0.3">
      <c r="A1244" t="s">
        <v>2100</v>
      </c>
      <c r="B1244" s="2">
        <v>45191</v>
      </c>
      <c r="C1244" t="s">
        <v>59</v>
      </c>
      <c r="D1244" t="s">
        <v>812</v>
      </c>
      <c r="E1244" t="s">
        <v>842</v>
      </c>
      <c r="F1244">
        <v>2</v>
      </c>
      <c r="G1244">
        <v>0.05</v>
      </c>
      <c r="H1244" t="s">
        <v>858</v>
      </c>
      <c r="I1244" t="str">
        <f>VLOOKUP(C1244,Customers!A:C,2,FALSE)&amp;" "&amp;VLOOKUP(C1244,Customers!A:C,3,FALSE)</f>
        <v>Brittany Green</v>
      </c>
      <c r="J1244" t="str">
        <f>VLOOKUP(D1244,Products!A:C,2,FALSE)</f>
        <v>Soon Accessories</v>
      </c>
      <c r="K1244" t="str">
        <f>VLOOKUP(D1244,Products!A:C,3,FALSE)</f>
        <v>Fashion</v>
      </c>
      <c r="L1244" t="str">
        <f>VLOOKUP(E1244,Stores!A:B,2,FALSE)</f>
        <v>MegaMart Brianahaven</v>
      </c>
      <c r="M1244">
        <f>VLOOKUP(D1244,Products!A:E,5,FALSE)</f>
        <v>564.41999999999996</v>
      </c>
      <c r="N1244" s="5">
        <f t="shared" si="19"/>
        <v>1072.3979999999999</v>
      </c>
    </row>
    <row r="1245" spans="1:14" x14ac:dyDescent="0.3">
      <c r="A1245" t="s">
        <v>2101</v>
      </c>
      <c r="B1245" s="2">
        <v>45518</v>
      </c>
      <c r="C1245" t="s">
        <v>179</v>
      </c>
      <c r="D1245" t="s">
        <v>812</v>
      </c>
      <c r="E1245" t="s">
        <v>842</v>
      </c>
      <c r="F1245">
        <v>3</v>
      </c>
      <c r="G1245">
        <v>0.05</v>
      </c>
      <c r="H1245" t="s">
        <v>858</v>
      </c>
      <c r="I1245" t="str">
        <f>VLOOKUP(C1245,Customers!A:C,2,FALSE)&amp;" "&amp;VLOOKUP(C1245,Customers!A:C,3,FALSE)</f>
        <v>Dennis Poole</v>
      </c>
      <c r="J1245" t="str">
        <f>VLOOKUP(D1245,Products!A:C,2,FALSE)</f>
        <v>Soon Accessories</v>
      </c>
      <c r="K1245" t="str">
        <f>VLOOKUP(D1245,Products!A:C,3,FALSE)</f>
        <v>Fashion</v>
      </c>
      <c r="L1245" t="str">
        <f>VLOOKUP(E1245,Stores!A:B,2,FALSE)</f>
        <v>MegaMart Brianahaven</v>
      </c>
      <c r="M1245">
        <f>VLOOKUP(D1245,Products!A:E,5,FALSE)</f>
        <v>564.41999999999996</v>
      </c>
      <c r="N1245" s="5">
        <f t="shared" si="19"/>
        <v>1608.5969999999998</v>
      </c>
    </row>
    <row r="1246" spans="1:14" x14ac:dyDescent="0.3">
      <c r="A1246" t="s">
        <v>2102</v>
      </c>
      <c r="B1246" s="2">
        <v>45336</v>
      </c>
      <c r="C1246" t="s">
        <v>653</v>
      </c>
      <c r="D1246" t="s">
        <v>814</v>
      </c>
      <c r="E1246" t="s">
        <v>835</v>
      </c>
      <c r="F1246">
        <v>3</v>
      </c>
      <c r="G1246">
        <v>0.1</v>
      </c>
      <c r="H1246" t="s">
        <v>861</v>
      </c>
      <c r="I1246" t="str">
        <f>VLOOKUP(C1246,Customers!A:C,2,FALSE)&amp;" "&amp;VLOOKUP(C1246,Customers!A:C,3,FALSE)</f>
        <v>Joe Vincent</v>
      </c>
      <c r="J1246" t="str">
        <f>VLOOKUP(D1246,Products!A:C,2,FALSE)</f>
        <v>Least Accessories</v>
      </c>
      <c r="K1246" t="str">
        <f>VLOOKUP(D1246,Products!A:C,3,FALSE)</f>
        <v>Fashion</v>
      </c>
      <c r="L1246" t="str">
        <f>VLOOKUP(E1246,Stores!A:B,2,FALSE)</f>
        <v>MegaMart Peckmouth</v>
      </c>
      <c r="M1246">
        <f>VLOOKUP(D1246,Products!A:E,5,FALSE)</f>
        <v>1286.55</v>
      </c>
      <c r="N1246" s="5">
        <f t="shared" si="19"/>
        <v>3473.6849999999999</v>
      </c>
    </row>
    <row r="1247" spans="1:14" x14ac:dyDescent="0.3">
      <c r="A1247" t="s">
        <v>2103</v>
      </c>
      <c r="B1247" s="2">
        <v>45586</v>
      </c>
      <c r="C1247" t="s">
        <v>324</v>
      </c>
      <c r="D1247" t="s">
        <v>782</v>
      </c>
      <c r="E1247" t="s">
        <v>835</v>
      </c>
      <c r="F1247">
        <v>1</v>
      </c>
      <c r="G1247">
        <v>0</v>
      </c>
      <c r="H1247" t="s">
        <v>855</v>
      </c>
      <c r="I1247" t="str">
        <f>VLOOKUP(C1247,Customers!A:C,2,FALSE)&amp;" "&amp;VLOOKUP(C1247,Customers!A:C,3,FALSE)</f>
        <v>Lawrence Hunter</v>
      </c>
      <c r="J1247" t="str">
        <f>VLOOKUP(D1247,Products!A:C,2,FALSE)</f>
        <v>Deal Smartphone</v>
      </c>
      <c r="K1247" t="str">
        <f>VLOOKUP(D1247,Products!A:C,3,FALSE)</f>
        <v>Electronics</v>
      </c>
      <c r="L1247" t="str">
        <f>VLOOKUP(E1247,Stores!A:B,2,FALSE)</f>
        <v>MegaMart Peckmouth</v>
      </c>
      <c r="M1247">
        <f>VLOOKUP(D1247,Products!A:E,5,FALSE)</f>
        <v>673.78</v>
      </c>
      <c r="N1247" s="5">
        <f t="shared" si="19"/>
        <v>673.78</v>
      </c>
    </row>
    <row r="1248" spans="1:14" x14ac:dyDescent="0.3">
      <c r="A1248" t="s">
        <v>2104</v>
      </c>
      <c r="B1248" s="2">
        <v>45709</v>
      </c>
      <c r="C1248" t="s">
        <v>137</v>
      </c>
      <c r="D1248" t="s">
        <v>753</v>
      </c>
      <c r="E1248" t="s">
        <v>831</v>
      </c>
      <c r="F1248">
        <v>4</v>
      </c>
      <c r="G1248">
        <v>0.15</v>
      </c>
      <c r="H1248" t="s">
        <v>858</v>
      </c>
      <c r="I1248" t="str">
        <f>VLOOKUP(C1248,Customers!A:C,2,FALSE)&amp;" "&amp;VLOOKUP(C1248,Customers!A:C,3,FALSE)</f>
        <v>Kimberly King</v>
      </c>
      <c r="J1248" t="str">
        <f>VLOOKUP(D1248,Products!A:C,2,FALSE)</f>
        <v>Whether Bags</v>
      </c>
      <c r="K1248" t="str">
        <f>VLOOKUP(D1248,Products!A:C,3,FALSE)</f>
        <v>Fashion</v>
      </c>
      <c r="L1248" t="str">
        <f>VLOOKUP(E1248,Stores!A:B,2,FALSE)</f>
        <v>MegaMart Jimenezborough</v>
      </c>
      <c r="M1248">
        <f>VLOOKUP(D1248,Products!A:E,5,FALSE)</f>
        <v>270.45</v>
      </c>
      <c r="N1248" s="5">
        <f t="shared" si="19"/>
        <v>919.53</v>
      </c>
    </row>
    <row r="1249" spans="1:14" x14ac:dyDescent="0.3">
      <c r="A1249" t="s">
        <v>2105</v>
      </c>
      <c r="B1249" s="2">
        <v>45568</v>
      </c>
      <c r="C1249" t="s">
        <v>171</v>
      </c>
      <c r="D1249" t="s">
        <v>747</v>
      </c>
      <c r="E1249" t="s">
        <v>839</v>
      </c>
      <c r="F1249">
        <v>2</v>
      </c>
      <c r="G1249">
        <v>0.1</v>
      </c>
      <c r="H1249" t="s">
        <v>861</v>
      </c>
      <c r="I1249" t="str">
        <f>VLOOKUP(C1249,Customers!A:C,2,FALSE)&amp;" "&amp;VLOOKUP(C1249,Customers!A:C,3,FALSE)</f>
        <v>Parker Sparks</v>
      </c>
      <c r="J1249" t="str">
        <f>VLOOKUP(D1249,Products!A:C,2,FALSE)</f>
        <v>World Watches</v>
      </c>
      <c r="K1249" t="str">
        <f>VLOOKUP(D1249,Products!A:C,3,FALSE)</f>
        <v>Fashion</v>
      </c>
      <c r="L1249" t="str">
        <f>VLOOKUP(E1249,Stores!A:B,2,FALSE)</f>
        <v>MegaMart New Michele</v>
      </c>
      <c r="M1249">
        <f>VLOOKUP(D1249,Products!A:E,5,FALSE)</f>
        <v>1134.8</v>
      </c>
      <c r="N1249" s="5">
        <f t="shared" si="19"/>
        <v>2042.6399999999999</v>
      </c>
    </row>
    <row r="1250" spans="1:14" x14ac:dyDescent="0.3">
      <c r="A1250" t="s">
        <v>2106</v>
      </c>
      <c r="B1250" s="2">
        <v>45531</v>
      </c>
      <c r="C1250" t="s">
        <v>585</v>
      </c>
      <c r="D1250" t="s">
        <v>826</v>
      </c>
      <c r="E1250" t="s">
        <v>846</v>
      </c>
      <c r="F1250">
        <v>2</v>
      </c>
      <c r="G1250">
        <v>0.05</v>
      </c>
      <c r="H1250" t="s">
        <v>865</v>
      </c>
      <c r="I1250" t="str">
        <f>VLOOKUP(C1250,Customers!A:C,2,FALSE)&amp;" "&amp;VLOOKUP(C1250,Customers!A:C,3,FALSE)</f>
        <v>Linda Vasquez</v>
      </c>
      <c r="J1250" t="str">
        <f>VLOOKUP(D1250,Products!A:C,2,FALSE)</f>
        <v>Maybe Footwear</v>
      </c>
      <c r="K1250" t="str">
        <f>VLOOKUP(D1250,Products!A:C,3,FALSE)</f>
        <v>Fashion</v>
      </c>
      <c r="L1250" t="str">
        <f>VLOOKUP(E1250,Stores!A:B,2,FALSE)</f>
        <v>MegaMart Johnmouth</v>
      </c>
      <c r="M1250">
        <f>VLOOKUP(D1250,Products!A:E,5,FALSE)</f>
        <v>1044.6400000000001</v>
      </c>
      <c r="N1250" s="5">
        <f t="shared" si="19"/>
        <v>1984.816</v>
      </c>
    </row>
    <row r="1251" spans="1:14" x14ac:dyDescent="0.3">
      <c r="A1251" t="s">
        <v>2107</v>
      </c>
      <c r="B1251" s="2">
        <v>45788</v>
      </c>
      <c r="C1251" t="s">
        <v>396</v>
      </c>
      <c r="D1251" t="s">
        <v>784</v>
      </c>
      <c r="E1251" t="s">
        <v>846</v>
      </c>
      <c r="F1251">
        <v>4</v>
      </c>
      <c r="G1251">
        <v>0.05</v>
      </c>
      <c r="H1251" t="s">
        <v>858</v>
      </c>
      <c r="I1251" t="str">
        <f>VLOOKUP(C1251,Customers!A:C,2,FALSE)&amp;" "&amp;VLOOKUP(C1251,Customers!A:C,3,FALSE)</f>
        <v>Kevin Flores</v>
      </c>
      <c r="J1251" t="str">
        <f>VLOOKUP(D1251,Products!A:C,2,FALSE)</f>
        <v>Road Clothing</v>
      </c>
      <c r="K1251" t="str">
        <f>VLOOKUP(D1251,Products!A:C,3,FALSE)</f>
        <v>Fashion</v>
      </c>
      <c r="L1251" t="str">
        <f>VLOOKUP(E1251,Stores!A:B,2,FALSE)</f>
        <v>MegaMart Johnmouth</v>
      </c>
      <c r="M1251">
        <f>VLOOKUP(D1251,Products!A:E,5,FALSE)</f>
        <v>1485.05</v>
      </c>
      <c r="N1251" s="5">
        <f t="shared" si="19"/>
        <v>5643.19</v>
      </c>
    </row>
    <row r="1252" spans="1:14" x14ac:dyDescent="0.3">
      <c r="A1252" t="s">
        <v>2108</v>
      </c>
      <c r="B1252" s="2">
        <v>45325</v>
      </c>
      <c r="C1252" t="s">
        <v>442</v>
      </c>
      <c r="D1252" t="s">
        <v>778</v>
      </c>
      <c r="E1252" t="s">
        <v>839</v>
      </c>
      <c r="F1252">
        <v>1</v>
      </c>
      <c r="G1252">
        <v>0.15</v>
      </c>
      <c r="H1252" t="s">
        <v>861</v>
      </c>
      <c r="I1252" t="str">
        <f>VLOOKUP(C1252,Customers!A:C,2,FALSE)&amp;" "&amp;VLOOKUP(C1252,Customers!A:C,3,FALSE)</f>
        <v>Jason Lloyd</v>
      </c>
      <c r="J1252" t="str">
        <f>VLOOKUP(D1252,Products!A:C,2,FALSE)</f>
        <v>Behavior Dairy</v>
      </c>
      <c r="K1252" t="str">
        <f>VLOOKUP(D1252,Products!A:C,3,FALSE)</f>
        <v>Groceries</v>
      </c>
      <c r="L1252" t="str">
        <f>VLOOKUP(E1252,Stores!A:B,2,FALSE)</f>
        <v>MegaMart New Michele</v>
      </c>
      <c r="M1252">
        <f>VLOOKUP(D1252,Products!A:E,5,FALSE)</f>
        <v>1015.76</v>
      </c>
      <c r="N1252" s="5">
        <f t="shared" si="19"/>
        <v>863.39599999999996</v>
      </c>
    </row>
    <row r="1253" spans="1:14" x14ac:dyDescent="0.3">
      <c r="A1253" t="s">
        <v>2109</v>
      </c>
      <c r="B1253" s="2">
        <v>45711</v>
      </c>
      <c r="C1253" t="s">
        <v>243</v>
      </c>
      <c r="D1253" t="s">
        <v>808</v>
      </c>
      <c r="E1253" t="s">
        <v>839</v>
      </c>
      <c r="F1253">
        <v>4</v>
      </c>
      <c r="G1253">
        <v>0.05</v>
      </c>
      <c r="H1253" t="s">
        <v>861</v>
      </c>
      <c r="I1253" t="str">
        <f>VLOOKUP(C1253,Customers!A:C,2,FALSE)&amp;" "&amp;VLOOKUP(C1253,Customers!A:C,3,FALSE)</f>
        <v>Amanda Hoover</v>
      </c>
      <c r="J1253" t="str">
        <f>VLOOKUP(D1253,Products!A:C,2,FALSE)</f>
        <v>Present Television</v>
      </c>
      <c r="K1253" t="str">
        <f>VLOOKUP(D1253,Products!A:C,3,FALSE)</f>
        <v>Electronics</v>
      </c>
      <c r="L1253" t="str">
        <f>VLOOKUP(E1253,Stores!A:B,2,FALSE)</f>
        <v>MegaMart New Michele</v>
      </c>
      <c r="M1253">
        <f>VLOOKUP(D1253,Products!A:E,5,FALSE)</f>
        <v>1635.01</v>
      </c>
      <c r="N1253" s="5">
        <f t="shared" si="19"/>
        <v>6213.0379999999996</v>
      </c>
    </row>
    <row r="1254" spans="1:14" x14ac:dyDescent="0.3">
      <c r="A1254" t="s">
        <v>2110</v>
      </c>
      <c r="B1254" s="2">
        <v>45375</v>
      </c>
      <c r="C1254" t="s">
        <v>533</v>
      </c>
      <c r="D1254" t="s">
        <v>757</v>
      </c>
      <c r="E1254" t="s">
        <v>831</v>
      </c>
      <c r="F1254">
        <v>4</v>
      </c>
      <c r="G1254">
        <v>0</v>
      </c>
      <c r="H1254" t="s">
        <v>865</v>
      </c>
      <c r="I1254" t="str">
        <f>VLOOKUP(C1254,Customers!A:C,2,FALSE)&amp;" "&amp;VLOOKUP(C1254,Customers!A:C,3,FALSE)</f>
        <v>Crystal Garrison</v>
      </c>
      <c r="J1254" t="str">
        <f>VLOOKUP(D1254,Products!A:C,2,FALSE)</f>
        <v>Find Headphones</v>
      </c>
      <c r="K1254" t="str">
        <f>VLOOKUP(D1254,Products!A:C,3,FALSE)</f>
        <v>Electronics</v>
      </c>
      <c r="L1254" t="str">
        <f>VLOOKUP(E1254,Stores!A:B,2,FALSE)</f>
        <v>MegaMart Jimenezborough</v>
      </c>
      <c r="M1254">
        <f>VLOOKUP(D1254,Products!A:E,5,FALSE)</f>
        <v>1246.1099999999999</v>
      </c>
      <c r="N1254" s="5">
        <f t="shared" si="19"/>
        <v>4984.4399999999996</v>
      </c>
    </row>
    <row r="1255" spans="1:14" x14ac:dyDescent="0.3">
      <c r="A1255" t="s">
        <v>2111</v>
      </c>
      <c r="B1255" s="2">
        <v>45781</v>
      </c>
      <c r="C1255" t="s">
        <v>449</v>
      </c>
      <c r="D1255" t="s">
        <v>826</v>
      </c>
      <c r="E1255" t="s">
        <v>846</v>
      </c>
      <c r="F1255">
        <v>1</v>
      </c>
      <c r="G1255">
        <v>0.15</v>
      </c>
      <c r="H1255" t="s">
        <v>858</v>
      </c>
      <c r="I1255" t="str">
        <f>VLOOKUP(C1255,Customers!A:C,2,FALSE)&amp;" "&amp;VLOOKUP(C1255,Customers!A:C,3,FALSE)</f>
        <v>John Bell</v>
      </c>
      <c r="J1255" t="str">
        <f>VLOOKUP(D1255,Products!A:C,2,FALSE)</f>
        <v>Maybe Footwear</v>
      </c>
      <c r="K1255" t="str">
        <f>VLOOKUP(D1255,Products!A:C,3,FALSE)</f>
        <v>Fashion</v>
      </c>
      <c r="L1255" t="str">
        <f>VLOOKUP(E1255,Stores!A:B,2,FALSE)</f>
        <v>MegaMart Johnmouth</v>
      </c>
      <c r="M1255">
        <f>VLOOKUP(D1255,Products!A:E,5,FALSE)</f>
        <v>1044.6400000000001</v>
      </c>
      <c r="N1255" s="5">
        <f t="shared" si="19"/>
        <v>887.94400000000007</v>
      </c>
    </row>
    <row r="1256" spans="1:14" x14ac:dyDescent="0.3">
      <c r="A1256" t="s">
        <v>2112</v>
      </c>
      <c r="B1256" s="2">
        <v>45764</v>
      </c>
      <c r="C1256" t="s">
        <v>454</v>
      </c>
      <c r="D1256" t="s">
        <v>812</v>
      </c>
      <c r="E1256" t="s">
        <v>831</v>
      </c>
      <c r="F1256">
        <v>4</v>
      </c>
      <c r="G1256">
        <v>0.15</v>
      </c>
      <c r="H1256" t="s">
        <v>861</v>
      </c>
      <c r="I1256" t="str">
        <f>VLOOKUP(C1256,Customers!A:C,2,FALSE)&amp;" "&amp;VLOOKUP(C1256,Customers!A:C,3,FALSE)</f>
        <v>Peter Edwards</v>
      </c>
      <c r="J1256" t="str">
        <f>VLOOKUP(D1256,Products!A:C,2,FALSE)</f>
        <v>Soon Accessories</v>
      </c>
      <c r="K1256" t="str">
        <f>VLOOKUP(D1256,Products!A:C,3,FALSE)</f>
        <v>Fashion</v>
      </c>
      <c r="L1256" t="str">
        <f>VLOOKUP(E1256,Stores!A:B,2,FALSE)</f>
        <v>MegaMart Jimenezborough</v>
      </c>
      <c r="M1256">
        <f>VLOOKUP(D1256,Products!A:E,5,FALSE)</f>
        <v>564.41999999999996</v>
      </c>
      <c r="N1256" s="5">
        <f t="shared" si="19"/>
        <v>1919.0279999999998</v>
      </c>
    </row>
    <row r="1257" spans="1:14" x14ac:dyDescent="0.3">
      <c r="A1257" t="s">
        <v>2113</v>
      </c>
      <c r="B1257" s="2">
        <v>45654</v>
      </c>
      <c r="C1257" t="s">
        <v>89</v>
      </c>
      <c r="D1257" t="s">
        <v>778</v>
      </c>
      <c r="E1257" t="s">
        <v>846</v>
      </c>
      <c r="F1257">
        <v>1</v>
      </c>
      <c r="G1257">
        <v>0.15</v>
      </c>
      <c r="H1257" t="s">
        <v>861</v>
      </c>
      <c r="I1257" t="str">
        <f>VLOOKUP(C1257,Customers!A:C,2,FALSE)&amp;" "&amp;VLOOKUP(C1257,Customers!A:C,3,FALSE)</f>
        <v>Megan Velasquez</v>
      </c>
      <c r="J1257" t="str">
        <f>VLOOKUP(D1257,Products!A:C,2,FALSE)</f>
        <v>Behavior Dairy</v>
      </c>
      <c r="K1257" t="str">
        <f>VLOOKUP(D1257,Products!A:C,3,FALSE)</f>
        <v>Groceries</v>
      </c>
      <c r="L1257" t="str">
        <f>VLOOKUP(E1257,Stores!A:B,2,FALSE)</f>
        <v>MegaMart Johnmouth</v>
      </c>
      <c r="M1257">
        <f>VLOOKUP(D1257,Products!A:E,5,FALSE)</f>
        <v>1015.76</v>
      </c>
      <c r="N1257" s="5">
        <f t="shared" si="19"/>
        <v>863.39599999999996</v>
      </c>
    </row>
    <row r="1258" spans="1:14" x14ac:dyDescent="0.3">
      <c r="A1258" t="s">
        <v>2114</v>
      </c>
      <c r="B1258" s="2">
        <v>45786</v>
      </c>
      <c r="C1258" t="s">
        <v>134</v>
      </c>
      <c r="D1258" t="s">
        <v>764</v>
      </c>
      <c r="E1258" t="s">
        <v>839</v>
      </c>
      <c r="F1258">
        <v>3</v>
      </c>
      <c r="G1258">
        <v>0.05</v>
      </c>
      <c r="H1258" t="s">
        <v>865</v>
      </c>
      <c r="I1258" t="str">
        <f>VLOOKUP(C1258,Customers!A:C,2,FALSE)&amp;" "&amp;VLOOKUP(C1258,Customers!A:C,3,FALSE)</f>
        <v>Kari Miller</v>
      </c>
      <c r="J1258" t="str">
        <f>VLOOKUP(D1258,Products!A:C,2,FALSE)</f>
        <v>Simple Accessories</v>
      </c>
      <c r="K1258" t="str">
        <f>VLOOKUP(D1258,Products!A:C,3,FALSE)</f>
        <v>Fashion</v>
      </c>
      <c r="L1258" t="str">
        <f>VLOOKUP(E1258,Stores!A:B,2,FALSE)</f>
        <v>MegaMart New Michele</v>
      </c>
      <c r="M1258">
        <f>VLOOKUP(D1258,Products!A:E,5,FALSE)</f>
        <v>323.92</v>
      </c>
      <c r="N1258" s="5">
        <f t="shared" si="19"/>
        <v>923.17199999999991</v>
      </c>
    </row>
    <row r="1259" spans="1:14" x14ac:dyDescent="0.3">
      <c r="A1259" t="s">
        <v>2115</v>
      </c>
      <c r="B1259" s="2">
        <v>45860</v>
      </c>
      <c r="C1259" t="s">
        <v>24</v>
      </c>
      <c r="D1259" t="s">
        <v>745</v>
      </c>
      <c r="E1259" t="s">
        <v>842</v>
      </c>
      <c r="F1259">
        <v>3</v>
      </c>
      <c r="G1259">
        <v>0.05</v>
      </c>
      <c r="H1259" t="s">
        <v>858</v>
      </c>
      <c r="I1259" t="str">
        <f>VLOOKUP(C1259,Customers!A:C,2,FALSE)&amp;" "&amp;VLOOKUP(C1259,Customers!A:C,3,FALSE)</f>
        <v>Jamie Salinas</v>
      </c>
      <c r="J1259" t="str">
        <f>VLOOKUP(D1259,Products!A:C,2,FALSE)</f>
        <v>Above Camera</v>
      </c>
      <c r="K1259" t="str">
        <f>VLOOKUP(D1259,Products!A:C,3,FALSE)</f>
        <v>Electronics</v>
      </c>
      <c r="L1259" t="str">
        <f>VLOOKUP(E1259,Stores!A:B,2,FALSE)</f>
        <v>MegaMart Brianahaven</v>
      </c>
      <c r="M1259">
        <f>VLOOKUP(D1259,Products!A:E,5,FALSE)</f>
        <v>1193.0899999999999</v>
      </c>
      <c r="N1259" s="5">
        <f t="shared" si="19"/>
        <v>3400.3064999999992</v>
      </c>
    </row>
    <row r="1260" spans="1:14" x14ac:dyDescent="0.3">
      <c r="A1260" t="s">
        <v>2116</v>
      </c>
      <c r="B1260" s="2">
        <v>45366</v>
      </c>
      <c r="C1260" t="s">
        <v>533</v>
      </c>
      <c r="D1260" t="s">
        <v>816</v>
      </c>
      <c r="E1260" t="s">
        <v>846</v>
      </c>
      <c r="F1260">
        <v>1</v>
      </c>
      <c r="G1260">
        <v>0.15</v>
      </c>
      <c r="H1260" t="s">
        <v>858</v>
      </c>
      <c r="I1260" t="str">
        <f>VLOOKUP(C1260,Customers!A:C,2,FALSE)&amp;" "&amp;VLOOKUP(C1260,Customers!A:C,3,FALSE)</f>
        <v>Crystal Garrison</v>
      </c>
      <c r="J1260" t="str">
        <f>VLOOKUP(D1260,Products!A:C,2,FALSE)</f>
        <v>Set Dairy</v>
      </c>
      <c r="K1260" t="str">
        <f>VLOOKUP(D1260,Products!A:C,3,FALSE)</f>
        <v>Groceries</v>
      </c>
      <c r="L1260" t="str">
        <f>VLOOKUP(E1260,Stores!A:B,2,FALSE)</f>
        <v>MegaMart Johnmouth</v>
      </c>
      <c r="M1260">
        <f>VLOOKUP(D1260,Products!A:E,5,FALSE)</f>
        <v>1879.08</v>
      </c>
      <c r="N1260" s="5">
        <f t="shared" si="19"/>
        <v>1597.2179999999998</v>
      </c>
    </row>
    <row r="1261" spans="1:14" x14ac:dyDescent="0.3">
      <c r="A1261" t="s">
        <v>2117</v>
      </c>
      <c r="B1261" s="2">
        <v>45526</v>
      </c>
      <c r="C1261" t="s">
        <v>696</v>
      </c>
      <c r="D1261" t="s">
        <v>788</v>
      </c>
      <c r="E1261" t="s">
        <v>835</v>
      </c>
      <c r="F1261">
        <v>4</v>
      </c>
      <c r="G1261">
        <v>0.05</v>
      </c>
      <c r="H1261" t="s">
        <v>855</v>
      </c>
      <c r="I1261" t="str">
        <f>VLOOKUP(C1261,Customers!A:C,2,FALSE)&amp;" "&amp;VLOOKUP(C1261,Customers!A:C,3,FALSE)</f>
        <v>Jessica Mullins</v>
      </c>
      <c r="J1261" t="str">
        <f>VLOOKUP(D1261,Products!A:C,2,FALSE)</f>
        <v>Foot Snacks</v>
      </c>
      <c r="K1261" t="str">
        <f>VLOOKUP(D1261,Products!A:C,3,FALSE)</f>
        <v>Groceries</v>
      </c>
      <c r="L1261" t="str">
        <f>VLOOKUP(E1261,Stores!A:B,2,FALSE)</f>
        <v>MegaMart Peckmouth</v>
      </c>
      <c r="M1261">
        <f>VLOOKUP(D1261,Products!A:E,5,FALSE)</f>
        <v>1095.72</v>
      </c>
      <c r="N1261" s="5">
        <f t="shared" si="19"/>
        <v>4163.7359999999999</v>
      </c>
    </row>
    <row r="1262" spans="1:14" x14ac:dyDescent="0.3">
      <c r="A1262" t="s">
        <v>2118</v>
      </c>
      <c r="B1262" s="2">
        <v>45242</v>
      </c>
      <c r="C1262" t="s">
        <v>577</v>
      </c>
      <c r="D1262" t="s">
        <v>742</v>
      </c>
      <c r="E1262" t="s">
        <v>842</v>
      </c>
      <c r="F1262">
        <v>1</v>
      </c>
      <c r="G1262">
        <v>0</v>
      </c>
      <c r="H1262" t="s">
        <v>858</v>
      </c>
      <c r="I1262" t="str">
        <f>VLOOKUP(C1262,Customers!A:C,2,FALSE)&amp;" "&amp;VLOOKUP(C1262,Customers!A:C,3,FALSE)</f>
        <v>Michael Perez</v>
      </c>
      <c r="J1262" t="str">
        <f>VLOOKUP(D1262,Products!A:C,2,FALSE)</f>
        <v>Either Headphones</v>
      </c>
      <c r="K1262" t="str">
        <f>VLOOKUP(D1262,Products!A:C,3,FALSE)</f>
        <v>Electronics</v>
      </c>
      <c r="L1262" t="str">
        <f>VLOOKUP(E1262,Stores!A:B,2,FALSE)</f>
        <v>MegaMart Brianahaven</v>
      </c>
      <c r="M1262">
        <f>VLOOKUP(D1262,Products!A:E,5,FALSE)</f>
        <v>248.57</v>
      </c>
      <c r="N1262" s="5">
        <f t="shared" si="19"/>
        <v>248.57</v>
      </c>
    </row>
    <row r="1263" spans="1:14" x14ac:dyDescent="0.3">
      <c r="A1263" t="s">
        <v>2119</v>
      </c>
      <c r="B1263" s="2">
        <v>45422</v>
      </c>
      <c r="C1263" t="s">
        <v>627</v>
      </c>
      <c r="D1263" t="s">
        <v>786</v>
      </c>
      <c r="E1263" t="s">
        <v>839</v>
      </c>
      <c r="F1263">
        <v>5</v>
      </c>
      <c r="G1263">
        <v>0</v>
      </c>
      <c r="H1263" t="s">
        <v>855</v>
      </c>
      <c r="I1263" t="str">
        <f>VLOOKUP(C1263,Customers!A:C,2,FALSE)&amp;" "&amp;VLOOKUP(C1263,Customers!A:C,3,FALSE)</f>
        <v>Anthony Gould</v>
      </c>
      <c r="J1263" t="str">
        <f>VLOOKUP(D1263,Products!A:C,2,FALSE)</f>
        <v>National Watches</v>
      </c>
      <c r="K1263" t="str">
        <f>VLOOKUP(D1263,Products!A:C,3,FALSE)</f>
        <v>Fashion</v>
      </c>
      <c r="L1263" t="str">
        <f>VLOOKUP(E1263,Stores!A:B,2,FALSE)</f>
        <v>MegaMart New Michele</v>
      </c>
      <c r="M1263">
        <f>VLOOKUP(D1263,Products!A:E,5,FALSE)</f>
        <v>29.24</v>
      </c>
      <c r="N1263" s="5">
        <f t="shared" si="19"/>
        <v>146.19999999999999</v>
      </c>
    </row>
    <row r="1264" spans="1:14" x14ac:dyDescent="0.3">
      <c r="A1264" t="s">
        <v>2120</v>
      </c>
      <c r="B1264" s="2">
        <v>45783</v>
      </c>
      <c r="C1264" t="s">
        <v>411</v>
      </c>
      <c r="D1264" t="s">
        <v>792</v>
      </c>
      <c r="E1264" t="s">
        <v>839</v>
      </c>
      <c r="F1264">
        <v>5</v>
      </c>
      <c r="G1264">
        <v>0.05</v>
      </c>
      <c r="H1264" t="s">
        <v>865</v>
      </c>
      <c r="I1264" t="str">
        <f>VLOOKUP(C1264,Customers!A:C,2,FALSE)&amp;" "&amp;VLOOKUP(C1264,Customers!A:C,3,FALSE)</f>
        <v>Travis Peters</v>
      </c>
      <c r="J1264" t="str">
        <f>VLOOKUP(D1264,Products!A:C,2,FALSE)</f>
        <v>Beat Accessories</v>
      </c>
      <c r="K1264" t="str">
        <f>VLOOKUP(D1264,Products!A:C,3,FALSE)</f>
        <v>Fashion</v>
      </c>
      <c r="L1264" t="str">
        <f>VLOOKUP(E1264,Stores!A:B,2,FALSE)</f>
        <v>MegaMart New Michele</v>
      </c>
      <c r="M1264">
        <f>VLOOKUP(D1264,Products!A:E,5,FALSE)</f>
        <v>1798.97</v>
      </c>
      <c r="N1264" s="5">
        <f t="shared" si="19"/>
        <v>8545.1075000000001</v>
      </c>
    </row>
    <row r="1265" spans="1:14" x14ac:dyDescent="0.3">
      <c r="A1265" t="s">
        <v>2121</v>
      </c>
      <c r="B1265" s="2">
        <v>45339</v>
      </c>
      <c r="C1265" t="s">
        <v>570</v>
      </c>
      <c r="D1265" t="s">
        <v>732</v>
      </c>
      <c r="E1265" t="s">
        <v>839</v>
      </c>
      <c r="F1265">
        <v>1</v>
      </c>
      <c r="G1265">
        <v>0.1</v>
      </c>
      <c r="H1265" t="s">
        <v>865</v>
      </c>
      <c r="I1265" t="str">
        <f>VLOOKUP(C1265,Customers!A:C,2,FALSE)&amp;" "&amp;VLOOKUP(C1265,Customers!A:C,3,FALSE)</f>
        <v>Thomas Chung</v>
      </c>
      <c r="J1265" t="str">
        <f>VLOOKUP(D1265,Products!A:C,2,FALSE)</f>
        <v>Understand Camera</v>
      </c>
      <c r="K1265" t="str">
        <f>VLOOKUP(D1265,Products!A:C,3,FALSE)</f>
        <v>Electronics</v>
      </c>
      <c r="L1265" t="str">
        <f>VLOOKUP(E1265,Stores!A:B,2,FALSE)</f>
        <v>MegaMart New Michele</v>
      </c>
      <c r="M1265">
        <f>VLOOKUP(D1265,Products!A:E,5,FALSE)</f>
        <v>1474.12</v>
      </c>
      <c r="N1265" s="5">
        <f t="shared" si="19"/>
        <v>1326.7079999999999</v>
      </c>
    </row>
    <row r="1266" spans="1:14" x14ac:dyDescent="0.3">
      <c r="A1266" t="s">
        <v>2122</v>
      </c>
      <c r="B1266" s="2">
        <v>45471</v>
      </c>
      <c r="C1266" t="s">
        <v>115</v>
      </c>
      <c r="D1266" t="s">
        <v>747</v>
      </c>
      <c r="E1266" t="s">
        <v>842</v>
      </c>
      <c r="F1266">
        <v>3</v>
      </c>
      <c r="G1266">
        <v>0.15</v>
      </c>
      <c r="H1266" t="s">
        <v>865</v>
      </c>
      <c r="I1266" t="str">
        <f>VLOOKUP(C1266,Customers!A:C,2,FALSE)&amp;" "&amp;VLOOKUP(C1266,Customers!A:C,3,FALSE)</f>
        <v>Tyler Levine</v>
      </c>
      <c r="J1266" t="str">
        <f>VLOOKUP(D1266,Products!A:C,2,FALSE)</f>
        <v>World Watches</v>
      </c>
      <c r="K1266" t="str">
        <f>VLOOKUP(D1266,Products!A:C,3,FALSE)</f>
        <v>Fashion</v>
      </c>
      <c r="L1266" t="str">
        <f>VLOOKUP(E1266,Stores!A:B,2,FALSE)</f>
        <v>MegaMart Brianahaven</v>
      </c>
      <c r="M1266">
        <f>VLOOKUP(D1266,Products!A:E,5,FALSE)</f>
        <v>1134.8</v>
      </c>
      <c r="N1266" s="5">
        <f t="shared" si="19"/>
        <v>2893.74</v>
      </c>
    </row>
    <row r="1267" spans="1:14" x14ac:dyDescent="0.3">
      <c r="A1267" t="s">
        <v>2123</v>
      </c>
      <c r="B1267" s="2">
        <v>45439</v>
      </c>
      <c r="C1267" t="s">
        <v>355</v>
      </c>
      <c r="D1267" t="s">
        <v>818</v>
      </c>
      <c r="E1267" t="s">
        <v>839</v>
      </c>
      <c r="F1267">
        <v>2</v>
      </c>
      <c r="G1267">
        <v>0</v>
      </c>
      <c r="H1267" t="s">
        <v>861</v>
      </c>
      <c r="I1267" t="str">
        <f>VLOOKUP(C1267,Customers!A:C,2,FALSE)&amp;" "&amp;VLOOKUP(C1267,Customers!A:C,3,FALSE)</f>
        <v>Kimberly Stokes</v>
      </c>
      <c r="J1267" t="str">
        <f>VLOOKUP(D1267,Products!A:C,2,FALSE)</f>
        <v>Nature Clothing</v>
      </c>
      <c r="K1267" t="str">
        <f>VLOOKUP(D1267,Products!A:C,3,FALSE)</f>
        <v>Fashion</v>
      </c>
      <c r="L1267" t="str">
        <f>VLOOKUP(E1267,Stores!A:B,2,FALSE)</f>
        <v>MegaMart New Michele</v>
      </c>
      <c r="M1267">
        <f>VLOOKUP(D1267,Products!A:E,5,FALSE)</f>
        <v>1165.3699999999999</v>
      </c>
      <c r="N1267" s="5">
        <f t="shared" si="19"/>
        <v>2330.7399999999998</v>
      </c>
    </row>
    <row r="1268" spans="1:14" x14ac:dyDescent="0.3">
      <c r="A1268" t="s">
        <v>2124</v>
      </c>
      <c r="B1268" s="2">
        <v>45597</v>
      </c>
      <c r="C1268" t="s">
        <v>141</v>
      </c>
      <c r="D1268" t="s">
        <v>764</v>
      </c>
      <c r="E1268" t="s">
        <v>839</v>
      </c>
      <c r="F1268">
        <v>2</v>
      </c>
      <c r="G1268">
        <v>0</v>
      </c>
      <c r="H1268" t="s">
        <v>858</v>
      </c>
      <c r="I1268" t="str">
        <f>VLOOKUP(C1268,Customers!A:C,2,FALSE)&amp;" "&amp;VLOOKUP(C1268,Customers!A:C,3,FALSE)</f>
        <v>Michael Cervantes</v>
      </c>
      <c r="J1268" t="str">
        <f>VLOOKUP(D1268,Products!A:C,2,FALSE)</f>
        <v>Simple Accessories</v>
      </c>
      <c r="K1268" t="str">
        <f>VLOOKUP(D1268,Products!A:C,3,FALSE)</f>
        <v>Fashion</v>
      </c>
      <c r="L1268" t="str">
        <f>VLOOKUP(E1268,Stores!A:B,2,FALSE)</f>
        <v>MegaMart New Michele</v>
      </c>
      <c r="M1268">
        <f>VLOOKUP(D1268,Products!A:E,5,FALSE)</f>
        <v>323.92</v>
      </c>
      <c r="N1268" s="5">
        <f t="shared" si="19"/>
        <v>647.84</v>
      </c>
    </row>
    <row r="1269" spans="1:14" x14ac:dyDescent="0.3">
      <c r="A1269" t="s">
        <v>2125</v>
      </c>
      <c r="B1269" s="2">
        <v>45867</v>
      </c>
      <c r="C1269" t="s">
        <v>666</v>
      </c>
      <c r="D1269" t="s">
        <v>780</v>
      </c>
      <c r="E1269" t="s">
        <v>846</v>
      </c>
      <c r="F1269">
        <v>2</v>
      </c>
      <c r="G1269">
        <v>0.05</v>
      </c>
      <c r="H1269" t="s">
        <v>855</v>
      </c>
      <c r="I1269" t="str">
        <f>VLOOKUP(C1269,Customers!A:C,2,FALSE)&amp;" "&amp;VLOOKUP(C1269,Customers!A:C,3,FALSE)</f>
        <v>Steve Flynn</v>
      </c>
      <c r="J1269" t="str">
        <f>VLOOKUP(D1269,Products!A:C,2,FALSE)</f>
        <v>Hospital Smartphone</v>
      </c>
      <c r="K1269" t="str">
        <f>VLOOKUP(D1269,Products!A:C,3,FALSE)</f>
        <v>Electronics</v>
      </c>
      <c r="L1269" t="str">
        <f>VLOOKUP(E1269,Stores!A:B,2,FALSE)</f>
        <v>MegaMart Johnmouth</v>
      </c>
      <c r="M1269">
        <f>VLOOKUP(D1269,Products!A:E,5,FALSE)</f>
        <v>1272.23</v>
      </c>
      <c r="N1269" s="5">
        <f t="shared" si="19"/>
        <v>2417.2370000000001</v>
      </c>
    </row>
    <row r="1270" spans="1:14" x14ac:dyDescent="0.3">
      <c r="A1270" t="s">
        <v>2126</v>
      </c>
      <c r="B1270" s="2">
        <v>45768</v>
      </c>
      <c r="C1270" t="s">
        <v>343</v>
      </c>
      <c r="D1270" t="s">
        <v>826</v>
      </c>
      <c r="E1270" t="s">
        <v>839</v>
      </c>
      <c r="F1270">
        <v>5</v>
      </c>
      <c r="G1270">
        <v>0.15</v>
      </c>
      <c r="H1270" t="s">
        <v>855</v>
      </c>
      <c r="I1270" t="str">
        <f>VLOOKUP(C1270,Customers!A:C,2,FALSE)&amp;" "&amp;VLOOKUP(C1270,Customers!A:C,3,FALSE)</f>
        <v>Brian Fowler</v>
      </c>
      <c r="J1270" t="str">
        <f>VLOOKUP(D1270,Products!A:C,2,FALSE)</f>
        <v>Maybe Footwear</v>
      </c>
      <c r="K1270" t="str">
        <f>VLOOKUP(D1270,Products!A:C,3,FALSE)</f>
        <v>Fashion</v>
      </c>
      <c r="L1270" t="str">
        <f>VLOOKUP(E1270,Stores!A:B,2,FALSE)</f>
        <v>MegaMart New Michele</v>
      </c>
      <c r="M1270">
        <f>VLOOKUP(D1270,Products!A:E,5,FALSE)</f>
        <v>1044.6400000000001</v>
      </c>
      <c r="N1270" s="5">
        <f t="shared" si="19"/>
        <v>4439.72</v>
      </c>
    </row>
    <row r="1271" spans="1:14" x14ac:dyDescent="0.3">
      <c r="A1271" t="s">
        <v>2127</v>
      </c>
      <c r="B1271" s="2">
        <v>45629</v>
      </c>
      <c r="C1271" t="s">
        <v>59</v>
      </c>
      <c r="D1271" t="s">
        <v>739</v>
      </c>
      <c r="E1271" t="s">
        <v>831</v>
      </c>
      <c r="F1271">
        <v>3</v>
      </c>
      <c r="G1271">
        <v>0.1</v>
      </c>
      <c r="H1271" t="s">
        <v>858</v>
      </c>
      <c r="I1271" t="str">
        <f>VLOOKUP(C1271,Customers!A:C,2,FALSE)&amp;" "&amp;VLOOKUP(C1271,Customers!A:C,3,FALSE)</f>
        <v>Brittany Green</v>
      </c>
      <c r="J1271" t="str">
        <f>VLOOKUP(D1271,Products!A:C,2,FALSE)</f>
        <v>Step Smartphone</v>
      </c>
      <c r="K1271" t="str">
        <f>VLOOKUP(D1271,Products!A:C,3,FALSE)</f>
        <v>Electronics</v>
      </c>
      <c r="L1271" t="str">
        <f>VLOOKUP(E1271,Stores!A:B,2,FALSE)</f>
        <v>MegaMart Jimenezborough</v>
      </c>
      <c r="M1271">
        <f>VLOOKUP(D1271,Products!A:E,5,FALSE)</f>
        <v>1194.1199999999999</v>
      </c>
      <c r="N1271" s="5">
        <f t="shared" si="19"/>
        <v>3224.1239999999998</v>
      </c>
    </row>
    <row r="1272" spans="1:14" x14ac:dyDescent="0.3">
      <c r="A1272" t="s">
        <v>2128</v>
      </c>
      <c r="B1272" s="2">
        <v>45378</v>
      </c>
      <c r="C1272" t="s">
        <v>462</v>
      </c>
      <c r="D1272" t="s">
        <v>772</v>
      </c>
      <c r="E1272" t="s">
        <v>846</v>
      </c>
      <c r="F1272">
        <v>5</v>
      </c>
      <c r="G1272">
        <v>0</v>
      </c>
      <c r="H1272" t="s">
        <v>858</v>
      </c>
      <c r="I1272" t="str">
        <f>VLOOKUP(C1272,Customers!A:C,2,FALSE)&amp;" "&amp;VLOOKUP(C1272,Customers!A:C,3,FALSE)</f>
        <v>Kimberly Parker</v>
      </c>
      <c r="J1272" t="str">
        <f>VLOOKUP(D1272,Products!A:C,2,FALSE)</f>
        <v>And Footwear</v>
      </c>
      <c r="K1272" t="str">
        <f>VLOOKUP(D1272,Products!A:C,3,FALSE)</f>
        <v>Fashion</v>
      </c>
      <c r="L1272" t="str">
        <f>VLOOKUP(E1272,Stores!A:B,2,FALSE)</f>
        <v>MegaMart Johnmouth</v>
      </c>
      <c r="M1272">
        <f>VLOOKUP(D1272,Products!A:E,5,FALSE)</f>
        <v>1878.47</v>
      </c>
      <c r="N1272" s="5">
        <f t="shared" si="19"/>
        <v>9392.35</v>
      </c>
    </row>
    <row r="1273" spans="1:14" x14ac:dyDescent="0.3">
      <c r="A1273" t="s">
        <v>2129</v>
      </c>
      <c r="B1273" s="2">
        <v>45386</v>
      </c>
      <c r="C1273" t="s">
        <v>643</v>
      </c>
      <c r="D1273" t="s">
        <v>755</v>
      </c>
      <c r="E1273" t="s">
        <v>846</v>
      </c>
      <c r="F1273">
        <v>5</v>
      </c>
      <c r="G1273">
        <v>0.1</v>
      </c>
      <c r="H1273" t="s">
        <v>858</v>
      </c>
      <c r="I1273" t="str">
        <f>VLOOKUP(C1273,Customers!A:C,2,FALSE)&amp;" "&amp;VLOOKUP(C1273,Customers!A:C,3,FALSE)</f>
        <v>Meghan Wright</v>
      </c>
      <c r="J1273" t="str">
        <f>VLOOKUP(D1273,Products!A:C,2,FALSE)</f>
        <v>House Accessories</v>
      </c>
      <c r="K1273" t="str">
        <f>VLOOKUP(D1273,Products!A:C,3,FALSE)</f>
        <v>Fashion</v>
      </c>
      <c r="L1273" t="str">
        <f>VLOOKUP(E1273,Stores!A:B,2,FALSE)</f>
        <v>MegaMart Johnmouth</v>
      </c>
      <c r="M1273">
        <f>VLOOKUP(D1273,Products!A:E,5,FALSE)</f>
        <v>1858.75</v>
      </c>
      <c r="N1273" s="5">
        <f t="shared" si="19"/>
        <v>8364.375</v>
      </c>
    </row>
    <row r="1274" spans="1:14" x14ac:dyDescent="0.3">
      <c r="A1274" t="s">
        <v>2130</v>
      </c>
      <c r="B1274" s="2">
        <v>45263</v>
      </c>
      <c r="C1274" t="s">
        <v>570</v>
      </c>
      <c r="D1274" t="s">
        <v>780</v>
      </c>
      <c r="E1274" t="s">
        <v>839</v>
      </c>
      <c r="F1274">
        <v>1</v>
      </c>
      <c r="G1274">
        <v>0.05</v>
      </c>
      <c r="H1274" t="s">
        <v>858</v>
      </c>
      <c r="I1274" t="str">
        <f>VLOOKUP(C1274,Customers!A:C,2,FALSE)&amp;" "&amp;VLOOKUP(C1274,Customers!A:C,3,FALSE)</f>
        <v>Thomas Chung</v>
      </c>
      <c r="J1274" t="str">
        <f>VLOOKUP(D1274,Products!A:C,2,FALSE)</f>
        <v>Hospital Smartphone</v>
      </c>
      <c r="K1274" t="str">
        <f>VLOOKUP(D1274,Products!A:C,3,FALSE)</f>
        <v>Electronics</v>
      </c>
      <c r="L1274" t="str">
        <f>VLOOKUP(E1274,Stores!A:B,2,FALSE)</f>
        <v>MegaMart New Michele</v>
      </c>
      <c r="M1274">
        <f>VLOOKUP(D1274,Products!A:E,5,FALSE)</f>
        <v>1272.23</v>
      </c>
      <c r="N1274" s="5">
        <f t="shared" si="19"/>
        <v>1208.6185</v>
      </c>
    </row>
    <row r="1275" spans="1:14" x14ac:dyDescent="0.3">
      <c r="A1275" t="s">
        <v>2131</v>
      </c>
      <c r="B1275" s="2">
        <v>45539</v>
      </c>
      <c r="C1275" t="s">
        <v>93</v>
      </c>
      <c r="D1275" t="s">
        <v>790</v>
      </c>
      <c r="E1275" t="s">
        <v>831</v>
      </c>
      <c r="F1275">
        <v>4</v>
      </c>
      <c r="G1275">
        <v>0.05</v>
      </c>
      <c r="H1275" t="s">
        <v>855</v>
      </c>
      <c r="I1275" t="str">
        <f>VLOOKUP(C1275,Customers!A:C,2,FALSE)&amp;" "&amp;VLOOKUP(C1275,Customers!A:C,3,FALSE)</f>
        <v>Mark Martinez</v>
      </c>
      <c r="J1275" t="str">
        <f>VLOOKUP(D1275,Products!A:C,2,FALSE)</f>
        <v>Difficult Vegetables</v>
      </c>
      <c r="K1275" t="str">
        <f>VLOOKUP(D1275,Products!A:C,3,FALSE)</f>
        <v>Groceries</v>
      </c>
      <c r="L1275" t="str">
        <f>VLOOKUP(E1275,Stores!A:B,2,FALSE)</f>
        <v>MegaMart Jimenezborough</v>
      </c>
      <c r="M1275">
        <f>VLOOKUP(D1275,Products!A:E,5,FALSE)</f>
        <v>304.70999999999998</v>
      </c>
      <c r="N1275" s="5">
        <f t="shared" si="19"/>
        <v>1157.8979999999999</v>
      </c>
    </row>
    <row r="1276" spans="1:14" x14ac:dyDescent="0.3">
      <c r="A1276" t="s">
        <v>2132</v>
      </c>
      <c r="B1276" s="2">
        <v>45299</v>
      </c>
      <c r="C1276" t="s">
        <v>81</v>
      </c>
      <c r="D1276" t="s">
        <v>755</v>
      </c>
      <c r="E1276" t="s">
        <v>831</v>
      </c>
      <c r="F1276">
        <v>2</v>
      </c>
      <c r="G1276">
        <v>0.1</v>
      </c>
      <c r="H1276" t="s">
        <v>865</v>
      </c>
      <c r="I1276" t="str">
        <f>VLOOKUP(C1276,Customers!A:C,2,FALSE)&amp;" "&amp;VLOOKUP(C1276,Customers!A:C,3,FALSE)</f>
        <v>Ryan Cole</v>
      </c>
      <c r="J1276" t="str">
        <f>VLOOKUP(D1276,Products!A:C,2,FALSE)</f>
        <v>House Accessories</v>
      </c>
      <c r="K1276" t="str">
        <f>VLOOKUP(D1276,Products!A:C,3,FALSE)</f>
        <v>Fashion</v>
      </c>
      <c r="L1276" t="str">
        <f>VLOOKUP(E1276,Stores!A:B,2,FALSE)</f>
        <v>MegaMart Jimenezborough</v>
      </c>
      <c r="M1276">
        <f>VLOOKUP(D1276,Products!A:E,5,FALSE)</f>
        <v>1858.75</v>
      </c>
      <c r="N1276" s="5">
        <f t="shared" si="19"/>
        <v>3345.75</v>
      </c>
    </row>
    <row r="1277" spans="1:14" x14ac:dyDescent="0.3">
      <c r="A1277" t="s">
        <v>2133</v>
      </c>
      <c r="B1277" s="2">
        <v>45732</v>
      </c>
      <c r="C1277" t="s">
        <v>633</v>
      </c>
      <c r="D1277" t="s">
        <v>772</v>
      </c>
      <c r="E1277" t="s">
        <v>835</v>
      </c>
      <c r="F1277">
        <v>4</v>
      </c>
      <c r="G1277">
        <v>0.05</v>
      </c>
      <c r="H1277" t="s">
        <v>861</v>
      </c>
      <c r="I1277" t="str">
        <f>VLOOKUP(C1277,Customers!A:C,2,FALSE)&amp;" "&amp;VLOOKUP(C1277,Customers!A:C,3,FALSE)</f>
        <v>Dennis Wallace</v>
      </c>
      <c r="J1277" t="str">
        <f>VLOOKUP(D1277,Products!A:C,2,FALSE)</f>
        <v>And Footwear</v>
      </c>
      <c r="K1277" t="str">
        <f>VLOOKUP(D1277,Products!A:C,3,FALSE)</f>
        <v>Fashion</v>
      </c>
      <c r="L1277" t="str">
        <f>VLOOKUP(E1277,Stores!A:B,2,FALSE)</f>
        <v>MegaMart Peckmouth</v>
      </c>
      <c r="M1277">
        <f>VLOOKUP(D1277,Products!A:E,5,FALSE)</f>
        <v>1878.47</v>
      </c>
      <c r="N1277" s="5">
        <f t="shared" si="19"/>
        <v>7138.1859999999997</v>
      </c>
    </row>
    <row r="1278" spans="1:14" x14ac:dyDescent="0.3">
      <c r="A1278" t="s">
        <v>2134</v>
      </c>
      <c r="B1278" s="2">
        <v>45554</v>
      </c>
      <c r="C1278" t="s">
        <v>491</v>
      </c>
      <c r="D1278" t="s">
        <v>808</v>
      </c>
      <c r="E1278" t="s">
        <v>831</v>
      </c>
      <c r="F1278">
        <v>3</v>
      </c>
      <c r="G1278">
        <v>0.15</v>
      </c>
      <c r="H1278" t="s">
        <v>861</v>
      </c>
      <c r="I1278" t="str">
        <f>VLOOKUP(C1278,Customers!A:C,2,FALSE)&amp;" "&amp;VLOOKUP(C1278,Customers!A:C,3,FALSE)</f>
        <v>Emily Hart</v>
      </c>
      <c r="J1278" t="str">
        <f>VLOOKUP(D1278,Products!A:C,2,FALSE)</f>
        <v>Present Television</v>
      </c>
      <c r="K1278" t="str">
        <f>VLOOKUP(D1278,Products!A:C,3,FALSE)</f>
        <v>Electronics</v>
      </c>
      <c r="L1278" t="str">
        <f>VLOOKUP(E1278,Stores!A:B,2,FALSE)</f>
        <v>MegaMart Jimenezborough</v>
      </c>
      <c r="M1278">
        <f>VLOOKUP(D1278,Products!A:E,5,FALSE)</f>
        <v>1635.01</v>
      </c>
      <c r="N1278" s="5">
        <f t="shared" si="19"/>
        <v>4169.2754999999997</v>
      </c>
    </row>
    <row r="1279" spans="1:14" x14ac:dyDescent="0.3">
      <c r="A1279" t="s">
        <v>2135</v>
      </c>
      <c r="B1279" s="2">
        <v>45203</v>
      </c>
      <c r="C1279" t="s">
        <v>452</v>
      </c>
      <c r="D1279" t="s">
        <v>772</v>
      </c>
      <c r="E1279" t="s">
        <v>839</v>
      </c>
      <c r="F1279">
        <v>4</v>
      </c>
      <c r="G1279">
        <v>0.15</v>
      </c>
      <c r="H1279" t="s">
        <v>865</v>
      </c>
      <c r="I1279" t="str">
        <f>VLOOKUP(C1279,Customers!A:C,2,FALSE)&amp;" "&amp;VLOOKUP(C1279,Customers!A:C,3,FALSE)</f>
        <v>Amy Smith</v>
      </c>
      <c r="J1279" t="str">
        <f>VLOOKUP(D1279,Products!A:C,2,FALSE)</f>
        <v>And Footwear</v>
      </c>
      <c r="K1279" t="str">
        <f>VLOOKUP(D1279,Products!A:C,3,FALSE)</f>
        <v>Fashion</v>
      </c>
      <c r="L1279" t="str">
        <f>VLOOKUP(E1279,Stores!A:B,2,FALSE)</f>
        <v>MegaMart New Michele</v>
      </c>
      <c r="M1279">
        <f>VLOOKUP(D1279,Products!A:E,5,FALSE)</f>
        <v>1878.47</v>
      </c>
      <c r="N1279" s="5">
        <f t="shared" si="19"/>
        <v>6386.7979999999998</v>
      </c>
    </row>
    <row r="1280" spans="1:14" x14ac:dyDescent="0.3">
      <c r="A1280" t="s">
        <v>2136</v>
      </c>
      <c r="B1280" s="2">
        <v>45467</v>
      </c>
      <c r="C1280" t="s">
        <v>284</v>
      </c>
      <c r="D1280" t="s">
        <v>808</v>
      </c>
      <c r="E1280" t="s">
        <v>835</v>
      </c>
      <c r="F1280">
        <v>1</v>
      </c>
      <c r="G1280">
        <v>0</v>
      </c>
      <c r="H1280" t="s">
        <v>861</v>
      </c>
      <c r="I1280" t="str">
        <f>VLOOKUP(C1280,Customers!A:C,2,FALSE)&amp;" "&amp;VLOOKUP(C1280,Customers!A:C,3,FALSE)</f>
        <v>Seth Moore</v>
      </c>
      <c r="J1280" t="str">
        <f>VLOOKUP(D1280,Products!A:C,2,FALSE)</f>
        <v>Present Television</v>
      </c>
      <c r="K1280" t="str">
        <f>VLOOKUP(D1280,Products!A:C,3,FALSE)</f>
        <v>Electronics</v>
      </c>
      <c r="L1280" t="str">
        <f>VLOOKUP(E1280,Stores!A:B,2,FALSE)</f>
        <v>MegaMart Peckmouth</v>
      </c>
      <c r="M1280">
        <f>VLOOKUP(D1280,Products!A:E,5,FALSE)</f>
        <v>1635.01</v>
      </c>
      <c r="N1280" s="5">
        <f t="shared" si="19"/>
        <v>1635.01</v>
      </c>
    </row>
    <row r="1281" spans="1:14" x14ac:dyDescent="0.3">
      <c r="A1281" t="s">
        <v>2137</v>
      </c>
      <c r="B1281" s="2">
        <v>45334</v>
      </c>
      <c r="C1281" t="s">
        <v>491</v>
      </c>
      <c r="D1281" t="s">
        <v>750</v>
      </c>
      <c r="E1281" t="s">
        <v>839</v>
      </c>
      <c r="F1281">
        <v>4</v>
      </c>
      <c r="G1281">
        <v>0.1</v>
      </c>
      <c r="H1281" t="s">
        <v>855</v>
      </c>
      <c r="I1281" t="str">
        <f>VLOOKUP(C1281,Customers!A:C,2,FALSE)&amp;" "&amp;VLOOKUP(C1281,Customers!A:C,3,FALSE)</f>
        <v>Emily Hart</v>
      </c>
      <c r="J1281" t="str">
        <f>VLOOKUP(D1281,Products!A:C,2,FALSE)</f>
        <v>Add Clothing</v>
      </c>
      <c r="K1281" t="str">
        <f>VLOOKUP(D1281,Products!A:C,3,FALSE)</f>
        <v>Fashion</v>
      </c>
      <c r="L1281" t="str">
        <f>VLOOKUP(E1281,Stores!A:B,2,FALSE)</f>
        <v>MegaMart New Michele</v>
      </c>
      <c r="M1281">
        <f>VLOOKUP(D1281,Products!A:E,5,FALSE)</f>
        <v>1342.75</v>
      </c>
      <c r="N1281" s="5">
        <f t="shared" si="19"/>
        <v>4833.9000000000005</v>
      </c>
    </row>
    <row r="1282" spans="1:14" x14ac:dyDescent="0.3">
      <c r="A1282" t="s">
        <v>2138</v>
      </c>
      <c r="B1282" s="2">
        <v>45828</v>
      </c>
      <c r="C1282" t="s">
        <v>462</v>
      </c>
      <c r="D1282" t="s">
        <v>750</v>
      </c>
      <c r="E1282" t="s">
        <v>846</v>
      </c>
      <c r="F1282">
        <v>5</v>
      </c>
      <c r="G1282">
        <v>0.15</v>
      </c>
      <c r="H1282" t="s">
        <v>858</v>
      </c>
      <c r="I1282" t="str">
        <f>VLOOKUP(C1282,Customers!A:C,2,FALSE)&amp;" "&amp;VLOOKUP(C1282,Customers!A:C,3,FALSE)</f>
        <v>Kimberly Parker</v>
      </c>
      <c r="J1282" t="str">
        <f>VLOOKUP(D1282,Products!A:C,2,FALSE)</f>
        <v>Add Clothing</v>
      </c>
      <c r="K1282" t="str">
        <f>VLOOKUP(D1282,Products!A:C,3,FALSE)</f>
        <v>Fashion</v>
      </c>
      <c r="L1282" t="str">
        <f>VLOOKUP(E1282,Stores!A:B,2,FALSE)</f>
        <v>MegaMart Johnmouth</v>
      </c>
      <c r="M1282">
        <f>VLOOKUP(D1282,Products!A:E,5,FALSE)</f>
        <v>1342.75</v>
      </c>
      <c r="N1282" s="5">
        <f t="shared" si="19"/>
        <v>5706.6875</v>
      </c>
    </row>
    <row r="1283" spans="1:14" x14ac:dyDescent="0.3">
      <c r="A1283" t="s">
        <v>2139</v>
      </c>
      <c r="B1283" s="2">
        <v>45898</v>
      </c>
      <c r="C1283" t="s">
        <v>294</v>
      </c>
      <c r="D1283" t="s">
        <v>802</v>
      </c>
      <c r="E1283" t="s">
        <v>846</v>
      </c>
      <c r="F1283">
        <v>2</v>
      </c>
      <c r="G1283">
        <v>0.1</v>
      </c>
      <c r="H1283" t="s">
        <v>861</v>
      </c>
      <c r="I1283" t="str">
        <f>VLOOKUP(C1283,Customers!A:C,2,FALSE)&amp;" "&amp;VLOOKUP(C1283,Customers!A:C,3,FALSE)</f>
        <v>Jeanne Young</v>
      </c>
      <c r="J1283" t="str">
        <f>VLOOKUP(D1283,Products!A:C,2,FALSE)</f>
        <v>Stage Footwear</v>
      </c>
      <c r="K1283" t="str">
        <f>VLOOKUP(D1283,Products!A:C,3,FALSE)</f>
        <v>Fashion</v>
      </c>
      <c r="L1283" t="str">
        <f>VLOOKUP(E1283,Stores!A:B,2,FALSE)</f>
        <v>MegaMart Johnmouth</v>
      </c>
      <c r="M1283">
        <f>VLOOKUP(D1283,Products!A:E,5,FALSE)</f>
        <v>366.93</v>
      </c>
      <c r="N1283" s="5">
        <f t="shared" ref="N1283:N1346" si="20">F1283*M1283*(1-G1283)</f>
        <v>660.47400000000005</v>
      </c>
    </row>
    <row r="1284" spans="1:14" x14ac:dyDescent="0.3">
      <c r="A1284" t="s">
        <v>2140</v>
      </c>
      <c r="B1284" s="2">
        <v>45274</v>
      </c>
      <c r="C1284" t="s">
        <v>254</v>
      </c>
      <c r="D1284" t="s">
        <v>711</v>
      </c>
      <c r="E1284" t="s">
        <v>835</v>
      </c>
      <c r="F1284">
        <v>4</v>
      </c>
      <c r="G1284">
        <v>0.1</v>
      </c>
      <c r="H1284" t="s">
        <v>855</v>
      </c>
      <c r="I1284" t="str">
        <f>VLOOKUP(C1284,Customers!A:C,2,FALSE)&amp;" "&amp;VLOOKUP(C1284,Customers!A:C,3,FALSE)</f>
        <v>Daniel Maldonado</v>
      </c>
      <c r="J1284" t="str">
        <f>VLOOKUP(D1284,Products!A:C,2,FALSE)</f>
        <v>Like Camera</v>
      </c>
      <c r="K1284" t="str">
        <f>VLOOKUP(D1284,Products!A:C,3,FALSE)</f>
        <v>Electronics</v>
      </c>
      <c r="L1284" t="str">
        <f>VLOOKUP(E1284,Stores!A:B,2,FALSE)</f>
        <v>MegaMart Peckmouth</v>
      </c>
      <c r="M1284">
        <f>VLOOKUP(D1284,Products!A:E,5,FALSE)</f>
        <v>1673.69</v>
      </c>
      <c r="N1284" s="5">
        <f t="shared" si="20"/>
        <v>6025.2840000000006</v>
      </c>
    </row>
    <row r="1285" spans="1:14" x14ac:dyDescent="0.3">
      <c r="A1285" t="s">
        <v>2141</v>
      </c>
      <c r="B1285" s="2">
        <v>45470</v>
      </c>
      <c r="C1285" t="s">
        <v>696</v>
      </c>
      <c r="D1285" t="s">
        <v>810</v>
      </c>
      <c r="E1285" t="s">
        <v>831</v>
      </c>
      <c r="F1285">
        <v>2</v>
      </c>
      <c r="G1285">
        <v>0.1</v>
      </c>
      <c r="H1285" t="s">
        <v>855</v>
      </c>
      <c r="I1285" t="str">
        <f>VLOOKUP(C1285,Customers!A:C,2,FALSE)&amp;" "&amp;VLOOKUP(C1285,Customers!A:C,3,FALSE)</f>
        <v>Jessica Mullins</v>
      </c>
      <c r="J1285" t="str">
        <f>VLOOKUP(D1285,Products!A:C,2,FALSE)</f>
        <v>Maybe Clothing</v>
      </c>
      <c r="K1285" t="str">
        <f>VLOOKUP(D1285,Products!A:C,3,FALSE)</f>
        <v>Fashion</v>
      </c>
      <c r="L1285" t="str">
        <f>VLOOKUP(E1285,Stores!A:B,2,FALSE)</f>
        <v>MegaMart Jimenezborough</v>
      </c>
      <c r="M1285">
        <f>VLOOKUP(D1285,Products!A:E,5,FALSE)</f>
        <v>453.62</v>
      </c>
      <c r="N1285" s="5">
        <f t="shared" si="20"/>
        <v>816.51600000000008</v>
      </c>
    </row>
    <row r="1286" spans="1:14" x14ac:dyDescent="0.3">
      <c r="A1286" t="s">
        <v>2142</v>
      </c>
      <c r="B1286" s="2">
        <v>45533</v>
      </c>
      <c r="C1286" t="s">
        <v>435</v>
      </c>
      <c r="D1286" t="s">
        <v>764</v>
      </c>
      <c r="E1286" t="s">
        <v>835</v>
      </c>
      <c r="F1286">
        <v>5</v>
      </c>
      <c r="G1286">
        <v>0.05</v>
      </c>
      <c r="H1286" t="s">
        <v>855</v>
      </c>
      <c r="I1286" t="str">
        <f>VLOOKUP(C1286,Customers!A:C,2,FALSE)&amp;" "&amp;VLOOKUP(C1286,Customers!A:C,3,FALSE)</f>
        <v>Timothy Beck</v>
      </c>
      <c r="J1286" t="str">
        <f>VLOOKUP(D1286,Products!A:C,2,FALSE)</f>
        <v>Simple Accessories</v>
      </c>
      <c r="K1286" t="str">
        <f>VLOOKUP(D1286,Products!A:C,3,FALSE)</f>
        <v>Fashion</v>
      </c>
      <c r="L1286" t="str">
        <f>VLOOKUP(E1286,Stores!A:B,2,FALSE)</f>
        <v>MegaMart Peckmouth</v>
      </c>
      <c r="M1286">
        <f>VLOOKUP(D1286,Products!A:E,5,FALSE)</f>
        <v>323.92</v>
      </c>
      <c r="N1286" s="5">
        <f t="shared" si="20"/>
        <v>1538.6200000000001</v>
      </c>
    </row>
    <row r="1287" spans="1:14" x14ac:dyDescent="0.3">
      <c r="A1287" t="s">
        <v>2143</v>
      </c>
      <c r="B1287" s="2">
        <v>45339</v>
      </c>
      <c r="C1287" t="s">
        <v>183</v>
      </c>
      <c r="D1287" t="s">
        <v>761</v>
      </c>
      <c r="E1287" t="s">
        <v>835</v>
      </c>
      <c r="F1287">
        <v>2</v>
      </c>
      <c r="G1287">
        <v>0.05</v>
      </c>
      <c r="H1287" t="s">
        <v>861</v>
      </c>
      <c r="I1287" t="str">
        <f>VLOOKUP(C1287,Customers!A:C,2,FALSE)&amp;" "&amp;VLOOKUP(C1287,Customers!A:C,3,FALSE)</f>
        <v>Mary Decker</v>
      </c>
      <c r="J1287" t="str">
        <f>VLOOKUP(D1287,Products!A:C,2,FALSE)</f>
        <v>Traditional Laptop</v>
      </c>
      <c r="K1287" t="str">
        <f>VLOOKUP(D1287,Products!A:C,3,FALSE)</f>
        <v>Electronics</v>
      </c>
      <c r="L1287" t="str">
        <f>VLOOKUP(E1287,Stores!A:B,2,FALSE)</f>
        <v>MegaMart Peckmouth</v>
      </c>
      <c r="M1287">
        <f>VLOOKUP(D1287,Products!A:E,5,FALSE)</f>
        <v>1762.92</v>
      </c>
      <c r="N1287" s="5">
        <f t="shared" si="20"/>
        <v>3349.5479999999998</v>
      </c>
    </row>
    <row r="1288" spans="1:14" x14ac:dyDescent="0.3">
      <c r="A1288" t="s">
        <v>2144</v>
      </c>
      <c r="B1288" s="2">
        <v>45893</v>
      </c>
      <c r="C1288" t="s">
        <v>119</v>
      </c>
      <c r="D1288" t="s">
        <v>750</v>
      </c>
      <c r="E1288" t="s">
        <v>831</v>
      </c>
      <c r="F1288">
        <v>3</v>
      </c>
      <c r="G1288">
        <v>0.05</v>
      </c>
      <c r="H1288" t="s">
        <v>858</v>
      </c>
      <c r="I1288" t="str">
        <f>VLOOKUP(C1288,Customers!A:C,2,FALSE)&amp;" "&amp;VLOOKUP(C1288,Customers!A:C,3,FALSE)</f>
        <v>Lacey Hall</v>
      </c>
      <c r="J1288" t="str">
        <f>VLOOKUP(D1288,Products!A:C,2,FALSE)</f>
        <v>Add Clothing</v>
      </c>
      <c r="K1288" t="str">
        <f>VLOOKUP(D1288,Products!A:C,3,FALSE)</f>
        <v>Fashion</v>
      </c>
      <c r="L1288" t="str">
        <f>VLOOKUP(E1288,Stores!A:B,2,FALSE)</f>
        <v>MegaMart Jimenezborough</v>
      </c>
      <c r="M1288">
        <f>VLOOKUP(D1288,Products!A:E,5,FALSE)</f>
        <v>1342.75</v>
      </c>
      <c r="N1288" s="5">
        <f t="shared" si="20"/>
        <v>3826.8374999999996</v>
      </c>
    </row>
    <row r="1289" spans="1:14" x14ac:dyDescent="0.3">
      <c r="A1289" t="s">
        <v>2145</v>
      </c>
      <c r="B1289" s="2">
        <v>45213</v>
      </c>
      <c r="C1289" t="s">
        <v>254</v>
      </c>
      <c r="D1289" t="s">
        <v>711</v>
      </c>
      <c r="E1289" t="s">
        <v>839</v>
      </c>
      <c r="F1289">
        <v>2</v>
      </c>
      <c r="G1289">
        <v>0.05</v>
      </c>
      <c r="H1289" t="s">
        <v>865</v>
      </c>
      <c r="I1289" t="str">
        <f>VLOOKUP(C1289,Customers!A:C,2,FALSE)&amp;" "&amp;VLOOKUP(C1289,Customers!A:C,3,FALSE)</f>
        <v>Daniel Maldonado</v>
      </c>
      <c r="J1289" t="str">
        <f>VLOOKUP(D1289,Products!A:C,2,FALSE)</f>
        <v>Like Camera</v>
      </c>
      <c r="K1289" t="str">
        <f>VLOOKUP(D1289,Products!A:C,3,FALSE)</f>
        <v>Electronics</v>
      </c>
      <c r="L1289" t="str">
        <f>VLOOKUP(E1289,Stores!A:B,2,FALSE)</f>
        <v>MegaMart New Michele</v>
      </c>
      <c r="M1289">
        <f>VLOOKUP(D1289,Products!A:E,5,FALSE)</f>
        <v>1673.69</v>
      </c>
      <c r="N1289" s="5">
        <f t="shared" si="20"/>
        <v>3180.011</v>
      </c>
    </row>
    <row r="1290" spans="1:14" x14ac:dyDescent="0.3">
      <c r="A1290" t="s">
        <v>2146</v>
      </c>
      <c r="B1290" s="2">
        <v>45540</v>
      </c>
      <c r="C1290" t="s">
        <v>608</v>
      </c>
      <c r="D1290" t="s">
        <v>808</v>
      </c>
      <c r="E1290" t="s">
        <v>839</v>
      </c>
      <c r="F1290">
        <v>3</v>
      </c>
      <c r="G1290">
        <v>0.05</v>
      </c>
      <c r="H1290" t="s">
        <v>855</v>
      </c>
      <c r="I1290" t="str">
        <f>VLOOKUP(C1290,Customers!A:C,2,FALSE)&amp;" "&amp;VLOOKUP(C1290,Customers!A:C,3,FALSE)</f>
        <v>Christina Dominguez</v>
      </c>
      <c r="J1290" t="str">
        <f>VLOOKUP(D1290,Products!A:C,2,FALSE)</f>
        <v>Present Television</v>
      </c>
      <c r="K1290" t="str">
        <f>VLOOKUP(D1290,Products!A:C,3,FALSE)</f>
        <v>Electronics</v>
      </c>
      <c r="L1290" t="str">
        <f>VLOOKUP(E1290,Stores!A:B,2,FALSE)</f>
        <v>MegaMart New Michele</v>
      </c>
      <c r="M1290">
        <f>VLOOKUP(D1290,Products!A:E,5,FALSE)</f>
        <v>1635.01</v>
      </c>
      <c r="N1290" s="5">
        <f t="shared" si="20"/>
        <v>4659.7784999999994</v>
      </c>
    </row>
    <row r="1291" spans="1:14" x14ac:dyDescent="0.3">
      <c r="A1291" t="s">
        <v>2147</v>
      </c>
      <c r="B1291" s="2">
        <v>45513</v>
      </c>
      <c r="C1291" t="s">
        <v>429</v>
      </c>
      <c r="D1291" t="s">
        <v>769</v>
      </c>
      <c r="E1291" t="s">
        <v>846</v>
      </c>
      <c r="F1291">
        <v>2</v>
      </c>
      <c r="G1291">
        <v>0.1</v>
      </c>
      <c r="H1291" t="s">
        <v>865</v>
      </c>
      <c r="I1291" t="str">
        <f>VLOOKUP(C1291,Customers!A:C,2,FALSE)&amp;" "&amp;VLOOKUP(C1291,Customers!A:C,3,FALSE)</f>
        <v>Jose Smith</v>
      </c>
      <c r="J1291" t="str">
        <f>VLOOKUP(D1291,Products!A:C,2,FALSE)</f>
        <v>How Vegetables</v>
      </c>
      <c r="K1291" t="str">
        <f>VLOOKUP(D1291,Products!A:C,3,FALSE)</f>
        <v>Groceries</v>
      </c>
      <c r="L1291" t="str">
        <f>VLOOKUP(E1291,Stores!A:B,2,FALSE)</f>
        <v>MegaMart Johnmouth</v>
      </c>
      <c r="M1291">
        <f>VLOOKUP(D1291,Products!A:E,5,FALSE)</f>
        <v>25.57</v>
      </c>
      <c r="N1291" s="5">
        <f t="shared" si="20"/>
        <v>46.026000000000003</v>
      </c>
    </row>
    <row r="1292" spans="1:14" x14ac:dyDescent="0.3">
      <c r="A1292" t="s">
        <v>2148</v>
      </c>
      <c r="B1292" s="2">
        <v>45905</v>
      </c>
      <c r="C1292" t="s">
        <v>32</v>
      </c>
      <c r="D1292" t="s">
        <v>790</v>
      </c>
      <c r="E1292" t="s">
        <v>842</v>
      </c>
      <c r="F1292">
        <v>4</v>
      </c>
      <c r="G1292">
        <v>0.05</v>
      </c>
      <c r="H1292" t="s">
        <v>858</v>
      </c>
      <c r="I1292" t="str">
        <f>VLOOKUP(C1292,Customers!A:C,2,FALSE)&amp;" "&amp;VLOOKUP(C1292,Customers!A:C,3,FALSE)</f>
        <v>Erin Walker</v>
      </c>
      <c r="J1292" t="str">
        <f>VLOOKUP(D1292,Products!A:C,2,FALSE)</f>
        <v>Difficult Vegetables</v>
      </c>
      <c r="K1292" t="str">
        <f>VLOOKUP(D1292,Products!A:C,3,FALSE)</f>
        <v>Groceries</v>
      </c>
      <c r="L1292" t="str">
        <f>VLOOKUP(E1292,Stores!A:B,2,FALSE)</f>
        <v>MegaMart Brianahaven</v>
      </c>
      <c r="M1292">
        <f>VLOOKUP(D1292,Products!A:E,5,FALSE)</f>
        <v>304.70999999999998</v>
      </c>
      <c r="N1292" s="5">
        <f t="shared" si="20"/>
        <v>1157.8979999999999</v>
      </c>
    </row>
    <row r="1293" spans="1:14" x14ac:dyDescent="0.3">
      <c r="A1293" t="s">
        <v>2149</v>
      </c>
      <c r="B1293" s="2">
        <v>45627</v>
      </c>
      <c r="C1293" t="s">
        <v>310</v>
      </c>
      <c r="D1293" t="s">
        <v>798</v>
      </c>
      <c r="E1293" t="s">
        <v>835</v>
      </c>
      <c r="F1293">
        <v>1</v>
      </c>
      <c r="G1293">
        <v>0.1</v>
      </c>
      <c r="H1293" t="s">
        <v>855</v>
      </c>
      <c r="I1293" t="str">
        <f>VLOOKUP(C1293,Customers!A:C,2,FALSE)&amp;" "&amp;VLOOKUP(C1293,Customers!A:C,3,FALSE)</f>
        <v>Amy Haley</v>
      </c>
      <c r="J1293" t="str">
        <f>VLOOKUP(D1293,Products!A:C,2,FALSE)</f>
        <v>New Watches</v>
      </c>
      <c r="K1293" t="str">
        <f>VLOOKUP(D1293,Products!A:C,3,FALSE)</f>
        <v>Fashion</v>
      </c>
      <c r="L1293" t="str">
        <f>VLOOKUP(E1293,Stores!A:B,2,FALSE)</f>
        <v>MegaMart Peckmouth</v>
      </c>
      <c r="M1293">
        <f>VLOOKUP(D1293,Products!A:E,5,FALSE)</f>
        <v>1501.46</v>
      </c>
      <c r="N1293" s="5">
        <f t="shared" si="20"/>
        <v>1351.3140000000001</v>
      </c>
    </row>
    <row r="1294" spans="1:14" x14ac:dyDescent="0.3">
      <c r="A1294" t="s">
        <v>2150</v>
      </c>
      <c r="B1294" s="2">
        <v>45753</v>
      </c>
      <c r="C1294" t="s">
        <v>452</v>
      </c>
      <c r="D1294" t="s">
        <v>739</v>
      </c>
      <c r="E1294" t="s">
        <v>839</v>
      </c>
      <c r="F1294">
        <v>5</v>
      </c>
      <c r="G1294">
        <v>0.05</v>
      </c>
      <c r="H1294" t="s">
        <v>858</v>
      </c>
      <c r="I1294" t="str">
        <f>VLOOKUP(C1294,Customers!A:C,2,FALSE)&amp;" "&amp;VLOOKUP(C1294,Customers!A:C,3,FALSE)</f>
        <v>Amy Smith</v>
      </c>
      <c r="J1294" t="str">
        <f>VLOOKUP(D1294,Products!A:C,2,FALSE)</f>
        <v>Step Smartphone</v>
      </c>
      <c r="K1294" t="str">
        <f>VLOOKUP(D1294,Products!A:C,3,FALSE)</f>
        <v>Electronics</v>
      </c>
      <c r="L1294" t="str">
        <f>VLOOKUP(E1294,Stores!A:B,2,FALSE)</f>
        <v>MegaMart New Michele</v>
      </c>
      <c r="M1294">
        <f>VLOOKUP(D1294,Products!A:E,5,FALSE)</f>
        <v>1194.1199999999999</v>
      </c>
      <c r="N1294" s="5">
        <f t="shared" si="20"/>
        <v>5672.0699999999988</v>
      </c>
    </row>
    <row r="1295" spans="1:14" x14ac:dyDescent="0.3">
      <c r="A1295" t="s">
        <v>2151</v>
      </c>
      <c r="B1295" s="2">
        <v>45856</v>
      </c>
      <c r="C1295" t="s">
        <v>327</v>
      </c>
      <c r="D1295" t="s">
        <v>782</v>
      </c>
      <c r="E1295" t="s">
        <v>831</v>
      </c>
      <c r="F1295">
        <v>4</v>
      </c>
      <c r="G1295">
        <v>0</v>
      </c>
      <c r="H1295" t="s">
        <v>861</v>
      </c>
      <c r="I1295" t="str">
        <f>VLOOKUP(C1295,Customers!A:C,2,FALSE)&amp;" "&amp;VLOOKUP(C1295,Customers!A:C,3,FALSE)</f>
        <v>Laurie Mason</v>
      </c>
      <c r="J1295" t="str">
        <f>VLOOKUP(D1295,Products!A:C,2,FALSE)</f>
        <v>Deal Smartphone</v>
      </c>
      <c r="K1295" t="str">
        <f>VLOOKUP(D1295,Products!A:C,3,FALSE)</f>
        <v>Electronics</v>
      </c>
      <c r="L1295" t="str">
        <f>VLOOKUP(E1295,Stores!A:B,2,FALSE)</f>
        <v>MegaMart Jimenezborough</v>
      </c>
      <c r="M1295">
        <f>VLOOKUP(D1295,Products!A:E,5,FALSE)</f>
        <v>673.78</v>
      </c>
      <c r="N1295" s="5">
        <f t="shared" si="20"/>
        <v>2695.12</v>
      </c>
    </row>
    <row r="1296" spans="1:14" x14ac:dyDescent="0.3">
      <c r="A1296" t="s">
        <v>2152</v>
      </c>
      <c r="B1296" s="2">
        <v>45295</v>
      </c>
      <c r="C1296" t="s">
        <v>618</v>
      </c>
      <c r="D1296" t="s">
        <v>776</v>
      </c>
      <c r="E1296" t="s">
        <v>846</v>
      </c>
      <c r="F1296">
        <v>1</v>
      </c>
      <c r="G1296">
        <v>0.1</v>
      </c>
      <c r="H1296" t="s">
        <v>865</v>
      </c>
      <c r="I1296" t="str">
        <f>VLOOKUP(C1296,Customers!A:C,2,FALSE)&amp;" "&amp;VLOOKUP(C1296,Customers!A:C,3,FALSE)</f>
        <v>Scott Howell</v>
      </c>
      <c r="J1296" t="str">
        <f>VLOOKUP(D1296,Products!A:C,2,FALSE)</f>
        <v>Little Watches</v>
      </c>
      <c r="K1296" t="str">
        <f>VLOOKUP(D1296,Products!A:C,3,FALSE)</f>
        <v>Fashion</v>
      </c>
      <c r="L1296" t="str">
        <f>VLOOKUP(E1296,Stores!A:B,2,FALSE)</f>
        <v>MegaMart Johnmouth</v>
      </c>
      <c r="M1296">
        <f>VLOOKUP(D1296,Products!A:E,5,FALSE)</f>
        <v>429.15</v>
      </c>
      <c r="N1296" s="5">
        <f t="shared" si="20"/>
        <v>386.23500000000001</v>
      </c>
    </row>
    <row r="1297" spans="1:14" x14ac:dyDescent="0.3">
      <c r="A1297" t="s">
        <v>2153</v>
      </c>
      <c r="B1297" s="2">
        <v>45632</v>
      </c>
      <c r="C1297" t="s">
        <v>386</v>
      </c>
      <c r="D1297" t="s">
        <v>732</v>
      </c>
      <c r="E1297" t="s">
        <v>846</v>
      </c>
      <c r="F1297">
        <v>2</v>
      </c>
      <c r="G1297">
        <v>0.15</v>
      </c>
      <c r="H1297" t="s">
        <v>855</v>
      </c>
      <c r="I1297" t="str">
        <f>VLOOKUP(C1297,Customers!A:C,2,FALSE)&amp;" "&amp;VLOOKUP(C1297,Customers!A:C,3,FALSE)</f>
        <v>David Burns</v>
      </c>
      <c r="J1297" t="str">
        <f>VLOOKUP(D1297,Products!A:C,2,FALSE)</f>
        <v>Understand Camera</v>
      </c>
      <c r="K1297" t="str">
        <f>VLOOKUP(D1297,Products!A:C,3,FALSE)</f>
        <v>Electronics</v>
      </c>
      <c r="L1297" t="str">
        <f>VLOOKUP(E1297,Stores!A:B,2,FALSE)</f>
        <v>MegaMart Johnmouth</v>
      </c>
      <c r="M1297">
        <f>VLOOKUP(D1297,Products!A:E,5,FALSE)</f>
        <v>1474.12</v>
      </c>
      <c r="N1297" s="5">
        <f t="shared" si="20"/>
        <v>2506.0039999999999</v>
      </c>
    </row>
    <row r="1298" spans="1:14" x14ac:dyDescent="0.3">
      <c r="A1298" t="s">
        <v>2154</v>
      </c>
      <c r="B1298" s="2">
        <v>45757</v>
      </c>
      <c r="C1298" t="s">
        <v>97</v>
      </c>
      <c r="D1298" t="s">
        <v>820</v>
      </c>
      <c r="E1298" t="s">
        <v>839</v>
      </c>
      <c r="F1298">
        <v>1</v>
      </c>
      <c r="G1298">
        <v>0.05</v>
      </c>
      <c r="H1298" t="s">
        <v>861</v>
      </c>
      <c r="I1298" t="str">
        <f>VLOOKUP(C1298,Customers!A:C,2,FALSE)&amp;" "&amp;VLOOKUP(C1298,Customers!A:C,3,FALSE)</f>
        <v>Molly Murray</v>
      </c>
      <c r="J1298" t="str">
        <f>VLOOKUP(D1298,Products!A:C,2,FALSE)</f>
        <v>Or Smartphone</v>
      </c>
      <c r="K1298" t="str">
        <f>VLOOKUP(D1298,Products!A:C,3,FALSE)</f>
        <v>Electronics</v>
      </c>
      <c r="L1298" t="str">
        <f>VLOOKUP(E1298,Stores!A:B,2,FALSE)</f>
        <v>MegaMart New Michele</v>
      </c>
      <c r="M1298">
        <f>VLOOKUP(D1298,Products!A:E,5,FALSE)</f>
        <v>1197.18</v>
      </c>
      <c r="N1298" s="5">
        <f t="shared" si="20"/>
        <v>1137.3209999999999</v>
      </c>
    </row>
    <row r="1299" spans="1:14" x14ac:dyDescent="0.3">
      <c r="A1299" t="s">
        <v>2155</v>
      </c>
      <c r="B1299" s="2">
        <v>45835</v>
      </c>
      <c r="C1299" t="s">
        <v>693</v>
      </c>
      <c r="D1299" t="s">
        <v>800</v>
      </c>
      <c r="E1299" t="s">
        <v>839</v>
      </c>
      <c r="F1299">
        <v>2</v>
      </c>
      <c r="G1299">
        <v>0</v>
      </c>
      <c r="H1299" t="s">
        <v>865</v>
      </c>
      <c r="I1299" t="str">
        <f>VLOOKUP(C1299,Customers!A:C,2,FALSE)&amp;" "&amp;VLOOKUP(C1299,Customers!A:C,3,FALSE)</f>
        <v>Matthew Dixon</v>
      </c>
      <c r="J1299" t="str">
        <f>VLOOKUP(D1299,Products!A:C,2,FALSE)</f>
        <v>Book Television</v>
      </c>
      <c r="K1299" t="str">
        <f>VLOOKUP(D1299,Products!A:C,3,FALSE)</f>
        <v>Electronics</v>
      </c>
      <c r="L1299" t="str">
        <f>VLOOKUP(E1299,Stores!A:B,2,FALSE)</f>
        <v>MegaMart New Michele</v>
      </c>
      <c r="M1299">
        <f>VLOOKUP(D1299,Products!A:E,5,FALSE)</f>
        <v>1952.65</v>
      </c>
      <c r="N1299" s="5">
        <f t="shared" si="20"/>
        <v>3905.3</v>
      </c>
    </row>
    <row r="1300" spans="1:14" x14ac:dyDescent="0.3">
      <c r="A1300" t="s">
        <v>2156</v>
      </c>
      <c r="B1300" s="2">
        <v>45266</v>
      </c>
      <c r="C1300" t="s">
        <v>503</v>
      </c>
      <c r="D1300" t="s">
        <v>788</v>
      </c>
      <c r="E1300" t="s">
        <v>842</v>
      </c>
      <c r="F1300">
        <v>1</v>
      </c>
      <c r="G1300">
        <v>0.15</v>
      </c>
      <c r="H1300" t="s">
        <v>861</v>
      </c>
      <c r="I1300" t="str">
        <f>VLOOKUP(C1300,Customers!A:C,2,FALSE)&amp;" "&amp;VLOOKUP(C1300,Customers!A:C,3,FALSE)</f>
        <v>Breanna Moore</v>
      </c>
      <c r="J1300" t="str">
        <f>VLOOKUP(D1300,Products!A:C,2,FALSE)</f>
        <v>Foot Snacks</v>
      </c>
      <c r="K1300" t="str">
        <f>VLOOKUP(D1300,Products!A:C,3,FALSE)</f>
        <v>Groceries</v>
      </c>
      <c r="L1300" t="str">
        <f>VLOOKUP(E1300,Stores!A:B,2,FALSE)</f>
        <v>MegaMart Brianahaven</v>
      </c>
      <c r="M1300">
        <f>VLOOKUP(D1300,Products!A:E,5,FALSE)</f>
        <v>1095.72</v>
      </c>
      <c r="N1300" s="5">
        <f t="shared" si="20"/>
        <v>931.36199999999997</v>
      </c>
    </row>
    <row r="1301" spans="1:14" x14ac:dyDescent="0.3">
      <c r="A1301" t="s">
        <v>2157</v>
      </c>
      <c r="B1301" s="2">
        <v>45291</v>
      </c>
      <c r="C1301" t="s">
        <v>464</v>
      </c>
      <c r="D1301" t="s">
        <v>718</v>
      </c>
      <c r="E1301" t="s">
        <v>839</v>
      </c>
      <c r="F1301">
        <v>5</v>
      </c>
      <c r="G1301">
        <v>0</v>
      </c>
      <c r="H1301" t="s">
        <v>855</v>
      </c>
      <c r="I1301" t="str">
        <f>VLOOKUP(C1301,Customers!A:C,2,FALSE)&amp;" "&amp;VLOOKUP(C1301,Customers!A:C,3,FALSE)</f>
        <v>Monique Johnson</v>
      </c>
      <c r="J1301" t="str">
        <f>VLOOKUP(D1301,Products!A:C,2,FALSE)</f>
        <v>Here Footwear</v>
      </c>
      <c r="K1301" t="str">
        <f>VLOOKUP(D1301,Products!A:C,3,FALSE)</f>
        <v>Fashion</v>
      </c>
      <c r="L1301" t="str">
        <f>VLOOKUP(E1301,Stores!A:B,2,FALSE)</f>
        <v>MegaMart New Michele</v>
      </c>
      <c r="M1301">
        <f>VLOOKUP(D1301,Products!A:E,5,FALSE)</f>
        <v>337.63</v>
      </c>
      <c r="N1301" s="5">
        <f t="shared" si="20"/>
        <v>1688.15</v>
      </c>
    </row>
    <row r="1302" spans="1:14" x14ac:dyDescent="0.3">
      <c r="A1302" t="s">
        <v>2158</v>
      </c>
      <c r="B1302" s="2">
        <v>45775</v>
      </c>
      <c r="C1302" t="s">
        <v>382</v>
      </c>
      <c r="D1302" t="s">
        <v>769</v>
      </c>
      <c r="E1302" t="s">
        <v>835</v>
      </c>
      <c r="F1302">
        <v>4</v>
      </c>
      <c r="G1302">
        <v>0.1</v>
      </c>
      <c r="H1302" t="s">
        <v>858</v>
      </c>
      <c r="I1302" t="str">
        <f>VLOOKUP(C1302,Customers!A:C,2,FALSE)&amp;" "&amp;VLOOKUP(C1302,Customers!A:C,3,FALSE)</f>
        <v>Carolyn Perez</v>
      </c>
      <c r="J1302" t="str">
        <f>VLOOKUP(D1302,Products!A:C,2,FALSE)</f>
        <v>How Vegetables</v>
      </c>
      <c r="K1302" t="str">
        <f>VLOOKUP(D1302,Products!A:C,3,FALSE)</f>
        <v>Groceries</v>
      </c>
      <c r="L1302" t="str">
        <f>VLOOKUP(E1302,Stores!A:B,2,FALSE)</f>
        <v>MegaMart Peckmouth</v>
      </c>
      <c r="M1302">
        <f>VLOOKUP(D1302,Products!A:E,5,FALSE)</f>
        <v>25.57</v>
      </c>
      <c r="N1302" s="5">
        <f t="shared" si="20"/>
        <v>92.052000000000007</v>
      </c>
    </row>
    <row r="1303" spans="1:14" x14ac:dyDescent="0.3">
      <c r="A1303" t="s">
        <v>2159</v>
      </c>
      <c r="B1303" s="2">
        <v>45584</v>
      </c>
      <c r="C1303" t="s">
        <v>362</v>
      </c>
      <c r="D1303" t="s">
        <v>745</v>
      </c>
      <c r="E1303" t="s">
        <v>831</v>
      </c>
      <c r="F1303">
        <v>3</v>
      </c>
      <c r="G1303">
        <v>0.1</v>
      </c>
      <c r="H1303" t="s">
        <v>855</v>
      </c>
      <c r="I1303" t="str">
        <f>VLOOKUP(C1303,Customers!A:C,2,FALSE)&amp;" "&amp;VLOOKUP(C1303,Customers!A:C,3,FALSE)</f>
        <v>Eric King</v>
      </c>
      <c r="J1303" t="str">
        <f>VLOOKUP(D1303,Products!A:C,2,FALSE)</f>
        <v>Above Camera</v>
      </c>
      <c r="K1303" t="str">
        <f>VLOOKUP(D1303,Products!A:C,3,FALSE)</f>
        <v>Electronics</v>
      </c>
      <c r="L1303" t="str">
        <f>VLOOKUP(E1303,Stores!A:B,2,FALSE)</f>
        <v>MegaMart Jimenezborough</v>
      </c>
      <c r="M1303">
        <f>VLOOKUP(D1303,Products!A:E,5,FALSE)</f>
        <v>1193.0899999999999</v>
      </c>
      <c r="N1303" s="5">
        <f t="shared" si="20"/>
        <v>3221.3429999999998</v>
      </c>
    </row>
    <row r="1304" spans="1:14" x14ac:dyDescent="0.3">
      <c r="A1304" t="s">
        <v>2160</v>
      </c>
      <c r="B1304" s="2">
        <v>45491</v>
      </c>
      <c r="C1304" t="s">
        <v>298</v>
      </c>
      <c r="D1304" t="s">
        <v>718</v>
      </c>
      <c r="E1304" t="s">
        <v>842</v>
      </c>
      <c r="F1304">
        <v>5</v>
      </c>
      <c r="G1304">
        <v>0</v>
      </c>
      <c r="H1304" t="s">
        <v>861</v>
      </c>
      <c r="I1304" t="str">
        <f>VLOOKUP(C1304,Customers!A:C,2,FALSE)&amp;" "&amp;VLOOKUP(C1304,Customers!A:C,3,FALSE)</f>
        <v>Donald Marsh</v>
      </c>
      <c r="J1304" t="str">
        <f>VLOOKUP(D1304,Products!A:C,2,FALSE)</f>
        <v>Here Footwear</v>
      </c>
      <c r="K1304" t="str">
        <f>VLOOKUP(D1304,Products!A:C,3,FALSE)</f>
        <v>Fashion</v>
      </c>
      <c r="L1304" t="str">
        <f>VLOOKUP(E1304,Stores!A:B,2,FALSE)</f>
        <v>MegaMart Brianahaven</v>
      </c>
      <c r="M1304">
        <f>VLOOKUP(D1304,Products!A:E,5,FALSE)</f>
        <v>337.63</v>
      </c>
      <c r="N1304" s="5">
        <f t="shared" si="20"/>
        <v>1688.15</v>
      </c>
    </row>
    <row r="1305" spans="1:14" x14ac:dyDescent="0.3">
      <c r="A1305" t="s">
        <v>2161</v>
      </c>
      <c r="B1305" s="2">
        <v>45777</v>
      </c>
      <c r="C1305" t="s">
        <v>661</v>
      </c>
      <c r="D1305" t="s">
        <v>808</v>
      </c>
      <c r="E1305" t="s">
        <v>842</v>
      </c>
      <c r="F1305">
        <v>4</v>
      </c>
      <c r="G1305">
        <v>0.15</v>
      </c>
      <c r="H1305" t="s">
        <v>855</v>
      </c>
      <c r="I1305" t="str">
        <f>VLOOKUP(C1305,Customers!A:C,2,FALSE)&amp;" "&amp;VLOOKUP(C1305,Customers!A:C,3,FALSE)</f>
        <v>Cynthia Cherry</v>
      </c>
      <c r="J1305" t="str">
        <f>VLOOKUP(D1305,Products!A:C,2,FALSE)</f>
        <v>Present Television</v>
      </c>
      <c r="K1305" t="str">
        <f>VLOOKUP(D1305,Products!A:C,3,FALSE)</f>
        <v>Electronics</v>
      </c>
      <c r="L1305" t="str">
        <f>VLOOKUP(E1305,Stores!A:B,2,FALSE)</f>
        <v>MegaMart Brianahaven</v>
      </c>
      <c r="M1305">
        <f>VLOOKUP(D1305,Products!A:E,5,FALSE)</f>
        <v>1635.01</v>
      </c>
      <c r="N1305" s="5">
        <f t="shared" si="20"/>
        <v>5559.0339999999997</v>
      </c>
    </row>
    <row r="1306" spans="1:14" x14ac:dyDescent="0.3">
      <c r="A1306" t="s">
        <v>2162</v>
      </c>
      <c r="B1306" s="2">
        <v>45791</v>
      </c>
      <c r="C1306" t="s">
        <v>163</v>
      </c>
      <c r="D1306" t="s">
        <v>715</v>
      </c>
      <c r="E1306" t="s">
        <v>842</v>
      </c>
      <c r="F1306">
        <v>4</v>
      </c>
      <c r="G1306">
        <v>0.05</v>
      </c>
      <c r="H1306" t="s">
        <v>865</v>
      </c>
      <c r="I1306" t="str">
        <f>VLOOKUP(C1306,Customers!A:C,2,FALSE)&amp;" "&amp;VLOOKUP(C1306,Customers!A:C,3,FALSE)</f>
        <v>Anna Andrews</v>
      </c>
      <c r="J1306" t="str">
        <f>VLOOKUP(D1306,Products!A:C,2,FALSE)</f>
        <v>Audience Television</v>
      </c>
      <c r="K1306" t="str">
        <f>VLOOKUP(D1306,Products!A:C,3,FALSE)</f>
        <v>Electronics</v>
      </c>
      <c r="L1306" t="str">
        <f>VLOOKUP(E1306,Stores!A:B,2,FALSE)</f>
        <v>MegaMart Brianahaven</v>
      </c>
      <c r="M1306">
        <f>VLOOKUP(D1306,Products!A:E,5,FALSE)</f>
        <v>818.76</v>
      </c>
      <c r="N1306" s="5">
        <f t="shared" si="20"/>
        <v>3111.288</v>
      </c>
    </row>
    <row r="1307" spans="1:14" x14ac:dyDescent="0.3">
      <c r="A1307" t="s">
        <v>2163</v>
      </c>
      <c r="B1307" s="2">
        <v>45890</v>
      </c>
      <c r="C1307" t="s">
        <v>144</v>
      </c>
      <c r="D1307" t="s">
        <v>810</v>
      </c>
      <c r="E1307" t="s">
        <v>835</v>
      </c>
      <c r="F1307">
        <v>3</v>
      </c>
      <c r="G1307">
        <v>0.15</v>
      </c>
      <c r="H1307" t="s">
        <v>855</v>
      </c>
      <c r="I1307" t="str">
        <f>VLOOKUP(C1307,Customers!A:C,2,FALSE)&amp;" "&amp;VLOOKUP(C1307,Customers!A:C,3,FALSE)</f>
        <v>Miranda Nelson</v>
      </c>
      <c r="J1307" t="str">
        <f>VLOOKUP(D1307,Products!A:C,2,FALSE)</f>
        <v>Maybe Clothing</v>
      </c>
      <c r="K1307" t="str">
        <f>VLOOKUP(D1307,Products!A:C,3,FALSE)</f>
        <v>Fashion</v>
      </c>
      <c r="L1307" t="str">
        <f>VLOOKUP(E1307,Stores!A:B,2,FALSE)</f>
        <v>MegaMart Peckmouth</v>
      </c>
      <c r="M1307">
        <f>VLOOKUP(D1307,Products!A:E,5,FALSE)</f>
        <v>453.62</v>
      </c>
      <c r="N1307" s="5">
        <f t="shared" si="20"/>
        <v>1156.731</v>
      </c>
    </row>
    <row r="1308" spans="1:14" x14ac:dyDescent="0.3">
      <c r="A1308" t="s">
        <v>2164</v>
      </c>
      <c r="B1308" s="2">
        <v>45648</v>
      </c>
      <c r="C1308" t="s">
        <v>71</v>
      </c>
      <c r="D1308" t="s">
        <v>778</v>
      </c>
      <c r="E1308" t="s">
        <v>846</v>
      </c>
      <c r="F1308">
        <v>4</v>
      </c>
      <c r="G1308">
        <v>0</v>
      </c>
      <c r="H1308" t="s">
        <v>865</v>
      </c>
      <c r="I1308" t="str">
        <f>VLOOKUP(C1308,Customers!A:C,2,FALSE)&amp;" "&amp;VLOOKUP(C1308,Customers!A:C,3,FALSE)</f>
        <v>Vanessa Anderson</v>
      </c>
      <c r="J1308" t="str">
        <f>VLOOKUP(D1308,Products!A:C,2,FALSE)</f>
        <v>Behavior Dairy</v>
      </c>
      <c r="K1308" t="str">
        <f>VLOOKUP(D1308,Products!A:C,3,FALSE)</f>
        <v>Groceries</v>
      </c>
      <c r="L1308" t="str">
        <f>VLOOKUP(E1308,Stores!A:B,2,FALSE)</f>
        <v>MegaMart Johnmouth</v>
      </c>
      <c r="M1308">
        <f>VLOOKUP(D1308,Products!A:E,5,FALSE)</f>
        <v>1015.76</v>
      </c>
      <c r="N1308" s="5">
        <f t="shared" si="20"/>
        <v>4063.04</v>
      </c>
    </row>
    <row r="1309" spans="1:14" x14ac:dyDescent="0.3">
      <c r="A1309" t="s">
        <v>2165</v>
      </c>
      <c r="B1309" s="2">
        <v>45351</v>
      </c>
      <c r="C1309" t="s">
        <v>393</v>
      </c>
      <c r="D1309" t="s">
        <v>786</v>
      </c>
      <c r="E1309" t="s">
        <v>839</v>
      </c>
      <c r="F1309">
        <v>4</v>
      </c>
      <c r="G1309">
        <v>0.05</v>
      </c>
      <c r="H1309" t="s">
        <v>858</v>
      </c>
      <c r="I1309" t="str">
        <f>VLOOKUP(C1309,Customers!A:C,2,FALSE)&amp;" "&amp;VLOOKUP(C1309,Customers!A:C,3,FALSE)</f>
        <v>Kenneth Berg</v>
      </c>
      <c r="J1309" t="str">
        <f>VLOOKUP(D1309,Products!A:C,2,FALSE)</f>
        <v>National Watches</v>
      </c>
      <c r="K1309" t="str">
        <f>VLOOKUP(D1309,Products!A:C,3,FALSE)</f>
        <v>Fashion</v>
      </c>
      <c r="L1309" t="str">
        <f>VLOOKUP(E1309,Stores!A:B,2,FALSE)</f>
        <v>MegaMart New Michele</v>
      </c>
      <c r="M1309">
        <f>VLOOKUP(D1309,Products!A:E,5,FALSE)</f>
        <v>29.24</v>
      </c>
      <c r="N1309" s="5">
        <f t="shared" si="20"/>
        <v>111.11199999999999</v>
      </c>
    </row>
    <row r="1310" spans="1:14" x14ac:dyDescent="0.3">
      <c r="A1310" t="s">
        <v>2166</v>
      </c>
      <c r="B1310" s="2">
        <v>45616</v>
      </c>
      <c r="C1310" t="s">
        <v>643</v>
      </c>
      <c r="D1310" t="s">
        <v>780</v>
      </c>
      <c r="E1310" t="s">
        <v>846</v>
      </c>
      <c r="F1310">
        <v>2</v>
      </c>
      <c r="G1310">
        <v>0.05</v>
      </c>
      <c r="H1310" t="s">
        <v>861</v>
      </c>
      <c r="I1310" t="str">
        <f>VLOOKUP(C1310,Customers!A:C,2,FALSE)&amp;" "&amp;VLOOKUP(C1310,Customers!A:C,3,FALSE)</f>
        <v>Meghan Wright</v>
      </c>
      <c r="J1310" t="str">
        <f>VLOOKUP(D1310,Products!A:C,2,FALSE)</f>
        <v>Hospital Smartphone</v>
      </c>
      <c r="K1310" t="str">
        <f>VLOOKUP(D1310,Products!A:C,3,FALSE)</f>
        <v>Electronics</v>
      </c>
      <c r="L1310" t="str">
        <f>VLOOKUP(E1310,Stores!A:B,2,FALSE)</f>
        <v>MegaMart Johnmouth</v>
      </c>
      <c r="M1310">
        <f>VLOOKUP(D1310,Products!A:E,5,FALSE)</f>
        <v>1272.23</v>
      </c>
      <c r="N1310" s="5">
        <f t="shared" si="20"/>
        <v>2417.2370000000001</v>
      </c>
    </row>
    <row r="1311" spans="1:14" x14ac:dyDescent="0.3">
      <c r="A1311" t="s">
        <v>2167</v>
      </c>
      <c r="B1311" s="2">
        <v>45240</v>
      </c>
      <c r="C1311" t="s">
        <v>368</v>
      </c>
      <c r="D1311" t="s">
        <v>757</v>
      </c>
      <c r="E1311" t="s">
        <v>839</v>
      </c>
      <c r="F1311">
        <v>5</v>
      </c>
      <c r="G1311">
        <v>0.15</v>
      </c>
      <c r="H1311" t="s">
        <v>865</v>
      </c>
      <c r="I1311" t="str">
        <f>VLOOKUP(C1311,Customers!A:C,2,FALSE)&amp;" "&amp;VLOOKUP(C1311,Customers!A:C,3,FALSE)</f>
        <v>Lisa Vega</v>
      </c>
      <c r="J1311" t="str">
        <f>VLOOKUP(D1311,Products!A:C,2,FALSE)</f>
        <v>Find Headphones</v>
      </c>
      <c r="K1311" t="str">
        <f>VLOOKUP(D1311,Products!A:C,3,FALSE)</f>
        <v>Electronics</v>
      </c>
      <c r="L1311" t="str">
        <f>VLOOKUP(E1311,Stores!A:B,2,FALSE)</f>
        <v>MegaMart New Michele</v>
      </c>
      <c r="M1311">
        <f>VLOOKUP(D1311,Products!A:E,5,FALSE)</f>
        <v>1246.1099999999999</v>
      </c>
      <c r="N1311" s="5">
        <f t="shared" si="20"/>
        <v>5295.9674999999988</v>
      </c>
    </row>
    <row r="1312" spans="1:14" x14ac:dyDescent="0.3">
      <c r="A1312" t="s">
        <v>2168</v>
      </c>
      <c r="B1312" s="2">
        <v>45745</v>
      </c>
      <c r="C1312" t="s">
        <v>294</v>
      </c>
      <c r="D1312" t="s">
        <v>810</v>
      </c>
      <c r="E1312" t="s">
        <v>846</v>
      </c>
      <c r="F1312">
        <v>3</v>
      </c>
      <c r="G1312">
        <v>0.15</v>
      </c>
      <c r="H1312" t="s">
        <v>858</v>
      </c>
      <c r="I1312" t="str">
        <f>VLOOKUP(C1312,Customers!A:C,2,FALSE)&amp;" "&amp;VLOOKUP(C1312,Customers!A:C,3,FALSE)</f>
        <v>Jeanne Young</v>
      </c>
      <c r="J1312" t="str">
        <f>VLOOKUP(D1312,Products!A:C,2,FALSE)</f>
        <v>Maybe Clothing</v>
      </c>
      <c r="K1312" t="str">
        <f>VLOOKUP(D1312,Products!A:C,3,FALSE)</f>
        <v>Fashion</v>
      </c>
      <c r="L1312" t="str">
        <f>VLOOKUP(E1312,Stores!A:B,2,FALSE)</f>
        <v>MegaMart Johnmouth</v>
      </c>
      <c r="M1312">
        <f>VLOOKUP(D1312,Products!A:E,5,FALSE)</f>
        <v>453.62</v>
      </c>
      <c r="N1312" s="5">
        <f t="shared" si="20"/>
        <v>1156.731</v>
      </c>
    </row>
    <row r="1313" spans="1:14" x14ac:dyDescent="0.3">
      <c r="A1313" t="s">
        <v>2169</v>
      </c>
      <c r="B1313" s="2">
        <v>45826</v>
      </c>
      <c r="C1313" t="s">
        <v>224</v>
      </c>
      <c r="D1313" t="s">
        <v>790</v>
      </c>
      <c r="E1313" t="s">
        <v>831</v>
      </c>
      <c r="F1313">
        <v>1</v>
      </c>
      <c r="G1313">
        <v>0.05</v>
      </c>
      <c r="H1313" t="s">
        <v>855</v>
      </c>
      <c r="I1313" t="str">
        <f>VLOOKUP(C1313,Customers!A:C,2,FALSE)&amp;" "&amp;VLOOKUP(C1313,Customers!A:C,3,FALSE)</f>
        <v>Lawrence Stewart</v>
      </c>
      <c r="J1313" t="str">
        <f>VLOOKUP(D1313,Products!A:C,2,FALSE)</f>
        <v>Difficult Vegetables</v>
      </c>
      <c r="K1313" t="str">
        <f>VLOOKUP(D1313,Products!A:C,3,FALSE)</f>
        <v>Groceries</v>
      </c>
      <c r="L1313" t="str">
        <f>VLOOKUP(E1313,Stores!A:B,2,FALSE)</f>
        <v>MegaMart Jimenezborough</v>
      </c>
      <c r="M1313">
        <f>VLOOKUP(D1313,Products!A:E,5,FALSE)</f>
        <v>304.70999999999998</v>
      </c>
      <c r="N1313" s="5">
        <f t="shared" si="20"/>
        <v>289.47449999999998</v>
      </c>
    </row>
    <row r="1314" spans="1:14" x14ac:dyDescent="0.3">
      <c r="A1314" t="s">
        <v>2170</v>
      </c>
      <c r="B1314" s="2">
        <v>45864</v>
      </c>
      <c r="C1314" t="s">
        <v>291</v>
      </c>
      <c r="D1314" t="s">
        <v>736</v>
      </c>
      <c r="E1314" t="s">
        <v>842</v>
      </c>
      <c r="F1314">
        <v>1</v>
      </c>
      <c r="G1314">
        <v>0.1</v>
      </c>
      <c r="H1314" t="s">
        <v>858</v>
      </c>
      <c r="I1314" t="str">
        <f>VLOOKUP(C1314,Customers!A:C,2,FALSE)&amp;" "&amp;VLOOKUP(C1314,Customers!A:C,3,FALSE)</f>
        <v>Matthew Juarez</v>
      </c>
      <c r="J1314" t="str">
        <f>VLOOKUP(D1314,Products!A:C,2,FALSE)</f>
        <v>Us Snacks</v>
      </c>
      <c r="K1314" t="str">
        <f>VLOOKUP(D1314,Products!A:C,3,FALSE)</f>
        <v>Groceries</v>
      </c>
      <c r="L1314" t="str">
        <f>VLOOKUP(E1314,Stores!A:B,2,FALSE)</f>
        <v>MegaMart Brianahaven</v>
      </c>
      <c r="M1314">
        <f>VLOOKUP(D1314,Products!A:E,5,FALSE)</f>
        <v>123.19</v>
      </c>
      <c r="N1314" s="5">
        <f t="shared" si="20"/>
        <v>110.871</v>
      </c>
    </row>
    <row r="1315" spans="1:14" x14ac:dyDescent="0.3">
      <c r="A1315" t="s">
        <v>2171</v>
      </c>
      <c r="B1315" s="2">
        <v>45779</v>
      </c>
      <c r="C1315" t="s">
        <v>179</v>
      </c>
      <c r="D1315" t="s">
        <v>745</v>
      </c>
      <c r="E1315" t="s">
        <v>842</v>
      </c>
      <c r="F1315">
        <v>2</v>
      </c>
      <c r="G1315">
        <v>0</v>
      </c>
      <c r="H1315" t="s">
        <v>865</v>
      </c>
      <c r="I1315" t="str">
        <f>VLOOKUP(C1315,Customers!A:C,2,FALSE)&amp;" "&amp;VLOOKUP(C1315,Customers!A:C,3,FALSE)</f>
        <v>Dennis Poole</v>
      </c>
      <c r="J1315" t="str">
        <f>VLOOKUP(D1315,Products!A:C,2,FALSE)</f>
        <v>Above Camera</v>
      </c>
      <c r="K1315" t="str">
        <f>VLOOKUP(D1315,Products!A:C,3,FALSE)</f>
        <v>Electronics</v>
      </c>
      <c r="L1315" t="str">
        <f>VLOOKUP(E1315,Stores!A:B,2,FALSE)</f>
        <v>MegaMart Brianahaven</v>
      </c>
      <c r="M1315">
        <f>VLOOKUP(D1315,Products!A:E,5,FALSE)</f>
        <v>1193.0899999999999</v>
      </c>
      <c r="N1315" s="5">
        <f t="shared" si="20"/>
        <v>2386.1799999999998</v>
      </c>
    </row>
    <row r="1316" spans="1:14" x14ac:dyDescent="0.3">
      <c r="A1316" t="s">
        <v>2172</v>
      </c>
      <c r="B1316" s="2">
        <v>45678</v>
      </c>
      <c r="C1316" t="s">
        <v>690</v>
      </c>
      <c r="D1316" t="s">
        <v>769</v>
      </c>
      <c r="E1316" t="s">
        <v>839</v>
      </c>
      <c r="F1316">
        <v>4</v>
      </c>
      <c r="G1316">
        <v>0</v>
      </c>
      <c r="H1316" t="s">
        <v>855</v>
      </c>
      <c r="I1316" t="str">
        <f>VLOOKUP(C1316,Customers!A:C,2,FALSE)&amp;" "&amp;VLOOKUP(C1316,Customers!A:C,3,FALSE)</f>
        <v>James Noble</v>
      </c>
      <c r="J1316" t="str">
        <f>VLOOKUP(D1316,Products!A:C,2,FALSE)</f>
        <v>How Vegetables</v>
      </c>
      <c r="K1316" t="str">
        <f>VLOOKUP(D1316,Products!A:C,3,FALSE)</f>
        <v>Groceries</v>
      </c>
      <c r="L1316" t="str">
        <f>VLOOKUP(E1316,Stores!A:B,2,FALSE)</f>
        <v>MegaMart New Michele</v>
      </c>
      <c r="M1316">
        <f>VLOOKUP(D1316,Products!A:E,5,FALSE)</f>
        <v>25.57</v>
      </c>
      <c r="N1316" s="5">
        <f t="shared" si="20"/>
        <v>102.28</v>
      </c>
    </row>
    <row r="1317" spans="1:14" x14ac:dyDescent="0.3">
      <c r="A1317" t="s">
        <v>2173</v>
      </c>
      <c r="B1317" s="2">
        <v>45250</v>
      </c>
      <c r="C1317" t="s">
        <v>539</v>
      </c>
      <c r="D1317" t="s">
        <v>824</v>
      </c>
      <c r="E1317" t="s">
        <v>842</v>
      </c>
      <c r="F1317">
        <v>5</v>
      </c>
      <c r="G1317">
        <v>0.15</v>
      </c>
      <c r="H1317" t="s">
        <v>855</v>
      </c>
      <c r="I1317" t="str">
        <f>VLOOKUP(C1317,Customers!A:C,2,FALSE)&amp;" "&amp;VLOOKUP(C1317,Customers!A:C,3,FALSE)</f>
        <v>Melissa Torres</v>
      </c>
      <c r="J1317" t="str">
        <f>VLOOKUP(D1317,Products!A:C,2,FALSE)</f>
        <v>Possible Watches</v>
      </c>
      <c r="K1317" t="str">
        <f>VLOOKUP(D1317,Products!A:C,3,FALSE)</f>
        <v>Fashion</v>
      </c>
      <c r="L1317" t="str">
        <f>VLOOKUP(E1317,Stores!A:B,2,FALSE)</f>
        <v>MegaMart Brianahaven</v>
      </c>
      <c r="M1317">
        <f>VLOOKUP(D1317,Products!A:E,5,FALSE)</f>
        <v>388.26</v>
      </c>
      <c r="N1317" s="5">
        <f t="shared" si="20"/>
        <v>1650.105</v>
      </c>
    </row>
    <row r="1318" spans="1:14" x14ac:dyDescent="0.3">
      <c r="A1318" t="s">
        <v>2174</v>
      </c>
      <c r="B1318" s="2">
        <v>45423</v>
      </c>
      <c r="C1318" t="s">
        <v>577</v>
      </c>
      <c r="D1318" t="s">
        <v>711</v>
      </c>
      <c r="E1318" t="s">
        <v>842</v>
      </c>
      <c r="F1318">
        <v>1</v>
      </c>
      <c r="G1318">
        <v>0.1</v>
      </c>
      <c r="H1318" t="s">
        <v>865</v>
      </c>
      <c r="I1318" t="str">
        <f>VLOOKUP(C1318,Customers!A:C,2,FALSE)&amp;" "&amp;VLOOKUP(C1318,Customers!A:C,3,FALSE)</f>
        <v>Michael Perez</v>
      </c>
      <c r="J1318" t="str">
        <f>VLOOKUP(D1318,Products!A:C,2,FALSE)</f>
        <v>Like Camera</v>
      </c>
      <c r="K1318" t="str">
        <f>VLOOKUP(D1318,Products!A:C,3,FALSE)</f>
        <v>Electronics</v>
      </c>
      <c r="L1318" t="str">
        <f>VLOOKUP(E1318,Stores!A:B,2,FALSE)</f>
        <v>MegaMart Brianahaven</v>
      </c>
      <c r="M1318">
        <f>VLOOKUP(D1318,Products!A:E,5,FALSE)</f>
        <v>1673.69</v>
      </c>
      <c r="N1318" s="5">
        <f t="shared" si="20"/>
        <v>1506.3210000000001</v>
      </c>
    </row>
    <row r="1319" spans="1:14" x14ac:dyDescent="0.3">
      <c r="A1319" t="s">
        <v>2175</v>
      </c>
      <c r="B1319" s="2">
        <v>45313</v>
      </c>
      <c r="C1319" t="s">
        <v>254</v>
      </c>
      <c r="D1319" t="s">
        <v>820</v>
      </c>
      <c r="E1319" t="s">
        <v>835</v>
      </c>
      <c r="F1319">
        <v>5</v>
      </c>
      <c r="G1319">
        <v>0</v>
      </c>
      <c r="H1319" t="s">
        <v>861</v>
      </c>
      <c r="I1319" t="str">
        <f>VLOOKUP(C1319,Customers!A:C,2,FALSE)&amp;" "&amp;VLOOKUP(C1319,Customers!A:C,3,FALSE)</f>
        <v>Daniel Maldonado</v>
      </c>
      <c r="J1319" t="str">
        <f>VLOOKUP(D1319,Products!A:C,2,FALSE)</f>
        <v>Or Smartphone</v>
      </c>
      <c r="K1319" t="str">
        <f>VLOOKUP(D1319,Products!A:C,3,FALSE)</f>
        <v>Electronics</v>
      </c>
      <c r="L1319" t="str">
        <f>VLOOKUP(E1319,Stores!A:B,2,FALSE)</f>
        <v>MegaMart Peckmouth</v>
      </c>
      <c r="M1319">
        <f>VLOOKUP(D1319,Products!A:E,5,FALSE)</f>
        <v>1197.18</v>
      </c>
      <c r="N1319" s="5">
        <f t="shared" si="20"/>
        <v>5985.9000000000005</v>
      </c>
    </row>
    <row r="1320" spans="1:14" x14ac:dyDescent="0.3">
      <c r="A1320" t="s">
        <v>2176</v>
      </c>
      <c r="B1320" s="2">
        <v>45440</v>
      </c>
      <c r="C1320" t="s">
        <v>310</v>
      </c>
      <c r="D1320" t="s">
        <v>722</v>
      </c>
      <c r="E1320" t="s">
        <v>842</v>
      </c>
      <c r="F1320">
        <v>2</v>
      </c>
      <c r="G1320">
        <v>0.1</v>
      </c>
      <c r="H1320" t="s">
        <v>861</v>
      </c>
      <c r="I1320" t="str">
        <f>VLOOKUP(C1320,Customers!A:C,2,FALSE)&amp;" "&amp;VLOOKUP(C1320,Customers!A:C,3,FALSE)</f>
        <v>Amy Haley</v>
      </c>
      <c r="J1320" t="str">
        <f>VLOOKUP(D1320,Products!A:C,2,FALSE)</f>
        <v>Four Accessories</v>
      </c>
      <c r="K1320" t="str">
        <f>VLOOKUP(D1320,Products!A:C,3,FALSE)</f>
        <v>Fashion</v>
      </c>
      <c r="L1320" t="str">
        <f>VLOOKUP(E1320,Stores!A:B,2,FALSE)</f>
        <v>MegaMart Brianahaven</v>
      </c>
      <c r="M1320">
        <f>VLOOKUP(D1320,Products!A:E,5,FALSE)</f>
        <v>1853.77</v>
      </c>
      <c r="N1320" s="5">
        <f t="shared" si="20"/>
        <v>3336.7860000000001</v>
      </c>
    </row>
    <row r="1321" spans="1:14" x14ac:dyDescent="0.3">
      <c r="A1321" t="s">
        <v>2177</v>
      </c>
      <c r="B1321" s="2">
        <v>45642</v>
      </c>
      <c r="C1321" t="s">
        <v>59</v>
      </c>
      <c r="D1321" t="s">
        <v>824</v>
      </c>
      <c r="E1321" t="s">
        <v>839</v>
      </c>
      <c r="F1321">
        <v>3</v>
      </c>
      <c r="G1321">
        <v>0.15</v>
      </c>
      <c r="H1321" t="s">
        <v>855</v>
      </c>
      <c r="I1321" t="str">
        <f>VLOOKUP(C1321,Customers!A:C,2,FALSE)&amp;" "&amp;VLOOKUP(C1321,Customers!A:C,3,FALSE)</f>
        <v>Brittany Green</v>
      </c>
      <c r="J1321" t="str">
        <f>VLOOKUP(D1321,Products!A:C,2,FALSE)</f>
        <v>Possible Watches</v>
      </c>
      <c r="K1321" t="str">
        <f>VLOOKUP(D1321,Products!A:C,3,FALSE)</f>
        <v>Fashion</v>
      </c>
      <c r="L1321" t="str">
        <f>VLOOKUP(E1321,Stores!A:B,2,FALSE)</f>
        <v>MegaMart New Michele</v>
      </c>
      <c r="M1321">
        <f>VLOOKUP(D1321,Products!A:E,5,FALSE)</f>
        <v>388.26</v>
      </c>
      <c r="N1321" s="5">
        <f t="shared" si="20"/>
        <v>990.06299999999999</v>
      </c>
    </row>
    <row r="1322" spans="1:14" x14ac:dyDescent="0.3">
      <c r="A1322" t="s">
        <v>2178</v>
      </c>
      <c r="B1322" s="2">
        <v>45481</v>
      </c>
      <c r="C1322" t="s">
        <v>55</v>
      </c>
      <c r="D1322" t="s">
        <v>715</v>
      </c>
      <c r="E1322" t="s">
        <v>839</v>
      </c>
      <c r="F1322">
        <v>3</v>
      </c>
      <c r="G1322">
        <v>0</v>
      </c>
      <c r="H1322" t="s">
        <v>861</v>
      </c>
      <c r="I1322" t="str">
        <f>VLOOKUP(C1322,Customers!A:C,2,FALSE)&amp;" "&amp;VLOOKUP(C1322,Customers!A:C,3,FALSE)</f>
        <v>Robert Anderson</v>
      </c>
      <c r="J1322" t="str">
        <f>VLOOKUP(D1322,Products!A:C,2,FALSE)</f>
        <v>Audience Television</v>
      </c>
      <c r="K1322" t="str">
        <f>VLOOKUP(D1322,Products!A:C,3,FALSE)</f>
        <v>Electronics</v>
      </c>
      <c r="L1322" t="str">
        <f>VLOOKUP(E1322,Stores!A:B,2,FALSE)</f>
        <v>MegaMart New Michele</v>
      </c>
      <c r="M1322">
        <f>VLOOKUP(D1322,Products!A:E,5,FALSE)</f>
        <v>818.76</v>
      </c>
      <c r="N1322" s="5">
        <f t="shared" si="20"/>
        <v>2456.2799999999997</v>
      </c>
    </row>
    <row r="1323" spans="1:14" x14ac:dyDescent="0.3">
      <c r="A1323" t="s">
        <v>2179</v>
      </c>
      <c r="B1323" s="2">
        <v>45549</v>
      </c>
      <c r="C1323" t="s">
        <v>693</v>
      </c>
      <c r="D1323" t="s">
        <v>766</v>
      </c>
      <c r="E1323" t="s">
        <v>835</v>
      </c>
      <c r="F1323">
        <v>1</v>
      </c>
      <c r="G1323">
        <v>0.05</v>
      </c>
      <c r="H1323" t="s">
        <v>855</v>
      </c>
      <c r="I1323" t="str">
        <f>VLOOKUP(C1323,Customers!A:C,2,FALSE)&amp;" "&amp;VLOOKUP(C1323,Customers!A:C,3,FALSE)</f>
        <v>Matthew Dixon</v>
      </c>
      <c r="J1323" t="str">
        <f>VLOOKUP(D1323,Products!A:C,2,FALSE)</f>
        <v>Firm Dairy</v>
      </c>
      <c r="K1323" t="str">
        <f>VLOOKUP(D1323,Products!A:C,3,FALSE)</f>
        <v>Groceries</v>
      </c>
      <c r="L1323" t="str">
        <f>VLOOKUP(E1323,Stores!A:B,2,FALSE)</f>
        <v>MegaMart Peckmouth</v>
      </c>
      <c r="M1323">
        <f>VLOOKUP(D1323,Products!A:E,5,FALSE)</f>
        <v>1227.24</v>
      </c>
      <c r="N1323" s="5">
        <f t="shared" si="20"/>
        <v>1165.8779999999999</v>
      </c>
    </row>
    <row r="1324" spans="1:14" x14ac:dyDescent="0.3">
      <c r="A1324" t="s">
        <v>2180</v>
      </c>
      <c r="B1324" s="2">
        <v>45871</v>
      </c>
      <c r="C1324" t="s">
        <v>306</v>
      </c>
      <c r="D1324" t="s">
        <v>761</v>
      </c>
      <c r="E1324" t="s">
        <v>839</v>
      </c>
      <c r="F1324">
        <v>3</v>
      </c>
      <c r="G1324">
        <v>0.1</v>
      </c>
      <c r="H1324" t="s">
        <v>865</v>
      </c>
      <c r="I1324" t="str">
        <f>VLOOKUP(C1324,Customers!A:C,2,FALSE)&amp;" "&amp;VLOOKUP(C1324,Customers!A:C,3,FALSE)</f>
        <v>Sarah Reynolds</v>
      </c>
      <c r="J1324" t="str">
        <f>VLOOKUP(D1324,Products!A:C,2,FALSE)</f>
        <v>Traditional Laptop</v>
      </c>
      <c r="K1324" t="str">
        <f>VLOOKUP(D1324,Products!A:C,3,FALSE)</f>
        <v>Electronics</v>
      </c>
      <c r="L1324" t="str">
        <f>VLOOKUP(E1324,Stores!A:B,2,FALSE)</f>
        <v>MegaMart New Michele</v>
      </c>
      <c r="M1324">
        <f>VLOOKUP(D1324,Products!A:E,5,FALSE)</f>
        <v>1762.92</v>
      </c>
      <c r="N1324" s="5">
        <f t="shared" si="20"/>
        <v>4759.884</v>
      </c>
    </row>
    <row r="1325" spans="1:14" x14ac:dyDescent="0.3">
      <c r="A1325" t="s">
        <v>2181</v>
      </c>
      <c r="B1325" s="2">
        <v>45402</v>
      </c>
      <c r="C1325" t="s">
        <v>500</v>
      </c>
      <c r="D1325" t="s">
        <v>812</v>
      </c>
      <c r="E1325" t="s">
        <v>846</v>
      </c>
      <c r="F1325">
        <v>3</v>
      </c>
      <c r="G1325">
        <v>0.05</v>
      </c>
      <c r="H1325" t="s">
        <v>865</v>
      </c>
      <c r="I1325" t="str">
        <f>VLOOKUP(C1325,Customers!A:C,2,FALSE)&amp;" "&amp;VLOOKUP(C1325,Customers!A:C,3,FALSE)</f>
        <v>Gary Lopez</v>
      </c>
      <c r="J1325" t="str">
        <f>VLOOKUP(D1325,Products!A:C,2,FALSE)</f>
        <v>Soon Accessories</v>
      </c>
      <c r="K1325" t="str">
        <f>VLOOKUP(D1325,Products!A:C,3,FALSE)</f>
        <v>Fashion</v>
      </c>
      <c r="L1325" t="str">
        <f>VLOOKUP(E1325,Stores!A:B,2,FALSE)</f>
        <v>MegaMart Johnmouth</v>
      </c>
      <c r="M1325">
        <f>VLOOKUP(D1325,Products!A:E,5,FALSE)</f>
        <v>564.41999999999996</v>
      </c>
      <c r="N1325" s="5">
        <f t="shared" si="20"/>
        <v>1608.5969999999998</v>
      </c>
    </row>
    <row r="1326" spans="1:14" x14ac:dyDescent="0.3">
      <c r="A1326" t="s">
        <v>2182</v>
      </c>
      <c r="B1326" s="2">
        <v>45681</v>
      </c>
      <c r="C1326" t="s">
        <v>141</v>
      </c>
      <c r="D1326" t="s">
        <v>810</v>
      </c>
      <c r="E1326" t="s">
        <v>846</v>
      </c>
      <c r="F1326">
        <v>3</v>
      </c>
      <c r="G1326">
        <v>0.1</v>
      </c>
      <c r="H1326" t="s">
        <v>858</v>
      </c>
      <c r="I1326" t="str">
        <f>VLOOKUP(C1326,Customers!A:C,2,FALSE)&amp;" "&amp;VLOOKUP(C1326,Customers!A:C,3,FALSE)</f>
        <v>Michael Cervantes</v>
      </c>
      <c r="J1326" t="str">
        <f>VLOOKUP(D1326,Products!A:C,2,FALSE)</f>
        <v>Maybe Clothing</v>
      </c>
      <c r="K1326" t="str">
        <f>VLOOKUP(D1326,Products!A:C,3,FALSE)</f>
        <v>Fashion</v>
      </c>
      <c r="L1326" t="str">
        <f>VLOOKUP(E1326,Stores!A:B,2,FALSE)</f>
        <v>MegaMart Johnmouth</v>
      </c>
      <c r="M1326">
        <f>VLOOKUP(D1326,Products!A:E,5,FALSE)</f>
        <v>453.62</v>
      </c>
      <c r="N1326" s="5">
        <f t="shared" si="20"/>
        <v>1224.7740000000001</v>
      </c>
    </row>
    <row r="1327" spans="1:14" x14ac:dyDescent="0.3">
      <c r="A1327" t="s">
        <v>2183</v>
      </c>
      <c r="B1327" s="2">
        <v>45288</v>
      </c>
      <c r="C1327" t="s">
        <v>396</v>
      </c>
      <c r="D1327" t="s">
        <v>761</v>
      </c>
      <c r="E1327" t="s">
        <v>839</v>
      </c>
      <c r="F1327">
        <v>2</v>
      </c>
      <c r="G1327">
        <v>0</v>
      </c>
      <c r="H1327" t="s">
        <v>861</v>
      </c>
      <c r="I1327" t="str">
        <f>VLOOKUP(C1327,Customers!A:C,2,FALSE)&amp;" "&amp;VLOOKUP(C1327,Customers!A:C,3,FALSE)</f>
        <v>Kevin Flores</v>
      </c>
      <c r="J1327" t="str">
        <f>VLOOKUP(D1327,Products!A:C,2,FALSE)</f>
        <v>Traditional Laptop</v>
      </c>
      <c r="K1327" t="str">
        <f>VLOOKUP(D1327,Products!A:C,3,FALSE)</f>
        <v>Electronics</v>
      </c>
      <c r="L1327" t="str">
        <f>VLOOKUP(E1327,Stores!A:B,2,FALSE)</f>
        <v>MegaMart New Michele</v>
      </c>
      <c r="M1327">
        <f>VLOOKUP(D1327,Products!A:E,5,FALSE)</f>
        <v>1762.92</v>
      </c>
      <c r="N1327" s="5">
        <f t="shared" si="20"/>
        <v>3525.84</v>
      </c>
    </row>
    <row r="1328" spans="1:14" x14ac:dyDescent="0.3">
      <c r="A1328" t="s">
        <v>2184</v>
      </c>
      <c r="B1328" s="2">
        <v>45749</v>
      </c>
      <c r="C1328" t="s">
        <v>155</v>
      </c>
      <c r="D1328" t="s">
        <v>788</v>
      </c>
      <c r="E1328" t="s">
        <v>846</v>
      </c>
      <c r="F1328">
        <v>2</v>
      </c>
      <c r="G1328">
        <v>0.05</v>
      </c>
      <c r="H1328" t="s">
        <v>865</v>
      </c>
      <c r="I1328" t="str">
        <f>VLOOKUP(C1328,Customers!A:C,2,FALSE)&amp;" "&amp;VLOOKUP(C1328,Customers!A:C,3,FALSE)</f>
        <v>Scott Powell</v>
      </c>
      <c r="J1328" t="str">
        <f>VLOOKUP(D1328,Products!A:C,2,FALSE)</f>
        <v>Foot Snacks</v>
      </c>
      <c r="K1328" t="str">
        <f>VLOOKUP(D1328,Products!A:C,3,FALSE)</f>
        <v>Groceries</v>
      </c>
      <c r="L1328" t="str">
        <f>VLOOKUP(E1328,Stores!A:B,2,FALSE)</f>
        <v>MegaMart Johnmouth</v>
      </c>
      <c r="M1328">
        <f>VLOOKUP(D1328,Products!A:E,5,FALSE)</f>
        <v>1095.72</v>
      </c>
      <c r="N1328" s="5">
        <f t="shared" si="20"/>
        <v>2081.8679999999999</v>
      </c>
    </row>
    <row r="1329" spans="1:14" x14ac:dyDescent="0.3">
      <c r="A1329" t="s">
        <v>2185</v>
      </c>
      <c r="B1329" s="2">
        <v>45791</v>
      </c>
      <c r="C1329" t="s">
        <v>399</v>
      </c>
      <c r="D1329" t="s">
        <v>742</v>
      </c>
      <c r="E1329" t="s">
        <v>842</v>
      </c>
      <c r="F1329">
        <v>1</v>
      </c>
      <c r="G1329">
        <v>0</v>
      </c>
      <c r="H1329" t="s">
        <v>861</v>
      </c>
      <c r="I1329" t="str">
        <f>VLOOKUP(C1329,Customers!A:C,2,FALSE)&amp;" "&amp;VLOOKUP(C1329,Customers!A:C,3,FALSE)</f>
        <v>Victoria Hansen</v>
      </c>
      <c r="J1329" t="str">
        <f>VLOOKUP(D1329,Products!A:C,2,FALSE)</f>
        <v>Either Headphones</v>
      </c>
      <c r="K1329" t="str">
        <f>VLOOKUP(D1329,Products!A:C,3,FALSE)</f>
        <v>Electronics</v>
      </c>
      <c r="L1329" t="str">
        <f>VLOOKUP(E1329,Stores!A:B,2,FALSE)</f>
        <v>MegaMart Brianahaven</v>
      </c>
      <c r="M1329">
        <f>VLOOKUP(D1329,Products!A:E,5,FALSE)</f>
        <v>248.57</v>
      </c>
      <c r="N1329" s="5">
        <f t="shared" si="20"/>
        <v>248.57</v>
      </c>
    </row>
    <row r="1330" spans="1:14" x14ac:dyDescent="0.3">
      <c r="A1330" t="s">
        <v>2186</v>
      </c>
      <c r="B1330" s="2">
        <v>45437</v>
      </c>
      <c r="C1330" t="s">
        <v>24</v>
      </c>
      <c r="D1330" t="s">
        <v>750</v>
      </c>
      <c r="E1330" t="s">
        <v>842</v>
      </c>
      <c r="F1330">
        <v>3</v>
      </c>
      <c r="G1330">
        <v>0.1</v>
      </c>
      <c r="H1330" t="s">
        <v>855</v>
      </c>
      <c r="I1330" t="str">
        <f>VLOOKUP(C1330,Customers!A:C,2,FALSE)&amp;" "&amp;VLOOKUP(C1330,Customers!A:C,3,FALSE)</f>
        <v>Jamie Salinas</v>
      </c>
      <c r="J1330" t="str">
        <f>VLOOKUP(D1330,Products!A:C,2,FALSE)</f>
        <v>Add Clothing</v>
      </c>
      <c r="K1330" t="str">
        <f>VLOOKUP(D1330,Products!A:C,3,FALSE)</f>
        <v>Fashion</v>
      </c>
      <c r="L1330" t="str">
        <f>VLOOKUP(E1330,Stores!A:B,2,FALSE)</f>
        <v>MegaMart Brianahaven</v>
      </c>
      <c r="M1330">
        <f>VLOOKUP(D1330,Products!A:E,5,FALSE)</f>
        <v>1342.75</v>
      </c>
      <c r="N1330" s="5">
        <f t="shared" si="20"/>
        <v>3625.4250000000002</v>
      </c>
    </row>
    <row r="1331" spans="1:14" x14ac:dyDescent="0.3">
      <c r="A1331" t="s">
        <v>2187</v>
      </c>
      <c r="B1331" s="2">
        <v>45453</v>
      </c>
      <c r="C1331" t="s">
        <v>141</v>
      </c>
      <c r="D1331" t="s">
        <v>792</v>
      </c>
      <c r="E1331" t="s">
        <v>842</v>
      </c>
      <c r="F1331">
        <v>5</v>
      </c>
      <c r="G1331">
        <v>0.1</v>
      </c>
      <c r="H1331" t="s">
        <v>861</v>
      </c>
      <c r="I1331" t="str">
        <f>VLOOKUP(C1331,Customers!A:C,2,FALSE)&amp;" "&amp;VLOOKUP(C1331,Customers!A:C,3,FALSE)</f>
        <v>Michael Cervantes</v>
      </c>
      <c r="J1331" t="str">
        <f>VLOOKUP(D1331,Products!A:C,2,FALSE)</f>
        <v>Beat Accessories</v>
      </c>
      <c r="K1331" t="str">
        <f>VLOOKUP(D1331,Products!A:C,3,FALSE)</f>
        <v>Fashion</v>
      </c>
      <c r="L1331" t="str">
        <f>VLOOKUP(E1331,Stores!A:B,2,FALSE)</f>
        <v>MegaMart Brianahaven</v>
      </c>
      <c r="M1331">
        <f>VLOOKUP(D1331,Products!A:E,5,FALSE)</f>
        <v>1798.97</v>
      </c>
      <c r="N1331" s="5">
        <f t="shared" si="20"/>
        <v>8095.3650000000007</v>
      </c>
    </row>
    <row r="1332" spans="1:14" x14ac:dyDescent="0.3">
      <c r="A1332" t="s">
        <v>2188</v>
      </c>
      <c r="B1332" s="2">
        <v>45550</v>
      </c>
      <c r="C1332" t="s">
        <v>643</v>
      </c>
      <c r="D1332" t="s">
        <v>814</v>
      </c>
      <c r="E1332" t="s">
        <v>839</v>
      </c>
      <c r="F1332">
        <v>1</v>
      </c>
      <c r="G1332">
        <v>0</v>
      </c>
      <c r="H1332" t="s">
        <v>861</v>
      </c>
      <c r="I1332" t="str">
        <f>VLOOKUP(C1332,Customers!A:C,2,FALSE)&amp;" "&amp;VLOOKUP(C1332,Customers!A:C,3,FALSE)</f>
        <v>Meghan Wright</v>
      </c>
      <c r="J1332" t="str">
        <f>VLOOKUP(D1332,Products!A:C,2,FALSE)</f>
        <v>Least Accessories</v>
      </c>
      <c r="K1332" t="str">
        <f>VLOOKUP(D1332,Products!A:C,3,FALSE)</f>
        <v>Fashion</v>
      </c>
      <c r="L1332" t="str">
        <f>VLOOKUP(E1332,Stores!A:B,2,FALSE)</f>
        <v>MegaMart New Michele</v>
      </c>
      <c r="M1332">
        <f>VLOOKUP(D1332,Products!A:E,5,FALSE)</f>
        <v>1286.55</v>
      </c>
      <c r="N1332" s="5">
        <f t="shared" si="20"/>
        <v>1286.55</v>
      </c>
    </row>
    <row r="1333" spans="1:14" x14ac:dyDescent="0.3">
      <c r="A1333" t="s">
        <v>2189</v>
      </c>
      <c r="B1333" s="2">
        <v>45764</v>
      </c>
      <c r="C1333" t="s">
        <v>130</v>
      </c>
      <c r="D1333" t="s">
        <v>784</v>
      </c>
      <c r="E1333" t="s">
        <v>835</v>
      </c>
      <c r="F1333">
        <v>2</v>
      </c>
      <c r="G1333">
        <v>0.1</v>
      </c>
      <c r="H1333" t="s">
        <v>861</v>
      </c>
      <c r="I1333" t="str">
        <f>VLOOKUP(C1333,Customers!A:C,2,FALSE)&amp;" "&amp;VLOOKUP(C1333,Customers!A:C,3,FALSE)</f>
        <v>Jenny Beck</v>
      </c>
      <c r="J1333" t="str">
        <f>VLOOKUP(D1333,Products!A:C,2,FALSE)</f>
        <v>Road Clothing</v>
      </c>
      <c r="K1333" t="str">
        <f>VLOOKUP(D1333,Products!A:C,3,FALSE)</f>
        <v>Fashion</v>
      </c>
      <c r="L1333" t="str">
        <f>VLOOKUP(E1333,Stores!A:B,2,FALSE)</f>
        <v>MegaMart Peckmouth</v>
      </c>
      <c r="M1333">
        <f>VLOOKUP(D1333,Products!A:E,5,FALSE)</f>
        <v>1485.05</v>
      </c>
      <c r="N1333" s="5">
        <f t="shared" si="20"/>
        <v>2673.09</v>
      </c>
    </row>
    <row r="1334" spans="1:14" x14ac:dyDescent="0.3">
      <c r="A1334" t="s">
        <v>2190</v>
      </c>
      <c r="B1334" s="2">
        <v>45504</v>
      </c>
      <c r="C1334" t="s">
        <v>210</v>
      </c>
      <c r="D1334" t="s">
        <v>814</v>
      </c>
      <c r="E1334" t="s">
        <v>835</v>
      </c>
      <c r="F1334">
        <v>1</v>
      </c>
      <c r="G1334">
        <v>0.15</v>
      </c>
      <c r="H1334" t="s">
        <v>865</v>
      </c>
      <c r="I1334" t="str">
        <f>VLOOKUP(C1334,Customers!A:C,2,FALSE)&amp;" "&amp;VLOOKUP(C1334,Customers!A:C,3,FALSE)</f>
        <v>Crystal Johnson</v>
      </c>
      <c r="J1334" t="str">
        <f>VLOOKUP(D1334,Products!A:C,2,FALSE)</f>
        <v>Least Accessories</v>
      </c>
      <c r="K1334" t="str">
        <f>VLOOKUP(D1334,Products!A:C,3,FALSE)</f>
        <v>Fashion</v>
      </c>
      <c r="L1334" t="str">
        <f>VLOOKUP(E1334,Stores!A:B,2,FALSE)</f>
        <v>MegaMart Peckmouth</v>
      </c>
      <c r="M1334">
        <f>VLOOKUP(D1334,Products!A:E,5,FALSE)</f>
        <v>1286.55</v>
      </c>
      <c r="N1334" s="5">
        <f t="shared" si="20"/>
        <v>1093.5674999999999</v>
      </c>
    </row>
    <row r="1335" spans="1:14" x14ac:dyDescent="0.3">
      <c r="A1335" t="s">
        <v>2191</v>
      </c>
      <c r="B1335" s="2">
        <v>45611</v>
      </c>
      <c r="C1335" t="s">
        <v>81</v>
      </c>
      <c r="D1335" t="s">
        <v>759</v>
      </c>
      <c r="E1335" t="s">
        <v>831</v>
      </c>
      <c r="F1335">
        <v>4</v>
      </c>
      <c r="G1335">
        <v>0.15</v>
      </c>
      <c r="H1335" t="s">
        <v>865</v>
      </c>
      <c r="I1335" t="str">
        <f>VLOOKUP(C1335,Customers!A:C,2,FALSE)&amp;" "&amp;VLOOKUP(C1335,Customers!A:C,3,FALSE)</f>
        <v>Ryan Cole</v>
      </c>
      <c r="J1335" t="str">
        <f>VLOOKUP(D1335,Products!A:C,2,FALSE)</f>
        <v>Democratic Smartphone</v>
      </c>
      <c r="K1335" t="str">
        <f>VLOOKUP(D1335,Products!A:C,3,FALSE)</f>
        <v>Electronics</v>
      </c>
      <c r="L1335" t="str">
        <f>VLOOKUP(E1335,Stores!A:B,2,FALSE)</f>
        <v>MegaMart Jimenezborough</v>
      </c>
      <c r="M1335">
        <f>VLOOKUP(D1335,Products!A:E,5,FALSE)</f>
        <v>1079.8900000000001</v>
      </c>
      <c r="N1335" s="5">
        <f t="shared" si="20"/>
        <v>3671.6260000000002</v>
      </c>
    </row>
    <row r="1336" spans="1:14" x14ac:dyDescent="0.3">
      <c r="A1336" t="s">
        <v>2192</v>
      </c>
      <c r="B1336" s="2">
        <v>45478</v>
      </c>
      <c r="C1336" t="s">
        <v>198</v>
      </c>
      <c r="D1336" t="s">
        <v>711</v>
      </c>
      <c r="E1336" t="s">
        <v>831</v>
      </c>
      <c r="F1336">
        <v>1</v>
      </c>
      <c r="G1336">
        <v>0</v>
      </c>
      <c r="H1336" t="s">
        <v>858</v>
      </c>
      <c r="I1336" t="str">
        <f>VLOOKUP(C1336,Customers!A:C,2,FALSE)&amp;" "&amp;VLOOKUP(C1336,Customers!A:C,3,FALSE)</f>
        <v>Madison Sellers</v>
      </c>
      <c r="J1336" t="str">
        <f>VLOOKUP(D1336,Products!A:C,2,FALSE)</f>
        <v>Like Camera</v>
      </c>
      <c r="K1336" t="str">
        <f>VLOOKUP(D1336,Products!A:C,3,FALSE)</f>
        <v>Electronics</v>
      </c>
      <c r="L1336" t="str">
        <f>VLOOKUP(E1336,Stores!A:B,2,FALSE)</f>
        <v>MegaMart Jimenezborough</v>
      </c>
      <c r="M1336">
        <f>VLOOKUP(D1336,Products!A:E,5,FALSE)</f>
        <v>1673.69</v>
      </c>
      <c r="N1336" s="5">
        <f t="shared" si="20"/>
        <v>1673.69</v>
      </c>
    </row>
    <row r="1337" spans="1:14" x14ac:dyDescent="0.3">
      <c r="A1337" t="s">
        <v>2193</v>
      </c>
      <c r="B1337" s="2">
        <v>45891</v>
      </c>
      <c r="C1337" t="s">
        <v>123</v>
      </c>
      <c r="D1337" t="s">
        <v>742</v>
      </c>
      <c r="E1337" t="s">
        <v>839</v>
      </c>
      <c r="F1337">
        <v>1</v>
      </c>
      <c r="G1337">
        <v>0</v>
      </c>
      <c r="H1337" t="s">
        <v>855</v>
      </c>
      <c r="I1337" t="str">
        <f>VLOOKUP(C1337,Customers!A:C,2,FALSE)&amp;" "&amp;VLOOKUP(C1337,Customers!A:C,3,FALSE)</f>
        <v>Ashley Gibson</v>
      </c>
      <c r="J1337" t="str">
        <f>VLOOKUP(D1337,Products!A:C,2,FALSE)</f>
        <v>Either Headphones</v>
      </c>
      <c r="K1337" t="str">
        <f>VLOOKUP(D1337,Products!A:C,3,FALSE)</f>
        <v>Electronics</v>
      </c>
      <c r="L1337" t="str">
        <f>VLOOKUP(E1337,Stores!A:B,2,FALSE)</f>
        <v>MegaMart New Michele</v>
      </c>
      <c r="M1337">
        <f>VLOOKUP(D1337,Products!A:E,5,FALSE)</f>
        <v>248.57</v>
      </c>
      <c r="N1337" s="5">
        <f t="shared" si="20"/>
        <v>248.57</v>
      </c>
    </row>
    <row r="1338" spans="1:14" x14ac:dyDescent="0.3">
      <c r="A1338" t="s">
        <v>2194</v>
      </c>
      <c r="B1338" s="2">
        <v>45189</v>
      </c>
      <c r="C1338" t="s">
        <v>608</v>
      </c>
      <c r="D1338" t="s">
        <v>816</v>
      </c>
      <c r="E1338" t="s">
        <v>831</v>
      </c>
      <c r="F1338">
        <v>1</v>
      </c>
      <c r="G1338">
        <v>0</v>
      </c>
      <c r="H1338" t="s">
        <v>861</v>
      </c>
      <c r="I1338" t="str">
        <f>VLOOKUP(C1338,Customers!A:C,2,FALSE)&amp;" "&amp;VLOOKUP(C1338,Customers!A:C,3,FALSE)</f>
        <v>Christina Dominguez</v>
      </c>
      <c r="J1338" t="str">
        <f>VLOOKUP(D1338,Products!A:C,2,FALSE)</f>
        <v>Set Dairy</v>
      </c>
      <c r="K1338" t="str">
        <f>VLOOKUP(D1338,Products!A:C,3,FALSE)</f>
        <v>Groceries</v>
      </c>
      <c r="L1338" t="str">
        <f>VLOOKUP(E1338,Stores!A:B,2,FALSE)</f>
        <v>MegaMart Jimenezborough</v>
      </c>
      <c r="M1338">
        <f>VLOOKUP(D1338,Products!A:E,5,FALSE)</f>
        <v>1879.08</v>
      </c>
      <c r="N1338" s="5">
        <f t="shared" si="20"/>
        <v>1879.08</v>
      </c>
    </row>
    <row r="1339" spans="1:14" x14ac:dyDescent="0.3">
      <c r="A1339" t="s">
        <v>2195</v>
      </c>
      <c r="B1339" s="2">
        <v>45526</v>
      </c>
      <c r="C1339" t="s">
        <v>545</v>
      </c>
      <c r="D1339" t="s">
        <v>816</v>
      </c>
      <c r="E1339" t="s">
        <v>835</v>
      </c>
      <c r="F1339">
        <v>2</v>
      </c>
      <c r="G1339">
        <v>0.1</v>
      </c>
      <c r="H1339" t="s">
        <v>865</v>
      </c>
      <c r="I1339" t="str">
        <f>VLOOKUP(C1339,Customers!A:C,2,FALSE)&amp;" "&amp;VLOOKUP(C1339,Customers!A:C,3,FALSE)</f>
        <v>Dawn Fletcher</v>
      </c>
      <c r="J1339" t="str">
        <f>VLOOKUP(D1339,Products!A:C,2,FALSE)</f>
        <v>Set Dairy</v>
      </c>
      <c r="K1339" t="str">
        <f>VLOOKUP(D1339,Products!A:C,3,FALSE)</f>
        <v>Groceries</v>
      </c>
      <c r="L1339" t="str">
        <f>VLOOKUP(E1339,Stores!A:B,2,FALSE)</f>
        <v>MegaMart Peckmouth</v>
      </c>
      <c r="M1339">
        <f>VLOOKUP(D1339,Products!A:E,5,FALSE)</f>
        <v>1879.08</v>
      </c>
      <c r="N1339" s="5">
        <f t="shared" si="20"/>
        <v>3382.3440000000001</v>
      </c>
    </row>
    <row r="1340" spans="1:14" x14ac:dyDescent="0.3">
      <c r="A1340" t="s">
        <v>2196</v>
      </c>
      <c r="B1340" s="2">
        <v>45358</v>
      </c>
      <c r="C1340" t="s">
        <v>97</v>
      </c>
      <c r="D1340" t="s">
        <v>728</v>
      </c>
      <c r="E1340" t="s">
        <v>835</v>
      </c>
      <c r="F1340">
        <v>3</v>
      </c>
      <c r="G1340">
        <v>0.1</v>
      </c>
      <c r="H1340" t="s">
        <v>855</v>
      </c>
      <c r="I1340" t="str">
        <f>VLOOKUP(C1340,Customers!A:C,2,FALSE)&amp;" "&amp;VLOOKUP(C1340,Customers!A:C,3,FALSE)</f>
        <v>Molly Murray</v>
      </c>
      <c r="J1340" t="str">
        <f>VLOOKUP(D1340,Products!A:C,2,FALSE)</f>
        <v>Company Fruits</v>
      </c>
      <c r="K1340" t="str">
        <f>VLOOKUP(D1340,Products!A:C,3,FALSE)</f>
        <v>Groceries</v>
      </c>
      <c r="L1340" t="str">
        <f>VLOOKUP(E1340,Stores!A:B,2,FALSE)</f>
        <v>MegaMart Peckmouth</v>
      </c>
      <c r="M1340">
        <f>VLOOKUP(D1340,Products!A:E,5,FALSE)</f>
        <v>318.05</v>
      </c>
      <c r="N1340" s="5">
        <f t="shared" si="20"/>
        <v>858.73500000000013</v>
      </c>
    </row>
    <row r="1341" spans="1:14" x14ac:dyDescent="0.3">
      <c r="A1341" t="s">
        <v>2197</v>
      </c>
      <c r="B1341" s="2">
        <v>45681</v>
      </c>
      <c r="C1341" t="s">
        <v>163</v>
      </c>
      <c r="D1341" t="s">
        <v>711</v>
      </c>
      <c r="E1341" t="s">
        <v>846</v>
      </c>
      <c r="F1341">
        <v>5</v>
      </c>
      <c r="G1341">
        <v>0.05</v>
      </c>
      <c r="H1341" t="s">
        <v>865</v>
      </c>
      <c r="I1341" t="str">
        <f>VLOOKUP(C1341,Customers!A:C,2,FALSE)&amp;" "&amp;VLOOKUP(C1341,Customers!A:C,3,FALSE)</f>
        <v>Anna Andrews</v>
      </c>
      <c r="J1341" t="str">
        <f>VLOOKUP(D1341,Products!A:C,2,FALSE)</f>
        <v>Like Camera</v>
      </c>
      <c r="K1341" t="str">
        <f>VLOOKUP(D1341,Products!A:C,3,FALSE)</f>
        <v>Electronics</v>
      </c>
      <c r="L1341" t="str">
        <f>VLOOKUP(E1341,Stores!A:B,2,FALSE)</f>
        <v>MegaMart Johnmouth</v>
      </c>
      <c r="M1341">
        <f>VLOOKUP(D1341,Products!A:E,5,FALSE)</f>
        <v>1673.69</v>
      </c>
      <c r="N1341" s="5">
        <f t="shared" si="20"/>
        <v>7950.0275000000001</v>
      </c>
    </row>
    <row r="1342" spans="1:14" x14ac:dyDescent="0.3">
      <c r="A1342" t="s">
        <v>2198</v>
      </c>
      <c r="B1342" s="2">
        <v>45738</v>
      </c>
      <c r="C1342" t="s">
        <v>105</v>
      </c>
      <c r="D1342" t="s">
        <v>757</v>
      </c>
      <c r="E1342" t="s">
        <v>846</v>
      </c>
      <c r="F1342">
        <v>1</v>
      </c>
      <c r="G1342">
        <v>0.05</v>
      </c>
      <c r="H1342" t="s">
        <v>861</v>
      </c>
      <c r="I1342" t="str">
        <f>VLOOKUP(C1342,Customers!A:C,2,FALSE)&amp;" "&amp;VLOOKUP(C1342,Customers!A:C,3,FALSE)</f>
        <v>Justin Macdonald</v>
      </c>
      <c r="J1342" t="str">
        <f>VLOOKUP(D1342,Products!A:C,2,FALSE)</f>
        <v>Find Headphones</v>
      </c>
      <c r="K1342" t="str">
        <f>VLOOKUP(D1342,Products!A:C,3,FALSE)</f>
        <v>Electronics</v>
      </c>
      <c r="L1342" t="str">
        <f>VLOOKUP(E1342,Stores!A:B,2,FALSE)</f>
        <v>MegaMart Johnmouth</v>
      </c>
      <c r="M1342">
        <f>VLOOKUP(D1342,Products!A:E,5,FALSE)</f>
        <v>1246.1099999999999</v>
      </c>
      <c r="N1342" s="5">
        <f t="shared" si="20"/>
        <v>1183.8045</v>
      </c>
    </row>
    <row r="1343" spans="1:14" x14ac:dyDescent="0.3">
      <c r="A1343" t="s">
        <v>2199</v>
      </c>
      <c r="B1343" s="2">
        <v>45754</v>
      </c>
      <c r="C1343" t="s">
        <v>277</v>
      </c>
      <c r="D1343" t="s">
        <v>722</v>
      </c>
      <c r="E1343" t="s">
        <v>835</v>
      </c>
      <c r="F1343">
        <v>5</v>
      </c>
      <c r="G1343">
        <v>0</v>
      </c>
      <c r="H1343" t="s">
        <v>865</v>
      </c>
      <c r="I1343" t="str">
        <f>VLOOKUP(C1343,Customers!A:C,2,FALSE)&amp;" "&amp;VLOOKUP(C1343,Customers!A:C,3,FALSE)</f>
        <v>Carl Armstrong</v>
      </c>
      <c r="J1343" t="str">
        <f>VLOOKUP(D1343,Products!A:C,2,FALSE)</f>
        <v>Four Accessories</v>
      </c>
      <c r="K1343" t="str">
        <f>VLOOKUP(D1343,Products!A:C,3,FALSE)</f>
        <v>Fashion</v>
      </c>
      <c r="L1343" t="str">
        <f>VLOOKUP(E1343,Stores!A:B,2,FALSE)</f>
        <v>MegaMart Peckmouth</v>
      </c>
      <c r="M1343">
        <f>VLOOKUP(D1343,Products!A:E,5,FALSE)</f>
        <v>1853.77</v>
      </c>
      <c r="N1343" s="5">
        <f t="shared" si="20"/>
        <v>9268.85</v>
      </c>
    </row>
    <row r="1344" spans="1:14" x14ac:dyDescent="0.3">
      <c r="A1344" t="s">
        <v>2200</v>
      </c>
      <c r="B1344" s="2">
        <v>45661</v>
      </c>
      <c r="C1344" t="s">
        <v>213</v>
      </c>
      <c r="D1344" t="s">
        <v>790</v>
      </c>
      <c r="E1344" t="s">
        <v>846</v>
      </c>
      <c r="F1344">
        <v>4</v>
      </c>
      <c r="G1344">
        <v>0.1</v>
      </c>
      <c r="H1344" t="s">
        <v>861</v>
      </c>
      <c r="I1344" t="str">
        <f>VLOOKUP(C1344,Customers!A:C,2,FALSE)&amp;" "&amp;VLOOKUP(C1344,Customers!A:C,3,FALSE)</f>
        <v>Deborah Moody</v>
      </c>
      <c r="J1344" t="str">
        <f>VLOOKUP(D1344,Products!A:C,2,FALSE)</f>
        <v>Difficult Vegetables</v>
      </c>
      <c r="K1344" t="str">
        <f>VLOOKUP(D1344,Products!A:C,3,FALSE)</f>
        <v>Groceries</v>
      </c>
      <c r="L1344" t="str">
        <f>VLOOKUP(E1344,Stores!A:B,2,FALSE)</f>
        <v>MegaMart Johnmouth</v>
      </c>
      <c r="M1344">
        <f>VLOOKUP(D1344,Products!A:E,5,FALSE)</f>
        <v>304.70999999999998</v>
      </c>
      <c r="N1344" s="5">
        <f t="shared" si="20"/>
        <v>1096.9559999999999</v>
      </c>
    </row>
    <row r="1345" spans="1:14" x14ac:dyDescent="0.3">
      <c r="A1345" t="s">
        <v>2201</v>
      </c>
      <c r="B1345" s="2">
        <v>45255</v>
      </c>
      <c r="C1345" t="s">
        <v>422</v>
      </c>
      <c r="D1345" t="s">
        <v>780</v>
      </c>
      <c r="E1345" t="s">
        <v>831</v>
      </c>
      <c r="F1345">
        <v>2</v>
      </c>
      <c r="G1345">
        <v>0.1</v>
      </c>
      <c r="H1345" t="s">
        <v>858</v>
      </c>
      <c r="I1345" t="str">
        <f>VLOOKUP(C1345,Customers!A:C,2,FALSE)&amp;" "&amp;VLOOKUP(C1345,Customers!A:C,3,FALSE)</f>
        <v>Heidi Wilson</v>
      </c>
      <c r="J1345" t="str">
        <f>VLOOKUP(D1345,Products!A:C,2,FALSE)</f>
        <v>Hospital Smartphone</v>
      </c>
      <c r="K1345" t="str">
        <f>VLOOKUP(D1345,Products!A:C,3,FALSE)</f>
        <v>Electronics</v>
      </c>
      <c r="L1345" t="str">
        <f>VLOOKUP(E1345,Stores!A:B,2,FALSE)</f>
        <v>MegaMart Jimenezborough</v>
      </c>
      <c r="M1345">
        <f>VLOOKUP(D1345,Products!A:E,5,FALSE)</f>
        <v>1272.23</v>
      </c>
      <c r="N1345" s="5">
        <f t="shared" si="20"/>
        <v>2290.0140000000001</v>
      </c>
    </row>
    <row r="1346" spans="1:14" x14ac:dyDescent="0.3">
      <c r="A1346" t="s">
        <v>2202</v>
      </c>
      <c r="B1346" s="2">
        <v>45895</v>
      </c>
      <c r="C1346" t="s">
        <v>407</v>
      </c>
      <c r="D1346" t="s">
        <v>725</v>
      </c>
      <c r="E1346" t="s">
        <v>835</v>
      </c>
      <c r="F1346">
        <v>5</v>
      </c>
      <c r="G1346">
        <v>0.05</v>
      </c>
      <c r="H1346" t="s">
        <v>858</v>
      </c>
      <c r="I1346" t="str">
        <f>VLOOKUP(C1346,Customers!A:C,2,FALSE)&amp;" "&amp;VLOOKUP(C1346,Customers!A:C,3,FALSE)</f>
        <v>Austin Hogan</v>
      </c>
      <c r="J1346" t="str">
        <f>VLOOKUP(D1346,Products!A:C,2,FALSE)</f>
        <v>Knowledge Bags</v>
      </c>
      <c r="K1346" t="str">
        <f>VLOOKUP(D1346,Products!A:C,3,FALSE)</f>
        <v>Fashion</v>
      </c>
      <c r="L1346" t="str">
        <f>VLOOKUP(E1346,Stores!A:B,2,FALSE)</f>
        <v>MegaMart Peckmouth</v>
      </c>
      <c r="M1346">
        <f>VLOOKUP(D1346,Products!A:E,5,FALSE)</f>
        <v>1396.22</v>
      </c>
      <c r="N1346" s="5">
        <f t="shared" si="20"/>
        <v>6632.0450000000001</v>
      </c>
    </row>
    <row r="1347" spans="1:14" x14ac:dyDescent="0.3">
      <c r="A1347" t="s">
        <v>2203</v>
      </c>
      <c r="B1347" s="2">
        <v>45315</v>
      </c>
      <c r="C1347" t="s">
        <v>115</v>
      </c>
      <c r="D1347" t="s">
        <v>722</v>
      </c>
      <c r="E1347" t="s">
        <v>839</v>
      </c>
      <c r="F1347">
        <v>1</v>
      </c>
      <c r="G1347">
        <v>0.15</v>
      </c>
      <c r="H1347" t="s">
        <v>865</v>
      </c>
      <c r="I1347" t="str">
        <f>VLOOKUP(C1347,Customers!A:C,2,FALSE)&amp;" "&amp;VLOOKUP(C1347,Customers!A:C,3,FALSE)</f>
        <v>Tyler Levine</v>
      </c>
      <c r="J1347" t="str">
        <f>VLOOKUP(D1347,Products!A:C,2,FALSE)</f>
        <v>Four Accessories</v>
      </c>
      <c r="K1347" t="str">
        <f>VLOOKUP(D1347,Products!A:C,3,FALSE)</f>
        <v>Fashion</v>
      </c>
      <c r="L1347" t="str">
        <f>VLOOKUP(E1347,Stores!A:B,2,FALSE)</f>
        <v>MegaMart New Michele</v>
      </c>
      <c r="M1347">
        <f>VLOOKUP(D1347,Products!A:E,5,FALSE)</f>
        <v>1853.77</v>
      </c>
      <c r="N1347" s="5">
        <f t="shared" ref="N1347:N1410" si="21">F1347*M1347*(1-G1347)</f>
        <v>1575.7045000000001</v>
      </c>
    </row>
    <row r="1348" spans="1:14" x14ac:dyDescent="0.3">
      <c r="A1348" t="s">
        <v>2204</v>
      </c>
      <c r="B1348" s="2">
        <v>45331</v>
      </c>
      <c r="C1348" t="s">
        <v>491</v>
      </c>
      <c r="D1348" t="s">
        <v>747</v>
      </c>
      <c r="E1348" t="s">
        <v>835</v>
      </c>
      <c r="F1348">
        <v>4</v>
      </c>
      <c r="G1348">
        <v>0.1</v>
      </c>
      <c r="H1348" t="s">
        <v>855</v>
      </c>
      <c r="I1348" t="str">
        <f>VLOOKUP(C1348,Customers!A:C,2,FALSE)&amp;" "&amp;VLOOKUP(C1348,Customers!A:C,3,FALSE)</f>
        <v>Emily Hart</v>
      </c>
      <c r="J1348" t="str">
        <f>VLOOKUP(D1348,Products!A:C,2,FALSE)</f>
        <v>World Watches</v>
      </c>
      <c r="K1348" t="str">
        <f>VLOOKUP(D1348,Products!A:C,3,FALSE)</f>
        <v>Fashion</v>
      </c>
      <c r="L1348" t="str">
        <f>VLOOKUP(E1348,Stores!A:B,2,FALSE)</f>
        <v>MegaMart Peckmouth</v>
      </c>
      <c r="M1348">
        <f>VLOOKUP(D1348,Products!A:E,5,FALSE)</f>
        <v>1134.8</v>
      </c>
      <c r="N1348" s="5">
        <f t="shared" si="21"/>
        <v>4085.2799999999997</v>
      </c>
    </row>
    <row r="1349" spans="1:14" x14ac:dyDescent="0.3">
      <c r="A1349" t="s">
        <v>2205</v>
      </c>
      <c r="B1349" s="2">
        <v>45535</v>
      </c>
      <c r="C1349" t="s">
        <v>520</v>
      </c>
      <c r="D1349" t="s">
        <v>776</v>
      </c>
      <c r="E1349" t="s">
        <v>831</v>
      </c>
      <c r="F1349">
        <v>1</v>
      </c>
      <c r="G1349">
        <v>0.1</v>
      </c>
      <c r="H1349" t="s">
        <v>858</v>
      </c>
      <c r="I1349" t="str">
        <f>VLOOKUP(C1349,Customers!A:C,2,FALSE)&amp;" "&amp;VLOOKUP(C1349,Customers!A:C,3,FALSE)</f>
        <v>Cynthia Carlson</v>
      </c>
      <c r="J1349" t="str">
        <f>VLOOKUP(D1349,Products!A:C,2,FALSE)</f>
        <v>Little Watches</v>
      </c>
      <c r="K1349" t="str">
        <f>VLOOKUP(D1349,Products!A:C,3,FALSE)</f>
        <v>Fashion</v>
      </c>
      <c r="L1349" t="str">
        <f>VLOOKUP(E1349,Stores!A:B,2,FALSE)</f>
        <v>MegaMart Jimenezborough</v>
      </c>
      <c r="M1349">
        <f>VLOOKUP(D1349,Products!A:E,5,FALSE)</f>
        <v>429.15</v>
      </c>
      <c r="N1349" s="5">
        <f t="shared" si="21"/>
        <v>386.23500000000001</v>
      </c>
    </row>
    <row r="1350" spans="1:14" x14ac:dyDescent="0.3">
      <c r="A1350" t="s">
        <v>2206</v>
      </c>
      <c r="B1350" s="2">
        <v>45611</v>
      </c>
      <c r="C1350" t="s">
        <v>119</v>
      </c>
      <c r="D1350" t="s">
        <v>798</v>
      </c>
      <c r="E1350" t="s">
        <v>842</v>
      </c>
      <c r="F1350">
        <v>3</v>
      </c>
      <c r="G1350">
        <v>0.15</v>
      </c>
      <c r="H1350" t="s">
        <v>855</v>
      </c>
      <c r="I1350" t="str">
        <f>VLOOKUP(C1350,Customers!A:C,2,FALSE)&amp;" "&amp;VLOOKUP(C1350,Customers!A:C,3,FALSE)</f>
        <v>Lacey Hall</v>
      </c>
      <c r="J1350" t="str">
        <f>VLOOKUP(D1350,Products!A:C,2,FALSE)</f>
        <v>New Watches</v>
      </c>
      <c r="K1350" t="str">
        <f>VLOOKUP(D1350,Products!A:C,3,FALSE)</f>
        <v>Fashion</v>
      </c>
      <c r="L1350" t="str">
        <f>VLOOKUP(E1350,Stores!A:B,2,FALSE)</f>
        <v>MegaMart Brianahaven</v>
      </c>
      <c r="M1350">
        <f>VLOOKUP(D1350,Products!A:E,5,FALSE)</f>
        <v>1501.46</v>
      </c>
      <c r="N1350" s="5">
        <f t="shared" si="21"/>
        <v>3828.723</v>
      </c>
    </row>
    <row r="1351" spans="1:14" x14ac:dyDescent="0.3">
      <c r="A1351" t="s">
        <v>2207</v>
      </c>
      <c r="B1351" s="2">
        <v>45236</v>
      </c>
      <c r="C1351" t="s">
        <v>625</v>
      </c>
      <c r="D1351" t="s">
        <v>747</v>
      </c>
      <c r="E1351" t="s">
        <v>842</v>
      </c>
      <c r="F1351">
        <v>2</v>
      </c>
      <c r="G1351">
        <v>0.15</v>
      </c>
      <c r="H1351" t="s">
        <v>855</v>
      </c>
      <c r="I1351" t="str">
        <f>VLOOKUP(C1351,Customers!A:C,2,FALSE)&amp;" "&amp;VLOOKUP(C1351,Customers!A:C,3,FALSE)</f>
        <v>Peter Garcia</v>
      </c>
      <c r="J1351" t="str">
        <f>VLOOKUP(D1351,Products!A:C,2,FALSE)</f>
        <v>World Watches</v>
      </c>
      <c r="K1351" t="str">
        <f>VLOOKUP(D1351,Products!A:C,3,FALSE)</f>
        <v>Fashion</v>
      </c>
      <c r="L1351" t="str">
        <f>VLOOKUP(E1351,Stores!A:B,2,FALSE)</f>
        <v>MegaMart Brianahaven</v>
      </c>
      <c r="M1351">
        <f>VLOOKUP(D1351,Products!A:E,5,FALSE)</f>
        <v>1134.8</v>
      </c>
      <c r="N1351" s="5">
        <f t="shared" si="21"/>
        <v>1929.1599999999999</v>
      </c>
    </row>
    <row r="1352" spans="1:14" x14ac:dyDescent="0.3">
      <c r="A1352" t="s">
        <v>2208</v>
      </c>
      <c r="B1352" s="2">
        <v>45212</v>
      </c>
      <c r="C1352" t="s">
        <v>411</v>
      </c>
      <c r="D1352" t="s">
        <v>826</v>
      </c>
      <c r="E1352" t="s">
        <v>835</v>
      </c>
      <c r="F1352">
        <v>1</v>
      </c>
      <c r="G1352">
        <v>0.15</v>
      </c>
      <c r="H1352" t="s">
        <v>855</v>
      </c>
      <c r="I1352" t="str">
        <f>VLOOKUP(C1352,Customers!A:C,2,FALSE)&amp;" "&amp;VLOOKUP(C1352,Customers!A:C,3,FALSE)</f>
        <v>Travis Peters</v>
      </c>
      <c r="J1352" t="str">
        <f>VLOOKUP(D1352,Products!A:C,2,FALSE)</f>
        <v>Maybe Footwear</v>
      </c>
      <c r="K1352" t="str">
        <f>VLOOKUP(D1352,Products!A:C,3,FALSE)</f>
        <v>Fashion</v>
      </c>
      <c r="L1352" t="str">
        <f>VLOOKUP(E1352,Stores!A:B,2,FALSE)</f>
        <v>MegaMart Peckmouth</v>
      </c>
      <c r="M1352">
        <f>VLOOKUP(D1352,Products!A:E,5,FALSE)</f>
        <v>1044.6400000000001</v>
      </c>
      <c r="N1352" s="5">
        <f t="shared" si="21"/>
        <v>887.94400000000007</v>
      </c>
    </row>
    <row r="1353" spans="1:14" x14ac:dyDescent="0.3">
      <c r="A1353" t="s">
        <v>2209</v>
      </c>
      <c r="B1353" s="2">
        <v>45648</v>
      </c>
      <c r="C1353" t="s">
        <v>179</v>
      </c>
      <c r="D1353" t="s">
        <v>786</v>
      </c>
      <c r="E1353" t="s">
        <v>831</v>
      </c>
      <c r="F1353">
        <v>4</v>
      </c>
      <c r="G1353">
        <v>0</v>
      </c>
      <c r="H1353" t="s">
        <v>858</v>
      </c>
      <c r="I1353" t="str">
        <f>VLOOKUP(C1353,Customers!A:C,2,FALSE)&amp;" "&amp;VLOOKUP(C1353,Customers!A:C,3,FALSE)</f>
        <v>Dennis Poole</v>
      </c>
      <c r="J1353" t="str">
        <f>VLOOKUP(D1353,Products!A:C,2,FALSE)</f>
        <v>National Watches</v>
      </c>
      <c r="K1353" t="str">
        <f>VLOOKUP(D1353,Products!A:C,3,FALSE)</f>
        <v>Fashion</v>
      </c>
      <c r="L1353" t="str">
        <f>VLOOKUP(E1353,Stores!A:B,2,FALSE)</f>
        <v>MegaMart Jimenezborough</v>
      </c>
      <c r="M1353">
        <f>VLOOKUP(D1353,Products!A:E,5,FALSE)</f>
        <v>29.24</v>
      </c>
      <c r="N1353" s="5">
        <f t="shared" si="21"/>
        <v>116.96</v>
      </c>
    </row>
    <row r="1354" spans="1:14" x14ac:dyDescent="0.3">
      <c r="A1354" t="s">
        <v>2210</v>
      </c>
      <c r="B1354" s="2">
        <v>45399</v>
      </c>
      <c r="C1354" t="s">
        <v>422</v>
      </c>
      <c r="D1354" t="s">
        <v>826</v>
      </c>
      <c r="E1354" t="s">
        <v>846</v>
      </c>
      <c r="F1354">
        <v>1</v>
      </c>
      <c r="G1354">
        <v>0</v>
      </c>
      <c r="H1354" t="s">
        <v>861</v>
      </c>
      <c r="I1354" t="str">
        <f>VLOOKUP(C1354,Customers!A:C,2,FALSE)&amp;" "&amp;VLOOKUP(C1354,Customers!A:C,3,FALSE)</f>
        <v>Heidi Wilson</v>
      </c>
      <c r="J1354" t="str">
        <f>VLOOKUP(D1354,Products!A:C,2,FALSE)</f>
        <v>Maybe Footwear</v>
      </c>
      <c r="K1354" t="str">
        <f>VLOOKUP(D1354,Products!A:C,3,FALSE)</f>
        <v>Fashion</v>
      </c>
      <c r="L1354" t="str">
        <f>VLOOKUP(E1354,Stores!A:B,2,FALSE)</f>
        <v>MegaMart Johnmouth</v>
      </c>
      <c r="M1354">
        <f>VLOOKUP(D1354,Products!A:E,5,FALSE)</f>
        <v>1044.6400000000001</v>
      </c>
      <c r="N1354" s="5">
        <f t="shared" si="21"/>
        <v>1044.6400000000001</v>
      </c>
    </row>
    <row r="1355" spans="1:14" x14ac:dyDescent="0.3">
      <c r="A1355" t="s">
        <v>2211</v>
      </c>
      <c r="B1355" s="2">
        <v>45227</v>
      </c>
      <c r="C1355" t="s">
        <v>382</v>
      </c>
      <c r="D1355" t="s">
        <v>718</v>
      </c>
      <c r="E1355" t="s">
        <v>842</v>
      </c>
      <c r="F1355">
        <v>5</v>
      </c>
      <c r="G1355">
        <v>0</v>
      </c>
      <c r="H1355" t="s">
        <v>861</v>
      </c>
      <c r="I1355" t="str">
        <f>VLOOKUP(C1355,Customers!A:C,2,FALSE)&amp;" "&amp;VLOOKUP(C1355,Customers!A:C,3,FALSE)</f>
        <v>Carolyn Perez</v>
      </c>
      <c r="J1355" t="str">
        <f>VLOOKUP(D1355,Products!A:C,2,FALSE)</f>
        <v>Here Footwear</v>
      </c>
      <c r="K1355" t="str">
        <f>VLOOKUP(D1355,Products!A:C,3,FALSE)</f>
        <v>Fashion</v>
      </c>
      <c r="L1355" t="str">
        <f>VLOOKUP(E1355,Stores!A:B,2,FALSE)</f>
        <v>MegaMart Brianahaven</v>
      </c>
      <c r="M1355">
        <f>VLOOKUP(D1355,Products!A:E,5,FALSE)</f>
        <v>337.63</v>
      </c>
      <c r="N1355" s="5">
        <f t="shared" si="21"/>
        <v>1688.15</v>
      </c>
    </row>
    <row r="1356" spans="1:14" x14ac:dyDescent="0.3">
      <c r="A1356" t="s">
        <v>2212</v>
      </c>
      <c r="B1356" s="2">
        <v>45282</v>
      </c>
      <c r="C1356" t="s">
        <v>71</v>
      </c>
      <c r="D1356" t="s">
        <v>728</v>
      </c>
      <c r="E1356" t="s">
        <v>839</v>
      </c>
      <c r="F1356">
        <v>2</v>
      </c>
      <c r="G1356">
        <v>0.1</v>
      </c>
      <c r="H1356" t="s">
        <v>861</v>
      </c>
      <c r="I1356" t="str">
        <f>VLOOKUP(C1356,Customers!A:C,2,FALSE)&amp;" "&amp;VLOOKUP(C1356,Customers!A:C,3,FALSE)</f>
        <v>Vanessa Anderson</v>
      </c>
      <c r="J1356" t="str">
        <f>VLOOKUP(D1356,Products!A:C,2,FALSE)</f>
        <v>Company Fruits</v>
      </c>
      <c r="K1356" t="str">
        <f>VLOOKUP(D1356,Products!A:C,3,FALSE)</f>
        <v>Groceries</v>
      </c>
      <c r="L1356" t="str">
        <f>VLOOKUP(E1356,Stores!A:B,2,FALSE)</f>
        <v>MegaMart New Michele</v>
      </c>
      <c r="M1356">
        <f>VLOOKUP(D1356,Products!A:E,5,FALSE)</f>
        <v>318.05</v>
      </c>
      <c r="N1356" s="5">
        <f t="shared" si="21"/>
        <v>572.49</v>
      </c>
    </row>
    <row r="1357" spans="1:14" x14ac:dyDescent="0.3">
      <c r="A1357" t="s">
        <v>2213</v>
      </c>
      <c r="B1357" s="2">
        <v>45813</v>
      </c>
      <c r="C1357" t="s">
        <v>551</v>
      </c>
      <c r="D1357" t="s">
        <v>759</v>
      </c>
      <c r="E1357" t="s">
        <v>842</v>
      </c>
      <c r="F1357">
        <v>1</v>
      </c>
      <c r="G1357">
        <v>0.05</v>
      </c>
      <c r="H1357" t="s">
        <v>858</v>
      </c>
      <c r="I1357" t="str">
        <f>VLOOKUP(C1357,Customers!A:C,2,FALSE)&amp;" "&amp;VLOOKUP(C1357,Customers!A:C,3,FALSE)</f>
        <v>Nancy Gordon</v>
      </c>
      <c r="J1357" t="str">
        <f>VLOOKUP(D1357,Products!A:C,2,FALSE)</f>
        <v>Democratic Smartphone</v>
      </c>
      <c r="K1357" t="str">
        <f>VLOOKUP(D1357,Products!A:C,3,FALSE)</f>
        <v>Electronics</v>
      </c>
      <c r="L1357" t="str">
        <f>VLOOKUP(E1357,Stores!A:B,2,FALSE)</f>
        <v>MegaMart Brianahaven</v>
      </c>
      <c r="M1357">
        <f>VLOOKUP(D1357,Products!A:E,5,FALSE)</f>
        <v>1079.8900000000001</v>
      </c>
      <c r="N1357" s="5">
        <f t="shared" si="21"/>
        <v>1025.8955000000001</v>
      </c>
    </row>
    <row r="1358" spans="1:14" x14ac:dyDescent="0.3">
      <c r="A1358" t="s">
        <v>2214</v>
      </c>
      <c r="B1358" s="2">
        <v>45864</v>
      </c>
      <c r="C1358" t="s">
        <v>657</v>
      </c>
      <c r="D1358" t="s">
        <v>826</v>
      </c>
      <c r="E1358" t="s">
        <v>842</v>
      </c>
      <c r="F1358">
        <v>3</v>
      </c>
      <c r="G1358">
        <v>0.1</v>
      </c>
      <c r="H1358" t="s">
        <v>858</v>
      </c>
      <c r="I1358" t="str">
        <f>VLOOKUP(C1358,Customers!A:C,2,FALSE)&amp;" "&amp;VLOOKUP(C1358,Customers!A:C,3,FALSE)</f>
        <v>Vicki Guzman</v>
      </c>
      <c r="J1358" t="str">
        <f>VLOOKUP(D1358,Products!A:C,2,FALSE)</f>
        <v>Maybe Footwear</v>
      </c>
      <c r="K1358" t="str">
        <f>VLOOKUP(D1358,Products!A:C,3,FALSE)</f>
        <v>Fashion</v>
      </c>
      <c r="L1358" t="str">
        <f>VLOOKUP(E1358,Stores!A:B,2,FALSE)</f>
        <v>MegaMart Brianahaven</v>
      </c>
      <c r="M1358">
        <f>VLOOKUP(D1358,Products!A:E,5,FALSE)</f>
        <v>1044.6400000000001</v>
      </c>
      <c r="N1358" s="5">
        <f t="shared" si="21"/>
        <v>2820.5280000000002</v>
      </c>
    </row>
    <row r="1359" spans="1:14" x14ac:dyDescent="0.3">
      <c r="A1359" t="s">
        <v>2215</v>
      </c>
      <c r="B1359" s="2">
        <v>45472</v>
      </c>
      <c r="C1359" t="s">
        <v>347</v>
      </c>
      <c r="D1359" t="s">
        <v>818</v>
      </c>
      <c r="E1359" t="s">
        <v>842</v>
      </c>
      <c r="F1359">
        <v>5</v>
      </c>
      <c r="G1359">
        <v>0.15</v>
      </c>
      <c r="H1359" t="s">
        <v>858</v>
      </c>
      <c r="I1359" t="str">
        <f>VLOOKUP(C1359,Customers!A:C,2,FALSE)&amp;" "&amp;VLOOKUP(C1359,Customers!A:C,3,FALSE)</f>
        <v>Lindsey Holder</v>
      </c>
      <c r="J1359" t="str">
        <f>VLOOKUP(D1359,Products!A:C,2,FALSE)</f>
        <v>Nature Clothing</v>
      </c>
      <c r="K1359" t="str">
        <f>VLOOKUP(D1359,Products!A:C,3,FALSE)</f>
        <v>Fashion</v>
      </c>
      <c r="L1359" t="str">
        <f>VLOOKUP(E1359,Stores!A:B,2,FALSE)</f>
        <v>MegaMart Brianahaven</v>
      </c>
      <c r="M1359">
        <f>VLOOKUP(D1359,Products!A:E,5,FALSE)</f>
        <v>1165.3699999999999</v>
      </c>
      <c r="N1359" s="5">
        <f t="shared" si="21"/>
        <v>4952.8224999999993</v>
      </c>
    </row>
    <row r="1360" spans="1:14" x14ac:dyDescent="0.3">
      <c r="A1360" t="s">
        <v>2216</v>
      </c>
      <c r="B1360" s="2">
        <v>45883</v>
      </c>
      <c r="C1360" t="s">
        <v>480</v>
      </c>
      <c r="D1360" t="s">
        <v>772</v>
      </c>
      <c r="E1360" t="s">
        <v>839</v>
      </c>
      <c r="F1360">
        <v>2</v>
      </c>
      <c r="G1360">
        <v>0.15</v>
      </c>
      <c r="H1360" t="s">
        <v>865</v>
      </c>
      <c r="I1360" t="str">
        <f>VLOOKUP(C1360,Customers!A:C,2,FALSE)&amp;" "&amp;VLOOKUP(C1360,Customers!A:C,3,FALSE)</f>
        <v>Denise Jackson</v>
      </c>
      <c r="J1360" t="str">
        <f>VLOOKUP(D1360,Products!A:C,2,FALSE)</f>
        <v>And Footwear</v>
      </c>
      <c r="K1360" t="str">
        <f>VLOOKUP(D1360,Products!A:C,3,FALSE)</f>
        <v>Fashion</v>
      </c>
      <c r="L1360" t="str">
        <f>VLOOKUP(E1360,Stores!A:B,2,FALSE)</f>
        <v>MegaMart New Michele</v>
      </c>
      <c r="M1360">
        <f>VLOOKUP(D1360,Products!A:E,5,FALSE)</f>
        <v>1878.47</v>
      </c>
      <c r="N1360" s="5">
        <f t="shared" si="21"/>
        <v>3193.3989999999999</v>
      </c>
    </row>
    <row r="1361" spans="1:14" x14ac:dyDescent="0.3">
      <c r="A1361" t="s">
        <v>2217</v>
      </c>
      <c r="B1361" s="2">
        <v>45814</v>
      </c>
      <c r="C1361" t="s">
        <v>127</v>
      </c>
      <c r="D1361" t="s">
        <v>814</v>
      </c>
      <c r="E1361" t="s">
        <v>839</v>
      </c>
      <c r="F1361">
        <v>4</v>
      </c>
      <c r="G1361">
        <v>0.15</v>
      </c>
      <c r="H1361" t="s">
        <v>861</v>
      </c>
      <c r="I1361" t="str">
        <f>VLOOKUP(C1361,Customers!A:C,2,FALSE)&amp;" "&amp;VLOOKUP(C1361,Customers!A:C,3,FALSE)</f>
        <v>Valerie Macdonald</v>
      </c>
      <c r="J1361" t="str">
        <f>VLOOKUP(D1361,Products!A:C,2,FALSE)</f>
        <v>Least Accessories</v>
      </c>
      <c r="K1361" t="str">
        <f>VLOOKUP(D1361,Products!A:C,3,FALSE)</f>
        <v>Fashion</v>
      </c>
      <c r="L1361" t="str">
        <f>VLOOKUP(E1361,Stores!A:B,2,FALSE)</f>
        <v>MegaMart New Michele</v>
      </c>
      <c r="M1361">
        <f>VLOOKUP(D1361,Products!A:E,5,FALSE)</f>
        <v>1286.55</v>
      </c>
      <c r="N1361" s="5">
        <f t="shared" si="21"/>
        <v>4374.2699999999995</v>
      </c>
    </row>
    <row r="1362" spans="1:14" x14ac:dyDescent="0.3">
      <c r="A1362" t="s">
        <v>2218</v>
      </c>
      <c r="B1362" s="2">
        <v>45239</v>
      </c>
      <c r="C1362" t="s">
        <v>577</v>
      </c>
      <c r="D1362" t="s">
        <v>826</v>
      </c>
      <c r="E1362" t="s">
        <v>835</v>
      </c>
      <c r="F1362">
        <v>1</v>
      </c>
      <c r="G1362">
        <v>0</v>
      </c>
      <c r="H1362" t="s">
        <v>865</v>
      </c>
      <c r="I1362" t="str">
        <f>VLOOKUP(C1362,Customers!A:C,2,FALSE)&amp;" "&amp;VLOOKUP(C1362,Customers!A:C,3,FALSE)</f>
        <v>Michael Perez</v>
      </c>
      <c r="J1362" t="str">
        <f>VLOOKUP(D1362,Products!A:C,2,FALSE)</f>
        <v>Maybe Footwear</v>
      </c>
      <c r="K1362" t="str">
        <f>VLOOKUP(D1362,Products!A:C,3,FALSE)</f>
        <v>Fashion</v>
      </c>
      <c r="L1362" t="str">
        <f>VLOOKUP(E1362,Stores!A:B,2,FALSE)</f>
        <v>MegaMart Peckmouth</v>
      </c>
      <c r="M1362">
        <f>VLOOKUP(D1362,Products!A:E,5,FALSE)</f>
        <v>1044.6400000000001</v>
      </c>
      <c r="N1362" s="5">
        <f t="shared" si="21"/>
        <v>1044.6400000000001</v>
      </c>
    </row>
    <row r="1363" spans="1:14" x14ac:dyDescent="0.3">
      <c r="A1363" t="s">
        <v>2219</v>
      </c>
      <c r="B1363" s="2">
        <v>45335</v>
      </c>
      <c r="C1363" t="s">
        <v>74</v>
      </c>
      <c r="D1363" t="s">
        <v>761</v>
      </c>
      <c r="E1363" t="s">
        <v>842</v>
      </c>
      <c r="F1363">
        <v>1</v>
      </c>
      <c r="G1363">
        <v>0.05</v>
      </c>
      <c r="H1363" t="s">
        <v>858</v>
      </c>
      <c r="I1363" t="str">
        <f>VLOOKUP(C1363,Customers!A:C,2,FALSE)&amp;" "&amp;VLOOKUP(C1363,Customers!A:C,3,FALSE)</f>
        <v>Breanna Davis</v>
      </c>
      <c r="J1363" t="str">
        <f>VLOOKUP(D1363,Products!A:C,2,FALSE)</f>
        <v>Traditional Laptop</v>
      </c>
      <c r="K1363" t="str">
        <f>VLOOKUP(D1363,Products!A:C,3,FALSE)</f>
        <v>Electronics</v>
      </c>
      <c r="L1363" t="str">
        <f>VLOOKUP(E1363,Stores!A:B,2,FALSE)</f>
        <v>MegaMart Brianahaven</v>
      </c>
      <c r="M1363">
        <f>VLOOKUP(D1363,Products!A:E,5,FALSE)</f>
        <v>1762.92</v>
      </c>
      <c r="N1363" s="5">
        <f t="shared" si="21"/>
        <v>1674.7739999999999</v>
      </c>
    </row>
    <row r="1364" spans="1:14" x14ac:dyDescent="0.3">
      <c r="A1364" t="s">
        <v>2220</v>
      </c>
      <c r="B1364" s="2">
        <v>45406</v>
      </c>
      <c r="C1364" t="s">
        <v>556</v>
      </c>
      <c r="D1364" t="s">
        <v>753</v>
      </c>
      <c r="E1364" t="s">
        <v>839</v>
      </c>
      <c r="F1364">
        <v>2</v>
      </c>
      <c r="G1364">
        <v>0.1</v>
      </c>
      <c r="H1364" t="s">
        <v>865</v>
      </c>
      <c r="I1364" t="str">
        <f>VLOOKUP(C1364,Customers!A:C,2,FALSE)&amp;" "&amp;VLOOKUP(C1364,Customers!A:C,3,FALSE)</f>
        <v>Jill Mcconnell</v>
      </c>
      <c r="J1364" t="str">
        <f>VLOOKUP(D1364,Products!A:C,2,FALSE)</f>
        <v>Whether Bags</v>
      </c>
      <c r="K1364" t="str">
        <f>VLOOKUP(D1364,Products!A:C,3,FALSE)</f>
        <v>Fashion</v>
      </c>
      <c r="L1364" t="str">
        <f>VLOOKUP(E1364,Stores!A:B,2,FALSE)</f>
        <v>MegaMart New Michele</v>
      </c>
      <c r="M1364">
        <f>VLOOKUP(D1364,Products!A:E,5,FALSE)</f>
        <v>270.45</v>
      </c>
      <c r="N1364" s="5">
        <f t="shared" si="21"/>
        <v>486.81</v>
      </c>
    </row>
    <row r="1365" spans="1:14" x14ac:dyDescent="0.3">
      <c r="A1365" t="s">
        <v>2221</v>
      </c>
      <c r="B1365" s="2">
        <v>45844</v>
      </c>
      <c r="C1365" t="s">
        <v>687</v>
      </c>
      <c r="D1365" t="s">
        <v>734</v>
      </c>
      <c r="E1365" t="s">
        <v>831</v>
      </c>
      <c r="F1365">
        <v>5</v>
      </c>
      <c r="G1365">
        <v>0.15</v>
      </c>
      <c r="H1365" t="s">
        <v>858</v>
      </c>
      <c r="I1365" t="str">
        <f>VLOOKUP(C1365,Customers!A:C,2,FALSE)&amp;" "&amp;VLOOKUP(C1365,Customers!A:C,3,FALSE)</f>
        <v>James Mitchell</v>
      </c>
      <c r="J1365" t="str">
        <f>VLOOKUP(D1365,Products!A:C,2,FALSE)</f>
        <v>Recognize Footwear</v>
      </c>
      <c r="K1365" t="str">
        <f>VLOOKUP(D1365,Products!A:C,3,FALSE)</f>
        <v>Fashion</v>
      </c>
      <c r="L1365" t="str">
        <f>VLOOKUP(E1365,Stores!A:B,2,FALSE)</f>
        <v>MegaMart Jimenezborough</v>
      </c>
      <c r="M1365">
        <f>VLOOKUP(D1365,Products!A:E,5,FALSE)</f>
        <v>109.78</v>
      </c>
      <c r="N1365" s="5">
        <f t="shared" si="21"/>
        <v>466.56499999999994</v>
      </c>
    </row>
    <row r="1366" spans="1:14" x14ac:dyDescent="0.3">
      <c r="A1366" t="s">
        <v>2222</v>
      </c>
      <c r="B1366" s="2">
        <v>45537</v>
      </c>
      <c r="C1366" t="s">
        <v>202</v>
      </c>
      <c r="D1366" t="s">
        <v>728</v>
      </c>
      <c r="E1366" t="s">
        <v>839</v>
      </c>
      <c r="F1366">
        <v>4</v>
      </c>
      <c r="G1366">
        <v>0.15</v>
      </c>
      <c r="H1366" t="s">
        <v>855</v>
      </c>
      <c r="I1366" t="str">
        <f>VLOOKUP(C1366,Customers!A:C,2,FALSE)&amp;" "&amp;VLOOKUP(C1366,Customers!A:C,3,FALSE)</f>
        <v>Billy Hernandez</v>
      </c>
      <c r="J1366" t="str">
        <f>VLOOKUP(D1366,Products!A:C,2,FALSE)</f>
        <v>Company Fruits</v>
      </c>
      <c r="K1366" t="str">
        <f>VLOOKUP(D1366,Products!A:C,3,FALSE)</f>
        <v>Groceries</v>
      </c>
      <c r="L1366" t="str">
        <f>VLOOKUP(E1366,Stores!A:B,2,FALSE)</f>
        <v>MegaMart New Michele</v>
      </c>
      <c r="M1366">
        <f>VLOOKUP(D1366,Products!A:E,5,FALSE)</f>
        <v>318.05</v>
      </c>
      <c r="N1366" s="5">
        <f t="shared" si="21"/>
        <v>1081.3700000000001</v>
      </c>
    </row>
    <row r="1367" spans="1:14" x14ac:dyDescent="0.3">
      <c r="A1367" t="s">
        <v>2223</v>
      </c>
      <c r="B1367" s="2">
        <v>45451</v>
      </c>
      <c r="C1367" t="s">
        <v>505</v>
      </c>
      <c r="D1367" t="s">
        <v>826</v>
      </c>
      <c r="E1367" t="s">
        <v>839</v>
      </c>
      <c r="F1367">
        <v>5</v>
      </c>
      <c r="G1367">
        <v>0</v>
      </c>
      <c r="H1367" t="s">
        <v>865</v>
      </c>
      <c r="I1367" t="str">
        <f>VLOOKUP(C1367,Customers!A:C,2,FALSE)&amp;" "&amp;VLOOKUP(C1367,Customers!A:C,3,FALSE)</f>
        <v>Alexander Mcfarland</v>
      </c>
      <c r="J1367" t="str">
        <f>VLOOKUP(D1367,Products!A:C,2,FALSE)</f>
        <v>Maybe Footwear</v>
      </c>
      <c r="K1367" t="str">
        <f>VLOOKUP(D1367,Products!A:C,3,FALSE)</f>
        <v>Fashion</v>
      </c>
      <c r="L1367" t="str">
        <f>VLOOKUP(E1367,Stores!A:B,2,FALSE)</f>
        <v>MegaMart New Michele</v>
      </c>
      <c r="M1367">
        <f>VLOOKUP(D1367,Products!A:E,5,FALSE)</f>
        <v>1044.6400000000001</v>
      </c>
      <c r="N1367" s="5">
        <f t="shared" si="21"/>
        <v>5223.2000000000007</v>
      </c>
    </row>
    <row r="1368" spans="1:14" x14ac:dyDescent="0.3">
      <c r="A1368" t="s">
        <v>2224</v>
      </c>
      <c r="B1368" s="2">
        <v>45380</v>
      </c>
      <c r="C1368" t="s">
        <v>415</v>
      </c>
      <c r="D1368" t="s">
        <v>822</v>
      </c>
      <c r="E1368" t="s">
        <v>831</v>
      </c>
      <c r="F1368">
        <v>4</v>
      </c>
      <c r="G1368">
        <v>0.15</v>
      </c>
      <c r="H1368" t="s">
        <v>855</v>
      </c>
      <c r="I1368" t="str">
        <f>VLOOKUP(C1368,Customers!A:C,2,FALSE)&amp;" "&amp;VLOOKUP(C1368,Customers!A:C,3,FALSE)</f>
        <v>Dylan Booker</v>
      </c>
      <c r="J1368" t="str">
        <f>VLOOKUP(D1368,Products!A:C,2,FALSE)</f>
        <v>Nor Bags</v>
      </c>
      <c r="K1368" t="str">
        <f>VLOOKUP(D1368,Products!A:C,3,FALSE)</f>
        <v>Fashion</v>
      </c>
      <c r="L1368" t="str">
        <f>VLOOKUP(E1368,Stores!A:B,2,FALSE)</f>
        <v>MegaMart Jimenezborough</v>
      </c>
      <c r="M1368">
        <f>VLOOKUP(D1368,Products!A:E,5,FALSE)</f>
        <v>1216.3599999999999</v>
      </c>
      <c r="N1368" s="5">
        <f t="shared" si="21"/>
        <v>4135.6239999999998</v>
      </c>
    </row>
    <row r="1369" spans="1:14" x14ac:dyDescent="0.3">
      <c r="A1369" t="s">
        <v>2225</v>
      </c>
      <c r="B1369" s="2">
        <v>45446</v>
      </c>
      <c r="C1369" t="s">
        <v>364</v>
      </c>
      <c r="D1369" t="s">
        <v>722</v>
      </c>
      <c r="E1369" t="s">
        <v>842</v>
      </c>
      <c r="F1369">
        <v>4</v>
      </c>
      <c r="G1369">
        <v>0</v>
      </c>
      <c r="H1369" t="s">
        <v>865</v>
      </c>
      <c r="I1369" t="str">
        <f>VLOOKUP(C1369,Customers!A:C,2,FALSE)&amp;" "&amp;VLOOKUP(C1369,Customers!A:C,3,FALSE)</f>
        <v>Evelyn Gray</v>
      </c>
      <c r="J1369" t="str">
        <f>VLOOKUP(D1369,Products!A:C,2,FALSE)</f>
        <v>Four Accessories</v>
      </c>
      <c r="K1369" t="str">
        <f>VLOOKUP(D1369,Products!A:C,3,FALSE)</f>
        <v>Fashion</v>
      </c>
      <c r="L1369" t="str">
        <f>VLOOKUP(E1369,Stores!A:B,2,FALSE)</f>
        <v>MegaMart Brianahaven</v>
      </c>
      <c r="M1369">
        <f>VLOOKUP(D1369,Products!A:E,5,FALSE)</f>
        <v>1853.77</v>
      </c>
      <c r="N1369" s="5">
        <f t="shared" si="21"/>
        <v>7415.08</v>
      </c>
    </row>
    <row r="1370" spans="1:14" x14ac:dyDescent="0.3">
      <c r="A1370" t="s">
        <v>2226</v>
      </c>
      <c r="B1370" s="2">
        <v>45659</v>
      </c>
      <c r="C1370" t="s">
        <v>179</v>
      </c>
      <c r="D1370" t="s">
        <v>810</v>
      </c>
      <c r="E1370" t="s">
        <v>846</v>
      </c>
      <c r="F1370">
        <v>3</v>
      </c>
      <c r="G1370">
        <v>0.05</v>
      </c>
      <c r="H1370" t="s">
        <v>858</v>
      </c>
      <c r="I1370" t="str">
        <f>VLOOKUP(C1370,Customers!A:C,2,FALSE)&amp;" "&amp;VLOOKUP(C1370,Customers!A:C,3,FALSE)</f>
        <v>Dennis Poole</v>
      </c>
      <c r="J1370" t="str">
        <f>VLOOKUP(D1370,Products!A:C,2,FALSE)</f>
        <v>Maybe Clothing</v>
      </c>
      <c r="K1370" t="str">
        <f>VLOOKUP(D1370,Products!A:C,3,FALSE)</f>
        <v>Fashion</v>
      </c>
      <c r="L1370" t="str">
        <f>VLOOKUP(E1370,Stores!A:B,2,FALSE)</f>
        <v>MegaMart Johnmouth</v>
      </c>
      <c r="M1370">
        <f>VLOOKUP(D1370,Products!A:E,5,FALSE)</f>
        <v>453.62</v>
      </c>
      <c r="N1370" s="5">
        <f t="shared" si="21"/>
        <v>1292.817</v>
      </c>
    </row>
    <row r="1371" spans="1:14" x14ac:dyDescent="0.3">
      <c r="A1371" t="s">
        <v>2227</v>
      </c>
      <c r="B1371" s="2">
        <v>45406</v>
      </c>
      <c r="C1371" t="s">
        <v>415</v>
      </c>
      <c r="D1371" t="s">
        <v>739</v>
      </c>
      <c r="E1371" t="s">
        <v>835</v>
      </c>
      <c r="F1371">
        <v>3</v>
      </c>
      <c r="G1371">
        <v>0.15</v>
      </c>
      <c r="H1371" t="s">
        <v>858</v>
      </c>
      <c r="I1371" t="str">
        <f>VLOOKUP(C1371,Customers!A:C,2,FALSE)&amp;" "&amp;VLOOKUP(C1371,Customers!A:C,3,FALSE)</f>
        <v>Dylan Booker</v>
      </c>
      <c r="J1371" t="str">
        <f>VLOOKUP(D1371,Products!A:C,2,FALSE)</f>
        <v>Step Smartphone</v>
      </c>
      <c r="K1371" t="str">
        <f>VLOOKUP(D1371,Products!A:C,3,FALSE)</f>
        <v>Electronics</v>
      </c>
      <c r="L1371" t="str">
        <f>VLOOKUP(E1371,Stores!A:B,2,FALSE)</f>
        <v>MegaMart Peckmouth</v>
      </c>
      <c r="M1371">
        <f>VLOOKUP(D1371,Products!A:E,5,FALSE)</f>
        <v>1194.1199999999999</v>
      </c>
      <c r="N1371" s="5">
        <f t="shared" si="21"/>
        <v>3045.0059999999999</v>
      </c>
    </row>
    <row r="1372" spans="1:14" x14ac:dyDescent="0.3">
      <c r="A1372" t="s">
        <v>2228</v>
      </c>
      <c r="B1372" s="2">
        <v>45218</v>
      </c>
      <c r="C1372" t="s">
        <v>690</v>
      </c>
      <c r="D1372" t="s">
        <v>761</v>
      </c>
      <c r="E1372" t="s">
        <v>831</v>
      </c>
      <c r="F1372">
        <v>5</v>
      </c>
      <c r="G1372">
        <v>0.15</v>
      </c>
      <c r="H1372" t="s">
        <v>858</v>
      </c>
      <c r="I1372" t="str">
        <f>VLOOKUP(C1372,Customers!A:C,2,FALSE)&amp;" "&amp;VLOOKUP(C1372,Customers!A:C,3,FALSE)</f>
        <v>James Noble</v>
      </c>
      <c r="J1372" t="str">
        <f>VLOOKUP(D1372,Products!A:C,2,FALSE)</f>
        <v>Traditional Laptop</v>
      </c>
      <c r="K1372" t="str">
        <f>VLOOKUP(D1372,Products!A:C,3,FALSE)</f>
        <v>Electronics</v>
      </c>
      <c r="L1372" t="str">
        <f>VLOOKUP(E1372,Stores!A:B,2,FALSE)</f>
        <v>MegaMart Jimenezborough</v>
      </c>
      <c r="M1372">
        <f>VLOOKUP(D1372,Products!A:E,5,FALSE)</f>
        <v>1762.92</v>
      </c>
      <c r="N1372" s="5">
        <f t="shared" si="21"/>
        <v>7492.41</v>
      </c>
    </row>
    <row r="1373" spans="1:14" x14ac:dyDescent="0.3">
      <c r="A1373" t="s">
        <v>2229</v>
      </c>
      <c r="B1373" s="2">
        <v>45899</v>
      </c>
      <c r="C1373" t="s">
        <v>452</v>
      </c>
      <c r="D1373" t="s">
        <v>725</v>
      </c>
      <c r="E1373" t="s">
        <v>846</v>
      </c>
      <c r="F1373">
        <v>2</v>
      </c>
      <c r="G1373">
        <v>0</v>
      </c>
      <c r="H1373" t="s">
        <v>858</v>
      </c>
      <c r="I1373" t="str">
        <f>VLOOKUP(C1373,Customers!A:C,2,FALSE)&amp;" "&amp;VLOOKUP(C1373,Customers!A:C,3,FALSE)</f>
        <v>Amy Smith</v>
      </c>
      <c r="J1373" t="str">
        <f>VLOOKUP(D1373,Products!A:C,2,FALSE)</f>
        <v>Knowledge Bags</v>
      </c>
      <c r="K1373" t="str">
        <f>VLOOKUP(D1373,Products!A:C,3,FALSE)</f>
        <v>Fashion</v>
      </c>
      <c r="L1373" t="str">
        <f>VLOOKUP(E1373,Stores!A:B,2,FALSE)</f>
        <v>MegaMart Johnmouth</v>
      </c>
      <c r="M1373">
        <f>VLOOKUP(D1373,Products!A:E,5,FALSE)</f>
        <v>1396.22</v>
      </c>
      <c r="N1373" s="5">
        <f t="shared" si="21"/>
        <v>2792.44</v>
      </c>
    </row>
    <row r="1374" spans="1:14" x14ac:dyDescent="0.3">
      <c r="A1374" t="s">
        <v>2230</v>
      </c>
      <c r="B1374" s="2">
        <v>45383</v>
      </c>
      <c r="C1374" t="s">
        <v>258</v>
      </c>
      <c r="D1374" t="s">
        <v>806</v>
      </c>
      <c r="E1374" t="s">
        <v>842</v>
      </c>
      <c r="F1374">
        <v>5</v>
      </c>
      <c r="G1374">
        <v>0.15</v>
      </c>
      <c r="H1374" t="s">
        <v>855</v>
      </c>
      <c r="I1374" t="str">
        <f>VLOOKUP(C1374,Customers!A:C,2,FALSE)&amp;" "&amp;VLOOKUP(C1374,Customers!A:C,3,FALSE)</f>
        <v>Alexandra Montoya</v>
      </c>
      <c r="J1374" t="str">
        <f>VLOOKUP(D1374,Products!A:C,2,FALSE)</f>
        <v>Piece Headphones</v>
      </c>
      <c r="K1374" t="str">
        <f>VLOOKUP(D1374,Products!A:C,3,FALSE)</f>
        <v>Electronics</v>
      </c>
      <c r="L1374" t="str">
        <f>VLOOKUP(E1374,Stores!A:B,2,FALSE)</f>
        <v>MegaMart Brianahaven</v>
      </c>
      <c r="M1374">
        <f>VLOOKUP(D1374,Products!A:E,5,FALSE)</f>
        <v>1745.61</v>
      </c>
      <c r="N1374" s="5">
        <f t="shared" si="21"/>
        <v>7418.8424999999988</v>
      </c>
    </row>
    <row r="1375" spans="1:14" x14ac:dyDescent="0.3">
      <c r="A1375" t="s">
        <v>2231</v>
      </c>
      <c r="B1375" s="2">
        <v>45438</v>
      </c>
      <c r="C1375" t="s">
        <v>693</v>
      </c>
      <c r="D1375" t="s">
        <v>766</v>
      </c>
      <c r="E1375" t="s">
        <v>839</v>
      </c>
      <c r="F1375">
        <v>3</v>
      </c>
      <c r="G1375">
        <v>0</v>
      </c>
      <c r="H1375" t="s">
        <v>865</v>
      </c>
      <c r="I1375" t="str">
        <f>VLOOKUP(C1375,Customers!A:C,2,FALSE)&amp;" "&amp;VLOOKUP(C1375,Customers!A:C,3,FALSE)</f>
        <v>Matthew Dixon</v>
      </c>
      <c r="J1375" t="str">
        <f>VLOOKUP(D1375,Products!A:C,2,FALSE)</f>
        <v>Firm Dairy</v>
      </c>
      <c r="K1375" t="str">
        <f>VLOOKUP(D1375,Products!A:C,3,FALSE)</f>
        <v>Groceries</v>
      </c>
      <c r="L1375" t="str">
        <f>VLOOKUP(E1375,Stores!A:B,2,FALSE)</f>
        <v>MegaMart New Michele</v>
      </c>
      <c r="M1375">
        <f>VLOOKUP(D1375,Products!A:E,5,FALSE)</f>
        <v>1227.24</v>
      </c>
      <c r="N1375" s="5">
        <f t="shared" si="21"/>
        <v>3681.7200000000003</v>
      </c>
    </row>
    <row r="1376" spans="1:14" x14ac:dyDescent="0.3">
      <c r="A1376" t="s">
        <v>2232</v>
      </c>
      <c r="B1376" s="2">
        <v>45249</v>
      </c>
      <c r="C1376" t="s">
        <v>549</v>
      </c>
      <c r="D1376" t="s">
        <v>810</v>
      </c>
      <c r="E1376" t="s">
        <v>831</v>
      </c>
      <c r="F1376">
        <v>2</v>
      </c>
      <c r="G1376">
        <v>0.1</v>
      </c>
      <c r="H1376" t="s">
        <v>855</v>
      </c>
      <c r="I1376" t="str">
        <f>VLOOKUP(C1376,Customers!A:C,2,FALSE)&amp;" "&amp;VLOOKUP(C1376,Customers!A:C,3,FALSE)</f>
        <v>Brittany Green</v>
      </c>
      <c r="J1376" t="str">
        <f>VLOOKUP(D1376,Products!A:C,2,FALSE)</f>
        <v>Maybe Clothing</v>
      </c>
      <c r="K1376" t="str">
        <f>VLOOKUP(D1376,Products!A:C,3,FALSE)</f>
        <v>Fashion</v>
      </c>
      <c r="L1376" t="str">
        <f>VLOOKUP(E1376,Stores!A:B,2,FALSE)</f>
        <v>MegaMart Jimenezborough</v>
      </c>
      <c r="M1376">
        <f>VLOOKUP(D1376,Products!A:E,5,FALSE)</f>
        <v>453.62</v>
      </c>
      <c r="N1376" s="5">
        <f t="shared" si="21"/>
        <v>816.51600000000008</v>
      </c>
    </row>
    <row r="1377" spans="1:14" x14ac:dyDescent="0.3">
      <c r="A1377" t="s">
        <v>2233</v>
      </c>
      <c r="B1377" s="2">
        <v>45448</v>
      </c>
      <c r="C1377" t="s">
        <v>670</v>
      </c>
      <c r="D1377" t="s">
        <v>826</v>
      </c>
      <c r="E1377" t="s">
        <v>846</v>
      </c>
      <c r="F1377">
        <v>1</v>
      </c>
      <c r="G1377">
        <v>0.1</v>
      </c>
      <c r="H1377" t="s">
        <v>858</v>
      </c>
      <c r="I1377" t="str">
        <f>VLOOKUP(C1377,Customers!A:C,2,FALSE)&amp;" "&amp;VLOOKUP(C1377,Customers!A:C,3,FALSE)</f>
        <v>Daniel Lawson</v>
      </c>
      <c r="J1377" t="str">
        <f>VLOOKUP(D1377,Products!A:C,2,FALSE)</f>
        <v>Maybe Footwear</v>
      </c>
      <c r="K1377" t="str">
        <f>VLOOKUP(D1377,Products!A:C,3,FALSE)</f>
        <v>Fashion</v>
      </c>
      <c r="L1377" t="str">
        <f>VLOOKUP(E1377,Stores!A:B,2,FALSE)</f>
        <v>MegaMart Johnmouth</v>
      </c>
      <c r="M1377">
        <f>VLOOKUP(D1377,Products!A:E,5,FALSE)</f>
        <v>1044.6400000000001</v>
      </c>
      <c r="N1377" s="5">
        <f t="shared" si="21"/>
        <v>940.17600000000016</v>
      </c>
    </row>
    <row r="1378" spans="1:14" x14ac:dyDescent="0.3">
      <c r="A1378" t="s">
        <v>2234</v>
      </c>
      <c r="B1378" s="2">
        <v>45666</v>
      </c>
      <c r="C1378" t="s">
        <v>101</v>
      </c>
      <c r="D1378" t="s">
        <v>806</v>
      </c>
      <c r="E1378" t="s">
        <v>842</v>
      </c>
      <c r="F1378">
        <v>3</v>
      </c>
      <c r="G1378">
        <v>0.1</v>
      </c>
      <c r="H1378" t="s">
        <v>858</v>
      </c>
      <c r="I1378" t="str">
        <f>VLOOKUP(C1378,Customers!A:C,2,FALSE)&amp;" "&amp;VLOOKUP(C1378,Customers!A:C,3,FALSE)</f>
        <v>Cheryl Gilbert</v>
      </c>
      <c r="J1378" t="str">
        <f>VLOOKUP(D1378,Products!A:C,2,FALSE)</f>
        <v>Piece Headphones</v>
      </c>
      <c r="K1378" t="str">
        <f>VLOOKUP(D1378,Products!A:C,3,FALSE)</f>
        <v>Electronics</v>
      </c>
      <c r="L1378" t="str">
        <f>VLOOKUP(E1378,Stores!A:B,2,FALSE)</f>
        <v>MegaMart Brianahaven</v>
      </c>
      <c r="M1378">
        <f>VLOOKUP(D1378,Products!A:E,5,FALSE)</f>
        <v>1745.61</v>
      </c>
      <c r="N1378" s="5">
        <f t="shared" si="21"/>
        <v>4713.1469999999999</v>
      </c>
    </row>
    <row r="1379" spans="1:14" x14ac:dyDescent="0.3">
      <c r="A1379" t="s">
        <v>2235</v>
      </c>
      <c r="B1379" s="2">
        <v>45408</v>
      </c>
      <c r="C1379" t="s">
        <v>339</v>
      </c>
      <c r="D1379" t="s">
        <v>824</v>
      </c>
      <c r="E1379" t="s">
        <v>831</v>
      </c>
      <c r="F1379">
        <v>2</v>
      </c>
      <c r="G1379">
        <v>0.05</v>
      </c>
      <c r="H1379" t="s">
        <v>861</v>
      </c>
      <c r="I1379" t="str">
        <f>VLOOKUP(C1379,Customers!A:C,2,FALSE)&amp;" "&amp;VLOOKUP(C1379,Customers!A:C,3,FALSE)</f>
        <v>Carrie Peterson</v>
      </c>
      <c r="J1379" t="str">
        <f>VLOOKUP(D1379,Products!A:C,2,FALSE)</f>
        <v>Possible Watches</v>
      </c>
      <c r="K1379" t="str">
        <f>VLOOKUP(D1379,Products!A:C,3,FALSE)</f>
        <v>Fashion</v>
      </c>
      <c r="L1379" t="str">
        <f>VLOOKUP(E1379,Stores!A:B,2,FALSE)</f>
        <v>MegaMart Jimenezborough</v>
      </c>
      <c r="M1379">
        <f>VLOOKUP(D1379,Products!A:E,5,FALSE)</f>
        <v>388.26</v>
      </c>
      <c r="N1379" s="5">
        <f t="shared" si="21"/>
        <v>737.69399999999996</v>
      </c>
    </row>
    <row r="1380" spans="1:14" x14ac:dyDescent="0.3">
      <c r="A1380" t="s">
        <v>2236</v>
      </c>
      <c r="B1380" s="2">
        <v>45321</v>
      </c>
      <c r="C1380" t="s">
        <v>593</v>
      </c>
      <c r="D1380" t="s">
        <v>718</v>
      </c>
      <c r="E1380" t="s">
        <v>839</v>
      </c>
      <c r="F1380">
        <v>5</v>
      </c>
      <c r="G1380">
        <v>0</v>
      </c>
      <c r="H1380" t="s">
        <v>865</v>
      </c>
      <c r="I1380" t="str">
        <f>VLOOKUP(C1380,Customers!A:C,2,FALSE)&amp;" "&amp;VLOOKUP(C1380,Customers!A:C,3,FALSE)</f>
        <v>Meagan Ali</v>
      </c>
      <c r="J1380" t="str">
        <f>VLOOKUP(D1380,Products!A:C,2,FALSE)</f>
        <v>Here Footwear</v>
      </c>
      <c r="K1380" t="str">
        <f>VLOOKUP(D1380,Products!A:C,3,FALSE)</f>
        <v>Fashion</v>
      </c>
      <c r="L1380" t="str">
        <f>VLOOKUP(E1380,Stores!A:B,2,FALSE)</f>
        <v>MegaMart New Michele</v>
      </c>
      <c r="M1380">
        <f>VLOOKUP(D1380,Products!A:E,5,FALSE)</f>
        <v>337.63</v>
      </c>
      <c r="N1380" s="5">
        <f t="shared" si="21"/>
        <v>1688.15</v>
      </c>
    </row>
    <row r="1381" spans="1:14" x14ac:dyDescent="0.3">
      <c r="A1381" t="s">
        <v>2237</v>
      </c>
      <c r="B1381" s="2">
        <v>45327</v>
      </c>
      <c r="C1381" t="s">
        <v>298</v>
      </c>
      <c r="D1381" t="s">
        <v>764</v>
      </c>
      <c r="E1381" t="s">
        <v>831</v>
      </c>
      <c r="F1381">
        <v>3</v>
      </c>
      <c r="G1381">
        <v>0.05</v>
      </c>
      <c r="H1381" t="s">
        <v>865</v>
      </c>
      <c r="I1381" t="str">
        <f>VLOOKUP(C1381,Customers!A:C,2,FALSE)&amp;" "&amp;VLOOKUP(C1381,Customers!A:C,3,FALSE)</f>
        <v>Donald Marsh</v>
      </c>
      <c r="J1381" t="str">
        <f>VLOOKUP(D1381,Products!A:C,2,FALSE)</f>
        <v>Simple Accessories</v>
      </c>
      <c r="K1381" t="str">
        <f>VLOOKUP(D1381,Products!A:C,3,FALSE)</f>
        <v>Fashion</v>
      </c>
      <c r="L1381" t="str">
        <f>VLOOKUP(E1381,Stores!A:B,2,FALSE)</f>
        <v>MegaMart Jimenezborough</v>
      </c>
      <c r="M1381">
        <f>VLOOKUP(D1381,Products!A:E,5,FALSE)</f>
        <v>323.92</v>
      </c>
      <c r="N1381" s="5">
        <f t="shared" si="21"/>
        <v>923.17199999999991</v>
      </c>
    </row>
    <row r="1382" spans="1:14" x14ac:dyDescent="0.3">
      <c r="A1382" t="s">
        <v>2238</v>
      </c>
      <c r="B1382" s="2">
        <v>45216</v>
      </c>
      <c r="C1382" t="s">
        <v>503</v>
      </c>
      <c r="D1382" t="s">
        <v>810</v>
      </c>
      <c r="E1382" t="s">
        <v>839</v>
      </c>
      <c r="F1382">
        <v>1</v>
      </c>
      <c r="G1382">
        <v>0.15</v>
      </c>
      <c r="H1382" t="s">
        <v>858</v>
      </c>
      <c r="I1382" t="str">
        <f>VLOOKUP(C1382,Customers!A:C,2,FALSE)&amp;" "&amp;VLOOKUP(C1382,Customers!A:C,3,FALSE)</f>
        <v>Breanna Moore</v>
      </c>
      <c r="J1382" t="str">
        <f>VLOOKUP(D1382,Products!A:C,2,FALSE)</f>
        <v>Maybe Clothing</v>
      </c>
      <c r="K1382" t="str">
        <f>VLOOKUP(D1382,Products!A:C,3,FALSE)</f>
        <v>Fashion</v>
      </c>
      <c r="L1382" t="str">
        <f>VLOOKUP(E1382,Stores!A:B,2,FALSE)</f>
        <v>MegaMart New Michele</v>
      </c>
      <c r="M1382">
        <f>VLOOKUP(D1382,Products!A:E,5,FALSE)</f>
        <v>453.62</v>
      </c>
      <c r="N1382" s="5">
        <f t="shared" si="21"/>
        <v>385.577</v>
      </c>
    </row>
    <row r="1383" spans="1:14" x14ac:dyDescent="0.3">
      <c r="A1383" t="s">
        <v>2239</v>
      </c>
      <c r="B1383" s="2">
        <v>45440</v>
      </c>
      <c r="C1383" t="s">
        <v>531</v>
      </c>
      <c r="D1383" t="s">
        <v>776</v>
      </c>
      <c r="E1383" t="s">
        <v>846</v>
      </c>
      <c r="F1383">
        <v>4</v>
      </c>
      <c r="G1383">
        <v>0.1</v>
      </c>
      <c r="H1383" t="s">
        <v>865</v>
      </c>
      <c r="I1383" t="str">
        <f>VLOOKUP(C1383,Customers!A:C,2,FALSE)&amp;" "&amp;VLOOKUP(C1383,Customers!A:C,3,FALSE)</f>
        <v>John Johnson</v>
      </c>
      <c r="J1383" t="str">
        <f>VLOOKUP(D1383,Products!A:C,2,FALSE)</f>
        <v>Little Watches</v>
      </c>
      <c r="K1383" t="str">
        <f>VLOOKUP(D1383,Products!A:C,3,FALSE)</f>
        <v>Fashion</v>
      </c>
      <c r="L1383" t="str">
        <f>VLOOKUP(E1383,Stores!A:B,2,FALSE)</f>
        <v>MegaMart Johnmouth</v>
      </c>
      <c r="M1383">
        <f>VLOOKUP(D1383,Products!A:E,5,FALSE)</f>
        <v>429.15</v>
      </c>
      <c r="N1383" s="5">
        <f t="shared" si="21"/>
        <v>1544.94</v>
      </c>
    </row>
    <row r="1384" spans="1:14" x14ac:dyDescent="0.3">
      <c r="A1384" t="s">
        <v>2240</v>
      </c>
      <c r="B1384" s="2">
        <v>45597</v>
      </c>
      <c r="C1384" t="s">
        <v>633</v>
      </c>
      <c r="D1384" t="s">
        <v>766</v>
      </c>
      <c r="E1384" t="s">
        <v>842</v>
      </c>
      <c r="F1384">
        <v>5</v>
      </c>
      <c r="G1384">
        <v>0</v>
      </c>
      <c r="H1384" t="s">
        <v>855</v>
      </c>
      <c r="I1384" t="str">
        <f>VLOOKUP(C1384,Customers!A:C,2,FALSE)&amp;" "&amp;VLOOKUP(C1384,Customers!A:C,3,FALSE)</f>
        <v>Dennis Wallace</v>
      </c>
      <c r="J1384" t="str">
        <f>VLOOKUP(D1384,Products!A:C,2,FALSE)</f>
        <v>Firm Dairy</v>
      </c>
      <c r="K1384" t="str">
        <f>VLOOKUP(D1384,Products!A:C,3,FALSE)</f>
        <v>Groceries</v>
      </c>
      <c r="L1384" t="str">
        <f>VLOOKUP(E1384,Stores!A:B,2,FALSE)</f>
        <v>MegaMart Brianahaven</v>
      </c>
      <c r="M1384">
        <f>VLOOKUP(D1384,Products!A:E,5,FALSE)</f>
        <v>1227.24</v>
      </c>
      <c r="N1384" s="5">
        <f t="shared" si="21"/>
        <v>6136.2</v>
      </c>
    </row>
    <row r="1385" spans="1:14" x14ac:dyDescent="0.3">
      <c r="A1385" t="s">
        <v>2241</v>
      </c>
      <c r="B1385" s="2">
        <v>45866</v>
      </c>
      <c r="C1385" t="s">
        <v>364</v>
      </c>
      <c r="D1385" t="s">
        <v>798</v>
      </c>
      <c r="E1385" t="s">
        <v>846</v>
      </c>
      <c r="F1385">
        <v>4</v>
      </c>
      <c r="G1385">
        <v>0.1</v>
      </c>
      <c r="H1385" t="s">
        <v>865</v>
      </c>
      <c r="I1385" t="str">
        <f>VLOOKUP(C1385,Customers!A:C,2,FALSE)&amp;" "&amp;VLOOKUP(C1385,Customers!A:C,3,FALSE)</f>
        <v>Evelyn Gray</v>
      </c>
      <c r="J1385" t="str">
        <f>VLOOKUP(D1385,Products!A:C,2,FALSE)</f>
        <v>New Watches</v>
      </c>
      <c r="K1385" t="str">
        <f>VLOOKUP(D1385,Products!A:C,3,FALSE)</f>
        <v>Fashion</v>
      </c>
      <c r="L1385" t="str">
        <f>VLOOKUP(E1385,Stores!A:B,2,FALSE)</f>
        <v>MegaMart Johnmouth</v>
      </c>
      <c r="M1385">
        <f>VLOOKUP(D1385,Products!A:E,5,FALSE)</f>
        <v>1501.46</v>
      </c>
      <c r="N1385" s="5">
        <f t="shared" si="21"/>
        <v>5405.2560000000003</v>
      </c>
    </row>
    <row r="1386" spans="1:14" x14ac:dyDescent="0.3">
      <c r="A1386" t="s">
        <v>2242</v>
      </c>
      <c r="B1386" s="2">
        <v>45337</v>
      </c>
      <c r="C1386" t="s">
        <v>464</v>
      </c>
      <c r="D1386" t="s">
        <v>800</v>
      </c>
      <c r="E1386" t="s">
        <v>831</v>
      </c>
      <c r="F1386">
        <v>2</v>
      </c>
      <c r="G1386">
        <v>0.1</v>
      </c>
      <c r="H1386" t="s">
        <v>858</v>
      </c>
      <c r="I1386" t="str">
        <f>VLOOKUP(C1386,Customers!A:C,2,FALSE)&amp;" "&amp;VLOOKUP(C1386,Customers!A:C,3,FALSE)</f>
        <v>Monique Johnson</v>
      </c>
      <c r="J1386" t="str">
        <f>VLOOKUP(D1386,Products!A:C,2,FALSE)</f>
        <v>Book Television</v>
      </c>
      <c r="K1386" t="str">
        <f>VLOOKUP(D1386,Products!A:C,3,FALSE)</f>
        <v>Electronics</v>
      </c>
      <c r="L1386" t="str">
        <f>VLOOKUP(E1386,Stores!A:B,2,FALSE)</f>
        <v>MegaMart Jimenezborough</v>
      </c>
      <c r="M1386">
        <f>VLOOKUP(D1386,Products!A:E,5,FALSE)</f>
        <v>1952.65</v>
      </c>
      <c r="N1386" s="5">
        <f t="shared" si="21"/>
        <v>3514.7700000000004</v>
      </c>
    </row>
    <row r="1387" spans="1:14" x14ac:dyDescent="0.3">
      <c r="A1387" t="s">
        <v>2243</v>
      </c>
      <c r="B1387" s="2">
        <v>45319</v>
      </c>
      <c r="C1387" t="s">
        <v>472</v>
      </c>
      <c r="D1387" t="s">
        <v>757</v>
      </c>
      <c r="E1387" t="s">
        <v>839</v>
      </c>
      <c r="F1387">
        <v>2</v>
      </c>
      <c r="G1387">
        <v>0.1</v>
      </c>
      <c r="H1387" t="s">
        <v>855</v>
      </c>
      <c r="I1387" t="str">
        <f>VLOOKUP(C1387,Customers!A:C,2,FALSE)&amp;" "&amp;VLOOKUP(C1387,Customers!A:C,3,FALSE)</f>
        <v>Gary Taylor</v>
      </c>
      <c r="J1387" t="str">
        <f>VLOOKUP(D1387,Products!A:C,2,FALSE)</f>
        <v>Find Headphones</v>
      </c>
      <c r="K1387" t="str">
        <f>VLOOKUP(D1387,Products!A:C,3,FALSE)</f>
        <v>Electronics</v>
      </c>
      <c r="L1387" t="str">
        <f>VLOOKUP(E1387,Stores!A:B,2,FALSE)</f>
        <v>MegaMart New Michele</v>
      </c>
      <c r="M1387">
        <f>VLOOKUP(D1387,Products!A:E,5,FALSE)</f>
        <v>1246.1099999999999</v>
      </c>
      <c r="N1387" s="5">
        <f t="shared" si="21"/>
        <v>2242.998</v>
      </c>
    </row>
    <row r="1388" spans="1:14" x14ac:dyDescent="0.3">
      <c r="A1388" t="s">
        <v>2244</v>
      </c>
      <c r="B1388" s="2">
        <v>45360</v>
      </c>
      <c r="C1388" t="s">
        <v>419</v>
      </c>
      <c r="D1388" t="s">
        <v>806</v>
      </c>
      <c r="E1388" t="s">
        <v>835</v>
      </c>
      <c r="F1388">
        <v>4</v>
      </c>
      <c r="G1388">
        <v>0</v>
      </c>
      <c r="H1388" t="s">
        <v>861</v>
      </c>
      <c r="I1388" t="str">
        <f>VLOOKUP(C1388,Customers!A:C,2,FALSE)&amp;" "&amp;VLOOKUP(C1388,Customers!A:C,3,FALSE)</f>
        <v>Jeffrey Smith</v>
      </c>
      <c r="J1388" t="str">
        <f>VLOOKUP(D1388,Products!A:C,2,FALSE)</f>
        <v>Piece Headphones</v>
      </c>
      <c r="K1388" t="str">
        <f>VLOOKUP(D1388,Products!A:C,3,FALSE)</f>
        <v>Electronics</v>
      </c>
      <c r="L1388" t="str">
        <f>VLOOKUP(E1388,Stores!A:B,2,FALSE)</f>
        <v>MegaMart Peckmouth</v>
      </c>
      <c r="M1388">
        <f>VLOOKUP(D1388,Products!A:E,5,FALSE)</f>
        <v>1745.61</v>
      </c>
      <c r="N1388" s="5">
        <f t="shared" si="21"/>
        <v>6982.44</v>
      </c>
    </row>
    <row r="1389" spans="1:14" x14ac:dyDescent="0.3">
      <c r="A1389" t="s">
        <v>2245</v>
      </c>
      <c r="B1389" s="2">
        <v>45785</v>
      </c>
      <c r="C1389" t="s">
        <v>280</v>
      </c>
      <c r="D1389" t="s">
        <v>816</v>
      </c>
      <c r="E1389" t="s">
        <v>839</v>
      </c>
      <c r="F1389">
        <v>1</v>
      </c>
      <c r="G1389">
        <v>0.1</v>
      </c>
      <c r="H1389" t="s">
        <v>858</v>
      </c>
      <c r="I1389" t="str">
        <f>VLOOKUP(C1389,Customers!A:C,2,FALSE)&amp;" "&amp;VLOOKUP(C1389,Customers!A:C,3,FALSE)</f>
        <v>Jesus Singh</v>
      </c>
      <c r="J1389" t="str">
        <f>VLOOKUP(D1389,Products!A:C,2,FALSE)</f>
        <v>Set Dairy</v>
      </c>
      <c r="K1389" t="str">
        <f>VLOOKUP(D1389,Products!A:C,3,FALSE)</f>
        <v>Groceries</v>
      </c>
      <c r="L1389" t="str">
        <f>VLOOKUP(E1389,Stores!A:B,2,FALSE)</f>
        <v>MegaMart New Michele</v>
      </c>
      <c r="M1389">
        <f>VLOOKUP(D1389,Products!A:E,5,FALSE)</f>
        <v>1879.08</v>
      </c>
      <c r="N1389" s="5">
        <f t="shared" si="21"/>
        <v>1691.172</v>
      </c>
    </row>
    <row r="1390" spans="1:14" x14ac:dyDescent="0.3">
      <c r="A1390" t="s">
        <v>2246</v>
      </c>
      <c r="B1390" s="2">
        <v>45734</v>
      </c>
      <c r="C1390" t="s">
        <v>224</v>
      </c>
      <c r="D1390" t="s">
        <v>755</v>
      </c>
      <c r="E1390" t="s">
        <v>846</v>
      </c>
      <c r="F1390">
        <v>1</v>
      </c>
      <c r="G1390">
        <v>0</v>
      </c>
      <c r="H1390" t="s">
        <v>855</v>
      </c>
      <c r="I1390" t="str">
        <f>VLOOKUP(C1390,Customers!A:C,2,FALSE)&amp;" "&amp;VLOOKUP(C1390,Customers!A:C,3,FALSE)</f>
        <v>Lawrence Stewart</v>
      </c>
      <c r="J1390" t="str">
        <f>VLOOKUP(D1390,Products!A:C,2,FALSE)</f>
        <v>House Accessories</v>
      </c>
      <c r="K1390" t="str">
        <f>VLOOKUP(D1390,Products!A:C,3,FALSE)</f>
        <v>Fashion</v>
      </c>
      <c r="L1390" t="str">
        <f>VLOOKUP(E1390,Stores!A:B,2,FALSE)</f>
        <v>MegaMart Johnmouth</v>
      </c>
      <c r="M1390">
        <f>VLOOKUP(D1390,Products!A:E,5,FALSE)</f>
        <v>1858.75</v>
      </c>
      <c r="N1390" s="5">
        <f t="shared" si="21"/>
        <v>1858.75</v>
      </c>
    </row>
    <row r="1391" spans="1:14" x14ac:dyDescent="0.3">
      <c r="A1391" t="s">
        <v>2247</v>
      </c>
      <c r="B1391" s="2">
        <v>45396</v>
      </c>
      <c r="C1391" t="s">
        <v>266</v>
      </c>
      <c r="D1391" t="s">
        <v>778</v>
      </c>
      <c r="E1391" t="s">
        <v>831</v>
      </c>
      <c r="F1391">
        <v>5</v>
      </c>
      <c r="G1391">
        <v>0.15</v>
      </c>
      <c r="H1391" t="s">
        <v>858</v>
      </c>
      <c r="I1391" t="str">
        <f>VLOOKUP(C1391,Customers!A:C,2,FALSE)&amp;" "&amp;VLOOKUP(C1391,Customers!A:C,3,FALSE)</f>
        <v>Eric Bryan</v>
      </c>
      <c r="J1391" t="str">
        <f>VLOOKUP(D1391,Products!A:C,2,FALSE)</f>
        <v>Behavior Dairy</v>
      </c>
      <c r="K1391" t="str">
        <f>VLOOKUP(D1391,Products!A:C,3,FALSE)</f>
        <v>Groceries</v>
      </c>
      <c r="L1391" t="str">
        <f>VLOOKUP(E1391,Stores!A:B,2,FALSE)</f>
        <v>MegaMart Jimenezborough</v>
      </c>
      <c r="M1391">
        <f>VLOOKUP(D1391,Products!A:E,5,FALSE)</f>
        <v>1015.76</v>
      </c>
      <c r="N1391" s="5">
        <f t="shared" si="21"/>
        <v>4316.9800000000005</v>
      </c>
    </row>
    <row r="1392" spans="1:14" x14ac:dyDescent="0.3">
      <c r="A1392" t="s">
        <v>2248</v>
      </c>
      <c r="B1392" s="2">
        <v>45270</v>
      </c>
      <c r="C1392" t="s">
        <v>210</v>
      </c>
      <c r="D1392" t="s">
        <v>732</v>
      </c>
      <c r="E1392" t="s">
        <v>839</v>
      </c>
      <c r="F1392">
        <v>1</v>
      </c>
      <c r="G1392">
        <v>0.1</v>
      </c>
      <c r="H1392" t="s">
        <v>855</v>
      </c>
      <c r="I1392" t="str">
        <f>VLOOKUP(C1392,Customers!A:C,2,FALSE)&amp;" "&amp;VLOOKUP(C1392,Customers!A:C,3,FALSE)</f>
        <v>Crystal Johnson</v>
      </c>
      <c r="J1392" t="str">
        <f>VLOOKUP(D1392,Products!A:C,2,FALSE)</f>
        <v>Understand Camera</v>
      </c>
      <c r="K1392" t="str">
        <f>VLOOKUP(D1392,Products!A:C,3,FALSE)</f>
        <v>Electronics</v>
      </c>
      <c r="L1392" t="str">
        <f>VLOOKUP(E1392,Stores!A:B,2,FALSE)</f>
        <v>MegaMart New Michele</v>
      </c>
      <c r="M1392">
        <f>VLOOKUP(D1392,Products!A:E,5,FALSE)</f>
        <v>1474.12</v>
      </c>
      <c r="N1392" s="5">
        <f t="shared" si="21"/>
        <v>1326.7079999999999</v>
      </c>
    </row>
    <row r="1393" spans="1:14" x14ac:dyDescent="0.3">
      <c r="A1393" t="s">
        <v>2249</v>
      </c>
      <c r="B1393" s="2">
        <v>45800</v>
      </c>
      <c r="C1393" t="s">
        <v>415</v>
      </c>
      <c r="D1393" t="s">
        <v>734</v>
      </c>
      <c r="E1393" t="s">
        <v>846</v>
      </c>
      <c r="F1393">
        <v>3</v>
      </c>
      <c r="G1393">
        <v>0.05</v>
      </c>
      <c r="H1393" t="s">
        <v>858</v>
      </c>
      <c r="I1393" t="str">
        <f>VLOOKUP(C1393,Customers!A:C,2,FALSE)&amp;" "&amp;VLOOKUP(C1393,Customers!A:C,3,FALSE)</f>
        <v>Dylan Booker</v>
      </c>
      <c r="J1393" t="str">
        <f>VLOOKUP(D1393,Products!A:C,2,FALSE)</f>
        <v>Recognize Footwear</v>
      </c>
      <c r="K1393" t="str">
        <f>VLOOKUP(D1393,Products!A:C,3,FALSE)</f>
        <v>Fashion</v>
      </c>
      <c r="L1393" t="str">
        <f>VLOOKUP(E1393,Stores!A:B,2,FALSE)</f>
        <v>MegaMart Johnmouth</v>
      </c>
      <c r="M1393">
        <f>VLOOKUP(D1393,Products!A:E,5,FALSE)</f>
        <v>109.78</v>
      </c>
      <c r="N1393" s="5">
        <f t="shared" si="21"/>
        <v>312.87299999999999</v>
      </c>
    </row>
    <row r="1394" spans="1:14" x14ac:dyDescent="0.3">
      <c r="A1394" t="s">
        <v>2250</v>
      </c>
      <c r="B1394" s="2">
        <v>45620</v>
      </c>
      <c r="C1394" t="s">
        <v>386</v>
      </c>
      <c r="D1394" t="s">
        <v>788</v>
      </c>
      <c r="E1394" t="s">
        <v>839</v>
      </c>
      <c r="F1394">
        <v>5</v>
      </c>
      <c r="G1394">
        <v>0.15</v>
      </c>
      <c r="H1394" t="s">
        <v>861</v>
      </c>
      <c r="I1394" t="str">
        <f>VLOOKUP(C1394,Customers!A:C,2,FALSE)&amp;" "&amp;VLOOKUP(C1394,Customers!A:C,3,FALSE)</f>
        <v>David Burns</v>
      </c>
      <c r="J1394" t="str">
        <f>VLOOKUP(D1394,Products!A:C,2,FALSE)</f>
        <v>Foot Snacks</v>
      </c>
      <c r="K1394" t="str">
        <f>VLOOKUP(D1394,Products!A:C,3,FALSE)</f>
        <v>Groceries</v>
      </c>
      <c r="L1394" t="str">
        <f>VLOOKUP(E1394,Stores!A:B,2,FALSE)</f>
        <v>MegaMart New Michele</v>
      </c>
      <c r="M1394">
        <f>VLOOKUP(D1394,Products!A:E,5,FALSE)</f>
        <v>1095.72</v>
      </c>
      <c r="N1394" s="5">
        <f t="shared" si="21"/>
        <v>4656.8100000000004</v>
      </c>
    </row>
    <row r="1395" spans="1:14" x14ac:dyDescent="0.3">
      <c r="A1395" t="s">
        <v>2251</v>
      </c>
      <c r="B1395" s="2">
        <v>45553</v>
      </c>
      <c r="C1395" t="s">
        <v>24</v>
      </c>
      <c r="D1395" t="s">
        <v>826</v>
      </c>
      <c r="E1395" t="s">
        <v>846</v>
      </c>
      <c r="F1395">
        <v>2</v>
      </c>
      <c r="G1395">
        <v>0.15</v>
      </c>
      <c r="H1395" t="s">
        <v>861</v>
      </c>
      <c r="I1395" t="str">
        <f>VLOOKUP(C1395,Customers!A:C,2,FALSE)&amp;" "&amp;VLOOKUP(C1395,Customers!A:C,3,FALSE)</f>
        <v>Jamie Salinas</v>
      </c>
      <c r="J1395" t="str">
        <f>VLOOKUP(D1395,Products!A:C,2,FALSE)</f>
        <v>Maybe Footwear</v>
      </c>
      <c r="K1395" t="str">
        <f>VLOOKUP(D1395,Products!A:C,3,FALSE)</f>
        <v>Fashion</v>
      </c>
      <c r="L1395" t="str">
        <f>VLOOKUP(E1395,Stores!A:B,2,FALSE)</f>
        <v>MegaMart Johnmouth</v>
      </c>
      <c r="M1395">
        <f>VLOOKUP(D1395,Products!A:E,5,FALSE)</f>
        <v>1044.6400000000001</v>
      </c>
      <c r="N1395" s="5">
        <f t="shared" si="21"/>
        <v>1775.8880000000001</v>
      </c>
    </row>
    <row r="1396" spans="1:14" x14ac:dyDescent="0.3">
      <c r="A1396" t="s">
        <v>2252</v>
      </c>
      <c r="B1396" s="2">
        <v>45755</v>
      </c>
      <c r="C1396" t="s">
        <v>604</v>
      </c>
      <c r="D1396" t="s">
        <v>755</v>
      </c>
      <c r="E1396" t="s">
        <v>842</v>
      </c>
      <c r="F1396">
        <v>3</v>
      </c>
      <c r="G1396">
        <v>0.15</v>
      </c>
      <c r="H1396" t="s">
        <v>865</v>
      </c>
      <c r="I1396" t="str">
        <f>VLOOKUP(C1396,Customers!A:C,2,FALSE)&amp;" "&amp;VLOOKUP(C1396,Customers!A:C,3,FALSE)</f>
        <v>Amber Graham</v>
      </c>
      <c r="J1396" t="str">
        <f>VLOOKUP(D1396,Products!A:C,2,FALSE)</f>
        <v>House Accessories</v>
      </c>
      <c r="K1396" t="str">
        <f>VLOOKUP(D1396,Products!A:C,3,FALSE)</f>
        <v>Fashion</v>
      </c>
      <c r="L1396" t="str">
        <f>VLOOKUP(E1396,Stores!A:B,2,FALSE)</f>
        <v>MegaMart Brianahaven</v>
      </c>
      <c r="M1396">
        <f>VLOOKUP(D1396,Products!A:E,5,FALSE)</f>
        <v>1858.75</v>
      </c>
      <c r="N1396" s="5">
        <f t="shared" si="21"/>
        <v>4739.8125</v>
      </c>
    </row>
    <row r="1397" spans="1:14" x14ac:dyDescent="0.3">
      <c r="A1397" t="s">
        <v>2253</v>
      </c>
      <c r="B1397" s="2">
        <v>45747</v>
      </c>
      <c r="C1397" t="s">
        <v>491</v>
      </c>
      <c r="D1397" t="s">
        <v>757</v>
      </c>
      <c r="E1397" t="s">
        <v>835</v>
      </c>
      <c r="F1397">
        <v>3</v>
      </c>
      <c r="G1397">
        <v>0.15</v>
      </c>
      <c r="H1397" t="s">
        <v>861</v>
      </c>
      <c r="I1397" t="str">
        <f>VLOOKUP(C1397,Customers!A:C,2,FALSE)&amp;" "&amp;VLOOKUP(C1397,Customers!A:C,3,FALSE)</f>
        <v>Emily Hart</v>
      </c>
      <c r="J1397" t="str">
        <f>VLOOKUP(D1397,Products!A:C,2,FALSE)</f>
        <v>Find Headphones</v>
      </c>
      <c r="K1397" t="str">
        <f>VLOOKUP(D1397,Products!A:C,3,FALSE)</f>
        <v>Electronics</v>
      </c>
      <c r="L1397" t="str">
        <f>VLOOKUP(E1397,Stores!A:B,2,FALSE)</f>
        <v>MegaMart Peckmouth</v>
      </c>
      <c r="M1397">
        <f>VLOOKUP(D1397,Products!A:E,5,FALSE)</f>
        <v>1246.1099999999999</v>
      </c>
      <c r="N1397" s="5">
        <f t="shared" si="21"/>
        <v>3177.5805</v>
      </c>
    </row>
    <row r="1398" spans="1:14" x14ac:dyDescent="0.3">
      <c r="A1398" t="s">
        <v>2254</v>
      </c>
      <c r="B1398" s="2">
        <v>45391</v>
      </c>
      <c r="C1398" t="s">
        <v>238</v>
      </c>
      <c r="D1398" t="s">
        <v>782</v>
      </c>
      <c r="E1398" t="s">
        <v>835</v>
      </c>
      <c r="F1398">
        <v>3</v>
      </c>
      <c r="G1398">
        <v>0.15</v>
      </c>
      <c r="H1398" t="s">
        <v>858</v>
      </c>
      <c r="I1398" t="str">
        <f>VLOOKUP(C1398,Customers!A:C,2,FALSE)&amp;" "&amp;VLOOKUP(C1398,Customers!A:C,3,FALSE)</f>
        <v>Susan Salinas</v>
      </c>
      <c r="J1398" t="str">
        <f>VLOOKUP(D1398,Products!A:C,2,FALSE)</f>
        <v>Deal Smartphone</v>
      </c>
      <c r="K1398" t="str">
        <f>VLOOKUP(D1398,Products!A:C,3,FALSE)</f>
        <v>Electronics</v>
      </c>
      <c r="L1398" t="str">
        <f>VLOOKUP(E1398,Stores!A:B,2,FALSE)</f>
        <v>MegaMart Peckmouth</v>
      </c>
      <c r="M1398">
        <f>VLOOKUP(D1398,Products!A:E,5,FALSE)</f>
        <v>673.78</v>
      </c>
      <c r="N1398" s="5">
        <f t="shared" si="21"/>
        <v>1718.1389999999999</v>
      </c>
    </row>
    <row r="1399" spans="1:14" x14ac:dyDescent="0.3">
      <c r="A1399" t="s">
        <v>2255</v>
      </c>
      <c r="B1399" s="2">
        <v>45685</v>
      </c>
      <c r="C1399" t="s">
        <v>310</v>
      </c>
      <c r="D1399" t="s">
        <v>764</v>
      </c>
      <c r="E1399" t="s">
        <v>831</v>
      </c>
      <c r="F1399">
        <v>2</v>
      </c>
      <c r="G1399">
        <v>0.15</v>
      </c>
      <c r="H1399" t="s">
        <v>855</v>
      </c>
      <c r="I1399" t="str">
        <f>VLOOKUP(C1399,Customers!A:C,2,FALSE)&amp;" "&amp;VLOOKUP(C1399,Customers!A:C,3,FALSE)</f>
        <v>Amy Haley</v>
      </c>
      <c r="J1399" t="str">
        <f>VLOOKUP(D1399,Products!A:C,2,FALSE)</f>
        <v>Simple Accessories</v>
      </c>
      <c r="K1399" t="str">
        <f>VLOOKUP(D1399,Products!A:C,3,FALSE)</f>
        <v>Fashion</v>
      </c>
      <c r="L1399" t="str">
        <f>VLOOKUP(E1399,Stores!A:B,2,FALSE)</f>
        <v>MegaMart Jimenezborough</v>
      </c>
      <c r="M1399">
        <f>VLOOKUP(D1399,Products!A:E,5,FALSE)</f>
        <v>323.92</v>
      </c>
      <c r="N1399" s="5">
        <f t="shared" si="21"/>
        <v>550.66399999999999</v>
      </c>
    </row>
    <row r="1400" spans="1:14" x14ac:dyDescent="0.3">
      <c r="A1400" t="s">
        <v>2256</v>
      </c>
      <c r="B1400" s="2">
        <v>45831</v>
      </c>
      <c r="C1400" t="s">
        <v>280</v>
      </c>
      <c r="D1400" t="s">
        <v>718</v>
      </c>
      <c r="E1400" t="s">
        <v>835</v>
      </c>
      <c r="F1400">
        <v>3</v>
      </c>
      <c r="G1400">
        <v>0.05</v>
      </c>
      <c r="H1400" t="s">
        <v>858</v>
      </c>
      <c r="I1400" t="str">
        <f>VLOOKUP(C1400,Customers!A:C,2,FALSE)&amp;" "&amp;VLOOKUP(C1400,Customers!A:C,3,FALSE)</f>
        <v>Jesus Singh</v>
      </c>
      <c r="J1400" t="str">
        <f>VLOOKUP(D1400,Products!A:C,2,FALSE)</f>
        <v>Here Footwear</v>
      </c>
      <c r="K1400" t="str">
        <f>VLOOKUP(D1400,Products!A:C,3,FALSE)</f>
        <v>Fashion</v>
      </c>
      <c r="L1400" t="str">
        <f>VLOOKUP(E1400,Stores!A:B,2,FALSE)</f>
        <v>MegaMart Peckmouth</v>
      </c>
      <c r="M1400">
        <f>VLOOKUP(D1400,Products!A:E,5,FALSE)</f>
        <v>337.63</v>
      </c>
      <c r="N1400" s="5">
        <f t="shared" si="21"/>
        <v>962.24549999999999</v>
      </c>
    </row>
    <row r="1401" spans="1:14" x14ac:dyDescent="0.3">
      <c r="A1401" t="s">
        <v>2257</v>
      </c>
      <c r="B1401" s="2">
        <v>45766</v>
      </c>
      <c r="C1401" t="s">
        <v>238</v>
      </c>
      <c r="D1401" t="s">
        <v>774</v>
      </c>
      <c r="E1401" t="s">
        <v>831</v>
      </c>
      <c r="F1401">
        <v>2</v>
      </c>
      <c r="G1401">
        <v>0.05</v>
      </c>
      <c r="H1401" t="s">
        <v>865</v>
      </c>
      <c r="I1401" t="str">
        <f>VLOOKUP(C1401,Customers!A:C,2,FALSE)&amp;" "&amp;VLOOKUP(C1401,Customers!A:C,3,FALSE)</f>
        <v>Susan Salinas</v>
      </c>
      <c r="J1401" t="str">
        <f>VLOOKUP(D1401,Products!A:C,2,FALSE)</f>
        <v>Him Smartphone</v>
      </c>
      <c r="K1401" t="str">
        <f>VLOOKUP(D1401,Products!A:C,3,FALSE)</f>
        <v>Electronics</v>
      </c>
      <c r="L1401" t="str">
        <f>VLOOKUP(E1401,Stores!A:B,2,FALSE)</f>
        <v>MegaMart Jimenezborough</v>
      </c>
      <c r="M1401">
        <f>VLOOKUP(D1401,Products!A:E,5,FALSE)</f>
        <v>1487.41</v>
      </c>
      <c r="N1401" s="5">
        <f t="shared" si="21"/>
        <v>2826.0790000000002</v>
      </c>
    </row>
    <row r="1402" spans="1:14" x14ac:dyDescent="0.3">
      <c r="A1402" t="s">
        <v>2258</v>
      </c>
      <c r="B1402" s="2">
        <v>45859</v>
      </c>
      <c r="C1402" t="s">
        <v>241</v>
      </c>
      <c r="D1402" t="s">
        <v>747</v>
      </c>
      <c r="E1402" t="s">
        <v>839</v>
      </c>
      <c r="F1402">
        <v>4</v>
      </c>
      <c r="G1402">
        <v>0.15</v>
      </c>
      <c r="H1402" t="s">
        <v>858</v>
      </c>
      <c r="I1402" t="str">
        <f>VLOOKUP(C1402,Customers!A:C,2,FALSE)&amp;" "&amp;VLOOKUP(C1402,Customers!A:C,3,FALSE)</f>
        <v>Michael Johnson</v>
      </c>
      <c r="J1402" t="str">
        <f>VLOOKUP(D1402,Products!A:C,2,FALSE)</f>
        <v>World Watches</v>
      </c>
      <c r="K1402" t="str">
        <f>VLOOKUP(D1402,Products!A:C,3,FALSE)</f>
        <v>Fashion</v>
      </c>
      <c r="L1402" t="str">
        <f>VLOOKUP(E1402,Stores!A:B,2,FALSE)</f>
        <v>MegaMart New Michele</v>
      </c>
      <c r="M1402">
        <f>VLOOKUP(D1402,Products!A:E,5,FALSE)</f>
        <v>1134.8</v>
      </c>
      <c r="N1402" s="5">
        <f t="shared" si="21"/>
        <v>3858.3199999999997</v>
      </c>
    </row>
    <row r="1403" spans="1:14" x14ac:dyDescent="0.3">
      <c r="A1403" t="s">
        <v>2259</v>
      </c>
      <c r="B1403" s="2">
        <v>45382</v>
      </c>
      <c r="C1403" t="s">
        <v>407</v>
      </c>
      <c r="D1403" t="s">
        <v>759</v>
      </c>
      <c r="E1403" t="s">
        <v>831</v>
      </c>
      <c r="F1403">
        <v>2</v>
      </c>
      <c r="G1403">
        <v>0.05</v>
      </c>
      <c r="H1403" t="s">
        <v>855</v>
      </c>
      <c r="I1403" t="str">
        <f>VLOOKUP(C1403,Customers!A:C,2,FALSE)&amp;" "&amp;VLOOKUP(C1403,Customers!A:C,3,FALSE)</f>
        <v>Austin Hogan</v>
      </c>
      <c r="J1403" t="str">
        <f>VLOOKUP(D1403,Products!A:C,2,FALSE)</f>
        <v>Democratic Smartphone</v>
      </c>
      <c r="K1403" t="str">
        <f>VLOOKUP(D1403,Products!A:C,3,FALSE)</f>
        <v>Electronics</v>
      </c>
      <c r="L1403" t="str">
        <f>VLOOKUP(E1403,Stores!A:B,2,FALSE)</f>
        <v>MegaMart Jimenezborough</v>
      </c>
      <c r="M1403">
        <f>VLOOKUP(D1403,Products!A:E,5,FALSE)</f>
        <v>1079.8900000000001</v>
      </c>
      <c r="N1403" s="5">
        <f t="shared" si="21"/>
        <v>2051.7910000000002</v>
      </c>
    </row>
    <row r="1404" spans="1:14" x14ac:dyDescent="0.3">
      <c r="A1404" t="s">
        <v>2260</v>
      </c>
      <c r="B1404" s="2">
        <v>45262</v>
      </c>
      <c r="C1404" t="s">
        <v>137</v>
      </c>
      <c r="D1404" t="s">
        <v>778</v>
      </c>
      <c r="E1404" t="s">
        <v>831</v>
      </c>
      <c r="F1404">
        <v>3</v>
      </c>
      <c r="G1404">
        <v>0.1</v>
      </c>
      <c r="H1404" t="s">
        <v>861</v>
      </c>
      <c r="I1404" t="str">
        <f>VLOOKUP(C1404,Customers!A:C,2,FALSE)&amp;" "&amp;VLOOKUP(C1404,Customers!A:C,3,FALSE)</f>
        <v>Kimberly King</v>
      </c>
      <c r="J1404" t="str">
        <f>VLOOKUP(D1404,Products!A:C,2,FALSE)</f>
        <v>Behavior Dairy</v>
      </c>
      <c r="K1404" t="str">
        <f>VLOOKUP(D1404,Products!A:C,3,FALSE)</f>
        <v>Groceries</v>
      </c>
      <c r="L1404" t="str">
        <f>VLOOKUP(E1404,Stores!A:B,2,FALSE)</f>
        <v>MegaMart Jimenezborough</v>
      </c>
      <c r="M1404">
        <f>VLOOKUP(D1404,Products!A:E,5,FALSE)</f>
        <v>1015.76</v>
      </c>
      <c r="N1404" s="5">
        <f t="shared" si="21"/>
        <v>2742.5519999999997</v>
      </c>
    </row>
    <row r="1405" spans="1:14" x14ac:dyDescent="0.3">
      <c r="A1405" t="s">
        <v>2261</v>
      </c>
      <c r="B1405" s="2">
        <v>45508</v>
      </c>
      <c r="C1405" t="s">
        <v>589</v>
      </c>
      <c r="D1405" t="s">
        <v>788</v>
      </c>
      <c r="E1405" t="s">
        <v>831</v>
      </c>
      <c r="F1405">
        <v>4</v>
      </c>
      <c r="G1405">
        <v>0</v>
      </c>
      <c r="H1405" t="s">
        <v>865</v>
      </c>
      <c r="I1405" t="str">
        <f>VLOOKUP(C1405,Customers!A:C,2,FALSE)&amp;" "&amp;VLOOKUP(C1405,Customers!A:C,3,FALSE)</f>
        <v>Tanya Mueller</v>
      </c>
      <c r="J1405" t="str">
        <f>VLOOKUP(D1405,Products!A:C,2,FALSE)</f>
        <v>Foot Snacks</v>
      </c>
      <c r="K1405" t="str">
        <f>VLOOKUP(D1405,Products!A:C,3,FALSE)</f>
        <v>Groceries</v>
      </c>
      <c r="L1405" t="str">
        <f>VLOOKUP(E1405,Stores!A:B,2,FALSE)</f>
        <v>MegaMart Jimenezborough</v>
      </c>
      <c r="M1405">
        <f>VLOOKUP(D1405,Products!A:E,5,FALSE)</f>
        <v>1095.72</v>
      </c>
      <c r="N1405" s="5">
        <f t="shared" si="21"/>
        <v>4382.88</v>
      </c>
    </row>
    <row r="1406" spans="1:14" x14ac:dyDescent="0.3">
      <c r="A1406" t="s">
        <v>2262</v>
      </c>
      <c r="B1406" s="2">
        <v>45705</v>
      </c>
      <c r="C1406" t="s">
        <v>89</v>
      </c>
      <c r="D1406" t="s">
        <v>822</v>
      </c>
      <c r="E1406" t="s">
        <v>839</v>
      </c>
      <c r="F1406">
        <v>5</v>
      </c>
      <c r="G1406">
        <v>0.1</v>
      </c>
      <c r="H1406" t="s">
        <v>865</v>
      </c>
      <c r="I1406" t="str">
        <f>VLOOKUP(C1406,Customers!A:C,2,FALSE)&amp;" "&amp;VLOOKUP(C1406,Customers!A:C,3,FALSE)</f>
        <v>Megan Velasquez</v>
      </c>
      <c r="J1406" t="str">
        <f>VLOOKUP(D1406,Products!A:C,2,FALSE)</f>
        <v>Nor Bags</v>
      </c>
      <c r="K1406" t="str">
        <f>VLOOKUP(D1406,Products!A:C,3,FALSE)</f>
        <v>Fashion</v>
      </c>
      <c r="L1406" t="str">
        <f>VLOOKUP(E1406,Stores!A:B,2,FALSE)</f>
        <v>MegaMart New Michele</v>
      </c>
      <c r="M1406">
        <f>VLOOKUP(D1406,Products!A:E,5,FALSE)</f>
        <v>1216.3599999999999</v>
      </c>
      <c r="N1406" s="5">
        <f t="shared" si="21"/>
        <v>5473.62</v>
      </c>
    </row>
    <row r="1407" spans="1:14" x14ac:dyDescent="0.3">
      <c r="A1407" t="s">
        <v>2263</v>
      </c>
      <c r="B1407" s="2">
        <v>45531</v>
      </c>
      <c r="C1407" t="s">
        <v>393</v>
      </c>
      <c r="D1407" t="s">
        <v>798</v>
      </c>
      <c r="E1407" t="s">
        <v>839</v>
      </c>
      <c r="F1407">
        <v>1</v>
      </c>
      <c r="G1407">
        <v>0.15</v>
      </c>
      <c r="H1407" t="s">
        <v>861</v>
      </c>
      <c r="I1407" t="str">
        <f>VLOOKUP(C1407,Customers!A:C,2,FALSE)&amp;" "&amp;VLOOKUP(C1407,Customers!A:C,3,FALSE)</f>
        <v>Kenneth Berg</v>
      </c>
      <c r="J1407" t="str">
        <f>VLOOKUP(D1407,Products!A:C,2,FALSE)</f>
        <v>New Watches</v>
      </c>
      <c r="K1407" t="str">
        <f>VLOOKUP(D1407,Products!A:C,3,FALSE)</f>
        <v>Fashion</v>
      </c>
      <c r="L1407" t="str">
        <f>VLOOKUP(E1407,Stores!A:B,2,FALSE)</f>
        <v>MegaMart New Michele</v>
      </c>
      <c r="M1407">
        <f>VLOOKUP(D1407,Products!A:E,5,FALSE)</f>
        <v>1501.46</v>
      </c>
      <c r="N1407" s="5">
        <f t="shared" si="21"/>
        <v>1276.241</v>
      </c>
    </row>
    <row r="1408" spans="1:14" x14ac:dyDescent="0.3">
      <c r="A1408" t="s">
        <v>2264</v>
      </c>
      <c r="B1408" s="2">
        <v>45574</v>
      </c>
      <c r="C1408" t="s">
        <v>234</v>
      </c>
      <c r="D1408" t="s">
        <v>761</v>
      </c>
      <c r="E1408" t="s">
        <v>831</v>
      </c>
      <c r="F1408">
        <v>5</v>
      </c>
      <c r="G1408">
        <v>0</v>
      </c>
      <c r="H1408" t="s">
        <v>855</v>
      </c>
      <c r="I1408" t="str">
        <f>VLOOKUP(C1408,Customers!A:C,2,FALSE)&amp;" "&amp;VLOOKUP(C1408,Customers!A:C,3,FALSE)</f>
        <v>Heather Russell</v>
      </c>
      <c r="J1408" t="str">
        <f>VLOOKUP(D1408,Products!A:C,2,FALSE)</f>
        <v>Traditional Laptop</v>
      </c>
      <c r="K1408" t="str">
        <f>VLOOKUP(D1408,Products!A:C,3,FALSE)</f>
        <v>Electronics</v>
      </c>
      <c r="L1408" t="str">
        <f>VLOOKUP(E1408,Stores!A:B,2,FALSE)</f>
        <v>MegaMart Jimenezborough</v>
      </c>
      <c r="M1408">
        <f>VLOOKUP(D1408,Products!A:E,5,FALSE)</f>
        <v>1762.92</v>
      </c>
      <c r="N1408" s="5">
        <f t="shared" si="21"/>
        <v>8814.6</v>
      </c>
    </row>
    <row r="1409" spans="1:14" x14ac:dyDescent="0.3">
      <c r="A1409" t="s">
        <v>2265</v>
      </c>
      <c r="B1409" s="2">
        <v>45560</v>
      </c>
      <c r="C1409" t="s">
        <v>469</v>
      </c>
      <c r="D1409" t="s">
        <v>784</v>
      </c>
      <c r="E1409" t="s">
        <v>831</v>
      </c>
      <c r="F1409">
        <v>2</v>
      </c>
      <c r="G1409">
        <v>0</v>
      </c>
      <c r="H1409" t="s">
        <v>855</v>
      </c>
      <c r="I1409" t="str">
        <f>VLOOKUP(C1409,Customers!A:C,2,FALSE)&amp;" "&amp;VLOOKUP(C1409,Customers!A:C,3,FALSE)</f>
        <v>Robert Collins</v>
      </c>
      <c r="J1409" t="str">
        <f>VLOOKUP(D1409,Products!A:C,2,FALSE)</f>
        <v>Road Clothing</v>
      </c>
      <c r="K1409" t="str">
        <f>VLOOKUP(D1409,Products!A:C,3,FALSE)</f>
        <v>Fashion</v>
      </c>
      <c r="L1409" t="str">
        <f>VLOOKUP(E1409,Stores!A:B,2,FALSE)</f>
        <v>MegaMart Jimenezborough</v>
      </c>
      <c r="M1409">
        <f>VLOOKUP(D1409,Products!A:E,5,FALSE)</f>
        <v>1485.05</v>
      </c>
      <c r="N1409" s="5">
        <f t="shared" si="21"/>
        <v>2970.1</v>
      </c>
    </row>
    <row r="1410" spans="1:14" x14ac:dyDescent="0.3">
      <c r="A1410" t="s">
        <v>2266</v>
      </c>
      <c r="B1410" s="2">
        <v>45894</v>
      </c>
      <c r="C1410" t="s">
        <v>320</v>
      </c>
      <c r="D1410" t="s">
        <v>711</v>
      </c>
      <c r="E1410" t="s">
        <v>846</v>
      </c>
      <c r="F1410">
        <v>4</v>
      </c>
      <c r="G1410">
        <v>0.05</v>
      </c>
      <c r="H1410" t="s">
        <v>858</v>
      </c>
      <c r="I1410" t="str">
        <f>VLOOKUP(C1410,Customers!A:C,2,FALSE)&amp;" "&amp;VLOOKUP(C1410,Customers!A:C,3,FALSE)</f>
        <v>Juan Ramirez</v>
      </c>
      <c r="J1410" t="str">
        <f>VLOOKUP(D1410,Products!A:C,2,FALSE)</f>
        <v>Like Camera</v>
      </c>
      <c r="K1410" t="str">
        <f>VLOOKUP(D1410,Products!A:C,3,FALSE)</f>
        <v>Electronics</v>
      </c>
      <c r="L1410" t="str">
        <f>VLOOKUP(E1410,Stores!A:B,2,FALSE)</f>
        <v>MegaMart Johnmouth</v>
      </c>
      <c r="M1410">
        <f>VLOOKUP(D1410,Products!A:E,5,FALSE)</f>
        <v>1673.69</v>
      </c>
      <c r="N1410" s="5">
        <f t="shared" si="21"/>
        <v>6360.0219999999999</v>
      </c>
    </row>
    <row r="1411" spans="1:14" x14ac:dyDescent="0.3">
      <c r="A1411" t="s">
        <v>2267</v>
      </c>
      <c r="B1411" s="2">
        <v>45798</v>
      </c>
      <c r="C1411" t="s">
        <v>217</v>
      </c>
      <c r="D1411" t="s">
        <v>778</v>
      </c>
      <c r="E1411" t="s">
        <v>835</v>
      </c>
      <c r="F1411">
        <v>1</v>
      </c>
      <c r="G1411">
        <v>0.05</v>
      </c>
      <c r="H1411" t="s">
        <v>861</v>
      </c>
      <c r="I1411" t="str">
        <f>VLOOKUP(C1411,Customers!A:C,2,FALSE)&amp;" "&amp;VLOOKUP(C1411,Customers!A:C,3,FALSE)</f>
        <v>Carl Wyatt</v>
      </c>
      <c r="J1411" t="str">
        <f>VLOOKUP(D1411,Products!A:C,2,FALSE)</f>
        <v>Behavior Dairy</v>
      </c>
      <c r="K1411" t="str">
        <f>VLOOKUP(D1411,Products!A:C,3,FALSE)</f>
        <v>Groceries</v>
      </c>
      <c r="L1411" t="str">
        <f>VLOOKUP(E1411,Stores!A:B,2,FALSE)</f>
        <v>MegaMart Peckmouth</v>
      </c>
      <c r="M1411">
        <f>VLOOKUP(D1411,Products!A:E,5,FALSE)</f>
        <v>1015.76</v>
      </c>
      <c r="N1411" s="5">
        <f t="shared" ref="N1411:N1474" si="22">F1411*M1411*(1-G1411)</f>
        <v>964.97199999999998</v>
      </c>
    </row>
    <row r="1412" spans="1:14" x14ac:dyDescent="0.3">
      <c r="A1412" t="s">
        <v>2268</v>
      </c>
      <c r="B1412" s="2">
        <v>45330</v>
      </c>
      <c r="C1412" t="s">
        <v>270</v>
      </c>
      <c r="D1412" t="s">
        <v>734</v>
      </c>
      <c r="E1412" t="s">
        <v>842</v>
      </c>
      <c r="F1412">
        <v>4</v>
      </c>
      <c r="G1412">
        <v>0.1</v>
      </c>
      <c r="H1412" t="s">
        <v>865</v>
      </c>
      <c r="I1412" t="str">
        <f>VLOOKUP(C1412,Customers!A:C,2,FALSE)&amp;" "&amp;VLOOKUP(C1412,Customers!A:C,3,FALSE)</f>
        <v>Denise Gutierrez</v>
      </c>
      <c r="J1412" t="str">
        <f>VLOOKUP(D1412,Products!A:C,2,FALSE)</f>
        <v>Recognize Footwear</v>
      </c>
      <c r="K1412" t="str">
        <f>VLOOKUP(D1412,Products!A:C,3,FALSE)</f>
        <v>Fashion</v>
      </c>
      <c r="L1412" t="str">
        <f>VLOOKUP(E1412,Stores!A:B,2,FALSE)</f>
        <v>MegaMart Brianahaven</v>
      </c>
      <c r="M1412">
        <f>VLOOKUP(D1412,Products!A:E,5,FALSE)</f>
        <v>109.78</v>
      </c>
      <c r="N1412" s="5">
        <f t="shared" si="22"/>
        <v>395.20800000000003</v>
      </c>
    </row>
    <row r="1413" spans="1:14" x14ac:dyDescent="0.3">
      <c r="A1413" t="s">
        <v>2269</v>
      </c>
      <c r="B1413" s="2">
        <v>45278</v>
      </c>
      <c r="C1413" t="s">
        <v>464</v>
      </c>
      <c r="D1413" t="s">
        <v>812</v>
      </c>
      <c r="E1413" t="s">
        <v>846</v>
      </c>
      <c r="F1413">
        <v>3</v>
      </c>
      <c r="G1413">
        <v>0</v>
      </c>
      <c r="H1413" t="s">
        <v>855</v>
      </c>
      <c r="I1413" t="str">
        <f>VLOOKUP(C1413,Customers!A:C,2,FALSE)&amp;" "&amp;VLOOKUP(C1413,Customers!A:C,3,FALSE)</f>
        <v>Monique Johnson</v>
      </c>
      <c r="J1413" t="str">
        <f>VLOOKUP(D1413,Products!A:C,2,FALSE)</f>
        <v>Soon Accessories</v>
      </c>
      <c r="K1413" t="str">
        <f>VLOOKUP(D1413,Products!A:C,3,FALSE)</f>
        <v>Fashion</v>
      </c>
      <c r="L1413" t="str">
        <f>VLOOKUP(E1413,Stores!A:B,2,FALSE)</f>
        <v>MegaMart Johnmouth</v>
      </c>
      <c r="M1413">
        <f>VLOOKUP(D1413,Products!A:E,5,FALSE)</f>
        <v>564.41999999999996</v>
      </c>
      <c r="N1413" s="5">
        <f t="shared" si="22"/>
        <v>1693.2599999999998</v>
      </c>
    </row>
    <row r="1414" spans="1:14" x14ac:dyDescent="0.3">
      <c r="A1414" t="s">
        <v>2270</v>
      </c>
      <c r="B1414" s="2">
        <v>45449</v>
      </c>
      <c r="C1414" t="s">
        <v>509</v>
      </c>
      <c r="D1414" t="s">
        <v>725</v>
      </c>
      <c r="E1414" t="s">
        <v>842</v>
      </c>
      <c r="F1414">
        <v>4</v>
      </c>
      <c r="G1414">
        <v>0.05</v>
      </c>
      <c r="H1414" t="s">
        <v>855</v>
      </c>
      <c r="I1414" t="str">
        <f>VLOOKUP(C1414,Customers!A:C,2,FALSE)&amp;" "&amp;VLOOKUP(C1414,Customers!A:C,3,FALSE)</f>
        <v>Stacy Williams</v>
      </c>
      <c r="J1414" t="str">
        <f>VLOOKUP(D1414,Products!A:C,2,FALSE)</f>
        <v>Knowledge Bags</v>
      </c>
      <c r="K1414" t="str">
        <f>VLOOKUP(D1414,Products!A:C,3,FALSE)</f>
        <v>Fashion</v>
      </c>
      <c r="L1414" t="str">
        <f>VLOOKUP(E1414,Stores!A:B,2,FALSE)</f>
        <v>MegaMart Brianahaven</v>
      </c>
      <c r="M1414">
        <f>VLOOKUP(D1414,Products!A:E,5,FALSE)</f>
        <v>1396.22</v>
      </c>
      <c r="N1414" s="5">
        <f t="shared" si="22"/>
        <v>5305.6359999999995</v>
      </c>
    </row>
    <row r="1415" spans="1:14" x14ac:dyDescent="0.3">
      <c r="A1415" t="s">
        <v>2271</v>
      </c>
      <c r="B1415" s="2">
        <v>45516</v>
      </c>
      <c r="C1415" t="s">
        <v>148</v>
      </c>
      <c r="D1415" t="s">
        <v>826</v>
      </c>
      <c r="E1415" t="s">
        <v>839</v>
      </c>
      <c r="F1415">
        <v>4</v>
      </c>
      <c r="G1415">
        <v>0.1</v>
      </c>
      <c r="H1415" t="s">
        <v>855</v>
      </c>
      <c r="I1415" t="str">
        <f>VLOOKUP(C1415,Customers!A:C,2,FALSE)&amp;" "&amp;VLOOKUP(C1415,Customers!A:C,3,FALSE)</f>
        <v>Tracey Davis</v>
      </c>
      <c r="J1415" t="str">
        <f>VLOOKUP(D1415,Products!A:C,2,FALSE)</f>
        <v>Maybe Footwear</v>
      </c>
      <c r="K1415" t="str">
        <f>VLOOKUP(D1415,Products!A:C,3,FALSE)</f>
        <v>Fashion</v>
      </c>
      <c r="L1415" t="str">
        <f>VLOOKUP(E1415,Stores!A:B,2,FALSE)</f>
        <v>MegaMart New Michele</v>
      </c>
      <c r="M1415">
        <f>VLOOKUP(D1415,Products!A:E,5,FALSE)</f>
        <v>1044.6400000000001</v>
      </c>
      <c r="N1415" s="5">
        <f t="shared" si="22"/>
        <v>3760.7040000000006</v>
      </c>
    </row>
    <row r="1416" spans="1:14" x14ac:dyDescent="0.3">
      <c r="A1416" t="s">
        <v>2272</v>
      </c>
      <c r="B1416" s="2">
        <v>45403</v>
      </c>
      <c r="C1416" t="s">
        <v>28</v>
      </c>
      <c r="D1416" t="s">
        <v>826</v>
      </c>
      <c r="E1416" t="s">
        <v>846</v>
      </c>
      <c r="F1416">
        <v>1</v>
      </c>
      <c r="G1416">
        <v>0</v>
      </c>
      <c r="H1416" t="s">
        <v>861</v>
      </c>
      <c r="I1416" t="str">
        <f>VLOOKUP(C1416,Customers!A:C,2,FALSE)&amp;" "&amp;VLOOKUP(C1416,Customers!A:C,3,FALSE)</f>
        <v>Danny Moore</v>
      </c>
      <c r="J1416" t="str">
        <f>VLOOKUP(D1416,Products!A:C,2,FALSE)</f>
        <v>Maybe Footwear</v>
      </c>
      <c r="K1416" t="str">
        <f>VLOOKUP(D1416,Products!A:C,3,FALSE)</f>
        <v>Fashion</v>
      </c>
      <c r="L1416" t="str">
        <f>VLOOKUP(E1416,Stores!A:B,2,FALSE)</f>
        <v>MegaMart Johnmouth</v>
      </c>
      <c r="M1416">
        <f>VLOOKUP(D1416,Products!A:E,5,FALSE)</f>
        <v>1044.6400000000001</v>
      </c>
      <c r="N1416" s="5">
        <f t="shared" si="22"/>
        <v>1044.6400000000001</v>
      </c>
    </row>
    <row r="1417" spans="1:14" x14ac:dyDescent="0.3">
      <c r="A1417" t="s">
        <v>2273</v>
      </c>
      <c r="B1417" s="2">
        <v>45719</v>
      </c>
      <c r="C1417" t="s">
        <v>247</v>
      </c>
      <c r="D1417" t="s">
        <v>778</v>
      </c>
      <c r="E1417" t="s">
        <v>846</v>
      </c>
      <c r="F1417">
        <v>4</v>
      </c>
      <c r="G1417">
        <v>0.1</v>
      </c>
      <c r="H1417" t="s">
        <v>855</v>
      </c>
      <c r="I1417" t="str">
        <f>VLOOKUP(C1417,Customers!A:C,2,FALSE)&amp;" "&amp;VLOOKUP(C1417,Customers!A:C,3,FALSE)</f>
        <v>Scott Duke</v>
      </c>
      <c r="J1417" t="str">
        <f>VLOOKUP(D1417,Products!A:C,2,FALSE)</f>
        <v>Behavior Dairy</v>
      </c>
      <c r="K1417" t="str">
        <f>VLOOKUP(D1417,Products!A:C,3,FALSE)</f>
        <v>Groceries</v>
      </c>
      <c r="L1417" t="str">
        <f>VLOOKUP(E1417,Stores!A:B,2,FALSE)</f>
        <v>MegaMart Johnmouth</v>
      </c>
      <c r="M1417">
        <f>VLOOKUP(D1417,Products!A:E,5,FALSE)</f>
        <v>1015.76</v>
      </c>
      <c r="N1417" s="5">
        <f t="shared" si="22"/>
        <v>3656.7359999999999</v>
      </c>
    </row>
    <row r="1418" spans="1:14" x14ac:dyDescent="0.3">
      <c r="A1418" t="s">
        <v>2274</v>
      </c>
      <c r="B1418" s="2">
        <v>45804</v>
      </c>
      <c r="C1418" t="s">
        <v>625</v>
      </c>
      <c r="D1418" t="s">
        <v>826</v>
      </c>
      <c r="E1418" t="s">
        <v>831</v>
      </c>
      <c r="F1418">
        <v>5</v>
      </c>
      <c r="G1418">
        <v>0.05</v>
      </c>
      <c r="H1418" t="s">
        <v>858</v>
      </c>
      <c r="I1418" t="str">
        <f>VLOOKUP(C1418,Customers!A:C,2,FALSE)&amp;" "&amp;VLOOKUP(C1418,Customers!A:C,3,FALSE)</f>
        <v>Peter Garcia</v>
      </c>
      <c r="J1418" t="str">
        <f>VLOOKUP(D1418,Products!A:C,2,FALSE)</f>
        <v>Maybe Footwear</v>
      </c>
      <c r="K1418" t="str">
        <f>VLOOKUP(D1418,Products!A:C,3,FALSE)</f>
        <v>Fashion</v>
      </c>
      <c r="L1418" t="str">
        <f>VLOOKUP(E1418,Stores!A:B,2,FALSE)</f>
        <v>MegaMart Jimenezborough</v>
      </c>
      <c r="M1418">
        <f>VLOOKUP(D1418,Products!A:E,5,FALSE)</f>
        <v>1044.6400000000001</v>
      </c>
      <c r="N1418" s="5">
        <f t="shared" si="22"/>
        <v>4962.0400000000009</v>
      </c>
    </row>
    <row r="1419" spans="1:14" x14ac:dyDescent="0.3">
      <c r="A1419" t="s">
        <v>2275</v>
      </c>
      <c r="B1419" s="2">
        <v>45425</v>
      </c>
      <c r="C1419" t="s">
        <v>375</v>
      </c>
      <c r="D1419" t="s">
        <v>725</v>
      </c>
      <c r="E1419" t="s">
        <v>831</v>
      </c>
      <c r="F1419">
        <v>4</v>
      </c>
      <c r="G1419">
        <v>0.1</v>
      </c>
      <c r="H1419" t="s">
        <v>855</v>
      </c>
      <c r="I1419" t="str">
        <f>VLOOKUP(C1419,Customers!A:C,2,FALSE)&amp;" "&amp;VLOOKUP(C1419,Customers!A:C,3,FALSE)</f>
        <v>Sean Hart</v>
      </c>
      <c r="J1419" t="str">
        <f>VLOOKUP(D1419,Products!A:C,2,FALSE)</f>
        <v>Knowledge Bags</v>
      </c>
      <c r="K1419" t="str">
        <f>VLOOKUP(D1419,Products!A:C,3,FALSE)</f>
        <v>Fashion</v>
      </c>
      <c r="L1419" t="str">
        <f>VLOOKUP(E1419,Stores!A:B,2,FALSE)</f>
        <v>MegaMart Jimenezborough</v>
      </c>
      <c r="M1419">
        <f>VLOOKUP(D1419,Products!A:E,5,FALSE)</f>
        <v>1396.22</v>
      </c>
      <c r="N1419" s="5">
        <f t="shared" si="22"/>
        <v>5026.3919999999998</v>
      </c>
    </row>
    <row r="1420" spans="1:14" x14ac:dyDescent="0.3">
      <c r="A1420" t="s">
        <v>2276</v>
      </c>
      <c r="B1420" s="2">
        <v>45559</v>
      </c>
      <c r="C1420" t="s">
        <v>97</v>
      </c>
      <c r="D1420" t="s">
        <v>794</v>
      </c>
      <c r="E1420" t="s">
        <v>835</v>
      </c>
      <c r="F1420">
        <v>3</v>
      </c>
      <c r="G1420">
        <v>0.05</v>
      </c>
      <c r="H1420" t="s">
        <v>861</v>
      </c>
      <c r="I1420" t="str">
        <f>VLOOKUP(C1420,Customers!A:C,2,FALSE)&amp;" "&amp;VLOOKUP(C1420,Customers!A:C,3,FALSE)</f>
        <v>Molly Murray</v>
      </c>
      <c r="J1420" t="str">
        <f>VLOOKUP(D1420,Products!A:C,2,FALSE)</f>
        <v>Everything Laptop</v>
      </c>
      <c r="K1420" t="str">
        <f>VLOOKUP(D1420,Products!A:C,3,FALSE)</f>
        <v>Electronics</v>
      </c>
      <c r="L1420" t="str">
        <f>VLOOKUP(E1420,Stores!A:B,2,FALSE)</f>
        <v>MegaMart Peckmouth</v>
      </c>
      <c r="M1420">
        <f>VLOOKUP(D1420,Products!A:E,5,FALSE)</f>
        <v>428.05</v>
      </c>
      <c r="N1420" s="5">
        <f t="shared" si="22"/>
        <v>1219.9425000000001</v>
      </c>
    </row>
    <row r="1421" spans="1:14" x14ac:dyDescent="0.3">
      <c r="A1421" t="s">
        <v>2277</v>
      </c>
      <c r="B1421" s="2">
        <v>45379</v>
      </c>
      <c r="C1421" t="s">
        <v>422</v>
      </c>
      <c r="D1421" t="s">
        <v>778</v>
      </c>
      <c r="E1421" t="s">
        <v>839</v>
      </c>
      <c r="F1421">
        <v>4</v>
      </c>
      <c r="G1421">
        <v>0</v>
      </c>
      <c r="H1421" t="s">
        <v>855</v>
      </c>
      <c r="I1421" t="str">
        <f>VLOOKUP(C1421,Customers!A:C,2,FALSE)&amp;" "&amp;VLOOKUP(C1421,Customers!A:C,3,FALSE)</f>
        <v>Heidi Wilson</v>
      </c>
      <c r="J1421" t="str">
        <f>VLOOKUP(D1421,Products!A:C,2,FALSE)</f>
        <v>Behavior Dairy</v>
      </c>
      <c r="K1421" t="str">
        <f>VLOOKUP(D1421,Products!A:C,3,FALSE)</f>
        <v>Groceries</v>
      </c>
      <c r="L1421" t="str">
        <f>VLOOKUP(E1421,Stores!A:B,2,FALSE)</f>
        <v>MegaMart New Michele</v>
      </c>
      <c r="M1421">
        <f>VLOOKUP(D1421,Products!A:E,5,FALSE)</f>
        <v>1015.76</v>
      </c>
      <c r="N1421" s="5">
        <f t="shared" si="22"/>
        <v>4063.04</v>
      </c>
    </row>
    <row r="1422" spans="1:14" x14ac:dyDescent="0.3">
      <c r="A1422" t="s">
        <v>2278</v>
      </c>
      <c r="B1422" s="2">
        <v>45474</v>
      </c>
      <c r="C1422" t="s">
        <v>85</v>
      </c>
      <c r="D1422" t="s">
        <v>715</v>
      </c>
      <c r="E1422" t="s">
        <v>842</v>
      </c>
      <c r="F1422">
        <v>4</v>
      </c>
      <c r="G1422">
        <v>0.15</v>
      </c>
      <c r="H1422" t="s">
        <v>855</v>
      </c>
      <c r="I1422" t="str">
        <f>VLOOKUP(C1422,Customers!A:C,2,FALSE)&amp;" "&amp;VLOOKUP(C1422,Customers!A:C,3,FALSE)</f>
        <v>Debbie Martin</v>
      </c>
      <c r="J1422" t="str">
        <f>VLOOKUP(D1422,Products!A:C,2,FALSE)</f>
        <v>Audience Television</v>
      </c>
      <c r="K1422" t="str">
        <f>VLOOKUP(D1422,Products!A:C,3,FALSE)</f>
        <v>Electronics</v>
      </c>
      <c r="L1422" t="str">
        <f>VLOOKUP(E1422,Stores!A:B,2,FALSE)</f>
        <v>MegaMart Brianahaven</v>
      </c>
      <c r="M1422">
        <f>VLOOKUP(D1422,Products!A:E,5,FALSE)</f>
        <v>818.76</v>
      </c>
      <c r="N1422" s="5">
        <f t="shared" si="22"/>
        <v>2783.7840000000001</v>
      </c>
    </row>
    <row r="1423" spans="1:14" x14ac:dyDescent="0.3">
      <c r="A1423" t="s">
        <v>2279</v>
      </c>
      <c r="B1423" s="2">
        <v>45179</v>
      </c>
      <c r="C1423" t="s">
        <v>650</v>
      </c>
      <c r="D1423" t="s">
        <v>755</v>
      </c>
      <c r="E1423" t="s">
        <v>842</v>
      </c>
      <c r="F1423">
        <v>1</v>
      </c>
      <c r="G1423">
        <v>0.05</v>
      </c>
      <c r="H1423" t="s">
        <v>855</v>
      </c>
      <c r="I1423" t="str">
        <f>VLOOKUP(C1423,Customers!A:C,2,FALSE)&amp;" "&amp;VLOOKUP(C1423,Customers!A:C,3,FALSE)</f>
        <v>Daniel Mcintyre</v>
      </c>
      <c r="J1423" t="str">
        <f>VLOOKUP(D1423,Products!A:C,2,FALSE)</f>
        <v>House Accessories</v>
      </c>
      <c r="K1423" t="str">
        <f>VLOOKUP(D1423,Products!A:C,3,FALSE)</f>
        <v>Fashion</v>
      </c>
      <c r="L1423" t="str">
        <f>VLOOKUP(E1423,Stores!A:B,2,FALSE)</f>
        <v>MegaMart Brianahaven</v>
      </c>
      <c r="M1423">
        <f>VLOOKUP(D1423,Products!A:E,5,FALSE)</f>
        <v>1858.75</v>
      </c>
      <c r="N1423" s="5">
        <f t="shared" si="22"/>
        <v>1765.8125</v>
      </c>
    </row>
    <row r="1424" spans="1:14" x14ac:dyDescent="0.3">
      <c r="A1424" t="s">
        <v>2280</v>
      </c>
      <c r="B1424" s="2">
        <v>45788</v>
      </c>
      <c r="C1424" t="s">
        <v>476</v>
      </c>
      <c r="D1424" t="s">
        <v>804</v>
      </c>
      <c r="E1424" t="s">
        <v>831</v>
      </c>
      <c r="F1424">
        <v>3</v>
      </c>
      <c r="G1424">
        <v>0.15</v>
      </c>
      <c r="H1424" t="s">
        <v>855</v>
      </c>
      <c r="I1424" t="str">
        <f>VLOOKUP(C1424,Customers!A:C,2,FALSE)&amp;" "&amp;VLOOKUP(C1424,Customers!A:C,3,FALSE)</f>
        <v>Aaron Bailey</v>
      </c>
      <c r="J1424" t="str">
        <f>VLOOKUP(D1424,Products!A:C,2,FALSE)</f>
        <v>Church Clothing</v>
      </c>
      <c r="K1424" t="str">
        <f>VLOOKUP(D1424,Products!A:C,3,FALSE)</f>
        <v>Fashion</v>
      </c>
      <c r="L1424" t="str">
        <f>VLOOKUP(E1424,Stores!A:B,2,FALSE)</f>
        <v>MegaMart Jimenezborough</v>
      </c>
      <c r="M1424">
        <f>VLOOKUP(D1424,Products!A:E,5,FALSE)</f>
        <v>540.94000000000005</v>
      </c>
      <c r="N1424" s="5">
        <f t="shared" si="22"/>
        <v>1379.3970000000002</v>
      </c>
    </row>
    <row r="1425" spans="1:14" x14ac:dyDescent="0.3">
      <c r="A1425" t="s">
        <v>2281</v>
      </c>
      <c r="B1425" s="2">
        <v>45448</v>
      </c>
      <c r="C1425" t="s">
        <v>435</v>
      </c>
      <c r="D1425" t="s">
        <v>802</v>
      </c>
      <c r="E1425" t="s">
        <v>831</v>
      </c>
      <c r="F1425">
        <v>1</v>
      </c>
      <c r="G1425">
        <v>0.05</v>
      </c>
      <c r="H1425" t="s">
        <v>858</v>
      </c>
      <c r="I1425" t="str">
        <f>VLOOKUP(C1425,Customers!A:C,2,FALSE)&amp;" "&amp;VLOOKUP(C1425,Customers!A:C,3,FALSE)</f>
        <v>Timothy Beck</v>
      </c>
      <c r="J1425" t="str">
        <f>VLOOKUP(D1425,Products!A:C,2,FALSE)</f>
        <v>Stage Footwear</v>
      </c>
      <c r="K1425" t="str">
        <f>VLOOKUP(D1425,Products!A:C,3,FALSE)</f>
        <v>Fashion</v>
      </c>
      <c r="L1425" t="str">
        <f>VLOOKUP(E1425,Stores!A:B,2,FALSE)</f>
        <v>MegaMart Jimenezborough</v>
      </c>
      <c r="M1425">
        <f>VLOOKUP(D1425,Products!A:E,5,FALSE)</f>
        <v>366.93</v>
      </c>
      <c r="N1425" s="5">
        <f t="shared" si="22"/>
        <v>348.58350000000002</v>
      </c>
    </row>
    <row r="1426" spans="1:14" x14ac:dyDescent="0.3">
      <c r="A1426" t="s">
        <v>2282</v>
      </c>
      <c r="B1426" s="2">
        <v>45390</v>
      </c>
      <c r="C1426" t="s">
        <v>589</v>
      </c>
      <c r="D1426" t="s">
        <v>788</v>
      </c>
      <c r="E1426" t="s">
        <v>835</v>
      </c>
      <c r="F1426">
        <v>1</v>
      </c>
      <c r="G1426">
        <v>0.15</v>
      </c>
      <c r="H1426" t="s">
        <v>861</v>
      </c>
      <c r="I1426" t="str">
        <f>VLOOKUP(C1426,Customers!A:C,2,FALSE)&amp;" "&amp;VLOOKUP(C1426,Customers!A:C,3,FALSE)</f>
        <v>Tanya Mueller</v>
      </c>
      <c r="J1426" t="str">
        <f>VLOOKUP(D1426,Products!A:C,2,FALSE)</f>
        <v>Foot Snacks</v>
      </c>
      <c r="K1426" t="str">
        <f>VLOOKUP(D1426,Products!A:C,3,FALSE)</f>
        <v>Groceries</v>
      </c>
      <c r="L1426" t="str">
        <f>VLOOKUP(E1426,Stores!A:B,2,FALSE)</f>
        <v>MegaMart Peckmouth</v>
      </c>
      <c r="M1426">
        <f>VLOOKUP(D1426,Products!A:E,5,FALSE)</f>
        <v>1095.72</v>
      </c>
      <c r="N1426" s="5">
        <f t="shared" si="22"/>
        <v>931.36199999999997</v>
      </c>
    </row>
    <row r="1427" spans="1:14" x14ac:dyDescent="0.3">
      <c r="A1427" t="s">
        <v>2283</v>
      </c>
      <c r="B1427" s="2">
        <v>45236</v>
      </c>
      <c r="C1427" t="s">
        <v>577</v>
      </c>
      <c r="D1427" t="s">
        <v>772</v>
      </c>
      <c r="E1427" t="s">
        <v>839</v>
      </c>
      <c r="F1427">
        <v>3</v>
      </c>
      <c r="G1427">
        <v>0</v>
      </c>
      <c r="H1427" t="s">
        <v>865</v>
      </c>
      <c r="I1427" t="str">
        <f>VLOOKUP(C1427,Customers!A:C,2,FALSE)&amp;" "&amp;VLOOKUP(C1427,Customers!A:C,3,FALSE)</f>
        <v>Michael Perez</v>
      </c>
      <c r="J1427" t="str">
        <f>VLOOKUP(D1427,Products!A:C,2,FALSE)</f>
        <v>And Footwear</v>
      </c>
      <c r="K1427" t="str">
        <f>VLOOKUP(D1427,Products!A:C,3,FALSE)</f>
        <v>Fashion</v>
      </c>
      <c r="L1427" t="str">
        <f>VLOOKUP(E1427,Stores!A:B,2,FALSE)</f>
        <v>MegaMart New Michele</v>
      </c>
      <c r="M1427">
        <f>VLOOKUP(D1427,Products!A:E,5,FALSE)</f>
        <v>1878.47</v>
      </c>
      <c r="N1427" s="5">
        <f t="shared" si="22"/>
        <v>5635.41</v>
      </c>
    </row>
    <row r="1428" spans="1:14" x14ac:dyDescent="0.3">
      <c r="A1428" t="s">
        <v>2284</v>
      </c>
      <c r="B1428" s="2">
        <v>45752</v>
      </c>
      <c r="C1428" t="s">
        <v>159</v>
      </c>
      <c r="D1428" t="s">
        <v>772</v>
      </c>
      <c r="E1428" t="s">
        <v>835</v>
      </c>
      <c r="F1428">
        <v>5</v>
      </c>
      <c r="G1428">
        <v>0.05</v>
      </c>
      <c r="H1428" t="s">
        <v>858</v>
      </c>
      <c r="I1428" t="str">
        <f>VLOOKUP(C1428,Customers!A:C,2,FALSE)&amp;" "&amp;VLOOKUP(C1428,Customers!A:C,3,FALSE)</f>
        <v>Melissa Rodgers</v>
      </c>
      <c r="J1428" t="str">
        <f>VLOOKUP(D1428,Products!A:C,2,FALSE)</f>
        <v>And Footwear</v>
      </c>
      <c r="K1428" t="str">
        <f>VLOOKUP(D1428,Products!A:C,3,FALSE)</f>
        <v>Fashion</v>
      </c>
      <c r="L1428" t="str">
        <f>VLOOKUP(E1428,Stores!A:B,2,FALSE)</f>
        <v>MegaMart Peckmouth</v>
      </c>
      <c r="M1428">
        <f>VLOOKUP(D1428,Products!A:E,5,FALSE)</f>
        <v>1878.47</v>
      </c>
      <c r="N1428" s="5">
        <f t="shared" si="22"/>
        <v>8922.7325000000001</v>
      </c>
    </row>
    <row r="1429" spans="1:14" x14ac:dyDescent="0.3">
      <c r="A1429" t="s">
        <v>2285</v>
      </c>
      <c r="B1429" s="2">
        <v>45358</v>
      </c>
      <c r="C1429" t="s">
        <v>310</v>
      </c>
      <c r="D1429" t="s">
        <v>804</v>
      </c>
      <c r="E1429" t="s">
        <v>842</v>
      </c>
      <c r="F1429">
        <v>4</v>
      </c>
      <c r="G1429">
        <v>0.05</v>
      </c>
      <c r="H1429" t="s">
        <v>855</v>
      </c>
      <c r="I1429" t="str">
        <f>VLOOKUP(C1429,Customers!A:C,2,FALSE)&amp;" "&amp;VLOOKUP(C1429,Customers!A:C,3,FALSE)</f>
        <v>Amy Haley</v>
      </c>
      <c r="J1429" t="str">
        <f>VLOOKUP(D1429,Products!A:C,2,FALSE)</f>
        <v>Church Clothing</v>
      </c>
      <c r="K1429" t="str">
        <f>VLOOKUP(D1429,Products!A:C,3,FALSE)</f>
        <v>Fashion</v>
      </c>
      <c r="L1429" t="str">
        <f>VLOOKUP(E1429,Stores!A:B,2,FALSE)</f>
        <v>MegaMart Brianahaven</v>
      </c>
      <c r="M1429">
        <f>VLOOKUP(D1429,Products!A:E,5,FALSE)</f>
        <v>540.94000000000005</v>
      </c>
      <c r="N1429" s="5">
        <f t="shared" si="22"/>
        <v>2055.5720000000001</v>
      </c>
    </row>
    <row r="1430" spans="1:14" x14ac:dyDescent="0.3">
      <c r="A1430" t="s">
        <v>2286</v>
      </c>
      <c r="B1430" s="2">
        <v>45429</v>
      </c>
      <c r="C1430" t="s">
        <v>175</v>
      </c>
      <c r="D1430" t="s">
        <v>786</v>
      </c>
      <c r="E1430" t="s">
        <v>846</v>
      </c>
      <c r="F1430">
        <v>3</v>
      </c>
      <c r="G1430">
        <v>0.1</v>
      </c>
      <c r="H1430" t="s">
        <v>861</v>
      </c>
      <c r="I1430" t="str">
        <f>VLOOKUP(C1430,Customers!A:C,2,FALSE)&amp;" "&amp;VLOOKUP(C1430,Customers!A:C,3,FALSE)</f>
        <v>Kelly Shaw</v>
      </c>
      <c r="J1430" t="str">
        <f>VLOOKUP(D1430,Products!A:C,2,FALSE)</f>
        <v>National Watches</v>
      </c>
      <c r="K1430" t="str">
        <f>VLOOKUP(D1430,Products!A:C,3,FALSE)</f>
        <v>Fashion</v>
      </c>
      <c r="L1430" t="str">
        <f>VLOOKUP(E1430,Stores!A:B,2,FALSE)</f>
        <v>MegaMart Johnmouth</v>
      </c>
      <c r="M1430">
        <f>VLOOKUP(D1430,Products!A:E,5,FALSE)</f>
        <v>29.24</v>
      </c>
      <c r="N1430" s="5">
        <f t="shared" si="22"/>
        <v>78.948000000000008</v>
      </c>
    </row>
    <row r="1431" spans="1:14" x14ac:dyDescent="0.3">
      <c r="A1431" t="s">
        <v>2287</v>
      </c>
      <c r="B1431" s="2">
        <v>45491</v>
      </c>
      <c r="C1431" t="s">
        <v>89</v>
      </c>
      <c r="D1431" t="s">
        <v>739</v>
      </c>
      <c r="E1431" t="s">
        <v>842</v>
      </c>
      <c r="F1431">
        <v>3</v>
      </c>
      <c r="G1431">
        <v>0.05</v>
      </c>
      <c r="H1431" t="s">
        <v>858</v>
      </c>
      <c r="I1431" t="str">
        <f>VLOOKUP(C1431,Customers!A:C,2,FALSE)&amp;" "&amp;VLOOKUP(C1431,Customers!A:C,3,FALSE)</f>
        <v>Megan Velasquez</v>
      </c>
      <c r="J1431" t="str">
        <f>VLOOKUP(D1431,Products!A:C,2,FALSE)</f>
        <v>Step Smartphone</v>
      </c>
      <c r="K1431" t="str">
        <f>VLOOKUP(D1431,Products!A:C,3,FALSE)</f>
        <v>Electronics</v>
      </c>
      <c r="L1431" t="str">
        <f>VLOOKUP(E1431,Stores!A:B,2,FALSE)</f>
        <v>MegaMart Brianahaven</v>
      </c>
      <c r="M1431">
        <f>VLOOKUP(D1431,Products!A:E,5,FALSE)</f>
        <v>1194.1199999999999</v>
      </c>
      <c r="N1431" s="5">
        <f t="shared" si="22"/>
        <v>3403.2419999999997</v>
      </c>
    </row>
    <row r="1432" spans="1:14" x14ac:dyDescent="0.3">
      <c r="A1432" t="s">
        <v>2288</v>
      </c>
      <c r="B1432" s="2">
        <v>45651</v>
      </c>
      <c r="C1432" t="s">
        <v>364</v>
      </c>
      <c r="D1432" t="s">
        <v>806</v>
      </c>
      <c r="E1432" t="s">
        <v>846</v>
      </c>
      <c r="F1432">
        <v>2</v>
      </c>
      <c r="G1432">
        <v>0</v>
      </c>
      <c r="H1432" t="s">
        <v>865</v>
      </c>
      <c r="I1432" t="str">
        <f>VLOOKUP(C1432,Customers!A:C,2,FALSE)&amp;" "&amp;VLOOKUP(C1432,Customers!A:C,3,FALSE)</f>
        <v>Evelyn Gray</v>
      </c>
      <c r="J1432" t="str">
        <f>VLOOKUP(D1432,Products!A:C,2,FALSE)</f>
        <v>Piece Headphones</v>
      </c>
      <c r="K1432" t="str">
        <f>VLOOKUP(D1432,Products!A:C,3,FALSE)</f>
        <v>Electronics</v>
      </c>
      <c r="L1432" t="str">
        <f>VLOOKUP(E1432,Stores!A:B,2,FALSE)</f>
        <v>MegaMart Johnmouth</v>
      </c>
      <c r="M1432">
        <f>VLOOKUP(D1432,Products!A:E,5,FALSE)</f>
        <v>1745.61</v>
      </c>
      <c r="N1432" s="5">
        <f t="shared" si="22"/>
        <v>3491.22</v>
      </c>
    </row>
    <row r="1433" spans="1:14" x14ac:dyDescent="0.3">
      <c r="A1433" t="s">
        <v>2289</v>
      </c>
      <c r="B1433" s="2">
        <v>45259</v>
      </c>
      <c r="C1433" t="s">
        <v>520</v>
      </c>
      <c r="D1433" t="s">
        <v>764</v>
      </c>
      <c r="E1433" t="s">
        <v>846</v>
      </c>
      <c r="F1433">
        <v>2</v>
      </c>
      <c r="G1433">
        <v>0</v>
      </c>
      <c r="H1433" t="s">
        <v>858</v>
      </c>
      <c r="I1433" t="str">
        <f>VLOOKUP(C1433,Customers!A:C,2,FALSE)&amp;" "&amp;VLOOKUP(C1433,Customers!A:C,3,FALSE)</f>
        <v>Cynthia Carlson</v>
      </c>
      <c r="J1433" t="str">
        <f>VLOOKUP(D1433,Products!A:C,2,FALSE)</f>
        <v>Simple Accessories</v>
      </c>
      <c r="K1433" t="str">
        <f>VLOOKUP(D1433,Products!A:C,3,FALSE)</f>
        <v>Fashion</v>
      </c>
      <c r="L1433" t="str">
        <f>VLOOKUP(E1433,Stores!A:B,2,FALSE)</f>
        <v>MegaMart Johnmouth</v>
      </c>
      <c r="M1433">
        <f>VLOOKUP(D1433,Products!A:E,5,FALSE)</f>
        <v>323.92</v>
      </c>
      <c r="N1433" s="5">
        <f t="shared" si="22"/>
        <v>647.84</v>
      </c>
    </row>
    <row r="1434" spans="1:14" x14ac:dyDescent="0.3">
      <c r="A1434" t="s">
        <v>2290</v>
      </c>
      <c r="B1434" s="2">
        <v>45483</v>
      </c>
      <c r="C1434" t="s">
        <v>198</v>
      </c>
      <c r="D1434" t="s">
        <v>814</v>
      </c>
      <c r="E1434" t="s">
        <v>839</v>
      </c>
      <c r="F1434">
        <v>2</v>
      </c>
      <c r="G1434">
        <v>0</v>
      </c>
      <c r="H1434" t="s">
        <v>858</v>
      </c>
      <c r="I1434" t="str">
        <f>VLOOKUP(C1434,Customers!A:C,2,FALSE)&amp;" "&amp;VLOOKUP(C1434,Customers!A:C,3,FALSE)</f>
        <v>Madison Sellers</v>
      </c>
      <c r="J1434" t="str">
        <f>VLOOKUP(D1434,Products!A:C,2,FALSE)</f>
        <v>Least Accessories</v>
      </c>
      <c r="K1434" t="str">
        <f>VLOOKUP(D1434,Products!A:C,3,FALSE)</f>
        <v>Fashion</v>
      </c>
      <c r="L1434" t="str">
        <f>VLOOKUP(E1434,Stores!A:B,2,FALSE)</f>
        <v>MegaMart New Michele</v>
      </c>
      <c r="M1434">
        <f>VLOOKUP(D1434,Products!A:E,5,FALSE)</f>
        <v>1286.55</v>
      </c>
      <c r="N1434" s="5">
        <f t="shared" si="22"/>
        <v>2573.1</v>
      </c>
    </row>
    <row r="1435" spans="1:14" x14ac:dyDescent="0.3">
      <c r="A1435" t="s">
        <v>2291</v>
      </c>
      <c r="B1435" s="2">
        <v>45343</v>
      </c>
      <c r="C1435" t="s">
        <v>570</v>
      </c>
      <c r="D1435" t="s">
        <v>822</v>
      </c>
      <c r="E1435" t="s">
        <v>842</v>
      </c>
      <c r="F1435">
        <v>5</v>
      </c>
      <c r="G1435">
        <v>0.1</v>
      </c>
      <c r="H1435" t="s">
        <v>861</v>
      </c>
      <c r="I1435" t="str">
        <f>VLOOKUP(C1435,Customers!A:C,2,FALSE)&amp;" "&amp;VLOOKUP(C1435,Customers!A:C,3,FALSE)</f>
        <v>Thomas Chung</v>
      </c>
      <c r="J1435" t="str">
        <f>VLOOKUP(D1435,Products!A:C,2,FALSE)</f>
        <v>Nor Bags</v>
      </c>
      <c r="K1435" t="str">
        <f>VLOOKUP(D1435,Products!A:C,3,FALSE)</f>
        <v>Fashion</v>
      </c>
      <c r="L1435" t="str">
        <f>VLOOKUP(E1435,Stores!A:B,2,FALSE)</f>
        <v>MegaMart Brianahaven</v>
      </c>
      <c r="M1435">
        <f>VLOOKUP(D1435,Products!A:E,5,FALSE)</f>
        <v>1216.3599999999999</v>
      </c>
      <c r="N1435" s="5">
        <f t="shared" si="22"/>
        <v>5473.62</v>
      </c>
    </row>
    <row r="1436" spans="1:14" x14ac:dyDescent="0.3">
      <c r="A1436" t="s">
        <v>2292</v>
      </c>
      <c r="B1436" s="2">
        <v>45747</v>
      </c>
      <c r="C1436" t="s">
        <v>93</v>
      </c>
      <c r="D1436" t="s">
        <v>718</v>
      </c>
      <c r="E1436" t="s">
        <v>839</v>
      </c>
      <c r="F1436">
        <v>2</v>
      </c>
      <c r="G1436">
        <v>0</v>
      </c>
      <c r="H1436" t="s">
        <v>865</v>
      </c>
      <c r="I1436" t="str">
        <f>VLOOKUP(C1436,Customers!A:C,2,FALSE)&amp;" "&amp;VLOOKUP(C1436,Customers!A:C,3,FALSE)</f>
        <v>Mark Martinez</v>
      </c>
      <c r="J1436" t="str">
        <f>VLOOKUP(D1436,Products!A:C,2,FALSE)</f>
        <v>Here Footwear</v>
      </c>
      <c r="K1436" t="str">
        <f>VLOOKUP(D1436,Products!A:C,3,FALSE)</f>
        <v>Fashion</v>
      </c>
      <c r="L1436" t="str">
        <f>VLOOKUP(E1436,Stores!A:B,2,FALSE)</f>
        <v>MegaMart New Michele</v>
      </c>
      <c r="M1436">
        <f>VLOOKUP(D1436,Products!A:E,5,FALSE)</f>
        <v>337.63</v>
      </c>
      <c r="N1436" s="5">
        <f t="shared" si="22"/>
        <v>675.26</v>
      </c>
    </row>
    <row r="1437" spans="1:14" x14ac:dyDescent="0.3">
      <c r="A1437" t="s">
        <v>2293</v>
      </c>
      <c r="B1437" s="2">
        <v>45793</v>
      </c>
      <c r="C1437" t="s">
        <v>650</v>
      </c>
      <c r="D1437" t="s">
        <v>812</v>
      </c>
      <c r="E1437" t="s">
        <v>846</v>
      </c>
      <c r="F1437">
        <v>4</v>
      </c>
      <c r="G1437">
        <v>0.15</v>
      </c>
      <c r="H1437" t="s">
        <v>858</v>
      </c>
      <c r="I1437" t="str">
        <f>VLOOKUP(C1437,Customers!A:C,2,FALSE)&amp;" "&amp;VLOOKUP(C1437,Customers!A:C,3,FALSE)</f>
        <v>Daniel Mcintyre</v>
      </c>
      <c r="J1437" t="str">
        <f>VLOOKUP(D1437,Products!A:C,2,FALSE)</f>
        <v>Soon Accessories</v>
      </c>
      <c r="K1437" t="str">
        <f>VLOOKUP(D1437,Products!A:C,3,FALSE)</f>
        <v>Fashion</v>
      </c>
      <c r="L1437" t="str">
        <f>VLOOKUP(E1437,Stores!A:B,2,FALSE)</f>
        <v>MegaMart Johnmouth</v>
      </c>
      <c r="M1437">
        <f>VLOOKUP(D1437,Products!A:E,5,FALSE)</f>
        <v>564.41999999999996</v>
      </c>
      <c r="N1437" s="5">
        <f t="shared" si="22"/>
        <v>1919.0279999999998</v>
      </c>
    </row>
    <row r="1438" spans="1:14" x14ac:dyDescent="0.3">
      <c r="A1438" t="s">
        <v>2294</v>
      </c>
      <c r="B1438" s="2">
        <v>45384</v>
      </c>
      <c r="C1438" t="s">
        <v>123</v>
      </c>
      <c r="D1438" t="s">
        <v>808</v>
      </c>
      <c r="E1438" t="s">
        <v>835</v>
      </c>
      <c r="F1438">
        <v>2</v>
      </c>
      <c r="G1438">
        <v>0.05</v>
      </c>
      <c r="H1438" t="s">
        <v>855</v>
      </c>
      <c r="I1438" t="str">
        <f>VLOOKUP(C1438,Customers!A:C,2,FALSE)&amp;" "&amp;VLOOKUP(C1438,Customers!A:C,3,FALSE)</f>
        <v>Ashley Gibson</v>
      </c>
      <c r="J1438" t="str">
        <f>VLOOKUP(D1438,Products!A:C,2,FALSE)</f>
        <v>Present Television</v>
      </c>
      <c r="K1438" t="str">
        <f>VLOOKUP(D1438,Products!A:C,3,FALSE)</f>
        <v>Electronics</v>
      </c>
      <c r="L1438" t="str">
        <f>VLOOKUP(E1438,Stores!A:B,2,FALSE)</f>
        <v>MegaMart Peckmouth</v>
      </c>
      <c r="M1438">
        <f>VLOOKUP(D1438,Products!A:E,5,FALSE)</f>
        <v>1635.01</v>
      </c>
      <c r="N1438" s="5">
        <f t="shared" si="22"/>
        <v>3106.5189999999998</v>
      </c>
    </row>
    <row r="1439" spans="1:14" x14ac:dyDescent="0.3">
      <c r="A1439" t="s">
        <v>2295</v>
      </c>
      <c r="B1439" s="2">
        <v>45694</v>
      </c>
      <c r="C1439" t="s">
        <v>280</v>
      </c>
      <c r="D1439" t="s">
        <v>784</v>
      </c>
      <c r="E1439" t="s">
        <v>842</v>
      </c>
      <c r="F1439">
        <v>4</v>
      </c>
      <c r="G1439">
        <v>0.05</v>
      </c>
      <c r="H1439" t="s">
        <v>858</v>
      </c>
      <c r="I1439" t="str">
        <f>VLOOKUP(C1439,Customers!A:C,2,FALSE)&amp;" "&amp;VLOOKUP(C1439,Customers!A:C,3,FALSE)</f>
        <v>Jesus Singh</v>
      </c>
      <c r="J1439" t="str">
        <f>VLOOKUP(D1439,Products!A:C,2,FALSE)</f>
        <v>Road Clothing</v>
      </c>
      <c r="K1439" t="str">
        <f>VLOOKUP(D1439,Products!A:C,3,FALSE)</f>
        <v>Fashion</v>
      </c>
      <c r="L1439" t="str">
        <f>VLOOKUP(E1439,Stores!A:B,2,FALSE)</f>
        <v>MegaMart Brianahaven</v>
      </c>
      <c r="M1439">
        <f>VLOOKUP(D1439,Products!A:E,5,FALSE)</f>
        <v>1485.05</v>
      </c>
      <c r="N1439" s="5">
        <f t="shared" si="22"/>
        <v>5643.19</v>
      </c>
    </row>
    <row r="1440" spans="1:14" x14ac:dyDescent="0.3">
      <c r="A1440" t="s">
        <v>2296</v>
      </c>
      <c r="B1440" s="2">
        <v>45197</v>
      </c>
      <c r="C1440" t="s">
        <v>206</v>
      </c>
      <c r="D1440" t="s">
        <v>757</v>
      </c>
      <c r="E1440" t="s">
        <v>846</v>
      </c>
      <c r="F1440">
        <v>2</v>
      </c>
      <c r="G1440">
        <v>0.1</v>
      </c>
      <c r="H1440" t="s">
        <v>861</v>
      </c>
      <c r="I1440" t="str">
        <f>VLOOKUP(C1440,Customers!A:C,2,FALSE)&amp;" "&amp;VLOOKUP(C1440,Customers!A:C,3,FALSE)</f>
        <v>Felicia Morgan</v>
      </c>
      <c r="J1440" t="str">
        <f>VLOOKUP(D1440,Products!A:C,2,FALSE)</f>
        <v>Find Headphones</v>
      </c>
      <c r="K1440" t="str">
        <f>VLOOKUP(D1440,Products!A:C,3,FALSE)</f>
        <v>Electronics</v>
      </c>
      <c r="L1440" t="str">
        <f>VLOOKUP(E1440,Stores!A:B,2,FALSE)</f>
        <v>MegaMart Johnmouth</v>
      </c>
      <c r="M1440">
        <f>VLOOKUP(D1440,Products!A:E,5,FALSE)</f>
        <v>1246.1099999999999</v>
      </c>
      <c r="N1440" s="5">
        <f t="shared" si="22"/>
        <v>2242.998</v>
      </c>
    </row>
    <row r="1441" spans="1:14" x14ac:dyDescent="0.3">
      <c r="A1441" t="s">
        <v>2297</v>
      </c>
      <c r="B1441" s="2">
        <v>45609</v>
      </c>
      <c r="C1441" t="s">
        <v>403</v>
      </c>
      <c r="D1441" t="s">
        <v>753</v>
      </c>
      <c r="E1441" t="s">
        <v>835</v>
      </c>
      <c r="F1441">
        <v>4</v>
      </c>
      <c r="G1441">
        <v>0.05</v>
      </c>
      <c r="H1441" t="s">
        <v>865</v>
      </c>
      <c r="I1441" t="str">
        <f>VLOOKUP(C1441,Customers!A:C,2,FALSE)&amp;" "&amp;VLOOKUP(C1441,Customers!A:C,3,FALSE)</f>
        <v>Samantha Hill</v>
      </c>
      <c r="J1441" t="str">
        <f>VLOOKUP(D1441,Products!A:C,2,FALSE)</f>
        <v>Whether Bags</v>
      </c>
      <c r="K1441" t="str">
        <f>VLOOKUP(D1441,Products!A:C,3,FALSE)</f>
        <v>Fashion</v>
      </c>
      <c r="L1441" t="str">
        <f>VLOOKUP(E1441,Stores!A:B,2,FALSE)</f>
        <v>MegaMart Peckmouth</v>
      </c>
      <c r="M1441">
        <f>VLOOKUP(D1441,Products!A:E,5,FALSE)</f>
        <v>270.45</v>
      </c>
      <c r="N1441" s="5">
        <f t="shared" si="22"/>
        <v>1027.7099999999998</v>
      </c>
    </row>
    <row r="1442" spans="1:14" x14ac:dyDescent="0.3">
      <c r="A1442" t="s">
        <v>2298</v>
      </c>
      <c r="B1442" s="2">
        <v>45748</v>
      </c>
      <c r="C1442" t="s">
        <v>284</v>
      </c>
      <c r="D1442" t="s">
        <v>798</v>
      </c>
      <c r="E1442" t="s">
        <v>839</v>
      </c>
      <c r="F1442">
        <v>2</v>
      </c>
      <c r="G1442">
        <v>0.15</v>
      </c>
      <c r="H1442" t="s">
        <v>861</v>
      </c>
      <c r="I1442" t="str">
        <f>VLOOKUP(C1442,Customers!A:C,2,FALSE)&amp;" "&amp;VLOOKUP(C1442,Customers!A:C,3,FALSE)</f>
        <v>Seth Moore</v>
      </c>
      <c r="J1442" t="str">
        <f>VLOOKUP(D1442,Products!A:C,2,FALSE)</f>
        <v>New Watches</v>
      </c>
      <c r="K1442" t="str">
        <f>VLOOKUP(D1442,Products!A:C,3,FALSE)</f>
        <v>Fashion</v>
      </c>
      <c r="L1442" t="str">
        <f>VLOOKUP(E1442,Stores!A:B,2,FALSE)</f>
        <v>MegaMart New Michele</v>
      </c>
      <c r="M1442">
        <f>VLOOKUP(D1442,Products!A:E,5,FALSE)</f>
        <v>1501.46</v>
      </c>
      <c r="N1442" s="5">
        <f t="shared" si="22"/>
        <v>2552.482</v>
      </c>
    </row>
    <row r="1443" spans="1:14" x14ac:dyDescent="0.3">
      <c r="A1443" t="s">
        <v>2299</v>
      </c>
      <c r="B1443" s="2">
        <v>45309</v>
      </c>
      <c r="C1443" t="s">
        <v>358</v>
      </c>
      <c r="D1443" t="s">
        <v>753</v>
      </c>
      <c r="E1443" t="s">
        <v>846</v>
      </c>
      <c r="F1443">
        <v>4</v>
      </c>
      <c r="G1443">
        <v>0</v>
      </c>
      <c r="H1443" t="s">
        <v>865</v>
      </c>
      <c r="I1443" t="str">
        <f>VLOOKUP(C1443,Customers!A:C,2,FALSE)&amp;" "&amp;VLOOKUP(C1443,Customers!A:C,3,FALSE)</f>
        <v>Kevin Snyder</v>
      </c>
      <c r="J1443" t="str">
        <f>VLOOKUP(D1443,Products!A:C,2,FALSE)</f>
        <v>Whether Bags</v>
      </c>
      <c r="K1443" t="str">
        <f>VLOOKUP(D1443,Products!A:C,3,FALSE)</f>
        <v>Fashion</v>
      </c>
      <c r="L1443" t="str">
        <f>VLOOKUP(E1443,Stores!A:B,2,FALSE)</f>
        <v>MegaMart Johnmouth</v>
      </c>
      <c r="M1443">
        <f>VLOOKUP(D1443,Products!A:E,5,FALSE)</f>
        <v>270.45</v>
      </c>
      <c r="N1443" s="5">
        <f t="shared" si="22"/>
        <v>1081.8</v>
      </c>
    </row>
    <row r="1444" spans="1:14" x14ac:dyDescent="0.3">
      <c r="A1444" t="s">
        <v>2300</v>
      </c>
      <c r="B1444" s="2">
        <v>45866</v>
      </c>
      <c r="C1444" t="s">
        <v>449</v>
      </c>
      <c r="D1444" t="s">
        <v>764</v>
      </c>
      <c r="E1444" t="s">
        <v>835</v>
      </c>
      <c r="F1444">
        <v>3</v>
      </c>
      <c r="G1444">
        <v>0.15</v>
      </c>
      <c r="H1444" t="s">
        <v>861</v>
      </c>
      <c r="I1444" t="str">
        <f>VLOOKUP(C1444,Customers!A:C,2,FALSE)&amp;" "&amp;VLOOKUP(C1444,Customers!A:C,3,FALSE)</f>
        <v>John Bell</v>
      </c>
      <c r="J1444" t="str">
        <f>VLOOKUP(D1444,Products!A:C,2,FALSE)</f>
        <v>Simple Accessories</v>
      </c>
      <c r="K1444" t="str">
        <f>VLOOKUP(D1444,Products!A:C,3,FALSE)</f>
        <v>Fashion</v>
      </c>
      <c r="L1444" t="str">
        <f>VLOOKUP(E1444,Stores!A:B,2,FALSE)</f>
        <v>MegaMart Peckmouth</v>
      </c>
      <c r="M1444">
        <f>VLOOKUP(D1444,Products!A:E,5,FALSE)</f>
        <v>323.92</v>
      </c>
      <c r="N1444" s="5">
        <f t="shared" si="22"/>
        <v>825.99599999999998</v>
      </c>
    </row>
    <row r="1445" spans="1:14" x14ac:dyDescent="0.3">
      <c r="A1445" t="s">
        <v>2301</v>
      </c>
      <c r="B1445" s="2">
        <v>45524</v>
      </c>
      <c r="C1445" t="s">
        <v>647</v>
      </c>
      <c r="D1445" t="s">
        <v>808</v>
      </c>
      <c r="E1445" t="s">
        <v>842</v>
      </c>
      <c r="F1445">
        <v>4</v>
      </c>
      <c r="G1445">
        <v>0.1</v>
      </c>
      <c r="H1445" t="s">
        <v>865</v>
      </c>
      <c r="I1445" t="str">
        <f>VLOOKUP(C1445,Customers!A:C,2,FALSE)&amp;" "&amp;VLOOKUP(C1445,Customers!A:C,3,FALSE)</f>
        <v>Mary Dawson</v>
      </c>
      <c r="J1445" t="str">
        <f>VLOOKUP(D1445,Products!A:C,2,FALSE)</f>
        <v>Present Television</v>
      </c>
      <c r="K1445" t="str">
        <f>VLOOKUP(D1445,Products!A:C,3,FALSE)</f>
        <v>Electronics</v>
      </c>
      <c r="L1445" t="str">
        <f>VLOOKUP(E1445,Stores!A:B,2,FALSE)</f>
        <v>MegaMart Brianahaven</v>
      </c>
      <c r="M1445">
        <f>VLOOKUP(D1445,Products!A:E,5,FALSE)</f>
        <v>1635.01</v>
      </c>
      <c r="N1445" s="5">
        <f t="shared" si="22"/>
        <v>5886.0360000000001</v>
      </c>
    </row>
    <row r="1446" spans="1:14" x14ac:dyDescent="0.3">
      <c r="A1446" t="s">
        <v>2302</v>
      </c>
      <c r="B1446" s="2">
        <v>45493</v>
      </c>
      <c r="C1446" t="s">
        <v>101</v>
      </c>
      <c r="D1446" t="s">
        <v>761</v>
      </c>
      <c r="E1446" t="s">
        <v>846</v>
      </c>
      <c r="F1446">
        <v>1</v>
      </c>
      <c r="G1446">
        <v>0</v>
      </c>
      <c r="H1446" t="s">
        <v>855</v>
      </c>
      <c r="I1446" t="str">
        <f>VLOOKUP(C1446,Customers!A:C,2,FALSE)&amp;" "&amp;VLOOKUP(C1446,Customers!A:C,3,FALSE)</f>
        <v>Cheryl Gilbert</v>
      </c>
      <c r="J1446" t="str">
        <f>VLOOKUP(D1446,Products!A:C,2,FALSE)</f>
        <v>Traditional Laptop</v>
      </c>
      <c r="K1446" t="str">
        <f>VLOOKUP(D1446,Products!A:C,3,FALSE)</f>
        <v>Electronics</v>
      </c>
      <c r="L1446" t="str">
        <f>VLOOKUP(E1446,Stores!A:B,2,FALSE)</f>
        <v>MegaMart Johnmouth</v>
      </c>
      <c r="M1446">
        <f>VLOOKUP(D1446,Products!A:E,5,FALSE)</f>
        <v>1762.92</v>
      </c>
      <c r="N1446" s="5">
        <f t="shared" si="22"/>
        <v>1762.92</v>
      </c>
    </row>
    <row r="1447" spans="1:14" x14ac:dyDescent="0.3">
      <c r="A1447" t="s">
        <v>2303</v>
      </c>
      <c r="B1447" s="2">
        <v>45762</v>
      </c>
      <c r="C1447" t="s">
        <v>234</v>
      </c>
      <c r="D1447" t="s">
        <v>769</v>
      </c>
      <c r="E1447" t="s">
        <v>842</v>
      </c>
      <c r="F1447">
        <v>3</v>
      </c>
      <c r="G1447">
        <v>0</v>
      </c>
      <c r="H1447" t="s">
        <v>865</v>
      </c>
      <c r="I1447" t="str">
        <f>VLOOKUP(C1447,Customers!A:C,2,FALSE)&amp;" "&amp;VLOOKUP(C1447,Customers!A:C,3,FALSE)</f>
        <v>Heather Russell</v>
      </c>
      <c r="J1447" t="str">
        <f>VLOOKUP(D1447,Products!A:C,2,FALSE)</f>
        <v>How Vegetables</v>
      </c>
      <c r="K1447" t="str">
        <f>VLOOKUP(D1447,Products!A:C,3,FALSE)</f>
        <v>Groceries</v>
      </c>
      <c r="L1447" t="str">
        <f>VLOOKUP(E1447,Stores!A:B,2,FALSE)</f>
        <v>MegaMart Brianahaven</v>
      </c>
      <c r="M1447">
        <f>VLOOKUP(D1447,Products!A:E,5,FALSE)</f>
        <v>25.57</v>
      </c>
      <c r="N1447" s="5">
        <f t="shared" si="22"/>
        <v>76.710000000000008</v>
      </c>
    </row>
    <row r="1448" spans="1:14" x14ac:dyDescent="0.3">
      <c r="A1448" t="s">
        <v>2304</v>
      </c>
      <c r="B1448" s="2">
        <v>45330</v>
      </c>
      <c r="C1448" t="s">
        <v>247</v>
      </c>
      <c r="D1448" t="s">
        <v>742</v>
      </c>
      <c r="E1448" t="s">
        <v>846</v>
      </c>
      <c r="F1448">
        <v>5</v>
      </c>
      <c r="G1448">
        <v>0.15</v>
      </c>
      <c r="H1448" t="s">
        <v>855</v>
      </c>
      <c r="I1448" t="str">
        <f>VLOOKUP(C1448,Customers!A:C,2,FALSE)&amp;" "&amp;VLOOKUP(C1448,Customers!A:C,3,FALSE)</f>
        <v>Scott Duke</v>
      </c>
      <c r="J1448" t="str">
        <f>VLOOKUP(D1448,Products!A:C,2,FALSE)</f>
        <v>Either Headphones</v>
      </c>
      <c r="K1448" t="str">
        <f>VLOOKUP(D1448,Products!A:C,3,FALSE)</f>
        <v>Electronics</v>
      </c>
      <c r="L1448" t="str">
        <f>VLOOKUP(E1448,Stores!A:B,2,FALSE)</f>
        <v>MegaMart Johnmouth</v>
      </c>
      <c r="M1448">
        <f>VLOOKUP(D1448,Products!A:E,5,FALSE)</f>
        <v>248.57</v>
      </c>
      <c r="N1448" s="5">
        <f t="shared" si="22"/>
        <v>1056.4224999999999</v>
      </c>
    </row>
    <row r="1449" spans="1:14" x14ac:dyDescent="0.3">
      <c r="A1449" t="s">
        <v>2305</v>
      </c>
      <c r="B1449" s="2">
        <v>45504</v>
      </c>
      <c r="C1449" t="s">
        <v>382</v>
      </c>
      <c r="D1449" t="s">
        <v>718</v>
      </c>
      <c r="E1449" t="s">
        <v>839</v>
      </c>
      <c r="F1449">
        <v>2</v>
      </c>
      <c r="G1449">
        <v>0</v>
      </c>
      <c r="H1449" t="s">
        <v>861</v>
      </c>
      <c r="I1449" t="str">
        <f>VLOOKUP(C1449,Customers!A:C,2,FALSE)&amp;" "&amp;VLOOKUP(C1449,Customers!A:C,3,FALSE)</f>
        <v>Carolyn Perez</v>
      </c>
      <c r="J1449" t="str">
        <f>VLOOKUP(D1449,Products!A:C,2,FALSE)</f>
        <v>Here Footwear</v>
      </c>
      <c r="K1449" t="str">
        <f>VLOOKUP(D1449,Products!A:C,3,FALSE)</f>
        <v>Fashion</v>
      </c>
      <c r="L1449" t="str">
        <f>VLOOKUP(E1449,Stores!A:B,2,FALSE)</f>
        <v>MegaMart New Michele</v>
      </c>
      <c r="M1449">
        <f>VLOOKUP(D1449,Products!A:E,5,FALSE)</f>
        <v>337.63</v>
      </c>
      <c r="N1449" s="5">
        <f t="shared" si="22"/>
        <v>675.26</v>
      </c>
    </row>
    <row r="1450" spans="1:14" x14ac:dyDescent="0.3">
      <c r="A1450" t="s">
        <v>2306</v>
      </c>
      <c r="B1450" s="2">
        <v>45568</v>
      </c>
      <c r="C1450" t="s">
        <v>254</v>
      </c>
      <c r="D1450" t="s">
        <v>728</v>
      </c>
      <c r="E1450" t="s">
        <v>835</v>
      </c>
      <c r="F1450">
        <v>5</v>
      </c>
      <c r="G1450">
        <v>0.15</v>
      </c>
      <c r="H1450" t="s">
        <v>855</v>
      </c>
      <c r="I1450" t="str">
        <f>VLOOKUP(C1450,Customers!A:C,2,FALSE)&amp;" "&amp;VLOOKUP(C1450,Customers!A:C,3,FALSE)</f>
        <v>Daniel Maldonado</v>
      </c>
      <c r="J1450" t="str">
        <f>VLOOKUP(D1450,Products!A:C,2,FALSE)</f>
        <v>Company Fruits</v>
      </c>
      <c r="K1450" t="str">
        <f>VLOOKUP(D1450,Products!A:C,3,FALSE)</f>
        <v>Groceries</v>
      </c>
      <c r="L1450" t="str">
        <f>VLOOKUP(E1450,Stores!A:B,2,FALSE)</f>
        <v>MegaMart Peckmouth</v>
      </c>
      <c r="M1450">
        <f>VLOOKUP(D1450,Products!A:E,5,FALSE)</f>
        <v>318.05</v>
      </c>
      <c r="N1450" s="5">
        <f t="shared" si="22"/>
        <v>1351.7124999999999</v>
      </c>
    </row>
    <row r="1451" spans="1:14" x14ac:dyDescent="0.3">
      <c r="A1451" t="s">
        <v>2307</v>
      </c>
      <c r="B1451" s="2">
        <v>45621</v>
      </c>
      <c r="C1451" t="s">
        <v>445</v>
      </c>
      <c r="D1451" t="s">
        <v>796</v>
      </c>
      <c r="E1451" t="s">
        <v>835</v>
      </c>
      <c r="F1451">
        <v>1</v>
      </c>
      <c r="G1451">
        <v>0.1</v>
      </c>
      <c r="H1451" t="s">
        <v>858</v>
      </c>
      <c r="I1451" t="str">
        <f>VLOOKUP(C1451,Customers!A:C,2,FALSE)&amp;" "&amp;VLOOKUP(C1451,Customers!A:C,3,FALSE)</f>
        <v>Curtis Faulkner</v>
      </c>
      <c r="J1451" t="str">
        <f>VLOOKUP(D1451,Products!A:C,2,FALSE)</f>
        <v>Chair Laptop</v>
      </c>
      <c r="K1451" t="str">
        <f>VLOOKUP(D1451,Products!A:C,3,FALSE)</f>
        <v>Electronics</v>
      </c>
      <c r="L1451" t="str">
        <f>VLOOKUP(E1451,Stores!A:B,2,FALSE)</f>
        <v>MegaMart Peckmouth</v>
      </c>
      <c r="M1451">
        <f>VLOOKUP(D1451,Products!A:E,5,FALSE)</f>
        <v>1562.43</v>
      </c>
      <c r="N1451" s="5">
        <f t="shared" si="22"/>
        <v>1406.1870000000001</v>
      </c>
    </row>
    <row r="1452" spans="1:14" x14ac:dyDescent="0.3">
      <c r="A1452" t="s">
        <v>2308</v>
      </c>
      <c r="B1452" s="2">
        <v>45218</v>
      </c>
      <c r="C1452" t="s">
        <v>144</v>
      </c>
      <c r="D1452" t="s">
        <v>788</v>
      </c>
      <c r="E1452" t="s">
        <v>839</v>
      </c>
      <c r="F1452">
        <v>1</v>
      </c>
      <c r="G1452">
        <v>0.1</v>
      </c>
      <c r="H1452" t="s">
        <v>865</v>
      </c>
      <c r="I1452" t="str">
        <f>VLOOKUP(C1452,Customers!A:C,2,FALSE)&amp;" "&amp;VLOOKUP(C1452,Customers!A:C,3,FALSE)</f>
        <v>Miranda Nelson</v>
      </c>
      <c r="J1452" t="str">
        <f>VLOOKUP(D1452,Products!A:C,2,FALSE)</f>
        <v>Foot Snacks</v>
      </c>
      <c r="K1452" t="str">
        <f>VLOOKUP(D1452,Products!A:C,3,FALSE)</f>
        <v>Groceries</v>
      </c>
      <c r="L1452" t="str">
        <f>VLOOKUP(E1452,Stores!A:B,2,FALSE)</f>
        <v>MegaMart New Michele</v>
      </c>
      <c r="M1452">
        <f>VLOOKUP(D1452,Products!A:E,5,FALSE)</f>
        <v>1095.72</v>
      </c>
      <c r="N1452" s="5">
        <f t="shared" si="22"/>
        <v>986.14800000000002</v>
      </c>
    </row>
    <row r="1453" spans="1:14" x14ac:dyDescent="0.3">
      <c r="A1453" t="s">
        <v>2309</v>
      </c>
      <c r="B1453" s="2">
        <v>45251</v>
      </c>
      <c r="C1453" t="s">
        <v>130</v>
      </c>
      <c r="D1453" t="s">
        <v>761</v>
      </c>
      <c r="E1453" t="s">
        <v>842</v>
      </c>
      <c r="F1453">
        <v>3</v>
      </c>
      <c r="G1453">
        <v>0.1</v>
      </c>
      <c r="H1453" t="s">
        <v>858</v>
      </c>
      <c r="I1453" t="str">
        <f>VLOOKUP(C1453,Customers!A:C,2,FALSE)&amp;" "&amp;VLOOKUP(C1453,Customers!A:C,3,FALSE)</f>
        <v>Jenny Beck</v>
      </c>
      <c r="J1453" t="str">
        <f>VLOOKUP(D1453,Products!A:C,2,FALSE)</f>
        <v>Traditional Laptop</v>
      </c>
      <c r="K1453" t="str">
        <f>VLOOKUP(D1453,Products!A:C,3,FALSE)</f>
        <v>Electronics</v>
      </c>
      <c r="L1453" t="str">
        <f>VLOOKUP(E1453,Stores!A:B,2,FALSE)</f>
        <v>MegaMart Brianahaven</v>
      </c>
      <c r="M1453">
        <f>VLOOKUP(D1453,Products!A:E,5,FALSE)</f>
        <v>1762.92</v>
      </c>
      <c r="N1453" s="5">
        <f t="shared" si="22"/>
        <v>4759.884</v>
      </c>
    </row>
    <row r="1454" spans="1:14" x14ac:dyDescent="0.3">
      <c r="A1454" t="s">
        <v>2310</v>
      </c>
      <c r="B1454" s="2">
        <v>45190</v>
      </c>
      <c r="C1454" t="s">
        <v>277</v>
      </c>
      <c r="D1454" t="s">
        <v>786</v>
      </c>
      <c r="E1454" t="s">
        <v>839</v>
      </c>
      <c r="F1454">
        <v>5</v>
      </c>
      <c r="G1454">
        <v>0.1</v>
      </c>
      <c r="H1454" t="s">
        <v>855</v>
      </c>
      <c r="I1454" t="str">
        <f>VLOOKUP(C1454,Customers!A:C,2,FALSE)&amp;" "&amp;VLOOKUP(C1454,Customers!A:C,3,FALSE)</f>
        <v>Carl Armstrong</v>
      </c>
      <c r="J1454" t="str">
        <f>VLOOKUP(D1454,Products!A:C,2,FALSE)</f>
        <v>National Watches</v>
      </c>
      <c r="K1454" t="str">
        <f>VLOOKUP(D1454,Products!A:C,3,FALSE)</f>
        <v>Fashion</v>
      </c>
      <c r="L1454" t="str">
        <f>VLOOKUP(E1454,Stores!A:B,2,FALSE)</f>
        <v>MegaMart New Michele</v>
      </c>
      <c r="M1454">
        <f>VLOOKUP(D1454,Products!A:E,5,FALSE)</f>
        <v>29.24</v>
      </c>
      <c r="N1454" s="5">
        <f t="shared" si="22"/>
        <v>131.57999999999998</v>
      </c>
    </row>
    <row r="1455" spans="1:14" x14ac:dyDescent="0.3">
      <c r="A1455" t="s">
        <v>2311</v>
      </c>
      <c r="B1455" s="2">
        <v>45676</v>
      </c>
      <c r="C1455" t="s">
        <v>419</v>
      </c>
      <c r="D1455" t="s">
        <v>755</v>
      </c>
      <c r="E1455" t="s">
        <v>835</v>
      </c>
      <c r="F1455">
        <v>3</v>
      </c>
      <c r="G1455">
        <v>0.15</v>
      </c>
      <c r="H1455" t="s">
        <v>861</v>
      </c>
      <c r="I1455" t="str">
        <f>VLOOKUP(C1455,Customers!A:C,2,FALSE)&amp;" "&amp;VLOOKUP(C1455,Customers!A:C,3,FALSE)</f>
        <v>Jeffrey Smith</v>
      </c>
      <c r="J1455" t="str">
        <f>VLOOKUP(D1455,Products!A:C,2,FALSE)</f>
        <v>House Accessories</v>
      </c>
      <c r="K1455" t="str">
        <f>VLOOKUP(D1455,Products!A:C,3,FALSE)</f>
        <v>Fashion</v>
      </c>
      <c r="L1455" t="str">
        <f>VLOOKUP(E1455,Stores!A:B,2,FALSE)</f>
        <v>MegaMart Peckmouth</v>
      </c>
      <c r="M1455">
        <f>VLOOKUP(D1455,Products!A:E,5,FALSE)</f>
        <v>1858.75</v>
      </c>
      <c r="N1455" s="5">
        <f t="shared" si="22"/>
        <v>4739.8125</v>
      </c>
    </row>
    <row r="1456" spans="1:14" x14ac:dyDescent="0.3">
      <c r="A1456" t="s">
        <v>2312</v>
      </c>
      <c r="B1456" s="2">
        <v>45862</v>
      </c>
      <c r="C1456" t="s">
        <v>520</v>
      </c>
      <c r="D1456" t="s">
        <v>764</v>
      </c>
      <c r="E1456" t="s">
        <v>842</v>
      </c>
      <c r="F1456">
        <v>1</v>
      </c>
      <c r="G1456">
        <v>0.05</v>
      </c>
      <c r="H1456" t="s">
        <v>861</v>
      </c>
      <c r="I1456" t="str">
        <f>VLOOKUP(C1456,Customers!A:C,2,FALSE)&amp;" "&amp;VLOOKUP(C1456,Customers!A:C,3,FALSE)</f>
        <v>Cynthia Carlson</v>
      </c>
      <c r="J1456" t="str">
        <f>VLOOKUP(D1456,Products!A:C,2,FALSE)</f>
        <v>Simple Accessories</v>
      </c>
      <c r="K1456" t="str">
        <f>VLOOKUP(D1456,Products!A:C,3,FALSE)</f>
        <v>Fashion</v>
      </c>
      <c r="L1456" t="str">
        <f>VLOOKUP(E1456,Stores!A:B,2,FALSE)</f>
        <v>MegaMart Brianahaven</v>
      </c>
      <c r="M1456">
        <f>VLOOKUP(D1456,Products!A:E,5,FALSE)</f>
        <v>323.92</v>
      </c>
      <c r="N1456" s="5">
        <f t="shared" si="22"/>
        <v>307.72399999999999</v>
      </c>
    </row>
    <row r="1457" spans="1:14" x14ac:dyDescent="0.3">
      <c r="A1457" t="s">
        <v>2313</v>
      </c>
      <c r="B1457" s="2">
        <v>45300</v>
      </c>
      <c r="C1457" t="s">
        <v>59</v>
      </c>
      <c r="D1457" t="s">
        <v>757</v>
      </c>
      <c r="E1457" t="s">
        <v>835</v>
      </c>
      <c r="F1457">
        <v>2</v>
      </c>
      <c r="G1457">
        <v>0</v>
      </c>
      <c r="H1457" t="s">
        <v>858</v>
      </c>
      <c r="I1457" t="str">
        <f>VLOOKUP(C1457,Customers!A:C,2,FALSE)&amp;" "&amp;VLOOKUP(C1457,Customers!A:C,3,FALSE)</f>
        <v>Brittany Green</v>
      </c>
      <c r="J1457" t="str">
        <f>VLOOKUP(D1457,Products!A:C,2,FALSE)</f>
        <v>Find Headphones</v>
      </c>
      <c r="K1457" t="str">
        <f>VLOOKUP(D1457,Products!A:C,3,FALSE)</f>
        <v>Electronics</v>
      </c>
      <c r="L1457" t="str">
        <f>VLOOKUP(E1457,Stores!A:B,2,FALSE)</f>
        <v>MegaMart Peckmouth</v>
      </c>
      <c r="M1457">
        <f>VLOOKUP(D1457,Products!A:E,5,FALSE)</f>
        <v>1246.1099999999999</v>
      </c>
      <c r="N1457" s="5">
        <f t="shared" si="22"/>
        <v>2492.2199999999998</v>
      </c>
    </row>
    <row r="1458" spans="1:14" x14ac:dyDescent="0.3">
      <c r="A1458" t="s">
        <v>2314</v>
      </c>
      <c r="B1458" s="2">
        <v>45562</v>
      </c>
      <c r="C1458" t="s">
        <v>254</v>
      </c>
      <c r="D1458" t="s">
        <v>822</v>
      </c>
      <c r="E1458" t="s">
        <v>835</v>
      </c>
      <c r="F1458">
        <v>4</v>
      </c>
      <c r="G1458">
        <v>0.15</v>
      </c>
      <c r="H1458" t="s">
        <v>865</v>
      </c>
      <c r="I1458" t="str">
        <f>VLOOKUP(C1458,Customers!A:C,2,FALSE)&amp;" "&amp;VLOOKUP(C1458,Customers!A:C,3,FALSE)</f>
        <v>Daniel Maldonado</v>
      </c>
      <c r="J1458" t="str">
        <f>VLOOKUP(D1458,Products!A:C,2,FALSE)</f>
        <v>Nor Bags</v>
      </c>
      <c r="K1458" t="str">
        <f>VLOOKUP(D1458,Products!A:C,3,FALSE)</f>
        <v>Fashion</v>
      </c>
      <c r="L1458" t="str">
        <f>VLOOKUP(E1458,Stores!A:B,2,FALSE)</f>
        <v>MegaMart Peckmouth</v>
      </c>
      <c r="M1458">
        <f>VLOOKUP(D1458,Products!A:E,5,FALSE)</f>
        <v>1216.3599999999999</v>
      </c>
      <c r="N1458" s="5">
        <f t="shared" si="22"/>
        <v>4135.6239999999998</v>
      </c>
    </row>
    <row r="1459" spans="1:14" x14ac:dyDescent="0.3">
      <c r="A1459" t="s">
        <v>2315</v>
      </c>
      <c r="B1459" s="2">
        <v>45631</v>
      </c>
      <c r="C1459" t="s">
        <v>467</v>
      </c>
      <c r="D1459" t="s">
        <v>792</v>
      </c>
      <c r="E1459" t="s">
        <v>831</v>
      </c>
      <c r="F1459">
        <v>4</v>
      </c>
      <c r="G1459">
        <v>0.1</v>
      </c>
      <c r="H1459" t="s">
        <v>858</v>
      </c>
      <c r="I1459" t="str">
        <f>VLOOKUP(C1459,Customers!A:C,2,FALSE)&amp;" "&amp;VLOOKUP(C1459,Customers!A:C,3,FALSE)</f>
        <v>John Allen</v>
      </c>
      <c r="J1459" t="str">
        <f>VLOOKUP(D1459,Products!A:C,2,FALSE)</f>
        <v>Beat Accessories</v>
      </c>
      <c r="K1459" t="str">
        <f>VLOOKUP(D1459,Products!A:C,3,FALSE)</f>
        <v>Fashion</v>
      </c>
      <c r="L1459" t="str">
        <f>VLOOKUP(E1459,Stores!A:B,2,FALSE)</f>
        <v>MegaMart Jimenezborough</v>
      </c>
      <c r="M1459">
        <f>VLOOKUP(D1459,Products!A:E,5,FALSE)</f>
        <v>1798.97</v>
      </c>
      <c r="N1459" s="5">
        <f t="shared" si="22"/>
        <v>6476.2920000000004</v>
      </c>
    </row>
    <row r="1460" spans="1:14" x14ac:dyDescent="0.3">
      <c r="A1460" t="s">
        <v>2316</v>
      </c>
      <c r="B1460" s="2">
        <v>45758</v>
      </c>
      <c r="C1460" t="s">
        <v>438</v>
      </c>
      <c r="D1460" t="s">
        <v>761</v>
      </c>
      <c r="E1460" t="s">
        <v>842</v>
      </c>
      <c r="F1460">
        <v>1</v>
      </c>
      <c r="G1460">
        <v>0.05</v>
      </c>
      <c r="H1460" t="s">
        <v>865</v>
      </c>
      <c r="I1460" t="str">
        <f>VLOOKUP(C1460,Customers!A:C,2,FALSE)&amp;" "&amp;VLOOKUP(C1460,Customers!A:C,3,FALSE)</f>
        <v>Gina Bradford</v>
      </c>
      <c r="J1460" t="str">
        <f>VLOOKUP(D1460,Products!A:C,2,FALSE)</f>
        <v>Traditional Laptop</v>
      </c>
      <c r="K1460" t="str">
        <f>VLOOKUP(D1460,Products!A:C,3,FALSE)</f>
        <v>Electronics</v>
      </c>
      <c r="L1460" t="str">
        <f>VLOOKUP(E1460,Stores!A:B,2,FALSE)</f>
        <v>MegaMart Brianahaven</v>
      </c>
      <c r="M1460">
        <f>VLOOKUP(D1460,Products!A:E,5,FALSE)</f>
        <v>1762.92</v>
      </c>
      <c r="N1460" s="5">
        <f t="shared" si="22"/>
        <v>1674.7739999999999</v>
      </c>
    </row>
    <row r="1461" spans="1:14" x14ac:dyDescent="0.3">
      <c r="A1461" t="s">
        <v>2317</v>
      </c>
      <c r="B1461" s="2">
        <v>45329</v>
      </c>
      <c r="C1461" t="s">
        <v>339</v>
      </c>
      <c r="D1461" t="s">
        <v>788</v>
      </c>
      <c r="E1461" t="s">
        <v>831</v>
      </c>
      <c r="F1461">
        <v>2</v>
      </c>
      <c r="G1461">
        <v>0.1</v>
      </c>
      <c r="H1461" t="s">
        <v>861</v>
      </c>
      <c r="I1461" t="str">
        <f>VLOOKUP(C1461,Customers!A:C,2,FALSE)&amp;" "&amp;VLOOKUP(C1461,Customers!A:C,3,FALSE)</f>
        <v>Carrie Peterson</v>
      </c>
      <c r="J1461" t="str">
        <f>VLOOKUP(D1461,Products!A:C,2,FALSE)</f>
        <v>Foot Snacks</v>
      </c>
      <c r="K1461" t="str">
        <f>VLOOKUP(D1461,Products!A:C,3,FALSE)</f>
        <v>Groceries</v>
      </c>
      <c r="L1461" t="str">
        <f>VLOOKUP(E1461,Stores!A:B,2,FALSE)</f>
        <v>MegaMart Jimenezborough</v>
      </c>
      <c r="M1461">
        <f>VLOOKUP(D1461,Products!A:E,5,FALSE)</f>
        <v>1095.72</v>
      </c>
      <c r="N1461" s="5">
        <f t="shared" si="22"/>
        <v>1972.296</v>
      </c>
    </row>
    <row r="1462" spans="1:14" x14ac:dyDescent="0.3">
      <c r="A1462" t="s">
        <v>2318</v>
      </c>
      <c r="B1462" s="2">
        <v>45805</v>
      </c>
      <c r="C1462" t="s">
        <v>171</v>
      </c>
      <c r="D1462" t="s">
        <v>816</v>
      </c>
      <c r="E1462" t="s">
        <v>846</v>
      </c>
      <c r="F1462">
        <v>3</v>
      </c>
      <c r="G1462">
        <v>0.05</v>
      </c>
      <c r="H1462" t="s">
        <v>865</v>
      </c>
      <c r="I1462" t="str">
        <f>VLOOKUP(C1462,Customers!A:C,2,FALSE)&amp;" "&amp;VLOOKUP(C1462,Customers!A:C,3,FALSE)</f>
        <v>Parker Sparks</v>
      </c>
      <c r="J1462" t="str">
        <f>VLOOKUP(D1462,Products!A:C,2,FALSE)</f>
        <v>Set Dairy</v>
      </c>
      <c r="K1462" t="str">
        <f>VLOOKUP(D1462,Products!A:C,3,FALSE)</f>
        <v>Groceries</v>
      </c>
      <c r="L1462" t="str">
        <f>VLOOKUP(E1462,Stores!A:B,2,FALSE)</f>
        <v>MegaMart Johnmouth</v>
      </c>
      <c r="M1462">
        <f>VLOOKUP(D1462,Products!A:E,5,FALSE)</f>
        <v>1879.08</v>
      </c>
      <c r="N1462" s="5">
        <f t="shared" si="22"/>
        <v>5355.3779999999997</v>
      </c>
    </row>
    <row r="1463" spans="1:14" x14ac:dyDescent="0.3">
      <c r="A1463" t="s">
        <v>2319</v>
      </c>
      <c r="B1463" s="2">
        <v>45736</v>
      </c>
      <c r="C1463" t="s">
        <v>494</v>
      </c>
      <c r="D1463" t="s">
        <v>792</v>
      </c>
      <c r="E1463" t="s">
        <v>846</v>
      </c>
      <c r="F1463">
        <v>2</v>
      </c>
      <c r="G1463">
        <v>0.15</v>
      </c>
      <c r="H1463" t="s">
        <v>865</v>
      </c>
      <c r="I1463" t="str">
        <f>VLOOKUP(C1463,Customers!A:C,2,FALSE)&amp;" "&amp;VLOOKUP(C1463,Customers!A:C,3,FALSE)</f>
        <v>Mario Cuevas</v>
      </c>
      <c r="J1463" t="str">
        <f>VLOOKUP(D1463,Products!A:C,2,FALSE)</f>
        <v>Beat Accessories</v>
      </c>
      <c r="K1463" t="str">
        <f>VLOOKUP(D1463,Products!A:C,3,FALSE)</f>
        <v>Fashion</v>
      </c>
      <c r="L1463" t="str">
        <f>VLOOKUP(E1463,Stores!A:B,2,FALSE)</f>
        <v>MegaMart Johnmouth</v>
      </c>
      <c r="M1463">
        <f>VLOOKUP(D1463,Products!A:E,5,FALSE)</f>
        <v>1798.97</v>
      </c>
      <c r="N1463" s="5">
        <f t="shared" si="22"/>
        <v>3058.2489999999998</v>
      </c>
    </row>
    <row r="1464" spans="1:14" x14ac:dyDescent="0.3">
      <c r="A1464" t="s">
        <v>2320</v>
      </c>
      <c r="B1464" s="2">
        <v>45332</v>
      </c>
      <c r="C1464" t="s">
        <v>243</v>
      </c>
      <c r="D1464" t="s">
        <v>745</v>
      </c>
      <c r="E1464" t="s">
        <v>842</v>
      </c>
      <c r="F1464">
        <v>1</v>
      </c>
      <c r="G1464">
        <v>0.1</v>
      </c>
      <c r="H1464" t="s">
        <v>865</v>
      </c>
      <c r="I1464" t="str">
        <f>VLOOKUP(C1464,Customers!A:C,2,FALSE)&amp;" "&amp;VLOOKUP(C1464,Customers!A:C,3,FALSE)</f>
        <v>Amanda Hoover</v>
      </c>
      <c r="J1464" t="str">
        <f>VLOOKUP(D1464,Products!A:C,2,FALSE)</f>
        <v>Above Camera</v>
      </c>
      <c r="K1464" t="str">
        <f>VLOOKUP(D1464,Products!A:C,3,FALSE)</f>
        <v>Electronics</v>
      </c>
      <c r="L1464" t="str">
        <f>VLOOKUP(E1464,Stores!A:B,2,FALSE)</f>
        <v>MegaMart Brianahaven</v>
      </c>
      <c r="M1464">
        <f>VLOOKUP(D1464,Products!A:E,5,FALSE)</f>
        <v>1193.0899999999999</v>
      </c>
      <c r="N1464" s="5">
        <f t="shared" si="22"/>
        <v>1073.7809999999999</v>
      </c>
    </row>
    <row r="1465" spans="1:14" x14ac:dyDescent="0.3">
      <c r="A1465" t="s">
        <v>2321</v>
      </c>
      <c r="B1465" s="2">
        <v>45780</v>
      </c>
      <c r="C1465" t="s">
        <v>277</v>
      </c>
      <c r="D1465" t="s">
        <v>796</v>
      </c>
      <c r="E1465" t="s">
        <v>831</v>
      </c>
      <c r="F1465">
        <v>4</v>
      </c>
      <c r="G1465">
        <v>0.1</v>
      </c>
      <c r="H1465" t="s">
        <v>865</v>
      </c>
      <c r="I1465" t="str">
        <f>VLOOKUP(C1465,Customers!A:C,2,FALSE)&amp;" "&amp;VLOOKUP(C1465,Customers!A:C,3,FALSE)</f>
        <v>Carl Armstrong</v>
      </c>
      <c r="J1465" t="str">
        <f>VLOOKUP(D1465,Products!A:C,2,FALSE)</f>
        <v>Chair Laptop</v>
      </c>
      <c r="K1465" t="str">
        <f>VLOOKUP(D1465,Products!A:C,3,FALSE)</f>
        <v>Electronics</v>
      </c>
      <c r="L1465" t="str">
        <f>VLOOKUP(E1465,Stores!A:B,2,FALSE)</f>
        <v>MegaMart Jimenezborough</v>
      </c>
      <c r="M1465">
        <f>VLOOKUP(D1465,Products!A:E,5,FALSE)</f>
        <v>1562.43</v>
      </c>
      <c r="N1465" s="5">
        <f t="shared" si="22"/>
        <v>5624.7480000000005</v>
      </c>
    </row>
    <row r="1466" spans="1:14" x14ac:dyDescent="0.3">
      <c r="A1466" t="s">
        <v>2322</v>
      </c>
      <c r="B1466" s="2">
        <v>45819</v>
      </c>
      <c r="C1466" t="s">
        <v>313</v>
      </c>
      <c r="D1466" t="s">
        <v>824</v>
      </c>
      <c r="E1466" t="s">
        <v>835</v>
      </c>
      <c r="F1466">
        <v>1</v>
      </c>
      <c r="G1466">
        <v>0</v>
      </c>
      <c r="H1466" t="s">
        <v>858</v>
      </c>
      <c r="I1466" t="str">
        <f>VLOOKUP(C1466,Customers!A:C,2,FALSE)&amp;" "&amp;VLOOKUP(C1466,Customers!A:C,3,FALSE)</f>
        <v>Jeremy Robles</v>
      </c>
      <c r="J1466" t="str">
        <f>VLOOKUP(D1466,Products!A:C,2,FALSE)</f>
        <v>Possible Watches</v>
      </c>
      <c r="K1466" t="str">
        <f>VLOOKUP(D1466,Products!A:C,3,FALSE)</f>
        <v>Fashion</v>
      </c>
      <c r="L1466" t="str">
        <f>VLOOKUP(E1466,Stores!A:B,2,FALSE)</f>
        <v>MegaMart Peckmouth</v>
      </c>
      <c r="M1466">
        <f>VLOOKUP(D1466,Products!A:E,5,FALSE)</f>
        <v>388.26</v>
      </c>
      <c r="N1466" s="5">
        <f t="shared" si="22"/>
        <v>388.26</v>
      </c>
    </row>
    <row r="1467" spans="1:14" x14ac:dyDescent="0.3">
      <c r="A1467" t="s">
        <v>2323</v>
      </c>
      <c r="B1467" s="2">
        <v>45361</v>
      </c>
      <c r="C1467" t="s">
        <v>643</v>
      </c>
      <c r="D1467" t="s">
        <v>802</v>
      </c>
      <c r="E1467" t="s">
        <v>842</v>
      </c>
      <c r="F1467">
        <v>4</v>
      </c>
      <c r="G1467">
        <v>0.1</v>
      </c>
      <c r="H1467" t="s">
        <v>865</v>
      </c>
      <c r="I1467" t="str">
        <f>VLOOKUP(C1467,Customers!A:C,2,FALSE)&amp;" "&amp;VLOOKUP(C1467,Customers!A:C,3,FALSE)</f>
        <v>Meghan Wright</v>
      </c>
      <c r="J1467" t="str">
        <f>VLOOKUP(D1467,Products!A:C,2,FALSE)</f>
        <v>Stage Footwear</v>
      </c>
      <c r="K1467" t="str">
        <f>VLOOKUP(D1467,Products!A:C,3,FALSE)</f>
        <v>Fashion</v>
      </c>
      <c r="L1467" t="str">
        <f>VLOOKUP(E1467,Stores!A:B,2,FALSE)</f>
        <v>MegaMart Brianahaven</v>
      </c>
      <c r="M1467">
        <f>VLOOKUP(D1467,Products!A:E,5,FALSE)</f>
        <v>366.93</v>
      </c>
      <c r="N1467" s="5">
        <f t="shared" si="22"/>
        <v>1320.9480000000001</v>
      </c>
    </row>
    <row r="1468" spans="1:14" x14ac:dyDescent="0.3">
      <c r="A1468" t="s">
        <v>2324</v>
      </c>
      <c r="B1468" s="2">
        <v>45735</v>
      </c>
      <c r="C1468" t="s">
        <v>320</v>
      </c>
      <c r="D1468" t="s">
        <v>796</v>
      </c>
      <c r="E1468" t="s">
        <v>831</v>
      </c>
      <c r="F1468">
        <v>5</v>
      </c>
      <c r="G1468">
        <v>0.15</v>
      </c>
      <c r="H1468" t="s">
        <v>855</v>
      </c>
      <c r="I1468" t="str">
        <f>VLOOKUP(C1468,Customers!A:C,2,FALSE)&amp;" "&amp;VLOOKUP(C1468,Customers!A:C,3,FALSE)</f>
        <v>Juan Ramirez</v>
      </c>
      <c r="J1468" t="str">
        <f>VLOOKUP(D1468,Products!A:C,2,FALSE)</f>
        <v>Chair Laptop</v>
      </c>
      <c r="K1468" t="str">
        <f>VLOOKUP(D1468,Products!A:C,3,FALSE)</f>
        <v>Electronics</v>
      </c>
      <c r="L1468" t="str">
        <f>VLOOKUP(E1468,Stores!A:B,2,FALSE)</f>
        <v>MegaMart Jimenezborough</v>
      </c>
      <c r="M1468">
        <f>VLOOKUP(D1468,Products!A:E,5,FALSE)</f>
        <v>1562.43</v>
      </c>
      <c r="N1468" s="5">
        <f t="shared" si="22"/>
        <v>6640.3275000000003</v>
      </c>
    </row>
    <row r="1469" spans="1:14" x14ac:dyDescent="0.3">
      <c r="A1469" t="s">
        <v>2325</v>
      </c>
      <c r="B1469" s="2">
        <v>45308</v>
      </c>
      <c r="C1469" t="s">
        <v>664</v>
      </c>
      <c r="D1469" t="s">
        <v>728</v>
      </c>
      <c r="E1469" t="s">
        <v>846</v>
      </c>
      <c r="F1469">
        <v>2</v>
      </c>
      <c r="G1469">
        <v>0.05</v>
      </c>
      <c r="H1469" t="s">
        <v>865</v>
      </c>
      <c r="I1469" t="str">
        <f>VLOOKUP(C1469,Customers!A:C,2,FALSE)&amp;" "&amp;VLOOKUP(C1469,Customers!A:C,3,FALSE)</f>
        <v>Ryan Flores</v>
      </c>
      <c r="J1469" t="str">
        <f>VLOOKUP(D1469,Products!A:C,2,FALSE)</f>
        <v>Company Fruits</v>
      </c>
      <c r="K1469" t="str">
        <f>VLOOKUP(D1469,Products!A:C,3,FALSE)</f>
        <v>Groceries</v>
      </c>
      <c r="L1469" t="str">
        <f>VLOOKUP(E1469,Stores!A:B,2,FALSE)</f>
        <v>MegaMart Johnmouth</v>
      </c>
      <c r="M1469">
        <f>VLOOKUP(D1469,Products!A:E,5,FALSE)</f>
        <v>318.05</v>
      </c>
      <c r="N1469" s="5">
        <f t="shared" si="22"/>
        <v>604.29499999999996</v>
      </c>
    </row>
    <row r="1470" spans="1:14" x14ac:dyDescent="0.3">
      <c r="A1470" t="s">
        <v>2326</v>
      </c>
      <c r="B1470" s="2">
        <v>45490</v>
      </c>
      <c r="C1470" t="s">
        <v>589</v>
      </c>
      <c r="D1470" t="s">
        <v>784</v>
      </c>
      <c r="E1470" t="s">
        <v>839</v>
      </c>
      <c r="F1470">
        <v>3</v>
      </c>
      <c r="G1470">
        <v>0</v>
      </c>
      <c r="H1470" t="s">
        <v>865</v>
      </c>
      <c r="I1470" t="str">
        <f>VLOOKUP(C1470,Customers!A:C,2,FALSE)&amp;" "&amp;VLOOKUP(C1470,Customers!A:C,3,FALSE)</f>
        <v>Tanya Mueller</v>
      </c>
      <c r="J1470" t="str">
        <f>VLOOKUP(D1470,Products!A:C,2,FALSE)</f>
        <v>Road Clothing</v>
      </c>
      <c r="K1470" t="str">
        <f>VLOOKUP(D1470,Products!A:C,3,FALSE)</f>
        <v>Fashion</v>
      </c>
      <c r="L1470" t="str">
        <f>VLOOKUP(E1470,Stores!A:B,2,FALSE)</f>
        <v>MegaMart New Michele</v>
      </c>
      <c r="M1470">
        <f>VLOOKUP(D1470,Products!A:E,5,FALSE)</f>
        <v>1485.05</v>
      </c>
      <c r="N1470" s="5">
        <f t="shared" si="22"/>
        <v>4455.1499999999996</v>
      </c>
    </row>
    <row r="1471" spans="1:14" x14ac:dyDescent="0.3">
      <c r="A1471" t="s">
        <v>2327</v>
      </c>
      <c r="B1471" s="2">
        <v>45786</v>
      </c>
      <c r="C1471" t="s">
        <v>512</v>
      </c>
      <c r="D1471" t="s">
        <v>782</v>
      </c>
      <c r="E1471" t="s">
        <v>846</v>
      </c>
      <c r="F1471">
        <v>4</v>
      </c>
      <c r="G1471">
        <v>0</v>
      </c>
      <c r="H1471" t="s">
        <v>858</v>
      </c>
      <c r="I1471" t="str">
        <f>VLOOKUP(C1471,Customers!A:C,2,FALSE)&amp;" "&amp;VLOOKUP(C1471,Customers!A:C,3,FALSE)</f>
        <v>Adam Lucas</v>
      </c>
      <c r="J1471" t="str">
        <f>VLOOKUP(D1471,Products!A:C,2,FALSE)</f>
        <v>Deal Smartphone</v>
      </c>
      <c r="K1471" t="str">
        <f>VLOOKUP(D1471,Products!A:C,3,FALSE)</f>
        <v>Electronics</v>
      </c>
      <c r="L1471" t="str">
        <f>VLOOKUP(E1471,Stores!A:B,2,FALSE)</f>
        <v>MegaMart Johnmouth</v>
      </c>
      <c r="M1471">
        <f>VLOOKUP(D1471,Products!A:E,5,FALSE)</f>
        <v>673.78</v>
      </c>
      <c r="N1471" s="5">
        <f t="shared" si="22"/>
        <v>2695.12</v>
      </c>
    </row>
    <row r="1472" spans="1:14" x14ac:dyDescent="0.3">
      <c r="A1472" t="s">
        <v>2328</v>
      </c>
      <c r="B1472" s="2">
        <v>45655</v>
      </c>
      <c r="C1472" t="s">
        <v>250</v>
      </c>
      <c r="D1472" t="s">
        <v>788</v>
      </c>
      <c r="E1472" t="s">
        <v>835</v>
      </c>
      <c r="F1472">
        <v>2</v>
      </c>
      <c r="G1472">
        <v>0.15</v>
      </c>
      <c r="H1472" t="s">
        <v>865</v>
      </c>
      <c r="I1472" t="str">
        <f>VLOOKUP(C1472,Customers!A:C,2,FALSE)&amp;" "&amp;VLOOKUP(C1472,Customers!A:C,3,FALSE)</f>
        <v>Jason Jenkins</v>
      </c>
      <c r="J1472" t="str">
        <f>VLOOKUP(D1472,Products!A:C,2,FALSE)</f>
        <v>Foot Snacks</v>
      </c>
      <c r="K1472" t="str">
        <f>VLOOKUP(D1472,Products!A:C,3,FALSE)</f>
        <v>Groceries</v>
      </c>
      <c r="L1472" t="str">
        <f>VLOOKUP(E1472,Stores!A:B,2,FALSE)</f>
        <v>MegaMart Peckmouth</v>
      </c>
      <c r="M1472">
        <f>VLOOKUP(D1472,Products!A:E,5,FALSE)</f>
        <v>1095.72</v>
      </c>
      <c r="N1472" s="5">
        <f t="shared" si="22"/>
        <v>1862.7239999999999</v>
      </c>
    </row>
    <row r="1473" spans="1:14" x14ac:dyDescent="0.3">
      <c r="A1473" t="s">
        <v>2329</v>
      </c>
      <c r="B1473" s="2">
        <v>45725</v>
      </c>
      <c r="C1473" t="s">
        <v>28</v>
      </c>
      <c r="D1473" t="s">
        <v>718</v>
      </c>
      <c r="E1473" t="s">
        <v>835</v>
      </c>
      <c r="F1473">
        <v>2</v>
      </c>
      <c r="G1473">
        <v>0.15</v>
      </c>
      <c r="H1473" t="s">
        <v>858</v>
      </c>
      <c r="I1473" t="str">
        <f>VLOOKUP(C1473,Customers!A:C,2,FALSE)&amp;" "&amp;VLOOKUP(C1473,Customers!A:C,3,FALSE)</f>
        <v>Danny Moore</v>
      </c>
      <c r="J1473" t="str">
        <f>VLOOKUP(D1473,Products!A:C,2,FALSE)</f>
        <v>Here Footwear</v>
      </c>
      <c r="K1473" t="str">
        <f>VLOOKUP(D1473,Products!A:C,3,FALSE)</f>
        <v>Fashion</v>
      </c>
      <c r="L1473" t="str">
        <f>VLOOKUP(E1473,Stores!A:B,2,FALSE)</f>
        <v>MegaMart Peckmouth</v>
      </c>
      <c r="M1473">
        <f>VLOOKUP(D1473,Products!A:E,5,FALSE)</f>
        <v>337.63</v>
      </c>
      <c r="N1473" s="5">
        <f t="shared" si="22"/>
        <v>573.971</v>
      </c>
    </row>
    <row r="1474" spans="1:14" x14ac:dyDescent="0.3">
      <c r="A1474" t="s">
        <v>2330</v>
      </c>
      <c r="B1474" s="2">
        <v>45420</v>
      </c>
      <c r="C1474" t="s">
        <v>277</v>
      </c>
      <c r="D1474" t="s">
        <v>742</v>
      </c>
      <c r="E1474" t="s">
        <v>835</v>
      </c>
      <c r="F1474">
        <v>1</v>
      </c>
      <c r="G1474">
        <v>0.1</v>
      </c>
      <c r="H1474" t="s">
        <v>858</v>
      </c>
      <c r="I1474" t="str">
        <f>VLOOKUP(C1474,Customers!A:C,2,FALSE)&amp;" "&amp;VLOOKUP(C1474,Customers!A:C,3,FALSE)</f>
        <v>Carl Armstrong</v>
      </c>
      <c r="J1474" t="str">
        <f>VLOOKUP(D1474,Products!A:C,2,FALSE)</f>
        <v>Either Headphones</v>
      </c>
      <c r="K1474" t="str">
        <f>VLOOKUP(D1474,Products!A:C,3,FALSE)</f>
        <v>Electronics</v>
      </c>
      <c r="L1474" t="str">
        <f>VLOOKUP(E1474,Stores!A:B,2,FALSE)</f>
        <v>MegaMart Peckmouth</v>
      </c>
      <c r="M1474">
        <f>VLOOKUP(D1474,Products!A:E,5,FALSE)</f>
        <v>248.57</v>
      </c>
      <c r="N1474" s="5">
        <f t="shared" si="22"/>
        <v>223.71299999999999</v>
      </c>
    </row>
    <row r="1475" spans="1:14" x14ac:dyDescent="0.3">
      <c r="A1475" t="s">
        <v>2331</v>
      </c>
      <c r="B1475" s="2">
        <v>45644</v>
      </c>
      <c r="C1475" t="s">
        <v>415</v>
      </c>
      <c r="D1475" t="s">
        <v>755</v>
      </c>
      <c r="E1475" t="s">
        <v>839</v>
      </c>
      <c r="F1475">
        <v>5</v>
      </c>
      <c r="G1475">
        <v>0.05</v>
      </c>
      <c r="H1475" t="s">
        <v>855</v>
      </c>
      <c r="I1475" t="str">
        <f>VLOOKUP(C1475,Customers!A:C,2,FALSE)&amp;" "&amp;VLOOKUP(C1475,Customers!A:C,3,FALSE)</f>
        <v>Dylan Booker</v>
      </c>
      <c r="J1475" t="str">
        <f>VLOOKUP(D1475,Products!A:C,2,FALSE)</f>
        <v>House Accessories</v>
      </c>
      <c r="K1475" t="str">
        <f>VLOOKUP(D1475,Products!A:C,3,FALSE)</f>
        <v>Fashion</v>
      </c>
      <c r="L1475" t="str">
        <f>VLOOKUP(E1475,Stores!A:B,2,FALSE)</f>
        <v>MegaMart New Michele</v>
      </c>
      <c r="M1475">
        <f>VLOOKUP(D1475,Products!A:E,5,FALSE)</f>
        <v>1858.75</v>
      </c>
      <c r="N1475" s="5">
        <f t="shared" ref="N1475:N1538" si="23">F1475*M1475*(1-G1475)</f>
        <v>8829.0625</v>
      </c>
    </row>
    <row r="1476" spans="1:14" x14ac:dyDescent="0.3">
      <c r="A1476" t="s">
        <v>2332</v>
      </c>
      <c r="B1476" s="2">
        <v>45442</v>
      </c>
      <c r="C1476" t="s">
        <v>608</v>
      </c>
      <c r="D1476" t="s">
        <v>766</v>
      </c>
      <c r="E1476" t="s">
        <v>831</v>
      </c>
      <c r="F1476">
        <v>3</v>
      </c>
      <c r="G1476">
        <v>0.05</v>
      </c>
      <c r="H1476" t="s">
        <v>858</v>
      </c>
      <c r="I1476" t="str">
        <f>VLOOKUP(C1476,Customers!A:C,2,FALSE)&amp;" "&amp;VLOOKUP(C1476,Customers!A:C,3,FALSE)</f>
        <v>Christina Dominguez</v>
      </c>
      <c r="J1476" t="str">
        <f>VLOOKUP(D1476,Products!A:C,2,FALSE)</f>
        <v>Firm Dairy</v>
      </c>
      <c r="K1476" t="str">
        <f>VLOOKUP(D1476,Products!A:C,3,FALSE)</f>
        <v>Groceries</v>
      </c>
      <c r="L1476" t="str">
        <f>VLOOKUP(E1476,Stores!A:B,2,FALSE)</f>
        <v>MegaMart Jimenezborough</v>
      </c>
      <c r="M1476">
        <f>VLOOKUP(D1476,Products!A:E,5,FALSE)</f>
        <v>1227.24</v>
      </c>
      <c r="N1476" s="5">
        <f t="shared" si="23"/>
        <v>3497.634</v>
      </c>
    </row>
    <row r="1477" spans="1:14" x14ac:dyDescent="0.3">
      <c r="A1477" t="s">
        <v>2333</v>
      </c>
      <c r="B1477" s="2">
        <v>45635</v>
      </c>
      <c r="C1477" t="s">
        <v>429</v>
      </c>
      <c r="D1477" t="s">
        <v>734</v>
      </c>
      <c r="E1477" t="s">
        <v>842</v>
      </c>
      <c r="F1477">
        <v>4</v>
      </c>
      <c r="G1477">
        <v>0.1</v>
      </c>
      <c r="H1477" t="s">
        <v>858</v>
      </c>
      <c r="I1477" t="str">
        <f>VLOOKUP(C1477,Customers!A:C,2,FALSE)&amp;" "&amp;VLOOKUP(C1477,Customers!A:C,3,FALSE)</f>
        <v>Jose Smith</v>
      </c>
      <c r="J1477" t="str">
        <f>VLOOKUP(D1477,Products!A:C,2,FALSE)</f>
        <v>Recognize Footwear</v>
      </c>
      <c r="K1477" t="str">
        <f>VLOOKUP(D1477,Products!A:C,3,FALSE)</f>
        <v>Fashion</v>
      </c>
      <c r="L1477" t="str">
        <f>VLOOKUP(E1477,Stores!A:B,2,FALSE)</f>
        <v>MegaMart Brianahaven</v>
      </c>
      <c r="M1477">
        <f>VLOOKUP(D1477,Products!A:E,5,FALSE)</f>
        <v>109.78</v>
      </c>
      <c r="N1477" s="5">
        <f t="shared" si="23"/>
        <v>395.20800000000003</v>
      </c>
    </row>
    <row r="1478" spans="1:14" x14ac:dyDescent="0.3">
      <c r="A1478" t="s">
        <v>2334</v>
      </c>
      <c r="B1478" s="2">
        <v>45585</v>
      </c>
      <c r="C1478" t="s">
        <v>97</v>
      </c>
      <c r="D1478" t="s">
        <v>810</v>
      </c>
      <c r="E1478" t="s">
        <v>842</v>
      </c>
      <c r="F1478">
        <v>3</v>
      </c>
      <c r="G1478">
        <v>0.05</v>
      </c>
      <c r="H1478" t="s">
        <v>858</v>
      </c>
      <c r="I1478" t="str">
        <f>VLOOKUP(C1478,Customers!A:C,2,FALSE)&amp;" "&amp;VLOOKUP(C1478,Customers!A:C,3,FALSE)</f>
        <v>Molly Murray</v>
      </c>
      <c r="J1478" t="str">
        <f>VLOOKUP(D1478,Products!A:C,2,FALSE)</f>
        <v>Maybe Clothing</v>
      </c>
      <c r="K1478" t="str">
        <f>VLOOKUP(D1478,Products!A:C,3,FALSE)</f>
        <v>Fashion</v>
      </c>
      <c r="L1478" t="str">
        <f>VLOOKUP(E1478,Stores!A:B,2,FALSE)</f>
        <v>MegaMart Brianahaven</v>
      </c>
      <c r="M1478">
        <f>VLOOKUP(D1478,Products!A:E,5,FALSE)</f>
        <v>453.62</v>
      </c>
      <c r="N1478" s="5">
        <f t="shared" si="23"/>
        <v>1292.817</v>
      </c>
    </row>
    <row r="1479" spans="1:14" x14ac:dyDescent="0.3">
      <c r="A1479" t="s">
        <v>2335</v>
      </c>
      <c r="B1479" s="2">
        <v>45387</v>
      </c>
      <c r="C1479" t="s">
        <v>579</v>
      </c>
      <c r="D1479" t="s">
        <v>824</v>
      </c>
      <c r="E1479" t="s">
        <v>842</v>
      </c>
      <c r="F1479">
        <v>1</v>
      </c>
      <c r="G1479">
        <v>0</v>
      </c>
      <c r="H1479" t="s">
        <v>855</v>
      </c>
      <c r="I1479" t="str">
        <f>VLOOKUP(C1479,Customers!A:C,2,FALSE)&amp;" "&amp;VLOOKUP(C1479,Customers!A:C,3,FALSE)</f>
        <v>Jill Roach</v>
      </c>
      <c r="J1479" t="str">
        <f>VLOOKUP(D1479,Products!A:C,2,FALSE)</f>
        <v>Possible Watches</v>
      </c>
      <c r="K1479" t="str">
        <f>VLOOKUP(D1479,Products!A:C,3,FALSE)</f>
        <v>Fashion</v>
      </c>
      <c r="L1479" t="str">
        <f>VLOOKUP(E1479,Stores!A:B,2,FALSE)</f>
        <v>MegaMart Brianahaven</v>
      </c>
      <c r="M1479">
        <f>VLOOKUP(D1479,Products!A:E,5,FALSE)</f>
        <v>388.26</v>
      </c>
      <c r="N1479" s="5">
        <f t="shared" si="23"/>
        <v>388.26</v>
      </c>
    </row>
    <row r="1480" spans="1:14" x14ac:dyDescent="0.3">
      <c r="A1480" t="s">
        <v>2336</v>
      </c>
      <c r="B1480" s="2">
        <v>45740</v>
      </c>
      <c r="C1480" t="s">
        <v>442</v>
      </c>
      <c r="D1480" t="s">
        <v>769</v>
      </c>
      <c r="E1480" t="s">
        <v>835</v>
      </c>
      <c r="F1480">
        <v>2</v>
      </c>
      <c r="G1480">
        <v>0.15</v>
      </c>
      <c r="H1480" t="s">
        <v>865</v>
      </c>
      <c r="I1480" t="str">
        <f>VLOOKUP(C1480,Customers!A:C,2,FALSE)&amp;" "&amp;VLOOKUP(C1480,Customers!A:C,3,FALSE)</f>
        <v>Jason Lloyd</v>
      </c>
      <c r="J1480" t="str">
        <f>VLOOKUP(D1480,Products!A:C,2,FALSE)</f>
        <v>How Vegetables</v>
      </c>
      <c r="K1480" t="str">
        <f>VLOOKUP(D1480,Products!A:C,3,FALSE)</f>
        <v>Groceries</v>
      </c>
      <c r="L1480" t="str">
        <f>VLOOKUP(E1480,Stores!A:B,2,FALSE)</f>
        <v>MegaMart Peckmouth</v>
      </c>
      <c r="M1480">
        <f>VLOOKUP(D1480,Products!A:E,5,FALSE)</f>
        <v>25.57</v>
      </c>
      <c r="N1480" s="5">
        <f t="shared" si="23"/>
        <v>43.469000000000001</v>
      </c>
    </row>
    <row r="1481" spans="1:14" x14ac:dyDescent="0.3">
      <c r="A1481" t="s">
        <v>2337</v>
      </c>
      <c r="B1481" s="2">
        <v>45831</v>
      </c>
      <c r="C1481" t="s">
        <v>284</v>
      </c>
      <c r="D1481" t="s">
        <v>725</v>
      </c>
      <c r="E1481" t="s">
        <v>842</v>
      </c>
      <c r="F1481">
        <v>4</v>
      </c>
      <c r="G1481">
        <v>0</v>
      </c>
      <c r="H1481" t="s">
        <v>858</v>
      </c>
      <c r="I1481" t="str">
        <f>VLOOKUP(C1481,Customers!A:C,2,FALSE)&amp;" "&amp;VLOOKUP(C1481,Customers!A:C,3,FALSE)</f>
        <v>Seth Moore</v>
      </c>
      <c r="J1481" t="str">
        <f>VLOOKUP(D1481,Products!A:C,2,FALSE)</f>
        <v>Knowledge Bags</v>
      </c>
      <c r="K1481" t="str">
        <f>VLOOKUP(D1481,Products!A:C,3,FALSE)</f>
        <v>Fashion</v>
      </c>
      <c r="L1481" t="str">
        <f>VLOOKUP(E1481,Stores!A:B,2,FALSE)</f>
        <v>MegaMart Brianahaven</v>
      </c>
      <c r="M1481">
        <f>VLOOKUP(D1481,Products!A:E,5,FALSE)</f>
        <v>1396.22</v>
      </c>
      <c r="N1481" s="5">
        <f t="shared" si="23"/>
        <v>5584.88</v>
      </c>
    </row>
    <row r="1482" spans="1:14" x14ac:dyDescent="0.3">
      <c r="A1482" t="s">
        <v>2338</v>
      </c>
      <c r="B1482" s="2">
        <v>45576</v>
      </c>
      <c r="C1482" t="s">
        <v>291</v>
      </c>
      <c r="D1482" t="s">
        <v>739</v>
      </c>
      <c r="E1482" t="s">
        <v>835</v>
      </c>
      <c r="F1482">
        <v>2</v>
      </c>
      <c r="G1482">
        <v>0.1</v>
      </c>
      <c r="H1482" t="s">
        <v>861</v>
      </c>
      <c r="I1482" t="str">
        <f>VLOOKUP(C1482,Customers!A:C,2,FALSE)&amp;" "&amp;VLOOKUP(C1482,Customers!A:C,3,FALSE)</f>
        <v>Matthew Juarez</v>
      </c>
      <c r="J1482" t="str">
        <f>VLOOKUP(D1482,Products!A:C,2,FALSE)</f>
        <v>Step Smartphone</v>
      </c>
      <c r="K1482" t="str">
        <f>VLOOKUP(D1482,Products!A:C,3,FALSE)</f>
        <v>Electronics</v>
      </c>
      <c r="L1482" t="str">
        <f>VLOOKUP(E1482,Stores!A:B,2,FALSE)</f>
        <v>MegaMart Peckmouth</v>
      </c>
      <c r="M1482">
        <f>VLOOKUP(D1482,Products!A:E,5,FALSE)</f>
        <v>1194.1199999999999</v>
      </c>
      <c r="N1482" s="5">
        <f t="shared" si="23"/>
        <v>2149.4159999999997</v>
      </c>
    </row>
    <row r="1483" spans="1:14" x14ac:dyDescent="0.3">
      <c r="A1483" t="s">
        <v>2339</v>
      </c>
      <c r="B1483" s="2">
        <v>45853</v>
      </c>
      <c r="C1483" t="s">
        <v>491</v>
      </c>
      <c r="D1483" t="s">
        <v>814</v>
      </c>
      <c r="E1483" t="s">
        <v>842</v>
      </c>
      <c r="F1483">
        <v>3</v>
      </c>
      <c r="G1483">
        <v>0</v>
      </c>
      <c r="H1483" t="s">
        <v>865</v>
      </c>
      <c r="I1483" t="str">
        <f>VLOOKUP(C1483,Customers!A:C,2,FALSE)&amp;" "&amp;VLOOKUP(C1483,Customers!A:C,3,FALSE)</f>
        <v>Emily Hart</v>
      </c>
      <c r="J1483" t="str">
        <f>VLOOKUP(D1483,Products!A:C,2,FALSE)</f>
        <v>Least Accessories</v>
      </c>
      <c r="K1483" t="str">
        <f>VLOOKUP(D1483,Products!A:C,3,FALSE)</f>
        <v>Fashion</v>
      </c>
      <c r="L1483" t="str">
        <f>VLOOKUP(E1483,Stores!A:B,2,FALSE)</f>
        <v>MegaMart Brianahaven</v>
      </c>
      <c r="M1483">
        <f>VLOOKUP(D1483,Products!A:E,5,FALSE)</f>
        <v>1286.55</v>
      </c>
      <c r="N1483" s="5">
        <f t="shared" si="23"/>
        <v>3859.6499999999996</v>
      </c>
    </row>
    <row r="1484" spans="1:14" x14ac:dyDescent="0.3">
      <c r="A1484" t="s">
        <v>2340</v>
      </c>
      <c r="B1484" s="2">
        <v>45391</v>
      </c>
      <c r="C1484" t="s">
        <v>51</v>
      </c>
      <c r="D1484" t="s">
        <v>734</v>
      </c>
      <c r="E1484" t="s">
        <v>846</v>
      </c>
      <c r="F1484">
        <v>1</v>
      </c>
      <c r="G1484">
        <v>0.15</v>
      </c>
      <c r="H1484" t="s">
        <v>858</v>
      </c>
      <c r="I1484" t="str">
        <f>VLOOKUP(C1484,Customers!A:C,2,FALSE)&amp;" "&amp;VLOOKUP(C1484,Customers!A:C,3,FALSE)</f>
        <v>Dale Perry</v>
      </c>
      <c r="J1484" t="str">
        <f>VLOOKUP(D1484,Products!A:C,2,FALSE)</f>
        <v>Recognize Footwear</v>
      </c>
      <c r="K1484" t="str">
        <f>VLOOKUP(D1484,Products!A:C,3,FALSE)</f>
        <v>Fashion</v>
      </c>
      <c r="L1484" t="str">
        <f>VLOOKUP(E1484,Stores!A:B,2,FALSE)</f>
        <v>MegaMart Johnmouth</v>
      </c>
      <c r="M1484">
        <f>VLOOKUP(D1484,Products!A:E,5,FALSE)</f>
        <v>109.78</v>
      </c>
      <c r="N1484" s="5">
        <f t="shared" si="23"/>
        <v>93.313000000000002</v>
      </c>
    </row>
    <row r="1485" spans="1:14" x14ac:dyDescent="0.3">
      <c r="A1485" t="s">
        <v>2341</v>
      </c>
      <c r="B1485" s="2">
        <v>45450</v>
      </c>
      <c r="C1485" t="s">
        <v>101</v>
      </c>
      <c r="D1485" t="s">
        <v>794</v>
      </c>
      <c r="E1485" t="s">
        <v>842</v>
      </c>
      <c r="F1485">
        <v>5</v>
      </c>
      <c r="G1485">
        <v>0.1</v>
      </c>
      <c r="H1485" t="s">
        <v>855</v>
      </c>
      <c r="I1485" t="str">
        <f>VLOOKUP(C1485,Customers!A:C,2,FALSE)&amp;" "&amp;VLOOKUP(C1485,Customers!A:C,3,FALSE)</f>
        <v>Cheryl Gilbert</v>
      </c>
      <c r="J1485" t="str">
        <f>VLOOKUP(D1485,Products!A:C,2,FALSE)</f>
        <v>Everything Laptop</v>
      </c>
      <c r="K1485" t="str">
        <f>VLOOKUP(D1485,Products!A:C,3,FALSE)</f>
        <v>Electronics</v>
      </c>
      <c r="L1485" t="str">
        <f>VLOOKUP(E1485,Stores!A:B,2,FALSE)</f>
        <v>MegaMart Brianahaven</v>
      </c>
      <c r="M1485">
        <f>VLOOKUP(D1485,Products!A:E,5,FALSE)</f>
        <v>428.05</v>
      </c>
      <c r="N1485" s="5">
        <f t="shared" si="23"/>
        <v>1926.2250000000001</v>
      </c>
    </row>
    <row r="1486" spans="1:14" x14ac:dyDescent="0.3">
      <c r="A1486" t="s">
        <v>2342</v>
      </c>
      <c r="B1486" s="2">
        <v>45600</v>
      </c>
      <c r="C1486" t="s">
        <v>250</v>
      </c>
      <c r="D1486" t="s">
        <v>810</v>
      </c>
      <c r="E1486" t="s">
        <v>846</v>
      </c>
      <c r="F1486">
        <v>1</v>
      </c>
      <c r="G1486">
        <v>0</v>
      </c>
      <c r="H1486" t="s">
        <v>865</v>
      </c>
      <c r="I1486" t="str">
        <f>VLOOKUP(C1486,Customers!A:C,2,FALSE)&amp;" "&amp;VLOOKUP(C1486,Customers!A:C,3,FALSE)</f>
        <v>Jason Jenkins</v>
      </c>
      <c r="J1486" t="str">
        <f>VLOOKUP(D1486,Products!A:C,2,FALSE)</f>
        <v>Maybe Clothing</v>
      </c>
      <c r="K1486" t="str">
        <f>VLOOKUP(D1486,Products!A:C,3,FALSE)</f>
        <v>Fashion</v>
      </c>
      <c r="L1486" t="str">
        <f>VLOOKUP(E1486,Stores!A:B,2,FALSE)</f>
        <v>MegaMart Johnmouth</v>
      </c>
      <c r="M1486">
        <f>VLOOKUP(D1486,Products!A:E,5,FALSE)</f>
        <v>453.62</v>
      </c>
      <c r="N1486" s="5">
        <f t="shared" si="23"/>
        <v>453.62</v>
      </c>
    </row>
    <row r="1487" spans="1:14" x14ac:dyDescent="0.3">
      <c r="A1487" t="s">
        <v>2343</v>
      </c>
      <c r="B1487" s="2">
        <v>45204</v>
      </c>
      <c r="C1487" t="s">
        <v>670</v>
      </c>
      <c r="D1487" t="s">
        <v>808</v>
      </c>
      <c r="E1487" t="s">
        <v>842</v>
      </c>
      <c r="F1487">
        <v>2</v>
      </c>
      <c r="G1487">
        <v>0.05</v>
      </c>
      <c r="H1487" t="s">
        <v>858</v>
      </c>
      <c r="I1487" t="str">
        <f>VLOOKUP(C1487,Customers!A:C,2,FALSE)&amp;" "&amp;VLOOKUP(C1487,Customers!A:C,3,FALSE)</f>
        <v>Daniel Lawson</v>
      </c>
      <c r="J1487" t="str">
        <f>VLOOKUP(D1487,Products!A:C,2,FALSE)</f>
        <v>Present Television</v>
      </c>
      <c r="K1487" t="str">
        <f>VLOOKUP(D1487,Products!A:C,3,FALSE)</f>
        <v>Electronics</v>
      </c>
      <c r="L1487" t="str">
        <f>VLOOKUP(E1487,Stores!A:B,2,FALSE)</f>
        <v>MegaMart Brianahaven</v>
      </c>
      <c r="M1487">
        <f>VLOOKUP(D1487,Products!A:E,5,FALSE)</f>
        <v>1635.01</v>
      </c>
      <c r="N1487" s="5">
        <f t="shared" si="23"/>
        <v>3106.5189999999998</v>
      </c>
    </row>
    <row r="1488" spans="1:14" x14ac:dyDescent="0.3">
      <c r="A1488" t="s">
        <v>2344</v>
      </c>
      <c r="B1488" s="2">
        <v>45761</v>
      </c>
      <c r="C1488" t="s">
        <v>51</v>
      </c>
      <c r="D1488" t="s">
        <v>722</v>
      </c>
      <c r="E1488" t="s">
        <v>831</v>
      </c>
      <c r="F1488">
        <v>4</v>
      </c>
      <c r="G1488">
        <v>0.1</v>
      </c>
      <c r="H1488" t="s">
        <v>855</v>
      </c>
      <c r="I1488" t="str">
        <f>VLOOKUP(C1488,Customers!A:C,2,FALSE)&amp;" "&amp;VLOOKUP(C1488,Customers!A:C,3,FALSE)</f>
        <v>Dale Perry</v>
      </c>
      <c r="J1488" t="str">
        <f>VLOOKUP(D1488,Products!A:C,2,FALSE)</f>
        <v>Four Accessories</v>
      </c>
      <c r="K1488" t="str">
        <f>VLOOKUP(D1488,Products!A:C,3,FALSE)</f>
        <v>Fashion</v>
      </c>
      <c r="L1488" t="str">
        <f>VLOOKUP(E1488,Stores!A:B,2,FALSE)</f>
        <v>MegaMart Jimenezborough</v>
      </c>
      <c r="M1488">
        <f>VLOOKUP(D1488,Products!A:E,5,FALSE)</f>
        <v>1853.77</v>
      </c>
      <c r="N1488" s="5">
        <f t="shared" si="23"/>
        <v>6673.5720000000001</v>
      </c>
    </row>
    <row r="1489" spans="1:14" x14ac:dyDescent="0.3">
      <c r="A1489" t="s">
        <v>2345</v>
      </c>
      <c r="B1489" s="2">
        <v>45483</v>
      </c>
      <c r="C1489" t="s">
        <v>545</v>
      </c>
      <c r="D1489" t="s">
        <v>800</v>
      </c>
      <c r="E1489" t="s">
        <v>842</v>
      </c>
      <c r="F1489">
        <v>4</v>
      </c>
      <c r="G1489">
        <v>0.1</v>
      </c>
      <c r="H1489" t="s">
        <v>855</v>
      </c>
      <c r="I1489" t="str">
        <f>VLOOKUP(C1489,Customers!A:C,2,FALSE)&amp;" "&amp;VLOOKUP(C1489,Customers!A:C,3,FALSE)</f>
        <v>Dawn Fletcher</v>
      </c>
      <c r="J1489" t="str">
        <f>VLOOKUP(D1489,Products!A:C,2,FALSE)</f>
        <v>Book Television</v>
      </c>
      <c r="K1489" t="str">
        <f>VLOOKUP(D1489,Products!A:C,3,FALSE)</f>
        <v>Electronics</v>
      </c>
      <c r="L1489" t="str">
        <f>VLOOKUP(E1489,Stores!A:B,2,FALSE)</f>
        <v>MegaMart Brianahaven</v>
      </c>
      <c r="M1489">
        <f>VLOOKUP(D1489,Products!A:E,5,FALSE)</f>
        <v>1952.65</v>
      </c>
      <c r="N1489" s="5">
        <f t="shared" si="23"/>
        <v>7029.5400000000009</v>
      </c>
    </row>
    <row r="1490" spans="1:14" x14ac:dyDescent="0.3">
      <c r="A1490" t="s">
        <v>2346</v>
      </c>
      <c r="B1490" s="2">
        <v>45264</v>
      </c>
      <c r="C1490" t="s">
        <v>187</v>
      </c>
      <c r="D1490" t="s">
        <v>728</v>
      </c>
      <c r="E1490" t="s">
        <v>835</v>
      </c>
      <c r="F1490">
        <v>2</v>
      </c>
      <c r="G1490">
        <v>0</v>
      </c>
      <c r="H1490" t="s">
        <v>855</v>
      </c>
      <c r="I1490" t="str">
        <f>VLOOKUP(C1490,Customers!A:C,2,FALSE)&amp;" "&amp;VLOOKUP(C1490,Customers!A:C,3,FALSE)</f>
        <v>Alexis Crane</v>
      </c>
      <c r="J1490" t="str">
        <f>VLOOKUP(D1490,Products!A:C,2,FALSE)</f>
        <v>Company Fruits</v>
      </c>
      <c r="K1490" t="str">
        <f>VLOOKUP(D1490,Products!A:C,3,FALSE)</f>
        <v>Groceries</v>
      </c>
      <c r="L1490" t="str">
        <f>VLOOKUP(E1490,Stores!A:B,2,FALSE)</f>
        <v>MegaMart Peckmouth</v>
      </c>
      <c r="M1490">
        <f>VLOOKUP(D1490,Products!A:E,5,FALSE)</f>
        <v>318.05</v>
      </c>
      <c r="N1490" s="5">
        <f t="shared" si="23"/>
        <v>636.1</v>
      </c>
    </row>
    <row r="1491" spans="1:14" x14ac:dyDescent="0.3">
      <c r="A1491" t="s">
        <v>2347</v>
      </c>
      <c r="B1491" s="2">
        <v>45239</v>
      </c>
      <c r="C1491" t="s">
        <v>615</v>
      </c>
      <c r="D1491" t="s">
        <v>739</v>
      </c>
      <c r="E1491" t="s">
        <v>831</v>
      </c>
      <c r="F1491">
        <v>4</v>
      </c>
      <c r="G1491">
        <v>0</v>
      </c>
      <c r="H1491" t="s">
        <v>865</v>
      </c>
      <c r="I1491" t="str">
        <f>VLOOKUP(C1491,Customers!A:C,2,FALSE)&amp;" "&amp;VLOOKUP(C1491,Customers!A:C,3,FALSE)</f>
        <v>Lisa Ruiz</v>
      </c>
      <c r="J1491" t="str">
        <f>VLOOKUP(D1491,Products!A:C,2,FALSE)</f>
        <v>Step Smartphone</v>
      </c>
      <c r="K1491" t="str">
        <f>VLOOKUP(D1491,Products!A:C,3,FALSE)</f>
        <v>Electronics</v>
      </c>
      <c r="L1491" t="str">
        <f>VLOOKUP(E1491,Stores!A:B,2,FALSE)</f>
        <v>MegaMart Jimenezborough</v>
      </c>
      <c r="M1491">
        <f>VLOOKUP(D1491,Products!A:E,5,FALSE)</f>
        <v>1194.1199999999999</v>
      </c>
      <c r="N1491" s="5">
        <f t="shared" si="23"/>
        <v>4776.4799999999996</v>
      </c>
    </row>
    <row r="1492" spans="1:14" x14ac:dyDescent="0.3">
      <c r="A1492" t="s">
        <v>2348</v>
      </c>
      <c r="B1492" s="2">
        <v>45615</v>
      </c>
      <c r="C1492" t="s">
        <v>382</v>
      </c>
      <c r="D1492" t="s">
        <v>798</v>
      </c>
      <c r="E1492" t="s">
        <v>831</v>
      </c>
      <c r="F1492">
        <v>1</v>
      </c>
      <c r="G1492">
        <v>0.05</v>
      </c>
      <c r="H1492" t="s">
        <v>858</v>
      </c>
      <c r="I1492" t="str">
        <f>VLOOKUP(C1492,Customers!A:C,2,FALSE)&amp;" "&amp;VLOOKUP(C1492,Customers!A:C,3,FALSE)</f>
        <v>Carolyn Perez</v>
      </c>
      <c r="J1492" t="str">
        <f>VLOOKUP(D1492,Products!A:C,2,FALSE)</f>
        <v>New Watches</v>
      </c>
      <c r="K1492" t="str">
        <f>VLOOKUP(D1492,Products!A:C,3,FALSE)</f>
        <v>Fashion</v>
      </c>
      <c r="L1492" t="str">
        <f>VLOOKUP(E1492,Stores!A:B,2,FALSE)</f>
        <v>MegaMart Jimenezborough</v>
      </c>
      <c r="M1492">
        <f>VLOOKUP(D1492,Products!A:E,5,FALSE)</f>
        <v>1501.46</v>
      </c>
      <c r="N1492" s="5">
        <f t="shared" si="23"/>
        <v>1426.3869999999999</v>
      </c>
    </row>
    <row r="1493" spans="1:14" x14ac:dyDescent="0.3">
      <c r="A1493" t="s">
        <v>2349</v>
      </c>
      <c r="B1493" s="2">
        <v>45496</v>
      </c>
      <c r="C1493" t="s">
        <v>438</v>
      </c>
      <c r="D1493" t="s">
        <v>822</v>
      </c>
      <c r="E1493" t="s">
        <v>842</v>
      </c>
      <c r="F1493">
        <v>5</v>
      </c>
      <c r="G1493">
        <v>0.15</v>
      </c>
      <c r="H1493" t="s">
        <v>855</v>
      </c>
      <c r="I1493" t="str">
        <f>VLOOKUP(C1493,Customers!A:C,2,FALSE)&amp;" "&amp;VLOOKUP(C1493,Customers!A:C,3,FALSE)</f>
        <v>Gina Bradford</v>
      </c>
      <c r="J1493" t="str">
        <f>VLOOKUP(D1493,Products!A:C,2,FALSE)</f>
        <v>Nor Bags</v>
      </c>
      <c r="K1493" t="str">
        <f>VLOOKUP(D1493,Products!A:C,3,FALSE)</f>
        <v>Fashion</v>
      </c>
      <c r="L1493" t="str">
        <f>VLOOKUP(E1493,Stores!A:B,2,FALSE)</f>
        <v>MegaMart Brianahaven</v>
      </c>
      <c r="M1493">
        <f>VLOOKUP(D1493,Products!A:E,5,FALSE)</f>
        <v>1216.3599999999999</v>
      </c>
      <c r="N1493" s="5">
        <f t="shared" si="23"/>
        <v>5169.5299999999988</v>
      </c>
    </row>
    <row r="1494" spans="1:14" x14ac:dyDescent="0.3">
      <c r="A1494" t="s">
        <v>2350</v>
      </c>
      <c r="B1494" s="2">
        <v>45635</v>
      </c>
      <c r="C1494" t="s">
        <v>570</v>
      </c>
      <c r="D1494" t="s">
        <v>736</v>
      </c>
      <c r="E1494" t="s">
        <v>846</v>
      </c>
      <c r="F1494">
        <v>3</v>
      </c>
      <c r="G1494">
        <v>0.15</v>
      </c>
      <c r="H1494" t="s">
        <v>855</v>
      </c>
      <c r="I1494" t="str">
        <f>VLOOKUP(C1494,Customers!A:C,2,FALSE)&amp;" "&amp;VLOOKUP(C1494,Customers!A:C,3,FALSE)</f>
        <v>Thomas Chung</v>
      </c>
      <c r="J1494" t="str">
        <f>VLOOKUP(D1494,Products!A:C,2,FALSE)</f>
        <v>Us Snacks</v>
      </c>
      <c r="K1494" t="str">
        <f>VLOOKUP(D1494,Products!A:C,3,FALSE)</f>
        <v>Groceries</v>
      </c>
      <c r="L1494" t="str">
        <f>VLOOKUP(E1494,Stores!A:B,2,FALSE)</f>
        <v>MegaMart Johnmouth</v>
      </c>
      <c r="M1494">
        <f>VLOOKUP(D1494,Products!A:E,5,FALSE)</f>
        <v>123.19</v>
      </c>
      <c r="N1494" s="5">
        <f t="shared" si="23"/>
        <v>314.1345</v>
      </c>
    </row>
    <row r="1495" spans="1:14" x14ac:dyDescent="0.3">
      <c r="A1495" t="s">
        <v>2351</v>
      </c>
      <c r="B1495" s="2">
        <v>45437</v>
      </c>
      <c r="C1495" t="s">
        <v>93</v>
      </c>
      <c r="D1495" t="s">
        <v>824</v>
      </c>
      <c r="E1495" t="s">
        <v>835</v>
      </c>
      <c r="F1495">
        <v>2</v>
      </c>
      <c r="G1495">
        <v>0</v>
      </c>
      <c r="H1495" t="s">
        <v>861</v>
      </c>
      <c r="I1495" t="str">
        <f>VLOOKUP(C1495,Customers!A:C,2,FALSE)&amp;" "&amp;VLOOKUP(C1495,Customers!A:C,3,FALSE)</f>
        <v>Mark Martinez</v>
      </c>
      <c r="J1495" t="str">
        <f>VLOOKUP(D1495,Products!A:C,2,FALSE)</f>
        <v>Possible Watches</v>
      </c>
      <c r="K1495" t="str">
        <f>VLOOKUP(D1495,Products!A:C,3,FALSE)</f>
        <v>Fashion</v>
      </c>
      <c r="L1495" t="str">
        <f>VLOOKUP(E1495,Stores!A:B,2,FALSE)</f>
        <v>MegaMart Peckmouth</v>
      </c>
      <c r="M1495">
        <f>VLOOKUP(D1495,Products!A:E,5,FALSE)</f>
        <v>388.26</v>
      </c>
      <c r="N1495" s="5">
        <f t="shared" si="23"/>
        <v>776.52</v>
      </c>
    </row>
    <row r="1496" spans="1:14" x14ac:dyDescent="0.3">
      <c r="A1496" t="s">
        <v>2352</v>
      </c>
      <c r="B1496" s="2">
        <v>45254</v>
      </c>
      <c r="C1496" t="s">
        <v>115</v>
      </c>
      <c r="D1496" t="s">
        <v>766</v>
      </c>
      <c r="E1496" t="s">
        <v>831</v>
      </c>
      <c r="F1496">
        <v>2</v>
      </c>
      <c r="G1496">
        <v>0</v>
      </c>
      <c r="H1496" t="s">
        <v>861</v>
      </c>
      <c r="I1496" t="str">
        <f>VLOOKUP(C1496,Customers!A:C,2,FALSE)&amp;" "&amp;VLOOKUP(C1496,Customers!A:C,3,FALSE)</f>
        <v>Tyler Levine</v>
      </c>
      <c r="J1496" t="str">
        <f>VLOOKUP(D1496,Products!A:C,2,FALSE)</f>
        <v>Firm Dairy</v>
      </c>
      <c r="K1496" t="str">
        <f>VLOOKUP(D1496,Products!A:C,3,FALSE)</f>
        <v>Groceries</v>
      </c>
      <c r="L1496" t="str">
        <f>VLOOKUP(E1496,Stores!A:B,2,FALSE)</f>
        <v>MegaMart Jimenezborough</v>
      </c>
      <c r="M1496">
        <f>VLOOKUP(D1496,Products!A:E,5,FALSE)</f>
        <v>1227.24</v>
      </c>
      <c r="N1496" s="5">
        <f t="shared" si="23"/>
        <v>2454.48</v>
      </c>
    </row>
    <row r="1497" spans="1:14" x14ac:dyDescent="0.3">
      <c r="A1497" t="s">
        <v>2353</v>
      </c>
      <c r="B1497" s="2">
        <v>45868</v>
      </c>
      <c r="C1497" t="s">
        <v>458</v>
      </c>
      <c r="D1497" t="s">
        <v>780</v>
      </c>
      <c r="E1497" t="s">
        <v>835</v>
      </c>
      <c r="F1497">
        <v>2</v>
      </c>
      <c r="G1497">
        <v>0.15</v>
      </c>
      <c r="H1497" t="s">
        <v>861</v>
      </c>
      <c r="I1497" t="str">
        <f>VLOOKUP(C1497,Customers!A:C,2,FALSE)&amp;" "&amp;VLOOKUP(C1497,Customers!A:C,3,FALSE)</f>
        <v>Chad Roberts</v>
      </c>
      <c r="J1497" t="str">
        <f>VLOOKUP(D1497,Products!A:C,2,FALSE)</f>
        <v>Hospital Smartphone</v>
      </c>
      <c r="K1497" t="str">
        <f>VLOOKUP(D1497,Products!A:C,3,FALSE)</f>
        <v>Electronics</v>
      </c>
      <c r="L1497" t="str">
        <f>VLOOKUP(E1497,Stores!A:B,2,FALSE)</f>
        <v>MegaMart Peckmouth</v>
      </c>
      <c r="M1497">
        <f>VLOOKUP(D1497,Products!A:E,5,FALSE)</f>
        <v>1272.23</v>
      </c>
      <c r="N1497" s="5">
        <f t="shared" si="23"/>
        <v>2162.7910000000002</v>
      </c>
    </row>
    <row r="1498" spans="1:14" x14ac:dyDescent="0.3">
      <c r="A1498" t="s">
        <v>2354</v>
      </c>
      <c r="B1498" s="2">
        <v>45590</v>
      </c>
      <c r="C1498" t="s">
        <v>93</v>
      </c>
      <c r="D1498" t="s">
        <v>818</v>
      </c>
      <c r="E1498" t="s">
        <v>839</v>
      </c>
      <c r="F1498">
        <v>4</v>
      </c>
      <c r="G1498">
        <v>0.05</v>
      </c>
      <c r="H1498" t="s">
        <v>858</v>
      </c>
      <c r="I1498" t="str">
        <f>VLOOKUP(C1498,Customers!A:C,2,FALSE)&amp;" "&amp;VLOOKUP(C1498,Customers!A:C,3,FALSE)</f>
        <v>Mark Martinez</v>
      </c>
      <c r="J1498" t="str">
        <f>VLOOKUP(D1498,Products!A:C,2,FALSE)</f>
        <v>Nature Clothing</v>
      </c>
      <c r="K1498" t="str">
        <f>VLOOKUP(D1498,Products!A:C,3,FALSE)</f>
        <v>Fashion</v>
      </c>
      <c r="L1498" t="str">
        <f>VLOOKUP(E1498,Stores!A:B,2,FALSE)</f>
        <v>MegaMart New Michele</v>
      </c>
      <c r="M1498">
        <f>VLOOKUP(D1498,Products!A:E,5,FALSE)</f>
        <v>1165.3699999999999</v>
      </c>
      <c r="N1498" s="5">
        <f t="shared" si="23"/>
        <v>4428.405999999999</v>
      </c>
    </row>
    <row r="1499" spans="1:14" x14ac:dyDescent="0.3">
      <c r="A1499" t="s">
        <v>2355</v>
      </c>
      <c r="B1499" s="2">
        <v>45599</v>
      </c>
      <c r="C1499" t="s">
        <v>407</v>
      </c>
      <c r="D1499" t="s">
        <v>786</v>
      </c>
      <c r="E1499" t="s">
        <v>831</v>
      </c>
      <c r="F1499">
        <v>1</v>
      </c>
      <c r="G1499">
        <v>0.05</v>
      </c>
      <c r="H1499" t="s">
        <v>861</v>
      </c>
      <c r="I1499" t="str">
        <f>VLOOKUP(C1499,Customers!A:C,2,FALSE)&amp;" "&amp;VLOOKUP(C1499,Customers!A:C,3,FALSE)</f>
        <v>Austin Hogan</v>
      </c>
      <c r="J1499" t="str">
        <f>VLOOKUP(D1499,Products!A:C,2,FALSE)</f>
        <v>National Watches</v>
      </c>
      <c r="K1499" t="str">
        <f>VLOOKUP(D1499,Products!A:C,3,FALSE)</f>
        <v>Fashion</v>
      </c>
      <c r="L1499" t="str">
        <f>VLOOKUP(E1499,Stores!A:B,2,FALSE)</f>
        <v>MegaMart Jimenezborough</v>
      </c>
      <c r="M1499">
        <f>VLOOKUP(D1499,Products!A:E,5,FALSE)</f>
        <v>29.24</v>
      </c>
      <c r="N1499" s="5">
        <f t="shared" si="23"/>
        <v>27.777999999999999</v>
      </c>
    </row>
    <row r="1500" spans="1:14" x14ac:dyDescent="0.3">
      <c r="A1500" t="s">
        <v>2356</v>
      </c>
      <c r="B1500" s="2">
        <v>45462</v>
      </c>
      <c r="C1500" t="s">
        <v>670</v>
      </c>
      <c r="D1500" t="s">
        <v>732</v>
      </c>
      <c r="E1500" t="s">
        <v>842</v>
      </c>
      <c r="F1500">
        <v>4</v>
      </c>
      <c r="G1500">
        <v>0.15</v>
      </c>
      <c r="H1500" t="s">
        <v>865</v>
      </c>
      <c r="I1500" t="str">
        <f>VLOOKUP(C1500,Customers!A:C,2,FALSE)&amp;" "&amp;VLOOKUP(C1500,Customers!A:C,3,FALSE)</f>
        <v>Daniel Lawson</v>
      </c>
      <c r="J1500" t="str">
        <f>VLOOKUP(D1500,Products!A:C,2,FALSE)</f>
        <v>Understand Camera</v>
      </c>
      <c r="K1500" t="str">
        <f>VLOOKUP(D1500,Products!A:C,3,FALSE)</f>
        <v>Electronics</v>
      </c>
      <c r="L1500" t="str">
        <f>VLOOKUP(E1500,Stores!A:B,2,FALSE)</f>
        <v>MegaMart Brianahaven</v>
      </c>
      <c r="M1500">
        <f>VLOOKUP(D1500,Products!A:E,5,FALSE)</f>
        <v>1474.12</v>
      </c>
      <c r="N1500" s="5">
        <f t="shared" si="23"/>
        <v>5012.0079999999998</v>
      </c>
    </row>
    <row r="1501" spans="1:14" x14ac:dyDescent="0.3">
      <c r="A1501" t="s">
        <v>2357</v>
      </c>
      <c r="B1501" s="2">
        <v>45741</v>
      </c>
      <c r="C1501" t="s">
        <v>432</v>
      </c>
      <c r="D1501" t="s">
        <v>818</v>
      </c>
      <c r="E1501" t="s">
        <v>846</v>
      </c>
      <c r="F1501">
        <v>2</v>
      </c>
      <c r="G1501">
        <v>0.05</v>
      </c>
      <c r="H1501" t="s">
        <v>855</v>
      </c>
      <c r="I1501" t="str">
        <f>VLOOKUP(C1501,Customers!A:C,2,FALSE)&amp;" "&amp;VLOOKUP(C1501,Customers!A:C,3,FALSE)</f>
        <v>Jamie Webb</v>
      </c>
      <c r="J1501" t="str">
        <f>VLOOKUP(D1501,Products!A:C,2,FALSE)</f>
        <v>Nature Clothing</v>
      </c>
      <c r="K1501" t="str">
        <f>VLOOKUP(D1501,Products!A:C,3,FALSE)</f>
        <v>Fashion</v>
      </c>
      <c r="L1501" t="str">
        <f>VLOOKUP(E1501,Stores!A:B,2,FALSE)</f>
        <v>MegaMart Johnmouth</v>
      </c>
      <c r="M1501">
        <f>VLOOKUP(D1501,Products!A:E,5,FALSE)</f>
        <v>1165.3699999999999</v>
      </c>
      <c r="N1501" s="5">
        <f t="shared" si="23"/>
        <v>2214.2029999999995</v>
      </c>
    </row>
    <row r="1502" spans="1:14" x14ac:dyDescent="0.3">
      <c r="A1502" t="s">
        <v>2358</v>
      </c>
      <c r="B1502" s="2">
        <v>45259</v>
      </c>
      <c r="C1502" t="s">
        <v>531</v>
      </c>
      <c r="D1502" t="s">
        <v>759</v>
      </c>
      <c r="E1502" t="s">
        <v>842</v>
      </c>
      <c r="F1502">
        <v>1</v>
      </c>
      <c r="G1502">
        <v>0.1</v>
      </c>
      <c r="H1502" t="s">
        <v>865</v>
      </c>
      <c r="I1502" t="str">
        <f>VLOOKUP(C1502,Customers!A:C,2,FALSE)&amp;" "&amp;VLOOKUP(C1502,Customers!A:C,3,FALSE)</f>
        <v>John Johnson</v>
      </c>
      <c r="J1502" t="str">
        <f>VLOOKUP(D1502,Products!A:C,2,FALSE)</f>
        <v>Democratic Smartphone</v>
      </c>
      <c r="K1502" t="str">
        <f>VLOOKUP(D1502,Products!A:C,3,FALSE)</f>
        <v>Electronics</v>
      </c>
      <c r="L1502" t="str">
        <f>VLOOKUP(E1502,Stores!A:B,2,FALSE)</f>
        <v>MegaMart Brianahaven</v>
      </c>
      <c r="M1502">
        <f>VLOOKUP(D1502,Products!A:E,5,FALSE)</f>
        <v>1079.8900000000001</v>
      </c>
      <c r="N1502" s="5">
        <f t="shared" si="23"/>
        <v>971.90100000000007</v>
      </c>
    </row>
    <row r="1503" spans="1:14" x14ac:dyDescent="0.3">
      <c r="A1503" t="s">
        <v>2359</v>
      </c>
      <c r="B1503" s="2">
        <v>45320</v>
      </c>
      <c r="C1503" t="s">
        <v>109</v>
      </c>
      <c r="D1503" t="s">
        <v>798</v>
      </c>
      <c r="E1503" t="s">
        <v>842</v>
      </c>
      <c r="F1503">
        <v>4</v>
      </c>
      <c r="G1503">
        <v>0.15</v>
      </c>
      <c r="H1503" t="s">
        <v>855</v>
      </c>
      <c r="I1503" t="str">
        <f>VLOOKUP(C1503,Customers!A:C,2,FALSE)&amp;" "&amp;VLOOKUP(C1503,Customers!A:C,3,FALSE)</f>
        <v>Jacqueline Martin</v>
      </c>
      <c r="J1503" t="str">
        <f>VLOOKUP(D1503,Products!A:C,2,FALSE)</f>
        <v>New Watches</v>
      </c>
      <c r="K1503" t="str">
        <f>VLOOKUP(D1503,Products!A:C,3,FALSE)</f>
        <v>Fashion</v>
      </c>
      <c r="L1503" t="str">
        <f>VLOOKUP(E1503,Stores!A:B,2,FALSE)</f>
        <v>MegaMart Brianahaven</v>
      </c>
      <c r="M1503">
        <f>VLOOKUP(D1503,Products!A:E,5,FALSE)</f>
        <v>1501.46</v>
      </c>
      <c r="N1503" s="5">
        <f t="shared" si="23"/>
        <v>5104.9639999999999</v>
      </c>
    </row>
    <row r="1504" spans="1:14" x14ac:dyDescent="0.3">
      <c r="A1504" t="s">
        <v>2360</v>
      </c>
      <c r="B1504" s="2">
        <v>45358</v>
      </c>
      <c r="C1504" t="s">
        <v>44</v>
      </c>
      <c r="D1504" t="s">
        <v>788</v>
      </c>
      <c r="E1504" t="s">
        <v>842</v>
      </c>
      <c r="F1504">
        <v>4</v>
      </c>
      <c r="G1504">
        <v>0.15</v>
      </c>
      <c r="H1504" t="s">
        <v>858</v>
      </c>
      <c r="I1504" t="str">
        <f>VLOOKUP(C1504,Customers!A:C,2,FALSE)&amp;" "&amp;VLOOKUP(C1504,Customers!A:C,3,FALSE)</f>
        <v>Catherine Rice</v>
      </c>
      <c r="J1504" t="str">
        <f>VLOOKUP(D1504,Products!A:C,2,FALSE)</f>
        <v>Foot Snacks</v>
      </c>
      <c r="K1504" t="str">
        <f>VLOOKUP(D1504,Products!A:C,3,FALSE)</f>
        <v>Groceries</v>
      </c>
      <c r="L1504" t="str">
        <f>VLOOKUP(E1504,Stores!A:B,2,FALSE)</f>
        <v>MegaMart Brianahaven</v>
      </c>
      <c r="M1504">
        <f>VLOOKUP(D1504,Products!A:E,5,FALSE)</f>
        <v>1095.72</v>
      </c>
      <c r="N1504" s="5">
        <f t="shared" si="23"/>
        <v>3725.4479999999999</v>
      </c>
    </row>
    <row r="1505" spans="1:14" x14ac:dyDescent="0.3">
      <c r="A1505" t="s">
        <v>2361</v>
      </c>
      <c r="B1505" s="2">
        <v>45670</v>
      </c>
      <c r="C1505" t="s">
        <v>230</v>
      </c>
      <c r="D1505" t="s">
        <v>769</v>
      </c>
      <c r="E1505" t="s">
        <v>831</v>
      </c>
      <c r="F1505">
        <v>5</v>
      </c>
      <c r="G1505">
        <v>0</v>
      </c>
      <c r="H1505" t="s">
        <v>858</v>
      </c>
      <c r="I1505" t="str">
        <f>VLOOKUP(C1505,Customers!A:C,2,FALSE)&amp;" "&amp;VLOOKUP(C1505,Customers!A:C,3,FALSE)</f>
        <v>Anthony Conway</v>
      </c>
      <c r="J1505" t="str">
        <f>VLOOKUP(D1505,Products!A:C,2,FALSE)</f>
        <v>How Vegetables</v>
      </c>
      <c r="K1505" t="str">
        <f>VLOOKUP(D1505,Products!A:C,3,FALSE)</f>
        <v>Groceries</v>
      </c>
      <c r="L1505" t="str">
        <f>VLOOKUP(E1505,Stores!A:B,2,FALSE)</f>
        <v>MegaMart Jimenezborough</v>
      </c>
      <c r="M1505">
        <f>VLOOKUP(D1505,Products!A:E,5,FALSE)</f>
        <v>25.57</v>
      </c>
      <c r="N1505" s="5">
        <f t="shared" si="23"/>
        <v>127.85</v>
      </c>
    </row>
    <row r="1506" spans="1:14" x14ac:dyDescent="0.3">
      <c r="A1506" t="s">
        <v>2362</v>
      </c>
      <c r="B1506" s="2">
        <v>45439</v>
      </c>
      <c r="C1506" t="s">
        <v>536</v>
      </c>
      <c r="D1506" t="s">
        <v>739</v>
      </c>
      <c r="E1506" t="s">
        <v>839</v>
      </c>
      <c r="F1506">
        <v>5</v>
      </c>
      <c r="G1506">
        <v>0</v>
      </c>
      <c r="H1506" t="s">
        <v>855</v>
      </c>
      <c r="I1506" t="str">
        <f>VLOOKUP(C1506,Customers!A:C,2,FALSE)&amp;" "&amp;VLOOKUP(C1506,Customers!A:C,3,FALSE)</f>
        <v>John Foster</v>
      </c>
      <c r="J1506" t="str">
        <f>VLOOKUP(D1506,Products!A:C,2,FALSE)</f>
        <v>Step Smartphone</v>
      </c>
      <c r="K1506" t="str">
        <f>VLOOKUP(D1506,Products!A:C,3,FALSE)</f>
        <v>Electronics</v>
      </c>
      <c r="L1506" t="str">
        <f>VLOOKUP(E1506,Stores!A:B,2,FALSE)</f>
        <v>MegaMart New Michele</v>
      </c>
      <c r="M1506">
        <f>VLOOKUP(D1506,Products!A:E,5,FALSE)</f>
        <v>1194.1199999999999</v>
      </c>
      <c r="N1506" s="5">
        <f t="shared" si="23"/>
        <v>5970.5999999999995</v>
      </c>
    </row>
    <row r="1507" spans="1:14" x14ac:dyDescent="0.3">
      <c r="A1507" t="s">
        <v>2363</v>
      </c>
      <c r="B1507" s="2">
        <v>45737</v>
      </c>
      <c r="C1507" t="s">
        <v>593</v>
      </c>
      <c r="D1507" t="s">
        <v>814</v>
      </c>
      <c r="E1507" t="s">
        <v>842</v>
      </c>
      <c r="F1507">
        <v>4</v>
      </c>
      <c r="G1507">
        <v>0</v>
      </c>
      <c r="H1507" t="s">
        <v>858</v>
      </c>
      <c r="I1507" t="str">
        <f>VLOOKUP(C1507,Customers!A:C,2,FALSE)&amp;" "&amp;VLOOKUP(C1507,Customers!A:C,3,FALSE)</f>
        <v>Meagan Ali</v>
      </c>
      <c r="J1507" t="str">
        <f>VLOOKUP(D1507,Products!A:C,2,FALSE)</f>
        <v>Least Accessories</v>
      </c>
      <c r="K1507" t="str">
        <f>VLOOKUP(D1507,Products!A:C,3,FALSE)</f>
        <v>Fashion</v>
      </c>
      <c r="L1507" t="str">
        <f>VLOOKUP(E1507,Stores!A:B,2,FALSE)</f>
        <v>MegaMart Brianahaven</v>
      </c>
      <c r="M1507">
        <f>VLOOKUP(D1507,Products!A:E,5,FALSE)</f>
        <v>1286.55</v>
      </c>
      <c r="N1507" s="5">
        <f t="shared" si="23"/>
        <v>5146.2</v>
      </c>
    </row>
    <row r="1508" spans="1:14" x14ac:dyDescent="0.3">
      <c r="A1508" t="s">
        <v>2364</v>
      </c>
      <c r="B1508" s="2">
        <v>45392</v>
      </c>
      <c r="C1508" t="s">
        <v>574</v>
      </c>
      <c r="D1508" t="s">
        <v>814</v>
      </c>
      <c r="E1508" t="s">
        <v>839</v>
      </c>
      <c r="F1508">
        <v>4</v>
      </c>
      <c r="G1508">
        <v>0.15</v>
      </c>
      <c r="H1508" t="s">
        <v>865</v>
      </c>
      <c r="I1508" t="str">
        <f>VLOOKUP(C1508,Customers!A:C,2,FALSE)&amp;" "&amp;VLOOKUP(C1508,Customers!A:C,3,FALSE)</f>
        <v>Meagan Macdonald</v>
      </c>
      <c r="J1508" t="str">
        <f>VLOOKUP(D1508,Products!A:C,2,FALSE)</f>
        <v>Least Accessories</v>
      </c>
      <c r="K1508" t="str">
        <f>VLOOKUP(D1508,Products!A:C,3,FALSE)</f>
        <v>Fashion</v>
      </c>
      <c r="L1508" t="str">
        <f>VLOOKUP(E1508,Stores!A:B,2,FALSE)</f>
        <v>MegaMart New Michele</v>
      </c>
      <c r="M1508">
        <f>VLOOKUP(D1508,Products!A:E,5,FALSE)</f>
        <v>1286.55</v>
      </c>
      <c r="N1508" s="5">
        <f t="shared" si="23"/>
        <v>4374.2699999999995</v>
      </c>
    </row>
    <row r="1509" spans="1:14" x14ac:dyDescent="0.3">
      <c r="A1509" t="s">
        <v>2365</v>
      </c>
      <c r="B1509" s="2">
        <v>45495</v>
      </c>
      <c r="C1509" t="s">
        <v>163</v>
      </c>
      <c r="D1509" t="s">
        <v>790</v>
      </c>
      <c r="E1509" t="s">
        <v>839</v>
      </c>
      <c r="F1509">
        <v>2</v>
      </c>
      <c r="G1509">
        <v>0.15</v>
      </c>
      <c r="H1509" t="s">
        <v>855</v>
      </c>
      <c r="I1509" t="str">
        <f>VLOOKUP(C1509,Customers!A:C,2,FALSE)&amp;" "&amp;VLOOKUP(C1509,Customers!A:C,3,FALSE)</f>
        <v>Anna Andrews</v>
      </c>
      <c r="J1509" t="str">
        <f>VLOOKUP(D1509,Products!A:C,2,FALSE)</f>
        <v>Difficult Vegetables</v>
      </c>
      <c r="K1509" t="str">
        <f>VLOOKUP(D1509,Products!A:C,3,FALSE)</f>
        <v>Groceries</v>
      </c>
      <c r="L1509" t="str">
        <f>VLOOKUP(E1509,Stores!A:B,2,FALSE)</f>
        <v>MegaMart New Michele</v>
      </c>
      <c r="M1509">
        <f>VLOOKUP(D1509,Products!A:E,5,FALSE)</f>
        <v>304.70999999999998</v>
      </c>
      <c r="N1509" s="5">
        <f t="shared" si="23"/>
        <v>518.00699999999995</v>
      </c>
    </row>
    <row r="1510" spans="1:14" x14ac:dyDescent="0.3">
      <c r="A1510" t="s">
        <v>2366</v>
      </c>
      <c r="B1510" s="2">
        <v>45401</v>
      </c>
      <c r="C1510" t="s">
        <v>422</v>
      </c>
      <c r="D1510" t="s">
        <v>816</v>
      </c>
      <c r="E1510" t="s">
        <v>835</v>
      </c>
      <c r="F1510">
        <v>5</v>
      </c>
      <c r="G1510">
        <v>0.05</v>
      </c>
      <c r="H1510" t="s">
        <v>855</v>
      </c>
      <c r="I1510" t="str">
        <f>VLOOKUP(C1510,Customers!A:C,2,FALSE)&amp;" "&amp;VLOOKUP(C1510,Customers!A:C,3,FALSE)</f>
        <v>Heidi Wilson</v>
      </c>
      <c r="J1510" t="str">
        <f>VLOOKUP(D1510,Products!A:C,2,FALSE)</f>
        <v>Set Dairy</v>
      </c>
      <c r="K1510" t="str">
        <f>VLOOKUP(D1510,Products!A:C,3,FALSE)</f>
        <v>Groceries</v>
      </c>
      <c r="L1510" t="str">
        <f>VLOOKUP(E1510,Stores!A:B,2,FALSE)</f>
        <v>MegaMart Peckmouth</v>
      </c>
      <c r="M1510">
        <f>VLOOKUP(D1510,Products!A:E,5,FALSE)</f>
        <v>1879.08</v>
      </c>
      <c r="N1510" s="5">
        <f t="shared" si="23"/>
        <v>8925.6299999999992</v>
      </c>
    </row>
    <row r="1511" spans="1:14" x14ac:dyDescent="0.3">
      <c r="A1511" t="s">
        <v>2367</v>
      </c>
      <c r="B1511" s="2">
        <v>45871</v>
      </c>
      <c r="C1511" t="s">
        <v>556</v>
      </c>
      <c r="D1511" t="s">
        <v>772</v>
      </c>
      <c r="E1511" t="s">
        <v>842</v>
      </c>
      <c r="F1511">
        <v>2</v>
      </c>
      <c r="G1511">
        <v>0.1</v>
      </c>
      <c r="H1511" t="s">
        <v>858</v>
      </c>
      <c r="I1511" t="str">
        <f>VLOOKUP(C1511,Customers!A:C,2,FALSE)&amp;" "&amp;VLOOKUP(C1511,Customers!A:C,3,FALSE)</f>
        <v>Jill Mcconnell</v>
      </c>
      <c r="J1511" t="str">
        <f>VLOOKUP(D1511,Products!A:C,2,FALSE)</f>
        <v>And Footwear</v>
      </c>
      <c r="K1511" t="str">
        <f>VLOOKUP(D1511,Products!A:C,3,FALSE)</f>
        <v>Fashion</v>
      </c>
      <c r="L1511" t="str">
        <f>VLOOKUP(E1511,Stores!A:B,2,FALSE)</f>
        <v>MegaMart Brianahaven</v>
      </c>
      <c r="M1511">
        <f>VLOOKUP(D1511,Products!A:E,5,FALSE)</f>
        <v>1878.47</v>
      </c>
      <c r="N1511" s="5">
        <f t="shared" si="23"/>
        <v>3381.2460000000001</v>
      </c>
    </row>
    <row r="1512" spans="1:14" x14ac:dyDescent="0.3">
      <c r="A1512" t="s">
        <v>2368</v>
      </c>
      <c r="B1512" s="2">
        <v>45481</v>
      </c>
      <c r="C1512" t="s">
        <v>399</v>
      </c>
      <c r="D1512" t="s">
        <v>725</v>
      </c>
      <c r="E1512" t="s">
        <v>839</v>
      </c>
      <c r="F1512">
        <v>4</v>
      </c>
      <c r="G1512">
        <v>0.05</v>
      </c>
      <c r="H1512" t="s">
        <v>861</v>
      </c>
      <c r="I1512" t="str">
        <f>VLOOKUP(C1512,Customers!A:C,2,FALSE)&amp;" "&amp;VLOOKUP(C1512,Customers!A:C,3,FALSE)</f>
        <v>Victoria Hansen</v>
      </c>
      <c r="J1512" t="str">
        <f>VLOOKUP(D1512,Products!A:C,2,FALSE)</f>
        <v>Knowledge Bags</v>
      </c>
      <c r="K1512" t="str">
        <f>VLOOKUP(D1512,Products!A:C,3,FALSE)</f>
        <v>Fashion</v>
      </c>
      <c r="L1512" t="str">
        <f>VLOOKUP(E1512,Stores!A:B,2,FALSE)</f>
        <v>MegaMart New Michele</v>
      </c>
      <c r="M1512">
        <f>VLOOKUP(D1512,Products!A:E,5,FALSE)</f>
        <v>1396.22</v>
      </c>
      <c r="N1512" s="5">
        <f t="shared" si="23"/>
        <v>5305.6359999999995</v>
      </c>
    </row>
    <row r="1513" spans="1:14" x14ac:dyDescent="0.3">
      <c r="A1513" t="s">
        <v>2369</v>
      </c>
      <c r="B1513" s="2">
        <v>45342</v>
      </c>
      <c r="C1513" t="s">
        <v>277</v>
      </c>
      <c r="D1513" t="s">
        <v>786</v>
      </c>
      <c r="E1513" t="s">
        <v>831</v>
      </c>
      <c r="F1513">
        <v>4</v>
      </c>
      <c r="G1513">
        <v>0.05</v>
      </c>
      <c r="H1513" t="s">
        <v>861</v>
      </c>
      <c r="I1513" t="str">
        <f>VLOOKUP(C1513,Customers!A:C,2,FALSE)&amp;" "&amp;VLOOKUP(C1513,Customers!A:C,3,FALSE)</f>
        <v>Carl Armstrong</v>
      </c>
      <c r="J1513" t="str">
        <f>VLOOKUP(D1513,Products!A:C,2,FALSE)</f>
        <v>National Watches</v>
      </c>
      <c r="K1513" t="str">
        <f>VLOOKUP(D1513,Products!A:C,3,FALSE)</f>
        <v>Fashion</v>
      </c>
      <c r="L1513" t="str">
        <f>VLOOKUP(E1513,Stores!A:B,2,FALSE)</f>
        <v>MegaMart Jimenezborough</v>
      </c>
      <c r="M1513">
        <f>VLOOKUP(D1513,Products!A:E,5,FALSE)</f>
        <v>29.24</v>
      </c>
      <c r="N1513" s="5">
        <f t="shared" si="23"/>
        <v>111.11199999999999</v>
      </c>
    </row>
    <row r="1514" spans="1:14" x14ac:dyDescent="0.3">
      <c r="A1514" t="s">
        <v>2370</v>
      </c>
      <c r="B1514" s="2">
        <v>45800</v>
      </c>
      <c r="C1514" t="s">
        <v>202</v>
      </c>
      <c r="D1514" t="s">
        <v>753</v>
      </c>
      <c r="E1514" t="s">
        <v>835</v>
      </c>
      <c r="F1514">
        <v>5</v>
      </c>
      <c r="G1514">
        <v>0.15</v>
      </c>
      <c r="H1514" t="s">
        <v>865</v>
      </c>
      <c r="I1514" t="str">
        <f>VLOOKUP(C1514,Customers!A:C,2,FALSE)&amp;" "&amp;VLOOKUP(C1514,Customers!A:C,3,FALSE)</f>
        <v>Billy Hernandez</v>
      </c>
      <c r="J1514" t="str">
        <f>VLOOKUP(D1514,Products!A:C,2,FALSE)</f>
        <v>Whether Bags</v>
      </c>
      <c r="K1514" t="str">
        <f>VLOOKUP(D1514,Products!A:C,3,FALSE)</f>
        <v>Fashion</v>
      </c>
      <c r="L1514" t="str">
        <f>VLOOKUP(E1514,Stores!A:B,2,FALSE)</f>
        <v>MegaMart Peckmouth</v>
      </c>
      <c r="M1514">
        <f>VLOOKUP(D1514,Products!A:E,5,FALSE)</f>
        <v>270.45</v>
      </c>
      <c r="N1514" s="5">
        <f t="shared" si="23"/>
        <v>1149.4124999999999</v>
      </c>
    </row>
    <row r="1515" spans="1:14" x14ac:dyDescent="0.3">
      <c r="A1515" t="s">
        <v>2371</v>
      </c>
      <c r="B1515" s="2">
        <v>45315</v>
      </c>
      <c r="C1515" t="s">
        <v>399</v>
      </c>
      <c r="D1515" t="s">
        <v>806</v>
      </c>
      <c r="E1515" t="s">
        <v>842</v>
      </c>
      <c r="F1515">
        <v>3</v>
      </c>
      <c r="G1515">
        <v>0.05</v>
      </c>
      <c r="H1515" t="s">
        <v>861</v>
      </c>
      <c r="I1515" t="str">
        <f>VLOOKUP(C1515,Customers!A:C,2,FALSE)&amp;" "&amp;VLOOKUP(C1515,Customers!A:C,3,FALSE)</f>
        <v>Victoria Hansen</v>
      </c>
      <c r="J1515" t="str">
        <f>VLOOKUP(D1515,Products!A:C,2,FALSE)</f>
        <v>Piece Headphones</v>
      </c>
      <c r="K1515" t="str">
        <f>VLOOKUP(D1515,Products!A:C,3,FALSE)</f>
        <v>Electronics</v>
      </c>
      <c r="L1515" t="str">
        <f>VLOOKUP(E1515,Stores!A:B,2,FALSE)</f>
        <v>MegaMart Brianahaven</v>
      </c>
      <c r="M1515">
        <f>VLOOKUP(D1515,Products!A:E,5,FALSE)</f>
        <v>1745.61</v>
      </c>
      <c r="N1515" s="5">
        <f t="shared" si="23"/>
        <v>4974.9884999999995</v>
      </c>
    </row>
    <row r="1516" spans="1:14" x14ac:dyDescent="0.3">
      <c r="A1516" t="s">
        <v>2372</v>
      </c>
      <c r="B1516" s="2">
        <v>45816</v>
      </c>
      <c r="C1516" t="s">
        <v>520</v>
      </c>
      <c r="D1516" t="s">
        <v>812</v>
      </c>
      <c r="E1516" t="s">
        <v>831</v>
      </c>
      <c r="F1516">
        <v>1</v>
      </c>
      <c r="G1516">
        <v>0.1</v>
      </c>
      <c r="H1516" t="s">
        <v>855</v>
      </c>
      <c r="I1516" t="str">
        <f>VLOOKUP(C1516,Customers!A:C,2,FALSE)&amp;" "&amp;VLOOKUP(C1516,Customers!A:C,3,FALSE)</f>
        <v>Cynthia Carlson</v>
      </c>
      <c r="J1516" t="str">
        <f>VLOOKUP(D1516,Products!A:C,2,FALSE)</f>
        <v>Soon Accessories</v>
      </c>
      <c r="K1516" t="str">
        <f>VLOOKUP(D1516,Products!A:C,3,FALSE)</f>
        <v>Fashion</v>
      </c>
      <c r="L1516" t="str">
        <f>VLOOKUP(E1516,Stores!A:B,2,FALSE)</f>
        <v>MegaMart Jimenezborough</v>
      </c>
      <c r="M1516">
        <f>VLOOKUP(D1516,Products!A:E,5,FALSE)</f>
        <v>564.41999999999996</v>
      </c>
      <c r="N1516" s="5">
        <f t="shared" si="23"/>
        <v>507.97799999999995</v>
      </c>
    </row>
    <row r="1517" spans="1:14" x14ac:dyDescent="0.3">
      <c r="A1517" t="s">
        <v>2373</v>
      </c>
      <c r="B1517" s="2">
        <v>45777</v>
      </c>
      <c r="C1517" t="s">
        <v>347</v>
      </c>
      <c r="D1517" t="s">
        <v>725</v>
      </c>
      <c r="E1517" t="s">
        <v>835</v>
      </c>
      <c r="F1517">
        <v>2</v>
      </c>
      <c r="G1517">
        <v>0</v>
      </c>
      <c r="H1517" t="s">
        <v>865</v>
      </c>
      <c r="I1517" t="str">
        <f>VLOOKUP(C1517,Customers!A:C,2,FALSE)&amp;" "&amp;VLOOKUP(C1517,Customers!A:C,3,FALSE)</f>
        <v>Lindsey Holder</v>
      </c>
      <c r="J1517" t="str">
        <f>VLOOKUP(D1517,Products!A:C,2,FALSE)</f>
        <v>Knowledge Bags</v>
      </c>
      <c r="K1517" t="str">
        <f>VLOOKUP(D1517,Products!A:C,3,FALSE)</f>
        <v>Fashion</v>
      </c>
      <c r="L1517" t="str">
        <f>VLOOKUP(E1517,Stores!A:B,2,FALSE)</f>
        <v>MegaMart Peckmouth</v>
      </c>
      <c r="M1517">
        <f>VLOOKUP(D1517,Products!A:E,5,FALSE)</f>
        <v>1396.22</v>
      </c>
      <c r="N1517" s="5">
        <f t="shared" si="23"/>
        <v>2792.44</v>
      </c>
    </row>
    <row r="1518" spans="1:14" x14ac:dyDescent="0.3">
      <c r="A1518" t="s">
        <v>2374</v>
      </c>
      <c r="B1518" s="2">
        <v>45215</v>
      </c>
      <c r="C1518" t="s">
        <v>327</v>
      </c>
      <c r="D1518" t="s">
        <v>755</v>
      </c>
      <c r="E1518" t="s">
        <v>842</v>
      </c>
      <c r="F1518">
        <v>1</v>
      </c>
      <c r="G1518">
        <v>0.05</v>
      </c>
      <c r="H1518" t="s">
        <v>865</v>
      </c>
      <c r="I1518" t="str">
        <f>VLOOKUP(C1518,Customers!A:C,2,FALSE)&amp;" "&amp;VLOOKUP(C1518,Customers!A:C,3,FALSE)</f>
        <v>Laurie Mason</v>
      </c>
      <c r="J1518" t="str">
        <f>VLOOKUP(D1518,Products!A:C,2,FALSE)</f>
        <v>House Accessories</v>
      </c>
      <c r="K1518" t="str">
        <f>VLOOKUP(D1518,Products!A:C,3,FALSE)</f>
        <v>Fashion</v>
      </c>
      <c r="L1518" t="str">
        <f>VLOOKUP(E1518,Stores!A:B,2,FALSE)</f>
        <v>MegaMart Brianahaven</v>
      </c>
      <c r="M1518">
        <f>VLOOKUP(D1518,Products!A:E,5,FALSE)</f>
        <v>1858.75</v>
      </c>
      <c r="N1518" s="5">
        <f t="shared" si="23"/>
        <v>1765.8125</v>
      </c>
    </row>
    <row r="1519" spans="1:14" x14ac:dyDescent="0.3">
      <c r="A1519" t="s">
        <v>2375</v>
      </c>
      <c r="B1519" s="2">
        <v>45291</v>
      </c>
      <c r="C1519" t="s">
        <v>524</v>
      </c>
      <c r="D1519" t="s">
        <v>732</v>
      </c>
      <c r="E1519" t="s">
        <v>835</v>
      </c>
      <c r="F1519">
        <v>4</v>
      </c>
      <c r="G1519">
        <v>0.1</v>
      </c>
      <c r="H1519" t="s">
        <v>855</v>
      </c>
      <c r="I1519" t="str">
        <f>VLOOKUP(C1519,Customers!A:C,2,FALSE)&amp;" "&amp;VLOOKUP(C1519,Customers!A:C,3,FALSE)</f>
        <v>Betty Johnson</v>
      </c>
      <c r="J1519" t="str">
        <f>VLOOKUP(D1519,Products!A:C,2,FALSE)</f>
        <v>Understand Camera</v>
      </c>
      <c r="K1519" t="str">
        <f>VLOOKUP(D1519,Products!A:C,3,FALSE)</f>
        <v>Electronics</v>
      </c>
      <c r="L1519" t="str">
        <f>VLOOKUP(E1519,Stores!A:B,2,FALSE)</f>
        <v>MegaMart Peckmouth</v>
      </c>
      <c r="M1519">
        <f>VLOOKUP(D1519,Products!A:E,5,FALSE)</f>
        <v>1474.12</v>
      </c>
      <c r="N1519" s="5">
        <f t="shared" si="23"/>
        <v>5306.8319999999994</v>
      </c>
    </row>
    <row r="1520" spans="1:14" x14ac:dyDescent="0.3">
      <c r="A1520" t="s">
        <v>2376</v>
      </c>
      <c r="B1520" s="2">
        <v>45257</v>
      </c>
      <c r="C1520" t="s">
        <v>343</v>
      </c>
      <c r="D1520" t="s">
        <v>718</v>
      </c>
      <c r="E1520" t="s">
        <v>831</v>
      </c>
      <c r="F1520">
        <v>5</v>
      </c>
      <c r="G1520">
        <v>0.1</v>
      </c>
      <c r="H1520" t="s">
        <v>861</v>
      </c>
      <c r="I1520" t="str">
        <f>VLOOKUP(C1520,Customers!A:C,2,FALSE)&amp;" "&amp;VLOOKUP(C1520,Customers!A:C,3,FALSE)</f>
        <v>Brian Fowler</v>
      </c>
      <c r="J1520" t="str">
        <f>VLOOKUP(D1520,Products!A:C,2,FALSE)</f>
        <v>Here Footwear</v>
      </c>
      <c r="K1520" t="str">
        <f>VLOOKUP(D1520,Products!A:C,3,FALSE)</f>
        <v>Fashion</v>
      </c>
      <c r="L1520" t="str">
        <f>VLOOKUP(E1520,Stores!A:B,2,FALSE)</f>
        <v>MegaMart Jimenezborough</v>
      </c>
      <c r="M1520">
        <f>VLOOKUP(D1520,Products!A:E,5,FALSE)</f>
        <v>337.63</v>
      </c>
      <c r="N1520" s="5">
        <f t="shared" si="23"/>
        <v>1519.335</v>
      </c>
    </row>
    <row r="1521" spans="1:14" x14ac:dyDescent="0.3">
      <c r="A1521" t="s">
        <v>2377</v>
      </c>
      <c r="B1521" s="2">
        <v>45271</v>
      </c>
      <c r="C1521" t="s">
        <v>627</v>
      </c>
      <c r="D1521" t="s">
        <v>780</v>
      </c>
      <c r="E1521" t="s">
        <v>846</v>
      </c>
      <c r="F1521">
        <v>5</v>
      </c>
      <c r="G1521">
        <v>0</v>
      </c>
      <c r="H1521" t="s">
        <v>865</v>
      </c>
      <c r="I1521" t="str">
        <f>VLOOKUP(C1521,Customers!A:C,2,FALSE)&amp;" "&amp;VLOOKUP(C1521,Customers!A:C,3,FALSE)</f>
        <v>Anthony Gould</v>
      </c>
      <c r="J1521" t="str">
        <f>VLOOKUP(D1521,Products!A:C,2,FALSE)</f>
        <v>Hospital Smartphone</v>
      </c>
      <c r="K1521" t="str">
        <f>VLOOKUP(D1521,Products!A:C,3,FALSE)</f>
        <v>Electronics</v>
      </c>
      <c r="L1521" t="str">
        <f>VLOOKUP(E1521,Stores!A:B,2,FALSE)</f>
        <v>MegaMart Johnmouth</v>
      </c>
      <c r="M1521">
        <f>VLOOKUP(D1521,Products!A:E,5,FALSE)</f>
        <v>1272.23</v>
      </c>
      <c r="N1521" s="5">
        <f t="shared" si="23"/>
        <v>6361.15</v>
      </c>
    </row>
    <row r="1522" spans="1:14" x14ac:dyDescent="0.3">
      <c r="A1522" t="s">
        <v>2378</v>
      </c>
      <c r="B1522" s="2">
        <v>45643</v>
      </c>
      <c r="C1522" t="s">
        <v>422</v>
      </c>
      <c r="D1522" t="s">
        <v>759</v>
      </c>
      <c r="E1522" t="s">
        <v>842</v>
      </c>
      <c r="F1522">
        <v>1</v>
      </c>
      <c r="G1522">
        <v>0</v>
      </c>
      <c r="H1522" t="s">
        <v>865</v>
      </c>
      <c r="I1522" t="str">
        <f>VLOOKUP(C1522,Customers!A:C,2,FALSE)&amp;" "&amp;VLOOKUP(C1522,Customers!A:C,3,FALSE)</f>
        <v>Heidi Wilson</v>
      </c>
      <c r="J1522" t="str">
        <f>VLOOKUP(D1522,Products!A:C,2,FALSE)</f>
        <v>Democratic Smartphone</v>
      </c>
      <c r="K1522" t="str">
        <f>VLOOKUP(D1522,Products!A:C,3,FALSE)</f>
        <v>Electronics</v>
      </c>
      <c r="L1522" t="str">
        <f>VLOOKUP(E1522,Stores!A:B,2,FALSE)</f>
        <v>MegaMart Brianahaven</v>
      </c>
      <c r="M1522">
        <f>VLOOKUP(D1522,Products!A:E,5,FALSE)</f>
        <v>1079.8900000000001</v>
      </c>
      <c r="N1522" s="5">
        <f t="shared" si="23"/>
        <v>1079.8900000000001</v>
      </c>
    </row>
    <row r="1523" spans="1:14" x14ac:dyDescent="0.3">
      <c r="A1523" t="s">
        <v>2379</v>
      </c>
      <c r="B1523" s="2">
        <v>45829</v>
      </c>
      <c r="C1523" t="s">
        <v>524</v>
      </c>
      <c r="D1523" t="s">
        <v>742</v>
      </c>
      <c r="E1523" t="s">
        <v>831</v>
      </c>
      <c r="F1523">
        <v>5</v>
      </c>
      <c r="G1523">
        <v>0</v>
      </c>
      <c r="H1523" t="s">
        <v>861</v>
      </c>
      <c r="I1523" t="str">
        <f>VLOOKUP(C1523,Customers!A:C,2,FALSE)&amp;" "&amp;VLOOKUP(C1523,Customers!A:C,3,FALSE)</f>
        <v>Betty Johnson</v>
      </c>
      <c r="J1523" t="str">
        <f>VLOOKUP(D1523,Products!A:C,2,FALSE)</f>
        <v>Either Headphones</v>
      </c>
      <c r="K1523" t="str">
        <f>VLOOKUP(D1523,Products!A:C,3,FALSE)</f>
        <v>Electronics</v>
      </c>
      <c r="L1523" t="str">
        <f>VLOOKUP(E1523,Stores!A:B,2,FALSE)</f>
        <v>MegaMart Jimenezborough</v>
      </c>
      <c r="M1523">
        <f>VLOOKUP(D1523,Products!A:E,5,FALSE)</f>
        <v>248.57</v>
      </c>
      <c r="N1523" s="5">
        <f t="shared" si="23"/>
        <v>1242.8499999999999</v>
      </c>
    </row>
    <row r="1524" spans="1:14" x14ac:dyDescent="0.3">
      <c r="A1524" t="s">
        <v>2380</v>
      </c>
      <c r="B1524" s="2">
        <v>45592</v>
      </c>
      <c r="C1524" t="s">
        <v>579</v>
      </c>
      <c r="D1524" t="s">
        <v>788</v>
      </c>
      <c r="E1524" t="s">
        <v>831</v>
      </c>
      <c r="F1524">
        <v>2</v>
      </c>
      <c r="G1524">
        <v>0.1</v>
      </c>
      <c r="H1524" t="s">
        <v>861</v>
      </c>
      <c r="I1524" t="str">
        <f>VLOOKUP(C1524,Customers!A:C,2,FALSE)&amp;" "&amp;VLOOKUP(C1524,Customers!A:C,3,FALSE)</f>
        <v>Jill Roach</v>
      </c>
      <c r="J1524" t="str">
        <f>VLOOKUP(D1524,Products!A:C,2,FALSE)</f>
        <v>Foot Snacks</v>
      </c>
      <c r="K1524" t="str">
        <f>VLOOKUP(D1524,Products!A:C,3,FALSE)</f>
        <v>Groceries</v>
      </c>
      <c r="L1524" t="str">
        <f>VLOOKUP(E1524,Stores!A:B,2,FALSE)</f>
        <v>MegaMart Jimenezborough</v>
      </c>
      <c r="M1524">
        <f>VLOOKUP(D1524,Products!A:E,5,FALSE)</f>
        <v>1095.72</v>
      </c>
      <c r="N1524" s="5">
        <f t="shared" si="23"/>
        <v>1972.296</v>
      </c>
    </row>
    <row r="1525" spans="1:14" x14ac:dyDescent="0.3">
      <c r="A1525" t="s">
        <v>2381</v>
      </c>
      <c r="B1525" s="2">
        <v>45681</v>
      </c>
      <c r="C1525" t="s">
        <v>661</v>
      </c>
      <c r="D1525" t="s">
        <v>747</v>
      </c>
      <c r="E1525" t="s">
        <v>839</v>
      </c>
      <c r="F1525">
        <v>4</v>
      </c>
      <c r="G1525">
        <v>0.15</v>
      </c>
      <c r="H1525" t="s">
        <v>865</v>
      </c>
      <c r="I1525" t="str">
        <f>VLOOKUP(C1525,Customers!A:C,2,FALSE)&amp;" "&amp;VLOOKUP(C1525,Customers!A:C,3,FALSE)</f>
        <v>Cynthia Cherry</v>
      </c>
      <c r="J1525" t="str">
        <f>VLOOKUP(D1525,Products!A:C,2,FALSE)</f>
        <v>World Watches</v>
      </c>
      <c r="K1525" t="str">
        <f>VLOOKUP(D1525,Products!A:C,3,FALSE)</f>
        <v>Fashion</v>
      </c>
      <c r="L1525" t="str">
        <f>VLOOKUP(E1525,Stores!A:B,2,FALSE)</f>
        <v>MegaMart New Michele</v>
      </c>
      <c r="M1525">
        <f>VLOOKUP(D1525,Products!A:E,5,FALSE)</f>
        <v>1134.8</v>
      </c>
      <c r="N1525" s="5">
        <f t="shared" si="23"/>
        <v>3858.3199999999997</v>
      </c>
    </row>
    <row r="1526" spans="1:14" x14ac:dyDescent="0.3">
      <c r="A1526" t="s">
        <v>2382</v>
      </c>
      <c r="B1526" s="2">
        <v>45468</v>
      </c>
      <c r="C1526" t="s">
        <v>155</v>
      </c>
      <c r="D1526" t="s">
        <v>745</v>
      </c>
      <c r="E1526" t="s">
        <v>839</v>
      </c>
      <c r="F1526">
        <v>3</v>
      </c>
      <c r="G1526">
        <v>0.05</v>
      </c>
      <c r="H1526" t="s">
        <v>865</v>
      </c>
      <c r="I1526" t="str">
        <f>VLOOKUP(C1526,Customers!A:C,2,FALSE)&amp;" "&amp;VLOOKUP(C1526,Customers!A:C,3,FALSE)</f>
        <v>Scott Powell</v>
      </c>
      <c r="J1526" t="str">
        <f>VLOOKUP(D1526,Products!A:C,2,FALSE)</f>
        <v>Above Camera</v>
      </c>
      <c r="K1526" t="str">
        <f>VLOOKUP(D1526,Products!A:C,3,FALSE)</f>
        <v>Electronics</v>
      </c>
      <c r="L1526" t="str">
        <f>VLOOKUP(E1526,Stores!A:B,2,FALSE)</f>
        <v>MegaMart New Michele</v>
      </c>
      <c r="M1526">
        <f>VLOOKUP(D1526,Products!A:E,5,FALSE)</f>
        <v>1193.0899999999999</v>
      </c>
      <c r="N1526" s="5">
        <f t="shared" si="23"/>
        <v>3400.3064999999992</v>
      </c>
    </row>
    <row r="1527" spans="1:14" x14ac:dyDescent="0.3">
      <c r="A1527" t="s">
        <v>2383</v>
      </c>
      <c r="B1527" s="2">
        <v>45478</v>
      </c>
      <c r="C1527" t="s">
        <v>202</v>
      </c>
      <c r="D1527" t="s">
        <v>736</v>
      </c>
      <c r="E1527" t="s">
        <v>842</v>
      </c>
      <c r="F1527">
        <v>4</v>
      </c>
      <c r="G1527">
        <v>0</v>
      </c>
      <c r="H1527" t="s">
        <v>861</v>
      </c>
      <c r="I1527" t="str">
        <f>VLOOKUP(C1527,Customers!A:C,2,FALSE)&amp;" "&amp;VLOOKUP(C1527,Customers!A:C,3,FALSE)</f>
        <v>Billy Hernandez</v>
      </c>
      <c r="J1527" t="str">
        <f>VLOOKUP(D1527,Products!A:C,2,FALSE)</f>
        <v>Us Snacks</v>
      </c>
      <c r="K1527" t="str">
        <f>VLOOKUP(D1527,Products!A:C,3,FALSE)</f>
        <v>Groceries</v>
      </c>
      <c r="L1527" t="str">
        <f>VLOOKUP(E1527,Stores!A:B,2,FALSE)</f>
        <v>MegaMart Brianahaven</v>
      </c>
      <c r="M1527">
        <f>VLOOKUP(D1527,Products!A:E,5,FALSE)</f>
        <v>123.19</v>
      </c>
      <c r="N1527" s="5">
        <f t="shared" si="23"/>
        <v>492.76</v>
      </c>
    </row>
    <row r="1528" spans="1:14" x14ac:dyDescent="0.3">
      <c r="A1528" t="s">
        <v>2384</v>
      </c>
      <c r="B1528" s="2">
        <v>45540</v>
      </c>
      <c r="C1528" t="s">
        <v>452</v>
      </c>
      <c r="D1528" t="s">
        <v>745</v>
      </c>
      <c r="E1528" t="s">
        <v>839</v>
      </c>
      <c r="F1528">
        <v>3</v>
      </c>
      <c r="G1528">
        <v>0.05</v>
      </c>
      <c r="H1528" t="s">
        <v>865</v>
      </c>
      <c r="I1528" t="str">
        <f>VLOOKUP(C1528,Customers!A:C,2,FALSE)&amp;" "&amp;VLOOKUP(C1528,Customers!A:C,3,FALSE)</f>
        <v>Amy Smith</v>
      </c>
      <c r="J1528" t="str">
        <f>VLOOKUP(D1528,Products!A:C,2,FALSE)</f>
        <v>Above Camera</v>
      </c>
      <c r="K1528" t="str">
        <f>VLOOKUP(D1528,Products!A:C,3,FALSE)</f>
        <v>Electronics</v>
      </c>
      <c r="L1528" t="str">
        <f>VLOOKUP(E1528,Stores!A:B,2,FALSE)</f>
        <v>MegaMart New Michele</v>
      </c>
      <c r="M1528">
        <f>VLOOKUP(D1528,Products!A:E,5,FALSE)</f>
        <v>1193.0899999999999</v>
      </c>
      <c r="N1528" s="5">
        <f t="shared" si="23"/>
        <v>3400.3064999999992</v>
      </c>
    </row>
    <row r="1529" spans="1:14" x14ac:dyDescent="0.3">
      <c r="A1529" t="s">
        <v>2385</v>
      </c>
      <c r="B1529" s="2">
        <v>45686</v>
      </c>
      <c r="C1529" t="s">
        <v>262</v>
      </c>
      <c r="D1529" t="s">
        <v>759</v>
      </c>
      <c r="E1529" t="s">
        <v>839</v>
      </c>
      <c r="F1529">
        <v>4</v>
      </c>
      <c r="G1529">
        <v>0.1</v>
      </c>
      <c r="H1529" t="s">
        <v>861</v>
      </c>
      <c r="I1529" t="str">
        <f>VLOOKUP(C1529,Customers!A:C,2,FALSE)&amp;" "&amp;VLOOKUP(C1529,Customers!A:C,3,FALSE)</f>
        <v>Gabriel Daugherty</v>
      </c>
      <c r="J1529" t="str">
        <f>VLOOKUP(D1529,Products!A:C,2,FALSE)</f>
        <v>Democratic Smartphone</v>
      </c>
      <c r="K1529" t="str">
        <f>VLOOKUP(D1529,Products!A:C,3,FALSE)</f>
        <v>Electronics</v>
      </c>
      <c r="L1529" t="str">
        <f>VLOOKUP(E1529,Stores!A:B,2,FALSE)</f>
        <v>MegaMart New Michele</v>
      </c>
      <c r="M1529">
        <f>VLOOKUP(D1529,Products!A:E,5,FALSE)</f>
        <v>1079.8900000000001</v>
      </c>
      <c r="N1529" s="5">
        <f t="shared" si="23"/>
        <v>3887.6040000000003</v>
      </c>
    </row>
    <row r="1530" spans="1:14" x14ac:dyDescent="0.3">
      <c r="A1530" t="s">
        <v>2386</v>
      </c>
      <c r="B1530" s="2">
        <v>45410</v>
      </c>
      <c r="C1530" t="s">
        <v>151</v>
      </c>
      <c r="D1530" t="s">
        <v>753</v>
      </c>
      <c r="E1530" t="s">
        <v>846</v>
      </c>
      <c r="F1530">
        <v>4</v>
      </c>
      <c r="G1530">
        <v>0.05</v>
      </c>
      <c r="H1530" t="s">
        <v>861</v>
      </c>
      <c r="I1530" t="str">
        <f>VLOOKUP(C1530,Customers!A:C,2,FALSE)&amp;" "&amp;VLOOKUP(C1530,Customers!A:C,3,FALSE)</f>
        <v>Nancy Savage</v>
      </c>
      <c r="J1530" t="str">
        <f>VLOOKUP(D1530,Products!A:C,2,FALSE)</f>
        <v>Whether Bags</v>
      </c>
      <c r="K1530" t="str">
        <f>VLOOKUP(D1530,Products!A:C,3,FALSE)</f>
        <v>Fashion</v>
      </c>
      <c r="L1530" t="str">
        <f>VLOOKUP(E1530,Stores!A:B,2,FALSE)</f>
        <v>MegaMart Johnmouth</v>
      </c>
      <c r="M1530">
        <f>VLOOKUP(D1530,Products!A:E,5,FALSE)</f>
        <v>270.45</v>
      </c>
      <c r="N1530" s="5">
        <f t="shared" si="23"/>
        <v>1027.7099999999998</v>
      </c>
    </row>
    <row r="1531" spans="1:14" x14ac:dyDescent="0.3">
      <c r="A1531" t="s">
        <v>2387</v>
      </c>
      <c r="B1531" s="2">
        <v>45244</v>
      </c>
      <c r="C1531" t="s">
        <v>411</v>
      </c>
      <c r="D1531" t="s">
        <v>739</v>
      </c>
      <c r="E1531" t="s">
        <v>842</v>
      </c>
      <c r="F1531">
        <v>4</v>
      </c>
      <c r="G1531">
        <v>0.15</v>
      </c>
      <c r="H1531" t="s">
        <v>855</v>
      </c>
      <c r="I1531" t="str">
        <f>VLOOKUP(C1531,Customers!A:C,2,FALSE)&amp;" "&amp;VLOOKUP(C1531,Customers!A:C,3,FALSE)</f>
        <v>Travis Peters</v>
      </c>
      <c r="J1531" t="str">
        <f>VLOOKUP(D1531,Products!A:C,2,FALSE)</f>
        <v>Step Smartphone</v>
      </c>
      <c r="K1531" t="str">
        <f>VLOOKUP(D1531,Products!A:C,3,FALSE)</f>
        <v>Electronics</v>
      </c>
      <c r="L1531" t="str">
        <f>VLOOKUP(E1531,Stores!A:B,2,FALSE)</f>
        <v>MegaMart Brianahaven</v>
      </c>
      <c r="M1531">
        <f>VLOOKUP(D1531,Products!A:E,5,FALSE)</f>
        <v>1194.1199999999999</v>
      </c>
      <c r="N1531" s="5">
        <f t="shared" si="23"/>
        <v>4060.0079999999994</v>
      </c>
    </row>
    <row r="1532" spans="1:14" x14ac:dyDescent="0.3">
      <c r="A1532" t="s">
        <v>2388</v>
      </c>
      <c r="B1532" s="2">
        <v>45734</v>
      </c>
      <c r="C1532" t="s">
        <v>36</v>
      </c>
      <c r="D1532" t="s">
        <v>790</v>
      </c>
      <c r="E1532" t="s">
        <v>842</v>
      </c>
      <c r="F1532">
        <v>2</v>
      </c>
      <c r="G1532">
        <v>0</v>
      </c>
      <c r="H1532" t="s">
        <v>865</v>
      </c>
      <c r="I1532" t="str">
        <f>VLOOKUP(C1532,Customers!A:C,2,FALSE)&amp;" "&amp;VLOOKUP(C1532,Customers!A:C,3,FALSE)</f>
        <v>Isaiah Williams</v>
      </c>
      <c r="J1532" t="str">
        <f>VLOOKUP(D1532,Products!A:C,2,FALSE)</f>
        <v>Difficult Vegetables</v>
      </c>
      <c r="K1532" t="str">
        <f>VLOOKUP(D1532,Products!A:C,3,FALSE)</f>
        <v>Groceries</v>
      </c>
      <c r="L1532" t="str">
        <f>VLOOKUP(E1532,Stores!A:B,2,FALSE)</f>
        <v>MegaMart Brianahaven</v>
      </c>
      <c r="M1532">
        <f>VLOOKUP(D1532,Products!A:E,5,FALSE)</f>
        <v>304.70999999999998</v>
      </c>
      <c r="N1532" s="5">
        <f t="shared" si="23"/>
        <v>609.41999999999996</v>
      </c>
    </row>
    <row r="1533" spans="1:14" x14ac:dyDescent="0.3">
      <c r="A1533" t="s">
        <v>2389</v>
      </c>
      <c r="B1533" s="2">
        <v>45577</v>
      </c>
      <c r="C1533" t="s">
        <v>89</v>
      </c>
      <c r="D1533" t="s">
        <v>804</v>
      </c>
      <c r="E1533" t="s">
        <v>839</v>
      </c>
      <c r="F1533">
        <v>3</v>
      </c>
      <c r="G1533">
        <v>0.15</v>
      </c>
      <c r="H1533" t="s">
        <v>861</v>
      </c>
      <c r="I1533" t="str">
        <f>VLOOKUP(C1533,Customers!A:C,2,FALSE)&amp;" "&amp;VLOOKUP(C1533,Customers!A:C,3,FALSE)</f>
        <v>Megan Velasquez</v>
      </c>
      <c r="J1533" t="str">
        <f>VLOOKUP(D1533,Products!A:C,2,FALSE)</f>
        <v>Church Clothing</v>
      </c>
      <c r="K1533" t="str">
        <f>VLOOKUP(D1533,Products!A:C,3,FALSE)</f>
        <v>Fashion</v>
      </c>
      <c r="L1533" t="str">
        <f>VLOOKUP(E1533,Stores!A:B,2,FALSE)</f>
        <v>MegaMart New Michele</v>
      </c>
      <c r="M1533">
        <f>VLOOKUP(D1533,Products!A:E,5,FALSE)</f>
        <v>540.94000000000005</v>
      </c>
      <c r="N1533" s="5">
        <f t="shared" si="23"/>
        <v>1379.3970000000002</v>
      </c>
    </row>
    <row r="1534" spans="1:14" x14ac:dyDescent="0.3">
      <c r="A1534" t="s">
        <v>2390</v>
      </c>
      <c r="B1534" s="2">
        <v>45557</v>
      </c>
      <c r="C1534" t="s">
        <v>419</v>
      </c>
      <c r="D1534" t="s">
        <v>786</v>
      </c>
      <c r="E1534" t="s">
        <v>831</v>
      </c>
      <c r="F1534">
        <v>4</v>
      </c>
      <c r="G1534">
        <v>0</v>
      </c>
      <c r="H1534" t="s">
        <v>861</v>
      </c>
      <c r="I1534" t="str">
        <f>VLOOKUP(C1534,Customers!A:C,2,FALSE)&amp;" "&amp;VLOOKUP(C1534,Customers!A:C,3,FALSE)</f>
        <v>Jeffrey Smith</v>
      </c>
      <c r="J1534" t="str">
        <f>VLOOKUP(D1534,Products!A:C,2,FALSE)</f>
        <v>National Watches</v>
      </c>
      <c r="K1534" t="str">
        <f>VLOOKUP(D1534,Products!A:C,3,FALSE)</f>
        <v>Fashion</v>
      </c>
      <c r="L1534" t="str">
        <f>VLOOKUP(E1534,Stores!A:B,2,FALSE)</f>
        <v>MegaMart Jimenezborough</v>
      </c>
      <c r="M1534">
        <f>VLOOKUP(D1534,Products!A:E,5,FALSE)</f>
        <v>29.24</v>
      </c>
      <c r="N1534" s="5">
        <f t="shared" si="23"/>
        <v>116.96</v>
      </c>
    </row>
    <row r="1535" spans="1:14" x14ac:dyDescent="0.3">
      <c r="A1535" t="s">
        <v>2391</v>
      </c>
      <c r="B1535" s="2">
        <v>45657</v>
      </c>
      <c r="C1535" t="s">
        <v>536</v>
      </c>
      <c r="D1535" t="s">
        <v>806</v>
      </c>
      <c r="E1535" t="s">
        <v>831</v>
      </c>
      <c r="F1535">
        <v>5</v>
      </c>
      <c r="G1535">
        <v>0.1</v>
      </c>
      <c r="H1535" t="s">
        <v>858</v>
      </c>
      <c r="I1535" t="str">
        <f>VLOOKUP(C1535,Customers!A:C,2,FALSE)&amp;" "&amp;VLOOKUP(C1535,Customers!A:C,3,FALSE)</f>
        <v>John Foster</v>
      </c>
      <c r="J1535" t="str">
        <f>VLOOKUP(D1535,Products!A:C,2,FALSE)</f>
        <v>Piece Headphones</v>
      </c>
      <c r="K1535" t="str">
        <f>VLOOKUP(D1535,Products!A:C,3,FALSE)</f>
        <v>Electronics</v>
      </c>
      <c r="L1535" t="str">
        <f>VLOOKUP(E1535,Stores!A:B,2,FALSE)</f>
        <v>MegaMart Jimenezborough</v>
      </c>
      <c r="M1535">
        <f>VLOOKUP(D1535,Products!A:E,5,FALSE)</f>
        <v>1745.61</v>
      </c>
      <c r="N1535" s="5">
        <f t="shared" si="23"/>
        <v>7855.2449999999999</v>
      </c>
    </row>
    <row r="1536" spans="1:14" x14ac:dyDescent="0.3">
      <c r="A1536" t="s">
        <v>2392</v>
      </c>
      <c r="B1536" s="2">
        <v>45842</v>
      </c>
      <c r="C1536" t="s">
        <v>386</v>
      </c>
      <c r="D1536" t="s">
        <v>810</v>
      </c>
      <c r="E1536" t="s">
        <v>846</v>
      </c>
      <c r="F1536">
        <v>3</v>
      </c>
      <c r="G1536">
        <v>0.1</v>
      </c>
      <c r="H1536" t="s">
        <v>855</v>
      </c>
      <c r="I1536" t="str">
        <f>VLOOKUP(C1536,Customers!A:C,2,FALSE)&amp;" "&amp;VLOOKUP(C1536,Customers!A:C,3,FALSE)</f>
        <v>David Burns</v>
      </c>
      <c r="J1536" t="str">
        <f>VLOOKUP(D1536,Products!A:C,2,FALSE)</f>
        <v>Maybe Clothing</v>
      </c>
      <c r="K1536" t="str">
        <f>VLOOKUP(D1536,Products!A:C,3,FALSE)</f>
        <v>Fashion</v>
      </c>
      <c r="L1536" t="str">
        <f>VLOOKUP(E1536,Stores!A:B,2,FALSE)</f>
        <v>MegaMart Johnmouth</v>
      </c>
      <c r="M1536">
        <f>VLOOKUP(D1536,Products!A:E,5,FALSE)</f>
        <v>453.62</v>
      </c>
      <c r="N1536" s="5">
        <f t="shared" si="23"/>
        <v>1224.7740000000001</v>
      </c>
    </row>
    <row r="1537" spans="1:14" x14ac:dyDescent="0.3">
      <c r="A1537" t="s">
        <v>2393</v>
      </c>
      <c r="B1537" s="2">
        <v>45814</v>
      </c>
      <c r="C1537" t="s">
        <v>15</v>
      </c>
      <c r="D1537" t="s">
        <v>816</v>
      </c>
      <c r="E1537" t="s">
        <v>839</v>
      </c>
      <c r="F1537">
        <v>5</v>
      </c>
      <c r="G1537">
        <v>0.05</v>
      </c>
      <c r="H1537" t="s">
        <v>858</v>
      </c>
      <c r="I1537" t="str">
        <f>VLOOKUP(C1537,Customers!A:C,2,FALSE)&amp;" "&amp;VLOOKUP(C1537,Customers!A:C,3,FALSE)</f>
        <v>Carol Hays</v>
      </c>
      <c r="J1537" t="str">
        <f>VLOOKUP(D1537,Products!A:C,2,FALSE)</f>
        <v>Set Dairy</v>
      </c>
      <c r="K1537" t="str">
        <f>VLOOKUP(D1537,Products!A:C,3,FALSE)</f>
        <v>Groceries</v>
      </c>
      <c r="L1537" t="str">
        <f>VLOOKUP(E1537,Stores!A:B,2,FALSE)</f>
        <v>MegaMart New Michele</v>
      </c>
      <c r="M1537">
        <f>VLOOKUP(D1537,Products!A:E,5,FALSE)</f>
        <v>1879.08</v>
      </c>
      <c r="N1537" s="5">
        <f t="shared" si="23"/>
        <v>8925.6299999999992</v>
      </c>
    </row>
    <row r="1538" spans="1:14" x14ac:dyDescent="0.3">
      <c r="A1538" t="s">
        <v>2394</v>
      </c>
      <c r="B1538" s="2">
        <v>45777</v>
      </c>
      <c r="C1538" t="s">
        <v>429</v>
      </c>
      <c r="D1538" t="s">
        <v>757</v>
      </c>
      <c r="E1538" t="s">
        <v>835</v>
      </c>
      <c r="F1538">
        <v>5</v>
      </c>
      <c r="G1538">
        <v>0.15</v>
      </c>
      <c r="H1538" t="s">
        <v>855</v>
      </c>
      <c r="I1538" t="str">
        <f>VLOOKUP(C1538,Customers!A:C,2,FALSE)&amp;" "&amp;VLOOKUP(C1538,Customers!A:C,3,FALSE)</f>
        <v>Jose Smith</v>
      </c>
      <c r="J1538" t="str">
        <f>VLOOKUP(D1538,Products!A:C,2,FALSE)</f>
        <v>Find Headphones</v>
      </c>
      <c r="K1538" t="str">
        <f>VLOOKUP(D1538,Products!A:C,3,FALSE)</f>
        <v>Electronics</v>
      </c>
      <c r="L1538" t="str">
        <f>VLOOKUP(E1538,Stores!A:B,2,FALSE)</f>
        <v>MegaMart Peckmouth</v>
      </c>
      <c r="M1538">
        <f>VLOOKUP(D1538,Products!A:E,5,FALSE)</f>
        <v>1246.1099999999999</v>
      </c>
      <c r="N1538" s="5">
        <f t="shared" si="23"/>
        <v>5295.9674999999988</v>
      </c>
    </row>
    <row r="1539" spans="1:14" x14ac:dyDescent="0.3">
      <c r="A1539" t="s">
        <v>2395</v>
      </c>
      <c r="B1539" s="2">
        <v>45262</v>
      </c>
      <c r="C1539" t="s">
        <v>596</v>
      </c>
      <c r="D1539" t="s">
        <v>796</v>
      </c>
      <c r="E1539" t="s">
        <v>842</v>
      </c>
      <c r="F1539">
        <v>2</v>
      </c>
      <c r="G1539">
        <v>0.1</v>
      </c>
      <c r="H1539" t="s">
        <v>865</v>
      </c>
      <c r="I1539" t="str">
        <f>VLOOKUP(C1539,Customers!A:C,2,FALSE)&amp;" "&amp;VLOOKUP(C1539,Customers!A:C,3,FALSE)</f>
        <v>Kimberly Lin</v>
      </c>
      <c r="J1539" t="str">
        <f>VLOOKUP(D1539,Products!A:C,2,FALSE)</f>
        <v>Chair Laptop</v>
      </c>
      <c r="K1539" t="str">
        <f>VLOOKUP(D1539,Products!A:C,3,FALSE)</f>
        <v>Electronics</v>
      </c>
      <c r="L1539" t="str">
        <f>VLOOKUP(E1539,Stores!A:B,2,FALSE)</f>
        <v>MegaMart Brianahaven</v>
      </c>
      <c r="M1539">
        <f>VLOOKUP(D1539,Products!A:E,5,FALSE)</f>
        <v>1562.43</v>
      </c>
      <c r="N1539" s="5">
        <f t="shared" ref="N1539:N1602" si="24">F1539*M1539*(1-G1539)</f>
        <v>2812.3740000000003</v>
      </c>
    </row>
    <row r="1540" spans="1:14" x14ac:dyDescent="0.3">
      <c r="A1540" t="s">
        <v>2396</v>
      </c>
      <c r="B1540" s="2">
        <v>45724</v>
      </c>
      <c r="C1540" t="s">
        <v>44</v>
      </c>
      <c r="D1540" t="s">
        <v>798</v>
      </c>
      <c r="E1540" t="s">
        <v>846</v>
      </c>
      <c r="F1540">
        <v>3</v>
      </c>
      <c r="G1540">
        <v>0.15</v>
      </c>
      <c r="H1540" t="s">
        <v>861</v>
      </c>
      <c r="I1540" t="str">
        <f>VLOOKUP(C1540,Customers!A:C,2,FALSE)&amp;" "&amp;VLOOKUP(C1540,Customers!A:C,3,FALSE)</f>
        <v>Catherine Rice</v>
      </c>
      <c r="J1540" t="str">
        <f>VLOOKUP(D1540,Products!A:C,2,FALSE)</f>
        <v>New Watches</v>
      </c>
      <c r="K1540" t="str">
        <f>VLOOKUP(D1540,Products!A:C,3,FALSE)</f>
        <v>Fashion</v>
      </c>
      <c r="L1540" t="str">
        <f>VLOOKUP(E1540,Stores!A:B,2,FALSE)</f>
        <v>MegaMart Johnmouth</v>
      </c>
      <c r="M1540">
        <f>VLOOKUP(D1540,Products!A:E,5,FALSE)</f>
        <v>1501.46</v>
      </c>
      <c r="N1540" s="5">
        <f t="shared" si="24"/>
        <v>3828.723</v>
      </c>
    </row>
    <row r="1541" spans="1:14" x14ac:dyDescent="0.3">
      <c r="A1541" t="s">
        <v>2397</v>
      </c>
      <c r="B1541" s="2">
        <v>45189</v>
      </c>
      <c r="C1541" t="s">
        <v>491</v>
      </c>
      <c r="D1541" t="s">
        <v>725</v>
      </c>
      <c r="E1541" t="s">
        <v>846</v>
      </c>
      <c r="F1541">
        <v>3</v>
      </c>
      <c r="G1541">
        <v>0.05</v>
      </c>
      <c r="H1541" t="s">
        <v>865</v>
      </c>
      <c r="I1541" t="str">
        <f>VLOOKUP(C1541,Customers!A:C,2,FALSE)&amp;" "&amp;VLOOKUP(C1541,Customers!A:C,3,FALSE)</f>
        <v>Emily Hart</v>
      </c>
      <c r="J1541" t="str">
        <f>VLOOKUP(D1541,Products!A:C,2,FALSE)</f>
        <v>Knowledge Bags</v>
      </c>
      <c r="K1541" t="str">
        <f>VLOOKUP(D1541,Products!A:C,3,FALSE)</f>
        <v>Fashion</v>
      </c>
      <c r="L1541" t="str">
        <f>VLOOKUP(E1541,Stores!A:B,2,FALSE)</f>
        <v>MegaMart Johnmouth</v>
      </c>
      <c r="M1541">
        <f>VLOOKUP(D1541,Products!A:E,5,FALSE)</f>
        <v>1396.22</v>
      </c>
      <c r="N1541" s="5">
        <f t="shared" si="24"/>
        <v>3979.2269999999999</v>
      </c>
    </row>
    <row r="1542" spans="1:14" x14ac:dyDescent="0.3">
      <c r="A1542" t="s">
        <v>2398</v>
      </c>
      <c r="B1542" s="2">
        <v>45576</v>
      </c>
      <c r="C1542" t="s">
        <v>480</v>
      </c>
      <c r="D1542" t="s">
        <v>778</v>
      </c>
      <c r="E1542" t="s">
        <v>846</v>
      </c>
      <c r="F1542">
        <v>3</v>
      </c>
      <c r="G1542">
        <v>0.1</v>
      </c>
      <c r="H1542" t="s">
        <v>861</v>
      </c>
      <c r="I1542" t="str">
        <f>VLOOKUP(C1542,Customers!A:C,2,FALSE)&amp;" "&amp;VLOOKUP(C1542,Customers!A:C,3,FALSE)</f>
        <v>Denise Jackson</v>
      </c>
      <c r="J1542" t="str">
        <f>VLOOKUP(D1542,Products!A:C,2,FALSE)</f>
        <v>Behavior Dairy</v>
      </c>
      <c r="K1542" t="str">
        <f>VLOOKUP(D1542,Products!A:C,3,FALSE)</f>
        <v>Groceries</v>
      </c>
      <c r="L1542" t="str">
        <f>VLOOKUP(E1542,Stores!A:B,2,FALSE)</f>
        <v>MegaMart Johnmouth</v>
      </c>
      <c r="M1542">
        <f>VLOOKUP(D1542,Products!A:E,5,FALSE)</f>
        <v>1015.76</v>
      </c>
      <c r="N1542" s="5">
        <f t="shared" si="24"/>
        <v>2742.5519999999997</v>
      </c>
    </row>
    <row r="1543" spans="1:14" x14ac:dyDescent="0.3">
      <c r="A1543" t="s">
        <v>2399</v>
      </c>
      <c r="B1543" s="2">
        <v>45796</v>
      </c>
      <c r="C1543" t="s">
        <v>28</v>
      </c>
      <c r="D1543" t="s">
        <v>780</v>
      </c>
      <c r="E1543" t="s">
        <v>831</v>
      </c>
      <c r="F1543">
        <v>5</v>
      </c>
      <c r="G1543">
        <v>0.1</v>
      </c>
      <c r="H1543" t="s">
        <v>861</v>
      </c>
      <c r="I1543" t="str">
        <f>VLOOKUP(C1543,Customers!A:C,2,FALSE)&amp;" "&amp;VLOOKUP(C1543,Customers!A:C,3,FALSE)</f>
        <v>Danny Moore</v>
      </c>
      <c r="J1543" t="str">
        <f>VLOOKUP(D1543,Products!A:C,2,FALSE)</f>
        <v>Hospital Smartphone</v>
      </c>
      <c r="K1543" t="str">
        <f>VLOOKUP(D1543,Products!A:C,3,FALSE)</f>
        <v>Electronics</v>
      </c>
      <c r="L1543" t="str">
        <f>VLOOKUP(E1543,Stores!A:B,2,FALSE)</f>
        <v>MegaMart Jimenezborough</v>
      </c>
      <c r="M1543">
        <f>VLOOKUP(D1543,Products!A:E,5,FALSE)</f>
        <v>1272.23</v>
      </c>
      <c r="N1543" s="5">
        <f t="shared" si="24"/>
        <v>5725.0349999999999</v>
      </c>
    </row>
    <row r="1544" spans="1:14" x14ac:dyDescent="0.3">
      <c r="A1544" t="s">
        <v>2400</v>
      </c>
      <c r="B1544" s="2">
        <v>45697</v>
      </c>
      <c r="C1544" t="s">
        <v>700</v>
      </c>
      <c r="D1544" t="s">
        <v>800</v>
      </c>
      <c r="E1544" t="s">
        <v>839</v>
      </c>
      <c r="F1544">
        <v>4</v>
      </c>
      <c r="G1544">
        <v>0</v>
      </c>
      <c r="H1544" t="s">
        <v>865</v>
      </c>
      <c r="I1544" t="str">
        <f>VLOOKUP(C1544,Customers!A:C,2,FALSE)&amp;" "&amp;VLOOKUP(C1544,Customers!A:C,3,FALSE)</f>
        <v>Juan Johnson</v>
      </c>
      <c r="J1544" t="str">
        <f>VLOOKUP(D1544,Products!A:C,2,FALSE)</f>
        <v>Book Television</v>
      </c>
      <c r="K1544" t="str">
        <f>VLOOKUP(D1544,Products!A:C,3,FALSE)</f>
        <v>Electronics</v>
      </c>
      <c r="L1544" t="str">
        <f>VLOOKUP(E1544,Stores!A:B,2,FALSE)</f>
        <v>MegaMart New Michele</v>
      </c>
      <c r="M1544">
        <f>VLOOKUP(D1544,Products!A:E,5,FALSE)</f>
        <v>1952.65</v>
      </c>
      <c r="N1544" s="5">
        <f t="shared" si="24"/>
        <v>7810.6</v>
      </c>
    </row>
    <row r="1545" spans="1:14" x14ac:dyDescent="0.3">
      <c r="A1545" t="s">
        <v>2401</v>
      </c>
      <c r="B1545" s="2">
        <v>45627</v>
      </c>
      <c r="C1545" t="s">
        <v>362</v>
      </c>
      <c r="D1545" t="s">
        <v>806</v>
      </c>
      <c r="E1545" t="s">
        <v>839</v>
      </c>
      <c r="F1545">
        <v>5</v>
      </c>
      <c r="G1545">
        <v>0.1</v>
      </c>
      <c r="H1545" t="s">
        <v>865</v>
      </c>
      <c r="I1545" t="str">
        <f>VLOOKUP(C1545,Customers!A:C,2,FALSE)&amp;" "&amp;VLOOKUP(C1545,Customers!A:C,3,FALSE)</f>
        <v>Eric King</v>
      </c>
      <c r="J1545" t="str">
        <f>VLOOKUP(D1545,Products!A:C,2,FALSE)</f>
        <v>Piece Headphones</v>
      </c>
      <c r="K1545" t="str">
        <f>VLOOKUP(D1545,Products!A:C,3,FALSE)</f>
        <v>Electronics</v>
      </c>
      <c r="L1545" t="str">
        <f>VLOOKUP(E1545,Stores!A:B,2,FALSE)</f>
        <v>MegaMart New Michele</v>
      </c>
      <c r="M1545">
        <f>VLOOKUP(D1545,Products!A:E,5,FALSE)</f>
        <v>1745.61</v>
      </c>
      <c r="N1545" s="5">
        <f t="shared" si="24"/>
        <v>7855.2449999999999</v>
      </c>
    </row>
    <row r="1546" spans="1:14" x14ac:dyDescent="0.3">
      <c r="A1546" t="s">
        <v>2402</v>
      </c>
      <c r="B1546" s="2">
        <v>45565</v>
      </c>
      <c r="C1546" t="s">
        <v>55</v>
      </c>
      <c r="D1546" t="s">
        <v>725</v>
      </c>
      <c r="E1546" t="s">
        <v>831</v>
      </c>
      <c r="F1546">
        <v>4</v>
      </c>
      <c r="G1546">
        <v>0.1</v>
      </c>
      <c r="H1546" t="s">
        <v>865</v>
      </c>
      <c r="I1546" t="str">
        <f>VLOOKUP(C1546,Customers!A:C,2,FALSE)&amp;" "&amp;VLOOKUP(C1546,Customers!A:C,3,FALSE)</f>
        <v>Robert Anderson</v>
      </c>
      <c r="J1546" t="str">
        <f>VLOOKUP(D1546,Products!A:C,2,FALSE)</f>
        <v>Knowledge Bags</v>
      </c>
      <c r="K1546" t="str">
        <f>VLOOKUP(D1546,Products!A:C,3,FALSE)</f>
        <v>Fashion</v>
      </c>
      <c r="L1546" t="str">
        <f>VLOOKUP(E1546,Stores!A:B,2,FALSE)</f>
        <v>MegaMart Jimenezborough</v>
      </c>
      <c r="M1546">
        <f>VLOOKUP(D1546,Products!A:E,5,FALSE)</f>
        <v>1396.22</v>
      </c>
      <c r="N1546" s="5">
        <f t="shared" si="24"/>
        <v>5026.3919999999998</v>
      </c>
    </row>
    <row r="1547" spans="1:14" x14ac:dyDescent="0.3">
      <c r="A1547" t="s">
        <v>2403</v>
      </c>
      <c r="B1547" s="2">
        <v>45370</v>
      </c>
      <c r="C1547" t="s">
        <v>435</v>
      </c>
      <c r="D1547" t="s">
        <v>734</v>
      </c>
      <c r="E1547" t="s">
        <v>839</v>
      </c>
      <c r="F1547">
        <v>2</v>
      </c>
      <c r="G1547">
        <v>0.05</v>
      </c>
      <c r="H1547" t="s">
        <v>855</v>
      </c>
      <c r="I1547" t="str">
        <f>VLOOKUP(C1547,Customers!A:C,2,FALSE)&amp;" "&amp;VLOOKUP(C1547,Customers!A:C,3,FALSE)</f>
        <v>Timothy Beck</v>
      </c>
      <c r="J1547" t="str">
        <f>VLOOKUP(D1547,Products!A:C,2,FALSE)</f>
        <v>Recognize Footwear</v>
      </c>
      <c r="K1547" t="str">
        <f>VLOOKUP(D1547,Products!A:C,3,FALSE)</f>
        <v>Fashion</v>
      </c>
      <c r="L1547" t="str">
        <f>VLOOKUP(E1547,Stores!A:B,2,FALSE)</f>
        <v>MegaMart New Michele</v>
      </c>
      <c r="M1547">
        <f>VLOOKUP(D1547,Products!A:E,5,FALSE)</f>
        <v>109.78</v>
      </c>
      <c r="N1547" s="5">
        <f t="shared" si="24"/>
        <v>208.58199999999999</v>
      </c>
    </row>
    <row r="1548" spans="1:14" x14ac:dyDescent="0.3">
      <c r="A1548" t="s">
        <v>2404</v>
      </c>
      <c r="B1548" s="2">
        <v>45352</v>
      </c>
      <c r="C1548" t="s">
        <v>291</v>
      </c>
      <c r="D1548" t="s">
        <v>761</v>
      </c>
      <c r="E1548" t="s">
        <v>839</v>
      </c>
      <c r="F1548">
        <v>5</v>
      </c>
      <c r="G1548">
        <v>0.05</v>
      </c>
      <c r="H1548" t="s">
        <v>858</v>
      </c>
      <c r="I1548" t="str">
        <f>VLOOKUP(C1548,Customers!A:C,2,FALSE)&amp;" "&amp;VLOOKUP(C1548,Customers!A:C,3,FALSE)</f>
        <v>Matthew Juarez</v>
      </c>
      <c r="J1548" t="str">
        <f>VLOOKUP(D1548,Products!A:C,2,FALSE)</f>
        <v>Traditional Laptop</v>
      </c>
      <c r="K1548" t="str">
        <f>VLOOKUP(D1548,Products!A:C,3,FALSE)</f>
        <v>Electronics</v>
      </c>
      <c r="L1548" t="str">
        <f>VLOOKUP(E1548,Stores!A:B,2,FALSE)</f>
        <v>MegaMart New Michele</v>
      </c>
      <c r="M1548">
        <f>VLOOKUP(D1548,Products!A:E,5,FALSE)</f>
        <v>1762.92</v>
      </c>
      <c r="N1548" s="5">
        <f t="shared" si="24"/>
        <v>8373.8700000000008</v>
      </c>
    </row>
    <row r="1549" spans="1:14" x14ac:dyDescent="0.3">
      <c r="A1549" t="s">
        <v>2405</v>
      </c>
      <c r="B1549" s="2">
        <v>45477</v>
      </c>
      <c r="C1549" t="s">
        <v>491</v>
      </c>
      <c r="D1549" t="s">
        <v>798</v>
      </c>
      <c r="E1549" t="s">
        <v>835</v>
      </c>
      <c r="F1549">
        <v>1</v>
      </c>
      <c r="G1549">
        <v>0.1</v>
      </c>
      <c r="H1549" t="s">
        <v>861</v>
      </c>
      <c r="I1549" t="str">
        <f>VLOOKUP(C1549,Customers!A:C,2,FALSE)&amp;" "&amp;VLOOKUP(C1549,Customers!A:C,3,FALSE)</f>
        <v>Emily Hart</v>
      </c>
      <c r="J1549" t="str">
        <f>VLOOKUP(D1549,Products!A:C,2,FALSE)</f>
        <v>New Watches</v>
      </c>
      <c r="K1549" t="str">
        <f>VLOOKUP(D1549,Products!A:C,3,FALSE)</f>
        <v>Fashion</v>
      </c>
      <c r="L1549" t="str">
        <f>VLOOKUP(E1549,Stores!A:B,2,FALSE)</f>
        <v>MegaMart Peckmouth</v>
      </c>
      <c r="M1549">
        <f>VLOOKUP(D1549,Products!A:E,5,FALSE)</f>
        <v>1501.46</v>
      </c>
      <c r="N1549" s="5">
        <f t="shared" si="24"/>
        <v>1351.3140000000001</v>
      </c>
    </row>
    <row r="1550" spans="1:14" x14ac:dyDescent="0.3">
      <c r="A1550" t="s">
        <v>2406</v>
      </c>
      <c r="B1550" s="2">
        <v>45862</v>
      </c>
      <c r="C1550" t="s">
        <v>702</v>
      </c>
      <c r="D1550" t="s">
        <v>802</v>
      </c>
      <c r="E1550" t="s">
        <v>839</v>
      </c>
      <c r="F1550">
        <v>4</v>
      </c>
      <c r="G1550">
        <v>0</v>
      </c>
      <c r="H1550" t="s">
        <v>861</v>
      </c>
      <c r="I1550" t="str">
        <f>VLOOKUP(C1550,Customers!A:C,2,FALSE)&amp;" "&amp;VLOOKUP(C1550,Customers!A:C,3,FALSE)</f>
        <v>Ronald Haley</v>
      </c>
      <c r="J1550" t="str">
        <f>VLOOKUP(D1550,Products!A:C,2,FALSE)</f>
        <v>Stage Footwear</v>
      </c>
      <c r="K1550" t="str">
        <f>VLOOKUP(D1550,Products!A:C,3,FALSE)</f>
        <v>Fashion</v>
      </c>
      <c r="L1550" t="str">
        <f>VLOOKUP(E1550,Stores!A:B,2,FALSE)</f>
        <v>MegaMart New Michele</v>
      </c>
      <c r="M1550">
        <f>VLOOKUP(D1550,Products!A:E,5,FALSE)</f>
        <v>366.93</v>
      </c>
      <c r="N1550" s="5">
        <f t="shared" si="24"/>
        <v>1467.72</v>
      </c>
    </row>
    <row r="1551" spans="1:14" x14ac:dyDescent="0.3">
      <c r="A1551" t="s">
        <v>2407</v>
      </c>
      <c r="B1551" s="2">
        <v>45785</v>
      </c>
      <c r="C1551" t="s">
        <v>647</v>
      </c>
      <c r="D1551" t="s">
        <v>732</v>
      </c>
      <c r="E1551" t="s">
        <v>842</v>
      </c>
      <c r="F1551">
        <v>4</v>
      </c>
      <c r="G1551">
        <v>0</v>
      </c>
      <c r="H1551" t="s">
        <v>865</v>
      </c>
      <c r="I1551" t="str">
        <f>VLOOKUP(C1551,Customers!A:C,2,FALSE)&amp;" "&amp;VLOOKUP(C1551,Customers!A:C,3,FALSE)</f>
        <v>Mary Dawson</v>
      </c>
      <c r="J1551" t="str">
        <f>VLOOKUP(D1551,Products!A:C,2,FALSE)</f>
        <v>Understand Camera</v>
      </c>
      <c r="K1551" t="str">
        <f>VLOOKUP(D1551,Products!A:C,3,FALSE)</f>
        <v>Electronics</v>
      </c>
      <c r="L1551" t="str">
        <f>VLOOKUP(E1551,Stores!A:B,2,FALSE)</f>
        <v>MegaMart Brianahaven</v>
      </c>
      <c r="M1551">
        <f>VLOOKUP(D1551,Products!A:E,5,FALSE)</f>
        <v>1474.12</v>
      </c>
      <c r="N1551" s="5">
        <f t="shared" si="24"/>
        <v>5896.48</v>
      </c>
    </row>
    <row r="1552" spans="1:14" x14ac:dyDescent="0.3">
      <c r="A1552" t="s">
        <v>2408</v>
      </c>
      <c r="B1552" s="2">
        <v>45630</v>
      </c>
      <c r="C1552" t="s">
        <v>67</v>
      </c>
      <c r="D1552" t="s">
        <v>802</v>
      </c>
      <c r="E1552" t="s">
        <v>842</v>
      </c>
      <c r="F1552">
        <v>2</v>
      </c>
      <c r="G1552">
        <v>0.15</v>
      </c>
      <c r="H1552" t="s">
        <v>861</v>
      </c>
      <c r="I1552" t="str">
        <f>VLOOKUP(C1552,Customers!A:C,2,FALSE)&amp;" "&amp;VLOOKUP(C1552,Customers!A:C,3,FALSE)</f>
        <v>Miguel Johnson</v>
      </c>
      <c r="J1552" t="str">
        <f>VLOOKUP(D1552,Products!A:C,2,FALSE)</f>
        <v>Stage Footwear</v>
      </c>
      <c r="K1552" t="str">
        <f>VLOOKUP(D1552,Products!A:C,3,FALSE)</f>
        <v>Fashion</v>
      </c>
      <c r="L1552" t="str">
        <f>VLOOKUP(E1552,Stores!A:B,2,FALSE)</f>
        <v>MegaMart Brianahaven</v>
      </c>
      <c r="M1552">
        <f>VLOOKUP(D1552,Products!A:E,5,FALSE)</f>
        <v>366.93</v>
      </c>
      <c r="N1552" s="5">
        <f t="shared" si="24"/>
        <v>623.78099999999995</v>
      </c>
    </row>
    <row r="1553" spans="1:14" x14ac:dyDescent="0.3">
      <c r="A1553" t="s">
        <v>2409</v>
      </c>
      <c r="B1553" s="2">
        <v>45510</v>
      </c>
      <c r="C1553" t="s">
        <v>429</v>
      </c>
      <c r="D1553" t="s">
        <v>732</v>
      </c>
      <c r="E1553" t="s">
        <v>831</v>
      </c>
      <c r="F1553">
        <v>3</v>
      </c>
      <c r="G1553">
        <v>0.15</v>
      </c>
      <c r="H1553" t="s">
        <v>858</v>
      </c>
      <c r="I1553" t="str">
        <f>VLOOKUP(C1553,Customers!A:C,2,FALSE)&amp;" "&amp;VLOOKUP(C1553,Customers!A:C,3,FALSE)</f>
        <v>Jose Smith</v>
      </c>
      <c r="J1553" t="str">
        <f>VLOOKUP(D1553,Products!A:C,2,FALSE)</f>
        <v>Understand Camera</v>
      </c>
      <c r="K1553" t="str">
        <f>VLOOKUP(D1553,Products!A:C,3,FALSE)</f>
        <v>Electronics</v>
      </c>
      <c r="L1553" t="str">
        <f>VLOOKUP(E1553,Stores!A:B,2,FALSE)</f>
        <v>MegaMart Jimenezborough</v>
      </c>
      <c r="M1553">
        <f>VLOOKUP(D1553,Products!A:E,5,FALSE)</f>
        <v>1474.12</v>
      </c>
      <c r="N1553" s="5">
        <f t="shared" si="24"/>
        <v>3759.0059999999994</v>
      </c>
    </row>
    <row r="1554" spans="1:14" x14ac:dyDescent="0.3">
      <c r="A1554" t="s">
        <v>2410</v>
      </c>
      <c r="B1554" s="2">
        <v>45758</v>
      </c>
      <c r="C1554" t="s">
        <v>258</v>
      </c>
      <c r="D1554" t="s">
        <v>736</v>
      </c>
      <c r="E1554" t="s">
        <v>846</v>
      </c>
      <c r="F1554">
        <v>4</v>
      </c>
      <c r="G1554">
        <v>0.15</v>
      </c>
      <c r="H1554" t="s">
        <v>858</v>
      </c>
      <c r="I1554" t="str">
        <f>VLOOKUP(C1554,Customers!A:C,2,FALSE)&amp;" "&amp;VLOOKUP(C1554,Customers!A:C,3,FALSE)</f>
        <v>Alexandra Montoya</v>
      </c>
      <c r="J1554" t="str">
        <f>VLOOKUP(D1554,Products!A:C,2,FALSE)</f>
        <v>Us Snacks</v>
      </c>
      <c r="K1554" t="str">
        <f>VLOOKUP(D1554,Products!A:C,3,FALSE)</f>
        <v>Groceries</v>
      </c>
      <c r="L1554" t="str">
        <f>VLOOKUP(E1554,Stores!A:B,2,FALSE)</f>
        <v>MegaMart Johnmouth</v>
      </c>
      <c r="M1554">
        <f>VLOOKUP(D1554,Products!A:E,5,FALSE)</f>
        <v>123.19</v>
      </c>
      <c r="N1554" s="5">
        <f t="shared" si="24"/>
        <v>418.846</v>
      </c>
    </row>
    <row r="1555" spans="1:14" x14ac:dyDescent="0.3">
      <c r="A1555" t="s">
        <v>2411</v>
      </c>
      <c r="B1555" s="2">
        <v>45679</v>
      </c>
      <c r="C1555" t="s">
        <v>627</v>
      </c>
      <c r="D1555" t="s">
        <v>788</v>
      </c>
      <c r="E1555" t="s">
        <v>842</v>
      </c>
      <c r="F1555">
        <v>4</v>
      </c>
      <c r="G1555">
        <v>0.05</v>
      </c>
      <c r="H1555" t="s">
        <v>861</v>
      </c>
      <c r="I1555" t="str">
        <f>VLOOKUP(C1555,Customers!A:C,2,FALSE)&amp;" "&amp;VLOOKUP(C1555,Customers!A:C,3,FALSE)</f>
        <v>Anthony Gould</v>
      </c>
      <c r="J1555" t="str">
        <f>VLOOKUP(D1555,Products!A:C,2,FALSE)</f>
        <v>Foot Snacks</v>
      </c>
      <c r="K1555" t="str">
        <f>VLOOKUP(D1555,Products!A:C,3,FALSE)</f>
        <v>Groceries</v>
      </c>
      <c r="L1555" t="str">
        <f>VLOOKUP(E1555,Stores!A:B,2,FALSE)</f>
        <v>MegaMart Brianahaven</v>
      </c>
      <c r="M1555">
        <f>VLOOKUP(D1555,Products!A:E,5,FALSE)</f>
        <v>1095.72</v>
      </c>
      <c r="N1555" s="5">
        <f t="shared" si="24"/>
        <v>4163.7359999999999</v>
      </c>
    </row>
    <row r="1556" spans="1:14" x14ac:dyDescent="0.3">
      <c r="A1556" t="s">
        <v>2412</v>
      </c>
      <c r="B1556" s="2">
        <v>45217</v>
      </c>
      <c r="C1556" t="s">
        <v>476</v>
      </c>
      <c r="D1556" t="s">
        <v>786</v>
      </c>
      <c r="E1556" t="s">
        <v>835</v>
      </c>
      <c r="F1556">
        <v>4</v>
      </c>
      <c r="G1556">
        <v>0.15</v>
      </c>
      <c r="H1556" t="s">
        <v>861</v>
      </c>
      <c r="I1556" t="str">
        <f>VLOOKUP(C1556,Customers!A:C,2,FALSE)&amp;" "&amp;VLOOKUP(C1556,Customers!A:C,3,FALSE)</f>
        <v>Aaron Bailey</v>
      </c>
      <c r="J1556" t="str">
        <f>VLOOKUP(D1556,Products!A:C,2,FALSE)</f>
        <v>National Watches</v>
      </c>
      <c r="K1556" t="str">
        <f>VLOOKUP(D1556,Products!A:C,3,FALSE)</f>
        <v>Fashion</v>
      </c>
      <c r="L1556" t="str">
        <f>VLOOKUP(E1556,Stores!A:B,2,FALSE)</f>
        <v>MegaMart Peckmouth</v>
      </c>
      <c r="M1556">
        <f>VLOOKUP(D1556,Products!A:E,5,FALSE)</f>
        <v>29.24</v>
      </c>
      <c r="N1556" s="5">
        <f t="shared" si="24"/>
        <v>99.415999999999997</v>
      </c>
    </row>
    <row r="1557" spans="1:14" x14ac:dyDescent="0.3">
      <c r="A1557" t="s">
        <v>2413</v>
      </c>
      <c r="B1557" s="2">
        <v>45714</v>
      </c>
      <c r="C1557" t="s">
        <v>640</v>
      </c>
      <c r="D1557" t="s">
        <v>808</v>
      </c>
      <c r="E1557" t="s">
        <v>846</v>
      </c>
      <c r="F1557">
        <v>5</v>
      </c>
      <c r="G1557">
        <v>0</v>
      </c>
      <c r="H1557" t="s">
        <v>861</v>
      </c>
      <c r="I1557" t="str">
        <f>VLOOKUP(C1557,Customers!A:C,2,FALSE)&amp;" "&amp;VLOOKUP(C1557,Customers!A:C,3,FALSE)</f>
        <v>Brittany Oneal</v>
      </c>
      <c r="J1557" t="str">
        <f>VLOOKUP(D1557,Products!A:C,2,FALSE)</f>
        <v>Present Television</v>
      </c>
      <c r="K1557" t="str">
        <f>VLOOKUP(D1557,Products!A:C,3,FALSE)</f>
        <v>Electronics</v>
      </c>
      <c r="L1557" t="str">
        <f>VLOOKUP(E1557,Stores!A:B,2,FALSE)</f>
        <v>MegaMart Johnmouth</v>
      </c>
      <c r="M1557">
        <f>VLOOKUP(D1557,Products!A:E,5,FALSE)</f>
        <v>1635.01</v>
      </c>
      <c r="N1557" s="5">
        <f t="shared" si="24"/>
        <v>8175.05</v>
      </c>
    </row>
    <row r="1558" spans="1:14" x14ac:dyDescent="0.3">
      <c r="A1558" t="s">
        <v>2414</v>
      </c>
      <c r="B1558" s="2">
        <v>45549</v>
      </c>
      <c r="C1558" t="s">
        <v>435</v>
      </c>
      <c r="D1558" t="s">
        <v>718</v>
      </c>
      <c r="E1558" t="s">
        <v>842</v>
      </c>
      <c r="F1558">
        <v>1</v>
      </c>
      <c r="G1558">
        <v>0.05</v>
      </c>
      <c r="H1558" t="s">
        <v>855</v>
      </c>
      <c r="I1558" t="str">
        <f>VLOOKUP(C1558,Customers!A:C,2,FALSE)&amp;" "&amp;VLOOKUP(C1558,Customers!A:C,3,FALSE)</f>
        <v>Timothy Beck</v>
      </c>
      <c r="J1558" t="str">
        <f>VLOOKUP(D1558,Products!A:C,2,FALSE)</f>
        <v>Here Footwear</v>
      </c>
      <c r="K1558" t="str">
        <f>VLOOKUP(D1558,Products!A:C,3,FALSE)</f>
        <v>Fashion</v>
      </c>
      <c r="L1558" t="str">
        <f>VLOOKUP(E1558,Stores!A:B,2,FALSE)</f>
        <v>MegaMart Brianahaven</v>
      </c>
      <c r="M1558">
        <f>VLOOKUP(D1558,Products!A:E,5,FALSE)</f>
        <v>337.63</v>
      </c>
      <c r="N1558" s="5">
        <f t="shared" si="24"/>
        <v>320.74849999999998</v>
      </c>
    </row>
    <row r="1559" spans="1:14" x14ac:dyDescent="0.3">
      <c r="A1559" t="s">
        <v>2415</v>
      </c>
      <c r="B1559" s="2">
        <v>45526</v>
      </c>
      <c r="C1559" t="s">
        <v>123</v>
      </c>
      <c r="D1559" t="s">
        <v>810</v>
      </c>
      <c r="E1559" t="s">
        <v>846</v>
      </c>
      <c r="F1559">
        <v>4</v>
      </c>
      <c r="G1559">
        <v>0</v>
      </c>
      <c r="H1559" t="s">
        <v>865</v>
      </c>
      <c r="I1559" t="str">
        <f>VLOOKUP(C1559,Customers!A:C,2,FALSE)&amp;" "&amp;VLOOKUP(C1559,Customers!A:C,3,FALSE)</f>
        <v>Ashley Gibson</v>
      </c>
      <c r="J1559" t="str">
        <f>VLOOKUP(D1559,Products!A:C,2,FALSE)</f>
        <v>Maybe Clothing</v>
      </c>
      <c r="K1559" t="str">
        <f>VLOOKUP(D1559,Products!A:C,3,FALSE)</f>
        <v>Fashion</v>
      </c>
      <c r="L1559" t="str">
        <f>VLOOKUP(E1559,Stores!A:B,2,FALSE)</f>
        <v>MegaMart Johnmouth</v>
      </c>
      <c r="M1559">
        <f>VLOOKUP(D1559,Products!A:E,5,FALSE)</f>
        <v>453.62</v>
      </c>
      <c r="N1559" s="5">
        <f t="shared" si="24"/>
        <v>1814.48</v>
      </c>
    </row>
    <row r="1560" spans="1:14" x14ac:dyDescent="0.3">
      <c r="A1560" t="s">
        <v>2416</v>
      </c>
      <c r="B1560" s="2">
        <v>45595</v>
      </c>
      <c r="C1560" t="s">
        <v>358</v>
      </c>
      <c r="D1560" t="s">
        <v>732</v>
      </c>
      <c r="E1560" t="s">
        <v>846</v>
      </c>
      <c r="F1560">
        <v>3</v>
      </c>
      <c r="G1560">
        <v>0</v>
      </c>
      <c r="H1560" t="s">
        <v>861</v>
      </c>
      <c r="I1560" t="str">
        <f>VLOOKUP(C1560,Customers!A:C,2,FALSE)&amp;" "&amp;VLOOKUP(C1560,Customers!A:C,3,FALSE)</f>
        <v>Kevin Snyder</v>
      </c>
      <c r="J1560" t="str">
        <f>VLOOKUP(D1560,Products!A:C,2,FALSE)</f>
        <v>Understand Camera</v>
      </c>
      <c r="K1560" t="str">
        <f>VLOOKUP(D1560,Products!A:C,3,FALSE)</f>
        <v>Electronics</v>
      </c>
      <c r="L1560" t="str">
        <f>VLOOKUP(E1560,Stores!A:B,2,FALSE)</f>
        <v>MegaMart Johnmouth</v>
      </c>
      <c r="M1560">
        <f>VLOOKUP(D1560,Products!A:E,5,FALSE)</f>
        <v>1474.12</v>
      </c>
      <c r="N1560" s="5">
        <f t="shared" si="24"/>
        <v>4422.3599999999997</v>
      </c>
    </row>
    <row r="1561" spans="1:14" x14ac:dyDescent="0.3">
      <c r="A1561" t="s">
        <v>2417</v>
      </c>
      <c r="B1561" s="2">
        <v>45777</v>
      </c>
      <c r="C1561" t="s">
        <v>123</v>
      </c>
      <c r="D1561" t="s">
        <v>800</v>
      </c>
      <c r="E1561" t="s">
        <v>839</v>
      </c>
      <c r="F1561">
        <v>3</v>
      </c>
      <c r="G1561">
        <v>0.1</v>
      </c>
      <c r="H1561" t="s">
        <v>855</v>
      </c>
      <c r="I1561" t="str">
        <f>VLOOKUP(C1561,Customers!A:C,2,FALSE)&amp;" "&amp;VLOOKUP(C1561,Customers!A:C,3,FALSE)</f>
        <v>Ashley Gibson</v>
      </c>
      <c r="J1561" t="str">
        <f>VLOOKUP(D1561,Products!A:C,2,FALSE)</f>
        <v>Book Television</v>
      </c>
      <c r="K1561" t="str">
        <f>VLOOKUP(D1561,Products!A:C,3,FALSE)</f>
        <v>Electronics</v>
      </c>
      <c r="L1561" t="str">
        <f>VLOOKUP(E1561,Stores!A:B,2,FALSE)</f>
        <v>MegaMart New Michele</v>
      </c>
      <c r="M1561">
        <f>VLOOKUP(D1561,Products!A:E,5,FALSE)</f>
        <v>1952.65</v>
      </c>
      <c r="N1561" s="5">
        <f t="shared" si="24"/>
        <v>5272.1550000000007</v>
      </c>
    </row>
    <row r="1562" spans="1:14" x14ac:dyDescent="0.3">
      <c r="A1562" t="s">
        <v>2418</v>
      </c>
      <c r="B1562" s="2">
        <v>45246</v>
      </c>
      <c r="C1562" t="s">
        <v>287</v>
      </c>
      <c r="D1562" t="s">
        <v>755</v>
      </c>
      <c r="E1562" t="s">
        <v>842</v>
      </c>
      <c r="F1562">
        <v>1</v>
      </c>
      <c r="G1562">
        <v>0.05</v>
      </c>
      <c r="H1562" t="s">
        <v>861</v>
      </c>
      <c r="I1562" t="str">
        <f>VLOOKUP(C1562,Customers!A:C,2,FALSE)&amp;" "&amp;VLOOKUP(C1562,Customers!A:C,3,FALSE)</f>
        <v>Phyllis Durham</v>
      </c>
      <c r="J1562" t="str">
        <f>VLOOKUP(D1562,Products!A:C,2,FALSE)</f>
        <v>House Accessories</v>
      </c>
      <c r="K1562" t="str">
        <f>VLOOKUP(D1562,Products!A:C,3,FALSE)</f>
        <v>Fashion</v>
      </c>
      <c r="L1562" t="str">
        <f>VLOOKUP(E1562,Stores!A:B,2,FALSE)</f>
        <v>MegaMart Brianahaven</v>
      </c>
      <c r="M1562">
        <f>VLOOKUP(D1562,Products!A:E,5,FALSE)</f>
        <v>1858.75</v>
      </c>
      <c r="N1562" s="5">
        <f t="shared" si="24"/>
        <v>1765.8125</v>
      </c>
    </row>
    <row r="1563" spans="1:14" x14ac:dyDescent="0.3">
      <c r="A1563" t="s">
        <v>2419</v>
      </c>
      <c r="B1563" s="2">
        <v>45552</v>
      </c>
      <c r="C1563" t="s">
        <v>545</v>
      </c>
      <c r="D1563" t="s">
        <v>808</v>
      </c>
      <c r="E1563" t="s">
        <v>842</v>
      </c>
      <c r="F1563">
        <v>1</v>
      </c>
      <c r="G1563">
        <v>0.1</v>
      </c>
      <c r="H1563" t="s">
        <v>855</v>
      </c>
      <c r="I1563" t="str">
        <f>VLOOKUP(C1563,Customers!A:C,2,FALSE)&amp;" "&amp;VLOOKUP(C1563,Customers!A:C,3,FALSE)</f>
        <v>Dawn Fletcher</v>
      </c>
      <c r="J1563" t="str">
        <f>VLOOKUP(D1563,Products!A:C,2,FALSE)</f>
        <v>Present Television</v>
      </c>
      <c r="K1563" t="str">
        <f>VLOOKUP(D1563,Products!A:C,3,FALSE)</f>
        <v>Electronics</v>
      </c>
      <c r="L1563" t="str">
        <f>VLOOKUP(E1563,Stores!A:B,2,FALSE)</f>
        <v>MegaMart Brianahaven</v>
      </c>
      <c r="M1563">
        <f>VLOOKUP(D1563,Products!A:E,5,FALSE)</f>
        <v>1635.01</v>
      </c>
      <c r="N1563" s="5">
        <f t="shared" si="24"/>
        <v>1471.509</v>
      </c>
    </row>
    <row r="1564" spans="1:14" x14ac:dyDescent="0.3">
      <c r="A1564" t="s">
        <v>2420</v>
      </c>
      <c r="B1564" s="2">
        <v>45270</v>
      </c>
      <c r="C1564" t="s">
        <v>217</v>
      </c>
      <c r="D1564" t="s">
        <v>784</v>
      </c>
      <c r="E1564" t="s">
        <v>835</v>
      </c>
      <c r="F1564">
        <v>4</v>
      </c>
      <c r="G1564">
        <v>0</v>
      </c>
      <c r="H1564" t="s">
        <v>865</v>
      </c>
      <c r="I1564" t="str">
        <f>VLOOKUP(C1564,Customers!A:C,2,FALSE)&amp;" "&amp;VLOOKUP(C1564,Customers!A:C,3,FALSE)</f>
        <v>Carl Wyatt</v>
      </c>
      <c r="J1564" t="str">
        <f>VLOOKUP(D1564,Products!A:C,2,FALSE)</f>
        <v>Road Clothing</v>
      </c>
      <c r="K1564" t="str">
        <f>VLOOKUP(D1564,Products!A:C,3,FALSE)</f>
        <v>Fashion</v>
      </c>
      <c r="L1564" t="str">
        <f>VLOOKUP(E1564,Stores!A:B,2,FALSE)</f>
        <v>MegaMart Peckmouth</v>
      </c>
      <c r="M1564">
        <f>VLOOKUP(D1564,Products!A:E,5,FALSE)</f>
        <v>1485.05</v>
      </c>
      <c r="N1564" s="5">
        <f t="shared" si="24"/>
        <v>5940.2</v>
      </c>
    </row>
    <row r="1565" spans="1:14" x14ac:dyDescent="0.3">
      <c r="A1565" t="s">
        <v>2421</v>
      </c>
      <c r="B1565" s="2">
        <v>45718</v>
      </c>
      <c r="C1565" t="s">
        <v>512</v>
      </c>
      <c r="D1565" t="s">
        <v>786</v>
      </c>
      <c r="E1565" t="s">
        <v>839</v>
      </c>
      <c r="F1565">
        <v>1</v>
      </c>
      <c r="G1565">
        <v>0</v>
      </c>
      <c r="H1565" t="s">
        <v>858</v>
      </c>
      <c r="I1565" t="str">
        <f>VLOOKUP(C1565,Customers!A:C,2,FALSE)&amp;" "&amp;VLOOKUP(C1565,Customers!A:C,3,FALSE)</f>
        <v>Adam Lucas</v>
      </c>
      <c r="J1565" t="str">
        <f>VLOOKUP(D1565,Products!A:C,2,FALSE)</f>
        <v>National Watches</v>
      </c>
      <c r="K1565" t="str">
        <f>VLOOKUP(D1565,Products!A:C,3,FALSE)</f>
        <v>Fashion</v>
      </c>
      <c r="L1565" t="str">
        <f>VLOOKUP(E1565,Stores!A:B,2,FALSE)</f>
        <v>MegaMart New Michele</v>
      </c>
      <c r="M1565">
        <f>VLOOKUP(D1565,Products!A:E,5,FALSE)</f>
        <v>29.24</v>
      </c>
      <c r="N1565" s="5">
        <f t="shared" si="24"/>
        <v>29.24</v>
      </c>
    </row>
    <row r="1566" spans="1:14" x14ac:dyDescent="0.3">
      <c r="A1566" t="s">
        <v>2422</v>
      </c>
      <c r="B1566" s="2">
        <v>45578</v>
      </c>
      <c r="C1566" t="s">
        <v>458</v>
      </c>
      <c r="D1566" t="s">
        <v>769</v>
      </c>
      <c r="E1566" t="s">
        <v>846</v>
      </c>
      <c r="F1566">
        <v>3</v>
      </c>
      <c r="G1566">
        <v>0.15</v>
      </c>
      <c r="H1566" t="s">
        <v>855</v>
      </c>
      <c r="I1566" t="str">
        <f>VLOOKUP(C1566,Customers!A:C,2,FALSE)&amp;" "&amp;VLOOKUP(C1566,Customers!A:C,3,FALSE)</f>
        <v>Chad Roberts</v>
      </c>
      <c r="J1566" t="str">
        <f>VLOOKUP(D1566,Products!A:C,2,FALSE)</f>
        <v>How Vegetables</v>
      </c>
      <c r="K1566" t="str">
        <f>VLOOKUP(D1566,Products!A:C,3,FALSE)</f>
        <v>Groceries</v>
      </c>
      <c r="L1566" t="str">
        <f>VLOOKUP(E1566,Stores!A:B,2,FALSE)</f>
        <v>MegaMart Johnmouth</v>
      </c>
      <c r="M1566">
        <f>VLOOKUP(D1566,Products!A:E,5,FALSE)</f>
        <v>25.57</v>
      </c>
      <c r="N1566" s="5">
        <f t="shared" si="24"/>
        <v>65.203500000000005</v>
      </c>
    </row>
    <row r="1567" spans="1:14" x14ac:dyDescent="0.3">
      <c r="A1567" t="s">
        <v>2423</v>
      </c>
      <c r="B1567" s="2">
        <v>45714</v>
      </c>
      <c r="C1567" t="s">
        <v>364</v>
      </c>
      <c r="D1567" t="s">
        <v>784</v>
      </c>
      <c r="E1567" t="s">
        <v>842</v>
      </c>
      <c r="F1567">
        <v>5</v>
      </c>
      <c r="G1567">
        <v>0.05</v>
      </c>
      <c r="H1567" t="s">
        <v>861</v>
      </c>
      <c r="I1567" t="str">
        <f>VLOOKUP(C1567,Customers!A:C,2,FALSE)&amp;" "&amp;VLOOKUP(C1567,Customers!A:C,3,FALSE)</f>
        <v>Evelyn Gray</v>
      </c>
      <c r="J1567" t="str">
        <f>VLOOKUP(D1567,Products!A:C,2,FALSE)</f>
        <v>Road Clothing</v>
      </c>
      <c r="K1567" t="str">
        <f>VLOOKUP(D1567,Products!A:C,3,FALSE)</f>
        <v>Fashion</v>
      </c>
      <c r="L1567" t="str">
        <f>VLOOKUP(E1567,Stores!A:B,2,FALSE)</f>
        <v>MegaMart Brianahaven</v>
      </c>
      <c r="M1567">
        <f>VLOOKUP(D1567,Products!A:E,5,FALSE)</f>
        <v>1485.05</v>
      </c>
      <c r="N1567" s="5">
        <f t="shared" si="24"/>
        <v>7053.9874999999993</v>
      </c>
    </row>
    <row r="1568" spans="1:14" x14ac:dyDescent="0.3">
      <c r="A1568" t="s">
        <v>2424</v>
      </c>
      <c r="B1568" s="2">
        <v>45622</v>
      </c>
      <c r="C1568" t="s">
        <v>476</v>
      </c>
      <c r="D1568" t="s">
        <v>808</v>
      </c>
      <c r="E1568" t="s">
        <v>842</v>
      </c>
      <c r="F1568">
        <v>4</v>
      </c>
      <c r="G1568">
        <v>0.15</v>
      </c>
      <c r="H1568" t="s">
        <v>861</v>
      </c>
      <c r="I1568" t="str">
        <f>VLOOKUP(C1568,Customers!A:C,2,FALSE)&amp;" "&amp;VLOOKUP(C1568,Customers!A:C,3,FALSE)</f>
        <v>Aaron Bailey</v>
      </c>
      <c r="J1568" t="str">
        <f>VLOOKUP(D1568,Products!A:C,2,FALSE)</f>
        <v>Present Television</v>
      </c>
      <c r="K1568" t="str">
        <f>VLOOKUP(D1568,Products!A:C,3,FALSE)</f>
        <v>Electronics</v>
      </c>
      <c r="L1568" t="str">
        <f>VLOOKUP(E1568,Stores!A:B,2,FALSE)</f>
        <v>MegaMart Brianahaven</v>
      </c>
      <c r="M1568">
        <f>VLOOKUP(D1568,Products!A:E,5,FALSE)</f>
        <v>1635.01</v>
      </c>
      <c r="N1568" s="5">
        <f t="shared" si="24"/>
        <v>5559.0339999999997</v>
      </c>
    </row>
    <row r="1569" spans="1:14" x14ac:dyDescent="0.3">
      <c r="A1569" t="s">
        <v>2425</v>
      </c>
      <c r="B1569" s="2">
        <v>45324</v>
      </c>
      <c r="C1569" t="s">
        <v>661</v>
      </c>
      <c r="D1569" t="s">
        <v>757</v>
      </c>
      <c r="E1569" t="s">
        <v>839</v>
      </c>
      <c r="F1569">
        <v>1</v>
      </c>
      <c r="G1569">
        <v>0.15</v>
      </c>
      <c r="H1569" t="s">
        <v>858</v>
      </c>
      <c r="I1569" t="str">
        <f>VLOOKUP(C1569,Customers!A:C,2,FALSE)&amp;" "&amp;VLOOKUP(C1569,Customers!A:C,3,FALSE)</f>
        <v>Cynthia Cherry</v>
      </c>
      <c r="J1569" t="str">
        <f>VLOOKUP(D1569,Products!A:C,2,FALSE)</f>
        <v>Find Headphones</v>
      </c>
      <c r="K1569" t="str">
        <f>VLOOKUP(D1569,Products!A:C,3,FALSE)</f>
        <v>Electronics</v>
      </c>
      <c r="L1569" t="str">
        <f>VLOOKUP(E1569,Stores!A:B,2,FALSE)</f>
        <v>MegaMart New Michele</v>
      </c>
      <c r="M1569">
        <f>VLOOKUP(D1569,Products!A:E,5,FALSE)</f>
        <v>1246.1099999999999</v>
      </c>
      <c r="N1569" s="5">
        <f t="shared" si="24"/>
        <v>1059.1934999999999</v>
      </c>
    </row>
    <row r="1570" spans="1:14" x14ac:dyDescent="0.3">
      <c r="A1570" t="s">
        <v>2426</v>
      </c>
      <c r="B1570" s="2">
        <v>45337</v>
      </c>
      <c r="C1570" t="s">
        <v>230</v>
      </c>
      <c r="D1570" t="s">
        <v>804</v>
      </c>
      <c r="E1570" t="s">
        <v>842</v>
      </c>
      <c r="F1570">
        <v>3</v>
      </c>
      <c r="G1570">
        <v>0</v>
      </c>
      <c r="H1570" t="s">
        <v>858</v>
      </c>
      <c r="I1570" t="str">
        <f>VLOOKUP(C1570,Customers!A:C,2,FALSE)&amp;" "&amp;VLOOKUP(C1570,Customers!A:C,3,FALSE)</f>
        <v>Anthony Conway</v>
      </c>
      <c r="J1570" t="str">
        <f>VLOOKUP(D1570,Products!A:C,2,FALSE)</f>
        <v>Church Clothing</v>
      </c>
      <c r="K1570" t="str">
        <f>VLOOKUP(D1570,Products!A:C,3,FALSE)</f>
        <v>Fashion</v>
      </c>
      <c r="L1570" t="str">
        <f>VLOOKUP(E1570,Stores!A:B,2,FALSE)</f>
        <v>MegaMart Brianahaven</v>
      </c>
      <c r="M1570">
        <f>VLOOKUP(D1570,Products!A:E,5,FALSE)</f>
        <v>540.94000000000005</v>
      </c>
      <c r="N1570" s="5">
        <f t="shared" si="24"/>
        <v>1622.8200000000002</v>
      </c>
    </row>
    <row r="1571" spans="1:14" x14ac:dyDescent="0.3">
      <c r="A1571" t="s">
        <v>2427</v>
      </c>
      <c r="B1571" s="2">
        <v>45857</v>
      </c>
      <c r="C1571" t="s">
        <v>666</v>
      </c>
      <c r="D1571" t="s">
        <v>769</v>
      </c>
      <c r="E1571" t="s">
        <v>839</v>
      </c>
      <c r="F1571">
        <v>1</v>
      </c>
      <c r="G1571">
        <v>0.05</v>
      </c>
      <c r="H1571" t="s">
        <v>865</v>
      </c>
      <c r="I1571" t="str">
        <f>VLOOKUP(C1571,Customers!A:C,2,FALSE)&amp;" "&amp;VLOOKUP(C1571,Customers!A:C,3,FALSE)</f>
        <v>Steve Flynn</v>
      </c>
      <c r="J1571" t="str">
        <f>VLOOKUP(D1571,Products!A:C,2,FALSE)</f>
        <v>How Vegetables</v>
      </c>
      <c r="K1571" t="str">
        <f>VLOOKUP(D1571,Products!A:C,3,FALSE)</f>
        <v>Groceries</v>
      </c>
      <c r="L1571" t="str">
        <f>VLOOKUP(E1571,Stores!A:B,2,FALSE)</f>
        <v>MegaMart New Michele</v>
      </c>
      <c r="M1571">
        <f>VLOOKUP(D1571,Products!A:E,5,FALSE)</f>
        <v>25.57</v>
      </c>
      <c r="N1571" s="5">
        <f t="shared" si="24"/>
        <v>24.291499999999999</v>
      </c>
    </row>
    <row r="1572" spans="1:14" x14ac:dyDescent="0.3">
      <c r="A1572" t="s">
        <v>2428</v>
      </c>
      <c r="B1572" s="2">
        <v>45704</v>
      </c>
      <c r="C1572" t="s">
        <v>533</v>
      </c>
      <c r="D1572" t="s">
        <v>734</v>
      </c>
      <c r="E1572" t="s">
        <v>839</v>
      </c>
      <c r="F1572">
        <v>5</v>
      </c>
      <c r="G1572">
        <v>0</v>
      </c>
      <c r="H1572" t="s">
        <v>865</v>
      </c>
      <c r="I1572" t="str">
        <f>VLOOKUP(C1572,Customers!A:C,2,FALSE)&amp;" "&amp;VLOOKUP(C1572,Customers!A:C,3,FALSE)</f>
        <v>Crystal Garrison</v>
      </c>
      <c r="J1572" t="str">
        <f>VLOOKUP(D1572,Products!A:C,2,FALSE)</f>
        <v>Recognize Footwear</v>
      </c>
      <c r="K1572" t="str">
        <f>VLOOKUP(D1572,Products!A:C,3,FALSE)</f>
        <v>Fashion</v>
      </c>
      <c r="L1572" t="str">
        <f>VLOOKUP(E1572,Stores!A:B,2,FALSE)</f>
        <v>MegaMart New Michele</v>
      </c>
      <c r="M1572">
        <f>VLOOKUP(D1572,Products!A:E,5,FALSE)</f>
        <v>109.78</v>
      </c>
      <c r="N1572" s="5">
        <f t="shared" si="24"/>
        <v>548.9</v>
      </c>
    </row>
    <row r="1573" spans="1:14" x14ac:dyDescent="0.3">
      <c r="A1573" t="s">
        <v>2429</v>
      </c>
      <c r="B1573" s="2">
        <v>45608</v>
      </c>
      <c r="C1573" t="s">
        <v>195</v>
      </c>
      <c r="D1573" t="s">
        <v>750</v>
      </c>
      <c r="E1573" t="s">
        <v>846</v>
      </c>
      <c r="F1573">
        <v>5</v>
      </c>
      <c r="G1573">
        <v>0</v>
      </c>
      <c r="H1573" t="s">
        <v>861</v>
      </c>
      <c r="I1573" t="str">
        <f>VLOOKUP(C1573,Customers!A:C,2,FALSE)&amp;" "&amp;VLOOKUP(C1573,Customers!A:C,3,FALSE)</f>
        <v>Kelly Mcmillan</v>
      </c>
      <c r="J1573" t="str">
        <f>VLOOKUP(D1573,Products!A:C,2,FALSE)</f>
        <v>Add Clothing</v>
      </c>
      <c r="K1573" t="str">
        <f>VLOOKUP(D1573,Products!A:C,3,FALSE)</f>
        <v>Fashion</v>
      </c>
      <c r="L1573" t="str">
        <f>VLOOKUP(E1573,Stores!A:B,2,FALSE)</f>
        <v>MegaMart Johnmouth</v>
      </c>
      <c r="M1573">
        <f>VLOOKUP(D1573,Products!A:E,5,FALSE)</f>
        <v>1342.75</v>
      </c>
      <c r="N1573" s="5">
        <f t="shared" si="24"/>
        <v>6713.75</v>
      </c>
    </row>
    <row r="1574" spans="1:14" x14ac:dyDescent="0.3">
      <c r="A1574" t="s">
        <v>2430</v>
      </c>
      <c r="B1574" s="2">
        <v>45298</v>
      </c>
      <c r="C1574" t="s">
        <v>680</v>
      </c>
      <c r="D1574" t="s">
        <v>772</v>
      </c>
      <c r="E1574" t="s">
        <v>842</v>
      </c>
      <c r="F1574">
        <v>5</v>
      </c>
      <c r="G1574">
        <v>0</v>
      </c>
      <c r="H1574" t="s">
        <v>865</v>
      </c>
      <c r="I1574" t="str">
        <f>VLOOKUP(C1574,Customers!A:C,2,FALSE)&amp;" "&amp;VLOOKUP(C1574,Customers!A:C,3,FALSE)</f>
        <v>Donald Meza</v>
      </c>
      <c r="J1574" t="str">
        <f>VLOOKUP(D1574,Products!A:C,2,FALSE)</f>
        <v>And Footwear</v>
      </c>
      <c r="K1574" t="str">
        <f>VLOOKUP(D1574,Products!A:C,3,FALSE)</f>
        <v>Fashion</v>
      </c>
      <c r="L1574" t="str">
        <f>VLOOKUP(E1574,Stores!A:B,2,FALSE)</f>
        <v>MegaMart Brianahaven</v>
      </c>
      <c r="M1574">
        <f>VLOOKUP(D1574,Products!A:E,5,FALSE)</f>
        <v>1878.47</v>
      </c>
      <c r="N1574" s="5">
        <f t="shared" si="24"/>
        <v>9392.35</v>
      </c>
    </row>
    <row r="1575" spans="1:14" x14ac:dyDescent="0.3">
      <c r="A1575" t="s">
        <v>2431</v>
      </c>
      <c r="B1575" s="2">
        <v>45549</v>
      </c>
      <c r="C1575" t="s">
        <v>601</v>
      </c>
      <c r="D1575" t="s">
        <v>745</v>
      </c>
      <c r="E1575" t="s">
        <v>846</v>
      </c>
      <c r="F1575">
        <v>2</v>
      </c>
      <c r="G1575">
        <v>0</v>
      </c>
      <c r="H1575" t="s">
        <v>855</v>
      </c>
      <c r="I1575" t="str">
        <f>VLOOKUP(C1575,Customers!A:C,2,FALSE)&amp;" "&amp;VLOOKUP(C1575,Customers!A:C,3,FALSE)</f>
        <v>Travis Watson</v>
      </c>
      <c r="J1575" t="str">
        <f>VLOOKUP(D1575,Products!A:C,2,FALSE)</f>
        <v>Above Camera</v>
      </c>
      <c r="K1575" t="str">
        <f>VLOOKUP(D1575,Products!A:C,3,FALSE)</f>
        <v>Electronics</v>
      </c>
      <c r="L1575" t="str">
        <f>VLOOKUP(E1575,Stores!A:B,2,FALSE)</f>
        <v>MegaMart Johnmouth</v>
      </c>
      <c r="M1575">
        <f>VLOOKUP(D1575,Products!A:E,5,FALSE)</f>
        <v>1193.0899999999999</v>
      </c>
      <c r="N1575" s="5">
        <f t="shared" si="24"/>
        <v>2386.1799999999998</v>
      </c>
    </row>
    <row r="1576" spans="1:14" x14ac:dyDescent="0.3">
      <c r="A1576" t="s">
        <v>2432</v>
      </c>
      <c r="B1576" s="2">
        <v>45831</v>
      </c>
      <c r="C1576" t="s">
        <v>206</v>
      </c>
      <c r="D1576" t="s">
        <v>818</v>
      </c>
      <c r="E1576" t="s">
        <v>835</v>
      </c>
      <c r="F1576">
        <v>5</v>
      </c>
      <c r="G1576">
        <v>0.15</v>
      </c>
      <c r="H1576" t="s">
        <v>865</v>
      </c>
      <c r="I1576" t="str">
        <f>VLOOKUP(C1576,Customers!A:C,2,FALSE)&amp;" "&amp;VLOOKUP(C1576,Customers!A:C,3,FALSE)</f>
        <v>Felicia Morgan</v>
      </c>
      <c r="J1576" t="str">
        <f>VLOOKUP(D1576,Products!A:C,2,FALSE)</f>
        <v>Nature Clothing</v>
      </c>
      <c r="K1576" t="str">
        <f>VLOOKUP(D1576,Products!A:C,3,FALSE)</f>
        <v>Fashion</v>
      </c>
      <c r="L1576" t="str">
        <f>VLOOKUP(E1576,Stores!A:B,2,FALSE)</f>
        <v>MegaMart Peckmouth</v>
      </c>
      <c r="M1576">
        <f>VLOOKUP(D1576,Products!A:E,5,FALSE)</f>
        <v>1165.3699999999999</v>
      </c>
      <c r="N1576" s="5">
        <f t="shared" si="24"/>
        <v>4952.8224999999993</v>
      </c>
    </row>
    <row r="1577" spans="1:14" x14ac:dyDescent="0.3">
      <c r="A1577" t="s">
        <v>2433</v>
      </c>
      <c r="B1577" s="2">
        <v>45231</v>
      </c>
      <c r="C1577" t="s">
        <v>500</v>
      </c>
      <c r="D1577" t="s">
        <v>780</v>
      </c>
      <c r="E1577" t="s">
        <v>846</v>
      </c>
      <c r="F1577">
        <v>3</v>
      </c>
      <c r="G1577">
        <v>0.15</v>
      </c>
      <c r="H1577" t="s">
        <v>865</v>
      </c>
      <c r="I1577" t="str">
        <f>VLOOKUP(C1577,Customers!A:C,2,FALSE)&amp;" "&amp;VLOOKUP(C1577,Customers!A:C,3,FALSE)</f>
        <v>Gary Lopez</v>
      </c>
      <c r="J1577" t="str">
        <f>VLOOKUP(D1577,Products!A:C,2,FALSE)</f>
        <v>Hospital Smartphone</v>
      </c>
      <c r="K1577" t="str">
        <f>VLOOKUP(D1577,Products!A:C,3,FALSE)</f>
        <v>Electronics</v>
      </c>
      <c r="L1577" t="str">
        <f>VLOOKUP(E1577,Stores!A:B,2,FALSE)</f>
        <v>MegaMart Johnmouth</v>
      </c>
      <c r="M1577">
        <f>VLOOKUP(D1577,Products!A:E,5,FALSE)</f>
        <v>1272.23</v>
      </c>
      <c r="N1577" s="5">
        <f t="shared" si="24"/>
        <v>3244.1864999999998</v>
      </c>
    </row>
    <row r="1578" spans="1:14" x14ac:dyDescent="0.3">
      <c r="A1578" t="s">
        <v>2434</v>
      </c>
      <c r="B1578" s="2">
        <v>45674</v>
      </c>
      <c r="C1578" t="s">
        <v>464</v>
      </c>
      <c r="D1578" t="s">
        <v>769</v>
      </c>
      <c r="E1578" t="s">
        <v>831</v>
      </c>
      <c r="F1578">
        <v>3</v>
      </c>
      <c r="G1578">
        <v>0.15</v>
      </c>
      <c r="H1578" t="s">
        <v>861</v>
      </c>
      <c r="I1578" t="str">
        <f>VLOOKUP(C1578,Customers!A:C,2,FALSE)&amp;" "&amp;VLOOKUP(C1578,Customers!A:C,3,FALSE)</f>
        <v>Monique Johnson</v>
      </c>
      <c r="J1578" t="str">
        <f>VLOOKUP(D1578,Products!A:C,2,FALSE)</f>
        <v>How Vegetables</v>
      </c>
      <c r="K1578" t="str">
        <f>VLOOKUP(D1578,Products!A:C,3,FALSE)</f>
        <v>Groceries</v>
      </c>
      <c r="L1578" t="str">
        <f>VLOOKUP(E1578,Stores!A:B,2,FALSE)</f>
        <v>MegaMart Jimenezborough</v>
      </c>
      <c r="M1578">
        <f>VLOOKUP(D1578,Products!A:E,5,FALSE)</f>
        <v>25.57</v>
      </c>
      <c r="N1578" s="5">
        <f t="shared" si="24"/>
        <v>65.203500000000005</v>
      </c>
    </row>
    <row r="1579" spans="1:14" x14ac:dyDescent="0.3">
      <c r="A1579" t="s">
        <v>2435</v>
      </c>
      <c r="B1579" s="2">
        <v>45546</v>
      </c>
      <c r="C1579" t="s">
        <v>399</v>
      </c>
      <c r="D1579" t="s">
        <v>804</v>
      </c>
      <c r="E1579" t="s">
        <v>831</v>
      </c>
      <c r="F1579">
        <v>5</v>
      </c>
      <c r="G1579">
        <v>0.1</v>
      </c>
      <c r="H1579" t="s">
        <v>858</v>
      </c>
      <c r="I1579" t="str">
        <f>VLOOKUP(C1579,Customers!A:C,2,FALSE)&amp;" "&amp;VLOOKUP(C1579,Customers!A:C,3,FALSE)</f>
        <v>Victoria Hansen</v>
      </c>
      <c r="J1579" t="str">
        <f>VLOOKUP(D1579,Products!A:C,2,FALSE)</f>
        <v>Church Clothing</v>
      </c>
      <c r="K1579" t="str">
        <f>VLOOKUP(D1579,Products!A:C,3,FALSE)</f>
        <v>Fashion</v>
      </c>
      <c r="L1579" t="str">
        <f>VLOOKUP(E1579,Stores!A:B,2,FALSE)</f>
        <v>MegaMart Jimenezborough</v>
      </c>
      <c r="M1579">
        <f>VLOOKUP(D1579,Products!A:E,5,FALSE)</f>
        <v>540.94000000000005</v>
      </c>
      <c r="N1579" s="5">
        <f t="shared" si="24"/>
        <v>2434.2300000000005</v>
      </c>
    </row>
    <row r="1580" spans="1:14" x14ac:dyDescent="0.3">
      <c r="A1580" t="s">
        <v>2436</v>
      </c>
      <c r="B1580" s="2">
        <v>45481</v>
      </c>
      <c r="C1580" t="s">
        <v>250</v>
      </c>
      <c r="D1580" t="s">
        <v>769</v>
      </c>
      <c r="E1580" t="s">
        <v>831</v>
      </c>
      <c r="F1580">
        <v>1</v>
      </c>
      <c r="G1580">
        <v>0</v>
      </c>
      <c r="H1580" t="s">
        <v>861</v>
      </c>
      <c r="I1580" t="str">
        <f>VLOOKUP(C1580,Customers!A:C,2,FALSE)&amp;" "&amp;VLOOKUP(C1580,Customers!A:C,3,FALSE)</f>
        <v>Jason Jenkins</v>
      </c>
      <c r="J1580" t="str">
        <f>VLOOKUP(D1580,Products!A:C,2,FALSE)</f>
        <v>How Vegetables</v>
      </c>
      <c r="K1580" t="str">
        <f>VLOOKUP(D1580,Products!A:C,3,FALSE)</f>
        <v>Groceries</v>
      </c>
      <c r="L1580" t="str">
        <f>VLOOKUP(E1580,Stores!A:B,2,FALSE)</f>
        <v>MegaMart Jimenezborough</v>
      </c>
      <c r="M1580">
        <f>VLOOKUP(D1580,Products!A:E,5,FALSE)</f>
        <v>25.57</v>
      </c>
      <c r="N1580" s="5">
        <f t="shared" si="24"/>
        <v>25.57</v>
      </c>
    </row>
    <row r="1581" spans="1:14" x14ac:dyDescent="0.3">
      <c r="A1581" t="s">
        <v>2437</v>
      </c>
      <c r="B1581" s="2">
        <v>45907</v>
      </c>
      <c r="C1581" t="s">
        <v>280</v>
      </c>
      <c r="D1581" t="s">
        <v>718</v>
      </c>
      <c r="E1581" t="s">
        <v>835</v>
      </c>
      <c r="F1581">
        <v>2</v>
      </c>
      <c r="G1581">
        <v>0.1</v>
      </c>
      <c r="H1581" t="s">
        <v>865</v>
      </c>
      <c r="I1581" t="str">
        <f>VLOOKUP(C1581,Customers!A:C,2,FALSE)&amp;" "&amp;VLOOKUP(C1581,Customers!A:C,3,FALSE)</f>
        <v>Jesus Singh</v>
      </c>
      <c r="J1581" t="str">
        <f>VLOOKUP(D1581,Products!A:C,2,FALSE)</f>
        <v>Here Footwear</v>
      </c>
      <c r="K1581" t="str">
        <f>VLOOKUP(D1581,Products!A:C,3,FALSE)</f>
        <v>Fashion</v>
      </c>
      <c r="L1581" t="str">
        <f>VLOOKUP(E1581,Stores!A:B,2,FALSE)</f>
        <v>MegaMart Peckmouth</v>
      </c>
      <c r="M1581">
        <f>VLOOKUP(D1581,Products!A:E,5,FALSE)</f>
        <v>337.63</v>
      </c>
      <c r="N1581" s="5">
        <f t="shared" si="24"/>
        <v>607.73400000000004</v>
      </c>
    </row>
    <row r="1582" spans="1:14" x14ac:dyDescent="0.3">
      <c r="A1582" t="s">
        <v>2438</v>
      </c>
      <c r="B1582" s="2">
        <v>45725</v>
      </c>
      <c r="C1582" t="s">
        <v>155</v>
      </c>
      <c r="D1582" t="s">
        <v>750</v>
      </c>
      <c r="E1582" t="s">
        <v>839</v>
      </c>
      <c r="F1582">
        <v>4</v>
      </c>
      <c r="G1582">
        <v>0.05</v>
      </c>
      <c r="H1582" t="s">
        <v>865</v>
      </c>
      <c r="I1582" t="str">
        <f>VLOOKUP(C1582,Customers!A:C,2,FALSE)&amp;" "&amp;VLOOKUP(C1582,Customers!A:C,3,FALSE)</f>
        <v>Scott Powell</v>
      </c>
      <c r="J1582" t="str">
        <f>VLOOKUP(D1582,Products!A:C,2,FALSE)</f>
        <v>Add Clothing</v>
      </c>
      <c r="K1582" t="str">
        <f>VLOOKUP(D1582,Products!A:C,3,FALSE)</f>
        <v>Fashion</v>
      </c>
      <c r="L1582" t="str">
        <f>VLOOKUP(E1582,Stores!A:B,2,FALSE)</f>
        <v>MegaMart New Michele</v>
      </c>
      <c r="M1582">
        <f>VLOOKUP(D1582,Products!A:E,5,FALSE)</f>
        <v>1342.75</v>
      </c>
      <c r="N1582" s="5">
        <f t="shared" si="24"/>
        <v>5102.45</v>
      </c>
    </row>
    <row r="1583" spans="1:14" x14ac:dyDescent="0.3">
      <c r="A1583" t="s">
        <v>2439</v>
      </c>
      <c r="B1583" s="2">
        <v>45710</v>
      </c>
      <c r="C1583" t="s">
        <v>567</v>
      </c>
      <c r="D1583" t="s">
        <v>822</v>
      </c>
      <c r="E1583" t="s">
        <v>839</v>
      </c>
      <c r="F1583">
        <v>2</v>
      </c>
      <c r="G1583">
        <v>0</v>
      </c>
      <c r="H1583" t="s">
        <v>865</v>
      </c>
      <c r="I1583" t="str">
        <f>VLOOKUP(C1583,Customers!A:C,2,FALSE)&amp;" "&amp;VLOOKUP(C1583,Customers!A:C,3,FALSE)</f>
        <v>Crystal Aguirre</v>
      </c>
      <c r="J1583" t="str">
        <f>VLOOKUP(D1583,Products!A:C,2,FALSE)</f>
        <v>Nor Bags</v>
      </c>
      <c r="K1583" t="str">
        <f>VLOOKUP(D1583,Products!A:C,3,FALSE)</f>
        <v>Fashion</v>
      </c>
      <c r="L1583" t="str">
        <f>VLOOKUP(E1583,Stores!A:B,2,FALSE)</f>
        <v>MegaMart New Michele</v>
      </c>
      <c r="M1583">
        <f>VLOOKUP(D1583,Products!A:E,5,FALSE)</f>
        <v>1216.3599999999999</v>
      </c>
      <c r="N1583" s="5">
        <f t="shared" si="24"/>
        <v>2432.7199999999998</v>
      </c>
    </row>
    <row r="1584" spans="1:14" x14ac:dyDescent="0.3">
      <c r="A1584" t="s">
        <v>2440</v>
      </c>
      <c r="B1584" s="2">
        <v>45548</v>
      </c>
      <c r="C1584" t="s">
        <v>291</v>
      </c>
      <c r="D1584" t="s">
        <v>757</v>
      </c>
      <c r="E1584" t="s">
        <v>842</v>
      </c>
      <c r="F1584">
        <v>1</v>
      </c>
      <c r="G1584">
        <v>0.1</v>
      </c>
      <c r="H1584" t="s">
        <v>861</v>
      </c>
      <c r="I1584" t="str">
        <f>VLOOKUP(C1584,Customers!A:C,2,FALSE)&amp;" "&amp;VLOOKUP(C1584,Customers!A:C,3,FALSE)</f>
        <v>Matthew Juarez</v>
      </c>
      <c r="J1584" t="str">
        <f>VLOOKUP(D1584,Products!A:C,2,FALSE)</f>
        <v>Find Headphones</v>
      </c>
      <c r="K1584" t="str">
        <f>VLOOKUP(D1584,Products!A:C,3,FALSE)</f>
        <v>Electronics</v>
      </c>
      <c r="L1584" t="str">
        <f>VLOOKUP(E1584,Stores!A:B,2,FALSE)</f>
        <v>MegaMart Brianahaven</v>
      </c>
      <c r="M1584">
        <f>VLOOKUP(D1584,Products!A:E,5,FALSE)</f>
        <v>1246.1099999999999</v>
      </c>
      <c r="N1584" s="5">
        <f t="shared" si="24"/>
        <v>1121.499</v>
      </c>
    </row>
    <row r="1585" spans="1:14" x14ac:dyDescent="0.3">
      <c r="A1585" t="s">
        <v>2441</v>
      </c>
      <c r="B1585" s="2">
        <v>45802</v>
      </c>
      <c r="C1585" t="s">
        <v>396</v>
      </c>
      <c r="D1585" t="s">
        <v>792</v>
      </c>
      <c r="E1585" t="s">
        <v>839</v>
      </c>
      <c r="F1585">
        <v>3</v>
      </c>
      <c r="G1585">
        <v>0.15</v>
      </c>
      <c r="H1585" t="s">
        <v>865</v>
      </c>
      <c r="I1585" t="str">
        <f>VLOOKUP(C1585,Customers!A:C,2,FALSE)&amp;" "&amp;VLOOKUP(C1585,Customers!A:C,3,FALSE)</f>
        <v>Kevin Flores</v>
      </c>
      <c r="J1585" t="str">
        <f>VLOOKUP(D1585,Products!A:C,2,FALSE)</f>
        <v>Beat Accessories</v>
      </c>
      <c r="K1585" t="str">
        <f>VLOOKUP(D1585,Products!A:C,3,FALSE)</f>
        <v>Fashion</v>
      </c>
      <c r="L1585" t="str">
        <f>VLOOKUP(E1585,Stores!A:B,2,FALSE)</f>
        <v>MegaMart New Michele</v>
      </c>
      <c r="M1585">
        <f>VLOOKUP(D1585,Products!A:E,5,FALSE)</f>
        <v>1798.97</v>
      </c>
      <c r="N1585" s="5">
        <f t="shared" si="24"/>
        <v>4587.3734999999997</v>
      </c>
    </row>
    <row r="1586" spans="1:14" x14ac:dyDescent="0.3">
      <c r="A1586" t="s">
        <v>2442</v>
      </c>
      <c r="B1586" s="2">
        <v>45789</v>
      </c>
      <c r="C1586" t="s">
        <v>59</v>
      </c>
      <c r="D1586" t="s">
        <v>782</v>
      </c>
      <c r="E1586" t="s">
        <v>835</v>
      </c>
      <c r="F1586">
        <v>2</v>
      </c>
      <c r="G1586">
        <v>0.05</v>
      </c>
      <c r="H1586" t="s">
        <v>858</v>
      </c>
      <c r="I1586" t="str">
        <f>VLOOKUP(C1586,Customers!A:C,2,FALSE)&amp;" "&amp;VLOOKUP(C1586,Customers!A:C,3,FALSE)</f>
        <v>Brittany Green</v>
      </c>
      <c r="J1586" t="str">
        <f>VLOOKUP(D1586,Products!A:C,2,FALSE)</f>
        <v>Deal Smartphone</v>
      </c>
      <c r="K1586" t="str">
        <f>VLOOKUP(D1586,Products!A:C,3,FALSE)</f>
        <v>Electronics</v>
      </c>
      <c r="L1586" t="str">
        <f>VLOOKUP(E1586,Stores!A:B,2,FALSE)</f>
        <v>MegaMart Peckmouth</v>
      </c>
      <c r="M1586">
        <f>VLOOKUP(D1586,Products!A:E,5,FALSE)</f>
        <v>673.78</v>
      </c>
      <c r="N1586" s="5">
        <f t="shared" si="24"/>
        <v>1280.1819999999998</v>
      </c>
    </row>
    <row r="1587" spans="1:14" x14ac:dyDescent="0.3">
      <c r="A1587" t="s">
        <v>2443</v>
      </c>
      <c r="B1587" s="2">
        <v>45573</v>
      </c>
      <c r="C1587" t="s">
        <v>480</v>
      </c>
      <c r="D1587" t="s">
        <v>782</v>
      </c>
      <c r="E1587" t="s">
        <v>846</v>
      </c>
      <c r="F1587">
        <v>4</v>
      </c>
      <c r="G1587">
        <v>0</v>
      </c>
      <c r="H1587" t="s">
        <v>855</v>
      </c>
      <c r="I1587" t="str">
        <f>VLOOKUP(C1587,Customers!A:C,2,FALSE)&amp;" "&amp;VLOOKUP(C1587,Customers!A:C,3,FALSE)</f>
        <v>Denise Jackson</v>
      </c>
      <c r="J1587" t="str">
        <f>VLOOKUP(D1587,Products!A:C,2,FALSE)</f>
        <v>Deal Smartphone</v>
      </c>
      <c r="K1587" t="str">
        <f>VLOOKUP(D1587,Products!A:C,3,FALSE)</f>
        <v>Electronics</v>
      </c>
      <c r="L1587" t="str">
        <f>VLOOKUP(E1587,Stores!A:B,2,FALSE)</f>
        <v>MegaMart Johnmouth</v>
      </c>
      <c r="M1587">
        <f>VLOOKUP(D1587,Products!A:E,5,FALSE)</f>
        <v>673.78</v>
      </c>
      <c r="N1587" s="5">
        <f t="shared" si="24"/>
        <v>2695.12</v>
      </c>
    </row>
    <row r="1588" spans="1:14" x14ac:dyDescent="0.3">
      <c r="A1588" t="s">
        <v>2444</v>
      </c>
      <c r="B1588" s="2">
        <v>45585</v>
      </c>
      <c r="C1588" t="s">
        <v>67</v>
      </c>
      <c r="D1588" t="s">
        <v>808</v>
      </c>
      <c r="E1588" t="s">
        <v>839</v>
      </c>
      <c r="F1588">
        <v>4</v>
      </c>
      <c r="G1588">
        <v>0.15</v>
      </c>
      <c r="H1588" t="s">
        <v>865</v>
      </c>
      <c r="I1588" t="str">
        <f>VLOOKUP(C1588,Customers!A:C,2,FALSE)&amp;" "&amp;VLOOKUP(C1588,Customers!A:C,3,FALSE)</f>
        <v>Miguel Johnson</v>
      </c>
      <c r="J1588" t="str">
        <f>VLOOKUP(D1588,Products!A:C,2,FALSE)</f>
        <v>Present Television</v>
      </c>
      <c r="K1588" t="str">
        <f>VLOOKUP(D1588,Products!A:C,3,FALSE)</f>
        <v>Electronics</v>
      </c>
      <c r="L1588" t="str">
        <f>VLOOKUP(E1588,Stores!A:B,2,FALSE)</f>
        <v>MegaMart New Michele</v>
      </c>
      <c r="M1588">
        <f>VLOOKUP(D1588,Products!A:E,5,FALSE)</f>
        <v>1635.01</v>
      </c>
      <c r="N1588" s="5">
        <f t="shared" si="24"/>
        <v>5559.0339999999997</v>
      </c>
    </row>
    <row r="1589" spans="1:14" x14ac:dyDescent="0.3">
      <c r="A1589" t="s">
        <v>2445</v>
      </c>
      <c r="B1589" s="2">
        <v>45288</v>
      </c>
      <c r="C1589" t="s">
        <v>458</v>
      </c>
      <c r="D1589" t="s">
        <v>808</v>
      </c>
      <c r="E1589" t="s">
        <v>831</v>
      </c>
      <c r="F1589">
        <v>4</v>
      </c>
      <c r="G1589">
        <v>0.05</v>
      </c>
      <c r="H1589" t="s">
        <v>865</v>
      </c>
      <c r="I1589" t="str">
        <f>VLOOKUP(C1589,Customers!A:C,2,FALSE)&amp;" "&amp;VLOOKUP(C1589,Customers!A:C,3,FALSE)</f>
        <v>Chad Roberts</v>
      </c>
      <c r="J1589" t="str">
        <f>VLOOKUP(D1589,Products!A:C,2,FALSE)</f>
        <v>Present Television</v>
      </c>
      <c r="K1589" t="str">
        <f>VLOOKUP(D1589,Products!A:C,3,FALSE)</f>
        <v>Electronics</v>
      </c>
      <c r="L1589" t="str">
        <f>VLOOKUP(E1589,Stores!A:B,2,FALSE)</f>
        <v>MegaMart Jimenezborough</v>
      </c>
      <c r="M1589">
        <f>VLOOKUP(D1589,Products!A:E,5,FALSE)</f>
        <v>1635.01</v>
      </c>
      <c r="N1589" s="5">
        <f t="shared" si="24"/>
        <v>6213.0379999999996</v>
      </c>
    </row>
    <row r="1590" spans="1:14" x14ac:dyDescent="0.3">
      <c r="A1590" t="s">
        <v>2446</v>
      </c>
      <c r="B1590" s="2">
        <v>45615</v>
      </c>
      <c r="C1590" t="s">
        <v>262</v>
      </c>
      <c r="D1590" t="s">
        <v>764</v>
      </c>
      <c r="E1590" t="s">
        <v>846</v>
      </c>
      <c r="F1590">
        <v>5</v>
      </c>
      <c r="G1590">
        <v>0</v>
      </c>
      <c r="H1590" t="s">
        <v>861</v>
      </c>
      <c r="I1590" t="str">
        <f>VLOOKUP(C1590,Customers!A:C,2,FALSE)&amp;" "&amp;VLOOKUP(C1590,Customers!A:C,3,FALSE)</f>
        <v>Gabriel Daugherty</v>
      </c>
      <c r="J1590" t="str">
        <f>VLOOKUP(D1590,Products!A:C,2,FALSE)</f>
        <v>Simple Accessories</v>
      </c>
      <c r="K1590" t="str">
        <f>VLOOKUP(D1590,Products!A:C,3,FALSE)</f>
        <v>Fashion</v>
      </c>
      <c r="L1590" t="str">
        <f>VLOOKUP(E1590,Stores!A:B,2,FALSE)</f>
        <v>MegaMart Johnmouth</v>
      </c>
      <c r="M1590">
        <f>VLOOKUP(D1590,Products!A:E,5,FALSE)</f>
        <v>323.92</v>
      </c>
      <c r="N1590" s="5">
        <f t="shared" si="24"/>
        <v>1619.6000000000001</v>
      </c>
    </row>
    <row r="1591" spans="1:14" x14ac:dyDescent="0.3">
      <c r="A1591" t="s">
        <v>2447</v>
      </c>
      <c r="B1591" s="2">
        <v>45542</v>
      </c>
      <c r="C1591" t="s">
        <v>690</v>
      </c>
      <c r="D1591" t="s">
        <v>722</v>
      </c>
      <c r="E1591" t="s">
        <v>846</v>
      </c>
      <c r="F1591">
        <v>2</v>
      </c>
      <c r="G1591">
        <v>0.1</v>
      </c>
      <c r="H1591" t="s">
        <v>858</v>
      </c>
      <c r="I1591" t="str">
        <f>VLOOKUP(C1591,Customers!A:C,2,FALSE)&amp;" "&amp;VLOOKUP(C1591,Customers!A:C,3,FALSE)</f>
        <v>James Noble</v>
      </c>
      <c r="J1591" t="str">
        <f>VLOOKUP(D1591,Products!A:C,2,FALSE)</f>
        <v>Four Accessories</v>
      </c>
      <c r="K1591" t="str">
        <f>VLOOKUP(D1591,Products!A:C,3,FALSE)</f>
        <v>Fashion</v>
      </c>
      <c r="L1591" t="str">
        <f>VLOOKUP(E1591,Stores!A:B,2,FALSE)</f>
        <v>MegaMart Johnmouth</v>
      </c>
      <c r="M1591">
        <f>VLOOKUP(D1591,Products!A:E,5,FALSE)</f>
        <v>1853.77</v>
      </c>
      <c r="N1591" s="5">
        <f t="shared" si="24"/>
        <v>3336.7860000000001</v>
      </c>
    </row>
    <row r="1592" spans="1:14" x14ac:dyDescent="0.3">
      <c r="A1592" t="s">
        <v>2448</v>
      </c>
      <c r="B1592" s="2">
        <v>45226</v>
      </c>
      <c r="C1592" t="s">
        <v>429</v>
      </c>
      <c r="D1592" t="s">
        <v>715</v>
      </c>
      <c r="E1592" t="s">
        <v>831</v>
      </c>
      <c r="F1592">
        <v>5</v>
      </c>
      <c r="G1592">
        <v>0.05</v>
      </c>
      <c r="H1592" t="s">
        <v>861</v>
      </c>
      <c r="I1592" t="str">
        <f>VLOOKUP(C1592,Customers!A:C,2,FALSE)&amp;" "&amp;VLOOKUP(C1592,Customers!A:C,3,FALSE)</f>
        <v>Jose Smith</v>
      </c>
      <c r="J1592" t="str">
        <f>VLOOKUP(D1592,Products!A:C,2,FALSE)</f>
        <v>Audience Television</v>
      </c>
      <c r="K1592" t="str">
        <f>VLOOKUP(D1592,Products!A:C,3,FALSE)</f>
        <v>Electronics</v>
      </c>
      <c r="L1592" t="str">
        <f>VLOOKUP(E1592,Stores!A:B,2,FALSE)</f>
        <v>MegaMart Jimenezborough</v>
      </c>
      <c r="M1592">
        <f>VLOOKUP(D1592,Products!A:E,5,FALSE)</f>
        <v>818.76</v>
      </c>
      <c r="N1592" s="5">
        <f t="shared" si="24"/>
        <v>3889.11</v>
      </c>
    </row>
    <row r="1593" spans="1:14" x14ac:dyDescent="0.3">
      <c r="A1593" t="s">
        <v>2449</v>
      </c>
      <c r="B1593" s="2">
        <v>45540</v>
      </c>
      <c r="C1593" t="s">
        <v>362</v>
      </c>
      <c r="D1593" t="s">
        <v>824</v>
      </c>
      <c r="E1593" t="s">
        <v>846</v>
      </c>
      <c r="F1593">
        <v>2</v>
      </c>
      <c r="G1593">
        <v>0.05</v>
      </c>
      <c r="H1593" t="s">
        <v>858</v>
      </c>
      <c r="I1593" t="str">
        <f>VLOOKUP(C1593,Customers!A:C,2,FALSE)&amp;" "&amp;VLOOKUP(C1593,Customers!A:C,3,FALSE)</f>
        <v>Eric King</v>
      </c>
      <c r="J1593" t="str">
        <f>VLOOKUP(D1593,Products!A:C,2,FALSE)</f>
        <v>Possible Watches</v>
      </c>
      <c r="K1593" t="str">
        <f>VLOOKUP(D1593,Products!A:C,3,FALSE)</f>
        <v>Fashion</v>
      </c>
      <c r="L1593" t="str">
        <f>VLOOKUP(E1593,Stores!A:B,2,FALSE)</f>
        <v>MegaMart Johnmouth</v>
      </c>
      <c r="M1593">
        <f>VLOOKUP(D1593,Products!A:E,5,FALSE)</f>
        <v>388.26</v>
      </c>
      <c r="N1593" s="5">
        <f t="shared" si="24"/>
        <v>737.69399999999996</v>
      </c>
    </row>
    <row r="1594" spans="1:14" x14ac:dyDescent="0.3">
      <c r="A1594" t="s">
        <v>2450</v>
      </c>
      <c r="B1594" s="2">
        <v>45363</v>
      </c>
      <c r="C1594" t="s">
        <v>520</v>
      </c>
      <c r="D1594" t="s">
        <v>786</v>
      </c>
      <c r="E1594" t="s">
        <v>842</v>
      </c>
      <c r="F1594">
        <v>1</v>
      </c>
      <c r="G1594">
        <v>0</v>
      </c>
      <c r="H1594" t="s">
        <v>858</v>
      </c>
      <c r="I1594" t="str">
        <f>VLOOKUP(C1594,Customers!A:C,2,FALSE)&amp;" "&amp;VLOOKUP(C1594,Customers!A:C,3,FALSE)</f>
        <v>Cynthia Carlson</v>
      </c>
      <c r="J1594" t="str">
        <f>VLOOKUP(D1594,Products!A:C,2,FALSE)</f>
        <v>National Watches</v>
      </c>
      <c r="K1594" t="str">
        <f>VLOOKUP(D1594,Products!A:C,3,FALSE)</f>
        <v>Fashion</v>
      </c>
      <c r="L1594" t="str">
        <f>VLOOKUP(E1594,Stores!A:B,2,FALSE)</f>
        <v>MegaMart Brianahaven</v>
      </c>
      <c r="M1594">
        <f>VLOOKUP(D1594,Products!A:E,5,FALSE)</f>
        <v>29.24</v>
      </c>
      <c r="N1594" s="5">
        <f t="shared" si="24"/>
        <v>29.24</v>
      </c>
    </row>
    <row r="1595" spans="1:14" x14ac:dyDescent="0.3">
      <c r="A1595" t="s">
        <v>2451</v>
      </c>
      <c r="B1595" s="2">
        <v>45483</v>
      </c>
      <c r="C1595" t="s">
        <v>570</v>
      </c>
      <c r="D1595" t="s">
        <v>820</v>
      </c>
      <c r="E1595" t="s">
        <v>839</v>
      </c>
      <c r="F1595">
        <v>2</v>
      </c>
      <c r="G1595">
        <v>0</v>
      </c>
      <c r="H1595" t="s">
        <v>865</v>
      </c>
      <c r="I1595" t="str">
        <f>VLOOKUP(C1595,Customers!A:C,2,FALSE)&amp;" "&amp;VLOOKUP(C1595,Customers!A:C,3,FALSE)</f>
        <v>Thomas Chung</v>
      </c>
      <c r="J1595" t="str">
        <f>VLOOKUP(D1595,Products!A:C,2,FALSE)</f>
        <v>Or Smartphone</v>
      </c>
      <c r="K1595" t="str">
        <f>VLOOKUP(D1595,Products!A:C,3,FALSE)</f>
        <v>Electronics</v>
      </c>
      <c r="L1595" t="str">
        <f>VLOOKUP(E1595,Stores!A:B,2,FALSE)</f>
        <v>MegaMart New Michele</v>
      </c>
      <c r="M1595">
        <f>VLOOKUP(D1595,Products!A:E,5,FALSE)</f>
        <v>1197.18</v>
      </c>
      <c r="N1595" s="5">
        <f t="shared" si="24"/>
        <v>2394.36</v>
      </c>
    </row>
    <row r="1596" spans="1:14" x14ac:dyDescent="0.3">
      <c r="A1596" t="s">
        <v>2452</v>
      </c>
      <c r="B1596" s="2">
        <v>45266</v>
      </c>
      <c r="C1596" t="s">
        <v>458</v>
      </c>
      <c r="D1596" t="s">
        <v>742</v>
      </c>
      <c r="E1596" t="s">
        <v>839</v>
      </c>
      <c r="F1596">
        <v>5</v>
      </c>
      <c r="G1596">
        <v>0.1</v>
      </c>
      <c r="H1596" t="s">
        <v>858</v>
      </c>
      <c r="I1596" t="str">
        <f>VLOOKUP(C1596,Customers!A:C,2,FALSE)&amp;" "&amp;VLOOKUP(C1596,Customers!A:C,3,FALSE)</f>
        <v>Chad Roberts</v>
      </c>
      <c r="J1596" t="str">
        <f>VLOOKUP(D1596,Products!A:C,2,FALSE)</f>
        <v>Either Headphones</v>
      </c>
      <c r="K1596" t="str">
        <f>VLOOKUP(D1596,Products!A:C,3,FALSE)</f>
        <v>Electronics</v>
      </c>
      <c r="L1596" t="str">
        <f>VLOOKUP(E1596,Stores!A:B,2,FALSE)</f>
        <v>MegaMart New Michele</v>
      </c>
      <c r="M1596">
        <f>VLOOKUP(D1596,Products!A:E,5,FALSE)</f>
        <v>248.57</v>
      </c>
      <c r="N1596" s="5">
        <f t="shared" si="24"/>
        <v>1118.5650000000001</v>
      </c>
    </row>
    <row r="1597" spans="1:14" x14ac:dyDescent="0.3">
      <c r="A1597" t="s">
        <v>2453</v>
      </c>
      <c r="B1597" s="2">
        <v>45819</v>
      </c>
      <c r="C1597" t="s">
        <v>339</v>
      </c>
      <c r="D1597" t="s">
        <v>753</v>
      </c>
      <c r="E1597" t="s">
        <v>835</v>
      </c>
      <c r="F1597">
        <v>5</v>
      </c>
      <c r="G1597">
        <v>0.1</v>
      </c>
      <c r="H1597" t="s">
        <v>865</v>
      </c>
      <c r="I1597" t="str">
        <f>VLOOKUP(C1597,Customers!A:C,2,FALSE)&amp;" "&amp;VLOOKUP(C1597,Customers!A:C,3,FALSE)</f>
        <v>Carrie Peterson</v>
      </c>
      <c r="J1597" t="str">
        <f>VLOOKUP(D1597,Products!A:C,2,FALSE)</f>
        <v>Whether Bags</v>
      </c>
      <c r="K1597" t="str">
        <f>VLOOKUP(D1597,Products!A:C,3,FALSE)</f>
        <v>Fashion</v>
      </c>
      <c r="L1597" t="str">
        <f>VLOOKUP(E1597,Stores!A:B,2,FALSE)</f>
        <v>MegaMart Peckmouth</v>
      </c>
      <c r="M1597">
        <f>VLOOKUP(D1597,Products!A:E,5,FALSE)</f>
        <v>270.45</v>
      </c>
      <c r="N1597" s="5">
        <f t="shared" si="24"/>
        <v>1217.0250000000001</v>
      </c>
    </row>
    <row r="1598" spans="1:14" x14ac:dyDescent="0.3">
      <c r="A1598" t="s">
        <v>2454</v>
      </c>
      <c r="B1598" s="2">
        <v>45547</v>
      </c>
      <c r="C1598" t="s">
        <v>163</v>
      </c>
      <c r="D1598" t="s">
        <v>816</v>
      </c>
      <c r="E1598" t="s">
        <v>846</v>
      </c>
      <c r="F1598">
        <v>5</v>
      </c>
      <c r="G1598">
        <v>0</v>
      </c>
      <c r="H1598" t="s">
        <v>855</v>
      </c>
      <c r="I1598" t="str">
        <f>VLOOKUP(C1598,Customers!A:C,2,FALSE)&amp;" "&amp;VLOOKUP(C1598,Customers!A:C,3,FALSE)</f>
        <v>Anna Andrews</v>
      </c>
      <c r="J1598" t="str">
        <f>VLOOKUP(D1598,Products!A:C,2,FALSE)</f>
        <v>Set Dairy</v>
      </c>
      <c r="K1598" t="str">
        <f>VLOOKUP(D1598,Products!A:C,3,FALSE)</f>
        <v>Groceries</v>
      </c>
      <c r="L1598" t="str">
        <f>VLOOKUP(E1598,Stores!A:B,2,FALSE)</f>
        <v>MegaMart Johnmouth</v>
      </c>
      <c r="M1598">
        <f>VLOOKUP(D1598,Products!A:E,5,FALSE)</f>
        <v>1879.08</v>
      </c>
      <c r="N1598" s="5">
        <f t="shared" si="24"/>
        <v>9395.4</v>
      </c>
    </row>
    <row r="1599" spans="1:14" x14ac:dyDescent="0.3">
      <c r="A1599" t="s">
        <v>2455</v>
      </c>
      <c r="B1599" s="2">
        <v>45200</v>
      </c>
      <c r="C1599" t="s">
        <v>93</v>
      </c>
      <c r="D1599" t="s">
        <v>761</v>
      </c>
      <c r="E1599" t="s">
        <v>842</v>
      </c>
      <c r="F1599">
        <v>1</v>
      </c>
      <c r="G1599">
        <v>0.05</v>
      </c>
      <c r="H1599" t="s">
        <v>855</v>
      </c>
      <c r="I1599" t="str">
        <f>VLOOKUP(C1599,Customers!A:C,2,FALSE)&amp;" "&amp;VLOOKUP(C1599,Customers!A:C,3,FALSE)</f>
        <v>Mark Martinez</v>
      </c>
      <c r="J1599" t="str">
        <f>VLOOKUP(D1599,Products!A:C,2,FALSE)</f>
        <v>Traditional Laptop</v>
      </c>
      <c r="K1599" t="str">
        <f>VLOOKUP(D1599,Products!A:C,3,FALSE)</f>
        <v>Electronics</v>
      </c>
      <c r="L1599" t="str">
        <f>VLOOKUP(E1599,Stores!A:B,2,FALSE)</f>
        <v>MegaMart Brianahaven</v>
      </c>
      <c r="M1599">
        <f>VLOOKUP(D1599,Products!A:E,5,FALSE)</f>
        <v>1762.92</v>
      </c>
      <c r="N1599" s="5">
        <f t="shared" si="24"/>
        <v>1674.7739999999999</v>
      </c>
    </row>
    <row r="1600" spans="1:14" x14ac:dyDescent="0.3">
      <c r="A1600" t="s">
        <v>2456</v>
      </c>
      <c r="B1600" s="2">
        <v>45497</v>
      </c>
      <c r="C1600" t="s">
        <v>415</v>
      </c>
      <c r="D1600" t="s">
        <v>812</v>
      </c>
      <c r="E1600" t="s">
        <v>835</v>
      </c>
      <c r="F1600">
        <v>5</v>
      </c>
      <c r="G1600">
        <v>0.1</v>
      </c>
      <c r="H1600" t="s">
        <v>855</v>
      </c>
      <c r="I1600" t="str">
        <f>VLOOKUP(C1600,Customers!A:C,2,FALSE)&amp;" "&amp;VLOOKUP(C1600,Customers!A:C,3,FALSE)</f>
        <v>Dylan Booker</v>
      </c>
      <c r="J1600" t="str">
        <f>VLOOKUP(D1600,Products!A:C,2,FALSE)</f>
        <v>Soon Accessories</v>
      </c>
      <c r="K1600" t="str">
        <f>VLOOKUP(D1600,Products!A:C,3,FALSE)</f>
        <v>Fashion</v>
      </c>
      <c r="L1600" t="str">
        <f>VLOOKUP(E1600,Stores!A:B,2,FALSE)</f>
        <v>MegaMart Peckmouth</v>
      </c>
      <c r="M1600">
        <f>VLOOKUP(D1600,Products!A:E,5,FALSE)</f>
        <v>564.41999999999996</v>
      </c>
      <c r="N1600" s="5">
        <f t="shared" si="24"/>
        <v>2539.89</v>
      </c>
    </row>
    <row r="1601" spans="1:14" x14ac:dyDescent="0.3">
      <c r="A1601" t="s">
        <v>2457</v>
      </c>
      <c r="B1601" s="2">
        <v>45595</v>
      </c>
      <c r="C1601" t="s">
        <v>582</v>
      </c>
      <c r="D1601" t="s">
        <v>718</v>
      </c>
      <c r="E1601" t="s">
        <v>839</v>
      </c>
      <c r="F1601">
        <v>4</v>
      </c>
      <c r="G1601">
        <v>0.1</v>
      </c>
      <c r="H1601" t="s">
        <v>861</v>
      </c>
      <c r="I1601" t="str">
        <f>VLOOKUP(C1601,Customers!A:C,2,FALSE)&amp;" "&amp;VLOOKUP(C1601,Customers!A:C,3,FALSE)</f>
        <v>Erin Rogers</v>
      </c>
      <c r="J1601" t="str">
        <f>VLOOKUP(D1601,Products!A:C,2,FALSE)</f>
        <v>Here Footwear</v>
      </c>
      <c r="K1601" t="str">
        <f>VLOOKUP(D1601,Products!A:C,3,FALSE)</f>
        <v>Fashion</v>
      </c>
      <c r="L1601" t="str">
        <f>VLOOKUP(E1601,Stores!A:B,2,FALSE)</f>
        <v>MegaMart New Michele</v>
      </c>
      <c r="M1601">
        <f>VLOOKUP(D1601,Products!A:E,5,FALSE)</f>
        <v>337.63</v>
      </c>
      <c r="N1601" s="5">
        <f t="shared" si="24"/>
        <v>1215.4680000000001</v>
      </c>
    </row>
    <row r="1602" spans="1:14" x14ac:dyDescent="0.3">
      <c r="A1602" t="s">
        <v>2458</v>
      </c>
      <c r="B1602" s="2">
        <v>45894</v>
      </c>
      <c r="C1602" t="s">
        <v>604</v>
      </c>
      <c r="D1602" t="s">
        <v>792</v>
      </c>
      <c r="E1602" t="s">
        <v>839</v>
      </c>
      <c r="F1602">
        <v>3</v>
      </c>
      <c r="G1602">
        <v>0.05</v>
      </c>
      <c r="H1602" t="s">
        <v>858</v>
      </c>
      <c r="I1602" t="str">
        <f>VLOOKUP(C1602,Customers!A:C,2,FALSE)&amp;" "&amp;VLOOKUP(C1602,Customers!A:C,3,FALSE)</f>
        <v>Amber Graham</v>
      </c>
      <c r="J1602" t="str">
        <f>VLOOKUP(D1602,Products!A:C,2,FALSE)</f>
        <v>Beat Accessories</v>
      </c>
      <c r="K1602" t="str">
        <f>VLOOKUP(D1602,Products!A:C,3,FALSE)</f>
        <v>Fashion</v>
      </c>
      <c r="L1602" t="str">
        <f>VLOOKUP(E1602,Stores!A:B,2,FALSE)</f>
        <v>MegaMart New Michele</v>
      </c>
      <c r="M1602">
        <f>VLOOKUP(D1602,Products!A:E,5,FALSE)</f>
        <v>1798.97</v>
      </c>
      <c r="N1602" s="5">
        <f t="shared" si="24"/>
        <v>5127.0644999999995</v>
      </c>
    </row>
    <row r="1603" spans="1:14" x14ac:dyDescent="0.3">
      <c r="A1603" t="s">
        <v>2459</v>
      </c>
      <c r="B1603" s="2">
        <v>45325</v>
      </c>
      <c r="C1603" t="s">
        <v>554</v>
      </c>
      <c r="D1603" t="s">
        <v>800</v>
      </c>
      <c r="E1603" t="s">
        <v>839</v>
      </c>
      <c r="F1603">
        <v>1</v>
      </c>
      <c r="G1603">
        <v>0.05</v>
      </c>
      <c r="H1603" t="s">
        <v>865</v>
      </c>
      <c r="I1603" t="str">
        <f>VLOOKUP(C1603,Customers!A:C,2,FALSE)&amp;" "&amp;VLOOKUP(C1603,Customers!A:C,3,FALSE)</f>
        <v>Lisa Martinez</v>
      </c>
      <c r="J1603" t="str">
        <f>VLOOKUP(D1603,Products!A:C,2,FALSE)</f>
        <v>Book Television</v>
      </c>
      <c r="K1603" t="str">
        <f>VLOOKUP(D1603,Products!A:C,3,FALSE)</f>
        <v>Electronics</v>
      </c>
      <c r="L1603" t="str">
        <f>VLOOKUP(E1603,Stores!A:B,2,FALSE)</f>
        <v>MegaMart New Michele</v>
      </c>
      <c r="M1603">
        <f>VLOOKUP(D1603,Products!A:E,5,FALSE)</f>
        <v>1952.65</v>
      </c>
      <c r="N1603" s="5">
        <f t="shared" ref="N1603:N1666" si="25">F1603*M1603*(1-G1603)</f>
        <v>1855.0174999999999</v>
      </c>
    </row>
    <row r="1604" spans="1:14" x14ac:dyDescent="0.3">
      <c r="A1604" t="s">
        <v>2460</v>
      </c>
      <c r="B1604" s="2">
        <v>45377</v>
      </c>
      <c r="C1604" t="s">
        <v>560</v>
      </c>
      <c r="D1604" t="s">
        <v>750</v>
      </c>
      <c r="E1604" t="s">
        <v>842</v>
      </c>
      <c r="F1604">
        <v>1</v>
      </c>
      <c r="G1604">
        <v>0</v>
      </c>
      <c r="H1604" t="s">
        <v>861</v>
      </c>
      <c r="I1604" t="str">
        <f>VLOOKUP(C1604,Customers!A:C,2,FALSE)&amp;" "&amp;VLOOKUP(C1604,Customers!A:C,3,FALSE)</f>
        <v>George Young</v>
      </c>
      <c r="J1604" t="str">
        <f>VLOOKUP(D1604,Products!A:C,2,FALSE)</f>
        <v>Add Clothing</v>
      </c>
      <c r="K1604" t="str">
        <f>VLOOKUP(D1604,Products!A:C,3,FALSE)</f>
        <v>Fashion</v>
      </c>
      <c r="L1604" t="str">
        <f>VLOOKUP(E1604,Stores!A:B,2,FALSE)</f>
        <v>MegaMart Brianahaven</v>
      </c>
      <c r="M1604">
        <f>VLOOKUP(D1604,Products!A:E,5,FALSE)</f>
        <v>1342.75</v>
      </c>
      <c r="N1604" s="5">
        <f t="shared" si="25"/>
        <v>1342.75</v>
      </c>
    </row>
    <row r="1605" spans="1:14" x14ac:dyDescent="0.3">
      <c r="A1605" t="s">
        <v>2461</v>
      </c>
      <c r="B1605" s="2">
        <v>45812</v>
      </c>
      <c r="C1605" t="s">
        <v>396</v>
      </c>
      <c r="D1605" t="s">
        <v>742</v>
      </c>
      <c r="E1605" t="s">
        <v>846</v>
      </c>
      <c r="F1605">
        <v>4</v>
      </c>
      <c r="G1605">
        <v>0.15</v>
      </c>
      <c r="H1605" t="s">
        <v>865</v>
      </c>
      <c r="I1605" t="str">
        <f>VLOOKUP(C1605,Customers!A:C,2,FALSE)&amp;" "&amp;VLOOKUP(C1605,Customers!A:C,3,FALSE)</f>
        <v>Kevin Flores</v>
      </c>
      <c r="J1605" t="str">
        <f>VLOOKUP(D1605,Products!A:C,2,FALSE)</f>
        <v>Either Headphones</v>
      </c>
      <c r="K1605" t="str">
        <f>VLOOKUP(D1605,Products!A:C,3,FALSE)</f>
        <v>Electronics</v>
      </c>
      <c r="L1605" t="str">
        <f>VLOOKUP(E1605,Stores!A:B,2,FALSE)</f>
        <v>MegaMart Johnmouth</v>
      </c>
      <c r="M1605">
        <f>VLOOKUP(D1605,Products!A:E,5,FALSE)</f>
        <v>248.57</v>
      </c>
      <c r="N1605" s="5">
        <f t="shared" si="25"/>
        <v>845.13799999999992</v>
      </c>
    </row>
    <row r="1606" spans="1:14" x14ac:dyDescent="0.3">
      <c r="A1606" t="s">
        <v>2462</v>
      </c>
      <c r="B1606" s="2">
        <v>45790</v>
      </c>
      <c r="C1606" t="s">
        <v>596</v>
      </c>
      <c r="D1606" t="s">
        <v>786</v>
      </c>
      <c r="E1606" t="s">
        <v>831</v>
      </c>
      <c r="F1606">
        <v>5</v>
      </c>
      <c r="G1606">
        <v>0</v>
      </c>
      <c r="H1606" t="s">
        <v>858</v>
      </c>
      <c r="I1606" t="str">
        <f>VLOOKUP(C1606,Customers!A:C,2,FALSE)&amp;" "&amp;VLOOKUP(C1606,Customers!A:C,3,FALSE)</f>
        <v>Kimberly Lin</v>
      </c>
      <c r="J1606" t="str">
        <f>VLOOKUP(D1606,Products!A:C,2,FALSE)</f>
        <v>National Watches</v>
      </c>
      <c r="K1606" t="str">
        <f>VLOOKUP(D1606,Products!A:C,3,FALSE)</f>
        <v>Fashion</v>
      </c>
      <c r="L1606" t="str">
        <f>VLOOKUP(E1606,Stores!A:B,2,FALSE)</f>
        <v>MegaMart Jimenezborough</v>
      </c>
      <c r="M1606">
        <f>VLOOKUP(D1606,Products!A:E,5,FALSE)</f>
        <v>29.24</v>
      </c>
      <c r="N1606" s="5">
        <f t="shared" si="25"/>
        <v>146.19999999999999</v>
      </c>
    </row>
    <row r="1607" spans="1:14" x14ac:dyDescent="0.3">
      <c r="A1607" t="s">
        <v>2463</v>
      </c>
      <c r="B1607" s="2">
        <v>45604</v>
      </c>
      <c r="C1607" t="s">
        <v>615</v>
      </c>
      <c r="D1607" t="s">
        <v>772</v>
      </c>
      <c r="E1607" t="s">
        <v>831</v>
      </c>
      <c r="F1607">
        <v>3</v>
      </c>
      <c r="G1607">
        <v>0.15</v>
      </c>
      <c r="H1607" t="s">
        <v>855</v>
      </c>
      <c r="I1607" t="str">
        <f>VLOOKUP(C1607,Customers!A:C,2,FALSE)&amp;" "&amp;VLOOKUP(C1607,Customers!A:C,3,FALSE)</f>
        <v>Lisa Ruiz</v>
      </c>
      <c r="J1607" t="str">
        <f>VLOOKUP(D1607,Products!A:C,2,FALSE)</f>
        <v>And Footwear</v>
      </c>
      <c r="K1607" t="str">
        <f>VLOOKUP(D1607,Products!A:C,3,FALSE)</f>
        <v>Fashion</v>
      </c>
      <c r="L1607" t="str">
        <f>VLOOKUP(E1607,Stores!A:B,2,FALSE)</f>
        <v>MegaMart Jimenezborough</v>
      </c>
      <c r="M1607">
        <f>VLOOKUP(D1607,Products!A:E,5,FALSE)</f>
        <v>1878.47</v>
      </c>
      <c r="N1607" s="5">
        <f t="shared" si="25"/>
        <v>4790.0985000000001</v>
      </c>
    </row>
    <row r="1608" spans="1:14" x14ac:dyDescent="0.3">
      <c r="A1608" t="s">
        <v>2464</v>
      </c>
      <c r="B1608" s="2">
        <v>45537</v>
      </c>
      <c r="C1608" t="s">
        <v>375</v>
      </c>
      <c r="D1608" t="s">
        <v>728</v>
      </c>
      <c r="E1608" t="s">
        <v>835</v>
      </c>
      <c r="F1608">
        <v>1</v>
      </c>
      <c r="G1608">
        <v>0</v>
      </c>
      <c r="H1608" t="s">
        <v>858</v>
      </c>
      <c r="I1608" t="str">
        <f>VLOOKUP(C1608,Customers!A:C,2,FALSE)&amp;" "&amp;VLOOKUP(C1608,Customers!A:C,3,FALSE)</f>
        <v>Sean Hart</v>
      </c>
      <c r="J1608" t="str">
        <f>VLOOKUP(D1608,Products!A:C,2,FALSE)</f>
        <v>Company Fruits</v>
      </c>
      <c r="K1608" t="str">
        <f>VLOOKUP(D1608,Products!A:C,3,FALSE)</f>
        <v>Groceries</v>
      </c>
      <c r="L1608" t="str">
        <f>VLOOKUP(E1608,Stores!A:B,2,FALSE)</f>
        <v>MegaMart Peckmouth</v>
      </c>
      <c r="M1608">
        <f>VLOOKUP(D1608,Products!A:E,5,FALSE)</f>
        <v>318.05</v>
      </c>
      <c r="N1608" s="5">
        <f t="shared" si="25"/>
        <v>318.05</v>
      </c>
    </row>
    <row r="1609" spans="1:14" x14ac:dyDescent="0.3">
      <c r="A1609" t="s">
        <v>2465</v>
      </c>
      <c r="B1609" s="2">
        <v>45749</v>
      </c>
      <c r="C1609" t="s">
        <v>358</v>
      </c>
      <c r="D1609" t="s">
        <v>796</v>
      </c>
      <c r="E1609" t="s">
        <v>835</v>
      </c>
      <c r="F1609">
        <v>4</v>
      </c>
      <c r="G1609">
        <v>0</v>
      </c>
      <c r="H1609" t="s">
        <v>861</v>
      </c>
      <c r="I1609" t="str">
        <f>VLOOKUP(C1609,Customers!A:C,2,FALSE)&amp;" "&amp;VLOOKUP(C1609,Customers!A:C,3,FALSE)</f>
        <v>Kevin Snyder</v>
      </c>
      <c r="J1609" t="str">
        <f>VLOOKUP(D1609,Products!A:C,2,FALSE)</f>
        <v>Chair Laptop</v>
      </c>
      <c r="K1609" t="str">
        <f>VLOOKUP(D1609,Products!A:C,3,FALSE)</f>
        <v>Electronics</v>
      </c>
      <c r="L1609" t="str">
        <f>VLOOKUP(E1609,Stores!A:B,2,FALSE)</f>
        <v>MegaMart Peckmouth</v>
      </c>
      <c r="M1609">
        <f>VLOOKUP(D1609,Products!A:E,5,FALSE)</f>
        <v>1562.43</v>
      </c>
      <c r="N1609" s="5">
        <f t="shared" si="25"/>
        <v>6249.72</v>
      </c>
    </row>
    <row r="1610" spans="1:14" x14ac:dyDescent="0.3">
      <c r="A1610" t="s">
        <v>2466</v>
      </c>
      <c r="B1610" s="2">
        <v>45206</v>
      </c>
      <c r="C1610" t="s">
        <v>673</v>
      </c>
      <c r="D1610" t="s">
        <v>824</v>
      </c>
      <c r="E1610" t="s">
        <v>831</v>
      </c>
      <c r="F1610">
        <v>3</v>
      </c>
      <c r="G1610">
        <v>0.1</v>
      </c>
      <c r="H1610" t="s">
        <v>861</v>
      </c>
      <c r="I1610" t="str">
        <f>VLOOKUP(C1610,Customers!A:C,2,FALSE)&amp;" "&amp;VLOOKUP(C1610,Customers!A:C,3,FALSE)</f>
        <v>Karen Quinn</v>
      </c>
      <c r="J1610" t="str">
        <f>VLOOKUP(D1610,Products!A:C,2,FALSE)</f>
        <v>Possible Watches</v>
      </c>
      <c r="K1610" t="str">
        <f>VLOOKUP(D1610,Products!A:C,3,FALSE)</f>
        <v>Fashion</v>
      </c>
      <c r="L1610" t="str">
        <f>VLOOKUP(E1610,Stores!A:B,2,FALSE)</f>
        <v>MegaMart Jimenezborough</v>
      </c>
      <c r="M1610">
        <f>VLOOKUP(D1610,Products!A:E,5,FALSE)</f>
        <v>388.26</v>
      </c>
      <c r="N1610" s="5">
        <f t="shared" si="25"/>
        <v>1048.3019999999999</v>
      </c>
    </row>
    <row r="1611" spans="1:14" x14ac:dyDescent="0.3">
      <c r="A1611" t="s">
        <v>2467</v>
      </c>
      <c r="B1611" s="2">
        <v>45671</v>
      </c>
      <c r="C1611" t="s">
        <v>97</v>
      </c>
      <c r="D1611" t="s">
        <v>780</v>
      </c>
      <c r="E1611" t="s">
        <v>846</v>
      </c>
      <c r="F1611">
        <v>3</v>
      </c>
      <c r="G1611">
        <v>0.05</v>
      </c>
      <c r="H1611" t="s">
        <v>861</v>
      </c>
      <c r="I1611" t="str">
        <f>VLOOKUP(C1611,Customers!A:C,2,FALSE)&amp;" "&amp;VLOOKUP(C1611,Customers!A:C,3,FALSE)</f>
        <v>Molly Murray</v>
      </c>
      <c r="J1611" t="str">
        <f>VLOOKUP(D1611,Products!A:C,2,FALSE)</f>
        <v>Hospital Smartphone</v>
      </c>
      <c r="K1611" t="str">
        <f>VLOOKUP(D1611,Products!A:C,3,FALSE)</f>
        <v>Electronics</v>
      </c>
      <c r="L1611" t="str">
        <f>VLOOKUP(E1611,Stores!A:B,2,FALSE)</f>
        <v>MegaMart Johnmouth</v>
      </c>
      <c r="M1611">
        <f>VLOOKUP(D1611,Products!A:E,5,FALSE)</f>
        <v>1272.23</v>
      </c>
      <c r="N1611" s="5">
        <f t="shared" si="25"/>
        <v>3625.8554999999997</v>
      </c>
    </row>
    <row r="1612" spans="1:14" x14ac:dyDescent="0.3">
      <c r="A1612" t="s">
        <v>2468</v>
      </c>
      <c r="B1612" s="2">
        <v>45630</v>
      </c>
      <c r="C1612" t="s">
        <v>467</v>
      </c>
      <c r="D1612" t="s">
        <v>778</v>
      </c>
      <c r="E1612" t="s">
        <v>839</v>
      </c>
      <c r="F1612">
        <v>1</v>
      </c>
      <c r="G1612">
        <v>0.1</v>
      </c>
      <c r="H1612" t="s">
        <v>858</v>
      </c>
      <c r="I1612" t="str">
        <f>VLOOKUP(C1612,Customers!A:C,2,FALSE)&amp;" "&amp;VLOOKUP(C1612,Customers!A:C,3,FALSE)</f>
        <v>John Allen</v>
      </c>
      <c r="J1612" t="str">
        <f>VLOOKUP(D1612,Products!A:C,2,FALSE)</f>
        <v>Behavior Dairy</v>
      </c>
      <c r="K1612" t="str">
        <f>VLOOKUP(D1612,Products!A:C,3,FALSE)</f>
        <v>Groceries</v>
      </c>
      <c r="L1612" t="str">
        <f>VLOOKUP(E1612,Stores!A:B,2,FALSE)</f>
        <v>MegaMart New Michele</v>
      </c>
      <c r="M1612">
        <f>VLOOKUP(D1612,Products!A:E,5,FALSE)</f>
        <v>1015.76</v>
      </c>
      <c r="N1612" s="5">
        <f t="shared" si="25"/>
        <v>914.18399999999997</v>
      </c>
    </row>
    <row r="1613" spans="1:14" x14ac:dyDescent="0.3">
      <c r="A1613" t="s">
        <v>2469</v>
      </c>
      <c r="B1613" s="2">
        <v>45711</v>
      </c>
      <c r="C1613" t="s">
        <v>640</v>
      </c>
      <c r="D1613" t="s">
        <v>804</v>
      </c>
      <c r="E1613" t="s">
        <v>846</v>
      </c>
      <c r="F1613">
        <v>2</v>
      </c>
      <c r="G1613">
        <v>0</v>
      </c>
      <c r="H1613" t="s">
        <v>861</v>
      </c>
      <c r="I1613" t="str">
        <f>VLOOKUP(C1613,Customers!A:C,2,FALSE)&amp;" "&amp;VLOOKUP(C1613,Customers!A:C,3,FALSE)</f>
        <v>Brittany Oneal</v>
      </c>
      <c r="J1613" t="str">
        <f>VLOOKUP(D1613,Products!A:C,2,FALSE)</f>
        <v>Church Clothing</v>
      </c>
      <c r="K1613" t="str">
        <f>VLOOKUP(D1613,Products!A:C,3,FALSE)</f>
        <v>Fashion</v>
      </c>
      <c r="L1613" t="str">
        <f>VLOOKUP(E1613,Stores!A:B,2,FALSE)</f>
        <v>MegaMart Johnmouth</v>
      </c>
      <c r="M1613">
        <f>VLOOKUP(D1613,Products!A:E,5,FALSE)</f>
        <v>540.94000000000005</v>
      </c>
      <c r="N1613" s="5">
        <f t="shared" si="25"/>
        <v>1081.8800000000001</v>
      </c>
    </row>
    <row r="1614" spans="1:14" x14ac:dyDescent="0.3">
      <c r="A1614" t="s">
        <v>2470</v>
      </c>
      <c r="B1614" s="2">
        <v>45301</v>
      </c>
      <c r="C1614" t="s">
        <v>585</v>
      </c>
      <c r="D1614" t="s">
        <v>728</v>
      </c>
      <c r="E1614" t="s">
        <v>842</v>
      </c>
      <c r="F1614">
        <v>1</v>
      </c>
      <c r="G1614">
        <v>0.1</v>
      </c>
      <c r="H1614" t="s">
        <v>858</v>
      </c>
      <c r="I1614" t="str">
        <f>VLOOKUP(C1614,Customers!A:C,2,FALSE)&amp;" "&amp;VLOOKUP(C1614,Customers!A:C,3,FALSE)</f>
        <v>Linda Vasquez</v>
      </c>
      <c r="J1614" t="str">
        <f>VLOOKUP(D1614,Products!A:C,2,FALSE)</f>
        <v>Company Fruits</v>
      </c>
      <c r="K1614" t="str">
        <f>VLOOKUP(D1614,Products!A:C,3,FALSE)</f>
        <v>Groceries</v>
      </c>
      <c r="L1614" t="str">
        <f>VLOOKUP(E1614,Stores!A:B,2,FALSE)</f>
        <v>MegaMart Brianahaven</v>
      </c>
      <c r="M1614">
        <f>VLOOKUP(D1614,Products!A:E,5,FALSE)</f>
        <v>318.05</v>
      </c>
      <c r="N1614" s="5">
        <f t="shared" si="25"/>
        <v>286.245</v>
      </c>
    </row>
    <row r="1615" spans="1:14" x14ac:dyDescent="0.3">
      <c r="A1615" t="s">
        <v>2471</v>
      </c>
      <c r="B1615" s="2">
        <v>45189</v>
      </c>
      <c r="C1615" t="s">
        <v>171</v>
      </c>
      <c r="D1615" t="s">
        <v>792</v>
      </c>
      <c r="E1615" t="s">
        <v>846</v>
      </c>
      <c r="F1615">
        <v>2</v>
      </c>
      <c r="G1615">
        <v>0.05</v>
      </c>
      <c r="H1615" t="s">
        <v>865</v>
      </c>
      <c r="I1615" t="str">
        <f>VLOOKUP(C1615,Customers!A:C,2,FALSE)&amp;" "&amp;VLOOKUP(C1615,Customers!A:C,3,FALSE)</f>
        <v>Parker Sparks</v>
      </c>
      <c r="J1615" t="str">
        <f>VLOOKUP(D1615,Products!A:C,2,FALSE)</f>
        <v>Beat Accessories</v>
      </c>
      <c r="K1615" t="str">
        <f>VLOOKUP(D1615,Products!A:C,3,FALSE)</f>
        <v>Fashion</v>
      </c>
      <c r="L1615" t="str">
        <f>VLOOKUP(E1615,Stores!A:B,2,FALSE)</f>
        <v>MegaMart Johnmouth</v>
      </c>
      <c r="M1615">
        <f>VLOOKUP(D1615,Products!A:E,5,FALSE)</f>
        <v>1798.97</v>
      </c>
      <c r="N1615" s="5">
        <f t="shared" si="25"/>
        <v>3418.0429999999997</v>
      </c>
    </row>
    <row r="1616" spans="1:14" x14ac:dyDescent="0.3">
      <c r="A1616" t="s">
        <v>2472</v>
      </c>
      <c r="B1616" s="2">
        <v>45250</v>
      </c>
      <c r="C1616" t="s">
        <v>545</v>
      </c>
      <c r="D1616" t="s">
        <v>790</v>
      </c>
      <c r="E1616" t="s">
        <v>835</v>
      </c>
      <c r="F1616">
        <v>1</v>
      </c>
      <c r="G1616">
        <v>0.05</v>
      </c>
      <c r="H1616" t="s">
        <v>855</v>
      </c>
      <c r="I1616" t="str">
        <f>VLOOKUP(C1616,Customers!A:C,2,FALSE)&amp;" "&amp;VLOOKUP(C1616,Customers!A:C,3,FALSE)</f>
        <v>Dawn Fletcher</v>
      </c>
      <c r="J1616" t="str">
        <f>VLOOKUP(D1616,Products!A:C,2,FALSE)</f>
        <v>Difficult Vegetables</v>
      </c>
      <c r="K1616" t="str">
        <f>VLOOKUP(D1616,Products!A:C,3,FALSE)</f>
        <v>Groceries</v>
      </c>
      <c r="L1616" t="str">
        <f>VLOOKUP(E1616,Stores!A:B,2,FALSE)</f>
        <v>MegaMart Peckmouth</v>
      </c>
      <c r="M1616">
        <f>VLOOKUP(D1616,Products!A:E,5,FALSE)</f>
        <v>304.70999999999998</v>
      </c>
      <c r="N1616" s="5">
        <f t="shared" si="25"/>
        <v>289.47449999999998</v>
      </c>
    </row>
    <row r="1617" spans="1:14" x14ac:dyDescent="0.3">
      <c r="A1617" t="s">
        <v>2473</v>
      </c>
      <c r="B1617" s="2">
        <v>45807</v>
      </c>
      <c r="C1617" t="s">
        <v>531</v>
      </c>
      <c r="D1617" t="s">
        <v>715</v>
      </c>
      <c r="E1617" t="s">
        <v>835</v>
      </c>
      <c r="F1617">
        <v>5</v>
      </c>
      <c r="G1617">
        <v>0.1</v>
      </c>
      <c r="H1617" t="s">
        <v>861</v>
      </c>
      <c r="I1617" t="str">
        <f>VLOOKUP(C1617,Customers!A:C,2,FALSE)&amp;" "&amp;VLOOKUP(C1617,Customers!A:C,3,FALSE)</f>
        <v>John Johnson</v>
      </c>
      <c r="J1617" t="str">
        <f>VLOOKUP(D1617,Products!A:C,2,FALSE)</f>
        <v>Audience Television</v>
      </c>
      <c r="K1617" t="str">
        <f>VLOOKUP(D1617,Products!A:C,3,FALSE)</f>
        <v>Electronics</v>
      </c>
      <c r="L1617" t="str">
        <f>VLOOKUP(E1617,Stores!A:B,2,FALSE)</f>
        <v>MegaMart Peckmouth</v>
      </c>
      <c r="M1617">
        <f>VLOOKUP(D1617,Products!A:E,5,FALSE)</f>
        <v>818.76</v>
      </c>
      <c r="N1617" s="5">
        <f t="shared" si="25"/>
        <v>3684.42</v>
      </c>
    </row>
    <row r="1618" spans="1:14" x14ac:dyDescent="0.3">
      <c r="A1618" t="s">
        <v>2474</v>
      </c>
      <c r="B1618" s="2">
        <v>45892</v>
      </c>
      <c r="C1618" t="s">
        <v>618</v>
      </c>
      <c r="D1618" t="s">
        <v>718</v>
      </c>
      <c r="E1618" t="s">
        <v>831</v>
      </c>
      <c r="F1618">
        <v>5</v>
      </c>
      <c r="G1618">
        <v>0.1</v>
      </c>
      <c r="H1618" t="s">
        <v>858</v>
      </c>
      <c r="I1618" t="str">
        <f>VLOOKUP(C1618,Customers!A:C,2,FALSE)&amp;" "&amp;VLOOKUP(C1618,Customers!A:C,3,FALSE)</f>
        <v>Scott Howell</v>
      </c>
      <c r="J1618" t="str">
        <f>VLOOKUP(D1618,Products!A:C,2,FALSE)</f>
        <v>Here Footwear</v>
      </c>
      <c r="K1618" t="str">
        <f>VLOOKUP(D1618,Products!A:C,3,FALSE)</f>
        <v>Fashion</v>
      </c>
      <c r="L1618" t="str">
        <f>VLOOKUP(E1618,Stores!A:B,2,FALSE)</f>
        <v>MegaMart Jimenezborough</v>
      </c>
      <c r="M1618">
        <f>VLOOKUP(D1618,Products!A:E,5,FALSE)</f>
        <v>337.63</v>
      </c>
      <c r="N1618" s="5">
        <f t="shared" si="25"/>
        <v>1519.335</v>
      </c>
    </row>
    <row r="1619" spans="1:14" x14ac:dyDescent="0.3">
      <c r="A1619" t="s">
        <v>2475</v>
      </c>
      <c r="B1619" s="2">
        <v>45718</v>
      </c>
      <c r="C1619" t="s">
        <v>7</v>
      </c>
      <c r="D1619" t="s">
        <v>718</v>
      </c>
      <c r="E1619" t="s">
        <v>842</v>
      </c>
      <c r="F1619">
        <v>1</v>
      </c>
      <c r="G1619">
        <v>0.1</v>
      </c>
      <c r="H1619" t="s">
        <v>858</v>
      </c>
      <c r="I1619" t="str">
        <f>VLOOKUP(C1619,Customers!A:C,2,FALSE)&amp;" "&amp;VLOOKUP(C1619,Customers!A:C,3,FALSE)</f>
        <v>Michael Davis</v>
      </c>
      <c r="J1619" t="str">
        <f>VLOOKUP(D1619,Products!A:C,2,FALSE)</f>
        <v>Here Footwear</v>
      </c>
      <c r="K1619" t="str">
        <f>VLOOKUP(D1619,Products!A:C,3,FALSE)</f>
        <v>Fashion</v>
      </c>
      <c r="L1619" t="str">
        <f>VLOOKUP(E1619,Stores!A:B,2,FALSE)</f>
        <v>MegaMart Brianahaven</v>
      </c>
      <c r="M1619">
        <f>VLOOKUP(D1619,Products!A:E,5,FALSE)</f>
        <v>337.63</v>
      </c>
      <c r="N1619" s="5">
        <f t="shared" si="25"/>
        <v>303.86700000000002</v>
      </c>
    </row>
    <row r="1620" spans="1:14" x14ac:dyDescent="0.3">
      <c r="A1620" t="s">
        <v>2476</v>
      </c>
      <c r="B1620" s="2">
        <v>45312</v>
      </c>
      <c r="C1620" t="s">
        <v>393</v>
      </c>
      <c r="D1620" t="s">
        <v>792</v>
      </c>
      <c r="E1620" t="s">
        <v>839</v>
      </c>
      <c r="F1620">
        <v>1</v>
      </c>
      <c r="G1620">
        <v>0.15</v>
      </c>
      <c r="H1620" t="s">
        <v>858</v>
      </c>
      <c r="I1620" t="str">
        <f>VLOOKUP(C1620,Customers!A:C,2,FALSE)&amp;" "&amp;VLOOKUP(C1620,Customers!A:C,3,FALSE)</f>
        <v>Kenneth Berg</v>
      </c>
      <c r="J1620" t="str">
        <f>VLOOKUP(D1620,Products!A:C,2,FALSE)</f>
        <v>Beat Accessories</v>
      </c>
      <c r="K1620" t="str">
        <f>VLOOKUP(D1620,Products!A:C,3,FALSE)</f>
        <v>Fashion</v>
      </c>
      <c r="L1620" t="str">
        <f>VLOOKUP(E1620,Stores!A:B,2,FALSE)</f>
        <v>MegaMart New Michele</v>
      </c>
      <c r="M1620">
        <f>VLOOKUP(D1620,Products!A:E,5,FALSE)</f>
        <v>1798.97</v>
      </c>
      <c r="N1620" s="5">
        <f t="shared" si="25"/>
        <v>1529.1244999999999</v>
      </c>
    </row>
    <row r="1621" spans="1:14" x14ac:dyDescent="0.3">
      <c r="A1621" t="s">
        <v>2477</v>
      </c>
      <c r="B1621" s="2">
        <v>45746</v>
      </c>
      <c r="C1621" t="s">
        <v>351</v>
      </c>
      <c r="D1621" t="s">
        <v>778</v>
      </c>
      <c r="E1621" t="s">
        <v>846</v>
      </c>
      <c r="F1621">
        <v>1</v>
      </c>
      <c r="G1621">
        <v>0.05</v>
      </c>
      <c r="H1621" t="s">
        <v>865</v>
      </c>
      <c r="I1621" t="str">
        <f>VLOOKUP(C1621,Customers!A:C,2,FALSE)&amp;" "&amp;VLOOKUP(C1621,Customers!A:C,3,FALSE)</f>
        <v>Stanley Brown</v>
      </c>
      <c r="J1621" t="str">
        <f>VLOOKUP(D1621,Products!A:C,2,FALSE)</f>
        <v>Behavior Dairy</v>
      </c>
      <c r="K1621" t="str">
        <f>VLOOKUP(D1621,Products!A:C,3,FALSE)</f>
        <v>Groceries</v>
      </c>
      <c r="L1621" t="str">
        <f>VLOOKUP(E1621,Stores!A:B,2,FALSE)</f>
        <v>MegaMart Johnmouth</v>
      </c>
      <c r="M1621">
        <f>VLOOKUP(D1621,Products!A:E,5,FALSE)</f>
        <v>1015.76</v>
      </c>
      <c r="N1621" s="5">
        <f t="shared" si="25"/>
        <v>964.97199999999998</v>
      </c>
    </row>
    <row r="1622" spans="1:14" x14ac:dyDescent="0.3">
      <c r="A1622" t="s">
        <v>2478</v>
      </c>
      <c r="B1622" s="2">
        <v>45880</v>
      </c>
      <c r="C1622" t="s">
        <v>274</v>
      </c>
      <c r="D1622" t="s">
        <v>776</v>
      </c>
      <c r="E1622" t="s">
        <v>842</v>
      </c>
      <c r="F1622">
        <v>5</v>
      </c>
      <c r="G1622">
        <v>0.15</v>
      </c>
      <c r="H1622" t="s">
        <v>855</v>
      </c>
      <c r="I1622" t="str">
        <f>VLOOKUP(C1622,Customers!A:C,2,FALSE)&amp;" "&amp;VLOOKUP(C1622,Customers!A:C,3,FALSE)</f>
        <v>Eric Watkins</v>
      </c>
      <c r="J1622" t="str">
        <f>VLOOKUP(D1622,Products!A:C,2,FALSE)</f>
        <v>Little Watches</v>
      </c>
      <c r="K1622" t="str">
        <f>VLOOKUP(D1622,Products!A:C,3,FALSE)</f>
        <v>Fashion</v>
      </c>
      <c r="L1622" t="str">
        <f>VLOOKUP(E1622,Stores!A:B,2,FALSE)</f>
        <v>MegaMart Brianahaven</v>
      </c>
      <c r="M1622">
        <f>VLOOKUP(D1622,Products!A:E,5,FALSE)</f>
        <v>429.15</v>
      </c>
      <c r="N1622" s="5">
        <f t="shared" si="25"/>
        <v>1823.8875</v>
      </c>
    </row>
    <row r="1623" spans="1:14" x14ac:dyDescent="0.3">
      <c r="A1623" t="s">
        <v>2479</v>
      </c>
      <c r="B1623" s="2">
        <v>45719</v>
      </c>
      <c r="C1623" t="s">
        <v>12</v>
      </c>
      <c r="D1623" t="s">
        <v>796</v>
      </c>
      <c r="E1623" t="s">
        <v>842</v>
      </c>
      <c r="F1623">
        <v>2</v>
      </c>
      <c r="G1623">
        <v>0.1</v>
      </c>
      <c r="H1623" t="s">
        <v>865</v>
      </c>
      <c r="I1623" t="str">
        <f>VLOOKUP(C1623,Customers!A:C,2,FALSE)&amp;" "&amp;VLOOKUP(C1623,Customers!A:C,3,FALSE)</f>
        <v>Michael Miller</v>
      </c>
      <c r="J1623" t="str">
        <f>VLOOKUP(D1623,Products!A:C,2,FALSE)</f>
        <v>Chair Laptop</v>
      </c>
      <c r="K1623" t="str">
        <f>VLOOKUP(D1623,Products!A:C,3,FALSE)</f>
        <v>Electronics</v>
      </c>
      <c r="L1623" t="str">
        <f>VLOOKUP(E1623,Stores!A:B,2,FALSE)</f>
        <v>MegaMart Brianahaven</v>
      </c>
      <c r="M1623">
        <f>VLOOKUP(D1623,Products!A:E,5,FALSE)</f>
        <v>1562.43</v>
      </c>
      <c r="N1623" s="5">
        <f t="shared" si="25"/>
        <v>2812.3740000000003</v>
      </c>
    </row>
    <row r="1624" spans="1:14" x14ac:dyDescent="0.3">
      <c r="A1624" t="s">
        <v>2480</v>
      </c>
      <c r="B1624" s="2">
        <v>45538</v>
      </c>
      <c r="C1624" t="s">
        <v>533</v>
      </c>
      <c r="D1624" t="s">
        <v>790</v>
      </c>
      <c r="E1624" t="s">
        <v>831</v>
      </c>
      <c r="F1624">
        <v>2</v>
      </c>
      <c r="G1624">
        <v>0.15</v>
      </c>
      <c r="H1624" t="s">
        <v>865</v>
      </c>
      <c r="I1624" t="str">
        <f>VLOOKUP(C1624,Customers!A:C,2,FALSE)&amp;" "&amp;VLOOKUP(C1624,Customers!A:C,3,FALSE)</f>
        <v>Crystal Garrison</v>
      </c>
      <c r="J1624" t="str">
        <f>VLOOKUP(D1624,Products!A:C,2,FALSE)</f>
        <v>Difficult Vegetables</v>
      </c>
      <c r="K1624" t="str">
        <f>VLOOKUP(D1624,Products!A:C,3,FALSE)</f>
        <v>Groceries</v>
      </c>
      <c r="L1624" t="str">
        <f>VLOOKUP(E1624,Stores!A:B,2,FALSE)</f>
        <v>MegaMart Jimenezborough</v>
      </c>
      <c r="M1624">
        <f>VLOOKUP(D1624,Products!A:E,5,FALSE)</f>
        <v>304.70999999999998</v>
      </c>
      <c r="N1624" s="5">
        <f t="shared" si="25"/>
        <v>518.00699999999995</v>
      </c>
    </row>
    <row r="1625" spans="1:14" x14ac:dyDescent="0.3">
      <c r="A1625" t="s">
        <v>2481</v>
      </c>
      <c r="B1625" s="2">
        <v>45874</v>
      </c>
      <c r="C1625" t="s">
        <v>243</v>
      </c>
      <c r="D1625" t="s">
        <v>742</v>
      </c>
      <c r="E1625" t="s">
        <v>835</v>
      </c>
      <c r="F1625">
        <v>2</v>
      </c>
      <c r="G1625">
        <v>0.1</v>
      </c>
      <c r="H1625" t="s">
        <v>855</v>
      </c>
      <c r="I1625" t="str">
        <f>VLOOKUP(C1625,Customers!A:C,2,FALSE)&amp;" "&amp;VLOOKUP(C1625,Customers!A:C,3,FALSE)</f>
        <v>Amanda Hoover</v>
      </c>
      <c r="J1625" t="str">
        <f>VLOOKUP(D1625,Products!A:C,2,FALSE)</f>
        <v>Either Headphones</v>
      </c>
      <c r="K1625" t="str">
        <f>VLOOKUP(D1625,Products!A:C,3,FALSE)</f>
        <v>Electronics</v>
      </c>
      <c r="L1625" t="str">
        <f>VLOOKUP(E1625,Stores!A:B,2,FALSE)</f>
        <v>MegaMart Peckmouth</v>
      </c>
      <c r="M1625">
        <f>VLOOKUP(D1625,Products!A:E,5,FALSE)</f>
        <v>248.57</v>
      </c>
      <c r="N1625" s="5">
        <f t="shared" si="25"/>
        <v>447.42599999999999</v>
      </c>
    </row>
    <row r="1626" spans="1:14" x14ac:dyDescent="0.3">
      <c r="A1626" t="s">
        <v>2482</v>
      </c>
      <c r="B1626" s="2">
        <v>45298</v>
      </c>
      <c r="C1626" t="s">
        <v>71</v>
      </c>
      <c r="D1626" t="s">
        <v>780</v>
      </c>
      <c r="E1626" t="s">
        <v>831</v>
      </c>
      <c r="F1626">
        <v>1</v>
      </c>
      <c r="G1626">
        <v>0.15</v>
      </c>
      <c r="H1626" t="s">
        <v>858</v>
      </c>
      <c r="I1626" t="str">
        <f>VLOOKUP(C1626,Customers!A:C,2,FALSE)&amp;" "&amp;VLOOKUP(C1626,Customers!A:C,3,FALSE)</f>
        <v>Vanessa Anderson</v>
      </c>
      <c r="J1626" t="str">
        <f>VLOOKUP(D1626,Products!A:C,2,FALSE)</f>
        <v>Hospital Smartphone</v>
      </c>
      <c r="K1626" t="str">
        <f>VLOOKUP(D1626,Products!A:C,3,FALSE)</f>
        <v>Electronics</v>
      </c>
      <c r="L1626" t="str">
        <f>VLOOKUP(E1626,Stores!A:B,2,FALSE)</f>
        <v>MegaMart Jimenezborough</v>
      </c>
      <c r="M1626">
        <f>VLOOKUP(D1626,Products!A:E,5,FALSE)</f>
        <v>1272.23</v>
      </c>
      <c r="N1626" s="5">
        <f t="shared" si="25"/>
        <v>1081.3955000000001</v>
      </c>
    </row>
    <row r="1627" spans="1:14" x14ac:dyDescent="0.3">
      <c r="A1627" t="s">
        <v>2483</v>
      </c>
      <c r="B1627" s="2">
        <v>45465</v>
      </c>
      <c r="C1627" t="s">
        <v>32</v>
      </c>
      <c r="D1627" t="s">
        <v>806</v>
      </c>
      <c r="E1627" t="s">
        <v>846</v>
      </c>
      <c r="F1627">
        <v>3</v>
      </c>
      <c r="G1627">
        <v>0.1</v>
      </c>
      <c r="H1627" t="s">
        <v>861</v>
      </c>
      <c r="I1627" t="str">
        <f>VLOOKUP(C1627,Customers!A:C,2,FALSE)&amp;" "&amp;VLOOKUP(C1627,Customers!A:C,3,FALSE)</f>
        <v>Erin Walker</v>
      </c>
      <c r="J1627" t="str">
        <f>VLOOKUP(D1627,Products!A:C,2,FALSE)</f>
        <v>Piece Headphones</v>
      </c>
      <c r="K1627" t="str">
        <f>VLOOKUP(D1627,Products!A:C,3,FALSE)</f>
        <v>Electronics</v>
      </c>
      <c r="L1627" t="str">
        <f>VLOOKUP(E1627,Stores!A:B,2,FALSE)</f>
        <v>MegaMart Johnmouth</v>
      </c>
      <c r="M1627">
        <f>VLOOKUP(D1627,Products!A:E,5,FALSE)</f>
        <v>1745.61</v>
      </c>
      <c r="N1627" s="5">
        <f t="shared" si="25"/>
        <v>4713.1469999999999</v>
      </c>
    </row>
    <row r="1628" spans="1:14" x14ac:dyDescent="0.3">
      <c r="A1628" t="s">
        <v>2484</v>
      </c>
      <c r="B1628" s="2">
        <v>45392</v>
      </c>
      <c r="C1628" t="s">
        <v>112</v>
      </c>
      <c r="D1628" t="s">
        <v>784</v>
      </c>
      <c r="E1628" t="s">
        <v>842</v>
      </c>
      <c r="F1628">
        <v>2</v>
      </c>
      <c r="G1628">
        <v>0.1</v>
      </c>
      <c r="H1628" t="s">
        <v>865</v>
      </c>
      <c r="I1628" t="str">
        <f>VLOOKUP(C1628,Customers!A:C,2,FALSE)&amp;" "&amp;VLOOKUP(C1628,Customers!A:C,3,FALSE)</f>
        <v>John Carr</v>
      </c>
      <c r="J1628" t="str">
        <f>VLOOKUP(D1628,Products!A:C,2,FALSE)</f>
        <v>Road Clothing</v>
      </c>
      <c r="K1628" t="str">
        <f>VLOOKUP(D1628,Products!A:C,3,FALSE)</f>
        <v>Fashion</v>
      </c>
      <c r="L1628" t="str">
        <f>VLOOKUP(E1628,Stores!A:B,2,FALSE)</f>
        <v>MegaMart Brianahaven</v>
      </c>
      <c r="M1628">
        <f>VLOOKUP(D1628,Products!A:E,5,FALSE)</f>
        <v>1485.05</v>
      </c>
      <c r="N1628" s="5">
        <f t="shared" si="25"/>
        <v>2673.09</v>
      </c>
    </row>
    <row r="1629" spans="1:14" x14ac:dyDescent="0.3">
      <c r="A1629" t="s">
        <v>2485</v>
      </c>
      <c r="B1629" s="2">
        <v>45657</v>
      </c>
      <c r="C1629" t="s">
        <v>324</v>
      </c>
      <c r="D1629" t="s">
        <v>780</v>
      </c>
      <c r="E1629" t="s">
        <v>846</v>
      </c>
      <c r="F1629">
        <v>2</v>
      </c>
      <c r="G1629">
        <v>0</v>
      </c>
      <c r="H1629" t="s">
        <v>858</v>
      </c>
      <c r="I1629" t="str">
        <f>VLOOKUP(C1629,Customers!A:C,2,FALSE)&amp;" "&amp;VLOOKUP(C1629,Customers!A:C,3,FALSE)</f>
        <v>Lawrence Hunter</v>
      </c>
      <c r="J1629" t="str">
        <f>VLOOKUP(D1629,Products!A:C,2,FALSE)</f>
        <v>Hospital Smartphone</v>
      </c>
      <c r="K1629" t="str">
        <f>VLOOKUP(D1629,Products!A:C,3,FALSE)</f>
        <v>Electronics</v>
      </c>
      <c r="L1629" t="str">
        <f>VLOOKUP(E1629,Stores!A:B,2,FALSE)</f>
        <v>MegaMart Johnmouth</v>
      </c>
      <c r="M1629">
        <f>VLOOKUP(D1629,Products!A:E,5,FALSE)</f>
        <v>1272.23</v>
      </c>
      <c r="N1629" s="5">
        <f t="shared" si="25"/>
        <v>2544.46</v>
      </c>
    </row>
    <row r="1630" spans="1:14" x14ac:dyDescent="0.3">
      <c r="A1630" t="s">
        <v>2486</v>
      </c>
      <c r="B1630" s="2">
        <v>45593</v>
      </c>
      <c r="C1630" t="s">
        <v>690</v>
      </c>
      <c r="D1630" t="s">
        <v>814</v>
      </c>
      <c r="E1630" t="s">
        <v>831</v>
      </c>
      <c r="F1630">
        <v>4</v>
      </c>
      <c r="G1630">
        <v>0</v>
      </c>
      <c r="H1630" t="s">
        <v>865</v>
      </c>
      <c r="I1630" t="str">
        <f>VLOOKUP(C1630,Customers!A:C,2,FALSE)&amp;" "&amp;VLOOKUP(C1630,Customers!A:C,3,FALSE)</f>
        <v>James Noble</v>
      </c>
      <c r="J1630" t="str">
        <f>VLOOKUP(D1630,Products!A:C,2,FALSE)</f>
        <v>Least Accessories</v>
      </c>
      <c r="K1630" t="str">
        <f>VLOOKUP(D1630,Products!A:C,3,FALSE)</f>
        <v>Fashion</v>
      </c>
      <c r="L1630" t="str">
        <f>VLOOKUP(E1630,Stores!A:B,2,FALSE)</f>
        <v>MegaMart Jimenezborough</v>
      </c>
      <c r="M1630">
        <f>VLOOKUP(D1630,Products!A:E,5,FALSE)</f>
        <v>1286.55</v>
      </c>
      <c r="N1630" s="5">
        <f t="shared" si="25"/>
        <v>5146.2</v>
      </c>
    </row>
    <row r="1631" spans="1:14" x14ac:dyDescent="0.3">
      <c r="A1631" t="s">
        <v>2487</v>
      </c>
      <c r="B1631" s="2">
        <v>45785</v>
      </c>
      <c r="C1631" t="s">
        <v>67</v>
      </c>
      <c r="D1631" t="s">
        <v>810</v>
      </c>
      <c r="E1631" t="s">
        <v>831</v>
      </c>
      <c r="F1631">
        <v>4</v>
      </c>
      <c r="G1631">
        <v>0.1</v>
      </c>
      <c r="H1631" t="s">
        <v>865</v>
      </c>
      <c r="I1631" t="str">
        <f>VLOOKUP(C1631,Customers!A:C,2,FALSE)&amp;" "&amp;VLOOKUP(C1631,Customers!A:C,3,FALSE)</f>
        <v>Miguel Johnson</v>
      </c>
      <c r="J1631" t="str">
        <f>VLOOKUP(D1631,Products!A:C,2,FALSE)</f>
        <v>Maybe Clothing</v>
      </c>
      <c r="K1631" t="str">
        <f>VLOOKUP(D1631,Products!A:C,3,FALSE)</f>
        <v>Fashion</v>
      </c>
      <c r="L1631" t="str">
        <f>VLOOKUP(E1631,Stores!A:B,2,FALSE)</f>
        <v>MegaMart Jimenezborough</v>
      </c>
      <c r="M1631">
        <f>VLOOKUP(D1631,Products!A:E,5,FALSE)</f>
        <v>453.62</v>
      </c>
      <c r="N1631" s="5">
        <f t="shared" si="25"/>
        <v>1633.0320000000002</v>
      </c>
    </row>
    <row r="1632" spans="1:14" x14ac:dyDescent="0.3">
      <c r="A1632" t="s">
        <v>2488</v>
      </c>
      <c r="B1632" s="2">
        <v>45869</v>
      </c>
      <c r="C1632" t="s">
        <v>130</v>
      </c>
      <c r="D1632" t="s">
        <v>732</v>
      </c>
      <c r="E1632" t="s">
        <v>831</v>
      </c>
      <c r="F1632">
        <v>4</v>
      </c>
      <c r="G1632">
        <v>0</v>
      </c>
      <c r="H1632" t="s">
        <v>855</v>
      </c>
      <c r="I1632" t="str">
        <f>VLOOKUP(C1632,Customers!A:C,2,FALSE)&amp;" "&amp;VLOOKUP(C1632,Customers!A:C,3,FALSE)</f>
        <v>Jenny Beck</v>
      </c>
      <c r="J1632" t="str">
        <f>VLOOKUP(D1632,Products!A:C,2,FALSE)</f>
        <v>Understand Camera</v>
      </c>
      <c r="K1632" t="str">
        <f>VLOOKUP(D1632,Products!A:C,3,FALSE)</f>
        <v>Electronics</v>
      </c>
      <c r="L1632" t="str">
        <f>VLOOKUP(E1632,Stores!A:B,2,FALSE)</f>
        <v>MegaMart Jimenezborough</v>
      </c>
      <c r="M1632">
        <f>VLOOKUP(D1632,Products!A:E,5,FALSE)</f>
        <v>1474.12</v>
      </c>
      <c r="N1632" s="5">
        <f t="shared" si="25"/>
        <v>5896.48</v>
      </c>
    </row>
    <row r="1633" spans="1:14" x14ac:dyDescent="0.3">
      <c r="A1633" t="s">
        <v>2489</v>
      </c>
      <c r="B1633" s="2">
        <v>45514</v>
      </c>
      <c r="C1633" t="s">
        <v>563</v>
      </c>
      <c r="D1633" t="s">
        <v>734</v>
      </c>
      <c r="E1633" t="s">
        <v>842</v>
      </c>
      <c r="F1633">
        <v>1</v>
      </c>
      <c r="G1633">
        <v>0</v>
      </c>
      <c r="H1633" t="s">
        <v>865</v>
      </c>
      <c r="I1633" t="str">
        <f>VLOOKUP(C1633,Customers!A:C,2,FALSE)&amp;" "&amp;VLOOKUP(C1633,Customers!A:C,3,FALSE)</f>
        <v>Connie Terry</v>
      </c>
      <c r="J1633" t="str">
        <f>VLOOKUP(D1633,Products!A:C,2,FALSE)</f>
        <v>Recognize Footwear</v>
      </c>
      <c r="K1633" t="str">
        <f>VLOOKUP(D1633,Products!A:C,3,FALSE)</f>
        <v>Fashion</v>
      </c>
      <c r="L1633" t="str">
        <f>VLOOKUP(E1633,Stores!A:B,2,FALSE)</f>
        <v>MegaMart Brianahaven</v>
      </c>
      <c r="M1633">
        <f>VLOOKUP(D1633,Products!A:E,5,FALSE)</f>
        <v>109.78</v>
      </c>
      <c r="N1633" s="5">
        <f t="shared" si="25"/>
        <v>109.78</v>
      </c>
    </row>
    <row r="1634" spans="1:14" x14ac:dyDescent="0.3">
      <c r="A1634" t="s">
        <v>2490</v>
      </c>
      <c r="B1634" s="2">
        <v>45468</v>
      </c>
      <c r="C1634" t="s">
        <v>524</v>
      </c>
      <c r="D1634" t="s">
        <v>728</v>
      </c>
      <c r="E1634" t="s">
        <v>831</v>
      </c>
      <c r="F1634">
        <v>3</v>
      </c>
      <c r="G1634">
        <v>0.15</v>
      </c>
      <c r="H1634" t="s">
        <v>858</v>
      </c>
      <c r="I1634" t="str">
        <f>VLOOKUP(C1634,Customers!A:C,2,FALSE)&amp;" "&amp;VLOOKUP(C1634,Customers!A:C,3,FALSE)</f>
        <v>Betty Johnson</v>
      </c>
      <c r="J1634" t="str">
        <f>VLOOKUP(D1634,Products!A:C,2,FALSE)</f>
        <v>Company Fruits</v>
      </c>
      <c r="K1634" t="str">
        <f>VLOOKUP(D1634,Products!A:C,3,FALSE)</f>
        <v>Groceries</v>
      </c>
      <c r="L1634" t="str">
        <f>VLOOKUP(E1634,Stores!A:B,2,FALSE)</f>
        <v>MegaMart Jimenezborough</v>
      </c>
      <c r="M1634">
        <f>VLOOKUP(D1634,Products!A:E,5,FALSE)</f>
        <v>318.05</v>
      </c>
      <c r="N1634" s="5">
        <f t="shared" si="25"/>
        <v>811.02750000000003</v>
      </c>
    </row>
    <row r="1635" spans="1:14" x14ac:dyDescent="0.3">
      <c r="A1635" t="s">
        <v>2491</v>
      </c>
      <c r="B1635" s="2">
        <v>45579</v>
      </c>
      <c r="C1635" t="s">
        <v>101</v>
      </c>
      <c r="D1635" t="s">
        <v>820</v>
      </c>
      <c r="E1635" t="s">
        <v>846</v>
      </c>
      <c r="F1635">
        <v>4</v>
      </c>
      <c r="G1635">
        <v>0.05</v>
      </c>
      <c r="H1635" t="s">
        <v>865</v>
      </c>
      <c r="I1635" t="str">
        <f>VLOOKUP(C1635,Customers!A:C,2,FALSE)&amp;" "&amp;VLOOKUP(C1635,Customers!A:C,3,FALSE)</f>
        <v>Cheryl Gilbert</v>
      </c>
      <c r="J1635" t="str">
        <f>VLOOKUP(D1635,Products!A:C,2,FALSE)</f>
        <v>Or Smartphone</v>
      </c>
      <c r="K1635" t="str">
        <f>VLOOKUP(D1635,Products!A:C,3,FALSE)</f>
        <v>Electronics</v>
      </c>
      <c r="L1635" t="str">
        <f>VLOOKUP(E1635,Stores!A:B,2,FALSE)</f>
        <v>MegaMart Johnmouth</v>
      </c>
      <c r="M1635">
        <f>VLOOKUP(D1635,Products!A:E,5,FALSE)</f>
        <v>1197.18</v>
      </c>
      <c r="N1635" s="5">
        <f t="shared" si="25"/>
        <v>4549.2839999999997</v>
      </c>
    </row>
    <row r="1636" spans="1:14" x14ac:dyDescent="0.3">
      <c r="A1636" t="s">
        <v>2492</v>
      </c>
      <c r="B1636" s="2">
        <v>45500</v>
      </c>
      <c r="C1636" t="s">
        <v>435</v>
      </c>
      <c r="D1636" t="s">
        <v>774</v>
      </c>
      <c r="E1636" t="s">
        <v>842</v>
      </c>
      <c r="F1636">
        <v>4</v>
      </c>
      <c r="G1636">
        <v>0.15</v>
      </c>
      <c r="H1636" t="s">
        <v>865</v>
      </c>
      <c r="I1636" t="str">
        <f>VLOOKUP(C1636,Customers!A:C,2,FALSE)&amp;" "&amp;VLOOKUP(C1636,Customers!A:C,3,FALSE)</f>
        <v>Timothy Beck</v>
      </c>
      <c r="J1636" t="str">
        <f>VLOOKUP(D1636,Products!A:C,2,FALSE)</f>
        <v>Him Smartphone</v>
      </c>
      <c r="K1636" t="str">
        <f>VLOOKUP(D1636,Products!A:C,3,FALSE)</f>
        <v>Electronics</v>
      </c>
      <c r="L1636" t="str">
        <f>VLOOKUP(E1636,Stores!A:B,2,FALSE)</f>
        <v>MegaMart Brianahaven</v>
      </c>
      <c r="M1636">
        <f>VLOOKUP(D1636,Products!A:E,5,FALSE)</f>
        <v>1487.41</v>
      </c>
      <c r="N1636" s="5">
        <f t="shared" si="25"/>
        <v>5057.1940000000004</v>
      </c>
    </row>
    <row r="1637" spans="1:14" x14ac:dyDescent="0.3">
      <c r="A1637" t="s">
        <v>2493</v>
      </c>
      <c r="B1637" s="2">
        <v>45544</v>
      </c>
      <c r="C1637" t="s">
        <v>327</v>
      </c>
      <c r="D1637" t="s">
        <v>792</v>
      </c>
      <c r="E1637" t="s">
        <v>831</v>
      </c>
      <c r="F1637">
        <v>4</v>
      </c>
      <c r="G1637">
        <v>0.1</v>
      </c>
      <c r="H1637" t="s">
        <v>861</v>
      </c>
      <c r="I1637" t="str">
        <f>VLOOKUP(C1637,Customers!A:C,2,FALSE)&amp;" "&amp;VLOOKUP(C1637,Customers!A:C,3,FALSE)</f>
        <v>Laurie Mason</v>
      </c>
      <c r="J1637" t="str">
        <f>VLOOKUP(D1637,Products!A:C,2,FALSE)</f>
        <v>Beat Accessories</v>
      </c>
      <c r="K1637" t="str">
        <f>VLOOKUP(D1637,Products!A:C,3,FALSE)</f>
        <v>Fashion</v>
      </c>
      <c r="L1637" t="str">
        <f>VLOOKUP(E1637,Stores!A:B,2,FALSE)</f>
        <v>MegaMart Jimenezborough</v>
      </c>
      <c r="M1637">
        <f>VLOOKUP(D1637,Products!A:E,5,FALSE)</f>
        <v>1798.97</v>
      </c>
      <c r="N1637" s="5">
        <f t="shared" si="25"/>
        <v>6476.2920000000004</v>
      </c>
    </row>
    <row r="1638" spans="1:14" x14ac:dyDescent="0.3">
      <c r="A1638" t="s">
        <v>2494</v>
      </c>
      <c r="B1638" s="2">
        <v>45438</v>
      </c>
      <c r="C1638" t="s">
        <v>112</v>
      </c>
      <c r="D1638" t="s">
        <v>755</v>
      </c>
      <c r="E1638" t="s">
        <v>831</v>
      </c>
      <c r="F1638">
        <v>1</v>
      </c>
      <c r="G1638">
        <v>0</v>
      </c>
      <c r="H1638" t="s">
        <v>861</v>
      </c>
      <c r="I1638" t="str">
        <f>VLOOKUP(C1638,Customers!A:C,2,FALSE)&amp;" "&amp;VLOOKUP(C1638,Customers!A:C,3,FALSE)</f>
        <v>John Carr</v>
      </c>
      <c r="J1638" t="str">
        <f>VLOOKUP(D1638,Products!A:C,2,FALSE)</f>
        <v>House Accessories</v>
      </c>
      <c r="K1638" t="str">
        <f>VLOOKUP(D1638,Products!A:C,3,FALSE)</f>
        <v>Fashion</v>
      </c>
      <c r="L1638" t="str">
        <f>VLOOKUP(E1638,Stores!A:B,2,FALSE)</f>
        <v>MegaMart Jimenezborough</v>
      </c>
      <c r="M1638">
        <f>VLOOKUP(D1638,Products!A:E,5,FALSE)</f>
        <v>1858.75</v>
      </c>
      <c r="N1638" s="5">
        <f t="shared" si="25"/>
        <v>1858.75</v>
      </c>
    </row>
    <row r="1639" spans="1:14" x14ac:dyDescent="0.3">
      <c r="A1639" t="s">
        <v>2495</v>
      </c>
      <c r="B1639" s="2">
        <v>45874</v>
      </c>
      <c r="C1639" t="s">
        <v>533</v>
      </c>
      <c r="D1639" t="s">
        <v>750</v>
      </c>
      <c r="E1639" t="s">
        <v>835</v>
      </c>
      <c r="F1639">
        <v>5</v>
      </c>
      <c r="G1639">
        <v>0.1</v>
      </c>
      <c r="H1639" t="s">
        <v>855</v>
      </c>
      <c r="I1639" t="str">
        <f>VLOOKUP(C1639,Customers!A:C,2,FALSE)&amp;" "&amp;VLOOKUP(C1639,Customers!A:C,3,FALSE)</f>
        <v>Crystal Garrison</v>
      </c>
      <c r="J1639" t="str">
        <f>VLOOKUP(D1639,Products!A:C,2,FALSE)</f>
        <v>Add Clothing</v>
      </c>
      <c r="K1639" t="str">
        <f>VLOOKUP(D1639,Products!A:C,3,FALSE)</f>
        <v>Fashion</v>
      </c>
      <c r="L1639" t="str">
        <f>VLOOKUP(E1639,Stores!A:B,2,FALSE)</f>
        <v>MegaMart Peckmouth</v>
      </c>
      <c r="M1639">
        <f>VLOOKUP(D1639,Products!A:E,5,FALSE)</f>
        <v>1342.75</v>
      </c>
      <c r="N1639" s="5">
        <f t="shared" si="25"/>
        <v>6042.375</v>
      </c>
    </row>
    <row r="1640" spans="1:14" x14ac:dyDescent="0.3">
      <c r="A1640" t="s">
        <v>2496</v>
      </c>
      <c r="B1640" s="2">
        <v>45498</v>
      </c>
      <c r="C1640" t="s">
        <v>403</v>
      </c>
      <c r="D1640" t="s">
        <v>725</v>
      </c>
      <c r="E1640" t="s">
        <v>842</v>
      </c>
      <c r="F1640">
        <v>5</v>
      </c>
      <c r="G1640">
        <v>0.15</v>
      </c>
      <c r="H1640" t="s">
        <v>861</v>
      </c>
      <c r="I1640" t="str">
        <f>VLOOKUP(C1640,Customers!A:C,2,FALSE)&amp;" "&amp;VLOOKUP(C1640,Customers!A:C,3,FALSE)</f>
        <v>Samantha Hill</v>
      </c>
      <c r="J1640" t="str">
        <f>VLOOKUP(D1640,Products!A:C,2,FALSE)</f>
        <v>Knowledge Bags</v>
      </c>
      <c r="K1640" t="str">
        <f>VLOOKUP(D1640,Products!A:C,3,FALSE)</f>
        <v>Fashion</v>
      </c>
      <c r="L1640" t="str">
        <f>VLOOKUP(E1640,Stores!A:B,2,FALSE)</f>
        <v>MegaMart Brianahaven</v>
      </c>
      <c r="M1640">
        <f>VLOOKUP(D1640,Products!A:E,5,FALSE)</f>
        <v>1396.22</v>
      </c>
      <c r="N1640" s="5">
        <f t="shared" si="25"/>
        <v>5933.9350000000004</v>
      </c>
    </row>
    <row r="1641" spans="1:14" x14ac:dyDescent="0.3">
      <c r="A1641" t="s">
        <v>2497</v>
      </c>
      <c r="B1641" s="2">
        <v>45907</v>
      </c>
      <c r="C1641" t="s">
        <v>241</v>
      </c>
      <c r="D1641" t="s">
        <v>742</v>
      </c>
      <c r="E1641" t="s">
        <v>835</v>
      </c>
      <c r="F1641">
        <v>1</v>
      </c>
      <c r="G1641">
        <v>0</v>
      </c>
      <c r="H1641" t="s">
        <v>861</v>
      </c>
      <c r="I1641" t="str">
        <f>VLOOKUP(C1641,Customers!A:C,2,FALSE)&amp;" "&amp;VLOOKUP(C1641,Customers!A:C,3,FALSE)</f>
        <v>Michael Johnson</v>
      </c>
      <c r="J1641" t="str">
        <f>VLOOKUP(D1641,Products!A:C,2,FALSE)</f>
        <v>Either Headphones</v>
      </c>
      <c r="K1641" t="str">
        <f>VLOOKUP(D1641,Products!A:C,3,FALSE)</f>
        <v>Electronics</v>
      </c>
      <c r="L1641" t="str">
        <f>VLOOKUP(E1641,Stores!A:B,2,FALSE)</f>
        <v>MegaMart Peckmouth</v>
      </c>
      <c r="M1641">
        <f>VLOOKUP(D1641,Products!A:E,5,FALSE)</f>
        <v>248.57</v>
      </c>
      <c r="N1641" s="5">
        <f t="shared" si="25"/>
        <v>248.57</v>
      </c>
    </row>
    <row r="1642" spans="1:14" x14ac:dyDescent="0.3">
      <c r="A1642" t="s">
        <v>2498</v>
      </c>
      <c r="B1642" s="2">
        <v>45187</v>
      </c>
      <c r="C1642" t="s">
        <v>302</v>
      </c>
      <c r="D1642" t="s">
        <v>818</v>
      </c>
      <c r="E1642" t="s">
        <v>846</v>
      </c>
      <c r="F1642">
        <v>4</v>
      </c>
      <c r="G1642">
        <v>0.1</v>
      </c>
      <c r="H1642" t="s">
        <v>855</v>
      </c>
      <c r="I1642" t="str">
        <f>VLOOKUP(C1642,Customers!A:C,2,FALSE)&amp;" "&amp;VLOOKUP(C1642,Customers!A:C,3,FALSE)</f>
        <v>Grace Garcia</v>
      </c>
      <c r="J1642" t="str">
        <f>VLOOKUP(D1642,Products!A:C,2,FALSE)</f>
        <v>Nature Clothing</v>
      </c>
      <c r="K1642" t="str">
        <f>VLOOKUP(D1642,Products!A:C,3,FALSE)</f>
        <v>Fashion</v>
      </c>
      <c r="L1642" t="str">
        <f>VLOOKUP(E1642,Stores!A:B,2,FALSE)</f>
        <v>MegaMart Johnmouth</v>
      </c>
      <c r="M1642">
        <f>VLOOKUP(D1642,Products!A:E,5,FALSE)</f>
        <v>1165.3699999999999</v>
      </c>
      <c r="N1642" s="5">
        <f t="shared" si="25"/>
        <v>4195.3319999999994</v>
      </c>
    </row>
    <row r="1643" spans="1:14" x14ac:dyDescent="0.3">
      <c r="A1643" t="s">
        <v>2499</v>
      </c>
      <c r="B1643" s="2">
        <v>45891</v>
      </c>
      <c r="C1643" t="s">
        <v>542</v>
      </c>
      <c r="D1643" t="s">
        <v>820</v>
      </c>
      <c r="E1643" t="s">
        <v>846</v>
      </c>
      <c r="F1643">
        <v>2</v>
      </c>
      <c r="G1643">
        <v>0.05</v>
      </c>
      <c r="H1643" t="s">
        <v>858</v>
      </c>
      <c r="I1643" t="str">
        <f>VLOOKUP(C1643,Customers!A:C,2,FALSE)&amp;" "&amp;VLOOKUP(C1643,Customers!A:C,3,FALSE)</f>
        <v>Francis Hernandez</v>
      </c>
      <c r="J1643" t="str">
        <f>VLOOKUP(D1643,Products!A:C,2,FALSE)</f>
        <v>Or Smartphone</v>
      </c>
      <c r="K1643" t="str">
        <f>VLOOKUP(D1643,Products!A:C,3,FALSE)</f>
        <v>Electronics</v>
      </c>
      <c r="L1643" t="str">
        <f>VLOOKUP(E1643,Stores!A:B,2,FALSE)</f>
        <v>MegaMart Johnmouth</v>
      </c>
      <c r="M1643">
        <f>VLOOKUP(D1643,Products!A:E,5,FALSE)</f>
        <v>1197.18</v>
      </c>
      <c r="N1643" s="5">
        <f t="shared" si="25"/>
        <v>2274.6419999999998</v>
      </c>
    </row>
    <row r="1644" spans="1:14" x14ac:dyDescent="0.3">
      <c r="A1644" t="s">
        <v>2500</v>
      </c>
      <c r="B1644" s="2">
        <v>45312</v>
      </c>
      <c r="C1644" t="s">
        <v>302</v>
      </c>
      <c r="D1644" t="s">
        <v>711</v>
      </c>
      <c r="E1644" t="s">
        <v>846</v>
      </c>
      <c r="F1644">
        <v>3</v>
      </c>
      <c r="G1644">
        <v>0.1</v>
      </c>
      <c r="H1644" t="s">
        <v>855</v>
      </c>
      <c r="I1644" t="str">
        <f>VLOOKUP(C1644,Customers!A:C,2,FALSE)&amp;" "&amp;VLOOKUP(C1644,Customers!A:C,3,FALSE)</f>
        <v>Grace Garcia</v>
      </c>
      <c r="J1644" t="str">
        <f>VLOOKUP(D1644,Products!A:C,2,FALSE)</f>
        <v>Like Camera</v>
      </c>
      <c r="K1644" t="str">
        <f>VLOOKUP(D1644,Products!A:C,3,FALSE)</f>
        <v>Electronics</v>
      </c>
      <c r="L1644" t="str">
        <f>VLOOKUP(E1644,Stores!A:B,2,FALSE)</f>
        <v>MegaMart Johnmouth</v>
      </c>
      <c r="M1644">
        <f>VLOOKUP(D1644,Products!A:E,5,FALSE)</f>
        <v>1673.69</v>
      </c>
      <c r="N1644" s="5">
        <f t="shared" si="25"/>
        <v>4518.9629999999997</v>
      </c>
    </row>
    <row r="1645" spans="1:14" x14ac:dyDescent="0.3">
      <c r="A1645" t="s">
        <v>2501</v>
      </c>
      <c r="B1645" s="2">
        <v>45352</v>
      </c>
      <c r="C1645" t="s">
        <v>15</v>
      </c>
      <c r="D1645" t="s">
        <v>759</v>
      </c>
      <c r="E1645" t="s">
        <v>846</v>
      </c>
      <c r="F1645">
        <v>5</v>
      </c>
      <c r="G1645">
        <v>0.05</v>
      </c>
      <c r="H1645" t="s">
        <v>865</v>
      </c>
      <c r="I1645" t="str">
        <f>VLOOKUP(C1645,Customers!A:C,2,FALSE)&amp;" "&amp;VLOOKUP(C1645,Customers!A:C,3,FALSE)</f>
        <v>Carol Hays</v>
      </c>
      <c r="J1645" t="str">
        <f>VLOOKUP(D1645,Products!A:C,2,FALSE)</f>
        <v>Democratic Smartphone</v>
      </c>
      <c r="K1645" t="str">
        <f>VLOOKUP(D1645,Products!A:C,3,FALSE)</f>
        <v>Electronics</v>
      </c>
      <c r="L1645" t="str">
        <f>VLOOKUP(E1645,Stores!A:B,2,FALSE)</f>
        <v>MegaMart Johnmouth</v>
      </c>
      <c r="M1645">
        <f>VLOOKUP(D1645,Products!A:E,5,FALSE)</f>
        <v>1079.8900000000001</v>
      </c>
      <c r="N1645" s="5">
        <f t="shared" si="25"/>
        <v>5129.4775000000009</v>
      </c>
    </row>
    <row r="1646" spans="1:14" x14ac:dyDescent="0.3">
      <c r="A1646" t="s">
        <v>2502</v>
      </c>
      <c r="B1646" s="2">
        <v>45221</v>
      </c>
      <c r="C1646" t="s">
        <v>234</v>
      </c>
      <c r="D1646" t="s">
        <v>800</v>
      </c>
      <c r="E1646" t="s">
        <v>846</v>
      </c>
      <c r="F1646">
        <v>5</v>
      </c>
      <c r="G1646">
        <v>0</v>
      </c>
      <c r="H1646" t="s">
        <v>858</v>
      </c>
      <c r="I1646" t="str">
        <f>VLOOKUP(C1646,Customers!A:C,2,FALSE)&amp;" "&amp;VLOOKUP(C1646,Customers!A:C,3,FALSE)</f>
        <v>Heather Russell</v>
      </c>
      <c r="J1646" t="str">
        <f>VLOOKUP(D1646,Products!A:C,2,FALSE)</f>
        <v>Book Television</v>
      </c>
      <c r="K1646" t="str">
        <f>VLOOKUP(D1646,Products!A:C,3,FALSE)</f>
        <v>Electronics</v>
      </c>
      <c r="L1646" t="str">
        <f>VLOOKUP(E1646,Stores!A:B,2,FALSE)</f>
        <v>MegaMart Johnmouth</v>
      </c>
      <c r="M1646">
        <f>VLOOKUP(D1646,Products!A:E,5,FALSE)</f>
        <v>1952.65</v>
      </c>
      <c r="N1646" s="5">
        <f t="shared" si="25"/>
        <v>9763.25</v>
      </c>
    </row>
    <row r="1647" spans="1:14" x14ac:dyDescent="0.3">
      <c r="A1647" t="s">
        <v>2503</v>
      </c>
      <c r="B1647" s="2">
        <v>45287</v>
      </c>
      <c r="C1647" t="s">
        <v>335</v>
      </c>
      <c r="D1647" t="s">
        <v>802</v>
      </c>
      <c r="E1647" t="s">
        <v>835</v>
      </c>
      <c r="F1647">
        <v>2</v>
      </c>
      <c r="G1647">
        <v>0.05</v>
      </c>
      <c r="H1647" t="s">
        <v>865</v>
      </c>
      <c r="I1647" t="str">
        <f>VLOOKUP(C1647,Customers!A:C,2,FALSE)&amp;" "&amp;VLOOKUP(C1647,Customers!A:C,3,FALSE)</f>
        <v>William Warner</v>
      </c>
      <c r="J1647" t="str">
        <f>VLOOKUP(D1647,Products!A:C,2,FALSE)</f>
        <v>Stage Footwear</v>
      </c>
      <c r="K1647" t="str">
        <f>VLOOKUP(D1647,Products!A:C,3,FALSE)</f>
        <v>Fashion</v>
      </c>
      <c r="L1647" t="str">
        <f>VLOOKUP(E1647,Stores!A:B,2,FALSE)</f>
        <v>MegaMart Peckmouth</v>
      </c>
      <c r="M1647">
        <f>VLOOKUP(D1647,Products!A:E,5,FALSE)</f>
        <v>366.93</v>
      </c>
      <c r="N1647" s="5">
        <f t="shared" si="25"/>
        <v>697.16700000000003</v>
      </c>
    </row>
    <row r="1648" spans="1:14" x14ac:dyDescent="0.3">
      <c r="A1648" t="s">
        <v>2504</v>
      </c>
      <c r="B1648" s="2">
        <v>45250</v>
      </c>
      <c r="C1648" t="s">
        <v>331</v>
      </c>
      <c r="D1648" t="s">
        <v>778</v>
      </c>
      <c r="E1648" t="s">
        <v>835</v>
      </c>
      <c r="F1648">
        <v>4</v>
      </c>
      <c r="G1648">
        <v>0.15</v>
      </c>
      <c r="H1648" t="s">
        <v>855</v>
      </c>
      <c r="I1648" t="str">
        <f>VLOOKUP(C1648,Customers!A:C,2,FALSE)&amp;" "&amp;VLOOKUP(C1648,Customers!A:C,3,FALSE)</f>
        <v>Brenda Costa</v>
      </c>
      <c r="J1648" t="str">
        <f>VLOOKUP(D1648,Products!A:C,2,FALSE)</f>
        <v>Behavior Dairy</v>
      </c>
      <c r="K1648" t="str">
        <f>VLOOKUP(D1648,Products!A:C,3,FALSE)</f>
        <v>Groceries</v>
      </c>
      <c r="L1648" t="str">
        <f>VLOOKUP(E1648,Stores!A:B,2,FALSE)</f>
        <v>MegaMart Peckmouth</v>
      </c>
      <c r="M1648">
        <f>VLOOKUP(D1648,Products!A:E,5,FALSE)</f>
        <v>1015.76</v>
      </c>
      <c r="N1648" s="5">
        <f t="shared" si="25"/>
        <v>3453.5839999999998</v>
      </c>
    </row>
    <row r="1649" spans="1:14" x14ac:dyDescent="0.3">
      <c r="A1649" t="s">
        <v>2505</v>
      </c>
      <c r="B1649" s="2">
        <v>45799</v>
      </c>
      <c r="C1649" t="s">
        <v>539</v>
      </c>
      <c r="D1649" t="s">
        <v>761</v>
      </c>
      <c r="E1649" t="s">
        <v>846</v>
      </c>
      <c r="F1649">
        <v>3</v>
      </c>
      <c r="G1649">
        <v>0.1</v>
      </c>
      <c r="H1649" t="s">
        <v>858</v>
      </c>
      <c r="I1649" t="str">
        <f>VLOOKUP(C1649,Customers!A:C,2,FALSE)&amp;" "&amp;VLOOKUP(C1649,Customers!A:C,3,FALSE)</f>
        <v>Melissa Torres</v>
      </c>
      <c r="J1649" t="str">
        <f>VLOOKUP(D1649,Products!A:C,2,FALSE)</f>
        <v>Traditional Laptop</v>
      </c>
      <c r="K1649" t="str">
        <f>VLOOKUP(D1649,Products!A:C,3,FALSE)</f>
        <v>Electronics</v>
      </c>
      <c r="L1649" t="str">
        <f>VLOOKUP(E1649,Stores!A:B,2,FALSE)</f>
        <v>MegaMart Johnmouth</v>
      </c>
      <c r="M1649">
        <f>VLOOKUP(D1649,Products!A:E,5,FALSE)</f>
        <v>1762.92</v>
      </c>
      <c r="N1649" s="5">
        <f t="shared" si="25"/>
        <v>4759.884</v>
      </c>
    </row>
    <row r="1650" spans="1:14" x14ac:dyDescent="0.3">
      <c r="A1650" t="s">
        <v>2506</v>
      </c>
      <c r="B1650" s="2">
        <v>45700</v>
      </c>
      <c r="C1650" t="s">
        <v>320</v>
      </c>
      <c r="D1650" t="s">
        <v>806</v>
      </c>
      <c r="E1650" t="s">
        <v>835</v>
      </c>
      <c r="F1650">
        <v>1</v>
      </c>
      <c r="G1650">
        <v>0.15</v>
      </c>
      <c r="H1650" t="s">
        <v>865</v>
      </c>
      <c r="I1650" t="str">
        <f>VLOOKUP(C1650,Customers!A:C,2,FALSE)&amp;" "&amp;VLOOKUP(C1650,Customers!A:C,3,FALSE)</f>
        <v>Juan Ramirez</v>
      </c>
      <c r="J1650" t="str">
        <f>VLOOKUP(D1650,Products!A:C,2,FALSE)</f>
        <v>Piece Headphones</v>
      </c>
      <c r="K1650" t="str">
        <f>VLOOKUP(D1650,Products!A:C,3,FALSE)</f>
        <v>Electronics</v>
      </c>
      <c r="L1650" t="str">
        <f>VLOOKUP(E1650,Stores!A:B,2,FALSE)</f>
        <v>MegaMart Peckmouth</v>
      </c>
      <c r="M1650">
        <f>VLOOKUP(D1650,Products!A:E,5,FALSE)</f>
        <v>1745.61</v>
      </c>
      <c r="N1650" s="5">
        <f t="shared" si="25"/>
        <v>1483.7684999999999</v>
      </c>
    </row>
    <row r="1651" spans="1:14" x14ac:dyDescent="0.3">
      <c r="A1651" t="s">
        <v>2507</v>
      </c>
      <c r="B1651" s="2">
        <v>45636</v>
      </c>
      <c r="C1651" t="s">
        <v>467</v>
      </c>
      <c r="D1651" t="s">
        <v>792</v>
      </c>
      <c r="E1651" t="s">
        <v>835</v>
      </c>
      <c r="F1651">
        <v>1</v>
      </c>
      <c r="G1651">
        <v>0.05</v>
      </c>
      <c r="H1651" t="s">
        <v>861</v>
      </c>
      <c r="I1651" t="str">
        <f>VLOOKUP(C1651,Customers!A:C,2,FALSE)&amp;" "&amp;VLOOKUP(C1651,Customers!A:C,3,FALSE)</f>
        <v>John Allen</v>
      </c>
      <c r="J1651" t="str">
        <f>VLOOKUP(D1651,Products!A:C,2,FALSE)</f>
        <v>Beat Accessories</v>
      </c>
      <c r="K1651" t="str">
        <f>VLOOKUP(D1651,Products!A:C,3,FALSE)</f>
        <v>Fashion</v>
      </c>
      <c r="L1651" t="str">
        <f>VLOOKUP(E1651,Stores!A:B,2,FALSE)</f>
        <v>MegaMart Peckmouth</v>
      </c>
      <c r="M1651">
        <f>VLOOKUP(D1651,Products!A:E,5,FALSE)</f>
        <v>1798.97</v>
      </c>
      <c r="N1651" s="5">
        <f t="shared" si="25"/>
        <v>1709.0214999999998</v>
      </c>
    </row>
    <row r="1652" spans="1:14" x14ac:dyDescent="0.3">
      <c r="A1652" t="s">
        <v>2508</v>
      </c>
      <c r="B1652" s="2">
        <v>45522</v>
      </c>
      <c r="C1652" t="s">
        <v>445</v>
      </c>
      <c r="D1652" t="s">
        <v>766</v>
      </c>
      <c r="E1652" t="s">
        <v>846</v>
      </c>
      <c r="F1652">
        <v>2</v>
      </c>
      <c r="G1652">
        <v>0.05</v>
      </c>
      <c r="H1652" t="s">
        <v>858</v>
      </c>
      <c r="I1652" t="str">
        <f>VLOOKUP(C1652,Customers!A:C,2,FALSE)&amp;" "&amp;VLOOKUP(C1652,Customers!A:C,3,FALSE)</f>
        <v>Curtis Faulkner</v>
      </c>
      <c r="J1652" t="str">
        <f>VLOOKUP(D1652,Products!A:C,2,FALSE)</f>
        <v>Firm Dairy</v>
      </c>
      <c r="K1652" t="str">
        <f>VLOOKUP(D1652,Products!A:C,3,FALSE)</f>
        <v>Groceries</v>
      </c>
      <c r="L1652" t="str">
        <f>VLOOKUP(E1652,Stores!A:B,2,FALSE)</f>
        <v>MegaMart Johnmouth</v>
      </c>
      <c r="M1652">
        <f>VLOOKUP(D1652,Products!A:E,5,FALSE)</f>
        <v>1227.24</v>
      </c>
      <c r="N1652" s="5">
        <f t="shared" si="25"/>
        <v>2331.7559999999999</v>
      </c>
    </row>
    <row r="1653" spans="1:14" x14ac:dyDescent="0.3">
      <c r="A1653" t="s">
        <v>2509</v>
      </c>
      <c r="B1653" s="2">
        <v>45381</v>
      </c>
      <c r="C1653" t="s">
        <v>666</v>
      </c>
      <c r="D1653" t="s">
        <v>722</v>
      </c>
      <c r="E1653" t="s">
        <v>839</v>
      </c>
      <c r="F1653">
        <v>4</v>
      </c>
      <c r="G1653">
        <v>0.05</v>
      </c>
      <c r="H1653" t="s">
        <v>858</v>
      </c>
      <c r="I1653" t="str">
        <f>VLOOKUP(C1653,Customers!A:C,2,FALSE)&amp;" "&amp;VLOOKUP(C1653,Customers!A:C,3,FALSE)</f>
        <v>Steve Flynn</v>
      </c>
      <c r="J1653" t="str">
        <f>VLOOKUP(D1653,Products!A:C,2,FALSE)</f>
        <v>Four Accessories</v>
      </c>
      <c r="K1653" t="str">
        <f>VLOOKUP(D1653,Products!A:C,3,FALSE)</f>
        <v>Fashion</v>
      </c>
      <c r="L1653" t="str">
        <f>VLOOKUP(E1653,Stores!A:B,2,FALSE)</f>
        <v>MegaMart New Michele</v>
      </c>
      <c r="M1653">
        <f>VLOOKUP(D1653,Products!A:E,5,FALSE)</f>
        <v>1853.77</v>
      </c>
      <c r="N1653" s="5">
        <f t="shared" si="25"/>
        <v>7044.326</v>
      </c>
    </row>
    <row r="1654" spans="1:14" x14ac:dyDescent="0.3">
      <c r="A1654" t="s">
        <v>2510</v>
      </c>
      <c r="B1654" s="2">
        <v>45877</v>
      </c>
      <c r="C1654" t="s">
        <v>187</v>
      </c>
      <c r="D1654" t="s">
        <v>798</v>
      </c>
      <c r="E1654" t="s">
        <v>831</v>
      </c>
      <c r="F1654">
        <v>3</v>
      </c>
      <c r="G1654">
        <v>0</v>
      </c>
      <c r="H1654" t="s">
        <v>865</v>
      </c>
      <c r="I1654" t="str">
        <f>VLOOKUP(C1654,Customers!A:C,2,FALSE)&amp;" "&amp;VLOOKUP(C1654,Customers!A:C,3,FALSE)</f>
        <v>Alexis Crane</v>
      </c>
      <c r="J1654" t="str">
        <f>VLOOKUP(D1654,Products!A:C,2,FALSE)</f>
        <v>New Watches</v>
      </c>
      <c r="K1654" t="str">
        <f>VLOOKUP(D1654,Products!A:C,3,FALSE)</f>
        <v>Fashion</v>
      </c>
      <c r="L1654" t="str">
        <f>VLOOKUP(E1654,Stores!A:B,2,FALSE)</f>
        <v>MegaMart Jimenezborough</v>
      </c>
      <c r="M1654">
        <f>VLOOKUP(D1654,Products!A:E,5,FALSE)</f>
        <v>1501.46</v>
      </c>
      <c r="N1654" s="5">
        <f t="shared" si="25"/>
        <v>4504.38</v>
      </c>
    </row>
    <row r="1655" spans="1:14" x14ac:dyDescent="0.3">
      <c r="A1655" t="s">
        <v>2511</v>
      </c>
      <c r="B1655" s="2">
        <v>45448</v>
      </c>
      <c r="C1655" t="s">
        <v>347</v>
      </c>
      <c r="D1655" t="s">
        <v>728</v>
      </c>
      <c r="E1655" t="s">
        <v>831</v>
      </c>
      <c r="F1655">
        <v>5</v>
      </c>
      <c r="G1655">
        <v>0</v>
      </c>
      <c r="H1655" t="s">
        <v>861</v>
      </c>
      <c r="I1655" t="str">
        <f>VLOOKUP(C1655,Customers!A:C,2,FALSE)&amp;" "&amp;VLOOKUP(C1655,Customers!A:C,3,FALSE)</f>
        <v>Lindsey Holder</v>
      </c>
      <c r="J1655" t="str">
        <f>VLOOKUP(D1655,Products!A:C,2,FALSE)</f>
        <v>Company Fruits</v>
      </c>
      <c r="K1655" t="str">
        <f>VLOOKUP(D1655,Products!A:C,3,FALSE)</f>
        <v>Groceries</v>
      </c>
      <c r="L1655" t="str">
        <f>VLOOKUP(E1655,Stores!A:B,2,FALSE)</f>
        <v>MegaMart Jimenezborough</v>
      </c>
      <c r="M1655">
        <f>VLOOKUP(D1655,Products!A:E,5,FALSE)</f>
        <v>318.05</v>
      </c>
      <c r="N1655" s="5">
        <f t="shared" si="25"/>
        <v>1590.25</v>
      </c>
    </row>
    <row r="1656" spans="1:14" x14ac:dyDescent="0.3">
      <c r="A1656" t="s">
        <v>2512</v>
      </c>
      <c r="B1656" s="2">
        <v>45665</v>
      </c>
      <c r="C1656" t="s">
        <v>284</v>
      </c>
      <c r="D1656" t="s">
        <v>718</v>
      </c>
      <c r="E1656" t="s">
        <v>842</v>
      </c>
      <c r="F1656">
        <v>2</v>
      </c>
      <c r="G1656">
        <v>0.1</v>
      </c>
      <c r="H1656" t="s">
        <v>865</v>
      </c>
      <c r="I1656" t="str">
        <f>VLOOKUP(C1656,Customers!A:C,2,FALSE)&amp;" "&amp;VLOOKUP(C1656,Customers!A:C,3,FALSE)</f>
        <v>Seth Moore</v>
      </c>
      <c r="J1656" t="str">
        <f>VLOOKUP(D1656,Products!A:C,2,FALSE)</f>
        <v>Here Footwear</v>
      </c>
      <c r="K1656" t="str">
        <f>VLOOKUP(D1656,Products!A:C,3,FALSE)</f>
        <v>Fashion</v>
      </c>
      <c r="L1656" t="str">
        <f>VLOOKUP(E1656,Stores!A:B,2,FALSE)</f>
        <v>MegaMart Brianahaven</v>
      </c>
      <c r="M1656">
        <f>VLOOKUP(D1656,Products!A:E,5,FALSE)</f>
        <v>337.63</v>
      </c>
      <c r="N1656" s="5">
        <f t="shared" si="25"/>
        <v>607.73400000000004</v>
      </c>
    </row>
    <row r="1657" spans="1:14" x14ac:dyDescent="0.3">
      <c r="A1657" t="s">
        <v>2513</v>
      </c>
      <c r="B1657" s="2">
        <v>45778</v>
      </c>
      <c r="C1657" t="s">
        <v>36</v>
      </c>
      <c r="D1657" t="s">
        <v>736</v>
      </c>
      <c r="E1657" t="s">
        <v>835</v>
      </c>
      <c r="F1657">
        <v>2</v>
      </c>
      <c r="G1657">
        <v>0.1</v>
      </c>
      <c r="H1657" t="s">
        <v>861</v>
      </c>
      <c r="I1657" t="str">
        <f>VLOOKUP(C1657,Customers!A:C,2,FALSE)&amp;" "&amp;VLOOKUP(C1657,Customers!A:C,3,FALSE)</f>
        <v>Isaiah Williams</v>
      </c>
      <c r="J1657" t="str">
        <f>VLOOKUP(D1657,Products!A:C,2,FALSE)</f>
        <v>Us Snacks</v>
      </c>
      <c r="K1657" t="str">
        <f>VLOOKUP(D1657,Products!A:C,3,FALSE)</f>
        <v>Groceries</v>
      </c>
      <c r="L1657" t="str">
        <f>VLOOKUP(E1657,Stores!A:B,2,FALSE)</f>
        <v>MegaMart Peckmouth</v>
      </c>
      <c r="M1657">
        <f>VLOOKUP(D1657,Products!A:E,5,FALSE)</f>
        <v>123.19</v>
      </c>
      <c r="N1657" s="5">
        <f t="shared" si="25"/>
        <v>221.74199999999999</v>
      </c>
    </row>
    <row r="1658" spans="1:14" x14ac:dyDescent="0.3">
      <c r="A1658" t="s">
        <v>2514</v>
      </c>
      <c r="B1658" s="2">
        <v>45261</v>
      </c>
      <c r="C1658" t="s">
        <v>221</v>
      </c>
      <c r="D1658" t="s">
        <v>822</v>
      </c>
      <c r="E1658" t="s">
        <v>839</v>
      </c>
      <c r="F1658">
        <v>2</v>
      </c>
      <c r="G1658">
        <v>0.1</v>
      </c>
      <c r="H1658" t="s">
        <v>861</v>
      </c>
      <c r="I1658" t="str">
        <f>VLOOKUP(C1658,Customers!A:C,2,FALSE)&amp;" "&amp;VLOOKUP(C1658,Customers!A:C,3,FALSE)</f>
        <v>Julie Gibson</v>
      </c>
      <c r="J1658" t="str">
        <f>VLOOKUP(D1658,Products!A:C,2,FALSE)</f>
        <v>Nor Bags</v>
      </c>
      <c r="K1658" t="str">
        <f>VLOOKUP(D1658,Products!A:C,3,FALSE)</f>
        <v>Fashion</v>
      </c>
      <c r="L1658" t="str">
        <f>VLOOKUP(E1658,Stores!A:B,2,FALSE)</f>
        <v>MegaMart New Michele</v>
      </c>
      <c r="M1658">
        <f>VLOOKUP(D1658,Products!A:E,5,FALSE)</f>
        <v>1216.3599999999999</v>
      </c>
      <c r="N1658" s="5">
        <f t="shared" si="25"/>
        <v>2189.4479999999999</v>
      </c>
    </row>
    <row r="1659" spans="1:14" x14ac:dyDescent="0.3">
      <c r="A1659" t="s">
        <v>2515</v>
      </c>
      <c r="B1659" s="2">
        <v>45660</v>
      </c>
      <c r="C1659" t="s">
        <v>179</v>
      </c>
      <c r="D1659" t="s">
        <v>759</v>
      </c>
      <c r="E1659" t="s">
        <v>835</v>
      </c>
      <c r="F1659">
        <v>1</v>
      </c>
      <c r="G1659">
        <v>0.05</v>
      </c>
      <c r="H1659" t="s">
        <v>855</v>
      </c>
      <c r="I1659" t="str">
        <f>VLOOKUP(C1659,Customers!A:C,2,FALSE)&amp;" "&amp;VLOOKUP(C1659,Customers!A:C,3,FALSE)</f>
        <v>Dennis Poole</v>
      </c>
      <c r="J1659" t="str">
        <f>VLOOKUP(D1659,Products!A:C,2,FALSE)</f>
        <v>Democratic Smartphone</v>
      </c>
      <c r="K1659" t="str">
        <f>VLOOKUP(D1659,Products!A:C,3,FALSE)</f>
        <v>Electronics</v>
      </c>
      <c r="L1659" t="str">
        <f>VLOOKUP(E1659,Stores!A:B,2,FALSE)</f>
        <v>MegaMart Peckmouth</v>
      </c>
      <c r="M1659">
        <f>VLOOKUP(D1659,Products!A:E,5,FALSE)</f>
        <v>1079.8900000000001</v>
      </c>
      <c r="N1659" s="5">
        <f t="shared" si="25"/>
        <v>1025.8955000000001</v>
      </c>
    </row>
    <row r="1660" spans="1:14" x14ac:dyDescent="0.3">
      <c r="A1660" t="s">
        <v>2516</v>
      </c>
      <c r="B1660" s="2">
        <v>45331</v>
      </c>
      <c r="C1660" t="s">
        <v>105</v>
      </c>
      <c r="D1660" t="s">
        <v>711</v>
      </c>
      <c r="E1660" t="s">
        <v>831</v>
      </c>
      <c r="F1660">
        <v>2</v>
      </c>
      <c r="G1660">
        <v>0.15</v>
      </c>
      <c r="H1660" t="s">
        <v>865</v>
      </c>
      <c r="I1660" t="str">
        <f>VLOOKUP(C1660,Customers!A:C,2,FALSE)&amp;" "&amp;VLOOKUP(C1660,Customers!A:C,3,FALSE)</f>
        <v>Justin Macdonald</v>
      </c>
      <c r="J1660" t="str">
        <f>VLOOKUP(D1660,Products!A:C,2,FALSE)</f>
        <v>Like Camera</v>
      </c>
      <c r="K1660" t="str">
        <f>VLOOKUP(D1660,Products!A:C,3,FALSE)</f>
        <v>Electronics</v>
      </c>
      <c r="L1660" t="str">
        <f>VLOOKUP(E1660,Stores!A:B,2,FALSE)</f>
        <v>MegaMart Jimenezborough</v>
      </c>
      <c r="M1660">
        <f>VLOOKUP(D1660,Products!A:E,5,FALSE)</f>
        <v>1673.69</v>
      </c>
      <c r="N1660" s="5">
        <f t="shared" si="25"/>
        <v>2845.2730000000001</v>
      </c>
    </row>
    <row r="1661" spans="1:14" x14ac:dyDescent="0.3">
      <c r="A1661" t="s">
        <v>2517</v>
      </c>
      <c r="B1661" s="2">
        <v>45332</v>
      </c>
      <c r="C1661" t="s">
        <v>327</v>
      </c>
      <c r="D1661" t="s">
        <v>718</v>
      </c>
      <c r="E1661" t="s">
        <v>835</v>
      </c>
      <c r="F1661">
        <v>3</v>
      </c>
      <c r="G1661">
        <v>0.15</v>
      </c>
      <c r="H1661" t="s">
        <v>861</v>
      </c>
      <c r="I1661" t="str">
        <f>VLOOKUP(C1661,Customers!A:C,2,FALSE)&amp;" "&amp;VLOOKUP(C1661,Customers!A:C,3,FALSE)</f>
        <v>Laurie Mason</v>
      </c>
      <c r="J1661" t="str">
        <f>VLOOKUP(D1661,Products!A:C,2,FALSE)</f>
        <v>Here Footwear</v>
      </c>
      <c r="K1661" t="str">
        <f>VLOOKUP(D1661,Products!A:C,3,FALSE)</f>
        <v>Fashion</v>
      </c>
      <c r="L1661" t="str">
        <f>VLOOKUP(E1661,Stores!A:B,2,FALSE)</f>
        <v>MegaMart Peckmouth</v>
      </c>
      <c r="M1661">
        <f>VLOOKUP(D1661,Products!A:E,5,FALSE)</f>
        <v>337.63</v>
      </c>
      <c r="N1661" s="5">
        <f t="shared" si="25"/>
        <v>860.95650000000001</v>
      </c>
    </row>
    <row r="1662" spans="1:14" x14ac:dyDescent="0.3">
      <c r="A1662" t="s">
        <v>2518</v>
      </c>
      <c r="B1662" s="2">
        <v>45225</v>
      </c>
      <c r="C1662" t="s">
        <v>358</v>
      </c>
      <c r="D1662" t="s">
        <v>753</v>
      </c>
      <c r="E1662" t="s">
        <v>839</v>
      </c>
      <c r="F1662">
        <v>2</v>
      </c>
      <c r="G1662">
        <v>0.15</v>
      </c>
      <c r="H1662" t="s">
        <v>865</v>
      </c>
      <c r="I1662" t="str">
        <f>VLOOKUP(C1662,Customers!A:C,2,FALSE)&amp;" "&amp;VLOOKUP(C1662,Customers!A:C,3,FALSE)</f>
        <v>Kevin Snyder</v>
      </c>
      <c r="J1662" t="str">
        <f>VLOOKUP(D1662,Products!A:C,2,FALSE)</f>
        <v>Whether Bags</v>
      </c>
      <c r="K1662" t="str">
        <f>VLOOKUP(D1662,Products!A:C,3,FALSE)</f>
        <v>Fashion</v>
      </c>
      <c r="L1662" t="str">
        <f>VLOOKUP(E1662,Stores!A:B,2,FALSE)</f>
        <v>MegaMart New Michele</v>
      </c>
      <c r="M1662">
        <f>VLOOKUP(D1662,Products!A:E,5,FALSE)</f>
        <v>270.45</v>
      </c>
      <c r="N1662" s="5">
        <f t="shared" si="25"/>
        <v>459.76499999999999</v>
      </c>
    </row>
    <row r="1663" spans="1:14" x14ac:dyDescent="0.3">
      <c r="A1663" t="s">
        <v>2519</v>
      </c>
      <c r="B1663" s="2">
        <v>45603</v>
      </c>
      <c r="C1663" t="s">
        <v>123</v>
      </c>
      <c r="D1663" t="s">
        <v>788</v>
      </c>
      <c r="E1663" t="s">
        <v>835</v>
      </c>
      <c r="F1663">
        <v>2</v>
      </c>
      <c r="G1663">
        <v>0.05</v>
      </c>
      <c r="H1663" t="s">
        <v>861</v>
      </c>
      <c r="I1663" t="str">
        <f>VLOOKUP(C1663,Customers!A:C,2,FALSE)&amp;" "&amp;VLOOKUP(C1663,Customers!A:C,3,FALSE)</f>
        <v>Ashley Gibson</v>
      </c>
      <c r="J1663" t="str">
        <f>VLOOKUP(D1663,Products!A:C,2,FALSE)</f>
        <v>Foot Snacks</v>
      </c>
      <c r="K1663" t="str">
        <f>VLOOKUP(D1663,Products!A:C,3,FALSE)</f>
        <v>Groceries</v>
      </c>
      <c r="L1663" t="str">
        <f>VLOOKUP(E1663,Stores!A:B,2,FALSE)</f>
        <v>MegaMart Peckmouth</v>
      </c>
      <c r="M1663">
        <f>VLOOKUP(D1663,Products!A:E,5,FALSE)</f>
        <v>1095.72</v>
      </c>
      <c r="N1663" s="5">
        <f t="shared" si="25"/>
        <v>2081.8679999999999</v>
      </c>
    </row>
    <row r="1664" spans="1:14" x14ac:dyDescent="0.3">
      <c r="A1664" t="s">
        <v>2520</v>
      </c>
      <c r="B1664" s="2">
        <v>45857</v>
      </c>
      <c r="C1664" t="s">
        <v>500</v>
      </c>
      <c r="D1664" t="s">
        <v>820</v>
      </c>
      <c r="E1664" t="s">
        <v>842</v>
      </c>
      <c r="F1664">
        <v>3</v>
      </c>
      <c r="G1664">
        <v>0.1</v>
      </c>
      <c r="H1664" t="s">
        <v>858</v>
      </c>
      <c r="I1664" t="str">
        <f>VLOOKUP(C1664,Customers!A:C,2,FALSE)&amp;" "&amp;VLOOKUP(C1664,Customers!A:C,3,FALSE)</f>
        <v>Gary Lopez</v>
      </c>
      <c r="J1664" t="str">
        <f>VLOOKUP(D1664,Products!A:C,2,FALSE)</f>
        <v>Or Smartphone</v>
      </c>
      <c r="K1664" t="str">
        <f>VLOOKUP(D1664,Products!A:C,3,FALSE)</f>
        <v>Electronics</v>
      </c>
      <c r="L1664" t="str">
        <f>VLOOKUP(E1664,Stores!A:B,2,FALSE)</f>
        <v>MegaMart Brianahaven</v>
      </c>
      <c r="M1664">
        <f>VLOOKUP(D1664,Products!A:E,5,FALSE)</f>
        <v>1197.18</v>
      </c>
      <c r="N1664" s="5">
        <f t="shared" si="25"/>
        <v>3232.386</v>
      </c>
    </row>
    <row r="1665" spans="1:14" x14ac:dyDescent="0.3">
      <c r="A1665" t="s">
        <v>2521</v>
      </c>
      <c r="B1665" s="2">
        <v>45682</v>
      </c>
      <c r="C1665" t="s">
        <v>582</v>
      </c>
      <c r="D1665" t="s">
        <v>764</v>
      </c>
      <c r="E1665" t="s">
        <v>835</v>
      </c>
      <c r="F1665">
        <v>1</v>
      </c>
      <c r="G1665">
        <v>0.05</v>
      </c>
      <c r="H1665" t="s">
        <v>855</v>
      </c>
      <c r="I1665" t="str">
        <f>VLOOKUP(C1665,Customers!A:C,2,FALSE)&amp;" "&amp;VLOOKUP(C1665,Customers!A:C,3,FALSE)</f>
        <v>Erin Rogers</v>
      </c>
      <c r="J1665" t="str">
        <f>VLOOKUP(D1665,Products!A:C,2,FALSE)</f>
        <v>Simple Accessories</v>
      </c>
      <c r="K1665" t="str">
        <f>VLOOKUP(D1665,Products!A:C,3,FALSE)</f>
        <v>Fashion</v>
      </c>
      <c r="L1665" t="str">
        <f>VLOOKUP(E1665,Stores!A:B,2,FALSE)</f>
        <v>MegaMart Peckmouth</v>
      </c>
      <c r="M1665">
        <f>VLOOKUP(D1665,Products!A:E,5,FALSE)</f>
        <v>323.92</v>
      </c>
      <c r="N1665" s="5">
        <f t="shared" si="25"/>
        <v>307.72399999999999</v>
      </c>
    </row>
    <row r="1666" spans="1:14" x14ac:dyDescent="0.3">
      <c r="A1666" t="s">
        <v>2522</v>
      </c>
      <c r="B1666" s="2">
        <v>45308</v>
      </c>
      <c r="C1666" t="s">
        <v>151</v>
      </c>
      <c r="D1666" t="s">
        <v>798</v>
      </c>
      <c r="E1666" t="s">
        <v>839</v>
      </c>
      <c r="F1666">
        <v>2</v>
      </c>
      <c r="G1666">
        <v>0</v>
      </c>
      <c r="H1666" t="s">
        <v>855</v>
      </c>
      <c r="I1666" t="str">
        <f>VLOOKUP(C1666,Customers!A:C,2,FALSE)&amp;" "&amp;VLOOKUP(C1666,Customers!A:C,3,FALSE)</f>
        <v>Nancy Savage</v>
      </c>
      <c r="J1666" t="str">
        <f>VLOOKUP(D1666,Products!A:C,2,FALSE)</f>
        <v>New Watches</v>
      </c>
      <c r="K1666" t="str">
        <f>VLOOKUP(D1666,Products!A:C,3,FALSE)</f>
        <v>Fashion</v>
      </c>
      <c r="L1666" t="str">
        <f>VLOOKUP(E1666,Stores!A:B,2,FALSE)</f>
        <v>MegaMart New Michele</v>
      </c>
      <c r="M1666">
        <f>VLOOKUP(D1666,Products!A:E,5,FALSE)</f>
        <v>1501.46</v>
      </c>
      <c r="N1666" s="5">
        <f t="shared" si="25"/>
        <v>3002.92</v>
      </c>
    </row>
    <row r="1667" spans="1:14" x14ac:dyDescent="0.3">
      <c r="A1667" t="s">
        <v>2523</v>
      </c>
      <c r="B1667" s="2">
        <v>45294</v>
      </c>
      <c r="C1667" t="s">
        <v>130</v>
      </c>
      <c r="D1667" t="s">
        <v>822</v>
      </c>
      <c r="E1667" t="s">
        <v>846</v>
      </c>
      <c r="F1667">
        <v>5</v>
      </c>
      <c r="G1667">
        <v>0.15</v>
      </c>
      <c r="H1667" t="s">
        <v>861</v>
      </c>
      <c r="I1667" t="str">
        <f>VLOOKUP(C1667,Customers!A:C,2,FALSE)&amp;" "&amp;VLOOKUP(C1667,Customers!A:C,3,FALSE)</f>
        <v>Jenny Beck</v>
      </c>
      <c r="J1667" t="str">
        <f>VLOOKUP(D1667,Products!A:C,2,FALSE)</f>
        <v>Nor Bags</v>
      </c>
      <c r="K1667" t="str">
        <f>VLOOKUP(D1667,Products!A:C,3,FALSE)</f>
        <v>Fashion</v>
      </c>
      <c r="L1667" t="str">
        <f>VLOOKUP(E1667,Stores!A:B,2,FALSE)</f>
        <v>MegaMart Johnmouth</v>
      </c>
      <c r="M1667">
        <f>VLOOKUP(D1667,Products!A:E,5,FALSE)</f>
        <v>1216.3599999999999</v>
      </c>
      <c r="N1667" s="5">
        <f t="shared" ref="N1667:N1730" si="26">F1667*M1667*(1-G1667)</f>
        <v>5169.5299999999988</v>
      </c>
    </row>
    <row r="1668" spans="1:14" x14ac:dyDescent="0.3">
      <c r="A1668" t="s">
        <v>2524</v>
      </c>
      <c r="B1668" s="2">
        <v>45706</v>
      </c>
      <c r="C1668" t="s">
        <v>661</v>
      </c>
      <c r="D1668" t="s">
        <v>769</v>
      </c>
      <c r="E1668" t="s">
        <v>831</v>
      </c>
      <c r="F1668">
        <v>4</v>
      </c>
      <c r="G1668">
        <v>0</v>
      </c>
      <c r="H1668" t="s">
        <v>861</v>
      </c>
      <c r="I1668" t="str">
        <f>VLOOKUP(C1668,Customers!A:C,2,FALSE)&amp;" "&amp;VLOOKUP(C1668,Customers!A:C,3,FALSE)</f>
        <v>Cynthia Cherry</v>
      </c>
      <c r="J1668" t="str">
        <f>VLOOKUP(D1668,Products!A:C,2,FALSE)</f>
        <v>How Vegetables</v>
      </c>
      <c r="K1668" t="str">
        <f>VLOOKUP(D1668,Products!A:C,3,FALSE)</f>
        <v>Groceries</v>
      </c>
      <c r="L1668" t="str">
        <f>VLOOKUP(E1668,Stores!A:B,2,FALSE)</f>
        <v>MegaMart Jimenezborough</v>
      </c>
      <c r="M1668">
        <f>VLOOKUP(D1668,Products!A:E,5,FALSE)</f>
        <v>25.57</v>
      </c>
      <c r="N1668" s="5">
        <f t="shared" si="26"/>
        <v>102.28</v>
      </c>
    </row>
    <row r="1669" spans="1:14" x14ac:dyDescent="0.3">
      <c r="A1669" t="s">
        <v>2525</v>
      </c>
      <c r="B1669" s="2">
        <v>45899</v>
      </c>
      <c r="C1669" t="s">
        <v>480</v>
      </c>
      <c r="D1669" t="s">
        <v>810</v>
      </c>
      <c r="E1669" t="s">
        <v>842</v>
      </c>
      <c r="F1669">
        <v>5</v>
      </c>
      <c r="G1669">
        <v>0.1</v>
      </c>
      <c r="H1669" t="s">
        <v>858</v>
      </c>
      <c r="I1669" t="str">
        <f>VLOOKUP(C1669,Customers!A:C,2,FALSE)&amp;" "&amp;VLOOKUP(C1669,Customers!A:C,3,FALSE)</f>
        <v>Denise Jackson</v>
      </c>
      <c r="J1669" t="str">
        <f>VLOOKUP(D1669,Products!A:C,2,FALSE)</f>
        <v>Maybe Clothing</v>
      </c>
      <c r="K1669" t="str">
        <f>VLOOKUP(D1669,Products!A:C,3,FALSE)</f>
        <v>Fashion</v>
      </c>
      <c r="L1669" t="str">
        <f>VLOOKUP(E1669,Stores!A:B,2,FALSE)</f>
        <v>MegaMart Brianahaven</v>
      </c>
      <c r="M1669">
        <f>VLOOKUP(D1669,Products!A:E,5,FALSE)</f>
        <v>453.62</v>
      </c>
      <c r="N1669" s="5">
        <f t="shared" si="26"/>
        <v>2041.29</v>
      </c>
    </row>
    <row r="1670" spans="1:14" x14ac:dyDescent="0.3">
      <c r="A1670" t="s">
        <v>2526</v>
      </c>
      <c r="B1670" s="2">
        <v>45683</v>
      </c>
      <c r="C1670" t="s">
        <v>487</v>
      </c>
      <c r="D1670" t="s">
        <v>715</v>
      </c>
      <c r="E1670" t="s">
        <v>842</v>
      </c>
      <c r="F1670">
        <v>2</v>
      </c>
      <c r="G1670">
        <v>0.1</v>
      </c>
      <c r="H1670" t="s">
        <v>855</v>
      </c>
      <c r="I1670" t="str">
        <f>VLOOKUP(C1670,Customers!A:C,2,FALSE)&amp;" "&amp;VLOOKUP(C1670,Customers!A:C,3,FALSE)</f>
        <v>Yvette Roth</v>
      </c>
      <c r="J1670" t="str">
        <f>VLOOKUP(D1670,Products!A:C,2,FALSE)</f>
        <v>Audience Television</v>
      </c>
      <c r="K1670" t="str">
        <f>VLOOKUP(D1670,Products!A:C,3,FALSE)</f>
        <v>Electronics</v>
      </c>
      <c r="L1670" t="str">
        <f>VLOOKUP(E1670,Stores!A:B,2,FALSE)</f>
        <v>MegaMart Brianahaven</v>
      </c>
      <c r="M1670">
        <f>VLOOKUP(D1670,Products!A:E,5,FALSE)</f>
        <v>818.76</v>
      </c>
      <c r="N1670" s="5">
        <f t="shared" si="26"/>
        <v>1473.768</v>
      </c>
    </row>
    <row r="1671" spans="1:14" x14ac:dyDescent="0.3">
      <c r="A1671" t="s">
        <v>2527</v>
      </c>
      <c r="B1671" s="2">
        <v>45464</v>
      </c>
      <c r="C1671" t="s">
        <v>494</v>
      </c>
      <c r="D1671" t="s">
        <v>778</v>
      </c>
      <c r="E1671" t="s">
        <v>842</v>
      </c>
      <c r="F1671">
        <v>4</v>
      </c>
      <c r="G1671">
        <v>0.15</v>
      </c>
      <c r="H1671" t="s">
        <v>855</v>
      </c>
      <c r="I1671" t="str">
        <f>VLOOKUP(C1671,Customers!A:C,2,FALSE)&amp;" "&amp;VLOOKUP(C1671,Customers!A:C,3,FALSE)</f>
        <v>Mario Cuevas</v>
      </c>
      <c r="J1671" t="str">
        <f>VLOOKUP(D1671,Products!A:C,2,FALSE)</f>
        <v>Behavior Dairy</v>
      </c>
      <c r="K1671" t="str">
        <f>VLOOKUP(D1671,Products!A:C,3,FALSE)</f>
        <v>Groceries</v>
      </c>
      <c r="L1671" t="str">
        <f>VLOOKUP(E1671,Stores!A:B,2,FALSE)</f>
        <v>MegaMart Brianahaven</v>
      </c>
      <c r="M1671">
        <f>VLOOKUP(D1671,Products!A:E,5,FALSE)</f>
        <v>1015.76</v>
      </c>
      <c r="N1671" s="5">
        <f t="shared" si="26"/>
        <v>3453.5839999999998</v>
      </c>
    </row>
    <row r="1672" spans="1:14" x14ac:dyDescent="0.3">
      <c r="A1672" t="s">
        <v>2528</v>
      </c>
      <c r="B1672" s="2">
        <v>45273</v>
      </c>
      <c r="C1672" t="s">
        <v>539</v>
      </c>
      <c r="D1672" t="s">
        <v>812</v>
      </c>
      <c r="E1672" t="s">
        <v>842</v>
      </c>
      <c r="F1672">
        <v>5</v>
      </c>
      <c r="G1672">
        <v>0</v>
      </c>
      <c r="H1672" t="s">
        <v>861</v>
      </c>
      <c r="I1672" t="str">
        <f>VLOOKUP(C1672,Customers!A:C,2,FALSE)&amp;" "&amp;VLOOKUP(C1672,Customers!A:C,3,FALSE)</f>
        <v>Melissa Torres</v>
      </c>
      <c r="J1672" t="str">
        <f>VLOOKUP(D1672,Products!A:C,2,FALSE)</f>
        <v>Soon Accessories</v>
      </c>
      <c r="K1672" t="str">
        <f>VLOOKUP(D1672,Products!A:C,3,FALSE)</f>
        <v>Fashion</v>
      </c>
      <c r="L1672" t="str">
        <f>VLOOKUP(E1672,Stores!A:B,2,FALSE)</f>
        <v>MegaMart Brianahaven</v>
      </c>
      <c r="M1672">
        <f>VLOOKUP(D1672,Products!A:E,5,FALSE)</f>
        <v>564.41999999999996</v>
      </c>
      <c r="N1672" s="5">
        <f t="shared" si="26"/>
        <v>2822.1</v>
      </c>
    </row>
    <row r="1673" spans="1:14" x14ac:dyDescent="0.3">
      <c r="A1673" t="s">
        <v>2529</v>
      </c>
      <c r="B1673" s="2">
        <v>45491</v>
      </c>
      <c r="C1673" t="s">
        <v>221</v>
      </c>
      <c r="D1673" t="s">
        <v>718</v>
      </c>
      <c r="E1673" t="s">
        <v>835</v>
      </c>
      <c r="F1673">
        <v>4</v>
      </c>
      <c r="G1673">
        <v>0.05</v>
      </c>
      <c r="H1673" t="s">
        <v>858</v>
      </c>
      <c r="I1673" t="str">
        <f>VLOOKUP(C1673,Customers!A:C,2,FALSE)&amp;" "&amp;VLOOKUP(C1673,Customers!A:C,3,FALSE)</f>
        <v>Julie Gibson</v>
      </c>
      <c r="J1673" t="str">
        <f>VLOOKUP(D1673,Products!A:C,2,FALSE)</f>
        <v>Here Footwear</v>
      </c>
      <c r="K1673" t="str">
        <f>VLOOKUP(D1673,Products!A:C,3,FALSE)</f>
        <v>Fashion</v>
      </c>
      <c r="L1673" t="str">
        <f>VLOOKUP(E1673,Stores!A:B,2,FALSE)</f>
        <v>MegaMart Peckmouth</v>
      </c>
      <c r="M1673">
        <f>VLOOKUP(D1673,Products!A:E,5,FALSE)</f>
        <v>337.63</v>
      </c>
      <c r="N1673" s="5">
        <f t="shared" si="26"/>
        <v>1282.9939999999999</v>
      </c>
    </row>
    <row r="1674" spans="1:14" x14ac:dyDescent="0.3">
      <c r="A1674" t="s">
        <v>2530</v>
      </c>
      <c r="B1674" s="2">
        <v>45416</v>
      </c>
      <c r="C1674" t="s">
        <v>217</v>
      </c>
      <c r="D1674" t="s">
        <v>736</v>
      </c>
      <c r="E1674" t="s">
        <v>839</v>
      </c>
      <c r="F1674">
        <v>4</v>
      </c>
      <c r="G1674">
        <v>0.15</v>
      </c>
      <c r="H1674" t="s">
        <v>861</v>
      </c>
      <c r="I1674" t="str">
        <f>VLOOKUP(C1674,Customers!A:C,2,FALSE)&amp;" "&amp;VLOOKUP(C1674,Customers!A:C,3,FALSE)</f>
        <v>Carl Wyatt</v>
      </c>
      <c r="J1674" t="str">
        <f>VLOOKUP(D1674,Products!A:C,2,FALSE)</f>
        <v>Us Snacks</v>
      </c>
      <c r="K1674" t="str">
        <f>VLOOKUP(D1674,Products!A:C,3,FALSE)</f>
        <v>Groceries</v>
      </c>
      <c r="L1674" t="str">
        <f>VLOOKUP(E1674,Stores!A:B,2,FALSE)</f>
        <v>MegaMart New Michele</v>
      </c>
      <c r="M1674">
        <f>VLOOKUP(D1674,Products!A:E,5,FALSE)</f>
        <v>123.19</v>
      </c>
      <c r="N1674" s="5">
        <f t="shared" si="26"/>
        <v>418.846</v>
      </c>
    </row>
    <row r="1675" spans="1:14" x14ac:dyDescent="0.3">
      <c r="A1675" t="s">
        <v>2531</v>
      </c>
      <c r="B1675" s="2">
        <v>45631</v>
      </c>
      <c r="C1675" t="s">
        <v>362</v>
      </c>
      <c r="D1675" t="s">
        <v>766</v>
      </c>
      <c r="E1675" t="s">
        <v>839</v>
      </c>
      <c r="F1675">
        <v>5</v>
      </c>
      <c r="G1675">
        <v>0</v>
      </c>
      <c r="H1675" t="s">
        <v>861</v>
      </c>
      <c r="I1675" t="str">
        <f>VLOOKUP(C1675,Customers!A:C,2,FALSE)&amp;" "&amp;VLOOKUP(C1675,Customers!A:C,3,FALSE)</f>
        <v>Eric King</v>
      </c>
      <c r="J1675" t="str">
        <f>VLOOKUP(D1675,Products!A:C,2,FALSE)</f>
        <v>Firm Dairy</v>
      </c>
      <c r="K1675" t="str">
        <f>VLOOKUP(D1675,Products!A:C,3,FALSE)</f>
        <v>Groceries</v>
      </c>
      <c r="L1675" t="str">
        <f>VLOOKUP(E1675,Stores!A:B,2,FALSE)</f>
        <v>MegaMart New Michele</v>
      </c>
      <c r="M1675">
        <f>VLOOKUP(D1675,Products!A:E,5,FALSE)</f>
        <v>1227.24</v>
      </c>
      <c r="N1675" s="5">
        <f t="shared" si="26"/>
        <v>6136.2</v>
      </c>
    </row>
    <row r="1676" spans="1:14" x14ac:dyDescent="0.3">
      <c r="A1676" t="s">
        <v>2532</v>
      </c>
      <c r="B1676" s="2">
        <v>45431</v>
      </c>
      <c r="C1676" t="s">
        <v>680</v>
      </c>
      <c r="D1676" t="s">
        <v>766</v>
      </c>
      <c r="E1676" t="s">
        <v>831</v>
      </c>
      <c r="F1676">
        <v>3</v>
      </c>
      <c r="G1676">
        <v>0.15</v>
      </c>
      <c r="H1676" t="s">
        <v>855</v>
      </c>
      <c r="I1676" t="str">
        <f>VLOOKUP(C1676,Customers!A:C,2,FALSE)&amp;" "&amp;VLOOKUP(C1676,Customers!A:C,3,FALSE)</f>
        <v>Donald Meza</v>
      </c>
      <c r="J1676" t="str">
        <f>VLOOKUP(D1676,Products!A:C,2,FALSE)</f>
        <v>Firm Dairy</v>
      </c>
      <c r="K1676" t="str">
        <f>VLOOKUP(D1676,Products!A:C,3,FALSE)</f>
        <v>Groceries</v>
      </c>
      <c r="L1676" t="str">
        <f>VLOOKUP(E1676,Stores!A:B,2,FALSE)</f>
        <v>MegaMart Jimenezborough</v>
      </c>
      <c r="M1676">
        <f>VLOOKUP(D1676,Products!A:E,5,FALSE)</f>
        <v>1227.24</v>
      </c>
      <c r="N1676" s="5">
        <f t="shared" si="26"/>
        <v>3129.462</v>
      </c>
    </row>
    <row r="1677" spans="1:14" x14ac:dyDescent="0.3">
      <c r="A1677" t="s">
        <v>2533</v>
      </c>
      <c r="B1677" s="2">
        <v>45685</v>
      </c>
      <c r="C1677" t="s">
        <v>228</v>
      </c>
      <c r="D1677" t="s">
        <v>802</v>
      </c>
      <c r="E1677" t="s">
        <v>846</v>
      </c>
      <c r="F1677">
        <v>1</v>
      </c>
      <c r="G1677">
        <v>0.15</v>
      </c>
      <c r="H1677" t="s">
        <v>855</v>
      </c>
      <c r="I1677" t="str">
        <f>VLOOKUP(C1677,Customers!A:C,2,FALSE)&amp;" "&amp;VLOOKUP(C1677,Customers!A:C,3,FALSE)</f>
        <v>Scott Wyatt</v>
      </c>
      <c r="J1677" t="str">
        <f>VLOOKUP(D1677,Products!A:C,2,FALSE)</f>
        <v>Stage Footwear</v>
      </c>
      <c r="K1677" t="str">
        <f>VLOOKUP(D1677,Products!A:C,3,FALSE)</f>
        <v>Fashion</v>
      </c>
      <c r="L1677" t="str">
        <f>VLOOKUP(E1677,Stores!A:B,2,FALSE)</f>
        <v>MegaMart Johnmouth</v>
      </c>
      <c r="M1677">
        <f>VLOOKUP(D1677,Products!A:E,5,FALSE)</f>
        <v>366.93</v>
      </c>
      <c r="N1677" s="5">
        <f t="shared" si="26"/>
        <v>311.89049999999997</v>
      </c>
    </row>
    <row r="1678" spans="1:14" x14ac:dyDescent="0.3">
      <c r="A1678" t="s">
        <v>2534</v>
      </c>
      <c r="B1678" s="2">
        <v>45245</v>
      </c>
      <c r="C1678" t="s">
        <v>411</v>
      </c>
      <c r="D1678" t="s">
        <v>800</v>
      </c>
      <c r="E1678" t="s">
        <v>842</v>
      </c>
      <c r="F1678">
        <v>4</v>
      </c>
      <c r="G1678">
        <v>0.15</v>
      </c>
      <c r="H1678" t="s">
        <v>858</v>
      </c>
      <c r="I1678" t="str">
        <f>VLOOKUP(C1678,Customers!A:C,2,FALSE)&amp;" "&amp;VLOOKUP(C1678,Customers!A:C,3,FALSE)</f>
        <v>Travis Peters</v>
      </c>
      <c r="J1678" t="str">
        <f>VLOOKUP(D1678,Products!A:C,2,FALSE)</f>
        <v>Book Television</v>
      </c>
      <c r="K1678" t="str">
        <f>VLOOKUP(D1678,Products!A:C,3,FALSE)</f>
        <v>Electronics</v>
      </c>
      <c r="L1678" t="str">
        <f>VLOOKUP(E1678,Stores!A:B,2,FALSE)</f>
        <v>MegaMart Brianahaven</v>
      </c>
      <c r="M1678">
        <f>VLOOKUP(D1678,Products!A:E,5,FALSE)</f>
        <v>1952.65</v>
      </c>
      <c r="N1678" s="5">
        <f t="shared" si="26"/>
        <v>6639.01</v>
      </c>
    </row>
    <row r="1679" spans="1:14" x14ac:dyDescent="0.3">
      <c r="A1679" t="s">
        <v>2535</v>
      </c>
      <c r="B1679" s="2">
        <v>45328</v>
      </c>
      <c r="C1679" t="s">
        <v>358</v>
      </c>
      <c r="D1679" t="s">
        <v>826</v>
      </c>
      <c r="E1679" t="s">
        <v>842</v>
      </c>
      <c r="F1679">
        <v>3</v>
      </c>
      <c r="G1679">
        <v>0.1</v>
      </c>
      <c r="H1679" t="s">
        <v>858</v>
      </c>
      <c r="I1679" t="str">
        <f>VLOOKUP(C1679,Customers!A:C,2,FALSE)&amp;" "&amp;VLOOKUP(C1679,Customers!A:C,3,FALSE)</f>
        <v>Kevin Snyder</v>
      </c>
      <c r="J1679" t="str">
        <f>VLOOKUP(D1679,Products!A:C,2,FALSE)</f>
        <v>Maybe Footwear</v>
      </c>
      <c r="K1679" t="str">
        <f>VLOOKUP(D1679,Products!A:C,3,FALSE)</f>
        <v>Fashion</v>
      </c>
      <c r="L1679" t="str">
        <f>VLOOKUP(E1679,Stores!A:B,2,FALSE)</f>
        <v>MegaMart Brianahaven</v>
      </c>
      <c r="M1679">
        <f>VLOOKUP(D1679,Products!A:E,5,FALSE)</f>
        <v>1044.6400000000001</v>
      </c>
      <c r="N1679" s="5">
        <f t="shared" si="26"/>
        <v>2820.5280000000002</v>
      </c>
    </row>
    <row r="1680" spans="1:14" x14ac:dyDescent="0.3">
      <c r="A1680" t="s">
        <v>2536</v>
      </c>
      <c r="B1680" s="2">
        <v>45513</v>
      </c>
      <c r="C1680" t="s">
        <v>32</v>
      </c>
      <c r="D1680" t="s">
        <v>826</v>
      </c>
      <c r="E1680" t="s">
        <v>835</v>
      </c>
      <c r="F1680">
        <v>4</v>
      </c>
      <c r="G1680">
        <v>0.05</v>
      </c>
      <c r="H1680" t="s">
        <v>855</v>
      </c>
      <c r="I1680" t="str">
        <f>VLOOKUP(C1680,Customers!A:C,2,FALSE)&amp;" "&amp;VLOOKUP(C1680,Customers!A:C,3,FALSE)</f>
        <v>Erin Walker</v>
      </c>
      <c r="J1680" t="str">
        <f>VLOOKUP(D1680,Products!A:C,2,FALSE)</f>
        <v>Maybe Footwear</v>
      </c>
      <c r="K1680" t="str">
        <f>VLOOKUP(D1680,Products!A:C,3,FALSE)</f>
        <v>Fashion</v>
      </c>
      <c r="L1680" t="str">
        <f>VLOOKUP(E1680,Stores!A:B,2,FALSE)</f>
        <v>MegaMart Peckmouth</v>
      </c>
      <c r="M1680">
        <f>VLOOKUP(D1680,Products!A:E,5,FALSE)</f>
        <v>1044.6400000000001</v>
      </c>
      <c r="N1680" s="5">
        <f t="shared" si="26"/>
        <v>3969.6320000000001</v>
      </c>
    </row>
    <row r="1681" spans="1:14" x14ac:dyDescent="0.3">
      <c r="A1681" t="s">
        <v>2537</v>
      </c>
      <c r="B1681" s="2">
        <v>45184</v>
      </c>
      <c r="C1681" t="s">
        <v>593</v>
      </c>
      <c r="D1681" t="s">
        <v>814</v>
      </c>
      <c r="E1681" t="s">
        <v>831</v>
      </c>
      <c r="F1681">
        <v>3</v>
      </c>
      <c r="G1681">
        <v>0</v>
      </c>
      <c r="H1681" t="s">
        <v>855</v>
      </c>
      <c r="I1681" t="str">
        <f>VLOOKUP(C1681,Customers!A:C,2,FALSE)&amp;" "&amp;VLOOKUP(C1681,Customers!A:C,3,FALSE)</f>
        <v>Meagan Ali</v>
      </c>
      <c r="J1681" t="str">
        <f>VLOOKUP(D1681,Products!A:C,2,FALSE)</f>
        <v>Least Accessories</v>
      </c>
      <c r="K1681" t="str">
        <f>VLOOKUP(D1681,Products!A:C,3,FALSE)</f>
        <v>Fashion</v>
      </c>
      <c r="L1681" t="str">
        <f>VLOOKUP(E1681,Stores!A:B,2,FALSE)</f>
        <v>MegaMart Jimenezborough</v>
      </c>
      <c r="M1681">
        <f>VLOOKUP(D1681,Products!A:E,5,FALSE)</f>
        <v>1286.55</v>
      </c>
      <c r="N1681" s="5">
        <f t="shared" si="26"/>
        <v>3859.6499999999996</v>
      </c>
    </row>
    <row r="1682" spans="1:14" x14ac:dyDescent="0.3">
      <c r="A1682" t="s">
        <v>2538</v>
      </c>
      <c r="B1682" s="2">
        <v>45465</v>
      </c>
      <c r="C1682" t="s">
        <v>472</v>
      </c>
      <c r="D1682" t="s">
        <v>784</v>
      </c>
      <c r="E1682" t="s">
        <v>846</v>
      </c>
      <c r="F1682">
        <v>5</v>
      </c>
      <c r="G1682">
        <v>0</v>
      </c>
      <c r="H1682" t="s">
        <v>855</v>
      </c>
      <c r="I1682" t="str">
        <f>VLOOKUP(C1682,Customers!A:C,2,FALSE)&amp;" "&amp;VLOOKUP(C1682,Customers!A:C,3,FALSE)</f>
        <v>Gary Taylor</v>
      </c>
      <c r="J1682" t="str">
        <f>VLOOKUP(D1682,Products!A:C,2,FALSE)</f>
        <v>Road Clothing</v>
      </c>
      <c r="K1682" t="str">
        <f>VLOOKUP(D1682,Products!A:C,3,FALSE)</f>
        <v>Fashion</v>
      </c>
      <c r="L1682" t="str">
        <f>VLOOKUP(E1682,Stores!A:B,2,FALSE)</f>
        <v>MegaMart Johnmouth</v>
      </c>
      <c r="M1682">
        <f>VLOOKUP(D1682,Products!A:E,5,FALSE)</f>
        <v>1485.05</v>
      </c>
      <c r="N1682" s="5">
        <f t="shared" si="26"/>
        <v>7425.25</v>
      </c>
    </row>
    <row r="1683" spans="1:14" x14ac:dyDescent="0.3">
      <c r="A1683" t="s">
        <v>2539</v>
      </c>
      <c r="B1683" s="2">
        <v>45562</v>
      </c>
      <c r="C1683" t="s">
        <v>228</v>
      </c>
      <c r="D1683" t="s">
        <v>725</v>
      </c>
      <c r="E1683" t="s">
        <v>831</v>
      </c>
      <c r="F1683">
        <v>1</v>
      </c>
      <c r="G1683">
        <v>0</v>
      </c>
      <c r="H1683" t="s">
        <v>855</v>
      </c>
      <c r="I1683" t="str">
        <f>VLOOKUP(C1683,Customers!A:C,2,FALSE)&amp;" "&amp;VLOOKUP(C1683,Customers!A:C,3,FALSE)</f>
        <v>Scott Wyatt</v>
      </c>
      <c r="J1683" t="str">
        <f>VLOOKUP(D1683,Products!A:C,2,FALSE)</f>
        <v>Knowledge Bags</v>
      </c>
      <c r="K1683" t="str">
        <f>VLOOKUP(D1683,Products!A:C,3,FALSE)</f>
        <v>Fashion</v>
      </c>
      <c r="L1683" t="str">
        <f>VLOOKUP(E1683,Stores!A:B,2,FALSE)</f>
        <v>MegaMart Jimenezborough</v>
      </c>
      <c r="M1683">
        <f>VLOOKUP(D1683,Products!A:E,5,FALSE)</f>
        <v>1396.22</v>
      </c>
      <c r="N1683" s="5">
        <f t="shared" si="26"/>
        <v>1396.22</v>
      </c>
    </row>
    <row r="1684" spans="1:14" x14ac:dyDescent="0.3">
      <c r="A1684" t="s">
        <v>2540</v>
      </c>
      <c r="B1684" s="2">
        <v>45252</v>
      </c>
      <c r="C1684" t="s">
        <v>44</v>
      </c>
      <c r="D1684" t="s">
        <v>804</v>
      </c>
      <c r="E1684" t="s">
        <v>846</v>
      </c>
      <c r="F1684">
        <v>2</v>
      </c>
      <c r="G1684">
        <v>0.1</v>
      </c>
      <c r="H1684" t="s">
        <v>861</v>
      </c>
      <c r="I1684" t="str">
        <f>VLOOKUP(C1684,Customers!A:C,2,FALSE)&amp;" "&amp;VLOOKUP(C1684,Customers!A:C,3,FALSE)</f>
        <v>Catherine Rice</v>
      </c>
      <c r="J1684" t="str">
        <f>VLOOKUP(D1684,Products!A:C,2,FALSE)</f>
        <v>Church Clothing</v>
      </c>
      <c r="K1684" t="str">
        <f>VLOOKUP(D1684,Products!A:C,3,FALSE)</f>
        <v>Fashion</v>
      </c>
      <c r="L1684" t="str">
        <f>VLOOKUP(E1684,Stores!A:B,2,FALSE)</f>
        <v>MegaMart Johnmouth</v>
      </c>
      <c r="M1684">
        <f>VLOOKUP(D1684,Products!A:E,5,FALSE)</f>
        <v>540.94000000000005</v>
      </c>
      <c r="N1684" s="5">
        <f t="shared" si="26"/>
        <v>973.69200000000012</v>
      </c>
    </row>
    <row r="1685" spans="1:14" x14ac:dyDescent="0.3">
      <c r="A1685" t="s">
        <v>2541</v>
      </c>
      <c r="B1685" s="2">
        <v>45603</v>
      </c>
      <c r="C1685" t="s">
        <v>615</v>
      </c>
      <c r="D1685" t="s">
        <v>745</v>
      </c>
      <c r="E1685" t="s">
        <v>839</v>
      </c>
      <c r="F1685">
        <v>3</v>
      </c>
      <c r="G1685">
        <v>0.1</v>
      </c>
      <c r="H1685" t="s">
        <v>855</v>
      </c>
      <c r="I1685" t="str">
        <f>VLOOKUP(C1685,Customers!A:C,2,FALSE)&amp;" "&amp;VLOOKUP(C1685,Customers!A:C,3,FALSE)</f>
        <v>Lisa Ruiz</v>
      </c>
      <c r="J1685" t="str">
        <f>VLOOKUP(D1685,Products!A:C,2,FALSE)</f>
        <v>Above Camera</v>
      </c>
      <c r="K1685" t="str">
        <f>VLOOKUP(D1685,Products!A:C,3,FALSE)</f>
        <v>Electronics</v>
      </c>
      <c r="L1685" t="str">
        <f>VLOOKUP(E1685,Stores!A:B,2,FALSE)</f>
        <v>MegaMart New Michele</v>
      </c>
      <c r="M1685">
        <f>VLOOKUP(D1685,Products!A:E,5,FALSE)</f>
        <v>1193.0899999999999</v>
      </c>
      <c r="N1685" s="5">
        <f t="shared" si="26"/>
        <v>3221.3429999999998</v>
      </c>
    </row>
    <row r="1686" spans="1:14" x14ac:dyDescent="0.3">
      <c r="A1686" t="s">
        <v>2542</v>
      </c>
      <c r="B1686" s="2">
        <v>45515</v>
      </c>
      <c r="C1686" t="s">
        <v>191</v>
      </c>
      <c r="D1686" t="s">
        <v>796</v>
      </c>
      <c r="E1686" t="s">
        <v>846</v>
      </c>
      <c r="F1686">
        <v>2</v>
      </c>
      <c r="G1686">
        <v>0.1</v>
      </c>
      <c r="H1686" t="s">
        <v>865</v>
      </c>
      <c r="I1686" t="str">
        <f>VLOOKUP(C1686,Customers!A:C,2,FALSE)&amp;" "&amp;VLOOKUP(C1686,Customers!A:C,3,FALSE)</f>
        <v>Antonio Hamilton</v>
      </c>
      <c r="J1686" t="str">
        <f>VLOOKUP(D1686,Products!A:C,2,FALSE)</f>
        <v>Chair Laptop</v>
      </c>
      <c r="K1686" t="str">
        <f>VLOOKUP(D1686,Products!A:C,3,FALSE)</f>
        <v>Electronics</v>
      </c>
      <c r="L1686" t="str">
        <f>VLOOKUP(E1686,Stores!A:B,2,FALSE)</f>
        <v>MegaMart Johnmouth</v>
      </c>
      <c r="M1686">
        <f>VLOOKUP(D1686,Products!A:E,5,FALSE)</f>
        <v>1562.43</v>
      </c>
      <c r="N1686" s="5">
        <f t="shared" si="26"/>
        <v>2812.3740000000003</v>
      </c>
    </row>
    <row r="1687" spans="1:14" x14ac:dyDescent="0.3">
      <c r="A1687" t="s">
        <v>2543</v>
      </c>
      <c r="B1687" s="2">
        <v>45200</v>
      </c>
      <c r="C1687" t="s">
        <v>696</v>
      </c>
      <c r="D1687" t="s">
        <v>798</v>
      </c>
      <c r="E1687" t="s">
        <v>839</v>
      </c>
      <c r="F1687">
        <v>3</v>
      </c>
      <c r="G1687">
        <v>0.1</v>
      </c>
      <c r="H1687" t="s">
        <v>858</v>
      </c>
      <c r="I1687" t="str">
        <f>VLOOKUP(C1687,Customers!A:C,2,FALSE)&amp;" "&amp;VLOOKUP(C1687,Customers!A:C,3,FALSE)</f>
        <v>Jessica Mullins</v>
      </c>
      <c r="J1687" t="str">
        <f>VLOOKUP(D1687,Products!A:C,2,FALSE)</f>
        <v>New Watches</v>
      </c>
      <c r="K1687" t="str">
        <f>VLOOKUP(D1687,Products!A:C,3,FALSE)</f>
        <v>Fashion</v>
      </c>
      <c r="L1687" t="str">
        <f>VLOOKUP(E1687,Stores!A:B,2,FALSE)</f>
        <v>MegaMart New Michele</v>
      </c>
      <c r="M1687">
        <f>VLOOKUP(D1687,Products!A:E,5,FALSE)</f>
        <v>1501.46</v>
      </c>
      <c r="N1687" s="5">
        <f t="shared" si="26"/>
        <v>4053.942</v>
      </c>
    </row>
    <row r="1688" spans="1:14" x14ac:dyDescent="0.3">
      <c r="A1688" t="s">
        <v>2544</v>
      </c>
      <c r="B1688" s="2">
        <v>45463</v>
      </c>
      <c r="C1688" t="s">
        <v>390</v>
      </c>
      <c r="D1688" t="s">
        <v>798</v>
      </c>
      <c r="E1688" t="s">
        <v>846</v>
      </c>
      <c r="F1688">
        <v>1</v>
      </c>
      <c r="G1688">
        <v>0.15</v>
      </c>
      <c r="H1688" t="s">
        <v>861</v>
      </c>
      <c r="I1688" t="str">
        <f>VLOOKUP(C1688,Customers!A:C,2,FALSE)&amp;" "&amp;VLOOKUP(C1688,Customers!A:C,3,FALSE)</f>
        <v>Brenda Dean</v>
      </c>
      <c r="J1688" t="str">
        <f>VLOOKUP(D1688,Products!A:C,2,FALSE)</f>
        <v>New Watches</v>
      </c>
      <c r="K1688" t="str">
        <f>VLOOKUP(D1688,Products!A:C,3,FALSE)</f>
        <v>Fashion</v>
      </c>
      <c r="L1688" t="str">
        <f>VLOOKUP(E1688,Stores!A:B,2,FALSE)</f>
        <v>MegaMart Johnmouth</v>
      </c>
      <c r="M1688">
        <f>VLOOKUP(D1688,Products!A:E,5,FALSE)</f>
        <v>1501.46</v>
      </c>
      <c r="N1688" s="5">
        <f t="shared" si="26"/>
        <v>1276.241</v>
      </c>
    </row>
    <row r="1689" spans="1:14" x14ac:dyDescent="0.3">
      <c r="A1689" t="s">
        <v>2545</v>
      </c>
      <c r="B1689" s="2">
        <v>45204</v>
      </c>
      <c r="C1689" t="s">
        <v>382</v>
      </c>
      <c r="D1689" t="s">
        <v>780</v>
      </c>
      <c r="E1689" t="s">
        <v>835</v>
      </c>
      <c r="F1689">
        <v>2</v>
      </c>
      <c r="G1689">
        <v>0.05</v>
      </c>
      <c r="H1689" t="s">
        <v>858</v>
      </c>
      <c r="I1689" t="str">
        <f>VLOOKUP(C1689,Customers!A:C,2,FALSE)&amp;" "&amp;VLOOKUP(C1689,Customers!A:C,3,FALSE)</f>
        <v>Carolyn Perez</v>
      </c>
      <c r="J1689" t="str">
        <f>VLOOKUP(D1689,Products!A:C,2,FALSE)</f>
        <v>Hospital Smartphone</v>
      </c>
      <c r="K1689" t="str">
        <f>VLOOKUP(D1689,Products!A:C,3,FALSE)</f>
        <v>Electronics</v>
      </c>
      <c r="L1689" t="str">
        <f>VLOOKUP(E1689,Stores!A:B,2,FALSE)</f>
        <v>MegaMart Peckmouth</v>
      </c>
      <c r="M1689">
        <f>VLOOKUP(D1689,Products!A:E,5,FALSE)</f>
        <v>1272.23</v>
      </c>
      <c r="N1689" s="5">
        <f t="shared" si="26"/>
        <v>2417.2370000000001</v>
      </c>
    </row>
    <row r="1690" spans="1:14" x14ac:dyDescent="0.3">
      <c r="A1690" t="s">
        <v>2546</v>
      </c>
      <c r="B1690" s="2">
        <v>45781</v>
      </c>
      <c r="C1690" t="s">
        <v>230</v>
      </c>
      <c r="D1690" t="s">
        <v>736</v>
      </c>
      <c r="E1690" t="s">
        <v>846</v>
      </c>
      <c r="F1690">
        <v>5</v>
      </c>
      <c r="G1690">
        <v>0.15</v>
      </c>
      <c r="H1690" t="s">
        <v>858</v>
      </c>
      <c r="I1690" t="str">
        <f>VLOOKUP(C1690,Customers!A:C,2,FALSE)&amp;" "&amp;VLOOKUP(C1690,Customers!A:C,3,FALSE)</f>
        <v>Anthony Conway</v>
      </c>
      <c r="J1690" t="str">
        <f>VLOOKUP(D1690,Products!A:C,2,FALSE)</f>
        <v>Us Snacks</v>
      </c>
      <c r="K1690" t="str">
        <f>VLOOKUP(D1690,Products!A:C,3,FALSE)</f>
        <v>Groceries</v>
      </c>
      <c r="L1690" t="str">
        <f>VLOOKUP(E1690,Stores!A:B,2,FALSE)</f>
        <v>MegaMart Johnmouth</v>
      </c>
      <c r="M1690">
        <f>VLOOKUP(D1690,Products!A:E,5,FALSE)</f>
        <v>123.19</v>
      </c>
      <c r="N1690" s="5">
        <f t="shared" si="26"/>
        <v>523.5575</v>
      </c>
    </row>
    <row r="1691" spans="1:14" x14ac:dyDescent="0.3">
      <c r="A1691" t="s">
        <v>2547</v>
      </c>
      <c r="B1691" s="2">
        <v>45721</v>
      </c>
      <c r="C1691" t="s">
        <v>331</v>
      </c>
      <c r="D1691" t="s">
        <v>734</v>
      </c>
      <c r="E1691" t="s">
        <v>831</v>
      </c>
      <c r="F1691">
        <v>3</v>
      </c>
      <c r="G1691">
        <v>0.05</v>
      </c>
      <c r="H1691" t="s">
        <v>858</v>
      </c>
      <c r="I1691" t="str">
        <f>VLOOKUP(C1691,Customers!A:C,2,FALSE)&amp;" "&amp;VLOOKUP(C1691,Customers!A:C,3,FALSE)</f>
        <v>Brenda Costa</v>
      </c>
      <c r="J1691" t="str">
        <f>VLOOKUP(D1691,Products!A:C,2,FALSE)</f>
        <v>Recognize Footwear</v>
      </c>
      <c r="K1691" t="str">
        <f>VLOOKUP(D1691,Products!A:C,3,FALSE)</f>
        <v>Fashion</v>
      </c>
      <c r="L1691" t="str">
        <f>VLOOKUP(E1691,Stores!A:B,2,FALSE)</f>
        <v>MegaMart Jimenezborough</v>
      </c>
      <c r="M1691">
        <f>VLOOKUP(D1691,Products!A:E,5,FALSE)</f>
        <v>109.78</v>
      </c>
      <c r="N1691" s="5">
        <f t="shared" si="26"/>
        <v>312.87299999999999</v>
      </c>
    </row>
    <row r="1692" spans="1:14" x14ac:dyDescent="0.3">
      <c r="A1692" t="s">
        <v>2548</v>
      </c>
      <c r="B1692" s="2">
        <v>45408</v>
      </c>
      <c r="C1692" t="s">
        <v>696</v>
      </c>
      <c r="D1692" t="s">
        <v>769</v>
      </c>
      <c r="E1692" t="s">
        <v>842</v>
      </c>
      <c r="F1692">
        <v>2</v>
      </c>
      <c r="G1692">
        <v>0.15</v>
      </c>
      <c r="H1692" t="s">
        <v>858</v>
      </c>
      <c r="I1692" t="str">
        <f>VLOOKUP(C1692,Customers!A:C,2,FALSE)&amp;" "&amp;VLOOKUP(C1692,Customers!A:C,3,FALSE)</f>
        <v>Jessica Mullins</v>
      </c>
      <c r="J1692" t="str">
        <f>VLOOKUP(D1692,Products!A:C,2,FALSE)</f>
        <v>How Vegetables</v>
      </c>
      <c r="K1692" t="str">
        <f>VLOOKUP(D1692,Products!A:C,3,FALSE)</f>
        <v>Groceries</v>
      </c>
      <c r="L1692" t="str">
        <f>VLOOKUP(E1692,Stores!A:B,2,FALSE)</f>
        <v>MegaMart Brianahaven</v>
      </c>
      <c r="M1692">
        <f>VLOOKUP(D1692,Products!A:E,5,FALSE)</f>
        <v>25.57</v>
      </c>
      <c r="N1692" s="5">
        <f t="shared" si="26"/>
        <v>43.469000000000001</v>
      </c>
    </row>
    <row r="1693" spans="1:14" x14ac:dyDescent="0.3">
      <c r="A1693" t="s">
        <v>2549</v>
      </c>
      <c r="B1693" s="2">
        <v>45265</v>
      </c>
      <c r="C1693" t="s">
        <v>520</v>
      </c>
      <c r="D1693" t="s">
        <v>818</v>
      </c>
      <c r="E1693" t="s">
        <v>831</v>
      </c>
      <c r="F1693">
        <v>3</v>
      </c>
      <c r="G1693">
        <v>0.05</v>
      </c>
      <c r="H1693" t="s">
        <v>861</v>
      </c>
      <c r="I1693" t="str">
        <f>VLOOKUP(C1693,Customers!A:C,2,FALSE)&amp;" "&amp;VLOOKUP(C1693,Customers!A:C,3,FALSE)</f>
        <v>Cynthia Carlson</v>
      </c>
      <c r="J1693" t="str">
        <f>VLOOKUP(D1693,Products!A:C,2,FALSE)</f>
        <v>Nature Clothing</v>
      </c>
      <c r="K1693" t="str">
        <f>VLOOKUP(D1693,Products!A:C,3,FALSE)</f>
        <v>Fashion</v>
      </c>
      <c r="L1693" t="str">
        <f>VLOOKUP(E1693,Stores!A:B,2,FALSE)</f>
        <v>MegaMart Jimenezborough</v>
      </c>
      <c r="M1693">
        <f>VLOOKUP(D1693,Products!A:E,5,FALSE)</f>
        <v>1165.3699999999999</v>
      </c>
      <c r="N1693" s="5">
        <f t="shared" si="26"/>
        <v>3321.3044999999997</v>
      </c>
    </row>
    <row r="1694" spans="1:14" x14ac:dyDescent="0.3">
      <c r="A1694" t="s">
        <v>2550</v>
      </c>
      <c r="B1694" s="2">
        <v>45568</v>
      </c>
      <c r="C1694" t="s">
        <v>298</v>
      </c>
      <c r="D1694" t="s">
        <v>806</v>
      </c>
      <c r="E1694" t="s">
        <v>831</v>
      </c>
      <c r="F1694">
        <v>4</v>
      </c>
      <c r="G1694">
        <v>0.1</v>
      </c>
      <c r="H1694" t="s">
        <v>855</v>
      </c>
      <c r="I1694" t="str">
        <f>VLOOKUP(C1694,Customers!A:C,2,FALSE)&amp;" "&amp;VLOOKUP(C1694,Customers!A:C,3,FALSE)</f>
        <v>Donald Marsh</v>
      </c>
      <c r="J1694" t="str">
        <f>VLOOKUP(D1694,Products!A:C,2,FALSE)</f>
        <v>Piece Headphones</v>
      </c>
      <c r="K1694" t="str">
        <f>VLOOKUP(D1694,Products!A:C,3,FALSE)</f>
        <v>Electronics</v>
      </c>
      <c r="L1694" t="str">
        <f>VLOOKUP(E1694,Stores!A:B,2,FALSE)</f>
        <v>MegaMart Jimenezborough</v>
      </c>
      <c r="M1694">
        <f>VLOOKUP(D1694,Products!A:E,5,FALSE)</f>
        <v>1745.61</v>
      </c>
      <c r="N1694" s="5">
        <f t="shared" si="26"/>
        <v>6284.1959999999999</v>
      </c>
    </row>
    <row r="1695" spans="1:14" x14ac:dyDescent="0.3">
      <c r="A1695" t="s">
        <v>2551</v>
      </c>
      <c r="B1695" s="2">
        <v>45476</v>
      </c>
      <c r="C1695" t="s">
        <v>224</v>
      </c>
      <c r="D1695" t="s">
        <v>792</v>
      </c>
      <c r="E1695" t="s">
        <v>842</v>
      </c>
      <c r="F1695">
        <v>4</v>
      </c>
      <c r="G1695">
        <v>0.15</v>
      </c>
      <c r="H1695" t="s">
        <v>855</v>
      </c>
      <c r="I1695" t="str">
        <f>VLOOKUP(C1695,Customers!A:C,2,FALSE)&amp;" "&amp;VLOOKUP(C1695,Customers!A:C,3,FALSE)</f>
        <v>Lawrence Stewart</v>
      </c>
      <c r="J1695" t="str">
        <f>VLOOKUP(D1695,Products!A:C,2,FALSE)</f>
        <v>Beat Accessories</v>
      </c>
      <c r="K1695" t="str">
        <f>VLOOKUP(D1695,Products!A:C,3,FALSE)</f>
        <v>Fashion</v>
      </c>
      <c r="L1695" t="str">
        <f>VLOOKUP(E1695,Stores!A:B,2,FALSE)</f>
        <v>MegaMart Brianahaven</v>
      </c>
      <c r="M1695">
        <f>VLOOKUP(D1695,Products!A:E,5,FALSE)</f>
        <v>1798.97</v>
      </c>
      <c r="N1695" s="5">
        <f t="shared" si="26"/>
        <v>6116.4979999999996</v>
      </c>
    </row>
    <row r="1696" spans="1:14" x14ac:dyDescent="0.3">
      <c r="A1696" t="s">
        <v>2552</v>
      </c>
      <c r="B1696" s="2">
        <v>45479</v>
      </c>
      <c r="C1696" t="s">
        <v>317</v>
      </c>
      <c r="D1696" t="s">
        <v>739</v>
      </c>
      <c r="E1696" t="s">
        <v>846</v>
      </c>
      <c r="F1696">
        <v>1</v>
      </c>
      <c r="G1696">
        <v>0</v>
      </c>
      <c r="H1696" t="s">
        <v>861</v>
      </c>
      <c r="I1696" t="str">
        <f>VLOOKUP(C1696,Customers!A:C,2,FALSE)&amp;" "&amp;VLOOKUP(C1696,Customers!A:C,3,FALSE)</f>
        <v>Amanda Lee</v>
      </c>
      <c r="J1696" t="str">
        <f>VLOOKUP(D1696,Products!A:C,2,FALSE)</f>
        <v>Step Smartphone</v>
      </c>
      <c r="K1696" t="str">
        <f>VLOOKUP(D1696,Products!A:C,3,FALSE)</f>
        <v>Electronics</v>
      </c>
      <c r="L1696" t="str">
        <f>VLOOKUP(E1696,Stores!A:B,2,FALSE)</f>
        <v>MegaMart Johnmouth</v>
      </c>
      <c r="M1696">
        <f>VLOOKUP(D1696,Products!A:E,5,FALSE)</f>
        <v>1194.1199999999999</v>
      </c>
      <c r="N1696" s="5">
        <f t="shared" si="26"/>
        <v>1194.1199999999999</v>
      </c>
    </row>
    <row r="1697" spans="1:14" x14ac:dyDescent="0.3">
      <c r="A1697" t="s">
        <v>2553</v>
      </c>
      <c r="B1697" s="2">
        <v>45574</v>
      </c>
      <c r="C1697" t="s">
        <v>155</v>
      </c>
      <c r="D1697" t="s">
        <v>774</v>
      </c>
      <c r="E1697" t="s">
        <v>839</v>
      </c>
      <c r="F1697">
        <v>5</v>
      </c>
      <c r="G1697">
        <v>0.15</v>
      </c>
      <c r="H1697" t="s">
        <v>858</v>
      </c>
      <c r="I1697" t="str">
        <f>VLOOKUP(C1697,Customers!A:C,2,FALSE)&amp;" "&amp;VLOOKUP(C1697,Customers!A:C,3,FALSE)</f>
        <v>Scott Powell</v>
      </c>
      <c r="J1697" t="str">
        <f>VLOOKUP(D1697,Products!A:C,2,FALSE)</f>
        <v>Him Smartphone</v>
      </c>
      <c r="K1697" t="str">
        <f>VLOOKUP(D1697,Products!A:C,3,FALSE)</f>
        <v>Electronics</v>
      </c>
      <c r="L1697" t="str">
        <f>VLOOKUP(E1697,Stores!A:B,2,FALSE)</f>
        <v>MegaMart New Michele</v>
      </c>
      <c r="M1697">
        <f>VLOOKUP(D1697,Products!A:E,5,FALSE)</f>
        <v>1487.41</v>
      </c>
      <c r="N1697" s="5">
        <f t="shared" si="26"/>
        <v>6321.4925000000003</v>
      </c>
    </row>
    <row r="1698" spans="1:14" x14ac:dyDescent="0.3">
      <c r="A1698" t="s">
        <v>2554</v>
      </c>
      <c r="B1698" s="2">
        <v>45360</v>
      </c>
      <c r="C1698" t="s">
        <v>206</v>
      </c>
      <c r="D1698" t="s">
        <v>718</v>
      </c>
      <c r="E1698" t="s">
        <v>842</v>
      </c>
      <c r="F1698">
        <v>1</v>
      </c>
      <c r="G1698">
        <v>0.15</v>
      </c>
      <c r="H1698" t="s">
        <v>861</v>
      </c>
      <c r="I1698" t="str">
        <f>VLOOKUP(C1698,Customers!A:C,2,FALSE)&amp;" "&amp;VLOOKUP(C1698,Customers!A:C,3,FALSE)</f>
        <v>Felicia Morgan</v>
      </c>
      <c r="J1698" t="str">
        <f>VLOOKUP(D1698,Products!A:C,2,FALSE)</f>
        <v>Here Footwear</v>
      </c>
      <c r="K1698" t="str">
        <f>VLOOKUP(D1698,Products!A:C,3,FALSE)</f>
        <v>Fashion</v>
      </c>
      <c r="L1698" t="str">
        <f>VLOOKUP(E1698,Stores!A:B,2,FALSE)</f>
        <v>MegaMart Brianahaven</v>
      </c>
      <c r="M1698">
        <f>VLOOKUP(D1698,Products!A:E,5,FALSE)</f>
        <v>337.63</v>
      </c>
      <c r="N1698" s="5">
        <f t="shared" si="26"/>
        <v>286.9855</v>
      </c>
    </row>
    <row r="1699" spans="1:14" x14ac:dyDescent="0.3">
      <c r="A1699" t="s">
        <v>2555</v>
      </c>
      <c r="B1699" s="2">
        <v>45521</v>
      </c>
      <c r="C1699" t="s">
        <v>452</v>
      </c>
      <c r="D1699" t="s">
        <v>798</v>
      </c>
      <c r="E1699" t="s">
        <v>831</v>
      </c>
      <c r="F1699">
        <v>3</v>
      </c>
      <c r="G1699">
        <v>0.15</v>
      </c>
      <c r="H1699" t="s">
        <v>855</v>
      </c>
      <c r="I1699" t="str">
        <f>VLOOKUP(C1699,Customers!A:C,2,FALSE)&amp;" "&amp;VLOOKUP(C1699,Customers!A:C,3,FALSE)</f>
        <v>Amy Smith</v>
      </c>
      <c r="J1699" t="str">
        <f>VLOOKUP(D1699,Products!A:C,2,FALSE)</f>
        <v>New Watches</v>
      </c>
      <c r="K1699" t="str">
        <f>VLOOKUP(D1699,Products!A:C,3,FALSE)</f>
        <v>Fashion</v>
      </c>
      <c r="L1699" t="str">
        <f>VLOOKUP(E1699,Stores!A:B,2,FALSE)</f>
        <v>MegaMart Jimenezborough</v>
      </c>
      <c r="M1699">
        <f>VLOOKUP(D1699,Products!A:E,5,FALSE)</f>
        <v>1501.46</v>
      </c>
      <c r="N1699" s="5">
        <f t="shared" si="26"/>
        <v>3828.723</v>
      </c>
    </row>
    <row r="1700" spans="1:14" x14ac:dyDescent="0.3">
      <c r="A1700" t="s">
        <v>2556</v>
      </c>
      <c r="B1700" s="2">
        <v>45676</v>
      </c>
      <c r="C1700" t="s">
        <v>97</v>
      </c>
      <c r="D1700" t="s">
        <v>794</v>
      </c>
      <c r="E1700" t="s">
        <v>835</v>
      </c>
      <c r="F1700">
        <v>1</v>
      </c>
      <c r="G1700">
        <v>0.05</v>
      </c>
      <c r="H1700" t="s">
        <v>865</v>
      </c>
      <c r="I1700" t="str">
        <f>VLOOKUP(C1700,Customers!A:C,2,FALSE)&amp;" "&amp;VLOOKUP(C1700,Customers!A:C,3,FALSE)</f>
        <v>Molly Murray</v>
      </c>
      <c r="J1700" t="str">
        <f>VLOOKUP(D1700,Products!A:C,2,FALSE)</f>
        <v>Everything Laptop</v>
      </c>
      <c r="K1700" t="str">
        <f>VLOOKUP(D1700,Products!A:C,3,FALSE)</f>
        <v>Electronics</v>
      </c>
      <c r="L1700" t="str">
        <f>VLOOKUP(E1700,Stores!A:B,2,FALSE)</f>
        <v>MegaMart Peckmouth</v>
      </c>
      <c r="M1700">
        <f>VLOOKUP(D1700,Products!A:E,5,FALSE)</f>
        <v>428.05</v>
      </c>
      <c r="N1700" s="5">
        <f t="shared" si="26"/>
        <v>406.64749999999998</v>
      </c>
    </row>
    <row r="1701" spans="1:14" x14ac:dyDescent="0.3">
      <c r="A1701" t="s">
        <v>2557</v>
      </c>
      <c r="B1701" s="2">
        <v>45421</v>
      </c>
      <c r="C1701" t="s">
        <v>627</v>
      </c>
      <c r="D1701" t="s">
        <v>820</v>
      </c>
      <c r="E1701" t="s">
        <v>846</v>
      </c>
      <c r="F1701">
        <v>4</v>
      </c>
      <c r="G1701">
        <v>0</v>
      </c>
      <c r="H1701" t="s">
        <v>861</v>
      </c>
      <c r="I1701" t="str">
        <f>VLOOKUP(C1701,Customers!A:C,2,FALSE)&amp;" "&amp;VLOOKUP(C1701,Customers!A:C,3,FALSE)</f>
        <v>Anthony Gould</v>
      </c>
      <c r="J1701" t="str">
        <f>VLOOKUP(D1701,Products!A:C,2,FALSE)</f>
        <v>Or Smartphone</v>
      </c>
      <c r="K1701" t="str">
        <f>VLOOKUP(D1701,Products!A:C,3,FALSE)</f>
        <v>Electronics</v>
      </c>
      <c r="L1701" t="str">
        <f>VLOOKUP(E1701,Stores!A:B,2,FALSE)</f>
        <v>MegaMart Johnmouth</v>
      </c>
      <c r="M1701">
        <f>VLOOKUP(D1701,Products!A:E,5,FALSE)</f>
        <v>1197.18</v>
      </c>
      <c r="N1701" s="5">
        <f t="shared" si="26"/>
        <v>4788.72</v>
      </c>
    </row>
    <row r="1702" spans="1:14" x14ac:dyDescent="0.3">
      <c r="A1702" t="s">
        <v>2558</v>
      </c>
      <c r="B1702" s="2">
        <v>45741</v>
      </c>
      <c r="C1702" t="s">
        <v>198</v>
      </c>
      <c r="D1702" t="s">
        <v>790</v>
      </c>
      <c r="E1702" t="s">
        <v>831</v>
      </c>
      <c r="F1702">
        <v>4</v>
      </c>
      <c r="G1702">
        <v>0.1</v>
      </c>
      <c r="H1702" t="s">
        <v>861</v>
      </c>
      <c r="I1702" t="str">
        <f>VLOOKUP(C1702,Customers!A:C,2,FALSE)&amp;" "&amp;VLOOKUP(C1702,Customers!A:C,3,FALSE)</f>
        <v>Madison Sellers</v>
      </c>
      <c r="J1702" t="str">
        <f>VLOOKUP(D1702,Products!A:C,2,FALSE)</f>
        <v>Difficult Vegetables</v>
      </c>
      <c r="K1702" t="str">
        <f>VLOOKUP(D1702,Products!A:C,3,FALSE)</f>
        <v>Groceries</v>
      </c>
      <c r="L1702" t="str">
        <f>VLOOKUP(E1702,Stores!A:B,2,FALSE)</f>
        <v>MegaMart Jimenezborough</v>
      </c>
      <c r="M1702">
        <f>VLOOKUP(D1702,Products!A:E,5,FALSE)</f>
        <v>304.70999999999998</v>
      </c>
      <c r="N1702" s="5">
        <f t="shared" si="26"/>
        <v>1096.9559999999999</v>
      </c>
    </row>
    <row r="1703" spans="1:14" x14ac:dyDescent="0.3">
      <c r="A1703" t="s">
        <v>2559</v>
      </c>
      <c r="B1703" s="2">
        <v>45435</v>
      </c>
      <c r="C1703" t="s">
        <v>230</v>
      </c>
      <c r="D1703" t="s">
        <v>808</v>
      </c>
      <c r="E1703" t="s">
        <v>839</v>
      </c>
      <c r="F1703">
        <v>5</v>
      </c>
      <c r="G1703">
        <v>0</v>
      </c>
      <c r="H1703" t="s">
        <v>858</v>
      </c>
      <c r="I1703" t="str">
        <f>VLOOKUP(C1703,Customers!A:C,2,FALSE)&amp;" "&amp;VLOOKUP(C1703,Customers!A:C,3,FALSE)</f>
        <v>Anthony Conway</v>
      </c>
      <c r="J1703" t="str">
        <f>VLOOKUP(D1703,Products!A:C,2,FALSE)</f>
        <v>Present Television</v>
      </c>
      <c r="K1703" t="str">
        <f>VLOOKUP(D1703,Products!A:C,3,FALSE)</f>
        <v>Electronics</v>
      </c>
      <c r="L1703" t="str">
        <f>VLOOKUP(E1703,Stores!A:B,2,FALSE)</f>
        <v>MegaMart New Michele</v>
      </c>
      <c r="M1703">
        <f>VLOOKUP(D1703,Products!A:E,5,FALSE)</f>
        <v>1635.01</v>
      </c>
      <c r="N1703" s="5">
        <f t="shared" si="26"/>
        <v>8175.05</v>
      </c>
    </row>
    <row r="1704" spans="1:14" x14ac:dyDescent="0.3">
      <c r="A1704" t="s">
        <v>2560</v>
      </c>
      <c r="B1704" s="2">
        <v>45679</v>
      </c>
      <c r="C1704" t="s">
        <v>63</v>
      </c>
      <c r="D1704" t="s">
        <v>798</v>
      </c>
      <c r="E1704" t="s">
        <v>839</v>
      </c>
      <c r="F1704">
        <v>5</v>
      </c>
      <c r="G1704">
        <v>0</v>
      </c>
      <c r="H1704" t="s">
        <v>861</v>
      </c>
      <c r="I1704" t="str">
        <f>VLOOKUP(C1704,Customers!A:C,2,FALSE)&amp;" "&amp;VLOOKUP(C1704,Customers!A:C,3,FALSE)</f>
        <v>Matthew Molina</v>
      </c>
      <c r="J1704" t="str">
        <f>VLOOKUP(D1704,Products!A:C,2,FALSE)</f>
        <v>New Watches</v>
      </c>
      <c r="K1704" t="str">
        <f>VLOOKUP(D1704,Products!A:C,3,FALSE)</f>
        <v>Fashion</v>
      </c>
      <c r="L1704" t="str">
        <f>VLOOKUP(E1704,Stores!A:B,2,FALSE)</f>
        <v>MegaMart New Michele</v>
      </c>
      <c r="M1704">
        <f>VLOOKUP(D1704,Products!A:E,5,FALSE)</f>
        <v>1501.46</v>
      </c>
      <c r="N1704" s="5">
        <f t="shared" si="26"/>
        <v>7507.3</v>
      </c>
    </row>
    <row r="1705" spans="1:14" x14ac:dyDescent="0.3">
      <c r="A1705" t="s">
        <v>2561</v>
      </c>
      <c r="B1705" s="2">
        <v>45235</v>
      </c>
      <c r="C1705" t="s">
        <v>317</v>
      </c>
      <c r="D1705" t="s">
        <v>818</v>
      </c>
      <c r="E1705" t="s">
        <v>842</v>
      </c>
      <c r="F1705">
        <v>4</v>
      </c>
      <c r="G1705">
        <v>0.05</v>
      </c>
      <c r="H1705" t="s">
        <v>865</v>
      </c>
      <c r="I1705" t="str">
        <f>VLOOKUP(C1705,Customers!A:C,2,FALSE)&amp;" "&amp;VLOOKUP(C1705,Customers!A:C,3,FALSE)</f>
        <v>Amanda Lee</v>
      </c>
      <c r="J1705" t="str">
        <f>VLOOKUP(D1705,Products!A:C,2,FALSE)</f>
        <v>Nature Clothing</v>
      </c>
      <c r="K1705" t="str">
        <f>VLOOKUP(D1705,Products!A:C,3,FALSE)</f>
        <v>Fashion</v>
      </c>
      <c r="L1705" t="str">
        <f>VLOOKUP(E1705,Stores!A:B,2,FALSE)</f>
        <v>MegaMart Brianahaven</v>
      </c>
      <c r="M1705">
        <f>VLOOKUP(D1705,Products!A:E,5,FALSE)</f>
        <v>1165.3699999999999</v>
      </c>
      <c r="N1705" s="5">
        <f t="shared" si="26"/>
        <v>4428.405999999999</v>
      </c>
    </row>
    <row r="1706" spans="1:14" x14ac:dyDescent="0.3">
      <c r="A1706" t="s">
        <v>2562</v>
      </c>
      <c r="B1706" s="2">
        <v>45269</v>
      </c>
      <c r="C1706" t="s">
        <v>134</v>
      </c>
      <c r="D1706" t="s">
        <v>790</v>
      </c>
      <c r="E1706" t="s">
        <v>846</v>
      </c>
      <c r="F1706">
        <v>4</v>
      </c>
      <c r="G1706">
        <v>0.15</v>
      </c>
      <c r="H1706" t="s">
        <v>865</v>
      </c>
      <c r="I1706" t="str">
        <f>VLOOKUP(C1706,Customers!A:C,2,FALSE)&amp;" "&amp;VLOOKUP(C1706,Customers!A:C,3,FALSE)</f>
        <v>Kari Miller</v>
      </c>
      <c r="J1706" t="str">
        <f>VLOOKUP(D1706,Products!A:C,2,FALSE)</f>
        <v>Difficult Vegetables</v>
      </c>
      <c r="K1706" t="str">
        <f>VLOOKUP(D1706,Products!A:C,3,FALSE)</f>
        <v>Groceries</v>
      </c>
      <c r="L1706" t="str">
        <f>VLOOKUP(E1706,Stores!A:B,2,FALSE)</f>
        <v>MegaMart Johnmouth</v>
      </c>
      <c r="M1706">
        <f>VLOOKUP(D1706,Products!A:E,5,FALSE)</f>
        <v>304.70999999999998</v>
      </c>
      <c r="N1706" s="5">
        <f t="shared" si="26"/>
        <v>1036.0139999999999</v>
      </c>
    </row>
    <row r="1707" spans="1:14" x14ac:dyDescent="0.3">
      <c r="A1707" t="s">
        <v>2563</v>
      </c>
      <c r="B1707" s="2">
        <v>45805</v>
      </c>
      <c r="C1707" t="s">
        <v>375</v>
      </c>
      <c r="D1707" t="s">
        <v>711</v>
      </c>
      <c r="E1707" t="s">
        <v>835</v>
      </c>
      <c r="F1707">
        <v>2</v>
      </c>
      <c r="G1707">
        <v>0.05</v>
      </c>
      <c r="H1707" t="s">
        <v>855</v>
      </c>
      <c r="I1707" t="str">
        <f>VLOOKUP(C1707,Customers!A:C,2,FALSE)&amp;" "&amp;VLOOKUP(C1707,Customers!A:C,3,FALSE)</f>
        <v>Sean Hart</v>
      </c>
      <c r="J1707" t="str">
        <f>VLOOKUP(D1707,Products!A:C,2,FALSE)</f>
        <v>Like Camera</v>
      </c>
      <c r="K1707" t="str">
        <f>VLOOKUP(D1707,Products!A:C,3,FALSE)</f>
        <v>Electronics</v>
      </c>
      <c r="L1707" t="str">
        <f>VLOOKUP(E1707,Stores!A:B,2,FALSE)</f>
        <v>MegaMart Peckmouth</v>
      </c>
      <c r="M1707">
        <f>VLOOKUP(D1707,Products!A:E,5,FALSE)</f>
        <v>1673.69</v>
      </c>
      <c r="N1707" s="5">
        <f t="shared" si="26"/>
        <v>3180.011</v>
      </c>
    </row>
    <row r="1708" spans="1:14" x14ac:dyDescent="0.3">
      <c r="A1708" t="s">
        <v>2564</v>
      </c>
      <c r="B1708" s="2">
        <v>45721</v>
      </c>
      <c r="C1708" t="s">
        <v>415</v>
      </c>
      <c r="D1708" t="s">
        <v>822</v>
      </c>
      <c r="E1708" t="s">
        <v>842</v>
      </c>
      <c r="F1708">
        <v>2</v>
      </c>
      <c r="G1708">
        <v>0.1</v>
      </c>
      <c r="H1708" t="s">
        <v>861</v>
      </c>
      <c r="I1708" t="str">
        <f>VLOOKUP(C1708,Customers!A:C,2,FALSE)&amp;" "&amp;VLOOKUP(C1708,Customers!A:C,3,FALSE)</f>
        <v>Dylan Booker</v>
      </c>
      <c r="J1708" t="str">
        <f>VLOOKUP(D1708,Products!A:C,2,FALSE)</f>
        <v>Nor Bags</v>
      </c>
      <c r="K1708" t="str">
        <f>VLOOKUP(D1708,Products!A:C,3,FALSE)</f>
        <v>Fashion</v>
      </c>
      <c r="L1708" t="str">
        <f>VLOOKUP(E1708,Stores!A:B,2,FALSE)</f>
        <v>MegaMart Brianahaven</v>
      </c>
      <c r="M1708">
        <f>VLOOKUP(D1708,Products!A:E,5,FALSE)</f>
        <v>1216.3599999999999</v>
      </c>
      <c r="N1708" s="5">
        <f t="shared" si="26"/>
        <v>2189.4479999999999</v>
      </c>
    </row>
    <row r="1709" spans="1:14" x14ac:dyDescent="0.3">
      <c r="A1709" t="s">
        <v>2565</v>
      </c>
      <c r="B1709" s="2">
        <v>45846</v>
      </c>
      <c r="C1709" t="s">
        <v>472</v>
      </c>
      <c r="D1709" t="s">
        <v>808</v>
      </c>
      <c r="E1709" t="s">
        <v>842</v>
      </c>
      <c r="F1709">
        <v>3</v>
      </c>
      <c r="G1709">
        <v>0.05</v>
      </c>
      <c r="H1709" t="s">
        <v>865</v>
      </c>
      <c r="I1709" t="str">
        <f>VLOOKUP(C1709,Customers!A:C,2,FALSE)&amp;" "&amp;VLOOKUP(C1709,Customers!A:C,3,FALSE)</f>
        <v>Gary Taylor</v>
      </c>
      <c r="J1709" t="str">
        <f>VLOOKUP(D1709,Products!A:C,2,FALSE)</f>
        <v>Present Television</v>
      </c>
      <c r="K1709" t="str">
        <f>VLOOKUP(D1709,Products!A:C,3,FALSE)</f>
        <v>Electronics</v>
      </c>
      <c r="L1709" t="str">
        <f>VLOOKUP(E1709,Stores!A:B,2,FALSE)</f>
        <v>MegaMart Brianahaven</v>
      </c>
      <c r="M1709">
        <f>VLOOKUP(D1709,Products!A:E,5,FALSE)</f>
        <v>1635.01</v>
      </c>
      <c r="N1709" s="5">
        <f t="shared" si="26"/>
        <v>4659.7784999999994</v>
      </c>
    </row>
    <row r="1710" spans="1:14" x14ac:dyDescent="0.3">
      <c r="A1710" t="s">
        <v>2566</v>
      </c>
      <c r="B1710" s="2">
        <v>45575</v>
      </c>
      <c r="C1710" t="s">
        <v>144</v>
      </c>
      <c r="D1710" t="s">
        <v>755</v>
      </c>
      <c r="E1710" t="s">
        <v>842</v>
      </c>
      <c r="F1710">
        <v>1</v>
      </c>
      <c r="G1710">
        <v>0.15</v>
      </c>
      <c r="H1710" t="s">
        <v>861</v>
      </c>
      <c r="I1710" t="str">
        <f>VLOOKUP(C1710,Customers!A:C,2,FALSE)&amp;" "&amp;VLOOKUP(C1710,Customers!A:C,3,FALSE)</f>
        <v>Miranda Nelson</v>
      </c>
      <c r="J1710" t="str">
        <f>VLOOKUP(D1710,Products!A:C,2,FALSE)</f>
        <v>House Accessories</v>
      </c>
      <c r="K1710" t="str">
        <f>VLOOKUP(D1710,Products!A:C,3,FALSE)</f>
        <v>Fashion</v>
      </c>
      <c r="L1710" t="str">
        <f>VLOOKUP(E1710,Stores!A:B,2,FALSE)</f>
        <v>MegaMart Brianahaven</v>
      </c>
      <c r="M1710">
        <f>VLOOKUP(D1710,Products!A:E,5,FALSE)</f>
        <v>1858.75</v>
      </c>
      <c r="N1710" s="5">
        <f t="shared" si="26"/>
        <v>1579.9375</v>
      </c>
    </row>
    <row r="1711" spans="1:14" x14ac:dyDescent="0.3">
      <c r="A1711" t="s">
        <v>2567</v>
      </c>
      <c r="B1711" s="2">
        <v>45700</v>
      </c>
      <c r="C1711" t="s">
        <v>494</v>
      </c>
      <c r="D1711" t="s">
        <v>776</v>
      </c>
      <c r="E1711" t="s">
        <v>839</v>
      </c>
      <c r="F1711">
        <v>5</v>
      </c>
      <c r="G1711">
        <v>0.15</v>
      </c>
      <c r="H1711" t="s">
        <v>858</v>
      </c>
      <c r="I1711" t="str">
        <f>VLOOKUP(C1711,Customers!A:C,2,FALSE)&amp;" "&amp;VLOOKUP(C1711,Customers!A:C,3,FALSE)</f>
        <v>Mario Cuevas</v>
      </c>
      <c r="J1711" t="str">
        <f>VLOOKUP(D1711,Products!A:C,2,FALSE)</f>
        <v>Little Watches</v>
      </c>
      <c r="K1711" t="str">
        <f>VLOOKUP(D1711,Products!A:C,3,FALSE)</f>
        <v>Fashion</v>
      </c>
      <c r="L1711" t="str">
        <f>VLOOKUP(E1711,Stores!A:B,2,FALSE)</f>
        <v>MegaMart New Michele</v>
      </c>
      <c r="M1711">
        <f>VLOOKUP(D1711,Products!A:E,5,FALSE)</f>
        <v>429.15</v>
      </c>
      <c r="N1711" s="5">
        <f t="shared" si="26"/>
        <v>1823.8875</v>
      </c>
    </row>
    <row r="1712" spans="1:14" x14ac:dyDescent="0.3">
      <c r="A1712" t="s">
        <v>2568</v>
      </c>
      <c r="B1712" s="2">
        <v>45186</v>
      </c>
      <c r="C1712" t="s">
        <v>442</v>
      </c>
      <c r="D1712" t="s">
        <v>782</v>
      </c>
      <c r="E1712" t="s">
        <v>846</v>
      </c>
      <c r="F1712">
        <v>1</v>
      </c>
      <c r="G1712">
        <v>0</v>
      </c>
      <c r="H1712" t="s">
        <v>855</v>
      </c>
      <c r="I1712" t="str">
        <f>VLOOKUP(C1712,Customers!A:C,2,FALSE)&amp;" "&amp;VLOOKUP(C1712,Customers!A:C,3,FALSE)</f>
        <v>Jason Lloyd</v>
      </c>
      <c r="J1712" t="str">
        <f>VLOOKUP(D1712,Products!A:C,2,FALSE)</f>
        <v>Deal Smartphone</v>
      </c>
      <c r="K1712" t="str">
        <f>VLOOKUP(D1712,Products!A:C,3,FALSE)</f>
        <v>Electronics</v>
      </c>
      <c r="L1712" t="str">
        <f>VLOOKUP(E1712,Stores!A:B,2,FALSE)</f>
        <v>MegaMart Johnmouth</v>
      </c>
      <c r="M1712">
        <f>VLOOKUP(D1712,Products!A:E,5,FALSE)</f>
        <v>673.78</v>
      </c>
      <c r="N1712" s="5">
        <f t="shared" si="26"/>
        <v>673.78</v>
      </c>
    </row>
    <row r="1713" spans="1:14" x14ac:dyDescent="0.3">
      <c r="A1713" t="s">
        <v>2569</v>
      </c>
      <c r="B1713" s="2">
        <v>45611</v>
      </c>
      <c r="C1713" t="s">
        <v>593</v>
      </c>
      <c r="D1713" t="s">
        <v>728</v>
      </c>
      <c r="E1713" t="s">
        <v>842</v>
      </c>
      <c r="F1713">
        <v>3</v>
      </c>
      <c r="G1713">
        <v>0.1</v>
      </c>
      <c r="H1713" t="s">
        <v>858</v>
      </c>
      <c r="I1713" t="str">
        <f>VLOOKUP(C1713,Customers!A:C,2,FALSE)&amp;" "&amp;VLOOKUP(C1713,Customers!A:C,3,FALSE)</f>
        <v>Meagan Ali</v>
      </c>
      <c r="J1713" t="str">
        <f>VLOOKUP(D1713,Products!A:C,2,FALSE)</f>
        <v>Company Fruits</v>
      </c>
      <c r="K1713" t="str">
        <f>VLOOKUP(D1713,Products!A:C,3,FALSE)</f>
        <v>Groceries</v>
      </c>
      <c r="L1713" t="str">
        <f>VLOOKUP(E1713,Stores!A:B,2,FALSE)</f>
        <v>MegaMart Brianahaven</v>
      </c>
      <c r="M1713">
        <f>VLOOKUP(D1713,Products!A:E,5,FALSE)</f>
        <v>318.05</v>
      </c>
      <c r="N1713" s="5">
        <f t="shared" si="26"/>
        <v>858.73500000000013</v>
      </c>
    </row>
    <row r="1714" spans="1:14" x14ac:dyDescent="0.3">
      <c r="A1714" t="s">
        <v>2570</v>
      </c>
      <c r="B1714" s="2">
        <v>45569</v>
      </c>
      <c r="C1714" t="s">
        <v>563</v>
      </c>
      <c r="D1714" t="s">
        <v>780</v>
      </c>
      <c r="E1714" t="s">
        <v>835</v>
      </c>
      <c r="F1714">
        <v>4</v>
      </c>
      <c r="G1714">
        <v>0.05</v>
      </c>
      <c r="H1714" t="s">
        <v>861</v>
      </c>
      <c r="I1714" t="str">
        <f>VLOOKUP(C1714,Customers!A:C,2,FALSE)&amp;" "&amp;VLOOKUP(C1714,Customers!A:C,3,FALSE)</f>
        <v>Connie Terry</v>
      </c>
      <c r="J1714" t="str">
        <f>VLOOKUP(D1714,Products!A:C,2,FALSE)</f>
        <v>Hospital Smartphone</v>
      </c>
      <c r="K1714" t="str">
        <f>VLOOKUP(D1714,Products!A:C,3,FALSE)</f>
        <v>Electronics</v>
      </c>
      <c r="L1714" t="str">
        <f>VLOOKUP(E1714,Stores!A:B,2,FALSE)</f>
        <v>MegaMart Peckmouth</v>
      </c>
      <c r="M1714">
        <f>VLOOKUP(D1714,Products!A:E,5,FALSE)</f>
        <v>1272.23</v>
      </c>
      <c r="N1714" s="5">
        <f t="shared" si="26"/>
        <v>4834.4740000000002</v>
      </c>
    </row>
    <row r="1715" spans="1:14" x14ac:dyDescent="0.3">
      <c r="A1715" t="s">
        <v>2571</v>
      </c>
      <c r="B1715" s="2">
        <v>45210</v>
      </c>
      <c r="C1715" t="s">
        <v>570</v>
      </c>
      <c r="D1715" t="s">
        <v>734</v>
      </c>
      <c r="E1715" t="s">
        <v>842</v>
      </c>
      <c r="F1715">
        <v>4</v>
      </c>
      <c r="G1715">
        <v>0.15</v>
      </c>
      <c r="H1715" t="s">
        <v>861</v>
      </c>
      <c r="I1715" t="str">
        <f>VLOOKUP(C1715,Customers!A:C,2,FALSE)&amp;" "&amp;VLOOKUP(C1715,Customers!A:C,3,FALSE)</f>
        <v>Thomas Chung</v>
      </c>
      <c r="J1715" t="str">
        <f>VLOOKUP(D1715,Products!A:C,2,FALSE)</f>
        <v>Recognize Footwear</v>
      </c>
      <c r="K1715" t="str">
        <f>VLOOKUP(D1715,Products!A:C,3,FALSE)</f>
        <v>Fashion</v>
      </c>
      <c r="L1715" t="str">
        <f>VLOOKUP(E1715,Stores!A:B,2,FALSE)</f>
        <v>MegaMart Brianahaven</v>
      </c>
      <c r="M1715">
        <f>VLOOKUP(D1715,Products!A:E,5,FALSE)</f>
        <v>109.78</v>
      </c>
      <c r="N1715" s="5">
        <f t="shared" si="26"/>
        <v>373.25200000000001</v>
      </c>
    </row>
    <row r="1716" spans="1:14" x14ac:dyDescent="0.3">
      <c r="A1716" t="s">
        <v>2572</v>
      </c>
      <c r="B1716" s="2">
        <v>45878</v>
      </c>
      <c r="C1716" t="s">
        <v>633</v>
      </c>
      <c r="D1716" t="s">
        <v>772</v>
      </c>
      <c r="E1716" t="s">
        <v>846</v>
      </c>
      <c r="F1716">
        <v>1</v>
      </c>
      <c r="G1716">
        <v>0.15</v>
      </c>
      <c r="H1716" t="s">
        <v>865</v>
      </c>
      <c r="I1716" t="str">
        <f>VLOOKUP(C1716,Customers!A:C,2,FALSE)&amp;" "&amp;VLOOKUP(C1716,Customers!A:C,3,FALSE)</f>
        <v>Dennis Wallace</v>
      </c>
      <c r="J1716" t="str">
        <f>VLOOKUP(D1716,Products!A:C,2,FALSE)</f>
        <v>And Footwear</v>
      </c>
      <c r="K1716" t="str">
        <f>VLOOKUP(D1716,Products!A:C,3,FALSE)</f>
        <v>Fashion</v>
      </c>
      <c r="L1716" t="str">
        <f>VLOOKUP(E1716,Stores!A:B,2,FALSE)</f>
        <v>MegaMart Johnmouth</v>
      </c>
      <c r="M1716">
        <f>VLOOKUP(D1716,Products!A:E,5,FALSE)</f>
        <v>1878.47</v>
      </c>
      <c r="N1716" s="5">
        <f t="shared" si="26"/>
        <v>1596.6994999999999</v>
      </c>
    </row>
    <row r="1717" spans="1:14" x14ac:dyDescent="0.3">
      <c r="A1717" t="s">
        <v>2573</v>
      </c>
      <c r="B1717" s="2">
        <v>45477</v>
      </c>
      <c r="C1717" t="s">
        <v>238</v>
      </c>
      <c r="D1717" t="s">
        <v>736</v>
      </c>
      <c r="E1717" t="s">
        <v>835</v>
      </c>
      <c r="F1717">
        <v>3</v>
      </c>
      <c r="G1717">
        <v>0.1</v>
      </c>
      <c r="H1717" t="s">
        <v>865</v>
      </c>
      <c r="I1717" t="str">
        <f>VLOOKUP(C1717,Customers!A:C,2,FALSE)&amp;" "&amp;VLOOKUP(C1717,Customers!A:C,3,FALSE)</f>
        <v>Susan Salinas</v>
      </c>
      <c r="J1717" t="str">
        <f>VLOOKUP(D1717,Products!A:C,2,FALSE)</f>
        <v>Us Snacks</v>
      </c>
      <c r="K1717" t="str">
        <f>VLOOKUP(D1717,Products!A:C,3,FALSE)</f>
        <v>Groceries</v>
      </c>
      <c r="L1717" t="str">
        <f>VLOOKUP(E1717,Stores!A:B,2,FALSE)</f>
        <v>MegaMart Peckmouth</v>
      </c>
      <c r="M1717">
        <f>VLOOKUP(D1717,Products!A:E,5,FALSE)</f>
        <v>123.19</v>
      </c>
      <c r="N1717" s="5">
        <f t="shared" si="26"/>
        <v>332.613</v>
      </c>
    </row>
    <row r="1718" spans="1:14" x14ac:dyDescent="0.3">
      <c r="A1718" t="s">
        <v>2574</v>
      </c>
      <c r="B1718" s="2">
        <v>45310</v>
      </c>
      <c r="C1718" t="s">
        <v>633</v>
      </c>
      <c r="D1718" t="s">
        <v>718</v>
      </c>
      <c r="E1718" t="s">
        <v>835</v>
      </c>
      <c r="F1718">
        <v>4</v>
      </c>
      <c r="G1718">
        <v>0.15</v>
      </c>
      <c r="H1718" t="s">
        <v>865</v>
      </c>
      <c r="I1718" t="str">
        <f>VLOOKUP(C1718,Customers!A:C,2,FALSE)&amp;" "&amp;VLOOKUP(C1718,Customers!A:C,3,FALSE)</f>
        <v>Dennis Wallace</v>
      </c>
      <c r="J1718" t="str">
        <f>VLOOKUP(D1718,Products!A:C,2,FALSE)</f>
        <v>Here Footwear</v>
      </c>
      <c r="K1718" t="str">
        <f>VLOOKUP(D1718,Products!A:C,3,FALSE)</f>
        <v>Fashion</v>
      </c>
      <c r="L1718" t="str">
        <f>VLOOKUP(E1718,Stores!A:B,2,FALSE)</f>
        <v>MegaMart Peckmouth</v>
      </c>
      <c r="M1718">
        <f>VLOOKUP(D1718,Products!A:E,5,FALSE)</f>
        <v>337.63</v>
      </c>
      <c r="N1718" s="5">
        <f t="shared" si="26"/>
        <v>1147.942</v>
      </c>
    </row>
    <row r="1719" spans="1:14" x14ac:dyDescent="0.3">
      <c r="A1719" t="s">
        <v>2575</v>
      </c>
      <c r="B1719" s="2">
        <v>45189</v>
      </c>
      <c r="C1719" t="s">
        <v>358</v>
      </c>
      <c r="D1719" t="s">
        <v>826</v>
      </c>
      <c r="E1719" t="s">
        <v>831</v>
      </c>
      <c r="F1719">
        <v>1</v>
      </c>
      <c r="G1719">
        <v>0.1</v>
      </c>
      <c r="H1719" t="s">
        <v>858</v>
      </c>
      <c r="I1719" t="str">
        <f>VLOOKUP(C1719,Customers!A:C,2,FALSE)&amp;" "&amp;VLOOKUP(C1719,Customers!A:C,3,FALSE)</f>
        <v>Kevin Snyder</v>
      </c>
      <c r="J1719" t="str">
        <f>VLOOKUP(D1719,Products!A:C,2,FALSE)</f>
        <v>Maybe Footwear</v>
      </c>
      <c r="K1719" t="str">
        <f>VLOOKUP(D1719,Products!A:C,3,FALSE)</f>
        <v>Fashion</v>
      </c>
      <c r="L1719" t="str">
        <f>VLOOKUP(E1719,Stores!A:B,2,FALSE)</f>
        <v>MegaMart Jimenezborough</v>
      </c>
      <c r="M1719">
        <f>VLOOKUP(D1719,Products!A:E,5,FALSE)</f>
        <v>1044.6400000000001</v>
      </c>
      <c r="N1719" s="5">
        <f t="shared" si="26"/>
        <v>940.17600000000016</v>
      </c>
    </row>
    <row r="1720" spans="1:14" x14ac:dyDescent="0.3">
      <c r="A1720" t="s">
        <v>2576</v>
      </c>
      <c r="B1720" s="2">
        <v>45555</v>
      </c>
      <c r="C1720" t="s">
        <v>432</v>
      </c>
      <c r="D1720" t="s">
        <v>769</v>
      </c>
      <c r="E1720" t="s">
        <v>835</v>
      </c>
      <c r="F1720">
        <v>3</v>
      </c>
      <c r="G1720">
        <v>0.05</v>
      </c>
      <c r="H1720" t="s">
        <v>865</v>
      </c>
      <c r="I1720" t="str">
        <f>VLOOKUP(C1720,Customers!A:C,2,FALSE)&amp;" "&amp;VLOOKUP(C1720,Customers!A:C,3,FALSE)</f>
        <v>Jamie Webb</v>
      </c>
      <c r="J1720" t="str">
        <f>VLOOKUP(D1720,Products!A:C,2,FALSE)</f>
        <v>How Vegetables</v>
      </c>
      <c r="K1720" t="str">
        <f>VLOOKUP(D1720,Products!A:C,3,FALSE)</f>
        <v>Groceries</v>
      </c>
      <c r="L1720" t="str">
        <f>VLOOKUP(E1720,Stores!A:B,2,FALSE)</f>
        <v>MegaMart Peckmouth</v>
      </c>
      <c r="M1720">
        <f>VLOOKUP(D1720,Products!A:E,5,FALSE)</f>
        <v>25.57</v>
      </c>
      <c r="N1720" s="5">
        <f t="shared" si="26"/>
        <v>72.874499999999998</v>
      </c>
    </row>
    <row r="1721" spans="1:14" x14ac:dyDescent="0.3">
      <c r="A1721" t="s">
        <v>2577</v>
      </c>
      <c r="B1721" s="2">
        <v>45893</v>
      </c>
      <c r="C1721" t="s">
        <v>442</v>
      </c>
      <c r="D1721" t="s">
        <v>800</v>
      </c>
      <c r="E1721" t="s">
        <v>831</v>
      </c>
      <c r="F1721">
        <v>1</v>
      </c>
      <c r="G1721">
        <v>0.15</v>
      </c>
      <c r="H1721" t="s">
        <v>858</v>
      </c>
      <c r="I1721" t="str">
        <f>VLOOKUP(C1721,Customers!A:C,2,FALSE)&amp;" "&amp;VLOOKUP(C1721,Customers!A:C,3,FALSE)</f>
        <v>Jason Lloyd</v>
      </c>
      <c r="J1721" t="str">
        <f>VLOOKUP(D1721,Products!A:C,2,FALSE)</f>
        <v>Book Television</v>
      </c>
      <c r="K1721" t="str">
        <f>VLOOKUP(D1721,Products!A:C,3,FALSE)</f>
        <v>Electronics</v>
      </c>
      <c r="L1721" t="str">
        <f>VLOOKUP(E1721,Stores!A:B,2,FALSE)</f>
        <v>MegaMart Jimenezborough</v>
      </c>
      <c r="M1721">
        <f>VLOOKUP(D1721,Products!A:E,5,FALSE)</f>
        <v>1952.65</v>
      </c>
      <c r="N1721" s="5">
        <f t="shared" si="26"/>
        <v>1659.7525000000001</v>
      </c>
    </row>
    <row r="1722" spans="1:14" x14ac:dyDescent="0.3">
      <c r="A1722" t="s">
        <v>2578</v>
      </c>
      <c r="B1722" s="2">
        <v>45337</v>
      </c>
      <c r="C1722" t="s">
        <v>331</v>
      </c>
      <c r="D1722" t="s">
        <v>810</v>
      </c>
      <c r="E1722" t="s">
        <v>842</v>
      </c>
      <c r="F1722">
        <v>2</v>
      </c>
      <c r="G1722">
        <v>0.15</v>
      </c>
      <c r="H1722" t="s">
        <v>865</v>
      </c>
      <c r="I1722" t="str">
        <f>VLOOKUP(C1722,Customers!A:C,2,FALSE)&amp;" "&amp;VLOOKUP(C1722,Customers!A:C,3,FALSE)</f>
        <v>Brenda Costa</v>
      </c>
      <c r="J1722" t="str">
        <f>VLOOKUP(D1722,Products!A:C,2,FALSE)</f>
        <v>Maybe Clothing</v>
      </c>
      <c r="K1722" t="str">
        <f>VLOOKUP(D1722,Products!A:C,3,FALSE)</f>
        <v>Fashion</v>
      </c>
      <c r="L1722" t="str">
        <f>VLOOKUP(E1722,Stores!A:B,2,FALSE)</f>
        <v>MegaMart Brianahaven</v>
      </c>
      <c r="M1722">
        <f>VLOOKUP(D1722,Products!A:E,5,FALSE)</f>
        <v>453.62</v>
      </c>
      <c r="N1722" s="5">
        <f t="shared" si="26"/>
        <v>771.154</v>
      </c>
    </row>
    <row r="1723" spans="1:14" x14ac:dyDescent="0.3">
      <c r="A1723" t="s">
        <v>2579</v>
      </c>
      <c r="B1723" s="2">
        <v>45562</v>
      </c>
      <c r="C1723" t="s">
        <v>15</v>
      </c>
      <c r="D1723" t="s">
        <v>816</v>
      </c>
      <c r="E1723" t="s">
        <v>839</v>
      </c>
      <c r="F1723">
        <v>1</v>
      </c>
      <c r="G1723">
        <v>0.05</v>
      </c>
      <c r="H1723" t="s">
        <v>855</v>
      </c>
      <c r="I1723" t="str">
        <f>VLOOKUP(C1723,Customers!A:C,2,FALSE)&amp;" "&amp;VLOOKUP(C1723,Customers!A:C,3,FALSE)</f>
        <v>Carol Hays</v>
      </c>
      <c r="J1723" t="str">
        <f>VLOOKUP(D1723,Products!A:C,2,FALSE)</f>
        <v>Set Dairy</v>
      </c>
      <c r="K1723" t="str">
        <f>VLOOKUP(D1723,Products!A:C,3,FALSE)</f>
        <v>Groceries</v>
      </c>
      <c r="L1723" t="str">
        <f>VLOOKUP(E1723,Stores!A:B,2,FALSE)</f>
        <v>MegaMart New Michele</v>
      </c>
      <c r="M1723">
        <f>VLOOKUP(D1723,Products!A:E,5,FALSE)</f>
        <v>1879.08</v>
      </c>
      <c r="N1723" s="5">
        <f t="shared" si="26"/>
        <v>1785.1259999999997</v>
      </c>
    </row>
    <row r="1724" spans="1:14" x14ac:dyDescent="0.3">
      <c r="A1724" t="s">
        <v>2580</v>
      </c>
      <c r="B1724" s="2">
        <v>45438</v>
      </c>
      <c r="C1724" t="s">
        <v>612</v>
      </c>
      <c r="D1724" t="s">
        <v>776</v>
      </c>
      <c r="E1724" t="s">
        <v>842</v>
      </c>
      <c r="F1724">
        <v>4</v>
      </c>
      <c r="G1724">
        <v>0.15</v>
      </c>
      <c r="H1724" t="s">
        <v>865</v>
      </c>
      <c r="I1724" t="str">
        <f>VLOOKUP(C1724,Customers!A:C,2,FALSE)&amp;" "&amp;VLOOKUP(C1724,Customers!A:C,3,FALSE)</f>
        <v>Michelle Smith</v>
      </c>
      <c r="J1724" t="str">
        <f>VLOOKUP(D1724,Products!A:C,2,FALSE)</f>
        <v>Little Watches</v>
      </c>
      <c r="K1724" t="str">
        <f>VLOOKUP(D1724,Products!A:C,3,FALSE)</f>
        <v>Fashion</v>
      </c>
      <c r="L1724" t="str">
        <f>VLOOKUP(E1724,Stores!A:B,2,FALSE)</f>
        <v>MegaMart Brianahaven</v>
      </c>
      <c r="M1724">
        <f>VLOOKUP(D1724,Products!A:E,5,FALSE)</f>
        <v>429.15</v>
      </c>
      <c r="N1724" s="5">
        <f t="shared" si="26"/>
        <v>1459.11</v>
      </c>
    </row>
    <row r="1725" spans="1:14" x14ac:dyDescent="0.3">
      <c r="A1725" t="s">
        <v>2581</v>
      </c>
      <c r="B1725" s="2">
        <v>45879</v>
      </c>
      <c r="C1725" t="s">
        <v>89</v>
      </c>
      <c r="D1725" t="s">
        <v>747</v>
      </c>
      <c r="E1725" t="s">
        <v>846</v>
      </c>
      <c r="F1725">
        <v>2</v>
      </c>
      <c r="G1725">
        <v>0.15</v>
      </c>
      <c r="H1725" t="s">
        <v>861</v>
      </c>
      <c r="I1725" t="str">
        <f>VLOOKUP(C1725,Customers!A:C,2,FALSE)&amp;" "&amp;VLOOKUP(C1725,Customers!A:C,3,FALSE)</f>
        <v>Megan Velasquez</v>
      </c>
      <c r="J1725" t="str">
        <f>VLOOKUP(D1725,Products!A:C,2,FALSE)</f>
        <v>World Watches</v>
      </c>
      <c r="K1725" t="str">
        <f>VLOOKUP(D1725,Products!A:C,3,FALSE)</f>
        <v>Fashion</v>
      </c>
      <c r="L1725" t="str">
        <f>VLOOKUP(E1725,Stores!A:B,2,FALSE)</f>
        <v>MegaMart Johnmouth</v>
      </c>
      <c r="M1725">
        <f>VLOOKUP(D1725,Products!A:E,5,FALSE)</f>
        <v>1134.8</v>
      </c>
      <c r="N1725" s="5">
        <f t="shared" si="26"/>
        <v>1929.1599999999999</v>
      </c>
    </row>
    <row r="1726" spans="1:14" x14ac:dyDescent="0.3">
      <c r="A1726" t="s">
        <v>2582</v>
      </c>
      <c r="B1726" s="2">
        <v>45469</v>
      </c>
      <c r="C1726" t="s">
        <v>449</v>
      </c>
      <c r="D1726" t="s">
        <v>753</v>
      </c>
      <c r="E1726" t="s">
        <v>839</v>
      </c>
      <c r="F1726">
        <v>2</v>
      </c>
      <c r="G1726">
        <v>0.05</v>
      </c>
      <c r="H1726" t="s">
        <v>865</v>
      </c>
      <c r="I1726" t="str">
        <f>VLOOKUP(C1726,Customers!A:C,2,FALSE)&amp;" "&amp;VLOOKUP(C1726,Customers!A:C,3,FALSE)</f>
        <v>John Bell</v>
      </c>
      <c r="J1726" t="str">
        <f>VLOOKUP(D1726,Products!A:C,2,FALSE)</f>
        <v>Whether Bags</v>
      </c>
      <c r="K1726" t="str">
        <f>VLOOKUP(D1726,Products!A:C,3,FALSE)</f>
        <v>Fashion</v>
      </c>
      <c r="L1726" t="str">
        <f>VLOOKUP(E1726,Stores!A:B,2,FALSE)</f>
        <v>MegaMart New Michele</v>
      </c>
      <c r="M1726">
        <f>VLOOKUP(D1726,Products!A:E,5,FALSE)</f>
        <v>270.45</v>
      </c>
      <c r="N1726" s="5">
        <f t="shared" si="26"/>
        <v>513.8549999999999</v>
      </c>
    </row>
    <row r="1727" spans="1:14" x14ac:dyDescent="0.3">
      <c r="A1727" t="s">
        <v>2583</v>
      </c>
      <c r="B1727" s="2">
        <v>45182</v>
      </c>
      <c r="C1727" t="s">
        <v>560</v>
      </c>
      <c r="D1727" t="s">
        <v>806</v>
      </c>
      <c r="E1727" t="s">
        <v>831</v>
      </c>
      <c r="F1727">
        <v>2</v>
      </c>
      <c r="G1727">
        <v>0.1</v>
      </c>
      <c r="H1727" t="s">
        <v>865</v>
      </c>
      <c r="I1727" t="str">
        <f>VLOOKUP(C1727,Customers!A:C,2,FALSE)&amp;" "&amp;VLOOKUP(C1727,Customers!A:C,3,FALSE)</f>
        <v>George Young</v>
      </c>
      <c r="J1727" t="str">
        <f>VLOOKUP(D1727,Products!A:C,2,FALSE)</f>
        <v>Piece Headphones</v>
      </c>
      <c r="K1727" t="str">
        <f>VLOOKUP(D1727,Products!A:C,3,FALSE)</f>
        <v>Electronics</v>
      </c>
      <c r="L1727" t="str">
        <f>VLOOKUP(E1727,Stores!A:B,2,FALSE)</f>
        <v>MegaMart Jimenezborough</v>
      </c>
      <c r="M1727">
        <f>VLOOKUP(D1727,Products!A:E,5,FALSE)</f>
        <v>1745.61</v>
      </c>
      <c r="N1727" s="5">
        <f t="shared" si="26"/>
        <v>3142.098</v>
      </c>
    </row>
    <row r="1728" spans="1:14" x14ac:dyDescent="0.3">
      <c r="A1728" t="s">
        <v>2584</v>
      </c>
      <c r="B1728" s="2">
        <v>45795</v>
      </c>
      <c r="C1728" t="s">
        <v>500</v>
      </c>
      <c r="D1728" t="s">
        <v>798</v>
      </c>
      <c r="E1728" t="s">
        <v>842</v>
      </c>
      <c r="F1728">
        <v>2</v>
      </c>
      <c r="G1728">
        <v>0</v>
      </c>
      <c r="H1728" t="s">
        <v>865</v>
      </c>
      <c r="I1728" t="str">
        <f>VLOOKUP(C1728,Customers!A:C,2,FALSE)&amp;" "&amp;VLOOKUP(C1728,Customers!A:C,3,FALSE)</f>
        <v>Gary Lopez</v>
      </c>
      <c r="J1728" t="str">
        <f>VLOOKUP(D1728,Products!A:C,2,FALSE)</f>
        <v>New Watches</v>
      </c>
      <c r="K1728" t="str">
        <f>VLOOKUP(D1728,Products!A:C,3,FALSE)</f>
        <v>Fashion</v>
      </c>
      <c r="L1728" t="str">
        <f>VLOOKUP(E1728,Stores!A:B,2,FALSE)</f>
        <v>MegaMart Brianahaven</v>
      </c>
      <c r="M1728">
        <f>VLOOKUP(D1728,Products!A:E,5,FALSE)</f>
        <v>1501.46</v>
      </c>
      <c r="N1728" s="5">
        <f t="shared" si="26"/>
        <v>3002.92</v>
      </c>
    </row>
    <row r="1729" spans="1:14" x14ac:dyDescent="0.3">
      <c r="A1729" t="s">
        <v>2585</v>
      </c>
      <c r="B1729" s="2">
        <v>45431</v>
      </c>
      <c r="C1729" t="s">
        <v>618</v>
      </c>
      <c r="D1729" t="s">
        <v>759</v>
      </c>
      <c r="E1729" t="s">
        <v>839</v>
      </c>
      <c r="F1729">
        <v>2</v>
      </c>
      <c r="G1729">
        <v>0.15</v>
      </c>
      <c r="H1729" t="s">
        <v>855</v>
      </c>
      <c r="I1729" t="str">
        <f>VLOOKUP(C1729,Customers!A:C,2,FALSE)&amp;" "&amp;VLOOKUP(C1729,Customers!A:C,3,FALSE)</f>
        <v>Scott Howell</v>
      </c>
      <c r="J1729" t="str">
        <f>VLOOKUP(D1729,Products!A:C,2,FALSE)</f>
        <v>Democratic Smartphone</v>
      </c>
      <c r="K1729" t="str">
        <f>VLOOKUP(D1729,Products!A:C,3,FALSE)</f>
        <v>Electronics</v>
      </c>
      <c r="L1729" t="str">
        <f>VLOOKUP(E1729,Stores!A:B,2,FALSE)</f>
        <v>MegaMart New Michele</v>
      </c>
      <c r="M1729">
        <f>VLOOKUP(D1729,Products!A:E,5,FALSE)</f>
        <v>1079.8900000000001</v>
      </c>
      <c r="N1729" s="5">
        <f t="shared" si="26"/>
        <v>1835.8130000000001</v>
      </c>
    </row>
    <row r="1730" spans="1:14" x14ac:dyDescent="0.3">
      <c r="A1730" t="s">
        <v>2586</v>
      </c>
      <c r="B1730" s="2">
        <v>45893</v>
      </c>
      <c r="C1730" t="s">
        <v>179</v>
      </c>
      <c r="D1730" t="s">
        <v>792</v>
      </c>
      <c r="E1730" t="s">
        <v>835</v>
      </c>
      <c r="F1730">
        <v>1</v>
      </c>
      <c r="G1730">
        <v>0.05</v>
      </c>
      <c r="H1730" t="s">
        <v>858</v>
      </c>
      <c r="I1730" t="str">
        <f>VLOOKUP(C1730,Customers!A:C,2,FALSE)&amp;" "&amp;VLOOKUP(C1730,Customers!A:C,3,FALSE)</f>
        <v>Dennis Poole</v>
      </c>
      <c r="J1730" t="str">
        <f>VLOOKUP(D1730,Products!A:C,2,FALSE)</f>
        <v>Beat Accessories</v>
      </c>
      <c r="K1730" t="str">
        <f>VLOOKUP(D1730,Products!A:C,3,FALSE)</f>
        <v>Fashion</v>
      </c>
      <c r="L1730" t="str">
        <f>VLOOKUP(E1730,Stores!A:B,2,FALSE)</f>
        <v>MegaMart Peckmouth</v>
      </c>
      <c r="M1730">
        <f>VLOOKUP(D1730,Products!A:E,5,FALSE)</f>
        <v>1798.97</v>
      </c>
      <c r="N1730" s="5">
        <f t="shared" si="26"/>
        <v>1709.0214999999998</v>
      </c>
    </row>
    <row r="1731" spans="1:14" x14ac:dyDescent="0.3">
      <c r="A1731" t="s">
        <v>2587</v>
      </c>
      <c r="B1731" s="2">
        <v>45891</v>
      </c>
      <c r="C1731" t="s">
        <v>633</v>
      </c>
      <c r="D1731" t="s">
        <v>715</v>
      </c>
      <c r="E1731" t="s">
        <v>831</v>
      </c>
      <c r="F1731">
        <v>5</v>
      </c>
      <c r="G1731">
        <v>0</v>
      </c>
      <c r="H1731" t="s">
        <v>858</v>
      </c>
      <c r="I1731" t="str">
        <f>VLOOKUP(C1731,Customers!A:C,2,FALSE)&amp;" "&amp;VLOOKUP(C1731,Customers!A:C,3,FALSE)</f>
        <v>Dennis Wallace</v>
      </c>
      <c r="J1731" t="str">
        <f>VLOOKUP(D1731,Products!A:C,2,FALSE)</f>
        <v>Audience Television</v>
      </c>
      <c r="K1731" t="str">
        <f>VLOOKUP(D1731,Products!A:C,3,FALSE)</f>
        <v>Electronics</v>
      </c>
      <c r="L1731" t="str">
        <f>VLOOKUP(E1731,Stores!A:B,2,FALSE)</f>
        <v>MegaMart Jimenezborough</v>
      </c>
      <c r="M1731">
        <f>VLOOKUP(D1731,Products!A:E,5,FALSE)</f>
        <v>818.76</v>
      </c>
      <c r="N1731" s="5">
        <f t="shared" ref="N1731:N1794" si="27">F1731*M1731*(1-G1731)</f>
        <v>4093.8</v>
      </c>
    </row>
    <row r="1732" spans="1:14" x14ac:dyDescent="0.3">
      <c r="A1732" t="s">
        <v>2588</v>
      </c>
      <c r="B1732" s="2">
        <v>45816</v>
      </c>
      <c r="C1732" t="s">
        <v>627</v>
      </c>
      <c r="D1732" t="s">
        <v>742</v>
      </c>
      <c r="E1732" t="s">
        <v>839</v>
      </c>
      <c r="F1732">
        <v>4</v>
      </c>
      <c r="G1732">
        <v>0</v>
      </c>
      <c r="H1732" t="s">
        <v>865</v>
      </c>
      <c r="I1732" t="str">
        <f>VLOOKUP(C1732,Customers!A:C,2,FALSE)&amp;" "&amp;VLOOKUP(C1732,Customers!A:C,3,FALSE)</f>
        <v>Anthony Gould</v>
      </c>
      <c r="J1732" t="str">
        <f>VLOOKUP(D1732,Products!A:C,2,FALSE)</f>
        <v>Either Headphones</v>
      </c>
      <c r="K1732" t="str">
        <f>VLOOKUP(D1732,Products!A:C,3,FALSE)</f>
        <v>Electronics</v>
      </c>
      <c r="L1732" t="str">
        <f>VLOOKUP(E1732,Stores!A:B,2,FALSE)</f>
        <v>MegaMart New Michele</v>
      </c>
      <c r="M1732">
        <f>VLOOKUP(D1732,Products!A:E,5,FALSE)</f>
        <v>248.57</v>
      </c>
      <c r="N1732" s="5">
        <f t="shared" si="27"/>
        <v>994.28</v>
      </c>
    </row>
    <row r="1733" spans="1:14" x14ac:dyDescent="0.3">
      <c r="A1733" t="s">
        <v>2589</v>
      </c>
      <c r="B1733" s="2">
        <v>45654</v>
      </c>
      <c r="C1733" t="s">
        <v>55</v>
      </c>
      <c r="D1733" t="s">
        <v>794</v>
      </c>
      <c r="E1733" t="s">
        <v>842</v>
      </c>
      <c r="F1733">
        <v>2</v>
      </c>
      <c r="G1733">
        <v>0.05</v>
      </c>
      <c r="H1733" t="s">
        <v>855</v>
      </c>
      <c r="I1733" t="str">
        <f>VLOOKUP(C1733,Customers!A:C,2,FALSE)&amp;" "&amp;VLOOKUP(C1733,Customers!A:C,3,FALSE)</f>
        <v>Robert Anderson</v>
      </c>
      <c r="J1733" t="str">
        <f>VLOOKUP(D1733,Products!A:C,2,FALSE)</f>
        <v>Everything Laptop</v>
      </c>
      <c r="K1733" t="str">
        <f>VLOOKUP(D1733,Products!A:C,3,FALSE)</f>
        <v>Electronics</v>
      </c>
      <c r="L1733" t="str">
        <f>VLOOKUP(E1733,Stores!A:B,2,FALSE)</f>
        <v>MegaMart Brianahaven</v>
      </c>
      <c r="M1733">
        <f>VLOOKUP(D1733,Products!A:E,5,FALSE)</f>
        <v>428.05</v>
      </c>
      <c r="N1733" s="5">
        <f t="shared" si="27"/>
        <v>813.29499999999996</v>
      </c>
    </row>
    <row r="1734" spans="1:14" x14ac:dyDescent="0.3">
      <c r="A1734" t="s">
        <v>2590</v>
      </c>
      <c r="B1734" s="2">
        <v>45550</v>
      </c>
      <c r="C1734" t="s">
        <v>238</v>
      </c>
      <c r="D1734" t="s">
        <v>818</v>
      </c>
      <c r="E1734" t="s">
        <v>835</v>
      </c>
      <c r="F1734">
        <v>1</v>
      </c>
      <c r="G1734">
        <v>0</v>
      </c>
      <c r="H1734" t="s">
        <v>858</v>
      </c>
      <c r="I1734" t="str">
        <f>VLOOKUP(C1734,Customers!A:C,2,FALSE)&amp;" "&amp;VLOOKUP(C1734,Customers!A:C,3,FALSE)</f>
        <v>Susan Salinas</v>
      </c>
      <c r="J1734" t="str">
        <f>VLOOKUP(D1734,Products!A:C,2,FALSE)</f>
        <v>Nature Clothing</v>
      </c>
      <c r="K1734" t="str">
        <f>VLOOKUP(D1734,Products!A:C,3,FALSE)</f>
        <v>Fashion</v>
      </c>
      <c r="L1734" t="str">
        <f>VLOOKUP(E1734,Stores!A:B,2,FALSE)</f>
        <v>MegaMart Peckmouth</v>
      </c>
      <c r="M1734">
        <f>VLOOKUP(D1734,Products!A:E,5,FALSE)</f>
        <v>1165.3699999999999</v>
      </c>
      <c r="N1734" s="5">
        <f t="shared" si="27"/>
        <v>1165.3699999999999</v>
      </c>
    </row>
    <row r="1735" spans="1:14" x14ac:dyDescent="0.3">
      <c r="A1735" t="s">
        <v>2591</v>
      </c>
      <c r="B1735" s="2">
        <v>45384</v>
      </c>
      <c r="C1735" t="s">
        <v>36</v>
      </c>
      <c r="D1735" t="s">
        <v>790</v>
      </c>
      <c r="E1735" t="s">
        <v>831</v>
      </c>
      <c r="F1735">
        <v>3</v>
      </c>
      <c r="G1735">
        <v>0.05</v>
      </c>
      <c r="H1735" t="s">
        <v>865</v>
      </c>
      <c r="I1735" t="str">
        <f>VLOOKUP(C1735,Customers!A:C,2,FALSE)&amp;" "&amp;VLOOKUP(C1735,Customers!A:C,3,FALSE)</f>
        <v>Isaiah Williams</v>
      </c>
      <c r="J1735" t="str">
        <f>VLOOKUP(D1735,Products!A:C,2,FALSE)</f>
        <v>Difficult Vegetables</v>
      </c>
      <c r="K1735" t="str">
        <f>VLOOKUP(D1735,Products!A:C,3,FALSE)</f>
        <v>Groceries</v>
      </c>
      <c r="L1735" t="str">
        <f>VLOOKUP(E1735,Stores!A:B,2,FALSE)</f>
        <v>MegaMart Jimenezborough</v>
      </c>
      <c r="M1735">
        <f>VLOOKUP(D1735,Products!A:E,5,FALSE)</f>
        <v>304.70999999999998</v>
      </c>
      <c r="N1735" s="5">
        <f t="shared" si="27"/>
        <v>868.42349999999988</v>
      </c>
    </row>
    <row r="1736" spans="1:14" x14ac:dyDescent="0.3">
      <c r="A1736" t="s">
        <v>2592</v>
      </c>
      <c r="B1736" s="2">
        <v>45880</v>
      </c>
      <c r="C1736" t="s">
        <v>221</v>
      </c>
      <c r="D1736" t="s">
        <v>759</v>
      </c>
      <c r="E1736" t="s">
        <v>831</v>
      </c>
      <c r="F1736">
        <v>2</v>
      </c>
      <c r="G1736">
        <v>0.05</v>
      </c>
      <c r="H1736" t="s">
        <v>865</v>
      </c>
      <c r="I1736" t="str">
        <f>VLOOKUP(C1736,Customers!A:C,2,FALSE)&amp;" "&amp;VLOOKUP(C1736,Customers!A:C,3,FALSE)</f>
        <v>Julie Gibson</v>
      </c>
      <c r="J1736" t="str">
        <f>VLOOKUP(D1736,Products!A:C,2,FALSE)</f>
        <v>Democratic Smartphone</v>
      </c>
      <c r="K1736" t="str">
        <f>VLOOKUP(D1736,Products!A:C,3,FALSE)</f>
        <v>Electronics</v>
      </c>
      <c r="L1736" t="str">
        <f>VLOOKUP(E1736,Stores!A:B,2,FALSE)</f>
        <v>MegaMart Jimenezborough</v>
      </c>
      <c r="M1736">
        <f>VLOOKUP(D1736,Products!A:E,5,FALSE)</f>
        <v>1079.8900000000001</v>
      </c>
      <c r="N1736" s="5">
        <f t="shared" si="27"/>
        <v>2051.7910000000002</v>
      </c>
    </row>
    <row r="1737" spans="1:14" x14ac:dyDescent="0.3">
      <c r="A1737" t="s">
        <v>2593</v>
      </c>
      <c r="B1737" s="2">
        <v>45509</v>
      </c>
      <c r="C1737" t="s">
        <v>399</v>
      </c>
      <c r="D1737" t="s">
        <v>826</v>
      </c>
      <c r="E1737" t="s">
        <v>846</v>
      </c>
      <c r="F1737">
        <v>1</v>
      </c>
      <c r="G1737">
        <v>0.1</v>
      </c>
      <c r="H1737" t="s">
        <v>855</v>
      </c>
      <c r="I1737" t="str">
        <f>VLOOKUP(C1737,Customers!A:C,2,FALSE)&amp;" "&amp;VLOOKUP(C1737,Customers!A:C,3,FALSE)</f>
        <v>Victoria Hansen</v>
      </c>
      <c r="J1737" t="str">
        <f>VLOOKUP(D1737,Products!A:C,2,FALSE)</f>
        <v>Maybe Footwear</v>
      </c>
      <c r="K1737" t="str">
        <f>VLOOKUP(D1737,Products!A:C,3,FALSE)</f>
        <v>Fashion</v>
      </c>
      <c r="L1737" t="str">
        <f>VLOOKUP(E1737,Stores!A:B,2,FALSE)</f>
        <v>MegaMart Johnmouth</v>
      </c>
      <c r="M1737">
        <f>VLOOKUP(D1737,Products!A:E,5,FALSE)</f>
        <v>1044.6400000000001</v>
      </c>
      <c r="N1737" s="5">
        <f t="shared" si="27"/>
        <v>940.17600000000016</v>
      </c>
    </row>
    <row r="1738" spans="1:14" x14ac:dyDescent="0.3">
      <c r="A1738" t="s">
        <v>2594</v>
      </c>
      <c r="B1738" s="2">
        <v>45502</v>
      </c>
      <c r="C1738" t="s">
        <v>524</v>
      </c>
      <c r="D1738" t="s">
        <v>728</v>
      </c>
      <c r="E1738" t="s">
        <v>835</v>
      </c>
      <c r="F1738">
        <v>5</v>
      </c>
      <c r="G1738">
        <v>0.05</v>
      </c>
      <c r="H1738" t="s">
        <v>858</v>
      </c>
      <c r="I1738" t="str">
        <f>VLOOKUP(C1738,Customers!A:C,2,FALSE)&amp;" "&amp;VLOOKUP(C1738,Customers!A:C,3,FALSE)</f>
        <v>Betty Johnson</v>
      </c>
      <c r="J1738" t="str">
        <f>VLOOKUP(D1738,Products!A:C,2,FALSE)</f>
        <v>Company Fruits</v>
      </c>
      <c r="K1738" t="str">
        <f>VLOOKUP(D1738,Products!A:C,3,FALSE)</f>
        <v>Groceries</v>
      </c>
      <c r="L1738" t="str">
        <f>VLOOKUP(E1738,Stores!A:B,2,FALSE)</f>
        <v>MegaMart Peckmouth</v>
      </c>
      <c r="M1738">
        <f>VLOOKUP(D1738,Products!A:E,5,FALSE)</f>
        <v>318.05</v>
      </c>
      <c r="N1738" s="5">
        <f t="shared" si="27"/>
        <v>1510.7375</v>
      </c>
    </row>
    <row r="1739" spans="1:14" x14ac:dyDescent="0.3">
      <c r="A1739" t="s">
        <v>2595</v>
      </c>
      <c r="B1739" s="2">
        <v>45866</v>
      </c>
      <c r="C1739" t="s">
        <v>411</v>
      </c>
      <c r="D1739" t="s">
        <v>739</v>
      </c>
      <c r="E1739" t="s">
        <v>831</v>
      </c>
      <c r="F1739">
        <v>2</v>
      </c>
      <c r="G1739">
        <v>0.05</v>
      </c>
      <c r="H1739" t="s">
        <v>865</v>
      </c>
      <c r="I1739" t="str">
        <f>VLOOKUP(C1739,Customers!A:C,2,FALSE)&amp;" "&amp;VLOOKUP(C1739,Customers!A:C,3,FALSE)</f>
        <v>Travis Peters</v>
      </c>
      <c r="J1739" t="str">
        <f>VLOOKUP(D1739,Products!A:C,2,FALSE)</f>
        <v>Step Smartphone</v>
      </c>
      <c r="K1739" t="str">
        <f>VLOOKUP(D1739,Products!A:C,3,FALSE)</f>
        <v>Electronics</v>
      </c>
      <c r="L1739" t="str">
        <f>VLOOKUP(E1739,Stores!A:B,2,FALSE)</f>
        <v>MegaMart Jimenezborough</v>
      </c>
      <c r="M1739">
        <f>VLOOKUP(D1739,Products!A:E,5,FALSE)</f>
        <v>1194.1199999999999</v>
      </c>
      <c r="N1739" s="5">
        <f t="shared" si="27"/>
        <v>2268.8279999999995</v>
      </c>
    </row>
    <row r="1740" spans="1:14" x14ac:dyDescent="0.3">
      <c r="A1740" t="s">
        <v>2596</v>
      </c>
      <c r="B1740" s="2">
        <v>45190</v>
      </c>
      <c r="C1740" t="s">
        <v>347</v>
      </c>
      <c r="D1740" t="s">
        <v>792</v>
      </c>
      <c r="E1740" t="s">
        <v>839</v>
      </c>
      <c r="F1740">
        <v>2</v>
      </c>
      <c r="G1740">
        <v>0</v>
      </c>
      <c r="H1740" t="s">
        <v>858</v>
      </c>
      <c r="I1740" t="str">
        <f>VLOOKUP(C1740,Customers!A:C,2,FALSE)&amp;" "&amp;VLOOKUP(C1740,Customers!A:C,3,FALSE)</f>
        <v>Lindsey Holder</v>
      </c>
      <c r="J1740" t="str">
        <f>VLOOKUP(D1740,Products!A:C,2,FALSE)</f>
        <v>Beat Accessories</v>
      </c>
      <c r="K1740" t="str">
        <f>VLOOKUP(D1740,Products!A:C,3,FALSE)</f>
        <v>Fashion</v>
      </c>
      <c r="L1740" t="str">
        <f>VLOOKUP(E1740,Stores!A:B,2,FALSE)</f>
        <v>MegaMart New Michele</v>
      </c>
      <c r="M1740">
        <f>VLOOKUP(D1740,Products!A:E,5,FALSE)</f>
        <v>1798.97</v>
      </c>
      <c r="N1740" s="5">
        <f t="shared" si="27"/>
        <v>3597.94</v>
      </c>
    </row>
    <row r="1741" spans="1:14" x14ac:dyDescent="0.3">
      <c r="A1741" t="s">
        <v>2597</v>
      </c>
      <c r="B1741" s="2">
        <v>45908</v>
      </c>
      <c r="C1741" t="s">
        <v>599</v>
      </c>
      <c r="D1741" t="s">
        <v>826</v>
      </c>
      <c r="E1741" t="s">
        <v>839</v>
      </c>
      <c r="F1741">
        <v>1</v>
      </c>
      <c r="G1741">
        <v>0.15</v>
      </c>
      <c r="H1741" t="s">
        <v>861</v>
      </c>
      <c r="I1741" t="str">
        <f>VLOOKUP(C1741,Customers!A:C,2,FALSE)&amp;" "&amp;VLOOKUP(C1741,Customers!A:C,3,FALSE)</f>
        <v>Richard Jones</v>
      </c>
      <c r="J1741" t="str">
        <f>VLOOKUP(D1741,Products!A:C,2,FALSE)</f>
        <v>Maybe Footwear</v>
      </c>
      <c r="K1741" t="str">
        <f>VLOOKUP(D1741,Products!A:C,3,FALSE)</f>
        <v>Fashion</v>
      </c>
      <c r="L1741" t="str">
        <f>VLOOKUP(E1741,Stores!A:B,2,FALSE)</f>
        <v>MegaMart New Michele</v>
      </c>
      <c r="M1741">
        <f>VLOOKUP(D1741,Products!A:E,5,FALSE)</f>
        <v>1044.6400000000001</v>
      </c>
      <c r="N1741" s="5">
        <f t="shared" si="27"/>
        <v>887.94400000000007</v>
      </c>
    </row>
    <row r="1742" spans="1:14" x14ac:dyDescent="0.3">
      <c r="A1742" t="s">
        <v>2598</v>
      </c>
      <c r="B1742" s="2">
        <v>45472</v>
      </c>
      <c r="C1742" t="s">
        <v>438</v>
      </c>
      <c r="D1742" t="s">
        <v>747</v>
      </c>
      <c r="E1742" t="s">
        <v>835</v>
      </c>
      <c r="F1742">
        <v>1</v>
      </c>
      <c r="G1742">
        <v>0.1</v>
      </c>
      <c r="H1742" t="s">
        <v>855</v>
      </c>
      <c r="I1742" t="str">
        <f>VLOOKUP(C1742,Customers!A:C,2,FALSE)&amp;" "&amp;VLOOKUP(C1742,Customers!A:C,3,FALSE)</f>
        <v>Gina Bradford</v>
      </c>
      <c r="J1742" t="str">
        <f>VLOOKUP(D1742,Products!A:C,2,FALSE)</f>
        <v>World Watches</v>
      </c>
      <c r="K1742" t="str">
        <f>VLOOKUP(D1742,Products!A:C,3,FALSE)</f>
        <v>Fashion</v>
      </c>
      <c r="L1742" t="str">
        <f>VLOOKUP(E1742,Stores!A:B,2,FALSE)</f>
        <v>MegaMart Peckmouth</v>
      </c>
      <c r="M1742">
        <f>VLOOKUP(D1742,Products!A:E,5,FALSE)</f>
        <v>1134.8</v>
      </c>
      <c r="N1742" s="5">
        <f t="shared" si="27"/>
        <v>1021.3199999999999</v>
      </c>
    </row>
    <row r="1743" spans="1:14" x14ac:dyDescent="0.3">
      <c r="A1743" t="s">
        <v>2599</v>
      </c>
      <c r="B1743" s="2">
        <v>45406</v>
      </c>
      <c r="C1743" t="s">
        <v>51</v>
      </c>
      <c r="D1743" t="s">
        <v>722</v>
      </c>
      <c r="E1743" t="s">
        <v>831</v>
      </c>
      <c r="F1743">
        <v>2</v>
      </c>
      <c r="G1743">
        <v>0.15</v>
      </c>
      <c r="H1743" t="s">
        <v>855</v>
      </c>
      <c r="I1743" t="str">
        <f>VLOOKUP(C1743,Customers!A:C,2,FALSE)&amp;" "&amp;VLOOKUP(C1743,Customers!A:C,3,FALSE)</f>
        <v>Dale Perry</v>
      </c>
      <c r="J1743" t="str">
        <f>VLOOKUP(D1743,Products!A:C,2,FALSE)</f>
        <v>Four Accessories</v>
      </c>
      <c r="K1743" t="str">
        <f>VLOOKUP(D1743,Products!A:C,3,FALSE)</f>
        <v>Fashion</v>
      </c>
      <c r="L1743" t="str">
        <f>VLOOKUP(E1743,Stores!A:B,2,FALSE)</f>
        <v>MegaMart Jimenezborough</v>
      </c>
      <c r="M1743">
        <f>VLOOKUP(D1743,Products!A:E,5,FALSE)</f>
        <v>1853.77</v>
      </c>
      <c r="N1743" s="5">
        <f t="shared" si="27"/>
        <v>3151.4090000000001</v>
      </c>
    </row>
    <row r="1744" spans="1:14" x14ac:dyDescent="0.3">
      <c r="A1744" t="s">
        <v>2600</v>
      </c>
      <c r="B1744" s="2">
        <v>45481</v>
      </c>
      <c r="C1744" t="s">
        <v>693</v>
      </c>
      <c r="D1744" t="s">
        <v>774</v>
      </c>
      <c r="E1744" t="s">
        <v>846</v>
      </c>
      <c r="F1744">
        <v>4</v>
      </c>
      <c r="G1744">
        <v>0</v>
      </c>
      <c r="H1744" t="s">
        <v>861</v>
      </c>
      <c r="I1744" t="str">
        <f>VLOOKUP(C1744,Customers!A:C,2,FALSE)&amp;" "&amp;VLOOKUP(C1744,Customers!A:C,3,FALSE)</f>
        <v>Matthew Dixon</v>
      </c>
      <c r="J1744" t="str">
        <f>VLOOKUP(D1744,Products!A:C,2,FALSE)</f>
        <v>Him Smartphone</v>
      </c>
      <c r="K1744" t="str">
        <f>VLOOKUP(D1744,Products!A:C,3,FALSE)</f>
        <v>Electronics</v>
      </c>
      <c r="L1744" t="str">
        <f>VLOOKUP(E1744,Stores!A:B,2,FALSE)</f>
        <v>MegaMart Johnmouth</v>
      </c>
      <c r="M1744">
        <f>VLOOKUP(D1744,Products!A:E,5,FALSE)</f>
        <v>1487.41</v>
      </c>
      <c r="N1744" s="5">
        <f t="shared" si="27"/>
        <v>5949.64</v>
      </c>
    </row>
    <row r="1745" spans="1:14" x14ac:dyDescent="0.3">
      <c r="A1745" t="s">
        <v>2601</v>
      </c>
      <c r="B1745" s="2">
        <v>45523</v>
      </c>
      <c r="C1745" t="s">
        <v>247</v>
      </c>
      <c r="D1745" t="s">
        <v>761</v>
      </c>
      <c r="E1745" t="s">
        <v>831</v>
      </c>
      <c r="F1745">
        <v>5</v>
      </c>
      <c r="G1745">
        <v>0.1</v>
      </c>
      <c r="H1745" t="s">
        <v>858</v>
      </c>
      <c r="I1745" t="str">
        <f>VLOOKUP(C1745,Customers!A:C,2,FALSE)&amp;" "&amp;VLOOKUP(C1745,Customers!A:C,3,FALSE)</f>
        <v>Scott Duke</v>
      </c>
      <c r="J1745" t="str">
        <f>VLOOKUP(D1745,Products!A:C,2,FALSE)</f>
        <v>Traditional Laptop</v>
      </c>
      <c r="K1745" t="str">
        <f>VLOOKUP(D1745,Products!A:C,3,FALSE)</f>
        <v>Electronics</v>
      </c>
      <c r="L1745" t="str">
        <f>VLOOKUP(E1745,Stores!A:B,2,FALSE)</f>
        <v>MegaMart Jimenezborough</v>
      </c>
      <c r="M1745">
        <f>VLOOKUP(D1745,Products!A:E,5,FALSE)</f>
        <v>1762.92</v>
      </c>
      <c r="N1745" s="5">
        <f t="shared" si="27"/>
        <v>7933.14</v>
      </c>
    </row>
    <row r="1746" spans="1:14" x14ac:dyDescent="0.3">
      <c r="A1746" t="s">
        <v>2602</v>
      </c>
      <c r="B1746" s="2">
        <v>45342</v>
      </c>
      <c r="C1746" t="s">
        <v>618</v>
      </c>
      <c r="D1746" t="s">
        <v>806</v>
      </c>
      <c r="E1746" t="s">
        <v>835</v>
      </c>
      <c r="F1746">
        <v>3</v>
      </c>
      <c r="G1746">
        <v>0.05</v>
      </c>
      <c r="H1746" t="s">
        <v>855</v>
      </c>
      <c r="I1746" t="str">
        <f>VLOOKUP(C1746,Customers!A:C,2,FALSE)&amp;" "&amp;VLOOKUP(C1746,Customers!A:C,3,FALSE)</f>
        <v>Scott Howell</v>
      </c>
      <c r="J1746" t="str">
        <f>VLOOKUP(D1746,Products!A:C,2,FALSE)</f>
        <v>Piece Headphones</v>
      </c>
      <c r="K1746" t="str">
        <f>VLOOKUP(D1746,Products!A:C,3,FALSE)</f>
        <v>Electronics</v>
      </c>
      <c r="L1746" t="str">
        <f>VLOOKUP(E1746,Stores!A:B,2,FALSE)</f>
        <v>MegaMart Peckmouth</v>
      </c>
      <c r="M1746">
        <f>VLOOKUP(D1746,Products!A:E,5,FALSE)</f>
        <v>1745.61</v>
      </c>
      <c r="N1746" s="5">
        <f t="shared" si="27"/>
        <v>4974.9884999999995</v>
      </c>
    </row>
    <row r="1747" spans="1:14" x14ac:dyDescent="0.3">
      <c r="A1747" t="s">
        <v>2603</v>
      </c>
      <c r="B1747" s="2">
        <v>45738</v>
      </c>
      <c r="C1747" t="s">
        <v>608</v>
      </c>
      <c r="D1747" t="s">
        <v>711</v>
      </c>
      <c r="E1747" t="s">
        <v>842</v>
      </c>
      <c r="F1747">
        <v>1</v>
      </c>
      <c r="G1747">
        <v>0.1</v>
      </c>
      <c r="H1747" t="s">
        <v>865</v>
      </c>
      <c r="I1747" t="str">
        <f>VLOOKUP(C1747,Customers!A:C,2,FALSE)&amp;" "&amp;VLOOKUP(C1747,Customers!A:C,3,FALSE)</f>
        <v>Christina Dominguez</v>
      </c>
      <c r="J1747" t="str">
        <f>VLOOKUP(D1747,Products!A:C,2,FALSE)</f>
        <v>Like Camera</v>
      </c>
      <c r="K1747" t="str">
        <f>VLOOKUP(D1747,Products!A:C,3,FALSE)</f>
        <v>Electronics</v>
      </c>
      <c r="L1747" t="str">
        <f>VLOOKUP(E1747,Stores!A:B,2,FALSE)</f>
        <v>MegaMart Brianahaven</v>
      </c>
      <c r="M1747">
        <f>VLOOKUP(D1747,Products!A:E,5,FALSE)</f>
        <v>1673.69</v>
      </c>
      <c r="N1747" s="5">
        <f t="shared" si="27"/>
        <v>1506.3210000000001</v>
      </c>
    </row>
    <row r="1748" spans="1:14" x14ac:dyDescent="0.3">
      <c r="A1748" t="s">
        <v>2604</v>
      </c>
      <c r="B1748" s="2">
        <v>45413</v>
      </c>
      <c r="C1748" t="s">
        <v>560</v>
      </c>
      <c r="D1748" t="s">
        <v>732</v>
      </c>
      <c r="E1748" t="s">
        <v>846</v>
      </c>
      <c r="F1748">
        <v>4</v>
      </c>
      <c r="G1748">
        <v>0.15</v>
      </c>
      <c r="H1748" t="s">
        <v>861</v>
      </c>
      <c r="I1748" t="str">
        <f>VLOOKUP(C1748,Customers!A:C,2,FALSE)&amp;" "&amp;VLOOKUP(C1748,Customers!A:C,3,FALSE)</f>
        <v>George Young</v>
      </c>
      <c r="J1748" t="str">
        <f>VLOOKUP(D1748,Products!A:C,2,FALSE)</f>
        <v>Understand Camera</v>
      </c>
      <c r="K1748" t="str">
        <f>VLOOKUP(D1748,Products!A:C,3,FALSE)</f>
        <v>Electronics</v>
      </c>
      <c r="L1748" t="str">
        <f>VLOOKUP(E1748,Stores!A:B,2,FALSE)</f>
        <v>MegaMart Johnmouth</v>
      </c>
      <c r="M1748">
        <f>VLOOKUP(D1748,Products!A:E,5,FALSE)</f>
        <v>1474.12</v>
      </c>
      <c r="N1748" s="5">
        <f t="shared" si="27"/>
        <v>5012.0079999999998</v>
      </c>
    </row>
    <row r="1749" spans="1:14" x14ac:dyDescent="0.3">
      <c r="A1749" t="s">
        <v>2605</v>
      </c>
      <c r="B1749" s="2">
        <v>45467</v>
      </c>
      <c r="C1749" t="s">
        <v>472</v>
      </c>
      <c r="D1749" t="s">
        <v>820</v>
      </c>
      <c r="E1749" t="s">
        <v>846</v>
      </c>
      <c r="F1749">
        <v>1</v>
      </c>
      <c r="G1749">
        <v>0.05</v>
      </c>
      <c r="H1749" t="s">
        <v>865</v>
      </c>
      <c r="I1749" t="str">
        <f>VLOOKUP(C1749,Customers!A:C,2,FALSE)&amp;" "&amp;VLOOKUP(C1749,Customers!A:C,3,FALSE)</f>
        <v>Gary Taylor</v>
      </c>
      <c r="J1749" t="str">
        <f>VLOOKUP(D1749,Products!A:C,2,FALSE)</f>
        <v>Or Smartphone</v>
      </c>
      <c r="K1749" t="str">
        <f>VLOOKUP(D1749,Products!A:C,3,FALSE)</f>
        <v>Electronics</v>
      </c>
      <c r="L1749" t="str">
        <f>VLOOKUP(E1749,Stores!A:B,2,FALSE)</f>
        <v>MegaMart Johnmouth</v>
      </c>
      <c r="M1749">
        <f>VLOOKUP(D1749,Products!A:E,5,FALSE)</f>
        <v>1197.18</v>
      </c>
      <c r="N1749" s="5">
        <f t="shared" si="27"/>
        <v>1137.3209999999999</v>
      </c>
    </row>
    <row r="1750" spans="1:14" x14ac:dyDescent="0.3">
      <c r="A1750" t="s">
        <v>2606</v>
      </c>
      <c r="B1750" s="2">
        <v>45748</v>
      </c>
      <c r="C1750" t="s">
        <v>567</v>
      </c>
      <c r="D1750" t="s">
        <v>750</v>
      </c>
      <c r="E1750" t="s">
        <v>831</v>
      </c>
      <c r="F1750">
        <v>3</v>
      </c>
      <c r="G1750">
        <v>0.05</v>
      </c>
      <c r="H1750" t="s">
        <v>858</v>
      </c>
      <c r="I1750" t="str">
        <f>VLOOKUP(C1750,Customers!A:C,2,FALSE)&amp;" "&amp;VLOOKUP(C1750,Customers!A:C,3,FALSE)</f>
        <v>Crystal Aguirre</v>
      </c>
      <c r="J1750" t="str">
        <f>VLOOKUP(D1750,Products!A:C,2,FALSE)</f>
        <v>Add Clothing</v>
      </c>
      <c r="K1750" t="str">
        <f>VLOOKUP(D1750,Products!A:C,3,FALSE)</f>
        <v>Fashion</v>
      </c>
      <c r="L1750" t="str">
        <f>VLOOKUP(E1750,Stores!A:B,2,FALSE)</f>
        <v>MegaMart Jimenezborough</v>
      </c>
      <c r="M1750">
        <f>VLOOKUP(D1750,Products!A:E,5,FALSE)</f>
        <v>1342.75</v>
      </c>
      <c r="N1750" s="5">
        <f t="shared" si="27"/>
        <v>3826.8374999999996</v>
      </c>
    </row>
    <row r="1751" spans="1:14" x14ac:dyDescent="0.3">
      <c r="A1751" t="s">
        <v>2607</v>
      </c>
      <c r="B1751" s="2">
        <v>45468</v>
      </c>
      <c r="C1751" t="s">
        <v>683</v>
      </c>
      <c r="D1751" t="s">
        <v>826</v>
      </c>
      <c r="E1751" t="s">
        <v>835</v>
      </c>
      <c r="F1751">
        <v>5</v>
      </c>
      <c r="G1751">
        <v>0</v>
      </c>
      <c r="H1751" t="s">
        <v>865</v>
      </c>
      <c r="I1751" t="str">
        <f>VLOOKUP(C1751,Customers!A:C,2,FALSE)&amp;" "&amp;VLOOKUP(C1751,Customers!A:C,3,FALSE)</f>
        <v>Ann West</v>
      </c>
      <c r="J1751" t="str">
        <f>VLOOKUP(D1751,Products!A:C,2,FALSE)</f>
        <v>Maybe Footwear</v>
      </c>
      <c r="K1751" t="str">
        <f>VLOOKUP(D1751,Products!A:C,3,FALSE)</f>
        <v>Fashion</v>
      </c>
      <c r="L1751" t="str">
        <f>VLOOKUP(E1751,Stores!A:B,2,FALSE)</f>
        <v>MegaMart Peckmouth</v>
      </c>
      <c r="M1751">
        <f>VLOOKUP(D1751,Products!A:E,5,FALSE)</f>
        <v>1044.6400000000001</v>
      </c>
      <c r="N1751" s="5">
        <f t="shared" si="27"/>
        <v>5223.2000000000007</v>
      </c>
    </row>
    <row r="1752" spans="1:14" x14ac:dyDescent="0.3">
      <c r="A1752" t="s">
        <v>2608</v>
      </c>
      <c r="B1752" s="2">
        <v>45803</v>
      </c>
      <c r="C1752" t="s">
        <v>141</v>
      </c>
      <c r="D1752" t="s">
        <v>747</v>
      </c>
      <c r="E1752" t="s">
        <v>839</v>
      </c>
      <c r="F1752">
        <v>4</v>
      </c>
      <c r="G1752">
        <v>0.1</v>
      </c>
      <c r="H1752" t="s">
        <v>861</v>
      </c>
      <c r="I1752" t="str">
        <f>VLOOKUP(C1752,Customers!A:C,2,FALSE)&amp;" "&amp;VLOOKUP(C1752,Customers!A:C,3,FALSE)</f>
        <v>Michael Cervantes</v>
      </c>
      <c r="J1752" t="str">
        <f>VLOOKUP(D1752,Products!A:C,2,FALSE)</f>
        <v>World Watches</v>
      </c>
      <c r="K1752" t="str">
        <f>VLOOKUP(D1752,Products!A:C,3,FALSE)</f>
        <v>Fashion</v>
      </c>
      <c r="L1752" t="str">
        <f>VLOOKUP(E1752,Stores!A:B,2,FALSE)</f>
        <v>MegaMart New Michele</v>
      </c>
      <c r="M1752">
        <f>VLOOKUP(D1752,Products!A:E,5,FALSE)</f>
        <v>1134.8</v>
      </c>
      <c r="N1752" s="5">
        <f t="shared" si="27"/>
        <v>4085.2799999999997</v>
      </c>
    </row>
    <row r="1753" spans="1:14" x14ac:dyDescent="0.3">
      <c r="A1753" t="s">
        <v>2609</v>
      </c>
      <c r="B1753" s="2">
        <v>45567</v>
      </c>
      <c r="C1753" t="s">
        <v>151</v>
      </c>
      <c r="D1753" t="s">
        <v>739</v>
      </c>
      <c r="E1753" t="s">
        <v>842</v>
      </c>
      <c r="F1753">
        <v>2</v>
      </c>
      <c r="G1753">
        <v>0</v>
      </c>
      <c r="H1753" t="s">
        <v>861</v>
      </c>
      <c r="I1753" t="str">
        <f>VLOOKUP(C1753,Customers!A:C,2,FALSE)&amp;" "&amp;VLOOKUP(C1753,Customers!A:C,3,FALSE)</f>
        <v>Nancy Savage</v>
      </c>
      <c r="J1753" t="str">
        <f>VLOOKUP(D1753,Products!A:C,2,FALSE)</f>
        <v>Step Smartphone</v>
      </c>
      <c r="K1753" t="str">
        <f>VLOOKUP(D1753,Products!A:C,3,FALSE)</f>
        <v>Electronics</v>
      </c>
      <c r="L1753" t="str">
        <f>VLOOKUP(E1753,Stores!A:B,2,FALSE)</f>
        <v>MegaMart Brianahaven</v>
      </c>
      <c r="M1753">
        <f>VLOOKUP(D1753,Products!A:E,5,FALSE)</f>
        <v>1194.1199999999999</v>
      </c>
      <c r="N1753" s="5">
        <f t="shared" si="27"/>
        <v>2388.2399999999998</v>
      </c>
    </row>
    <row r="1754" spans="1:14" x14ac:dyDescent="0.3">
      <c r="A1754" t="s">
        <v>2610</v>
      </c>
      <c r="B1754" s="2">
        <v>45637</v>
      </c>
      <c r="C1754" t="s">
        <v>657</v>
      </c>
      <c r="D1754" t="s">
        <v>780</v>
      </c>
      <c r="E1754" t="s">
        <v>846</v>
      </c>
      <c r="F1754">
        <v>4</v>
      </c>
      <c r="G1754">
        <v>0.1</v>
      </c>
      <c r="H1754" t="s">
        <v>861</v>
      </c>
      <c r="I1754" t="str">
        <f>VLOOKUP(C1754,Customers!A:C,2,FALSE)&amp;" "&amp;VLOOKUP(C1754,Customers!A:C,3,FALSE)</f>
        <v>Vicki Guzman</v>
      </c>
      <c r="J1754" t="str">
        <f>VLOOKUP(D1754,Products!A:C,2,FALSE)</f>
        <v>Hospital Smartphone</v>
      </c>
      <c r="K1754" t="str">
        <f>VLOOKUP(D1754,Products!A:C,3,FALSE)</f>
        <v>Electronics</v>
      </c>
      <c r="L1754" t="str">
        <f>VLOOKUP(E1754,Stores!A:B,2,FALSE)</f>
        <v>MegaMart Johnmouth</v>
      </c>
      <c r="M1754">
        <f>VLOOKUP(D1754,Products!A:E,5,FALSE)</f>
        <v>1272.23</v>
      </c>
      <c r="N1754" s="5">
        <f t="shared" si="27"/>
        <v>4580.0280000000002</v>
      </c>
    </row>
    <row r="1755" spans="1:14" x14ac:dyDescent="0.3">
      <c r="A1755" t="s">
        <v>2611</v>
      </c>
      <c r="B1755" s="2">
        <v>45556</v>
      </c>
      <c r="C1755" t="s">
        <v>274</v>
      </c>
      <c r="D1755" t="s">
        <v>824</v>
      </c>
      <c r="E1755" t="s">
        <v>839</v>
      </c>
      <c r="F1755">
        <v>1</v>
      </c>
      <c r="G1755">
        <v>0.15</v>
      </c>
      <c r="H1755" t="s">
        <v>855</v>
      </c>
      <c r="I1755" t="str">
        <f>VLOOKUP(C1755,Customers!A:C,2,FALSE)&amp;" "&amp;VLOOKUP(C1755,Customers!A:C,3,FALSE)</f>
        <v>Eric Watkins</v>
      </c>
      <c r="J1755" t="str">
        <f>VLOOKUP(D1755,Products!A:C,2,FALSE)</f>
        <v>Possible Watches</v>
      </c>
      <c r="K1755" t="str">
        <f>VLOOKUP(D1755,Products!A:C,3,FALSE)</f>
        <v>Fashion</v>
      </c>
      <c r="L1755" t="str">
        <f>VLOOKUP(E1755,Stores!A:B,2,FALSE)</f>
        <v>MegaMart New Michele</v>
      </c>
      <c r="M1755">
        <f>VLOOKUP(D1755,Products!A:E,5,FALSE)</f>
        <v>388.26</v>
      </c>
      <c r="N1755" s="5">
        <f t="shared" si="27"/>
        <v>330.02099999999996</v>
      </c>
    </row>
    <row r="1756" spans="1:14" x14ac:dyDescent="0.3">
      <c r="A1756" t="s">
        <v>2612</v>
      </c>
      <c r="B1756" s="2">
        <v>45209</v>
      </c>
      <c r="C1756" t="s">
        <v>680</v>
      </c>
      <c r="D1756" t="s">
        <v>757</v>
      </c>
      <c r="E1756" t="s">
        <v>831</v>
      </c>
      <c r="F1756">
        <v>2</v>
      </c>
      <c r="G1756">
        <v>0.1</v>
      </c>
      <c r="H1756" t="s">
        <v>855</v>
      </c>
      <c r="I1756" t="str">
        <f>VLOOKUP(C1756,Customers!A:C,2,FALSE)&amp;" "&amp;VLOOKUP(C1756,Customers!A:C,3,FALSE)</f>
        <v>Donald Meza</v>
      </c>
      <c r="J1756" t="str">
        <f>VLOOKUP(D1756,Products!A:C,2,FALSE)</f>
        <v>Find Headphones</v>
      </c>
      <c r="K1756" t="str">
        <f>VLOOKUP(D1756,Products!A:C,3,FALSE)</f>
        <v>Electronics</v>
      </c>
      <c r="L1756" t="str">
        <f>VLOOKUP(E1756,Stores!A:B,2,FALSE)</f>
        <v>MegaMart Jimenezborough</v>
      </c>
      <c r="M1756">
        <f>VLOOKUP(D1756,Products!A:E,5,FALSE)</f>
        <v>1246.1099999999999</v>
      </c>
      <c r="N1756" s="5">
        <f t="shared" si="27"/>
        <v>2242.998</v>
      </c>
    </row>
    <row r="1757" spans="1:14" x14ac:dyDescent="0.3">
      <c r="A1757" t="s">
        <v>2613</v>
      </c>
      <c r="B1757" s="2">
        <v>45569</v>
      </c>
      <c r="C1757" t="s">
        <v>241</v>
      </c>
      <c r="D1757" t="s">
        <v>822</v>
      </c>
      <c r="E1757" t="s">
        <v>835</v>
      </c>
      <c r="F1757">
        <v>5</v>
      </c>
      <c r="G1757">
        <v>0</v>
      </c>
      <c r="H1757" t="s">
        <v>861</v>
      </c>
      <c r="I1757" t="str">
        <f>VLOOKUP(C1757,Customers!A:C,2,FALSE)&amp;" "&amp;VLOOKUP(C1757,Customers!A:C,3,FALSE)</f>
        <v>Michael Johnson</v>
      </c>
      <c r="J1757" t="str">
        <f>VLOOKUP(D1757,Products!A:C,2,FALSE)</f>
        <v>Nor Bags</v>
      </c>
      <c r="K1757" t="str">
        <f>VLOOKUP(D1757,Products!A:C,3,FALSE)</f>
        <v>Fashion</v>
      </c>
      <c r="L1757" t="str">
        <f>VLOOKUP(E1757,Stores!A:B,2,FALSE)</f>
        <v>MegaMart Peckmouth</v>
      </c>
      <c r="M1757">
        <f>VLOOKUP(D1757,Products!A:E,5,FALSE)</f>
        <v>1216.3599999999999</v>
      </c>
      <c r="N1757" s="5">
        <f t="shared" si="27"/>
        <v>6081.7999999999993</v>
      </c>
    </row>
    <row r="1758" spans="1:14" x14ac:dyDescent="0.3">
      <c r="A1758" t="s">
        <v>2614</v>
      </c>
      <c r="B1758" s="2">
        <v>45650</v>
      </c>
      <c r="C1758" t="s">
        <v>625</v>
      </c>
      <c r="D1758" t="s">
        <v>718</v>
      </c>
      <c r="E1758" t="s">
        <v>835</v>
      </c>
      <c r="F1758">
        <v>5</v>
      </c>
      <c r="G1758">
        <v>0.15</v>
      </c>
      <c r="H1758" t="s">
        <v>855</v>
      </c>
      <c r="I1758" t="str">
        <f>VLOOKUP(C1758,Customers!A:C,2,FALSE)&amp;" "&amp;VLOOKUP(C1758,Customers!A:C,3,FALSE)</f>
        <v>Peter Garcia</v>
      </c>
      <c r="J1758" t="str">
        <f>VLOOKUP(D1758,Products!A:C,2,FALSE)</f>
        <v>Here Footwear</v>
      </c>
      <c r="K1758" t="str">
        <f>VLOOKUP(D1758,Products!A:C,3,FALSE)</f>
        <v>Fashion</v>
      </c>
      <c r="L1758" t="str">
        <f>VLOOKUP(E1758,Stores!A:B,2,FALSE)</f>
        <v>MegaMart Peckmouth</v>
      </c>
      <c r="M1758">
        <f>VLOOKUP(D1758,Products!A:E,5,FALSE)</f>
        <v>337.63</v>
      </c>
      <c r="N1758" s="5">
        <f t="shared" si="27"/>
        <v>1434.9275</v>
      </c>
    </row>
    <row r="1759" spans="1:14" x14ac:dyDescent="0.3">
      <c r="A1759" t="s">
        <v>2615</v>
      </c>
      <c r="B1759" s="2">
        <v>45739</v>
      </c>
      <c r="C1759" t="s">
        <v>183</v>
      </c>
      <c r="D1759" t="s">
        <v>820</v>
      </c>
      <c r="E1759" t="s">
        <v>842</v>
      </c>
      <c r="F1759">
        <v>1</v>
      </c>
      <c r="G1759">
        <v>0</v>
      </c>
      <c r="H1759" t="s">
        <v>858</v>
      </c>
      <c r="I1759" t="str">
        <f>VLOOKUP(C1759,Customers!A:C,2,FALSE)&amp;" "&amp;VLOOKUP(C1759,Customers!A:C,3,FALSE)</f>
        <v>Mary Decker</v>
      </c>
      <c r="J1759" t="str">
        <f>VLOOKUP(D1759,Products!A:C,2,FALSE)</f>
        <v>Or Smartphone</v>
      </c>
      <c r="K1759" t="str">
        <f>VLOOKUP(D1759,Products!A:C,3,FALSE)</f>
        <v>Electronics</v>
      </c>
      <c r="L1759" t="str">
        <f>VLOOKUP(E1759,Stores!A:B,2,FALSE)</f>
        <v>MegaMart Brianahaven</v>
      </c>
      <c r="M1759">
        <f>VLOOKUP(D1759,Products!A:E,5,FALSE)</f>
        <v>1197.18</v>
      </c>
      <c r="N1759" s="5">
        <f t="shared" si="27"/>
        <v>1197.18</v>
      </c>
    </row>
    <row r="1760" spans="1:14" x14ac:dyDescent="0.3">
      <c r="A1760" t="s">
        <v>2616</v>
      </c>
      <c r="B1760" s="2">
        <v>45230</v>
      </c>
      <c r="C1760" t="s">
        <v>74</v>
      </c>
      <c r="D1760" t="s">
        <v>778</v>
      </c>
      <c r="E1760" t="s">
        <v>835</v>
      </c>
      <c r="F1760">
        <v>1</v>
      </c>
      <c r="G1760">
        <v>0.05</v>
      </c>
      <c r="H1760" t="s">
        <v>861</v>
      </c>
      <c r="I1760" t="str">
        <f>VLOOKUP(C1760,Customers!A:C,2,FALSE)&amp;" "&amp;VLOOKUP(C1760,Customers!A:C,3,FALSE)</f>
        <v>Breanna Davis</v>
      </c>
      <c r="J1760" t="str">
        <f>VLOOKUP(D1760,Products!A:C,2,FALSE)</f>
        <v>Behavior Dairy</v>
      </c>
      <c r="K1760" t="str">
        <f>VLOOKUP(D1760,Products!A:C,3,FALSE)</f>
        <v>Groceries</v>
      </c>
      <c r="L1760" t="str">
        <f>VLOOKUP(E1760,Stores!A:B,2,FALSE)</f>
        <v>MegaMart Peckmouth</v>
      </c>
      <c r="M1760">
        <f>VLOOKUP(D1760,Products!A:E,5,FALSE)</f>
        <v>1015.76</v>
      </c>
      <c r="N1760" s="5">
        <f t="shared" si="27"/>
        <v>964.97199999999998</v>
      </c>
    </row>
    <row r="1761" spans="1:14" x14ac:dyDescent="0.3">
      <c r="A1761" t="s">
        <v>2617</v>
      </c>
      <c r="B1761" s="2">
        <v>45476</v>
      </c>
      <c r="C1761" t="s">
        <v>130</v>
      </c>
      <c r="D1761" t="s">
        <v>711</v>
      </c>
      <c r="E1761" t="s">
        <v>831</v>
      </c>
      <c r="F1761">
        <v>2</v>
      </c>
      <c r="G1761">
        <v>0.05</v>
      </c>
      <c r="H1761" t="s">
        <v>861</v>
      </c>
      <c r="I1761" t="str">
        <f>VLOOKUP(C1761,Customers!A:C,2,FALSE)&amp;" "&amp;VLOOKUP(C1761,Customers!A:C,3,FALSE)</f>
        <v>Jenny Beck</v>
      </c>
      <c r="J1761" t="str">
        <f>VLOOKUP(D1761,Products!A:C,2,FALSE)</f>
        <v>Like Camera</v>
      </c>
      <c r="K1761" t="str">
        <f>VLOOKUP(D1761,Products!A:C,3,FALSE)</f>
        <v>Electronics</v>
      </c>
      <c r="L1761" t="str">
        <f>VLOOKUP(E1761,Stores!A:B,2,FALSE)</f>
        <v>MegaMart Jimenezborough</v>
      </c>
      <c r="M1761">
        <f>VLOOKUP(D1761,Products!A:E,5,FALSE)</f>
        <v>1673.69</v>
      </c>
      <c r="N1761" s="5">
        <f t="shared" si="27"/>
        <v>3180.011</v>
      </c>
    </row>
    <row r="1762" spans="1:14" x14ac:dyDescent="0.3">
      <c r="A1762" t="s">
        <v>2618</v>
      </c>
      <c r="B1762" s="2">
        <v>45777</v>
      </c>
      <c r="C1762" t="s">
        <v>476</v>
      </c>
      <c r="D1762" t="s">
        <v>742</v>
      </c>
      <c r="E1762" t="s">
        <v>831</v>
      </c>
      <c r="F1762">
        <v>4</v>
      </c>
      <c r="G1762">
        <v>0.15</v>
      </c>
      <c r="H1762" t="s">
        <v>855</v>
      </c>
      <c r="I1762" t="str">
        <f>VLOOKUP(C1762,Customers!A:C,2,FALSE)&amp;" "&amp;VLOOKUP(C1762,Customers!A:C,3,FALSE)</f>
        <v>Aaron Bailey</v>
      </c>
      <c r="J1762" t="str">
        <f>VLOOKUP(D1762,Products!A:C,2,FALSE)</f>
        <v>Either Headphones</v>
      </c>
      <c r="K1762" t="str">
        <f>VLOOKUP(D1762,Products!A:C,3,FALSE)</f>
        <v>Electronics</v>
      </c>
      <c r="L1762" t="str">
        <f>VLOOKUP(E1762,Stores!A:B,2,FALSE)</f>
        <v>MegaMart Jimenezborough</v>
      </c>
      <c r="M1762">
        <f>VLOOKUP(D1762,Products!A:E,5,FALSE)</f>
        <v>248.57</v>
      </c>
      <c r="N1762" s="5">
        <f t="shared" si="27"/>
        <v>845.13799999999992</v>
      </c>
    </row>
    <row r="1763" spans="1:14" x14ac:dyDescent="0.3">
      <c r="A1763" t="s">
        <v>2619</v>
      </c>
      <c r="B1763" s="2">
        <v>45556</v>
      </c>
      <c r="C1763" t="s">
        <v>167</v>
      </c>
      <c r="D1763" t="s">
        <v>747</v>
      </c>
      <c r="E1763" t="s">
        <v>835</v>
      </c>
      <c r="F1763">
        <v>2</v>
      </c>
      <c r="G1763">
        <v>0.15</v>
      </c>
      <c r="H1763" t="s">
        <v>861</v>
      </c>
      <c r="I1763" t="str">
        <f>VLOOKUP(C1763,Customers!A:C,2,FALSE)&amp;" "&amp;VLOOKUP(C1763,Customers!A:C,3,FALSE)</f>
        <v>Kenneth Allen</v>
      </c>
      <c r="J1763" t="str">
        <f>VLOOKUP(D1763,Products!A:C,2,FALSE)</f>
        <v>World Watches</v>
      </c>
      <c r="K1763" t="str">
        <f>VLOOKUP(D1763,Products!A:C,3,FALSE)</f>
        <v>Fashion</v>
      </c>
      <c r="L1763" t="str">
        <f>VLOOKUP(E1763,Stores!A:B,2,FALSE)</f>
        <v>MegaMart Peckmouth</v>
      </c>
      <c r="M1763">
        <f>VLOOKUP(D1763,Products!A:E,5,FALSE)</f>
        <v>1134.8</v>
      </c>
      <c r="N1763" s="5">
        <f t="shared" si="27"/>
        <v>1929.1599999999999</v>
      </c>
    </row>
    <row r="1764" spans="1:14" x14ac:dyDescent="0.3">
      <c r="A1764" t="s">
        <v>2620</v>
      </c>
      <c r="B1764" s="2">
        <v>45592</v>
      </c>
      <c r="C1764" t="s">
        <v>560</v>
      </c>
      <c r="D1764" t="s">
        <v>780</v>
      </c>
      <c r="E1764" t="s">
        <v>835</v>
      </c>
      <c r="F1764">
        <v>3</v>
      </c>
      <c r="G1764">
        <v>0.1</v>
      </c>
      <c r="H1764" t="s">
        <v>858</v>
      </c>
      <c r="I1764" t="str">
        <f>VLOOKUP(C1764,Customers!A:C,2,FALSE)&amp;" "&amp;VLOOKUP(C1764,Customers!A:C,3,FALSE)</f>
        <v>George Young</v>
      </c>
      <c r="J1764" t="str">
        <f>VLOOKUP(D1764,Products!A:C,2,FALSE)</f>
        <v>Hospital Smartphone</v>
      </c>
      <c r="K1764" t="str">
        <f>VLOOKUP(D1764,Products!A:C,3,FALSE)</f>
        <v>Electronics</v>
      </c>
      <c r="L1764" t="str">
        <f>VLOOKUP(E1764,Stores!A:B,2,FALSE)</f>
        <v>MegaMart Peckmouth</v>
      </c>
      <c r="M1764">
        <f>VLOOKUP(D1764,Products!A:E,5,FALSE)</f>
        <v>1272.23</v>
      </c>
      <c r="N1764" s="5">
        <f t="shared" si="27"/>
        <v>3435.0210000000002</v>
      </c>
    </row>
    <row r="1765" spans="1:14" x14ac:dyDescent="0.3">
      <c r="A1765" t="s">
        <v>2621</v>
      </c>
      <c r="B1765" s="2">
        <v>45804</v>
      </c>
      <c r="C1765" t="s">
        <v>582</v>
      </c>
      <c r="D1765" t="s">
        <v>734</v>
      </c>
      <c r="E1765" t="s">
        <v>835</v>
      </c>
      <c r="F1765">
        <v>3</v>
      </c>
      <c r="G1765">
        <v>0.15</v>
      </c>
      <c r="H1765" t="s">
        <v>865</v>
      </c>
      <c r="I1765" t="str">
        <f>VLOOKUP(C1765,Customers!A:C,2,FALSE)&amp;" "&amp;VLOOKUP(C1765,Customers!A:C,3,FALSE)</f>
        <v>Erin Rogers</v>
      </c>
      <c r="J1765" t="str">
        <f>VLOOKUP(D1765,Products!A:C,2,FALSE)</f>
        <v>Recognize Footwear</v>
      </c>
      <c r="K1765" t="str">
        <f>VLOOKUP(D1765,Products!A:C,3,FALSE)</f>
        <v>Fashion</v>
      </c>
      <c r="L1765" t="str">
        <f>VLOOKUP(E1765,Stores!A:B,2,FALSE)</f>
        <v>MegaMart Peckmouth</v>
      </c>
      <c r="M1765">
        <f>VLOOKUP(D1765,Products!A:E,5,FALSE)</f>
        <v>109.78</v>
      </c>
      <c r="N1765" s="5">
        <f t="shared" si="27"/>
        <v>279.93900000000002</v>
      </c>
    </row>
    <row r="1766" spans="1:14" x14ac:dyDescent="0.3">
      <c r="A1766" t="s">
        <v>2622</v>
      </c>
      <c r="B1766" s="2">
        <v>45790</v>
      </c>
      <c r="C1766" t="s">
        <v>351</v>
      </c>
      <c r="D1766" t="s">
        <v>792</v>
      </c>
      <c r="E1766" t="s">
        <v>842</v>
      </c>
      <c r="F1766">
        <v>4</v>
      </c>
      <c r="G1766">
        <v>0.05</v>
      </c>
      <c r="H1766" t="s">
        <v>858</v>
      </c>
      <c r="I1766" t="str">
        <f>VLOOKUP(C1766,Customers!A:C,2,FALSE)&amp;" "&amp;VLOOKUP(C1766,Customers!A:C,3,FALSE)</f>
        <v>Stanley Brown</v>
      </c>
      <c r="J1766" t="str">
        <f>VLOOKUP(D1766,Products!A:C,2,FALSE)</f>
        <v>Beat Accessories</v>
      </c>
      <c r="K1766" t="str">
        <f>VLOOKUP(D1766,Products!A:C,3,FALSE)</f>
        <v>Fashion</v>
      </c>
      <c r="L1766" t="str">
        <f>VLOOKUP(E1766,Stores!A:B,2,FALSE)</f>
        <v>MegaMart Brianahaven</v>
      </c>
      <c r="M1766">
        <f>VLOOKUP(D1766,Products!A:E,5,FALSE)</f>
        <v>1798.97</v>
      </c>
      <c r="N1766" s="5">
        <f t="shared" si="27"/>
        <v>6836.0859999999993</v>
      </c>
    </row>
    <row r="1767" spans="1:14" x14ac:dyDescent="0.3">
      <c r="A1767" t="s">
        <v>2623</v>
      </c>
      <c r="B1767" s="2">
        <v>45369</v>
      </c>
      <c r="C1767" t="s">
        <v>422</v>
      </c>
      <c r="D1767" t="s">
        <v>750</v>
      </c>
      <c r="E1767" t="s">
        <v>842</v>
      </c>
      <c r="F1767">
        <v>5</v>
      </c>
      <c r="G1767">
        <v>0.15</v>
      </c>
      <c r="H1767" t="s">
        <v>861</v>
      </c>
      <c r="I1767" t="str">
        <f>VLOOKUP(C1767,Customers!A:C,2,FALSE)&amp;" "&amp;VLOOKUP(C1767,Customers!A:C,3,FALSE)</f>
        <v>Heidi Wilson</v>
      </c>
      <c r="J1767" t="str">
        <f>VLOOKUP(D1767,Products!A:C,2,FALSE)</f>
        <v>Add Clothing</v>
      </c>
      <c r="K1767" t="str">
        <f>VLOOKUP(D1767,Products!A:C,3,FALSE)</f>
        <v>Fashion</v>
      </c>
      <c r="L1767" t="str">
        <f>VLOOKUP(E1767,Stores!A:B,2,FALSE)</f>
        <v>MegaMart Brianahaven</v>
      </c>
      <c r="M1767">
        <f>VLOOKUP(D1767,Products!A:E,5,FALSE)</f>
        <v>1342.75</v>
      </c>
      <c r="N1767" s="5">
        <f t="shared" si="27"/>
        <v>5706.6875</v>
      </c>
    </row>
    <row r="1768" spans="1:14" x14ac:dyDescent="0.3">
      <c r="A1768" t="s">
        <v>2624</v>
      </c>
      <c r="B1768" s="2">
        <v>45419</v>
      </c>
      <c r="C1768" t="s">
        <v>458</v>
      </c>
      <c r="D1768" t="s">
        <v>794</v>
      </c>
      <c r="E1768" t="s">
        <v>831</v>
      </c>
      <c r="F1768">
        <v>4</v>
      </c>
      <c r="G1768">
        <v>0.15</v>
      </c>
      <c r="H1768" t="s">
        <v>865</v>
      </c>
      <c r="I1768" t="str">
        <f>VLOOKUP(C1768,Customers!A:C,2,FALSE)&amp;" "&amp;VLOOKUP(C1768,Customers!A:C,3,FALSE)</f>
        <v>Chad Roberts</v>
      </c>
      <c r="J1768" t="str">
        <f>VLOOKUP(D1768,Products!A:C,2,FALSE)</f>
        <v>Everything Laptop</v>
      </c>
      <c r="K1768" t="str">
        <f>VLOOKUP(D1768,Products!A:C,3,FALSE)</f>
        <v>Electronics</v>
      </c>
      <c r="L1768" t="str">
        <f>VLOOKUP(E1768,Stores!A:B,2,FALSE)</f>
        <v>MegaMart Jimenezborough</v>
      </c>
      <c r="M1768">
        <f>VLOOKUP(D1768,Products!A:E,5,FALSE)</f>
        <v>428.05</v>
      </c>
      <c r="N1768" s="5">
        <f t="shared" si="27"/>
        <v>1455.37</v>
      </c>
    </row>
    <row r="1769" spans="1:14" x14ac:dyDescent="0.3">
      <c r="A1769" t="s">
        <v>2625</v>
      </c>
      <c r="B1769" s="2">
        <v>45212</v>
      </c>
      <c r="C1769" t="s">
        <v>687</v>
      </c>
      <c r="D1769" t="s">
        <v>761</v>
      </c>
      <c r="E1769" t="s">
        <v>839</v>
      </c>
      <c r="F1769">
        <v>5</v>
      </c>
      <c r="G1769">
        <v>0.05</v>
      </c>
      <c r="H1769" t="s">
        <v>861</v>
      </c>
      <c r="I1769" t="str">
        <f>VLOOKUP(C1769,Customers!A:C,2,FALSE)&amp;" "&amp;VLOOKUP(C1769,Customers!A:C,3,FALSE)</f>
        <v>James Mitchell</v>
      </c>
      <c r="J1769" t="str">
        <f>VLOOKUP(D1769,Products!A:C,2,FALSE)</f>
        <v>Traditional Laptop</v>
      </c>
      <c r="K1769" t="str">
        <f>VLOOKUP(D1769,Products!A:C,3,FALSE)</f>
        <v>Electronics</v>
      </c>
      <c r="L1769" t="str">
        <f>VLOOKUP(E1769,Stores!A:B,2,FALSE)</f>
        <v>MegaMart New Michele</v>
      </c>
      <c r="M1769">
        <f>VLOOKUP(D1769,Products!A:E,5,FALSE)</f>
        <v>1762.92</v>
      </c>
      <c r="N1769" s="5">
        <f t="shared" si="27"/>
        <v>8373.8700000000008</v>
      </c>
    </row>
    <row r="1770" spans="1:14" x14ac:dyDescent="0.3">
      <c r="A1770" t="s">
        <v>2626</v>
      </c>
      <c r="B1770" s="2">
        <v>45909</v>
      </c>
      <c r="C1770" t="s">
        <v>250</v>
      </c>
      <c r="D1770" t="s">
        <v>769</v>
      </c>
      <c r="E1770" t="s">
        <v>842</v>
      </c>
      <c r="F1770">
        <v>4</v>
      </c>
      <c r="G1770">
        <v>0.1</v>
      </c>
      <c r="H1770" t="s">
        <v>858</v>
      </c>
      <c r="I1770" t="str">
        <f>VLOOKUP(C1770,Customers!A:C,2,FALSE)&amp;" "&amp;VLOOKUP(C1770,Customers!A:C,3,FALSE)</f>
        <v>Jason Jenkins</v>
      </c>
      <c r="J1770" t="str">
        <f>VLOOKUP(D1770,Products!A:C,2,FALSE)</f>
        <v>How Vegetables</v>
      </c>
      <c r="K1770" t="str">
        <f>VLOOKUP(D1770,Products!A:C,3,FALSE)</f>
        <v>Groceries</v>
      </c>
      <c r="L1770" t="str">
        <f>VLOOKUP(E1770,Stores!A:B,2,FALSE)</f>
        <v>MegaMart Brianahaven</v>
      </c>
      <c r="M1770">
        <f>VLOOKUP(D1770,Products!A:E,5,FALSE)</f>
        <v>25.57</v>
      </c>
      <c r="N1770" s="5">
        <f t="shared" si="27"/>
        <v>92.052000000000007</v>
      </c>
    </row>
    <row r="1771" spans="1:14" x14ac:dyDescent="0.3">
      <c r="A1771" t="s">
        <v>2627</v>
      </c>
      <c r="B1771" s="2">
        <v>45826</v>
      </c>
      <c r="C1771" t="s">
        <v>277</v>
      </c>
      <c r="D1771" t="s">
        <v>782</v>
      </c>
      <c r="E1771" t="s">
        <v>842</v>
      </c>
      <c r="F1771">
        <v>5</v>
      </c>
      <c r="G1771">
        <v>0.15</v>
      </c>
      <c r="H1771" t="s">
        <v>865</v>
      </c>
      <c r="I1771" t="str">
        <f>VLOOKUP(C1771,Customers!A:C,2,FALSE)&amp;" "&amp;VLOOKUP(C1771,Customers!A:C,3,FALSE)</f>
        <v>Carl Armstrong</v>
      </c>
      <c r="J1771" t="str">
        <f>VLOOKUP(D1771,Products!A:C,2,FALSE)</f>
        <v>Deal Smartphone</v>
      </c>
      <c r="K1771" t="str">
        <f>VLOOKUP(D1771,Products!A:C,3,FALSE)</f>
        <v>Electronics</v>
      </c>
      <c r="L1771" t="str">
        <f>VLOOKUP(E1771,Stores!A:B,2,FALSE)</f>
        <v>MegaMart Brianahaven</v>
      </c>
      <c r="M1771">
        <f>VLOOKUP(D1771,Products!A:E,5,FALSE)</f>
        <v>673.78</v>
      </c>
      <c r="N1771" s="5">
        <f t="shared" si="27"/>
        <v>2863.5649999999996</v>
      </c>
    </row>
    <row r="1772" spans="1:14" x14ac:dyDescent="0.3">
      <c r="A1772" t="s">
        <v>2628</v>
      </c>
      <c r="B1772" s="2">
        <v>45304</v>
      </c>
      <c r="C1772" t="s">
        <v>324</v>
      </c>
      <c r="D1772" t="s">
        <v>755</v>
      </c>
      <c r="E1772" t="s">
        <v>835</v>
      </c>
      <c r="F1772">
        <v>4</v>
      </c>
      <c r="G1772">
        <v>0.05</v>
      </c>
      <c r="H1772" t="s">
        <v>861</v>
      </c>
      <c r="I1772" t="str">
        <f>VLOOKUP(C1772,Customers!A:C,2,FALSE)&amp;" "&amp;VLOOKUP(C1772,Customers!A:C,3,FALSE)</f>
        <v>Lawrence Hunter</v>
      </c>
      <c r="J1772" t="str">
        <f>VLOOKUP(D1772,Products!A:C,2,FALSE)</f>
        <v>House Accessories</v>
      </c>
      <c r="K1772" t="str">
        <f>VLOOKUP(D1772,Products!A:C,3,FALSE)</f>
        <v>Fashion</v>
      </c>
      <c r="L1772" t="str">
        <f>VLOOKUP(E1772,Stores!A:B,2,FALSE)</f>
        <v>MegaMart Peckmouth</v>
      </c>
      <c r="M1772">
        <f>VLOOKUP(D1772,Products!A:E,5,FALSE)</f>
        <v>1858.75</v>
      </c>
      <c r="N1772" s="5">
        <f t="shared" si="27"/>
        <v>7063.25</v>
      </c>
    </row>
    <row r="1773" spans="1:14" x14ac:dyDescent="0.3">
      <c r="A1773" t="s">
        <v>2629</v>
      </c>
      <c r="B1773" s="2">
        <v>45209</v>
      </c>
      <c r="C1773" t="s">
        <v>191</v>
      </c>
      <c r="D1773" t="s">
        <v>796</v>
      </c>
      <c r="E1773" t="s">
        <v>831</v>
      </c>
      <c r="F1773">
        <v>1</v>
      </c>
      <c r="G1773">
        <v>0.1</v>
      </c>
      <c r="H1773" t="s">
        <v>858</v>
      </c>
      <c r="I1773" t="str">
        <f>VLOOKUP(C1773,Customers!A:C,2,FALSE)&amp;" "&amp;VLOOKUP(C1773,Customers!A:C,3,FALSE)</f>
        <v>Antonio Hamilton</v>
      </c>
      <c r="J1773" t="str">
        <f>VLOOKUP(D1773,Products!A:C,2,FALSE)</f>
        <v>Chair Laptop</v>
      </c>
      <c r="K1773" t="str">
        <f>VLOOKUP(D1773,Products!A:C,3,FALSE)</f>
        <v>Electronics</v>
      </c>
      <c r="L1773" t="str">
        <f>VLOOKUP(E1773,Stores!A:B,2,FALSE)</f>
        <v>MegaMart Jimenezborough</v>
      </c>
      <c r="M1773">
        <f>VLOOKUP(D1773,Products!A:E,5,FALSE)</f>
        <v>1562.43</v>
      </c>
      <c r="N1773" s="5">
        <f t="shared" si="27"/>
        <v>1406.1870000000001</v>
      </c>
    </row>
    <row r="1774" spans="1:14" x14ac:dyDescent="0.3">
      <c r="A1774" t="s">
        <v>2630</v>
      </c>
      <c r="B1774" s="2">
        <v>45886</v>
      </c>
      <c r="C1774" t="s">
        <v>390</v>
      </c>
      <c r="D1774" t="s">
        <v>812</v>
      </c>
      <c r="E1774" t="s">
        <v>842</v>
      </c>
      <c r="F1774">
        <v>4</v>
      </c>
      <c r="G1774">
        <v>0.1</v>
      </c>
      <c r="H1774" t="s">
        <v>858</v>
      </c>
      <c r="I1774" t="str">
        <f>VLOOKUP(C1774,Customers!A:C,2,FALSE)&amp;" "&amp;VLOOKUP(C1774,Customers!A:C,3,FALSE)</f>
        <v>Brenda Dean</v>
      </c>
      <c r="J1774" t="str">
        <f>VLOOKUP(D1774,Products!A:C,2,FALSE)</f>
        <v>Soon Accessories</v>
      </c>
      <c r="K1774" t="str">
        <f>VLOOKUP(D1774,Products!A:C,3,FALSE)</f>
        <v>Fashion</v>
      </c>
      <c r="L1774" t="str">
        <f>VLOOKUP(E1774,Stores!A:B,2,FALSE)</f>
        <v>MegaMart Brianahaven</v>
      </c>
      <c r="M1774">
        <f>VLOOKUP(D1774,Products!A:E,5,FALSE)</f>
        <v>564.41999999999996</v>
      </c>
      <c r="N1774" s="5">
        <f t="shared" si="27"/>
        <v>2031.9119999999998</v>
      </c>
    </row>
    <row r="1775" spans="1:14" x14ac:dyDescent="0.3">
      <c r="A1775" t="s">
        <v>2631</v>
      </c>
      <c r="B1775" s="2">
        <v>45534</v>
      </c>
      <c r="C1775" t="s">
        <v>464</v>
      </c>
      <c r="D1775" t="s">
        <v>784</v>
      </c>
      <c r="E1775" t="s">
        <v>839</v>
      </c>
      <c r="F1775">
        <v>5</v>
      </c>
      <c r="G1775">
        <v>0</v>
      </c>
      <c r="H1775" t="s">
        <v>858</v>
      </c>
      <c r="I1775" t="str">
        <f>VLOOKUP(C1775,Customers!A:C,2,FALSE)&amp;" "&amp;VLOOKUP(C1775,Customers!A:C,3,FALSE)</f>
        <v>Monique Johnson</v>
      </c>
      <c r="J1775" t="str">
        <f>VLOOKUP(D1775,Products!A:C,2,FALSE)</f>
        <v>Road Clothing</v>
      </c>
      <c r="K1775" t="str">
        <f>VLOOKUP(D1775,Products!A:C,3,FALSE)</f>
        <v>Fashion</v>
      </c>
      <c r="L1775" t="str">
        <f>VLOOKUP(E1775,Stores!A:B,2,FALSE)</f>
        <v>MegaMart New Michele</v>
      </c>
      <c r="M1775">
        <f>VLOOKUP(D1775,Products!A:E,5,FALSE)</f>
        <v>1485.05</v>
      </c>
      <c r="N1775" s="5">
        <f t="shared" si="27"/>
        <v>7425.25</v>
      </c>
    </row>
    <row r="1776" spans="1:14" x14ac:dyDescent="0.3">
      <c r="A1776" t="s">
        <v>2632</v>
      </c>
      <c r="B1776" s="2">
        <v>45725</v>
      </c>
      <c r="C1776" t="s">
        <v>44</v>
      </c>
      <c r="D1776" t="s">
        <v>786</v>
      </c>
      <c r="E1776" t="s">
        <v>831</v>
      </c>
      <c r="F1776">
        <v>4</v>
      </c>
      <c r="G1776">
        <v>0.05</v>
      </c>
      <c r="H1776" t="s">
        <v>861</v>
      </c>
      <c r="I1776" t="str">
        <f>VLOOKUP(C1776,Customers!A:C,2,FALSE)&amp;" "&amp;VLOOKUP(C1776,Customers!A:C,3,FALSE)</f>
        <v>Catherine Rice</v>
      </c>
      <c r="J1776" t="str">
        <f>VLOOKUP(D1776,Products!A:C,2,FALSE)</f>
        <v>National Watches</v>
      </c>
      <c r="K1776" t="str">
        <f>VLOOKUP(D1776,Products!A:C,3,FALSE)</f>
        <v>Fashion</v>
      </c>
      <c r="L1776" t="str">
        <f>VLOOKUP(E1776,Stores!A:B,2,FALSE)</f>
        <v>MegaMart Jimenezborough</v>
      </c>
      <c r="M1776">
        <f>VLOOKUP(D1776,Products!A:E,5,FALSE)</f>
        <v>29.24</v>
      </c>
      <c r="N1776" s="5">
        <f t="shared" si="27"/>
        <v>111.11199999999999</v>
      </c>
    </row>
    <row r="1777" spans="1:14" x14ac:dyDescent="0.3">
      <c r="A1777" t="s">
        <v>2633</v>
      </c>
      <c r="B1777" s="2">
        <v>45769</v>
      </c>
      <c r="C1777" t="s">
        <v>690</v>
      </c>
      <c r="D1777" t="s">
        <v>778</v>
      </c>
      <c r="E1777" t="s">
        <v>842</v>
      </c>
      <c r="F1777">
        <v>3</v>
      </c>
      <c r="G1777">
        <v>0.1</v>
      </c>
      <c r="H1777" t="s">
        <v>858</v>
      </c>
      <c r="I1777" t="str">
        <f>VLOOKUP(C1777,Customers!A:C,2,FALSE)&amp;" "&amp;VLOOKUP(C1777,Customers!A:C,3,FALSE)</f>
        <v>James Noble</v>
      </c>
      <c r="J1777" t="str">
        <f>VLOOKUP(D1777,Products!A:C,2,FALSE)</f>
        <v>Behavior Dairy</v>
      </c>
      <c r="K1777" t="str">
        <f>VLOOKUP(D1777,Products!A:C,3,FALSE)</f>
        <v>Groceries</v>
      </c>
      <c r="L1777" t="str">
        <f>VLOOKUP(E1777,Stores!A:B,2,FALSE)</f>
        <v>MegaMart Brianahaven</v>
      </c>
      <c r="M1777">
        <f>VLOOKUP(D1777,Products!A:E,5,FALSE)</f>
        <v>1015.76</v>
      </c>
      <c r="N1777" s="5">
        <f t="shared" si="27"/>
        <v>2742.5519999999997</v>
      </c>
    </row>
    <row r="1778" spans="1:14" x14ac:dyDescent="0.3">
      <c r="A1778" t="s">
        <v>2634</v>
      </c>
      <c r="B1778" s="2">
        <v>45782</v>
      </c>
      <c r="C1778" t="s">
        <v>582</v>
      </c>
      <c r="D1778" t="s">
        <v>739</v>
      </c>
      <c r="E1778" t="s">
        <v>839</v>
      </c>
      <c r="F1778">
        <v>1</v>
      </c>
      <c r="G1778">
        <v>0.15</v>
      </c>
      <c r="H1778" t="s">
        <v>858</v>
      </c>
      <c r="I1778" t="str">
        <f>VLOOKUP(C1778,Customers!A:C,2,FALSE)&amp;" "&amp;VLOOKUP(C1778,Customers!A:C,3,FALSE)</f>
        <v>Erin Rogers</v>
      </c>
      <c r="J1778" t="str">
        <f>VLOOKUP(D1778,Products!A:C,2,FALSE)</f>
        <v>Step Smartphone</v>
      </c>
      <c r="K1778" t="str">
        <f>VLOOKUP(D1778,Products!A:C,3,FALSE)</f>
        <v>Electronics</v>
      </c>
      <c r="L1778" t="str">
        <f>VLOOKUP(E1778,Stores!A:B,2,FALSE)</f>
        <v>MegaMart New Michele</v>
      </c>
      <c r="M1778">
        <f>VLOOKUP(D1778,Products!A:E,5,FALSE)</f>
        <v>1194.1199999999999</v>
      </c>
      <c r="N1778" s="5">
        <f t="shared" si="27"/>
        <v>1015.0019999999998</v>
      </c>
    </row>
    <row r="1779" spans="1:14" x14ac:dyDescent="0.3">
      <c r="A1779" t="s">
        <v>2635</v>
      </c>
      <c r="B1779" s="2">
        <v>45873</v>
      </c>
      <c r="C1779" t="s">
        <v>666</v>
      </c>
      <c r="D1779" t="s">
        <v>792</v>
      </c>
      <c r="E1779" t="s">
        <v>835</v>
      </c>
      <c r="F1779">
        <v>2</v>
      </c>
      <c r="G1779">
        <v>0.15</v>
      </c>
      <c r="H1779" t="s">
        <v>865</v>
      </c>
      <c r="I1779" t="str">
        <f>VLOOKUP(C1779,Customers!A:C,2,FALSE)&amp;" "&amp;VLOOKUP(C1779,Customers!A:C,3,FALSE)</f>
        <v>Steve Flynn</v>
      </c>
      <c r="J1779" t="str">
        <f>VLOOKUP(D1779,Products!A:C,2,FALSE)</f>
        <v>Beat Accessories</v>
      </c>
      <c r="K1779" t="str">
        <f>VLOOKUP(D1779,Products!A:C,3,FALSE)</f>
        <v>Fashion</v>
      </c>
      <c r="L1779" t="str">
        <f>VLOOKUP(E1779,Stores!A:B,2,FALSE)</f>
        <v>MegaMart Peckmouth</v>
      </c>
      <c r="M1779">
        <f>VLOOKUP(D1779,Products!A:E,5,FALSE)</f>
        <v>1798.97</v>
      </c>
      <c r="N1779" s="5">
        <f t="shared" si="27"/>
        <v>3058.2489999999998</v>
      </c>
    </row>
    <row r="1780" spans="1:14" x14ac:dyDescent="0.3">
      <c r="A1780" t="s">
        <v>2636</v>
      </c>
      <c r="B1780" s="2">
        <v>45402</v>
      </c>
      <c r="C1780" t="s">
        <v>351</v>
      </c>
      <c r="D1780" t="s">
        <v>769</v>
      </c>
      <c r="E1780" t="s">
        <v>831</v>
      </c>
      <c r="F1780">
        <v>2</v>
      </c>
      <c r="G1780">
        <v>0.1</v>
      </c>
      <c r="H1780" t="s">
        <v>858</v>
      </c>
      <c r="I1780" t="str">
        <f>VLOOKUP(C1780,Customers!A:C,2,FALSE)&amp;" "&amp;VLOOKUP(C1780,Customers!A:C,3,FALSE)</f>
        <v>Stanley Brown</v>
      </c>
      <c r="J1780" t="str">
        <f>VLOOKUP(D1780,Products!A:C,2,FALSE)</f>
        <v>How Vegetables</v>
      </c>
      <c r="K1780" t="str">
        <f>VLOOKUP(D1780,Products!A:C,3,FALSE)</f>
        <v>Groceries</v>
      </c>
      <c r="L1780" t="str">
        <f>VLOOKUP(E1780,Stores!A:B,2,FALSE)</f>
        <v>MegaMart Jimenezborough</v>
      </c>
      <c r="M1780">
        <f>VLOOKUP(D1780,Products!A:E,5,FALSE)</f>
        <v>25.57</v>
      </c>
      <c r="N1780" s="5">
        <f t="shared" si="27"/>
        <v>46.026000000000003</v>
      </c>
    </row>
    <row r="1781" spans="1:14" x14ac:dyDescent="0.3">
      <c r="A1781" t="s">
        <v>2637</v>
      </c>
      <c r="B1781" s="2">
        <v>45690</v>
      </c>
      <c r="C1781" t="s">
        <v>621</v>
      </c>
      <c r="D1781" t="s">
        <v>802</v>
      </c>
      <c r="E1781" t="s">
        <v>835</v>
      </c>
      <c r="F1781">
        <v>3</v>
      </c>
      <c r="G1781">
        <v>0.05</v>
      </c>
      <c r="H1781" t="s">
        <v>861</v>
      </c>
      <c r="I1781" t="str">
        <f>VLOOKUP(C1781,Customers!A:C,2,FALSE)&amp;" "&amp;VLOOKUP(C1781,Customers!A:C,3,FALSE)</f>
        <v>Stacey Thompson</v>
      </c>
      <c r="J1781" t="str">
        <f>VLOOKUP(D1781,Products!A:C,2,FALSE)</f>
        <v>Stage Footwear</v>
      </c>
      <c r="K1781" t="str">
        <f>VLOOKUP(D1781,Products!A:C,3,FALSE)</f>
        <v>Fashion</v>
      </c>
      <c r="L1781" t="str">
        <f>VLOOKUP(E1781,Stores!A:B,2,FALSE)</f>
        <v>MegaMart Peckmouth</v>
      </c>
      <c r="M1781">
        <f>VLOOKUP(D1781,Products!A:E,5,FALSE)</f>
        <v>366.93</v>
      </c>
      <c r="N1781" s="5">
        <f t="shared" si="27"/>
        <v>1045.7504999999999</v>
      </c>
    </row>
    <row r="1782" spans="1:14" x14ac:dyDescent="0.3">
      <c r="A1782" t="s">
        <v>2638</v>
      </c>
      <c r="B1782" s="2">
        <v>45860</v>
      </c>
      <c r="C1782" t="s">
        <v>20</v>
      </c>
      <c r="D1782" t="s">
        <v>796</v>
      </c>
      <c r="E1782" t="s">
        <v>831</v>
      </c>
      <c r="F1782">
        <v>1</v>
      </c>
      <c r="G1782">
        <v>0.15</v>
      </c>
      <c r="H1782" t="s">
        <v>858</v>
      </c>
      <c r="I1782" t="str">
        <f>VLOOKUP(C1782,Customers!A:C,2,FALSE)&amp;" "&amp;VLOOKUP(C1782,Customers!A:C,3,FALSE)</f>
        <v>Joseph Ward</v>
      </c>
      <c r="J1782" t="str">
        <f>VLOOKUP(D1782,Products!A:C,2,FALSE)</f>
        <v>Chair Laptop</v>
      </c>
      <c r="K1782" t="str">
        <f>VLOOKUP(D1782,Products!A:C,3,FALSE)</f>
        <v>Electronics</v>
      </c>
      <c r="L1782" t="str">
        <f>VLOOKUP(E1782,Stores!A:B,2,FALSE)</f>
        <v>MegaMart Jimenezborough</v>
      </c>
      <c r="M1782">
        <f>VLOOKUP(D1782,Products!A:E,5,FALSE)</f>
        <v>1562.43</v>
      </c>
      <c r="N1782" s="5">
        <f t="shared" si="27"/>
        <v>1328.0654999999999</v>
      </c>
    </row>
    <row r="1783" spans="1:14" x14ac:dyDescent="0.3">
      <c r="A1783" t="s">
        <v>2639</v>
      </c>
      <c r="B1783" s="2">
        <v>45191</v>
      </c>
      <c r="C1783" t="s">
        <v>640</v>
      </c>
      <c r="D1783" t="s">
        <v>782</v>
      </c>
      <c r="E1783" t="s">
        <v>846</v>
      </c>
      <c r="F1783">
        <v>1</v>
      </c>
      <c r="G1783">
        <v>0.05</v>
      </c>
      <c r="H1783" t="s">
        <v>858</v>
      </c>
      <c r="I1783" t="str">
        <f>VLOOKUP(C1783,Customers!A:C,2,FALSE)&amp;" "&amp;VLOOKUP(C1783,Customers!A:C,3,FALSE)</f>
        <v>Brittany Oneal</v>
      </c>
      <c r="J1783" t="str">
        <f>VLOOKUP(D1783,Products!A:C,2,FALSE)</f>
        <v>Deal Smartphone</v>
      </c>
      <c r="K1783" t="str">
        <f>VLOOKUP(D1783,Products!A:C,3,FALSE)</f>
        <v>Electronics</v>
      </c>
      <c r="L1783" t="str">
        <f>VLOOKUP(E1783,Stores!A:B,2,FALSE)</f>
        <v>MegaMart Johnmouth</v>
      </c>
      <c r="M1783">
        <f>VLOOKUP(D1783,Products!A:E,5,FALSE)</f>
        <v>673.78</v>
      </c>
      <c r="N1783" s="5">
        <f t="shared" si="27"/>
        <v>640.09099999999989</v>
      </c>
    </row>
    <row r="1784" spans="1:14" x14ac:dyDescent="0.3">
      <c r="A1784" t="s">
        <v>2640</v>
      </c>
      <c r="B1784" s="2">
        <v>45370</v>
      </c>
      <c r="C1784" t="s">
        <v>167</v>
      </c>
      <c r="D1784" t="s">
        <v>778</v>
      </c>
      <c r="E1784" t="s">
        <v>842</v>
      </c>
      <c r="F1784">
        <v>3</v>
      </c>
      <c r="G1784">
        <v>0.1</v>
      </c>
      <c r="H1784" t="s">
        <v>858</v>
      </c>
      <c r="I1784" t="str">
        <f>VLOOKUP(C1784,Customers!A:C,2,FALSE)&amp;" "&amp;VLOOKUP(C1784,Customers!A:C,3,FALSE)</f>
        <v>Kenneth Allen</v>
      </c>
      <c r="J1784" t="str">
        <f>VLOOKUP(D1784,Products!A:C,2,FALSE)</f>
        <v>Behavior Dairy</v>
      </c>
      <c r="K1784" t="str">
        <f>VLOOKUP(D1784,Products!A:C,3,FALSE)</f>
        <v>Groceries</v>
      </c>
      <c r="L1784" t="str">
        <f>VLOOKUP(E1784,Stores!A:B,2,FALSE)</f>
        <v>MegaMart Brianahaven</v>
      </c>
      <c r="M1784">
        <f>VLOOKUP(D1784,Products!A:E,5,FALSE)</f>
        <v>1015.76</v>
      </c>
      <c r="N1784" s="5">
        <f t="shared" si="27"/>
        <v>2742.5519999999997</v>
      </c>
    </row>
    <row r="1785" spans="1:14" x14ac:dyDescent="0.3">
      <c r="A1785" t="s">
        <v>2641</v>
      </c>
      <c r="B1785" s="2">
        <v>45577</v>
      </c>
      <c r="C1785" t="s">
        <v>545</v>
      </c>
      <c r="D1785" t="s">
        <v>778</v>
      </c>
      <c r="E1785" t="s">
        <v>839</v>
      </c>
      <c r="F1785">
        <v>4</v>
      </c>
      <c r="G1785">
        <v>0</v>
      </c>
      <c r="H1785" t="s">
        <v>865</v>
      </c>
      <c r="I1785" t="str">
        <f>VLOOKUP(C1785,Customers!A:C,2,FALSE)&amp;" "&amp;VLOOKUP(C1785,Customers!A:C,3,FALSE)</f>
        <v>Dawn Fletcher</v>
      </c>
      <c r="J1785" t="str">
        <f>VLOOKUP(D1785,Products!A:C,2,FALSE)</f>
        <v>Behavior Dairy</v>
      </c>
      <c r="K1785" t="str">
        <f>VLOOKUP(D1785,Products!A:C,3,FALSE)</f>
        <v>Groceries</v>
      </c>
      <c r="L1785" t="str">
        <f>VLOOKUP(E1785,Stores!A:B,2,FALSE)</f>
        <v>MegaMart New Michele</v>
      </c>
      <c r="M1785">
        <f>VLOOKUP(D1785,Products!A:E,5,FALSE)</f>
        <v>1015.76</v>
      </c>
      <c r="N1785" s="5">
        <f t="shared" si="27"/>
        <v>4063.04</v>
      </c>
    </row>
    <row r="1786" spans="1:14" x14ac:dyDescent="0.3">
      <c r="A1786" t="s">
        <v>2642</v>
      </c>
      <c r="B1786" s="2">
        <v>45234</v>
      </c>
      <c r="C1786" t="s">
        <v>582</v>
      </c>
      <c r="D1786" t="s">
        <v>769</v>
      </c>
      <c r="E1786" t="s">
        <v>846</v>
      </c>
      <c r="F1786">
        <v>3</v>
      </c>
      <c r="G1786">
        <v>0.05</v>
      </c>
      <c r="H1786" t="s">
        <v>855</v>
      </c>
      <c r="I1786" t="str">
        <f>VLOOKUP(C1786,Customers!A:C,2,FALSE)&amp;" "&amp;VLOOKUP(C1786,Customers!A:C,3,FALSE)</f>
        <v>Erin Rogers</v>
      </c>
      <c r="J1786" t="str">
        <f>VLOOKUP(D1786,Products!A:C,2,FALSE)</f>
        <v>How Vegetables</v>
      </c>
      <c r="K1786" t="str">
        <f>VLOOKUP(D1786,Products!A:C,3,FALSE)</f>
        <v>Groceries</v>
      </c>
      <c r="L1786" t="str">
        <f>VLOOKUP(E1786,Stores!A:B,2,FALSE)</f>
        <v>MegaMart Johnmouth</v>
      </c>
      <c r="M1786">
        <f>VLOOKUP(D1786,Products!A:E,5,FALSE)</f>
        <v>25.57</v>
      </c>
      <c r="N1786" s="5">
        <f t="shared" si="27"/>
        <v>72.874499999999998</v>
      </c>
    </row>
    <row r="1787" spans="1:14" x14ac:dyDescent="0.3">
      <c r="A1787" t="s">
        <v>2643</v>
      </c>
      <c r="B1787" s="2">
        <v>45865</v>
      </c>
      <c r="C1787" t="s">
        <v>677</v>
      </c>
      <c r="D1787" t="s">
        <v>734</v>
      </c>
      <c r="E1787" t="s">
        <v>835</v>
      </c>
      <c r="F1787">
        <v>4</v>
      </c>
      <c r="G1787">
        <v>0.1</v>
      </c>
      <c r="H1787" t="s">
        <v>865</v>
      </c>
      <c r="I1787" t="str">
        <f>VLOOKUP(C1787,Customers!A:C,2,FALSE)&amp;" "&amp;VLOOKUP(C1787,Customers!A:C,3,FALSE)</f>
        <v>James Wilson</v>
      </c>
      <c r="J1787" t="str">
        <f>VLOOKUP(D1787,Products!A:C,2,FALSE)</f>
        <v>Recognize Footwear</v>
      </c>
      <c r="K1787" t="str">
        <f>VLOOKUP(D1787,Products!A:C,3,FALSE)</f>
        <v>Fashion</v>
      </c>
      <c r="L1787" t="str">
        <f>VLOOKUP(E1787,Stores!A:B,2,FALSE)</f>
        <v>MegaMart Peckmouth</v>
      </c>
      <c r="M1787">
        <f>VLOOKUP(D1787,Products!A:E,5,FALSE)</f>
        <v>109.78</v>
      </c>
      <c r="N1787" s="5">
        <f t="shared" si="27"/>
        <v>395.20800000000003</v>
      </c>
    </row>
    <row r="1788" spans="1:14" x14ac:dyDescent="0.3">
      <c r="A1788" t="s">
        <v>2644</v>
      </c>
      <c r="B1788" s="2">
        <v>45201</v>
      </c>
      <c r="C1788" t="s">
        <v>171</v>
      </c>
      <c r="D1788" t="s">
        <v>766</v>
      </c>
      <c r="E1788" t="s">
        <v>842</v>
      </c>
      <c r="F1788">
        <v>1</v>
      </c>
      <c r="G1788">
        <v>0</v>
      </c>
      <c r="H1788" t="s">
        <v>865</v>
      </c>
      <c r="I1788" t="str">
        <f>VLOOKUP(C1788,Customers!A:C,2,FALSE)&amp;" "&amp;VLOOKUP(C1788,Customers!A:C,3,FALSE)</f>
        <v>Parker Sparks</v>
      </c>
      <c r="J1788" t="str">
        <f>VLOOKUP(D1788,Products!A:C,2,FALSE)</f>
        <v>Firm Dairy</v>
      </c>
      <c r="K1788" t="str">
        <f>VLOOKUP(D1788,Products!A:C,3,FALSE)</f>
        <v>Groceries</v>
      </c>
      <c r="L1788" t="str">
        <f>VLOOKUP(E1788,Stores!A:B,2,FALSE)</f>
        <v>MegaMart Brianahaven</v>
      </c>
      <c r="M1788">
        <f>VLOOKUP(D1788,Products!A:E,5,FALSE)</f>
        <v>1227.24</v>
      </c>
      <c r="N1788" s="5">
        <f t="shared" si="27"/>
        <v>1227.24</v>
      </c>
    </row>
    <row r="1789" spans="1:14" x14ac:dyDescent="0.3">
      <c r="A1789" t="s">
        <v>2645</v>
      </c>
      <c r="B1789" s="2">
        <v>45390</v>
      </c>
      <c r="C1789" t="s">
        <v>700</v>
      </c>
      <c r="D1789" t="s">
        <v>802</v>
      </c>
      <c r="E1789" t="s">
        <v>842</v>
      </c>
      <c r="F1789">
        <v>5</v>
      </c>
      <c r="G1789">
        <v>0.15</v>
      </c>
      <c r="H1789" t="s">
        <v>855</v>
      </c>
      <c r="I1789" t="str">
        <f>VLOOKUP(C1789,Customers!A:C,2,FALSE)&amp;" "&amp;VLOOKUP(C1789,Customers!A:C,3,FALSE)</f>
        <v>Juan Johnson</v>
      </c>
      <c r="J1789" t="str">
        <f>VLOOKUP(D1789,Products!A:C,2,FALSE)</f>
        <v>Stage Footwear</v>
      </c>
      <c r="K1789" t="str">
        <f>VLOOKUP(D1789,Products!A:C,3,FALSE)</f>
        <v>Fashion</v>
      </c>
      <c r="L1789" t="str">
        <f>VLOOKUP(E1789,Stores!A:B,2,FALSE)</f>
        <v>MegaMart Brianahaven</v>
      </c>
      <c r="M1789">
        <f>VLOOKUP(D1789,Products!A:E,5,FALSE)</f>
        <v>366.93</v>
      </c>
      <c r="N1789" s="5">
        <f t="shared" si="27"/>
        <v>1559.4525000000001</v>
      </c>
    </row>
    <row r="1790" spans="1:14" x14ac:dyDescent="0.3">
      <c r="A1790" t="s">
        <v>2646</v>
      </c>
      <c r="B1790" s="2">
        <v>45446</v>
      </c>
      <c r="C1790" t="s">
        <v>664</v>
      </c>
      <c r="D1790" t="s">
        <v>824</v>
      </c>
      <c r="E1790" t="s">
        <v>842</v>
      </c>
      <c r="F1790">
        <v>2</v>
      </c>
      <c r="G1790">
        <v>0.05</v>
      </c>
      <c r="H1790" t="s">
        <v>855</v>
      </c>
      <c r="I1790" t="str">
        <f>VLOOKUP(C1790,Customers!A:C,2,FALSE)&amp;" "&amp;VLOOKUP(C1790,Customers!A:C,3,FALSE)</f>
        <v>Ryan Flores</v>
      </c>
      <c r="J1790" t="str">
        <f>VLOOKUP(D1790,Products!A:C,2,FALSE)</f>
        <v>Possible Watches</v>
      </c>
      <c r="K1790" t="str">
        <f>VLOOKUP(D1790,Products!A:C,3,FALSE)</f>
        <v>Fashion</v>
      </c>
      <c r="L1790" t="str">
        <f>VLOOKUP(E1790,Stores!A:B,2,FALSE)</f>
        <v>MegaMart Brianahaven</v>
      </c>
      <c r="M1790">
        <f>VLOOKUP(D1790,Products!A:E,5,FALSE)</f>
        <v>388.26</v>
      </c>
      <c r="N1790" s="5">
        <f t="shared" si="27"/>
        <v>737.69399999999996</v>
      </c>
    </row>
    <row r="1791" spans="1:14" x14ac:dyDescent="0.3">
      <c r="A1791" t="s">
        <v>2647</v>
      </c>
      <c r="B1791" s="2">
        <v>45196</v>
      </c>
      <c r="C1791" t="s">
        <v>187</v>
      </c>
      <c r="D1791" t="s">
        <v>822</v>
      </c>
      <c r="E1791" t="s">
        <v>835</v>
      </c>
      <c r="F1791">
        <v>2</v>
      </c>
      <c r="G1791">
        <v>0.15</v>
      </c>
      <c r="H1791" t="s">
        <v>861</v>
      </c>
      <c r="I1791" t="str">
        <f>VLOOKUP(C1791,Customers!A:C,2,FALSE)&amp;" "&amp;VLOOKUP(C1791,Customers!A:C,3,FALSE)</f>
        <v>Alexis Crane</v>
      </c>
      <c r="J1791" t="str">
        <f>VLOOKUP(D1791,Products!A:C,2,FALSE)</f>
        <v>Nor Bags</v>
      </c>
      <c r="K1791" t="str">
        <f>VLOOKUP(D1791,Products!A:C,3,FALSE)</f>
        <v>Fashion</v>
      </c>
      <c r="L1791" t="str">
        <f>VLOOKUP(E1791,Stores!A:B,2,FALSE)</f>
        <v>MegaMart Peckmouth</v>
      </c>
      <c r="M1791">
        <f>VLOOKUP(D1791,Products!A:E,5,FALSE)</f>
        <v>1216.3599999999999</v>
      </c>
      <c r="N1791" s="5">
        <f t="shared" si="27"/>
        <v>2067.8119999999999</v>
      </c>
    </row>
    <row r="1792" spans="1:14" x14ac:dyDescent="0.3">
      <c r="A1792" t="s">
        <v>2648</v>
      </c>
      <c r="B1792" s="2">
        <v>45826</v>
      </c>
      <c r="C1792" t="s">
        <v>472</v>
      </c>
      <c r="D1792" t="s">
        <v>806</v>
      </c>
      <c r="E1792" t="s">
        <v>831</v>
      </c>
      <c r="F1792">
        <v>4</v>
      </c>
      <c r="G1792">
        <v>0.05</v>
      </c>
      <c r="H1792" t="s">
        <v>861</v>
      </c>
      <c r="I1792" t="str">
        <f>VLOOKUP(C1792,Customers!A:C,2,FALSE)&amp;" "&amp;VLOOKUP(C1792,Customers!A:C,3,FALSE)</f>
        <v>Gary Taylor</v>
      </c>
      <c r="J1792" t="str">
        <f>VLOOKUP(D1792,Products!A:C,2,FALSE)</f>
        <v>Piece Headphones</v>
      </c>
      <c r="K1792" t="str">
        <f>VLOOKUP(D1792,Products!A:C,3,FALSE)</f>
        <v>Electronics</v>
      </c>
      <c r="L1792" t="str">
        <f>VLOOKUP(E1792,Stores!A:B,2,FALSE)</f>
        <v>MegaMart Jimenezborough</v>
      </c>
      <c r="M1792">
        <f>VLOOKUP(D1792,Products!A:E,5,FALSE)</f>
        <v>1745.61</v>
      </c>
      <c r="N1792" s="5">
        <f t="shared" si="27"/>
        <v>6633.3179999999993</v>
      </c>
    </row>
    <row r="1793" spans="1:14" x14ac:dyDescent="0.3">
      <c r="A1793" t="s">
        <v>2649</v>
      </c>
      <c r="B1793" s="2">
        <v>45668</v>
      </c>
      <c r="C1793" t="s">
        <v>202</v>
      </c>
      <c r="D1793" t="s">
        <v>732</v>
      </c>
      <c r="E1793" t="s">
        <v>831</v>
      </c>
      <c r="F1793">
        <v>2</v>
      </c>
      <c r="G1793">
        <v>0.05</v>
      </c>
      <c r="H1793" t="s">
        <v>855</v>
      </c>
      <c r="I1793" t="str">
        <f>VLOOKUP(C1793,Customers!A:C,2,FALSE)&amp;" "&amp;VLOOKUP(C1793,Customers!A:C,3,FALSE)</f>
        <v>Billy Hernandez</v>
      </c>
      <c r="J1793" t="str">
        <f>VLOOKUP(D1793,Products!A:C,2,FALSE)</f>
        <v>Understand Camera</v>
      </c>
      <c r="K1793" t="str">
        <f>VLOOKUP(D1793,Products!A:C,3,FALSE)</f>
        <v>Electronics</v>
      </c>
      <c r="L1793" t="str">
        <f>VLOOKUP(E1793,Stores!A:B,2,FALSE)</f>
        <v>MegaMart Jimenezborough</v>
      </c>
      <c r="M1793">
        <f>VLOOKUP(D1793,Products!A:E,5,FALSE)</f>
        <v>1474.12</v>
      </c>
      <c r="N1793" s="5">
        <f t="shared" si="27"/>
        <v>2800.8279999999995</v>
      </c>
    </row>
    <row r="1794" spans="1:14" x14ac:dyDescent="0.3">
      <c r="A1794" t="s">
        <v>2650</v>
      </c>
      <c r="B1794" s="2">
        <v>45617</v>
      </c>
      <c r="C1794" t="s">
        <v>393</v>
      </c>
      <c r="D1794" t="s">
        <v>722</v>
      </c>
      <c r="E1794" t="s">
        <v>842</v>
      </c>
      <c r="F1794">
        <v>5</v>
      </c>
      <c r="G1794">
        <v>0</v>
      </c>
      <c r="H1794" t="s">
        <v>861</v>
      </c>
      <c r="I1794" t="str">
        <f>VLOOKUP(C1794,Customers!A:C,2,FALSE)&amp;" "&amp;VLOOKUP(C1794,Customers!A:C,3,FALSE)</f>
        <v>Kenneth Berg</v>
      </c>
      <c r="J1794" t="str">
        <f>VLOOKUP(D1794,Products!A:C,2,FALSE)</f>
        <v>Four Accessories</v>
      </c>
      <c r="K1794" t="str">
        <f>VLOOKUP(D1794,Products!A:C,3,FALSE)</f>
        <v>Fashion</v>
      </c>
      <c r="L1794" t="str">
        <f>VLOOKUP(E1794,Stores!A:B,2,FALSE)</f>
        <v>MegaMart Brianahaven</v>
      </c>
      <c r="M1794">
        <f>VLOOKUP(D1794,Products!A:E,5,FALSE)</f>
        <v>1853.77</v>
      </c>
      <c r="N1794" s="5">
        <f t="shared" si="27"/>
        <v>9268.85</v>
      </c>
    </row>
    <row r="1795" spans="1:14" x14ac:dyDescent="0.3">
      <c r="A1795" t="s">
        <v>2651</v>
      </c>
      <c r="B1795" s="2">
        <v>45570</v>
      </c>
      <c r="C1795" t="s">
        <v>85</v>
      </c>
      <c r="D1795" t="s">
        <v>774</v>
      </c>
      <c r="E1795" t="s">
        <v>839</v>
      </c>
      <c r="F1795">
        <v>1</v>
      </c>
      <c r="G1795">
        <v>0.15</v>
      </c>
      <c r="H1795" t="s">
        <v>865</v>
      </c>
      <c r="I1795" t="str">
        <f>VLOOKUP(C1795,Customers!A:C,2,FALSE)&amp;" "&amp;VLOOKUP(C1795,Customers!A:C,3,FALSE)</f>
        <v>Debbie Martin</v>
      </c>
      <c r="J1795" t="str">
        <f>VLOOKUP(D1795,Products!A:C,2,FALSE)</f>
        <v>Him Smartphone</v>
      </c>
      <c r="K1795" t="str">
        <f>VLOOKUP(D1795,Products!A:C,3,FALSE)</f>
        <v>Electronics</v>
      </c>
      <c r="L1795" t="str">
        <f>VLOOKUP(E1795,Stores!A:B,2,FALSE)</f>
        <v>MegaMart New Michele</v>
      </c>
      <c r="M1795">
        <f>VLOOKUP(D1795,Products!A:E,5,FALSE)</f>
        <v>1487.41</v>
      </c>
      <c r="N1795" s="5">
        <f t="shared" ref="N1795:N1858" si="28">F1795*M1795*(1-G1795)</f>
        <v>1264.2985000000001</v>
      </c>
    </row>
    <row r="1796" spans="1:14" x14ac:dyDescent="0.3">
      <c r="A1796" t="s">
        <v>2652</v>
      </c>
      <c r="B1796" s="2">
        <v>45402</v>
      </c>
      <c r="C1796" t="s">
        <v>270</v>
      </c>
      <c r="D1796" t="s">
        <v>766</v>
      </c>
      <c r="E1796" t="s">
        <v>831</v>
      </c>
      <c r="F1796">
        <v>3</v>
      </c>
      <c r="G1796">
        <v>0</v>
      </c>
      <c r="H1796" t="s">
        <v>861</v>
      </c>
      <c r="I1796" t="str">
        <f>VLOOKUP(C1796,Customers!A:C,2,FALSE)&amp;" "&amp;VLOOKUP(C1796,Customers!A:C,3,FALSE)</f>
        <v>Denise Gutierrez</v>
      </c>
      <c r="J1796" t="str">
        <f>VLOOKUP(D1796,Products!A:C,2,FALSE)</f>
        <v>Firm Dairy</v>
      </c>
      <c r="K1796" t="str">
        <f>VLOOKUP(D1796,Products!A:C,3,FALSE)</f>
        <v>Groceries</v>
      </c>
      <c r="L1796" t="str">
        <f>VLOOKUP(E1796,Stores!A:B,2,FALSE)</f>
        <v>MegaMart Jimenezborough</v>
      </c>
      <c r="M1796">
        <f>VLOOKUP(D1796,Products!A:E,5,FALSE)</f>
        <v>1227.24</v>
      </c>
      <c r="N1796" s="5">
        <f t="shared" si="28"/>
        <v>3681.7200000000003</v>
      </c>
    </row>
    <row r="1797" spans="1:14" x14ac:dyDescent="0.3">
      <c r="A1797" t="s">
        <v>2653</v>
      </c>
      <c r="B1797" s="2">
        <v>45789</v>
      </c>
      <c r="C1797" t="s">
        <v>454</v>
      </c>
      <c r="D1797" t="s">
        <v>794</v>
      </c>
      <c r="E1797" t="s">
        <v>842</v>
      </c>
      <c r="F1797">
        <v>1</v>
      </c>
      <c r="G1797">
        <v>0</v>
      </c>
      <c r="H1797" t="s">
        <v>865</v>
      </c>
      <c r="I1797" t="str">
        <f>VLOOKUP(C1797,Customers!A:C,2,FALSE)&amp;" "&amp;VLOOKUP(C1797,Customers!A:C,3,FALSE)</f>
        <v>Peter Edwards</v>
      </c>
      <c r="J1797" t="str">
        <f>VLOOKUP(D1797,Products!A:C,2,FALSE)</f>
        <v>Everything Laptop</v>
      </c>
      <c r="K1797" t="str">
        <f>VLOOKUP(D1797,Products!A:C,3,FALSE)</f>
        <v>Electronics</v>
      </c>
      <c r="L1797" t="str">
        <f>VLOOKUP(E1797,Stores!A:B,2,FALSE)</f>
        <v>MegaMart Brianahaven</v>
      </c>
      <c r="M1797">
        <f>VLOOKUP(D1797,Products!A:E,5,FALSE)</f>
        <v>428.05</v>
      </c>
      <c r="N1797" s="5">
        <f t="shared" si="28"/>
        <v>428.05</v>
      </c>
    </row>
    <row r="1798" spans="1:14" x14ac:dyDescent="0.3">
      <c r="A1798" t="s">
        <v>2654</v>
      </c>
      <c r="B1798" s="2">
        <v>45404</v>
      </c>
      <c r="C1798" t="s">
        <v>262</v>
      </c>
      <c r="D1798" t="s">
        <v>750</v>
      </c>
      <c r="E1798" t="s">
        <v>831</v>
      </c>
      <c r="F1798">
        <v>5</v>
      </c>
      <c r="G1798">
        <v>0</v>
      </c>
      <c r="H1798" t="s">
        <v>865</v>
      </c>
      <c r="I1798" t="str">
        <f>VLOOKUP(C1798,Customers!A:C,2,FALSE)&amp;" "&amp;VLOOKUP(C1798,Customers!A:C,3,FALSE)</f>
        <v>Gabriel Daugherty</v>
      </c>
      <c r="J1798" t="str">
        <f>VLOOKUP(D1798,Products!A:C,2,FALSE)</f>
        <v>Add Clothing</v>
      </c>
      <c r="K1798" t="str">
        <f>VLOOKUP(D1798,Products!A:C,3,FALSE)</f>
        <v>Fashion</v>
      </c>
      <c r="L1798" t="str">
        <f>VLOOKUP(E1798,Stores!A:B,2,FALSE)</f>
        <v>MegaMart Jimenezborough</v>
      </c>
      <c r="M1798">
        <f>VLOOKUP(D1798,Products!A:E,5,FALSE)</f>
        <v>1342.75</v>
      </c>
      <c r="N1798" s="5">
        <f t="shared" si="28"/>
        <v>6713.75</v>
      </c>
    </row>
    <row r="1799" spans="1:14" x14ac:dyDescent="0.3">
      <c r="A1799" t="s">
        <v>2655</v>
      </c>
      <c r="B1799" s="2">
        <v>45325</v>
      </c>
      <c r="C1799" t="s">
        <v>213</v>
      </c>
      <c r="D1799" t="s">
        <v>812</v>
      </c>
      <c r="E1799" t="s">
        <v>846</v>
      </c>
      <c r="F1799">
        <v>1</v>
      </c>
      <c r="G1799">
        <v>0.15</v>
      </c>
      <c r="H1799" t="s">
        <v>855</v>
      </c>
      <c r="I1799" t="str">
        <f>VLOOKUP(C1799,Customers!A:C,2,FALSE)&amp;" "&amp;VLOOKUP(C1799,Customers!A:C,3,FALSE)</f>
        <v>Deborah Moody</v>
      </c>
      <c r="J1799" t="str">
        <f>VLOOKUP(D1799,Products!A:C,2,FALSE)</f>
        <v>Soon Accessories</v>
      </c>
      <c r="K1799" t="str">
        <f>VLOOKUP(D1799,Products!A:C,3,FALSE)</f>
        <v>Fashion</v>
      </c>
      <c r="L1799" t="str">
        <f>VLOOKUP(E1799,Stores!A:B,2,FALSE)</f>
        <v>MegaMart Johnmouth</v>
      </c>
      <c r="M1799">
        <f>VLOOKUP(D1799,Products!A:E,5,FALSE)</f>
        <v>564.41999999999996</v>
      </c>
      <c r="N1799" s="5">
        <f t="shared" si="28"/>
        <v>479.75699999999995</v>
      </c>
    </row>
    <row r="1800" spans="1:14" x14ac:dyDescent="0.3">
      <c r="A1800" t="s">
        <v>2656</v>
      </c>
      <c r="B1800" s="2">
        <v>45489</v>
      </c>
      <c r="C1800" t="s">
        <v>462</v>
      </c>
      <c r="D1800" t="s">
        <v>782</v>
      </c>
      <c r="E1800" t="s">
        <v>842</v>
      </c>
      <c r="F1800">
        <v>3</v>
      </c>
      <c r="G1800">
        <v>0.15</v>
      </c>
      <c r="H1800" t="s">
        <v>855</v>
      </c>
      <c r="I1800" t="str">
        <f>VLOOKUP(C1800,Customers!A:C,2,FALSE)&amp;" "&amp;VLOOKUP(C1800,Customers!A:C,3,FALSE)</f>
        <v>Kimberly Parker</v>
      </c>
      <c r="J1800" t="str">
        <f>VLOOKUP(D1800,Products!A:C,2,FALSE)</f>
        <v>Deal Smartphone</v>
      </c>
      <c r="K1800" t="str">
        <f>VLOOKUP(D1800,Products!A:C,3,FALSE)</f>
        <v>Electronics</v>
      </c>
      <c r="L1800" t="str">
        <f>VLOOKUP(E1800,Stores!A:B,2,FALSE)</f>
        <v>MegaMart Brianahaven</v>
      </c>
      <c r="M1800">
        <f>VLOOKUP(D1800,Products!A:E,5,FALSE)</f>
        <v>673.78</v>
      </c>
      <c r="N1800" s="5">
        <f t="shared" si="28"/>
        <v>1718.1389999999999</v>
      </c>
    </row>
    <row r="1801" spans="1:14" x14ac:dyDescent="0.3">
      <c r="A1801" t="s">
        <v>2657</v>
      </c>
      <c r="B1801" s="2">
        <v>45240</v>
      </c>
      <c r="C1801" t="s">
        <v>358</v>
      </c>
      <c r="D1801" t="s">
        <v>728</v>
      </c>
      <c r="E1801" t="s">
        <v>839</v>
      </c>
      <c r="F1801">
        <v>3</v>
      </c>
      <c r="G1801">
        <v>0.05</v>
      </c>
      <c r="H1801" t="s">
        <v>855</v>
      </c>
      <c r="I1801" t="str">
        <f>VLOOKUP(C1801,Customers!A:C,2,FALSE)&amp;" "&amp;VLOOKUP(C1801,Customers!A:C,3,FALSE)</f>
        <v>Kevin Snyder</v>
      </c>
      <c r="J1801" t="str">
        <f>VLOOKUP(D1801,Products!A:C,2,FALSE)</f>
        <v>Company Fruits</v>
      </c>
      <c r="K1801" t="str">
        <f>VLOOKUP(D1801,Products!A:C,3,FALSE)</f>
        <v>Groceries</v>
      </c>
      <c r="L1801" t="str">
        <f>VLOOKUP(E1801,Stores!A:B,2,FALSE)</f>
        <v>MegaMart New Michele</v>
      </c>
      <c r="M1801">
        <f>VLOOKUP(D1801,Products!A:E,5,FALSE)</f>
        <v>318.05</v>
      </c>
      <c r="N1801" s="5">
        <f t="shared" si="28"/>
        <v>906.4425</v>
      </c>
    </row>
    <row r="1802" spans="1:14" x14ac:dyDescent="0.3">
      <c r="A1802" t="s">
        <v>2658</v>
      </c>
      <c r="B1802" s="2">
        <v>45663</v>
      </c>
      <c r="C1802" t="s">
        <v>608</v>
      </c>
      <c r="D1802" t="s">
        <v>778</v>
      </c>
      <c r="E1802" t="s">
        <v>842</v>
      </c>
      <c r="F1802">
        <v>4</v>
      </c>
      <c r="G1802">
        <v>0</v>
      </c>
      <c r="H1802" t="s">
        <v>855</v>
      </c>
      <c r="I1802" t="str">
        <f>VLOOKUP(C1802,Customers!A:C,2,FALSE)&amp;" "&amp;VLOOKUP(C1802,Customers!A:C,3,FALSE)</f>
        <v>Christina Dominguez</v>
      </c>
      <c r="J1802" t="str">
        <f>VLOOKUP(D1802,Products!A:C,2,FALSE)</f>
        <v>Behavior Dairy</v>
      </c>
      <c r="K1802" t="str">
        <f>VLOOKUP(D1802,Products!A:C,3,FALSE)</f>
        <v>Groceries</v>
      </c>
      <c r="L1802" t="str">
        <f>VLOOKUP(E1802,Stores!A:B,2,FALSE)</f>
        <v>MegaMart Brianahaven</v>
      </c>
      <c r="M1802">
        <f>VLOOKUP(D1802,Products!A:E,5,FALSE)</f>
        <v>1015.76</v>
      </c>
      <c r="N1802" s="5">
        <f t="shared" si="28"/>
        <v>4063.04</v>
      </c>
    </row>
    <row r="1803" spans="1:14" x14ac:dyDescent="0.3">
      <c r="A1803" t="s">
        <v>2659</v>
      </c>
      <c r="B1803" s="2">
        <v>45465</v>
      </c>
      <c r="C1803" t="s">
        <v>320</v>
      </c>
      <c r="D1803" t="s">
        <v>800</v>
      </c>
      <c r="E1803" t="s">
        <v>831</v>
      </c>
      <c r="F1803">
        <v>1</v>
      </c>
      <c r="G1803">
        <v>0.15</v>
      </c>
      <c r="H1803" t="s">
        <v>858</v>
      </c>
      <c r="I1803" t="str">
        <f>VLOOKUP(C1803,Customers!A:C,2,FALSE)&amp;" "&amp;VLOOKUP(C1803,Customers!A:C,3,FALSE)</f>
        <v>Juan Ramirez</v>
      </c>
      <c r="J1803" t="str">
        <f>VLOOKUP(D1803,Products!A:C,2,FALSE)</f>
        <v>Book Television</v>
      </c>
      <c r="K1803" t="str">
        <f>VLOOKUP(D1803,Products!A:C,3,FALSE)</f>
        <v>Electronics</v>
      </c>
      <c r="L1803" t="str">
        <f>VLOOKUP(E1803,Stores!A:B,2,FALSE)</f>
        <v>MegaMart Jimenezborough</v>
      </c>
      <c r="M1803">
        <f>VLOOKUP(D1803,Products!A:E,5,FALSE)</f>
        <v>1952.65</v>
      </c>
      <c r="N1803" s="5">
        <f t="shared" si="28"/>
        <v>1659.7525000000001</v>
      </c>
    </row>
    <row r="1804" spans="1:14" x14ac:dyDescent="0.3">
      <c r="A1804" t="s">
        <v>2660</v>
      </c>
      <c r="B1804" s="2">
        <v>45325</v>
      </c>
      <c r="C1804" t="s">
        <v>657</v>
      </c>
      <c r="D1804" t="s">
        <v>736</v>
      </c>
      <c r="E1804" t="s">
        <v>835</v>
      </c>
      <c r="F1804">
        <v>1</v>
      </c>
      <c r="G1804">
        <v>0</v>
      </c>
      <c r="H1804" t="s">
        <v>855</v>
      </c>
      <c r="I1804" t="str">
        <f>VLOOKUP(C1804,Customers!A:C,2,FALSE)&amp;" "&amp;VLOOKUP(C1804,Customers!A:C,3,FALSE)</f>
        <v>Vicki Guzman</v>
      </c>
      <c r="J1804" t="str">
        <f>VLOOKUP(D1804,Products!A:C,2,FALSE)</f>
        <v>Us Snacks</v>
      </c>
      <c r="K1804" t="str">
        <f>VLOOKUP(D1804,Products!A:C,3,FALSE)</f>
        <v>Groceries</v>
      </c>
      <c r="L1804" t="str">
        <f>VLOOKUP(E1804,Stores!A:B,2,FALSE)</f>
        <v>MegaMart Peckmouth</v>
      </c>
      <c r="M1804">
        <f>VLOOKUP(D1804,Products!A:E,5,FALSE)</f>
        <v>123.19</v>
      </c>
      <c r="N1804" s="5">
        <f t="shared" si="28"/>
        <v>123.19</v>
      </c>
    </row>
    <row r="1805" spans="1:14" x14ac:dyDescent="0.3">
      <c r="A1805" t="s">
        <v>2661</v>
      </c>
      <c r="B1805" s="2">
        <v>45662</v>
      </c>
      <c r="C1805" t="s">
        <v>636</v>
      </c>
      <c r="D1805" t="s">
        <v>804</v>
      </c>
      <c r="E1805" t="s">
        <v>835</v>
      </c>
      <c r="F1805">
        <v>3</v>
      </c>
      <c r="G1805">
        <v>0.15</v>
      </c>
      <c r="H1805" t="s">
        <v>858</v>
      </c>
      <c r="I1805" t="str">
        <f>VLOOKUP(C1805,Customers!A:C,2,FALSE)&amp;" "&amp;VLOOKUP(C1805,Customers!A:C,3,FALSE)</f>
        <v>Nichole Calhoun</v>
      </c>
      <c r="J1805" t="str">
        <f>VLOOKUP(D1805,Products!A:C,2,FALSE)</f>
        <v>Church Clothing</v>
      </c>
      <c r="K1805" t="str">
        <f>VLOOKUP(D1805,Products!A:C,3,FALSE)</f>
        <v>Fashion</v>
      </c>
      <c r="L1805" t="str">
        <f>VLOOKUP(E1805,Stores!A:B,2,FALSE)</f>
        <v>MegaMart Peckmouth</v>
      </c>
      <c r="M1805">
        <f>VLOOKUP(D1805,Products!A:E,5,FALSE)</f>
        <v>540.94000000000005</v>
      </c>
      <c r="N1805" s="5">
        <f t="shared" si="28"/>
        <v>1379.3970000000002</v>
      </c>
    </row>
    <row r="1806" spans="1:14" x14ac:dyDescent="0.3">
      <c r="A1806" t="s">
        <v>2662</v>
      </c>
      <c r="B1806" s="2">
        <v>45298</v>
      </c>
      <c r="C1806" t="s">
        <v>483</v>
      </c>
      <c r="D1806" t="s">
        <v>725</v>
      </c>
      <c r="E1806" t="s">
        <v>842</v>
      </c>
      <c r="F1806">
        <v>2</v>
      </c>
      <c r="G1806">
        <v>0</v>
      </c>
      <c r="H1806" t="s">
        <v>855</v>
      </c>
      <c r="I1806" t="str">
        <f>VLOOKUP(C1806,Customers!A:C,2,FALSE)&amp;" "&amp;VLOOKUP(C1806,Customers!A:C,3,FALSE)</f>
        <v>Jared Ochoa</v>
      </c>
      <c r="J1806" t="str">
        <f>VLOOKUP(D1806,Products!A:C,2,FALSE)</f>
        <v>Knowledge Bags</v>
      </c>
      <c r="K1806" t="str">
        <f>VLOOKUP(D1806,Products!A:C,3,FALSE)</f>
        <v>Fashion</v>
      </c>
      <c r="L1806" t="str">
        <f>VLOOKUP(E1806,Stores!A:B,2,FALSE)</f>
        <v>MegaMart Brianahaven</v>
      </c>
      <c r="M1806">
        <f>VLOOKUP(D1806,Products!A:E,5,FALSE)</f>
        <v>1396.22</v>
      </c>
      <c r="N1806" s="5">
        <f t="shared" si="28"/>
        <v>2792.44</v>
      </c>
    </row>
    <row r="1807" spans="1:14" x14ac:dyDescent="0.3">
      <c r="A1807" t="s">
        <v>2663</v>
      </c>
      <c r="B1807" s="2">
        <v>45786</v>
      </c>
      <c r="C1807" t="s">
        <v>24</v>
      </c>
      <c r="D1807" t="s">
        <v>792</v>
      </c>
      <c r="E1807" t="s">
        <v>839</v>
      </c>
      <c r="F1807">
        <v>1</v>
      </c>
      <c r="G1807">
        <v>0.1</v>
      </c>
      <c r="H1807" t="s">
        <v>858</v>
      </c>
      <c r="I1807" t="str">
        <f>VLOOKUP(C1807,Customers!A:C,2,FALSE)&amp;" "&amp;VLOOKUP(C1807,Customers!A:C,3,FALSE)</f>
        <v>Jamie Salinas</v>
      </c>
      <c r="J1807" t="str">
        <f>VLOOKUP(D1807,Products!A:C,2,FALSE)</f>
        <v>Beat Accessories</v>
      </c>
      <c r="K1807" t="str">
        <f>VLOOKUP(D1807,Products!A:C,3,FALSE)</f>
        <v>Fashion</v>
      </c>
      <c r="L1807" t="str">
        <f>VLOOKUP(E1807,Stores!A:B,2,FALSE)</f>
        <v>MegaMart New Michele</v>
      </c>
      <c r="M1807">
        <f>VLOOKUP(D1807,Products!A:E,5,FALSE)</f>
        <v>1798.97</v>
      </c>
      <c r="N1807" s="5">
        <f t="shared" si="28"/>
        <v>1619.0730000000001</v>
      </c>
    </row>
    <row r="1808" spans="1:14" x14ac:dyDescent="0.3">
      <c r="A1808" t="s">
        <v>2664</v>
      </c>
      <c r="B1808" s="2">
        <v>45863</v>
      </c>
      <c r="C1808" t="s">
        <v>230</v>
      </c>
      <c r="D1808" t="s">
        <v>816</v>
      </c>
      <c r="E1808" t="s">
        <v>846</v>
      </c>
      <c r="F1808">
        <v>4</v>
      </c>
      <c r="G1808">
        <v>0.15</v>
      </c>
      <c r="H1808" t="s">
        <v>865</v>
      </c>
      <c r="I1808" t="str">
        <f>VLOOKUP(C1808,Customers!A:C,2,FALSE)&amp;" "&amp;VLOOKUP(C1808,Customers!A:C,3,FALSE)</f>
        <v>Anthony Conway</v>
      </c>
      <c r="J1808" t="str">
        <f>VLOOKUP(D1808,Products!A:C,2,FALSE)</f>
        <v>Set Dairy</v>
      </c>
      <c r="K1808" t="str">
        <f>VLOOKUP(D1808,Products!A:C,3,FALSE)</f>
        <v>Groceries</v>
      </c>
      <c r="L1808" t="str">
        <f>VLOOKUP(E1808,Stores!A:B,2,FALSE)</f>
        <v>MegaMart Johnmouth</v>
      </c>
      <c r="M1808">
        <f>VLOOKUP(D1808,Products!A:E,5,FALSE)</f>
        <v>1879.08</v>
      </c>
      <c r="N1808" s="5">
        <f t="shared" si="28"/>
        <v>6388.8719999999994</v>
      </c>
    </row>
    <row r="1809" spans="1:14" x14ac:dyDescent="0.3">
      <c r="A1809" t="s">
        <v>2665</v>
      </c>
      <c r="B1809" s="2">
        <v>45446</v>
      </c>
      <c r="C1809" t="s">
        <v>339</v>
      </c>
      <c r="D1809" t="s">
        <v>772</v>
      </c>
      <c r="E1809" t="s">
        <v>842</v>
      </c>
      <c r="F1809">
        <v>4</v>
      </c>
      <c r="G1809">
        <v>0</v>
      </c>
      <c r="H1809" t="s">
        <v>858</v>
      </c>
      <c r="I1809" t="str">
        <f>VLOOKUP(C1809,Customers!A:C,2,FALSE)&amp;" "&amp;VLOOKUP(C1809,Customers!A:C,3,FALSE)</f>
        <v>Carrie Peterson</v>
      </c>
      <c r="J1809" t="str">
        <f>VLOOKUP(D1809,Products!A:C,2,FALSE)</f>
        <v>And Footwear</v>
      </c>
      <c r="K1809" t="str">
        <f>VLOOKUP(D1809,Products!A:C,3,FALSE)</f>
        <v>Fashion</v>
      </c>
      <c r="L1809" t="str">
        <f>VLOOKUP(E1809,Stores!A:B,2,FALSE)</f>
        <v>MegaMart Brianahaven</v>
      </c>
      <c r="M1809">
        <f>VLOOKUP(D1809,Products!A:E,5,FALSE)</f>
        <v>1878.47</v>
      </c>
      <c r="N1809" s="5">
        <f t="shared" si="28"/>
        <v>7513.88</v>
      </c>
    </row>
    <row r="1810" spans="1:14" x14ac:dyDescent="0.3">
      <c r="A1810" t="s">
        <v>2666</v>
      </c>
      <c r="B1810" s="2">
        <v>45495</v>
      </c>
      <c r="C1810" t="s">
        <v>287</v>
      </c>
      <c r="D1810" t="s">
        <v>753</v>
      </c>
      <c r="E1810" t="s">
        <v>846</v>
      </c>
      <c r="F1810">
        <v>2</v>
      </c>
      <c r="G1810">
        <v>0.05</v>
      </c>
      <c r="H1810" t="s">
        <v>865</v>
      </c>
      <c r="I1810" t="str">
        <f>VLOOKUP(C1810,Customers!A:C,2,FALSE)&amp;" "&amp;VLOOKUP(C1810,Customers!A:C,3,FALSE)</f>
        <v>Phyllis Durham</v>
      </c>
      <c r="J1810" t="str">
        <f>VLOOKUP(D1810,Products!A:C,2,FALSE)</f>
        <v>Whether Bags</v>
      </c>
      <c r="K1810" t="str">
        <f>VLOOKUP(D1810,Products!A:C,3,FALSE)</f>
        <v>Fashion</v>
      </c>
      <c r="L1810" t="str">
        <f>VLOOKUP(E1810,Stores!A:B,2,FALSE)</f>
        <v>MegaMart Johnmouth</v>
      </c>
      <c r="M1810">
        <f>VLOOKUP(D1810,Products!A:E,5,FALSE)</f>
        <v>270.45</v>
      </c>
      <c r="N1810" s="5">
        <f t="shared" si="28"/>
        <v>513.8549999999999</v>
      </c>
    </row>
    <row r="1811" spans="1:14" x14ac:dyDescent="0.3">
      <c r="A1811" t="s">
        <v>2667</v>
      </c>
      <c r="B1811" s="2">
        <v>45217</v>
      </c>
      <c r="C1811" t="s">
        <v>130</v>
      </c>
      <c r="D1811" t="s">
        <v>761</v>
      </c>
      <c r="E1811" t="s">
        <v>842</v>
      </c>
      <c r="F1811">
        <v>1</v>
      </c>
      <c r="G1811">
        <v>0.1</v>
      </c>
      <c r="H1811" t="s">
        <v>858</v>
      </c>
      <c r="I1811" t="str">
        <f>VLOOKUP(C1811,Customers!A:C,2,FALSE)&amp;" "&amp;VLOOKUP(C1811,Customers!A:C,3,FALSE)</f>
        <v>Jenny Beck</v>
      </c>
      <c r="J1811" t="str">
        <f>VLOOKUP(D1811,Products!A:C,2,FALSE)</f>
        <v>Traditional Laptop</v>
      </c>
      <c r="K1811" t="str">
        <f>VLOOKUP(D1811,Products!A:C,3,FALSE)</f>
        <v>Electronics</v>
      </c>
      <c r="L1811" t="str">
        <f>VLOOKUP(E1811,Stores!A:B,2,FALSE)</f>
        <v>MegaMart Brianahaven</v>
      </c>
      <c r="M1811">
        <f>VLOOKUP(D1811,Products!A:E,5,FALSE)</f>
        <v>1762.92</v>
      </c>
      <c r="N1811" s="5">
        <f t="shared" si="28"/>
        <v>1586.6280000000002</v>
      </c>
    </row>
    <row r="1812" spans="1:14" x14ac:dyDescent="0.3">
      <c r="A1812" t="s">
        <v>2668</v>
      </c>
      <c r="B1812" s="2">
        <v>45556</v>
      </c>
      <c r="C1812" t="s">
        <v>171</v>
      </c>
      <c r="D1812" t="s">
        <v>774</v>
      </c>
      <c r="E1812" t="s">
        <v>842</v>
      </c>
      <c r="F1812">
        <v>1</v>
      </c>
      <c r="G1812">
        <v>0.15</v>
      </c>
      <c r="H1812" t="s">
        <v>861</v>
      </c>
      <c r="I1812" t="str">
        <f>VLOOKUP(C1812,Customers!A:C,2,FALSE)&amp;" "&amp;VLOOKUP(C1812,Customers!A:C,3,FALSE)</f>
        <v>Parker Sparks</v>
      </c>
      <c r="J1812" t="str">
        <f>VLOOKUP(D1812,Products!A:C,2,FALSE)</f>
        <v>Him Smartphone</v>
      </c>
      <c r="K1812" t="str">
        <f>VLOOKUP(D1812,Products!A:C,3,FALSE)</f>
        <v>Electronics</v>
      </c>
      <c r="L1812" t="str">
        <f>VLOOKUP(E1812,Stores!A:B,2,FALSE)</f>
        <v>MegaMart Brianahaven</v>
      </c>
      <c r="M1812">
        <f>VLOOKUP(D1812,Products!A:E,5,FALSE)</f>
        <v>1487.41</v>
      </c>
      <c r="N1812" s="5">
        <f t="shared" si="28"/>
        <v>1264.2985000000001</v>
      </c>
    </row>
    <row r="1813" spans="1:14" x14ac:dyDescent="0.3">
      <c r="A1813" t="s">
        <v>2669</v>
      </c>
      <c r="B1813" s="2">
        <v>45573</v>
      </c>
      <c r="C1813" t="s">
        <v>241</v>
      </c>
      <c r="D1813" t="s">
        <v>766</v>
      </c>
      <c r="E1813" t="s">
        <v>835</v>
      </c>
      <c r="F1813">
        <v>2</v>
      </c>
      <c r="G1813">
        <v>0</v>
      </c>
      <c r="H1813" t="s">
        <v>865</v>
      </c>
      <c r="I1813" t="str">
        <f>VLOOKUP(C1813,Customers!A:C,2,FALSE)&amp;" "&amp;VLOOKUP(C1813,Customers!A:C,3,FALSE)</f>
        <v>Michael Johnson</v>
      </c>
      <c r="J1813" t="str">
        <f>VLOOKUP(D1813,Products!A:C,2,FALSE)</f>
        <v>Firm Dairy</v>
      </c>
      <c r="K1813" t="str">
        <f>VLOOKUP(D1813,Products!A:C,3,FALSE)</f>
        <v>Groceries</v>
      </c>
      <c r="L1813" t="str">
        <f>VLOOKUP(E1813,Stores!A:B,2,FALSE)</f>
        <v>MegaMart Peckmouth</v>
      </c>
      <c r="M1813">
        <f>VLOOKUP(D1813,Products!A:E,5,FALSE)</f>
        <v>1227.24</v>
      </c>
      <c r="N1813" s="5">
        <f t="shared" si="28"/>
        <v>2454.48</v>
      </c>
    </row>
    <row r="1814" spans="1:14" x14ac:dyDescent="0.3">
      <c r="A1814" t="s">
        <v>2670</v>
      </c>
      <c r="B1814" s="2">
        <v>45510</v>
      </c>
      <c r="C1814" t="s">
        <v>419</v>
      </c>
      <c r="D1814" t="s">
        <v>818</v>
      </c>
      <c r="E1814" t="s">
        <v>831</v>
      </c>
      <c r="F1814">
        <v>2</v>
      </c>
      <c r="G1814">
        <v>0.1</v>
      </c>
      <c r="H1814" t="s">
        <v>858</v>
      </c>
      <c r="I1814" t="str">
        <f>VLOOKUP(C1814,Customers!A:C,2,FALSE)&amp;" "&amp;VLOOKUP(C1814,Customers!A:C,3,FALSE)</f>
        <v>Jeffrey Smith</v>
      </c>
      <c r="J1814" t="str">
        <f>VLOOKUP(D1814,Products!A:C,2,FALSE)</f>
        <v>Nature Clothing</v>
      </c>
      <c r="K1814" t="str">
        <f>VLOOKUP(D1814,Products!A:C,3,FALSE)</f>
        <v>Fashion</v>
      </c>
      <c r="L1814" t="str">
        <f>VLOOKUP(E1814,Stores!A:B,2,FALSE)</f>
        <v>MegaMart Jimenezborough</v>
      </c>
      <c r="M1814">
        <f>VLOOKUP(D1814,Products!A:E,5,FALSE)</f>
        <v>1165.3699999999999</v>
      </c>
      <c r="N1814" s="5">
        <f t="shared" si="28"/>
        <v>2097.6659999999997</v>
      </c>
    </row>
    <row r="1815" spans="1:14" x14ac:dyDescent="0.3">
      <c r="A1815" t="s">
        <v>2671</v>
      </c>
      <c r="B1815" s="2">
        <v>45829</v>
      </c>
      <c r="C1815" t="s">
        <v>693</v>
      </c>
      <c r="D1815" t="s">
        <v>796</v>
      </c>
      <c r="E1815" t="s">
        <v>839</v>
      </c>
      <c r="F1815">
        <v>2</v>
      </c>
      <c r="G1815">
        <v>0.1</v>
      </c>
      <c r="H1815" t="s">
        <v>858</v>
      </c>
      <c r="I1815" t="str">
        <f>VLOOKUP(C1815,Customers!A:C,2,FALSE)&amp;" "&amp;VLOOKUP(C1815,Customers!A:C,3,FALSE)</f>
        <v>Matthew Dixon</v>
      </c>
      <c r="J1815" t="str">
        <f>VLOOKUP(D1815,Products!A:C,2,FALSE)</f>
        <v>Chair Laptop</v>
      </c>
      <c r="K1815" t="str">
        <f>VLOOKUP(D1815,Products!A:C,3,FALSE)</f>
        <v>Electronics</v>
      </c>
      <c r="L1815" t="str">
        <f>VLOOKUP(E1815,Stores!A:B,2,FALSE)</f>
        <v>MegaMart New Michele</v>
      </c>
      <c r="M1815">
        <f>VLOOKUP(D1815,Products!A:E,5,FALSE)</f>
        <v>1562.43</v>
      </c>
      <c r="N1815" s="5">
        <f t="shared" si="28"/>
        <v>2812.3740000000003</v>
      </c>
    </row>
    <row r="1816" spans="1:14" x14ac:dyDescent="0.3">
      <c r="A1816" t="s">
        <v>2672</v>
      </c>
      <c r="B1816" s="2">
        <v>45291</v>
      </c>
      <c r="C1816" t="s">
        <v>612</v>
      </c>
      <c r="D1816" t="s">
        <v>804</v>
      </c>
      <c r="E1816" t="s">
        <v>831</v>
      </c>
      <c r="F1816">
        <v>2</v>
      </c>
      <c r="G1816">
        <v>0.15</v>
      </c>
      <c r="H1816" t="s">
        <v>865</v>
      </c>
      <c r="I1816" t="str">
        <f>VLOOKUP(C1816,Customers!A:C,2,FALSE)&amp;" "&amp;VLOOKUP(C1816,Customers!A:C,3,FALSE)</f>
        <v>Michelle Smith</v>
      </c>
      <c r="J1816" t="str">
        <f>VLOOKUP(D1816,Products!A:C,2,FALSE)</f>
        <v>Church Clothing</v>
      </c>
      <c r="K1816" t="str">
        <f>VLOOKUP(D1816,Products!A:C,3,FALSE)</f>
        <v>Fashion</v>
      </c>
      <c r="L1816" t="str">
        <f>VLOOKUP(E1816,Stores!A:B,2,FALSE)</f>
        <v>MegaMart Jimenezborough</v>
      </c>
      <c r="M1816">
        <f>VLOOKUP(D1816,Products!A:E,5,FALSE)</f>
        <v>540.94000000000005</v>
      </c>
      <c r="N1816" s="5">
        <f t="shared" si="28"/>
        <v>919.59800000000007</v>
      </c>
    </row>
    <row r="1817" spans="1:14" x14ac:dyDescent="0.3">
      <c r="A1817" t="s">
        <v>2673</v>
      </c>
      <c r="B1817" s="2">
        <v>45729</v>
      </c>
      <c r="C1817" t="s">
        <v>630</v>
      </c>
      <c r="D1817" t="s">
        <v>812</v>
      </c>
      <c r="E1817" t="s">
        <v>839</v>
      </c>
      <c r="F1817">
        <v>2</v>
      </c>
      <c r="G1817">
        <v>0</v>
      </c>
      <c r="H1817" t="s">
        <v>855</v>
      </c>
      <c r="I1817" t="str">
        <f>VLOOKUP(C1817,Customers!A:C,2,FALSE)&amp;" "&amp;VLOOKUP(C1817,Customers!A:C,3,FALSE)</f>
        <v>Mark Mcdonald</v>
      </c>
      <c r="J1817" t="str">
        <f>VLOOKUP(D1817,Products!A:C,2,FALSE)</f>
        <v>Soon Accessories</v>
      </c>
      <c r="K1817" t="str">
        <f>VLOOKUP(D1817,Products!A:C,3,FALSE)</f>
        <v>Fashion</v>
      </c>
      <c r="L1817" t="str">
        <f>VLOOKUP(E1817,Stores!A:B,2,FALSE)</f>
        <v>MegaMart New Michele</v>
      </c>
      <c r="M1817">
        <f>VLOOKUP(D1817,Products!A:E,5,FALSE)</f>
        <v>564.41999999999996</v>
      </c>
      <c r="N1817" s="5">
        <f t="shared" si="28"/>
        <v>1128.8399999999999</v>
      </c>
    </row>
    <row r="1818" spans="1:14" x14ac:dyDescent="0.3">
      <c r="A1818" t="s">
        <v>2674</v>
      </c>
      <c r="B1818" s="2">
        <v>45548</v>
      </c>
      <c r="C1818" t="s">
        <v>364</v>
      </c>
      <c r="D1818" t="s">
        <v>722</v>
      </c>
      <c r="E1818" t="s">
        <v>842</v>
      </c>
      <c r="F1818">
        <v>5</v>
      </c>
      <c r="G1818">
        <v>0.15</v>
      </c>
      <c r="H1818" t="s">
        <v>861</v>
      </c>
      <c r="I1818" t="str">
        <f>VLOOKUP(C1818,Customers!A:C,2,FALSE)&amp;" "&amp;VLOOKUP(C1818,Customers!A:C,3,FALSE)</f>
        <v>Evelyn Gray</v>
      </c>
      <c r="J1818" t="str">
        <f>VLOOKUP(D1818,Products!A:C,2,FALSE)</f>
        <v>Four Accessories</v>
      </c>
      <c r="K1818" t="str">
        <f>VLOOKUP(D1818,Products!A:C,3,FALSE)</f>
        <v>Fashion</v>
      </c>
      <c r="L1818" t="str">
        <f>VLOOKUP(E1818,Stores!A:B,2,FALSE)</f>
        <v>MegaMart Brianahaven</v>
      </c>
      <c r="M1818">
        <f>VLOOKUP(D1818,Products!A:E,5,FALSE)</f>
        <v>1853.77</v>
      </c>
      <c r="N1818" s="5">
        <f t="shared" si="28"/>
        <v>7878.5225</v>
      </c>
    </row>
    <row r="1819" spans="1:14" x14ac:dyDescent="0.3">
      <c r="A1819" t="s">
        <v>2675</v>
      </c>
      <c r="B1819" s="2">
        <v>45531</v>
      </c>
      <c r="C1819" t="s">
        <v>224</v>
      </c>
      <c r="D1819" t="s">
        <v>761</v>
      </c>
      <c r="E1819" t="s">
        <v>839</v>
      </c>
      <c r="F1819">
        <v>1</v>
      </c>
      <c r="G1819">
        <v>0.1</v>
      </c>
      <c r="H1819" t="s">
        <v>865</v>
      </c>
      <c r="I1819" t="str">
        <f>VLOOKUP(C1819,Customers!A:C,2,FALSE)&amp;" "&amp;VLOOKUP(C1819,Customers!A:C,3,FALSE)</f>
        <v>Lawrence Stewart</v>
      </c>
      <c r="J1819" t="str">
        <f>VLOOKUP(D1819,Products!A:C,2,FALSE)</f>
        <v>Traditional Laptop</v>
      </c>
      <c r="K1819" t="str">
        <f>VLOOKUP(D1819,Products!A:C,3,FALSE)</f>
        <v>Electronics</v>
      </c>
      <c r="L1819" t="str">
        <f>VLOOKUP(E1819,Stores!A:B,2,FALSE)</f>
        <v>MegaMart New Michele</v>
      </c>
      <c r="M1819">
        <f>VLOOKUP(D1819,Products!A:E,5,FALSE)</f>
        <v>1762.92</v>
      </c>
      <c r="N1819" s="5">
        <f t="shared" si="28"/>
        <v>1586.6280000000002</v>
      </c>
    </row>
    <row r="1820" spans="1:14" x14ac:dyDescent="0.3">
      <c r="A1820" t="s">
        <v>2676</v>
      </c>
      <c r="B1820" s="2">
        <v>45607</v>
      </c>
      <c r="C1820" t="s">
        <v>115</v>
      </c>
      <c r="D1820" t="s">
        <v>800</v>
      </c>
      <c r="E1820" t="s">
        <v>831</v>
      </c>
      <c r="F1820">
        <v>3</v>
      </c>
      <c r="G1820">
        <v>0.05</v>
      </c>
      <c r="H1820" t="s">
        <v>865</v>
      </c>
      <c r="I1820" t="str">
        <f>VLOOKUP(C1820,Customers!A:C,2,FALSE)&amp;" "&amp;VLOOKUP(C1820,Customers!A:C,3,FALSE)</f>
        <v>Tyler Levine</v>
      </c>
      <c r="J1820" t="str">
        <f>VLOOKUP(D1820,Products!A:C,2,FALSE)</f>
        <v>Book Television</v>
      </c>
      <c r="K1820" t="str">
        <f>VLOOKUP(D1820,Products!A:C,3,FALSE)</f>
        <v>Electronics</v>
      </c>
      <c r="L1820" t="str">
        <f>VLOOKUP(E1820,Stores!A:B,2,FALSE)</f>
        <v>MegaMart Jimenezborough</v>
      </c>
      <c r="M1820">
        <f>VLOOKUP(D1820,Products!A:E,5,FALSE)</f>
        <v>1952.65</v>
      </c>
      <c r="N1820" s="5">
        <f t="shared" si="28"/>
        <v>5565.0525000000007</v>
      </c>
    </row>
    <row r="1821" spans="1:14" x14ac:dyDescent="0.3">
      <c r="A1821" t="s">
        <v>2677</v>
      </c>
      <c r="B1821" s="2">
        <v>45316</v>
      </c>
      <c r="C1821" t="s">
        <v>533</v>
      </c>
      <c r="D1821" t="s">
        <v>747</v>
      </c>
      <c r="E1821" t="s">
        <v>839</v>
      </c>
      <c r="F1821">
        <v>2</v>
      </c>
      <c r="G1821">
        <v>0.1</v>
      </c>
      <c r="H1821" t="s">
        <v>858</v>
      </c>
      <c r="I1821" t="str">
        <f>VLOOKUP(C1821,Customers!A:C,2,FALSE)&amp;" "&amp;VLOOKUP(C1821,Customers!A:C,3,FALSE)</f>
        <v>Crystal Garrison</v>
      </c>
      <c r="J1821" t="str">
        <f>VLOOKUP(D1821,Products!A:C,2,FALSE)</f>
        <v>World Watches</v>
      </c>
      <c r="K1821" t="str">
        <f>VLOOKUP(D1821,Products!A:C,3,FALSE)</f>
        <v>Fashion</v>
      </c>
      <c r="L1821" t="str">
        <f>VLOOKUP(E1821,Stores!A:B,2,FALSE)</f>
        <v>MegaMart New Michele</v>
      </c>
      <c r="M1821">
        <f>VLOOKUP(D1821,Products!A:E,5,FALSE)</f>
        <v>1134.8</v>
      </c>
      <c r="N1821" s="5">
        <f t="shared" si="28"/>
        <v>2042.6399999999999</v>
      </c>
    </row>
    <row r="1822" spans="1:14" x14ac:dyDescent="0.3">
      <c r="A1822" t="s">
        <v>2678</v>
      </c>
      <c r="B1822" s="2">
        <v>45588</v>
      </c>
      <c r="C1822" t="s">
        <v>536</v>
      </c>
      <c r="D1822" t="s">
        <v>806</v>
      </c>
      <c r="E1822" t="s">
        <v>831</v>
      </c>
      <c r="F1822">
        <v>3</v>
      </c>
      <c r="G1822">
        <v>0</v>
      </c>
      <c r="H1822" t="s">
        <v>861</v>
      </c>
      <c r="I1822" t="str">
        <f>VLOOKUP(C1822,Customers!A:C,2,FALSE)&amp;" "&amp;VLOOKUP(C1822,Customers!A:C,3,FALSE)</f>
        <v>John Foster</v>
      </c>
      <c r="J1822" t="str">
        <f>VLOOKUP(D1822,Products!A:C,2,FALSE)</f>
        <v>Piece Headphones</v>
      </c>
      <c r="K1822" t="str">
        <f>VLOOKUP(D1822,Products!A:C,3,FALSE)</f>
        <v>Electronics</v>
      </c>
      <c r="L1822" t="str">
        <f>VLOOKUP(E1822,Stores!A:B,2,FALSE)</f>
        <v>MegaMart Jimenezborough</v>
      </c>
      <c r="M1822">
        <f>VLOOKUP(D1822,Products!A:E,5,FALSE)</f>
        <v>1745.61</v>
      </c>
      <c r="N1822" s="5">
        <f t="shared" si="28"/>
        <v>5236.83</v>
      </c>
    </row>
    <row r="1823" spans="1:14" x14ac:dyDescent="0.3">
      <c r="A1823" t="s">
        <v>2679</v>
      </c>
      <c r="B1823" s="2">
        <v>45573</v>
      </c>
      <c r="C1823" t="s">
        <v>375</v>
      </c>
      <c r="D1823" t="s">
        <v>734</v>
      </c>
      <c r="E1823" t="s">
        <v>842</v>
      </c>
      <c r="F1823">
        <v>3</v>
      </c>
      <c r="G1823">
        <v>0.1</v>
      </c>
      <c r="H1823" t="s">
        <v>861</v>
      </c>
      <c r="I1823" t="str">
        <f>VLOOKUP(C1823,Customers!A:C,2,FALSE)&amp;" "&amp;VLOOKUP(C1823,Customers!A:C,3,FALSE)</f>
        <v>Sean Hart</v>
      </c>
      <c r="J1823" t="str">
        <f>VLOOKUP(D1823,Products!A:C,2,FALSE)</f>
        <v>Recognize Footwear</v>
      </c>
      <c r="K1823" t="str">
        <f>VLOOKUP(D1823,Products!A:C,3,FALSE)</f>
        <v>Fashion</v>
      </c>
      <c r="L1823" t="str">
        <f>VLOOKUP(E1823,Stores!A:B,2,FALSE)</f>
        <v>MegaMart Brianahaven</v>
      </c>
      <c r="M1823">
        <f>VLOOKUP(D1823,Products!A:E,5,FALSE)</f>
        <v>109.78</v>
      </c>
      <c r="N1823" s="5">
        <f t="shared" si="28"/>
        <v>296.40600000000006</v>
      </c>
    </row>
    <row r="1824" spans="1:14" x14ac:dyDescent="0.3">
      <c r="A1824" t="s">
        <v>2680</v>
      </c>
      <c r="B1824" s="2">
        <v>45544</v>
      </c>
      <c r="C1824" t="s">
        <v>491</v>
      </c>
      <c r="D1824" t="s">
        <v>804</v>
      </c>
      <c r="E1824" t="s">
        <v>846</v>
      </c>
      <c r="F1824">
        <v>5</v>
      </c>
      <c r="G1824">
        <v>0.05</v>
      </c>
      <c r="H1824" t="s">
        <v>865</v>
      </c>
      <c r="I1824" t="str">
        <f>VLOOKUP(C1824,Customers!A:C,2,FALSE)&amp;" "&amp;VLOOKUP(C1824,Customers!A:C,3,FALSE)</f>
        <v>Emily Hart</v>
      </c>
      <c r="J1824" t="str">
        <f>VLOOKUP(D1824,Products!A:C,2,FALSE)</f>
        <v>Church Clothing</v>
      </c>
      <c r="K1824" t="str">
        <f>VLOOKUP(D1824,Products!A:C,3,FALSE)</f>
        <v>Fashion</v>
      </c>
      <c r="L1824" t="str">
        <f>VLOOKUP(E1824,Stores!A:B,2,FALSE)</f>
        <v>MegaMart Johnmouth</v>
      </c>
      <c r="M1824">
        <f>VLOOKUP(D1824,Products!A:E,5,FALSE)</f>
        <v>540.94000000000005</v>
      </c>
      <c r="N1824" s="5">
        <f t="shared" si="28"/>
        <v>2569.4650000000001</v>
      </c>
    </row>
    <row r="1825" spans="1:14" x14ac:dyDescent="0.3">
      <c r="A1825" t="s">
        <v>2681</v>
      </c>
      <c r="B1825" s="2">
        <v>45711</v>
      </c>
      <c r="C1825" t="s">
        <v>382</v>
      </c>
      <c r="D1825" t="s">
        <v>778</v>
      </c>
      <c r="E1825" t="s">
        <v>831</v>
      </c>
      <c r="F1825">
        <v>5</v>
      </c>
      <c r="G1825">
        <v>0.15</v>
      </c>
      <c r="H1825" t="s">
        <v>855</v>
      </c>
      <c r="I1825" t="str">
        <f>VLOOKUP(C1825,Customers!A:C,2,FALSE)&amp;" "&amp;VLOOKUP(C1825,Customers!A:C,3,FALSE)</f>
        <v>Carolyn Perez</v>
      </c>
      <c r="J1825" t="str">
        <f>VLOOKUP(D1825,Products!A:C,2,FALSE)</f>
        <v>Behavior Dairy</v>
      </c>
      <c r="K1825" t="str">
        <f>VLOOKUP(D1825,Products!A:C,3,FALSE)</f>
        <v>Groceries</v>
      </c>
      <c r="L1825" t="str">
        <f>VLOOKUP(E1825,Stores!A:B,2,FALSE)</f>
        <v>MegaMart Jimenezborough</v>
      </c>
      <c r="M1825">
        <f>VLOOKUP(D1825,Products!A:E,5,FALSE)</f>
        <v>1015.76</v>
      </c>
      <c r="N1825" s="5">
        <f t="shared" si="28"/>
        <v>4316.9800000000005</v>
      </c>
    </row>
    <row r="1826" spans="1:14" x14ac:dyDescent="0.3">
      <c r="A1826" t="s">
        <v>2682</v>
      </c>
      <c r="B1826" s="2">
        <v>45275</v>
      </c>
      <c r="C1826" t="s">
        <v>148</v>
      </c>
      <c r="D1826" t="s">
        <v>736</v>
      </c>
      <c r="E1826" t="s">
        <v>839</v>
      </c>
      <c r="F1826">
        <v>2</v>
      </c>
      <c r="G1826">
        <v>0.15</v>
      </c>
      <c r="H1826" t="s">
        <v>858</v>
      </c>
      <c r="I1826" t="str">
        <f>VLOOKUP(C1826,Customers!A:C,2,FALSE)&amp;" "&amp;VLOOKUP(C1826,Customers!A:C,3,FALSE)</f>
        <v>Tracey Davis</v>
      </c>
      <c r="J1826" t="str">
        <f>VLOOKUP(D1826,Products!A:C,2,FALSE)</f>
        <v>Us Snacks</v>
      </c>
      <c r="K1826" t="str">
        <f>VLOOKUP(D1826,Products!A:C,3,FALSE)</f>
        <v>Groceries</v>
      </c>
      <c r="L1826" t="str">
        <f>VLOOKUP(E1826,Stores!A:B,2,FALSE)</f>
        <v>MegaMart New Michele</v>
      </c>
      <c r="M1826">
        <f>VLOOKUP(D1826,Products!A:E,5,FALSE)</f>
        <v>123.19</v>
      </c>
      <c r="N1826" s="5">
        <f t="shared" si="28"/>
        <v>209.423</v>
      </c>
    </row>
    <row r="1827" spans="1:14" x14ac:dyDescent="0.3">
      <c r="A1827" t="s">
        <v>2683</v>
      </c>
      <c r="B1827" s="2">
        <v>45676</v>
      </c>
      <c r="C1827" t="s">
        <v>148</v>
      </c>
      <c r="D1827" t="s">
        <v>715</v>
      </c>
      <c r="E1827" t="s">
        <v>846</v>
      </c>
      <c r="F1827">
        <v>3</v>
      </c>
      <c r="G1827">
        <v>0.05</v>
      </c>
      <c r="H1827" t="s">
        <v>865</v>
      </c>
      <c r="I1827" t="str">
        <f>VLOOKUP(C1827,Customers!A:C,2,FALSE)&amp;" "&amp;VLOOKUP(C1827,Customers!A:C,3,FALSE)</f>
        <v>Tracey Davis</v>
      </c>
      <c r="J1827" t="str">
        <f>VLOOKUP(D1827,Products!A:C,2,FALSE)</f>
        <v>Audience Television</v>
      </c>
      <c r="K1827" t="str">
        <f>VLOOKUP(D1827,Products!A:C,3,FALSE)</f>
        <v>Electronics</v>
      </c>
      <c r="L1827" t="str">
        <f>VLOOKUP(E1827,Stores!A:B,2,FALSE)</f>
        <v>MegaMart Johnmouth</v>
      </c>
      <c r="M1827">
        <f>VLOOKUP(D1827,Products!A:E,5,FALSE)</f>
        <v>818.76</v>
      </c>
      <c r="N1827" s="5">
        <f t="shared" si="28"/>
        <v>2333.4659999999994</v>
      </c>
    </row>
    <row r="1828" spans="1:14" x14ac:dyDescent="0.3">
      <c r="A1828" t="s">
        <v>2684</v>
      </c>
      <c r="B1828" s="2">
        <v>45187</v>
      </c>
      <c r="C1828" t="s">
        <v>554</v>
      </c>
      <c r="D1828" t="s">
        <v>769</v>
      </c>
      <c r="E1828" t="s">
        <v>839</v>
      </c>
      <c r="F1828">
        <v>3</v>
      </c>
      <c r="G1828">
        <v>0</v>
      </c>
      <c r="H1828" t="s">
        <v>855</v>
      </c>
      <c r="I1828" t="str">
        <f>VLOOKUP(C1828,Customers!A:C,2,FALSE)&amp;" "&amp;VLOOKUP(C1828,Customers!A:C,3,FALSE)</f>
        <v>Lisa Martinez</v>
      </c>
      <c r="J1828" t="str">
        <f>VLOOKUP(D1828,Products!A:C,2,FALSE)</f>
        <v>How Vegetables</v>
      </c>
      <c r="K1828" t="str">
        <f>VLOOKUP(D1828,Products!A:C,3,FALSE)</f>
        <v>Groceries</v>
      </c>
      <c r="L1828" t="str">
        <f>VLOOKUP(E1828,Stores!A:B,2,FALSE)</f>
        <v>MegaMart New Michele</v>
      </c>
      <c r="M1828">
        <f>VLOOKUP(D1828,Products!A:E,5,FALSE)</f>
        <v>25.57</v>
      </c>
      <c r="N1828" s="5">
        <f t="shared" si="28"/>
        <v>76.710000000000008</v>
      </c>
    </row>
    <row r="1829" spans="1:14" x14ac:dyDescent="0.3">
      <c r="A1829" t="s">
        <v>2685</v>
      </c>
      <c r="B1829" s="2">
        <v>45397</v>
      </c>
      <c r="C1829" t="s">
        <v>640</v>
      </c>
      <c r="D1829" t="s">
        <v>824</v>
      </c>
      <c r="E1829" t="s">
        <v>846</v>
      </c>
      <c r="F1829">
        <v>4</v>
      </c>
      <c r="G1829">
        <v>0.05</v>
      </c>
      <c r="H1829" t="s">
        <v>858</v>
      </c>
      <c r="I1829" t="str">
        <f>VLOOKUP(C1829,Customers!A:C,2,FALSE)&amp;" "&amp;VLOOKUP(C1829,Customers!A:C,3,FALSE)</f>
        <v>Brittany Oneal</v>
      </c>
      <c r="J1829" t="str">
        <f>VLOOKUP(D1829,Products!A:C,2,FALSE)</f>
        <v>Possible Watches</v>
      </c>
      <c r="K1829" t="str">
        <f>VLOOKUP(D1829,Products!A:C,3,FALSE)</f>
        <v>Fashion</v>
      </c>
      <c r="L1829" t="str">
        <f>VLOOKUP(E1829,Stores!A:B,2,FALSE)</f>
        <v>MegaMart Johnmouth</v>
      </c>
      <c r="M1829">
        <f>VLOOKUP(D1829,Products!A:E,5,FALSE)</f>
        <v>388.26</v>
      </c>
      <c r="N1829" s="5">
        <f t="shared" si="28"/>
        <v>1475.3879999999999</v>
      </c>
    </row>
    <row r="1830" spans="1:14" x14ac:dyDescent="0.3">
      <c r="A1830" t="s">
        <v>2686</v>
      </c>
      <c r="B1830" s="2">
        <v>45293</v>
      </c>
      <c r="C1830" t="s">
        <v>284</v>
      </c>
      <c r="D1830" t="s">
        <v>808</v>
      </c>
      <c r="E1830" t="s">
        <v>842</v>
      </c>
      <c r="F1830">
        <v>1</v>
      </c>
      <c r="G1830">
        <v>0.1</v>
      </c>
      <c r="H1830" t="s">
        <v>861</v>
      </c>
      <c r="I1830" t="str">
        <f>VLOOKUP(C1830,Customers!A:C,2,FALSE)&amp;" "&amp;VLOOKUP(C1830,Customers!A:C,3,FALSE)</f>
        <v>Seth Moore</v>
      </c>
      <c r="J1830" t="str">
        <f>VLOOKUP(D1830,Products!A:C,2,FALSE)</f>
        <v>Present Television</v>
      </c>
      <c r="K1830" t="str">
        <f>VLOOKUP(D1830,Products!A:C,3,FALSE)</f>
        <v>Electronics</v>
      </c>
      <c r="L1830" t="str">
        <f>VLOOKUP(E1830,Stores!A:B,2,FALSE)</f>
        <v>MegaMart Brianahaven</v>
      </c>
      <c r="M1830">
        <f>VLOOKUP(D1830,Products!A:E,5,FALSE)</f>
        <v>1635.01</v>
      </c>
      <c r="N1830" s="5">
        <f t="shared" si="28"/>
        <v>1471.509</v>
      </c>
    </row>
    <row r="1831" spans="1:14" x14ac:dyDescent="0.3">
      <c r="A1831" t="s">
        <v>2687</v>
      </c>
      <c r="B1831" s="2">
        <v>45347</v>
      </c>
      <c r="C1831" t="s">
        <v>650</v>
      </c>
      <c r="D1831" t="s">
        <v>794</v>
      </c>
      <c r="E1831" t="s">
        <v>835</v>
      </c>
      <c r="F1831">
        <v>2</v>
      </c>
      <c r="G1831">
        <v>0</v>
      </c>
      <c r="H1831" t="s">
        <v>861</v>
      </c>
      <c r="I1831" t="str">
        <f>VLOOKUP(C1831,Customers!A:C,2,FALSE)&amp;" "&amp;VLOOKUP(C1831,Customers!A:C,3,FALSE)</f>
        <v>Daniel Mcintyre</v>
      </c>
      <c r="J1831" t="str">
        <f>VLOOKUP(D1831,Products!A:C,2,FALSE)</f>
        <v>Everything Laptop</v>
      </c>
      <c r="K1831" t="str">
        <f>VLOOKUP(D1831,Products!A:C,3,FALSE)</f>
        <v>Electronics</v>
      </c>
      <c r="L1831" t="str">
        <f>VLOOKUP(E1831,Stores!A:B,2,FALSE)</f>
        <v>MegaMart Peckmouth</v>
      </c>
      <c r="M1831">
        <f>VLOOKUP(D1831,Products!A:E,5,FALSE)</f>
        <v>428.05</v>
      </c>
      <c r="N1831" s="5">
        <f t="shared" si="28"/>
        <v>856.1</v>
      </c>
    </row>
    <row r="1832" spans="1:14" x14ac:dyDescent="0.3">
      <c r="A1832" t="s">
        <v>2688</v>
      </c>
      <c r="B1832" s="2">
        <v>45573</v>
      </c>
      <c r="C1832" t="s">
        <v>462</v>
      </c>
      <c r="D1832" t="s">
        <v>820</v>
      </c>
      <c r="E1832" t="s">
        <v>842</v>
      </c>
      <c r="F1832">
        <v>3</v>
      </c>
      <c r="G1832">
        <v>0.05</v>
      </c>
      <c r="H1832" t="s">
        <v>865</v>
      </c>
      <c r="I1832" t="str">
        <f>VLOOKUP(C1832,Customers!A:C,2,FALSE)&amp;" "&amp;VLOOKUP(C1832,Customers!A:C,3,FALSE)</f>
        <v>Kimberly Parker</v>
      </c>
      <c r="J1832" t="str">
        <f>VLOOKUP(D1832,Products!A:C,2,FALSE)</f>
        <v>Or Smartphone</v>
      </c>
      <c r="K1832" t="str">
        <f>VLOOKUP(D1832,Products!A:C,3,FALSE)</f>
        <v>Electronics</v>
      </c>
      <c r="L1832" t="str">
        <f>VLOOKUP(E1832,Stores!A:B,2,FALSE)</f>
        <v>MegaMart Brianahaven</v>
      </c>
      <c r="M1832">
        <f>VLOOKUP(D1832,Products!A:E,5,FALSE)</f>
        <v>1197.18</v>
      </c>
      <c r="N1832" s="5">
        <f t="shared" si="28"/>
        <v>3411.9629999999997</v>
      </c>
    </row>
    <row r="1833" spans="1:14" x14ac:dyDescent="0.3">
      <c r="A1833" t="s">
        <v>2689</v>
      </c>
      <c r="B1833" s="2">
        <v>45513</v>
      </c>
      <c r="C1833" t="s">
        <v>512</v>
      </c>
      <c r="D1833" t="s">
        <v>824</v>
      </c>
      <c r="E1833" t="s">
        <v>842</v>
      </c>
      <c r="F1833">
        <v>3</v>
      </c>
      <c r="G1833">
        <v>0.15</v>
      </c>
      <c r="H1833" t="s">
        <v>858</v>
      </c>
      <c r="I1833" t="str">
        <f>VLOOKUP(C1833,Customers!A:C,2,FALSE)&amp;" "&amp;VLOOKUP(C1833,Customers!A:C,3,FALSE)</f>
        <v>Adam Lucas</v>
      </c>
      <c r="J1833" t="str">
        <f>VLOOKUP(D1833,Products!A:C,2,FALSE)</f>
        <v>Possible Watches</v>
      </c>
      <c r="K1833" t="str">
        <f>VLOOKUP(D1833,Products!A:C,3,FALSE)</f>
        <v>Fashion</v>
      </c>
      <c r="L1833" t="str">
        <f>VLOOKUP(E1833,Stores!A:B,2,FALSE)</f>
        <v>MegaMart Brianahaven</v>
      </c>
      <c r="M1833">
        <f>VLOOKUP(D1833,Products!A:E,5,FALSE)</f>
        <v>388.26</v>
      </c>
      <c r="N1833" s="5">
        <f t="shared" si="28"/>
        <v>990.06299999999999</v>
      </c>
    </row>
    <row r="1834" spans="1:14" x14ac:dyDescent="0.3">
      <c r="A1834" t="s">
        <v>2690</v>
      </c>
      <c r="B1834" s="2">
        <v>45708</v>
      </c>
      <c r="C1834" t="s">
        <v>339</v>
      </c>
      <c r="D1834" t="s">
        <v>722</v>
      </c>
      <c r="E1834" t="s">
        <v>842</v>
      </c>
      <c r="F1834">
        <v>4</v>
      </c>
      <c r="G1834">
        <v>0</v>
      </c>
      <c r="H1834" t="s">
        <v>855</v>
      </c>
      <c r="I1834" t="str">
        <f>VLOOKUP(C1834,Customers!A:C,2,FALSE)&amp;" "&amp;VLOOKUP(C1834,Customers!A:C,3,FALSE)</f>
        <v>Carrie Peterson</v>
      </c>
      <c r="J1834" t="str">
        <f>VLOOKUP(D1834,Products!A:C,2,FALSE)</f>
        <v>Four Accessories</v>
      </c>
      <c r="K1834" t="str">
        <f>VLOOKUP(D1834,Products!A:C,3,FALSE)</f>
        <v>Fashion</v>
      </c>
      <c r="L1834" t="str">
        <f>VLOOKUP(E1834,Stores!A:B,2,FALSE)</f>
        <v>MegaMart Brianahaven</v>
      </c>
      <c r="M1834">
        <f>VLOOKUP(D1834,Products!A:E,5,FALSE)</f>
        <v>1853.77</v>
      </c>
      <c r="N1834" s="5">
        <f t="shared" si="28"/>
        <v>7415.08</v>
      </c>
    </row>
    <row r="1835" spans="1:14" x14ac:dyDescent="0.3">
      <c r="A1835" t="s">
        <v>2691</v>
      </c>
      <c r="B1835" s="2">
        <v>45786</v>
      </c>
      <c r="C1835" t="s">
        <v>277</v>
      </c>
      <c r="D1835" t="s">
        <v>764</v>
      </c>
      <c r="E1835" t="s">
        <v>835</v>
      </c>
      <c r="F1835">
        <v>5</v>
      </c>
      <c r="G1835">
        <v>0.15</v>
      </c>
      <c r="H1835" t="s">
        <v>865</v>
      </c>
      <c r="I1835" t="str">
        <f>VLOOKUP(C1835,Customers!A:C,2,FALSE)&amp;" "&amp;VLOOKUP(C1835,Customers!A:C,3,FALSE)</f>
        <v>Carl Armstrong</v>
      </c>
      <c r="J1835" t="str">
        <f>VLOOKUP(D1835,Products!A:C,2,FALSE)</f>
        <v>Simple Accessories</v>
      </c>
      <c r="K1835" t="str">
        <f>VLOOKUP(D1835,Products!A:C,3,FALSE)</f>
        <v>Fashion</v>
      </c>
      <c r="L1835" t="str">
        <f>VLOOKUP(E1835,Stores!A:B,2,FALSE)</f>
        <v>MegaMart Peckmouth</v>
      </c>
      <c r="M1835">
        <f>VLOOKUP(D1835,Products!A:E,5,FALSE)</f>
        <v>323.92</v>
      </c>
      <c r="N1835" s="5">
        <f t="shared" si="28"/>
        <v>1376.66</v>
      </c>
    </row>
    <row r="1836" spans="1:14" x14ac:dyDescent="0.3">
      <c r="A1836" t="s">
        <v>2692</v>
      </c>
      <c r="B1836" s="2">
        <v>45861</v>
      </c>
      <c r="C1836" t="s">
        <v>134</v>
      </c>
      <c r="D1836" t="s">
        <v>818</v>
      </c>
      <c r="E1836" t="s">
        <v>839</v>
      </c>
      <c r="F1836">
        <v>5</v>
      </c>
      <c r="G1836">
        <v>0</v>
      </c>
      <c r="H1836" t="s">
        <v>855</v>
      </c>
      <c r="I1836" t="str">
        <f>VLOOKUP(C1836,Customers!A:C,2,FALSE)&amp;" "&amp;VLOOKUP(C1836,Customers!A:C,3,FALSE)</f>
        <v>Kari Miller</v>
      </c>
      <c r="J1836" t="str">
        <f>VLOOKUP(D1836,Products!A:C,2,FALSE)</f>
        <v>Nature Clothing</v>
      </c>
      <c r="K1836" t="str">
        <f>VLOOKUP(D1836,Products!A:C,3,FALSE)</f>
        <v>Fashion</v>
      </c>
      <c r="L1836" t="str">
        <f>VLOOKUP(E1836,Stores!A:B,2,FALSE)</f>
        <v>MegaMart New Michele</v>
      </c>
      <c r="M1836">
        <f>VLOOKUP(D1836,Products!A:E,5,FALSE)</f>
        <v>1165.3699999999999</v>
      </c>
      <c r="N1836" s="5">
        <f t="shared" si="28"/>
        <v>5826.8499999999995</v>
      </c>
    </row>
    <row r="1837" spans="1:14" x14ac:dyDescent="0.3">
      <c r="A1837" t="s">
        <v>2693</v>
      </c>
      <c r="B1837" s="2">
        <v>45894</v>
      </c>
      <c r="C1837" t="s">
        <v>438</v>
      </c>
      <c r="D1837" t="s">
        <v>776</v>
      </c>
      <c r="E1837" t="s">
        <v>835</v>
      </c>
      <c r="F1837">
        <v>5</v>
      </c>
      <c r="G1837">
        <v>0.05</v>
      </c>
      <c r="H1837" t="s">
        <v>858</v>
      </c>
      <c r="I1837" t="str">
        <f>VLOOKUP(C1837,Customers!A:C,2,FALSE)&amp;" "&amp;VLOOKUP(C1837,Customers!A:C,3,FALSE)</f>
        <v>Gina Bradford</v>
      </c>
      <c r="J1837" t="str">
        <f>VLOOKUP(D1837,Products!A:C,2,FALSE)</f>
        <v>Little Watches</v>
      </c>
      <c r="K1837" t="str">
        <f>VLOOKUP(D1837,Products!A:C,3,FALSE)</f>
        <v>Fashion</v>
      </c>
      <c r="L1837" t="str">
        <f>VLOOKUP(E1837,Stores!A:B,2,FALSE)</f>
        <v>MegaMart Peckmouth</v>
      </c>
      <c r="M1837">
        <f>VLOOKUP(D1837,Products!A:E,5,FALSE)</f>
        <v>429.15</v>
      </c>
      <c r="N1837" s="5">
        <f t="shared" si="28"/>
        <v>2038.4624999999999</v>
      </c>
    </row>
    <row r="1838" spans="1:14" x14ac:dyDescent="0.3">
      <c r="A1838" t="s">
        <v>2694</v>
      </c>
      <c r="B1838" s="2">
        <v>45679</v>
      </c>
      <c r="C1838" t="s">
        <v>633</v>
      </c>
      <c r="D1838" t="s">
        <v>824</v>
      </c>
      <c r="E1838" t="s">
        <v>842</v>
      </c>
      <c r="F1838">
        <v>3</v>
      </c>
      <c r="G1838">
        <v>0.05</v>
      </c>
      <c r="H1838" t="s">
        <v>861</v>
      </c>
      <c r="I1838" t="str">
        <f>VLOOKUP(C1838,Customers!A:C,2,FALSE)&amp;" "&amp;VLOOKUP(C1838,Customers!A:C,3,FALSE)</f>
        <v>Dennis Wallace</v>
      </c>
      <c r="J1838" t="str">
        <f>VLOOKUP(D1838,Products!A:C,2,FALSE)</f>
        <v>Possible Watches</v>
      </c>
      <c r="K1838" t="str">
        <f>VLOOKUP(D1838,Products!A:C,3,FALSE)</f>
        <v>Fashion</v>
      </c>
      <c r="L1838" t="str">
        <f>VLOOKUP(E1838,Stores!A:B,2,FALSE)</f>
        <v>MegaMart Brianahaven</v>
      </c>
      <c r="M1838">
        <f>VLOOKUP(D1838,Products!A:E,5,FALSE)</f>
        <v>388.26</v>
      </c>
      <c r="N1838" s="5">
        <f t="shared" si="28"/>
        <v>1106.5409999999999</v>
      </c>
    </row>
    <row r="1839" spans="1:14" x14ac:dyDescent="0.3">
      <c r="A1839" t="s">
        <v>2695</v>
      </c>
      <c r="B1839" s="2">
        <v>45528</v>
      </c>
      <c r="C1839" t="s">
        <v>217</v>
      </c>
      <c r="D1839" t="s">
        <v>818</v>
      </c>
      <c r="E1839" t="s">
        <v>835</v>
      </c>
      <c r="F1839">
        <v>1</v>
      </c>
      <c r="G1839">
        <v>0.1</v>
      </c>
      <c r="H1839" t="s">
        <v>865</v>
      </c>
      <c r="I1839" t="str">
        <f>VLOOKUP(C1839,Customers!A:C,2,FALSE)&amp;" "&amp;VLOOKUP(C1839,Customers!A:C,3,FALSE)</f>
        <v>Carl Wyatt</v>
      </c>
      <c r="J1839" t="str">
        <f>VLOOKUP(D1839,Products!A:C,2,FALSE)</f>
        <v>Nature Clothing</v>
      </c>
      <c r="K1839" t="str">
        <f>VLOOKUP(D1839,Products!A:C,3,FALSE)</f>
        <v>Fashion</v>
      </c>
      <c r="L1839" t="str">
        <f>VLOOKUP(E1839,Stores!A:B,2,FALSE)</f>
        <v>MegaMart Peckmouth</v>
      </c>
      <c r="M1839">
        <f>VLOOKUP(D1839,Products!A:E,5,FALSE)</f>
        <v>1165.3699999999999</v>
      </c>
      <c r="N1839" s="5">
        <f t="shared" si="28"/>
        <v>1048.8329999999999</v>
      </c>
    </row>
    <row r="1840" spans="1:14" x14ac:dyDescent="0.3">
      <c r="A1840" t="s">
        <v>2696</v>
      </c>
      <c r="B1840" s="2">
        <v>45830</v>
      </c>
      <c r="C1840" t="s">
        <v>618</v>
      </c>
      <c r="D1840" t="s">
        <v>764</v>
      </c>
      <c r="E1840" t="s">
        <v>835</v>
      </c>
      <c r="F1840">
        <v>4</v>
      </c>
      <c r="G1840">
        <v>0.15</v>
      </c>
      <c r="H1840" t="s">
        <v>861</v>
      </c>
      <c r="I1840" t="str">
        <f>VLOOKUP(C1840,Customers!A:C,2,FALSE)&amp;" "&amp;VLOOKUP(C1840,Customers!A:C,3,FALSE)</f>
        <v>Scott Howell</v>
      </c>
      <c r="J1840" t="str">
        <f>VLOOKUP(D1840,Products!A:C,2,FALSE)</f>
        <v>Simple Accessories</v>
      </c>
      <c r="K1840" t="str">
        <f>VLOOKUP(D1840,Products!A:C,3,FALSE)</f>
        <v>Fashion</v>
      </c>
      <c r="L1840" t="str">
        <f>VLOOKUP(E1840,Stores!A:B,2,FALSE)</f>
        <v>MegaMart Peckmouth</v>
      </c>
      <c r="M1840">
        <f>VLOOKUP(D1840,Products!A:E,5,FALSE)</f>
        <v>323.92</v>
      </c>
      <c r="N1840" s="5">
        <f t="shared" si="28"/>
        <v>1101.328</v>
      </c>
    </row>
    <row r="1841" spans="1:14" x14ac:dyDescent="0.3">
      <c r="A1841" t="s">
        <v>2697</v>
      </c>
      <c r="B1841" s="2">
        <v>45248</v>
      </c>
      <c r="C1841" t="s">
        <v>63</v>
      </c>
      <c r="D1841" t="s">
        <v>778</v>
      </c>
      <c r="E1841" t="s">
        <v>831</v>
      </c>
      <c r="F1841">
        <v>3</v>
      </c>
      <c r="G1841">
        <v>0.15</v>
      </c>
      <c r="H1841" t="s">
        <v>861</v>
      </c>
      <c r="I1841" t="str">
        <f>VLOOKUP(C1841,Customers!A:C,2,FALSE)&amp;" "&amp;VLOOKUP(C1841,Customers!A:C,3,FALSE)</f>
        <v>Matthew Molina</v>
      </c>
      <c r="J1841" t="str">
        <f>VLOOKUP(D1841,Products!A:C,2,FALSE)</f>
        <v>Behavior Dairy</v>
      </c>
      <c r="K1841" t="str">
        <f>VLOOKUP(D1841,Products!A:C,3,FALSE)</f>
        <v>Groceries</v>
      </c>
      <c r="L1841" t="str">
        <f>VLOOKUP(E1841,Stores!A:B,2,FALSE)</f>
        <v>MegaMart Jimenezborough</v>
      </c>
      <c r="M1841">
        <f>VLOOKUP(D1841,Products!A:E,5,FALSE)</f>
        <v>1015.76</v>
      </c>
      <c r="N1841" s="5">
        <f t="shared" si="28"/>
        <v>2590.1879999999996</v>
      </c>
    </row>
    <row r="1842" spans="1:14" x14ac:dyDescent="0.3">
      <c r="A1842" t="s">
        <v>2698</v>
      </c>
      <c r="B1842" s="2">
        <v>45360</v>
      </c>
      <c r="C1842" t="s">
        <v>59</v>
      </c>
      <c r="D1842" t="s">
        <v>784</v>
      </c>
      <c r="E1842" t="s">
        <v>831</v>
      </c>
      <c r="F1842">
        <v>5</v>
      </c>
      <c r="G1842">
        <v>0.1</v>
      </c>
      <c r="H1842" t="s">
        <v>858</v>
      </c>
      <c r="I1842" t="str">
        <f>VLOOKUP(C1842,Customers!A:C,2,FALSE)&amp;" "&amp;VLOOKUP(C1842,Customers!A:C,3,FALSE)</f>
        <v>Brittany Green</v>
      </c>
      <c r="J1842" t="str">
        <f>VLOOKUP(D1842,Products!A:C,2,FALSE)</f>
        <v>Road Clothing</v>
      </c>
      <c r="K1842" t="str">
        <f>VLOOKUP(D1842,Products!A:C,3,FALSE)</f>
        <v>Fashion</v>
      </c>
      <c r="L1842" t="str">
        <f>VLOOKUP(E1842,Stores!A:B,2,FALSE)</f>
        <v>MegaMart Jimenezborough</v>
      </c>
      <c r="M1842">
        <f>VLOOKUP(D1842,Products!A:E,5,FALSE)</f>
        <v>1485.05</v>
      </c>
      <c r="N1842" s="5">
        <f t="shared" si="28"/>
        <v>6682.7250000000004</v>
      </c>
    </row>
    <row r="1843" spans="1:14" x14ac:dyDescent="0.3">
      <c r="A1843" t="s">
        <v>2699</v>
      </c>
      <c r="B1843" s="2">
        <v>45387</v>
      </c>
      <c r="C1843" t="s">
        <v>151</v>
      </c>
      <c r="D1843" t="s">
        <v>786</v>
      </c>
      <c r="E1843" t="s">
        <v>842</v>
      </c>
      <c r="F1843">
        <v>2</v>
      </c>
      <c r="G1843">
        <v>0</v>
      </c>
      <c r="H1843" t="s">
        <v>865</v>
      </c>
      <c r="I1843" t="str">
        <f>VLOOKUP(C1843,Customers!A:C,2,FALSE)&amp;" "&amp;VLOOKUP(C1843,Customers!A:C,3,FALSE)</f>
        <v>Nancy Savage</v>
      </c>
      <c r="J1843" t="str">
        <f>VLOOKUP(D1843,Products!A:C,2,FALSE)</f>
        <v>National Watches</v>
      </c>
      <c r="K1843" t="str">
        <f>VLOOKUP(D1843,Products!A:C,3,FALSE)</f>
        <v>Fashion</v>
      </c>
      <c r="L1843" t="str">
        <f>VLOOKUP(E1843,Stores!A:B,2,FALSE)</f>
        <v>MegaMart Brianahaven</v>
      </c>
      <c r="M1843">
        <f>VLOOKUP(D1843,Products!A:E,5,FALSE)</f>
        <v>29.24</v>
      </c>
      <c r="N1843" s="5">
        <f t="shared" si="28"/>
        <v>58.48</v>
      </c>
    </row>
    <row r="1844" spans="1:14" x14ac:dyDescent="0.3">
      <c r="A1844" t="s">
        <v>2700</v>
      </c>
      <c r="B1844" s="2">
        <v>45220</v>
      </c>
      <c r="C1844" t="s">
        <v>238</v>
      </c>
      <c r="D1844" t="s">
        <v>736</v>
      </c>
      <c r="E1844" t="s">
        <v>842</v>
      </c>
      <c r="F1844">
        <v>4</v>
      </c>
      <c r="G1844">
        <v>0.1</v>
      </c>
      <c r="H1844" t="s">
        <v>861</v>
      </c>
      <c r="I1844" t="str">
        <f>VLOOKUP(C1844,Customers!A:C,2,FALSE)&amp;" "&amp;VLOOKUP(C1844,Customers!A:C,3,FALSE)</f>
        <v>Susan Salinas</v>
      </c>
      <c r="J1844" t="str">
        <f>VLOOKUP(D1844,Products!A:C,2,FALSE)</f>
        <v>Us Snacks</v>
      </c>
      <c r="K1844" t="str">
        <f>VLOOKUP(D1844,Products!A:C,3,FALSE)</f>
        <v>Groceries</v>
      </c>
      <c r="L1844" t="str">
        <f>VLOOKUP(E1844,Stores!A:B,2,FALSE)</f>
        <v>MegaMart Brianahaven</v>
      </c>
      <c r="M1844">
        <f>VLOOKUP(D1844,Products!A:E,5,FALSE)</f>
        <v>123.19</v>
      </c>
      <c r="N1844" s="5">
        <f t="shared" si="28"/>
        <v>443.48399999999998</v>
      </c>
    </row>
    <row r="1845" spans="1:14" x14ac:dyDescent="0.3">
      <c r="A1845" t="s">
        <v>2701</v>
      </c>
      <c r="B1845" s="2">
        <v>45616</v>
      </c>
      <c r="C1845" t="s">
        <v>599</v>
      </c>
      <c r="D1845" t="s">
        <v>802</v>
      </c>
      <c r="E1845" t="s">
        <v>842</v>
      </c>
      <c r="F1845">
        <v>1</v>
      </c>
      <c r="G1845">
        <v>0.15</v>
      </c>
      <c r="H1845" t="s">
        <v>858</v>
      </c>
      <c r="I1845" t="str">
        <f>VLOOKUP(C1845,Customers!A:C,2,FALSE)&amp;" "&amp;VLOOKUP(C1845,Customers!A:C,3,FALSE)</f>
        <v>Richard Jones</v>
      </c>
      <c r="J1845" t="str">
        <f>VLOOKUP(D1845,Products!A:C,2,FALSE)</f>
        <v>Stage Footwear</v>
      </c>
      <c r="K1845" t="str">
        <f>VLOOKUP(D1845,Products!A:C,3,FALSE)</f>
        <v>Fashion</v>
      </c>
      <c r="L1845" t="str">
        <f>VLOOKUP(E1845,Stores!A:B,2,FALSE)</f>
        <v>MegaMart Brianahaven</v>
      </c>
      <c r="M1845">
        <f>VLOOKUP(D1845,Products!A:E,5,FALSE)</f>
        <v>366.93</v>
      </c>
      <c r="N1845" s="5">
        <f t="shared" si="28"/>
        <v>311.89049999999997</v>
      </c>
    </row>
    <row r="1846" spans="1:14" x14ac:dyDescent="0.3">
      <c r="A1846" t="s">
        <v>2702</v>
      </c>
      <c r="B1846" s="2">
        <v>45642</v>
      </c>
      <c r="C1846" t="s">
        <v>270</v>
      </c>
      <c r="D1846" t="s">
        <v>757</v>
      </c>
      <c r="E1846" t="s">
        <v>842</v>
      </c>
      <c r="F1846">
        <v>3</v>
      </c>
      <c r="G1846">
        <v>0</v>
      </c>
      <c r="H1846" t="s">
        <v>865</v>
      </c>
      <c r="I1846" t="str">
        <f>VLOOKUP(C1846,Customers!A:C,2,FALSE)&amp;" "&amp;VLOOKUP(C1846,Customers!A:C,3,FALSE)</f>
        <v>Denise Gutierrez</v>
      </c>
      <c r="J1846" t="str">
        <f>VLOOKUP(D1846,Products!A:C,2,FALSE)</f>
        <v>Find Headphones</v>
      </c>
      <c r="K1846" t="str">
        <f>VLOOKUP(D1846,Products!A:C,3,FALSE)</f>
        <v>Electronics</v>
      </c>
      <c r="L1846" t="str">
        <f>VLOOKUP(E1846,Stores!A:B,2,FALSE)</f>
        <v>MegaMart Brianahaven</v>
      </c>
      <c r="M1846">
        <f>VLOOKUP(D1846,Products!A:E,5,FALSE)</f>
        <v>1246.1099999999999</v>
      </c>
      <c r="N1846" s="5">
        <f t="shared" si="28"/>
        <v>3738.33</v>
      </c>
    </row>
    <row r="1847" spans="1:14" x14ac:dyDescent="0.3">
      <c r="A1847" t="s">
        <v>2703</v>
      </c>
      <c r="B1847" s="2">
        <v>45236</v>
      </c>
      <c r="C1847" t="s">
        <v>119</v>
      </c>
      <c r="D1847" t="s">
        <v>718</v>
      </c>
      <c r="E1847" t="s">
        <v>831</v>
      </c>
      <c r="F1847">
        <v>1</v>
      </c>
      <c r="G1847">
        <v>0.15</v>
      </c>
      <c r="H1847" t="s">
        <v>861</v>
      </c>
      <c r="I1847" t="str">
        <f>VLOOKUP(C1847,Customers!A:C,2,FALSE)&amp;" "&amp;VLOOKUP(C1847,Customers!A:C,3,FALSE)</f>
        <v>Lacey Hall</v>
      </c>
      <c r="J1847" t="str">
        <f>VLOOKUP(D1847,Products!A:C,2,FALSE)</f>
        <v>Here Footwear</v>
      </c>
      <c r="K1847" t="str">
        <f>VLOOKUP(D1847,Products!A:C,3,FALSE)</f>
        <v>Fashion</v>
      </c>
      <c r="L1847" t="str">
        <f>VLOOKUP(E1847,Stores!A:B,2,FALSE)</f>
        <v>MegaMart Jimenezborough</v>
      </c>
      <c r="M1847">
        <f>VLOOKUP(D1847,Products!A:E,5,FALSE)</f>
        <v>337.63</v>
      </c>
      <c r="N1847" s="5">
        <f t="shared" si="28"/>
        <v>286.9855</v>
      </c>
    </row>
    <row r="1848" spans="1:14" x14ac:dyDescent="0.3">
      <c r="A1848" t="s">
        <v>2704</v>
      </c>
      <c r="B1848" s="2">
        <v>45744</v>
      </c>
      <c r="C1848" t="s">
        <v>28</v>
      </c>
      <c r="D1848" t="s">
        <v>808</v>
      </c>
      <c r="E1848" t="s">
        <v>846</v>
      </c>
      <c r="F1848">
        <v>5</v>
      </c>
      <c r="G1848">
        <v>0.15</v>
      </c>
      <c r="H1848" t="s">
        <v>855</v>
      </c>
      <c r="I1848" t="str">
        <f>VLOOKUP(C1848,Customers!A:C,2,FALSE)&amp;" "&amp;VLOOKUP(C1848,Customers!A:C,3,FALSE)</f>
        <v>Danny Moore</v>
      </c>
      <c r="J1848" t="str">
        <f>VLOOKUP(D1848,Products!A:C,2,FALSE)</f>
        <v>Present Television</v>
      </c>
      <c r="K1848" t="str">
        <f>VLOOKUP(D1848,Products!A:C,3,FALSE)</f>
        <v>Electronics</v>
      </c>
      <c r="L1848" t="str">
        <f>VLOOKUP(E1848,Stores!A:B,2,FALSE)</f>
        <v>MegaMart Johnmouth</v>
      </c>
      <c r="M1848">
        <f>VLOOKUP(D1848,Products!A:E,5,FALSE)</f>
        <v>1635.01</v>
      </c>
      <c r="N1848" s="5">
        <f t="shared" si="28"/>
        <v>6948.7924999999996</v>
      </c>
    </row>
    <row r="1849" spans="1:14" x14ac:dyDescent="0.3">
      <c r="A1849" t="s">
        <v>2705</v>
      </c>
      <c r="B1849" s="2">
        <v>45374</v>
      </c>
      <c r="C1849" t="s">
        <v>630</v>
      </c>
      <c r="D1849" t="s">
        <v>718</v>
      </c>
      <c r="E1849" t="s">
        <v>831</v>
      </c>
      <c r="F1849">
        <v>5</v>
      </c>
      <c r="G1849">
        <v>0.05</v>
      </c>
      <c r="H1849" t="s">
        <v>858</v>
      </c>
      <c r="I1849" t="str">
        <f>VLOOKUP(C1849,Customers!A:C,2,FALSE)&amp;" "&amp;VLOOKUP(C1849,Customers!A:C,3,FALSE)</f>
        <v>Mark Mcdonald</v>
      </c>
      <c r="J1849" t="str">
        <f>VLOOKUP(D1849,Products!A:C,2,FALSE)</f>
        <v>Here Footwear</v>
      </c>
      <c r="K1849" t="str">
        <f>VLOOKUP(D1849,Products!A:C,3,FALSE)</f>
        <v>Fashion</v>
      </c>
      <c r="L1849" t="str">
        <f>VLOOKUP(E1849,Stores!A:B,2,FALSE)</f>
        <v>MegaMart Jimenezborough</v>
      </c>
      <c r="M1849">
        <f>VLOOKUP(D1849,Products!A:E,5,FALSE)</f>
        <v>337.63</v>
      </c>
      <c r="N1849" s="5">
        <f t="shared" si="28"/>
        <v>1603.7425000000001</v>
      </c>
    </row>
    <row r="1850" spans="1:14" x14ac:dyDescent="0.3">
      <c r="A1850" t="s">
        <v>2706</v>
      </c>
      <c r="B1850" s="2">
        <v>45460</v>
      </c>
      <c r="C1850" t="s">
        <v>458</v>
      </c>
      <c r="D1850" t="s">
        <v>806</v>
      </c>
      <c r="E1850" t="s">
        <v>842</v>
      </c>
      <c r="F1850">
        <v>3</v>
      </c>
      <c r="G1850">
        <v>0.05</v>
      </c>
      <c r="H1850" t="s">
        <v>865</v>
      </c>
      <c r="I1850" t="str">
        <f>VLOOKUP(C1850,Customers!A:C,2,FALSE)&amp;" "&amp;VLOOKUP(C1850,Customers!A:C,3,FALSE)</f>
        <v>Chad Roberts</v>
      </c>
      <c r="J1850" t="str">
        <f>VLOOKUP(D1850,Products!A:C,2,FALSE)</f>
        <v>Piece Headphones</v>
      </c>
      <c r="K1850" t="str">
        <f>VLOOKUP(D1850,Products!A:C,3,FALSE)</f>
        <v>Electronics</v>
      </c>
      <c r="L1850" t="str">
        <f>VLOOKUP(E1850,Stores!A:B,2,FALSE)</f>
        <v>MegaMart Brianahaven</v>
      </c>
      <c r="M1850">
        <f>VLOOKUP(D1850,Products!A:E,5,FALSE)</f>
        <v>1745.61</v>
      </c>
      <c r="N1850" s="5">
        <f t="shared" si="28"/>
        <v>4974.9884999999995</v>
      </c>
    </row>
    <row r="1851" spans="1:14" x14ac:dyDescent="0.3">
      <c r="A1851" t="s">
        <v>2707</v>
      </c>
      <c r="B1851" s="2">
        <v>45716</v>
      </c>
      <c r="C1851" t="s">
        <v>317</v>
      </c>
      <c r="D1851" t="s">
        <v>808</v>
      </c>
      <c r="E1851" t="s">
        <v>831</v>
      </c>
      <c r="F1851">
        <v>5</v>
      </c>
      <c r="G1851">
        <v>0.05</v>
      </c>
      <c r="H1851" t="s">
        <v>858</v>
      </c>
      <c r="I1851" t="str">
        <f>VLOOKUP(C1851,Customers!A:C,2,FALSE)&amp;" "&amp;VLOOKUP(C1851,Customers!A:C,3,FALSE)</f>
        <v>Amanda Lee</v>
      </c>
      <c r="J1851" t="str">
        <f>VLOOKUP(D1851,Products!A:C,2,FALSE)</f>
        <v>Present Television</v>
      </c>
      <c r="K1851" t="str">
        <f>VLOOKUP(D1851,Products!A:C,3,FALSE)</f>
        <v>Electronics</v>
      </c>
      <c r="L1851" t="str">
        <f>VLOOKUP(E1851,Stores!A:B,2,FALSE)</f>
        <v>MegaMart Jimenezborough</v>
      </c>
      <c r="M1851">
        <f>VLOOKUP(D1851,Products!A:E,5,FALSE)</f>
        <v>1635.01</v>
      </c>
      <c r="N1851" s="5">
        <f t="shared" si="28"/>
        <v>7766.2974999999997</v>
      </c>
    </row>
    <row r="1852" spans="1:14" x14ac:dyDescent="0.3">
      <c r="A1852" t="s">
        <v>2708</v>
      </c>
      <c r="B1852" s="2">
        <v>45779</v>
      </c>
      <c r="C1852" t="s">
        <v>636</v>
      </c>
      <c r="D1852" t="s">
        <v>800</v>
      </c>
      <c r="E1852" t="s">
        <v>831</v>
      </c>
      <c r="F1852">
        <v>4</v>
      </c>
      <c r="G1852">
        <v>0.15</v>
      </c>
      <c r="H1852" t="s">
        <v>865</v>
      </c>
      <c r="I1852" t="str">
        <f>VLOOKUP(C1852,Customers!A:C,2,FALSE)&amp;" "&amp;VLOOKUP(C1852,Customers!A:C,3,FALSE)</f>
        <v>Nichole Calhoun</v>
      </c>
      <c r="J1852" t="str">
        <f>VLOOKUP(D1852,Products!A:C,2,FALSE)</f>
        <v>Book Television</v>
      </c>
      <c r="K1852" t="str">
        <f>VLOOKUP(D1852,Products!A:C,3,FALSE)</f>
        <v>Electronics</v>
      </c>
      <c r="L1852" t="str">
        <f>VLOOKUP(E1852,Stores!A:B,2,FALSE)</f>
        <v>MegaMart Jimenezborough</v>
      </c>
      <c r="M1852">
        <f>VLOOKUP(D1852,Products!A:E,5,FALSE)</f>
        <v>1952.65</v>
      </c>
      <c r="N1852" s="5">
        <f t="shared" si="28"/>
        <v>6639.01</v>
      </c>
    </row>
    <row r="1853" spans="1:14" x14ac:dyDescent="0.3">
      <c r="A1853" t="s">
        <v>2709</v>
      </c>
      <c r="B1853" s="2">
        <v>45641</v>
      </c>
      <c r="C1853" t="s">
        <v>487</v>
      </c>
      <c r="D1853" t="s">
        <v>747</v>
      </c>
      <c r="E1853" t="s">
        <v>846</v>
      </c>
      <c r="F1853">
        <v>5</v>
      </c>
      <c r="G1853">
        <v>0</v>
      </c>
      <c r="H1853" t="s">
        <v>861</v>
      </c>
      <c r="I1853" t="str">
        <f>VLOOKUP(C1853,Customers!A:C,2,FALSE)&amp;" "&amp;VLOOKUP(C1853,Customers!A:C,3,FALSE)</f>
        <v>Yvette Roth</v>
      </c>
      <c r="J1853" t="str">
        <f>VLOOKUP(D1853,Products!A:C,2,FALSE)</f>
        <v>World Watches</v>
      </c>
      <c r="K1853" t="str">
        <f>VLOOKUP(D1853,Products!A:C,3,FALSE)</f>
        <v>Fashion</v>
      </c>
      <c r="L1853" t="str">
        <f>VLOOKUP(E1853,Stores!A:B,2,FALSE)</f>
        <v>MegaMart Johnmouth</v>
      </c>
      <c r="M1853">
        <f>VLOOKUP(D1853,Products!A:E,5,FALSE)</f>
        <v>1134.8</v>
      </c>
      <c r="N1853" s="5">
        <f t="shared" si="28"/>
        <v>5674</v>
      </c>
    </row>
    <row r="1854" spans="1:14" x14ac:dyDescent="0.3">
      <c r="A1854" t="s">
        <v>2710</v>
      </c>
      <c r="B1854" s="2">
        <v>45651</v>
      </c>
      <c r="C1854" t="s">
        <v>601</v>
      </c>
      <c r="D1854" t="s">
        <v>715</v>
      </c>
      <c r="E1854" t="s">
        <v>831</v>
      </c>
      <c r="F1854">
        <v>2</v>
      </c>
      <c r="G1854">
        <v>0.05</v>
      </c>
      <c r="H1854" t="s">
        <v>865</v>
      </c>
      <c r="I1854" t="str">
        <f>VLOOKUP(C1854,Customers!A:C,2,FALSE)&amp;" "&amp;VLOOKUP(C1854,Customers!A:C,3,FALSE)</f>
        <v>Travis Watson</v>
      </c>
      <c r="J1854" t="str">
        <f>VLOOKUP(D1854,Products!A:C,2,FALSE)</f>
        <v>Audience Television</v>
      </c>
      <c r="K1854" t="str">
        <f>VLOOKUP(D1854,Products!A:C,3,FALSE)</f>
        <v>Electronics</v>
      </c>
      <c r="L1854" t="str">
        <f>VLOOKUP(E1854,Stores!A:B,2,FALSE)</f>
        <v>MegaMart Jimenezborough</v>
      </c>
      <c r="M1854">
        <f>VLOOKUP(D1854,Products!A:E,5,FALSE)</f>
        <v>818.76</v>
      </c>
      <c r="N1854" s="5">
        <f t="shared" si="28"/>
        <v>1555.644</v>
      </c>
    </row>
    <row r="1855" spans="1:14" x14ac:dyDescent="0.3">
      <c r="A1855" t="s">
        <v>2711</v>
      </c>
      <c r="B1855" s="2">
        <v>45599</v>
      </c>
      <c r="C1855" t="s">
        <v>520</v>
      </c>
      <c r="D1855" t="s">
        <v>725</v>
      </c>
      <c r="E1855" t="s">
        <v>842</v>
      </c>
      <c r="F1855">
        <v>3</v>
      </c>
      <c r="G1855">
        <v>0</v>
      </c>
      <c r="H1855" t="s">
        <v>865</v>
      </c>
      <c r="I1855" t="str">
        <f>VLOOKUP(C1855,Customers!A:C,2,FALSE)&amp;" "&amp;VLOOKUP(C1855,Customers!A:C,3,FALSE)</f>
        <v>Cynthia Carlson</v>
      </c>
      <c r="J1855" t="str">
        <f>VLOOKUP(D1855,Products!A:C,2,FALSE)</f>
        <v>Knowledge Bags</v>
      </c>
      <c r="K1855" t="str">
        <f>VLOOKUP(D1855,Products!A:C,3,FALSE)</f>
        <v>Fashion</v>
      </c>
      <c r="L1855" t="str">
        <f>VLOOKUP(E1855,Stores!A:B,2,FALSE)</f>
        <v>MegaMart Brianahaven</v>
      </c>
      <c r="M1855">
        <f>VLOOKUP(D1855,Products!A:E,5,FALSE)</f>
        <v>1396.22</v>
      </c>
      <c r="N1855" s="5">
        <f t="shared" si="28"/>
        <v>4188.66</v>
      </c>
    </row>
    <row r="1856" spans="1:14" x14ac:dyDescent="0.3">
      <c r="A1856" t="s">
        <v>2712</v>
      </c>
      <c r="B1856" s="2">
        <v>45597</v>
      </c>
      <c r="C1856" t="s">
        <v>130</v>
      </c>
      <c r="D1856" t="s">
        <v>722</v>
      </c>
      <c r="E1856" t="s">
        <v>846</v>
      </c>
      <c r="F1856">
        <v>2</v>
      </c>
      <c r="G1856">
        <v>0.05</v>
      </c>
      <c r="H1856" t="s">
        <v>865</v>
      </c>
      <c r="I1856" t="str">
        <f>VLOOKUP(C1856,Customers!A:C,2,FALSE)&amp;" "&amp;VLOOKUP(C1856,Customers!A:C,3,FALSE)</f>
        <v>Jenny Beck</v>
      </c>
      <c r="J1856" t="str">
        <f>VLOOKUP(D1856,Products!A:C,2,FALSE)</f>
        <v>Four Accessories</v>
      </c>
      <c r="K1856" t="str">
        <f>VLOOKUP(D1856,Products!A:C,3,FALSE)</f>
        <v>Fashion</v>
      </c>
      <c r="L1856" t="str">
        <f>VLOOKUP(E1856,Stores!A:B,2,FALSE)</f>
        <v>MegaMart Johnmouth</v>
      </c>
      <c r="M1856">
        <f>VLOOKUP(D1856,Products!A:E,5,FALSE)</f>
        <v>1853.77</v>
      </c>
      <c r="N1856" s="5">
        <f t="shared" si="28"/>
        <v>3522.163</v>
      </c>
    </row>
    <row r="1857" spans="1:14" x14ac:dyDescent="0.3">
      <c r="A1857" t="s">
        <v>2713</v>
      </c>
      <c r="B1857" s="2">
        <v>45624</v>
      </c>
      <c r="C1857" t="s">
        <v>524</v>
      </c>
      <c r="D1857" t="s">
        <v>796</v>
      </c>
      <c r="E1857" t="s">
        <v>839</v>
      </c>
      <c r="F1857">
        <v>1</v>
      </c>
      <c r="G1857">
        <v>0</v>
      </c>
      <c r="H1857" t="s">
        <v>865</v>
      </c>
      <c r="I1857" t="str">
        <f>VLOOKUP(C1857,Customers!A:C,2,FALSE)&amp;" "&amp;VLOOKUP(C1857,Customers!A:C,3,FALSE)</f>
        <v>Betty Johnson</v>
      </c>
      <c r="J1857" t="str">
        <f>VLOOKUP(D1857,Products!A:C,2,FALSE)</f>
        <v>Chair Laptop</v>
      </c>
      <c r="K1857" t="str">
        <f>VLOOKUP(D1857,Products!A:C,3,FALSE)</f>
        <v>Electronics</v>
      </c>
      <c r="L1857" t="str">
        <f>VLOOKUP(E1857,Stores!A:B,2,FALSE)</f>
        <v>MegaMart New Michele</v>
      </c>
      <c r="M1857">
        <f>VLOOKUP(D1857,Products!A:E,5,FALSE)</f>
        <v>1562.43</v>
      </c>
      <c r="N1857" s="5">
        <f t="shared" si="28"/>
        <v>1562.43</v>
      </c>
    </row>
    <row r="1858" spans="1:14" x14ac:dyDescent="0.3">
      <c r="A1858" t="s">
        <v>2714</v>
      </c>
      <c r="B1858" s="2">
        <v>45824</v>
      </c>
      <c r="C1858" t="s">
        <v>476</v>
      </c>
      <c r="D1858" t="s">
        <v>804</v>
      </c>
      <c r="E1858" t="s">
        <v>839</v>
      </c>
      <c r="F1858">
        <v>3</v>
      </c>
      <c r="G1858">
        <v>0.05</v>
      </c>
      <c r="H1858" t="s">
        <v>858</v>
      </c>
      <c r="I1858" t="str">
        <f>VLOOKUP(C1858,Customers!A:C,2,FALSE)&amp;" "&amp;VLOOKUP(C1858,Customers!A:C,3,FALSE)</f>
        <v>Aaron Bailey</v>
      </c>
      <c r="J1858" t="str">
        <f>VLOOKUP(D1858,Products!A:C,2,FALSE)</f>
        <v>Church Clothing</v>
      </c>
      <c r="K1858" t="str">
        <f>VLOOKUP(D1858,Products!A:C,3,FALSE)</f>
        <v>Fashion</v>
      </c>
      <c r="L1858" t="str">
        <f>VLOOKUP(E1858,Stores!A:B,2,FALSE)</f>
        <v>MegaMart New Michele</v>
      </c>
      <c r="M1858">
        <f>VLOOKUP(D1858,Products!A:E,5,FALSE)</f>
        <v>540.94000000000005</v>
      </c>
      <c r="N1858" s="5">
        <f t="shared" si="28"/>
        <v>1541.6790000000001</v>
      </c>
    </row>
    <row r="1859" spans="1:14" x14ac:dyDescent="0.3">
      <c r="A1859" t="s">
        <v>2715</v>
      </c>
      <c r="B1859" s="2">
        <v>45385</v>
      </c>
      <c r="C1859" t="s">
        <v>601</v>
      </c>
      <c r="D1859" t="s">
        <v>757</v>
      </c>
      <c r="E1859" t="s">
        <v>831</v>
      </c>
      <c r="F1859">
        <v>2</v>
      </c>
      <c r="G1859">
        <v>0.1</v>
      </c>
      <c r="H1859" t="s">
        <v>865</v>
      </c>
      <c r="I1859" t="str">
        <f>VLOOKUP(C1859,Customers!A:C,2,FALSE)&amp;" "&amp;VLOOKUP(C1859,Customers!A:C,3,FALSE)</f>
        <v>Travis Watson</v>
      </c>
      <c r="J1859" t="str">
        <f>VLOOKUP(D1859,Products!A:C,2,FALSE)</f>
        <v>Find Headphones</v>
      </c>
      <c r="K1859" t="str">
        <f>VLOOKUP(D1859,Products!A:C,3,FALSE)</f>
        <v>Electronics</v>
      </c>
      <c r="L1859" t="str">
        <f>VLOOKUP(E1859,Stores!A:B,2,FALSE)</f>
        <v>MegaMart Jimenezborough</v>
      </c>
      <c r="M1859">
        <f>VLOOKUP(D1859,Products!A:E,5,FALSE)</f>
        <v>1246.1099999999999</v>
      </c>
      <c r="N1859" s="5">
        <f t="shared" ref="N1859:N1922" si="29">F1859*M1859*(1-G1859)</f>
        <v>2242.998</v>
      </c>
    </row>
    <row r="1860" spans="1:14" x14ac:dyDescent="0.3">
      <c r="A1860" t="s">
        <v>2716</v>
      </c>
      <c r="B1860" s="2">
        <v>45821</v>
      </c>
      <c r="C1860" t="s">
        <v>487</v>
      </c>
      <c r="D1860" t="s">
        <v>742</v>
      </c>
      <c r="E1860" t="s">
        <v>839</v>
      </c>
      <c r="F1860">
        <v>5</v>
      </c>
      <c r="G1860">
        <v>0.15</v>
      </c>
      <c r="H1860" t="s">
        <v>861</v>
      </c>
      <c r="I1860" t="str">
        <f>VLOOKUP(C1860,Customers!A:C,2,FALSE)&amp;" "&amp;VLOOKUP(C1860,Customers!A:C,3,FALSE)</f>
        <v>Yvette Roth</v>
      </c>
      <c r="J1860" t="str">
        <f>VLOOKUP(D1860,Products!A:C,2,FALSE)</f>
        <v>Either Headphones</v>
      </c>
      <c r="K1860" t="str">
        <f>VLOOKUP(D1860,Products!A:C,3,FALSE)</f>
        <v>Electronics</v>
      </c>
      <c r="L1860" t="str">
        <f>VLOOKUP(E1860,Stores!A:B,2,FALSE)</f>
        <v>MegaMart New Michele</v>
      </c>
      <c r="M1860">
        <f>VLOOKUP(D1860,Products!A:E,5,FALSE)</f>
        <v>248.57</v>
      </c>
      <c r="N1860" s="5">
        <f t="shared" si="29"/>
        <v>1056.4224999999999</v>
      </c>
    </row>
    <row r="1861" spans="1:14" x14ac:dyDescent="0.3">
      <c r="A1861" t="s">
        <v>2717</v>
      </c>
      <c r="B1861" s="2">
        <v>45448</v>
      </c>
      <c r="C1861" t="s">
        <v>536</v>
      </c>
      <c r="D1861" t="s">
        <v>736</v>
      </c>
      <c r="E1861" t="s">
        <v>842</v>
      </c>
      <c r="F1861">
        <v>3</v>
      </c>
      <c r="G1861">
        <v>0.1</v>
      </c>
      <c r="H1861" t="s">
        <v>861</v>
      </c>
      <c r="I1861" t="str">
        <f>VLOOKUP(C1861,Customers!A:C,2,FALSE)&amp;" "&amp;VLOOKUP(C1861,Customers!A:C,3,FALSE)</f>
        <v>John Foster</v>
      </c>
      <c r="J1861" t="str">
        <f>VLOOKUP(D1861,Products!A:C,2,FALSE)</f>
        <v>Us Snacks</v>
      </c>
      <c r="K1861" t="str">
        <f>VLOOKUP(D1861,Products!A:C,3,FALSE)</f>
        <v>Groceries</v>
      </c>
      <c r="L1861" t="str">
        <f>VLOOKUP(E1861,Stores!A:B,2,FALSE)</f>
        <v>MegaMart Brianahaven</v>
      </c>
      <c r="M1861">
        <f>VLOOKUP(D1861,Products!A:E,5,FALSE)</f>
        <v>123.19</v>
      </c>
      <c r="N1861" s="5">
        <f t="shared" si="29"/>
        <v>332.613</v>
      </c>
    </row>
    <row r="1862" spans="1:14" x14ac:dyDescent="0.3">
      <c r="A1862" t="s">
        <v>2718</v>
      </c>
      <c r="B1862" s="2">
        <v>45357</v>
      </c>
      <c r="C1862" t="s">
        <v>627</v>
      </c>
      <c r="D1862" t="s">
        <v>769</v>
      </c>
      <c r="E1862" t="s">
        <v>831</v>
      </c>
      <c r="F1862">
        <v>1</v>
      </c>
      <c r="G1862">
        <v>0.05</v>
      </c>
      <c r="H1862" t="s">
        <v>865</v>
      </c>
      <c r="I1862" t="str">
        <f>VLOOKUP(C1862,Customers!A:C,2,FALSE)&amp;" "&amp;VLOOKUP(C1862,Customers!A:C,3,FALSE)</f>
        <v>Anthony Gould</v>
      </c>
      <c r="J1862" t="str">
        <f>VLOOKUP(D1862,Products!A:C,2,FALSE)</f>
        <v>How Vegetables</v>
      </c>
      <c r="K1862" t="str">
        <f>VLOOKUP(D1862,Products!A:C,3,FALSE)</f>
        <v>Groceries</v>
      </c>
      <c r="L1862" t="str">
        <f>VLOOKUP(E1862,Stores!A:B,2,FALSE)</f>
        <v>MegaMart Jimenezborough</v>
      </c>
      <c r="M1862">
        <f>VLOOKUP(D1862,Products!A:E,5,FALSE)</f>
        <v>25.57</v>
      </c>
      <c r="N1862" s="5">
        <f t="shared" si="29"/>
        <v>24.291499999999999</v>
      </c>
    </row>
    <row r="1863" spans="1:14" x14ac:dyDescent="0.3">
      <c r="A1863" t="s">
        <v>2719</v>
      </c>
      <c r="B1863" s="2">
        <v>45188</v>
      </c>
      <c r="C1863" t="s">
        <v>191</v>
      </c>
      <c r="D1863" t="s">
        <v>808</v>
      </c>
      <c r="E1863" t="s">
        <v>835</v>
      </c>
      <c r="F1863">
        <v>3</v>
      </c>
      <c r="G1863">
        <v>0.05</v>
      </c>
      <c r="H1863" t="s">
        <v>861</v>
      </c>
      <c r="I1863" t="str">
        <f>VLOOKUP(C1863,Customers!A:C,2,FALSE)&amp;" "&amp;VLOOKUP(C1863,Customers!A:C,3,FALSE)</f>
        <v>Antonio Hamilton</v>
      </c>
      <c r="J1863" t="str">
        <f>VLOOKUP(D1863,Products!A:C,2,FALSE)</f>
        <v>Present Television</v>
      </c>
      <c r="K1863" t="str">
        <f>VLOOKUP(D1863,Products!A:C,3,FALSE)</f>
        <v>Electronics</v>
      </c>
      <c r="L1863" t="str">
        <f>VLOOKUP(E1863,Stores!A:B,2,FALSE)</f>
        <v>MegaMart Peckmouth</v>
      </c>
      <c r="M1863">
        <f>VLOOKUP(D1863,Products!A:E,5,FALSE)</f>
        <v>1635.01</v>
      </c>
      <c r="N1863" s="5">
        <f t="shared" si="29"/>
        <v>4659.7784999999994</v>
      </c>
    </row>
    <row r="1864" spans="1:14" x14ac:dyDescent="0.3">
      <c r="A1864" t="s">
        <v>2720</v>
      </c>
      <c r="B1864" s="2">
        <v>45788</v>
      </c>
      <c r="C1864" t="s">
        <v>556</v>
      </c>
      <c r="D1864" t="s">
        <v>806</v>
      </c>
      <c r="E1864" t="s">
        <v>846</v>
      </c>
      <c r="F1864">
        <v>2</v>
      </c>
      <c r="G1864">
        <v>0.1</v>
      </c>
      <c r="H1864" t="s">
        <v>855</v>
      </c>
      <c r="I1864" t="str">
        <f>VLOOKUP(C1864,Customers!A:C,2,FALSE)&amp;" "&amp;VLOOKUP(C1864,Customers!A:C,3,FALSE)</f>
        <v>Jill Mcconnell</v>
      </c>
      <c r="J1864" t="str">
        <f>VLOOKUP(D1864,Products!A:C,2,FALSE)</f>
        <v>Piece Headphones</v>
      </c>
      <c r="K1864" t="str">
        <f>VLOOKUP(D1864,Products!A:C,3,FALSE)</f>
        <v>Electronics</v>
      </c>
      <c r="L1864" t="str">
        <f>VLOOKUP(E1864,Stores!A:B,2,FALSE)</f>
        <v>MegaMart Johnmouth</v>
      </c>
      <c r="M1864">
        <f>VLOOKUP(D1864,Products!A:E,5,FALSE)</f>
        <v>1745.61</v>
      </c>
      <c r="N1864" s="5">
        <f t="shared" si="29"/>
        <v>3142.098</v>
      </c>
    </row>
    <row r="1865" spans="1:14" x14ac:dyDescent="0.3">
      <c r="A1865" t="s">
        <v>2721</v>
      </c>
      <c r="B1865" s="2">
        <v>45684</v>
      </c>
      <c r="C1865" t="s">
        <v>130</v>
      </c>
      <c r="D1865" t="s">
        <v>806</v>
      </c>
      <c r="E1865" t="s">
        <v>846</v>
      </c>
      <c r="F1865">
        <v>4</v>
      </c>
      <c r="G1865">
        <v>0</v>
      </c>
      <c r="H1865" t="s">
        <v>855</v>
      </c>
      <c r="I1865" t="str">
        <f>VLOOKUP(C1865,Customers!A:C,2,FALSE)&amp;" "&amp;VLOOKUP(C1865,Customers!A:C,3,FALSE)</f>
        <v>Jenny Beck</v>
      </c>
      <c r="J1865" t="str">
        <f>VLOOKUP(D1865,Products!A:C,2,FALSE)</f>
        <v>Piece Headphones</v>
      </c>
      <c r="K1865" t="str">
        <f>VLOOKUP(D1865,Products!A:C,3,FALSE)</f>
        <v>Electronics</v>
      </c>
      <c r="L1865" t="str">
        <f>VLOOKUP(E1865,Stores!A:B,2,FALSE)</f>
        <v>MegaMart Johnmouth</v>
      </c>
      <c r="M1865">
        <f>VLOOKUP(D1865,Products!A:E,5,FALSE)</f>
        <v>1745.61</v>
      </c>
      <c r="N1865" s="5">
        <f t="shared" si="29"/>
        <v>6982.44</v>
      </c>
    </row>
    <row r="1866" spans="1:14" x14ac:dyDescent="0.3">
      <c r="A1866" t="s">
        <v>2722</v>
      </c>
      <c r="B1866" s="2">
        <v>45658</v>
      </c>
      <c r="C1866" t="s">
        <v>254</v>
      </c>
      <c r="D1866" t="s">
        <v>757</v>
      </c>
      <c r="E1866" t="s">
        <v>842</v>
      </c>
      <c r="F1866">
        <v>2</v>
      </c>
      <c r="G1866">
        <v>0.15</v>
      </c>
      <c r="H1866" t="s">
        <v>858</v>
      </c>
      <c r="I1866" t="str">
        <f>VLOOKUP(C1866,Customers!A:C,2,FALSE)&amp;" "&amp;VLOOKUP(C1866,Customers!A:C,3,FALSE)</f>
        <v>Daniel Maldonado</v>
      </c>
      <c r="J1866" t="str">
        <f>VLOOKUP(D1866,Products!A:C,2,FALSE)</f>
        <v>Find Headphones</v>
      </c>
      <c r="K1866" t="str">
        <f>VLOOKUP(D1866,Products!A:C,3,FALSE)</f>
        <v>Electronics</v>
      </c>
      <c r="L1866" t="str">
        <f>VLOOKUP(E1866,Stores!A:B,2,FALSE)</f>
        <v>MegaMart Brianahaven</v>
      </c>
      <c r="M1866">
        <f>VLOOKUP(D1866,Products!A:E,5,FALSE)</f>
        <v>1246.1099999999999</v>
      </c>
      <c r="N1866" s="5">
        <f t="shared" si="29"/>
        <v>2118.3869999999997</v>
      </c>
    </row>
    <row r="1867" spans="1:14" x14ac:dyDescent="0.3">
      <c r="A1867" t="s">
        <v>2723</v>
      </c>
      <c r="B1867" s="2">
        <v>45771</v>
      </c>
      <c r="C1867" t="s">
        <v>89</v>
      </c>
      <c r="D1867" t="s">
        <v>774</v>
      </c>
      <c r="E1867" t="s">
        <v>839</v>
      </c>
      <c r="F1867">
        <v>4</v>
      </c>
      <c r="G1867">
        <v>0.05</v>
      </c>
      <c r="H1867" t="s">
        <v>861</v>
      </c>
      <c r="I1867" t="str">
        <f>VLOOKUP(C1867,Customers!A:C,2,FALSE)&amp;" "&amp;VLOOKUP(C1867,Customers!A:C,3,FALSE)</f>
        <v>Megan Velasquez</v>
      </c>
      <c r="J1867" t="str">
        <f>VLOOKUP(D1867,Products!A:C,2,FALSE)</f>
        <v>Him Smartphone</v>
      </c>
      <c r="K1867" t="str">
        <f>VLOOKUP(D1867,Products!A:C,3,FALSE)</f>
        <v>Electronics</v>
      </c>
      <c r="L1867" t="str">
        <f>VLOOKUP(E1867,Stores!A:B,2,FALSE)</f>
        <v>MegaMart New Michele</v>
      </c>
      <c r="M1867">
        <f>VLOOKUP(D1867,Products!A:E,5,FALSE)</f>
        <v>1487.41</v>
      </c>
      <c r="N1867" s="5">
        <f t="shared" si="29"/>
        <v>5652.1580000000004</v>
      </c>
    </row>
    <row r="1868" spans="1:14" x14ac:dyDescent="0.3">
      <c r="A1868" t="s">
        <v>2724</v>
      </c>
      <c r="B1868" s="2">
        <v>45714</v>
      </c>
      <c r="C1868" t="s">
        <v>77</v>
      </c>
      <c r="D1868" t="s">
        <v>792</v>
      </c>
      <c r="E1868" t="s">
        <v>839</v>
      </c>
      <c r="F1868">
        <v>2</v>
      </c>
      <c r="G1868">
        <v>0.1</v>
      </c>
      <c r="H1868" t="s">
        <v>861</v>
      </c>
      <c r="I1868" t="str">
        <f>VLOOKUP(C1868,Customers!A:C,2,FALSE)&amp;" "&amp;VLOOKUP(C1868,Customers!A:C,3,FALSE)</f>
        <v>John Smith</v>
      </c>
      <c r="J1868" t="str">
        <f>VLOOKUP(D1868,Products!A:C,2,FALSE)</f>
        <v>Beat Accessories</v>
      </c>
      <c r="K1868" t="str">
        <f>VLOOKUP(D1868,Products!A:C,3,FALSE)</f>
        <v>Fashion</v>
      </c>
      <c r="L1868" t="str">
        <f>VLOOKUP(E1868,Stores!A:B,2,FALSE)</f>
        <v>MegaMart New Michele</v>
      </c>
      <c r="M1868">
        <f>VLOOKUP(D1868,Products!A:E,5,FALSE)</f>
        <v>1798.97</v>
      </c>
      <c r="N1868" s="5">
        <f t="shared" si="29"/>
        <v>3238.1460000000002</v>
      </c>
    </row>
    <row r="1869" spans="1:14" x14ac:dyDescent="0.3">
      <c r="A1869" t="s">
        <v>2725</v>
      </c>
      <c r="B1869" s="2">
        <v>45744</v>
      </c>
      <c r="C1869" t="s">
        <v>403</v>
      </c>
      <c r="D1869" t="s">
        <v>808</v>
      </c>
      <c r="E1869" t="s">
        <v>835</v>
      </c>
      <c r="F1869">
        <v>3</v>
      </c>
      <c r="G1869">
        <v>0.15</v>
      </c>
      <c r="H1869" t="s">
        <v>858</v>
      </c>
      <c r="I1869" t="str">
        <f>VLOOKUP(C1869,Customers!A:C,2,FALSE)&amp;" "&amp;VLOOKUP(C1869,Customers!A:C,3,FALSE)</f>
        <v>Samantha Hill</v>
      </c>
      <c r="J1869" t="str">
        <f>VLOOKUP(D1869,Products!A:C,2,FALSE)</f>
        <v>Present Television</v>
      </c>
      <c r="K1869" t="str">
        <f>VLOOKUP(D1869,Products!A:C,3,FALSE)</f>
        <v>Electronics</v>
      </c>
      <c r="L1869" t="str">
        <f>VLOOKUP(E1869,Stores!A:B,2,FALSE)</f>
        <v>MegaMart Peckmouth</v>
      </c>
      <c r="M1869">
        <f>VLOOKUP(D1869,Products!A:E,5,FALSE)</f>
        <v>1635.01</v>
      </c>
      <c r="N1869" s="5">
        <f t="shared" si="29"/>
        <v>4169.2754999999997</v>
      </c>
    </row>
    <row r="1870" spans="1:14" x14ac:dyDescent="0.3">
      <c r="A1870" t="s">
        <v>2726</v>
      </c>
      <c r="B1870" s="2">
        <v>45729</v>
      </c>
      <c r="C1870" t="s">
        <v>32</v>
      </c>
      <c r="D1870" t="s">
        <v>742</v>
      </c>
      <c r="E1870" t="s">
        <v>846</v>
      </c>
      <c r="F1870">
        <v>2</v>
      </c>
      <c r="G1870">
        <v>0</v>
      </c>
      <c r="H1870" t="s">
        <v>855</v>
      </c>
      <c r="I1870" t="str">
        <f>VLOOKUP(C1870,Customers!A:C,2,FALSE)&amp;" "&amp;VLOOKUP(C1870,Customers!A:C,3,FALSE)</f>
        <v>Erin Walker</v>
      </c>
      <c r="J1870" t="str">
        <f>VLOOKUP(D1870,Products!A:C,2,FALSE)</f>
        <v>Either Headphones</v>
      </c>
      <c r="K1870" t="str">
        <f>VLOOKUP(D1870,Products!A:C,3,FALSE)</f>
        <v>Electronics</v>
      </c>
      <c r="L1870" t="str">
        <f>VLOOKUP(E1870,Stores!A:B,2,FALSE)</f>
        <v>MegaMart Johnmouth</v>
      </c>
      <c r="M1870">
        <f>VLOOKUP(D1870,Products!A:E,5,FALSE)</f>
        <v>248.57</v>
      </c>
      <c r="N1870" s="5">
        <f t="shared" si="29"/>
        <v>497.14</v>
      </c>
    </row>
    <row r="1871" spans="1:14" x14ac:dyDescent="0.3">
      <c r="A1871" t="s">
        <v>2727</v>
      </c>
      <c r="B1871" s="2">
        <v>45862</v>
      </c>
      <c r="C1871" t="s">
        <v>127</v>
      </c>
      <c r="D1871" t="s">
        <v>778</v>
      </c>
      <c r="E1871" t="s">
        <v>846</v>
      </c>
      <c r="F1871">
        <v>1</v>
      </c>
      <c r="G1871">
        <v>0.15</v>
      </c>
      <c r="H1871" t="s">
        <v>865</v>
      </c>
      <c r="I1871" t="str">
        <f>VLOOKUP(C1871,Customers!A:C,2,FALSE)&amp;" "&amp;VLOOKUP(C1871,Customers!A:C,3,FALSE)</f>
        <v>Valerie Macdonald</v>
      </c>
      <c r="J1871" t="str">
        <f>VLOOKUP(D1871,Products!A:C,2,FALSE)</f>
        <v>Behavior Dairy</v>
      </c>
      <c r="K1871" t="str">
        <f>VLOOKUP(D1871,Products!A:C,3,FALSE)</f>
        <v>Groceries</v>
      </c>
      <c r="L1871" t="str">
        <f>VLOOKUP(E1871,Stores!A:B,2,FALSE)</f>
        <v>MegaMart Johnmouth</v>
      </c>
      <c r="M1871">
        <f>VLOOKUP(D1871,Products!A:E,5,FALSE)</f>
        <v>1015.76</v>
      </c>
      <c r="N1871" s="5">
        <f t="shared" si="29"/>
        <v>863.39599999999996</v>
      </c>
    </row>
    <row r="1872" spans="1:14" x14ac:dyDescent="0.3">
      <c r="A1872" t="s">
        <v>2728</v>
      </c>
      <c r="B1872" s="2">
        <v>45558</v>
      </c>
      <c r="C1872" t="s">
        <v>320</v>
      </c>
      <c r="D1872" t="s">
        <v>810</v>
      </c>
      <c r="E1872" t="s">
        <v>831</v>
      </c>
      <c r="F1872">
        <v>3</v>
      </c>
      <c r="G1872">
        <v>0.1</v>
      </c>
      <c r="H1872" t="s">
        <v>855</v>
      </c>
      <c r="I1872" t="str">
        <f>VLOOKUP(C1872,Customers!A:C,2,FALSE)&amp;" "&amp;VLOOKUP(C1872,Customers!A:C,3,FALSE)</f>
        <v>Juan Ramirez</v>
      </c>
      <c r="J1872" t="str">
        <f>VLOOKUP(D1872,Products!A:C,2,FALSE)</f>
        <v>Maybe Clothing</v>
      </c>
      <c r="K1872" t="str">
        <f>VLOOKUP(D1872,Products!A:C,3,FALSE)</f>
        <v>Fashion</v>
      </c>
      <c r="L1872" t="str">
        <f>VLOOKUP(E1872,Stores!A:B,2,FALSE)</f>
        <v>MegaMart Jimenezborough</v>
      </c>
      <c r="M1872">
        <f>VLOOKUP(D1872,Products!A:E,5,FALSE)</f>
        <v>453.62</v>
      </c>
      <c r="N1872" s="5">
        <f t="shared" si="29"/>
        <v>1224.7740000000001</v>
      </c>
    </row>
    <row r="1873" spans="1:14" x14ac:dyDescent="0.3">
      <c r="A1873" t="s">
        <v>2729</v>
      </c>
      <c r="B1873" s="2">
        <v>45744</v>
      </c>
      <c r="C1873" t="s">
        <v>148</v>
      </c>
      <c r="D1873" t="s">
        <v>734</v>
      </c>
      <c r="E1873" t="s">
        <v>835</v>
      </c>
      <c r="F1873">
        <v>3</v>
      </c>
      <c r="G1873">
        <v>0</v>
      </c>
      <c r="H1873" t="s">
        <v>865</v>
      </c>
      <c r="I1873" t="str">
        <f>VLOOKUP(C1873,Customers!A:C,2,FALSE)&amp;" "&amp;VLOOKUP(C1873,Customers!A:C,3,FALSE)</f>
        <v>Tracey Davis</v>
      </c>
      <c r="J1873" t="str">
        <f>VLOOKUP(D1873,Products!A:C,2,FALSE)</f>
        <v>Recognize Footwear</v>
      </c>
      <c r="K1873" t="str">
        <f>VLOOKUP(D1873,Products!A:C,3,FALSE)</f>
        <v>Fashion</v>
      </c>
      <c r="L1873" t="str">
        <f>VLOOKUP(E1873,Stores!A:B,2,FALSE)</f>
        <v>MegaMart Peckmouth</v>
      </c>
      <c r="M1873">
        <f>VLOOKUP(D1873,Products!A:E,5,FALSE)</f>
        <v>109.78</v>
      </c>
      <c r="N1873" s="5">
        <f t="shared" si="29"/>
        <v>329.34000000000003</v>
      </c>
    </row>
    <row r="1874" spans="1:14" x14ac:dyDescent="0.3">
      <c r="A1874" t="s">
        <v>2730</v>
      </c>
      <c r="B1874" s="2">
        <v>45767</v>
      </c>
      <c r="C1874" t="s">
        <v>364</v>
      </c>
      <c r="D1874" t="s">
        <v>722</v>
      </c>
      <c r="E1874" t="s">
        <v>835</v>
      </c>
      <c r="F1874">
        <v>4</v>
      </c>
      <c r="G1874">
        <v>0</v>
      </c>
      <c r="H1874" t="s">
        <v>865</v>
      </c>
      <c r="I1874" t="str">
        <f>VLOOKUP(C1874,Customers!A:C,2,FALSE)&amp;" "&amp;VLOOKUP(C1874,Customers!A:C,3,FALSE)</f>
        <v>Evelyn Gray</v>
      </c>
      <c r="J1874" t="str">
        <f>VLOOKUP(D1874,Products!A:C,2,FALSE)</f>
        <v>Four Accessories</v>
      </c>
      <c r="K1874" t="str">
        <f>VLOOKUP(D1874,Products!A:C,3,FALSE)</f>
        <v>Fashion</v>
      </c>
      <c r="L1874" t="str">
        <f>VLOOKUP(E1874,Stores!A:B,2,FALSE)</f>
        <v>MegaMart Peckmouth</v>
      </c>
      <c r="M1874">
        <f>VLOOKUP(D1874,Products!A:E,5,FALSE)</f>
        <v>1853.77</v>
      </c>
      <c r="N1874" s="5">
        <f t="shared" si="29"/>
        <v>7415.08</v>
      </c>
    </row>
    <row r="1875" spans="1:14" x14ac:dyDescent="0.3">
      <c r="A1875" t="s">
        <v>2731</v>
      </c>
      <c r="B1875" s="2">
        <v>45303</v>
      </c>
      <c r="C1875" t="s">
        <v>175</v>
      </c>
      <c r="D1875" t="s">
        <v>800</v>
      </c>
      <c r="E1875" t="s">
        <v>846</v>
      </c>
      <c r="F1875">
        <v>3</v>
      </c>
      <c r="G1875">
        <v>0.15</v>
      </c>
      <c r="H1875" t="s">
        <v>865</v>
      </c>
      <c r="I1875" t="str">
        <f>VLOOKUP(C1875,Customers!A:C,2,FALSE)&amp;" "&amp;VLOOKUP(C1875,Customers!A:C,3,FALSE)</f>
        <v>Kelly Shaw</v>
      </c>
      <c r="J1875" t="str">
        <f>VLOOKUP(D1875,Products!A:C,2,FALSE)</f>
        <v>Book Television</v>
      </c>
      <c r="K1875" t="str">
        <f>VLOOKUP(D1875,Products!A:C,3,FALSE)</f>
        <v>Electronics</v>
      </c>
      <c r="L1875" t="str">
        <f>VLOOKUP(E1875,Stores!A:B,2,FALSE)</f>
        <v>MegaMart Johnmouth</v>
      </c>
      <c r="M1875">
        <f>VLOOKUP(D1875,Products!A:E,5,FALSE)</f>
        <v>1952.65</v>
      </c>
      <c r="N1875" s="5">
        <f t="shared" si="29"/>
        <v>4979.2575000000006</v>
      </c>
    </row>
    <row r="1876" spans="1:14" x14ac:dyDescent="0.3">
      <c r="A1876" t="s">
        <v>2732</v>
      </c>
      <c r="B1876" s="2">
        <v>45864</v>
      </c>
      <c r="C1876" t="s">
        <v>498</v>
      </c>
      <c r="D1876" t="s">
        <v>772</v>
      </c>
      <c r="E1876" t="s">
        <v>839</v>
      </c>
      <c r="F1876">
        <v>5</v>
      </c>
      <c r="G1876">
        <v>0.1</v>
      </c>
      <c r="H1876" t="s">
        <v>855</v>
      </c>
      <c r="I1876" t="str">
        <f>VLOOKUP(C1876,Customers!A:C,2,FALSE)&amp;" "&amp;VLOOKUP(C1876,Customers!A:C,3,FALSE)</f>
        <v>Amanda Garcia</v>
      </c>
      <c r="J1876" t="str">
        <f>VLOOKUP(D1876,Products!A:C,2,FALSE)</f>
        <v>And Footwear</v>
      </c>
      <c r="K1876" t="str">
        <f>VLOOKUP(D1876,Products!A:C,3,FALSE)</f>
        <v>Fashion</v>
      </c>
      <c r="L1876" t="str">
        <f>VLOOKUP(E1876,Stores!A:B,2,FALSE)</f>
        <v>MegaMart New Michele</v>
      </c>
      <c r="M1876">
        <f>VLOOKUP(D1876,Products!A:E,5,FALSE)</f>
        <v>1878.47</v>
      </c>
      <c r="N1876" s="5">
        <f t="shared" si="29"/>
        <v>8453.1149999999998</v>
      </c>
    </row>
    <row r="1877" spans="1:14" x14ac:dyDescent="0.3">
      <c r="A1877" t="s">
        <v>2733</v>
      </c>
      <c r="B1877" s="2">
        <v>45621</v>
      </c>
      <c r="C1877" t="s">
        <v>560</v>
      </c>
      <c r="D1877" t="s">
        <v>718</v>
      </c>
      <c r="E1877" t="s">
        <v>831</v>
      </c>
      <c r="F1877">
        <v>1</v>
      </c>
      <c r="G1877">
        <v>0.05</v>
      </c>
      <c r="H1877" t="s">
        <v>855</v>
      </c>
      <c r="I1877" t="str">
        <f>VLOOKUP(C1877,Customers!A:C,2,FALSE)&amp;" "&amp;VLOOKUP(C1877,Customers!A:C,3,FALSE)</f>
        <v>George Young</v>
      </c>
      <c r="J1877" t="str">
        <f>VLOOKUP(D1877,Products!A:C,2,FALSE)</f>
        <v>Here Footwear</v>
      </c>
      <c r="K1877" t="str">
        <f>VLOOKUP(D1877,Products!A:C,3,FALSE)</f>
        <v>Fashion</v>
      </c>
      <c r="L1877" t="str">
        <f>VLOOKUP(E1877,Stores!A:B,2,FALSE)</f>
        <v>MegaMart Jimenezborough</v>
      </c>
      <c r="M1877">
        <f>VLOOKUP(D1877,Products!A:E,5,FALSE)</f>
        <v>337.63</v>
      </c>
      <c r="N1877" s="5">
        <f t="shared" si="29"/>
        <v>320.74849999999998</v>
      </c>
    </row>
    <row r="1878" spans="1:14" x14ac:dyDescent="0.3">
      <c r="A1878" t="s">
        <v>2734</v>
      </c>
      <c r="B1878" s="2">
        <v>45305</v>
      </c>
      <c r="C1878" t="s">
        <v>680</v>
      </c>
      <c r="D1878" t="s">
        <v>715</v>
      </c>
      <c r="E1878" t="s">
        <v>842</v>
      </c>
      <c r="F1878">
        <v>2</v>
      </c>
      <c r="G1878">
        <v>0.1</v>
      </c>
      <c r="H1878" t="s">
        <v>858</v>
      </c>
      <c r="I1878" t="str">
        <f>VLOOKUP(C1878,Customers!A:C,2,FALSE)&amp;" "&amp;VLOOKUP(C1878,Customers!A:C,3,FALSE)</f>
        <v>Donald Meza</v>
      </c>
      <c r="J1878" t="str">
        <f>VLOOKUP(D1878,Products!A:C,2,FALSE)</f>
        <v>Audience Television</v>
      </c>
      <c r="K1878" t="str">
        <f>VLOOKUP(D1878,Products!A:C,3,FALSE)</f>
        <v>Electronics</v>
      </c>
      <c r="L1878" t="str">
        <f>VLOOKUP(E1878,Stores!A:B,2,FALSE)</f>
        <v>MegaMart Brianahaven</v>
      </c>
      <c r="M1878">
        <f>VLOOKUP(D1878,Products!A:E,5,FALSE)</f>
        <v>818.76</v>
      </c>
      <c r="N1878" s="5">
        <f t="shared" si="29"/>
        <v>1473.768</v>
      </c>
    </row>
    <row r="1879" spans="1:14" x14ac:dyDescent="0.3">
      <c r="A1879" t="s">
        <v>2735</v>
      </c>
      <c r="B1879" s="2">
        <v>45620</v>
      </c>
      <c r="C1879" t="s">
        <v>454</v>
      </c>
      <c r="D1879" t="s">
        <v>742</v>
      </c>
      <c r="E1879" t="s">
        <v>846</v>
      </c>
      <c r="F1879">
        <v>2</v>
      </c>
      <c r="G1879">
        <v>0.1</v>
      </c>
      <c r="H1879" t="s">
        <v>865</v>
      </c>
      <c r="I1879" t="str">
        <f>VLOOKUP(C1879,Customers!A:C,2,FALSE)&amp;" "&amp;VLOOKUP(C1879,Customers!A:C,3,FALSE)</f>
        <v>Peter Edwards</v>
      </c>
      <c r="J1879" t="str">
        <f>VLOOKUP(D1879,Products!A:C,2,FALSE)</f>
        <v>Either Headphones</v>
      </c>
      <c r="K1879" t="str">
        <f>VLOOKUP(D1879,Products!A:C,3,FALSE)</f>
        <v>Electronics</v>
      </c>
      <c r="L1879" t="str">
        <f>VLOOKUP(E1879,Stores!A:B,2,FALSE)</f>
        <v>MegaMart Johnmouth</v>
      </c>
      <c r="M1879">
        <f>VLOOKUP(D1879,Products!A:E,5,FALSE)</f>
        <v>248.57</v>
      </c>
      <c r="N1879" s="5">
        <f t="shared" si="29"/>
        <v>447.42599999999999</v>
      </c>
    </row>
    <row r="1880" spans="1:14" x14ac:dyDescent="0.3">
      <c r="A1880" t="s">
        <v>2736</v>
      </c>
      <c r="B1880" s="2">
        <v>45902</v>
      </c>
      <c r="C1880" t="s">
        <v>625</v>
      </c>
      <c r="D1880" t="s">
        <v>718</v>
      </c>
      <c r="E1880" t="s">
        <v>846</v>
      </c>
      <c r="F1880">
        <v>2</v>
      </c>
      <c r="G1880">
        <v>0.05</v>
      </c>
      <c r="H1880" t="s">
        <v>861</v>
      </c>
      <c r="I1880" t="str">
        <f>VLOOKUP(C1880,Customers!A:C,2,FALSE)&amp;" "&amp;VLOOKUP(C1880,Customers!A:C,3,FALSE)</f>
        <v>Peter Garcia</v>
      </c>
      <c r="J1880" t="str">
        <f>VLOOKUP(D1880,Products!A:C,2,FALSE)</f>
        <v>Here Footwear</v>
      </c>
      <c r="K1880" t="str">
        <f>VLOOKUP(D1880,Products!A:C,3,FALSE)</f>
        <v>Fashion</v>
      </c>
      <c r="L1880" t="str">
        <f>VLOOKUP(E1880,Stores!A:B,2,FALSE)</f>
        <v>MegaMart Johnmouth</v>
      </c>
      <c r="M1880">
        <f>VLOOKUP(D1880,Products!A:E,5,FALSE)</f>
        <v>337.63</v>
      </c>
      <c r="N1880" s="5">
        <f t="shared" si="29"/>
        <v>641.49699999999996</v>
      </c>
    </row>
    <row r="1881" spans="1:14" x14ac:dyDescent="0.3">
      <c r="A1881" t="s">
        <v>2737</v>
      </c>
      <c r="B1881" s="2">
        <v>45376</v>
      </c>
      <c r="C1881" t="s">
        <v>364</v>
      </c>
      <c r="D1881" t="s">
        <v>764</v>
      </c>
      <c r="E1881" t="s">
        <v>846</v>
      </c>
      <c r="F1881">
        <v>3</v>
      </c>
      <c r="G1881">
        <v>0</v>
      </c>
      <c r="H1881" t="s">
        <v>855</v>
      </c>
      <c r="I1881" t="str">
        <f>VLOOKUP(C1881,Customers!A:C,2,FALSE)&amp;" "&amp;VLOOKUP(C1881,Customers!A:C,3,FALSE)</f>
        <v>Evelyn Gray</v>
      </c>
      <c r="J1881" t="str">
        <f>VLOOKUP(D1881,Products!A:C,2,FALSE)</f>
        <v>Simple Accessories</v>
      </c>
      <c r="K1881" t="str">
        <f>VLOOKUP(D1881,Products!A:C,3,FALSE)</f>
        <v>Fashion</v>
      </c>
      <c r="L1881" t="str">
        <f>VLOOKUP(E1881,Stores!A:B,2,FALSE)</f>
        <v>MegaMart Johnmouth</v>
      </c>
      <c r="M1881">
        <f>VLOOKUP(D1881,Products!A:E,5,FALSE)</f>
        <v>323.92</v>
      </c>
      <c r="N1881" s="5">
        <f t="shared" si="29"/>
        <v>971.76</v>
      </c>
    </row>
    <row r="1882" spans="1:14" x14ac:dyDescent="0.3">
      <c r="A1882" t="s">
        <v>2738</v>
      </c>
      <c r="B1882" s="2">
        <v>45280</v>
      </c>
      <c r="C1882" t="s">
        <v>643</v>
      </c>
      <c r="D1882" t="s">
        <v>790</v>
      </c>
      <c r="E1882" t="s">
        <v>835</v>
      </c>
      <c r="F1882">
        <v>5</v>
      </c>
      <c r="G1882">
        <v>0.15</v>
      </c>
      <c r="H1882" t="s">
        <v>858</v>
      </c>
      <c r="I1882" t="str">
        <f>VLOOKUP(C1882,Customers!A:C,2,FALSE)&amp;" "&amp;VLOOKUP(C1882,Customers!A:C,3,FALSE)</f>
        <v>Meghan Wright</v>
      </c>
      <c r="J1882" t="str">
        <f>VLOOKUP(D1882,Products!A:C,2,FALSE)</f>
        <v>Difficult Vegetables</v>
      </c>
      <c r="K1882" t="str">
        <f>VLOOKUP(D1882,Products!A:C,3,FALSE)</f>
        <v>Groceries</v>
      </c>
      <c r="L1882" t="str">
        <f>VLOOKUP(E1882,Stores!A:B,2,FALSE)</f>
        <v>MegaMart Peckmouth</v>
      </c>
      <c r="M1882">
        <f>VLOOKUP(D1882,Products!A:E,5,FALSE)</f>
        <v>304.70999999999998</v>
      </c>
      <c r="N1882" s="5">
        <f t="shared" si="29"/>
        <v>1295.0174999999999</v>
      </c>
    </row>
    <row r="1883" spans="1:14" x14ac:dyDescent="0.3">
      <c r="A1883" t="s">
        <v>2739</v>
      </c>
      <c r="B1883" s="2">
        <v>45803</v>
      </c>
      <c r="C1883" t="s">
        <v>183</v>
      </c>
      <c r="D1883" t="s">
        <v>722</v>
      </c>
      <c r="E1883" t="s">
        <v>842</v>
      </c>
      <c r="F1883">
        <v>3</v>
      </c>
      <c r="G1883">
        <v>0.15</v>
      </c>
      <c r="H1883" t="s">
        <v>855</v>
      </c>
      <c r="I1883" t="str">
        <f>VLOOKUP(C1883,Customers!A:C,2,FALSE)&amp;" "&amp;VLOOKUP(C1883,Customers!A:C,3,FALSE)</f>
        <v>Mary Decker</v>
      </c>
      <c r="J1883" t="str">
        <f>VLOOKUP(D1883,Products!A:C,2,FALSE)</f>
        <v>Four Accessories</v>
      </c>
      <c r="K1883" t="str">
        <f>VLOOKUP(D1883,Products!A:C,3,FALSE)</f>
        <v>Fashion</v>
      </c>
      <c r="L1883" t="str">
        <f>VLOOKUP(E1883,Stores!A:B,2,FALSE)</f>
        <v>MegaMart Brianahaven</v>
      </c>
      <c r="M1883">
        <f>VLOOKUP(D1883,Products!A:E,5,FALSE)</f>
        <v>1853.77</v>
      </c>
      <c r="N1883" s="5">
        <f t="shared" si="29"/>
        <v>4727.1134999999995</v>
      </c>
    </row>
    <row r="1884" spans="1:14" x14ac:dyDescent="0.3">
      <c r="A1884" t="s">
        <v>2740</v>
      </c>
      <c r="B1884" s="2">
        <v>45865</v>
      </c>
      <c r="C1884" t="s">
        <v>270</v>
      </c>
      <c r="D1884" t="s">
        <v>792</v>
      </c>
      <c r="E1884" t="s">
        <v>842</v>
      </c>
      <c r="F1884">
        <v>5</v>
      </c>
      <c r="G1884">
        <v>0.05</v>
      </c>
      <c r="H1884" t="s">
        <v>855</v>
      </c>
      <c r="I1884" t="str">
        <f>VLOOKUP(C1884,Customers!A:C,2,FALSE)&amp;" "&amp;VLOOKUP(C1884,Customers!A:C,3,FALSE)</f>
        <v>Denise Gutierrez</v>
      </c>
      <c r="J1884" t="str">
        <f>VLOOKUP(D1884,Products!A:C,2,FALSE)</f>
        <v>Beat Accessories</v>
      </c>
      <c r="K1884" t="str">
        <f>VLOOKUP(D1884,Products!A:C,3,FALSE)</f>
        <v>Fashion</v>
      </c>
      <c r="L1884" t="str">
        <f>VLOOKUP(E1884,Stores!A:B,2,FALSE)</f>
        <v>MegaMart Brianahaven</v>
      </c>
      <c r="M1884">
        <f>VLOOKUP(D1884,Products!A:E,5,FALSE)</f>
        <v>1798.97</v>
      </c>
      <c r="N1884" s="5">
        <f t="shared" si="29"/>
        <v>8545.1075000000001</v>
      </c>
    </row>
    <row r="1885" spans="1:14" x14ac:dyDescent="0.3">
      <c r="A1885" t="s">
        <v>2741</v>
      </c>
      <c r="B1885" s="2">
        <v>45728</v>
      </c>
      <c r="C1885" t="s">
        <v>582</v>
      </c>
      <c r="D1885" t="s">
        <v>780</v>
      </c>
      <c r="E1885" t="s">
        <v>831</v>
      </c>
      <c r="F1885">
        <v>3</v>
      </c>
      <c r="G1885">
        <v>0.15</v>
      </c>
      <c r="H1885" t="s">
        <v>855</v>
      </c>
      <c r="I1885" t="str">
        <f>VLOOKUP(C1885,Customers!A:C,2,FALSE)&amp;" "&amp;VLOOKUP(C1885,Customers!A:C,3,FALSE)</f>
        <v>Erin Rogers</v>
      </c>
      <c r="J1885" t="str">
        <f>VLOOKUP(D1885,Products!A:C,2,FALSE)</f>
        <v>Hospital Smartphone</v>
      </c>
      <c r="K1885" t="str">
        <f>VLOOKUP(D1885,Products!A:C,3,FALSE)</f>
        <v>Electronics</v>
      </c>
      <c r="L1885" t="str">
        <f>VLOOKUP(E1885,Stores!A:B,2,FALSE)</f>
        <v>MegaMart Jimenezborough</v>
      </c>
      <c r="M1885">
        <f>VLOOKUP(D1885,Products!A:E,5,FALSE)</f>
        <v>1272.23</v>
      </c>
      <c r="N1885" s="5">
        <f t="shared" si="29"/>
        <v>3244.1864999999998</v>
      </c>
    </row>
    <row r="1886" spans="1:14" x14ac:dyDescent="0.3">
      <c r="A1886" t="s">
        <v>2742</v>
      </c>
      <c r="B1886" s="2">
        <v>45239</v>
      </c>
      <c r="C1886" t="s">
        <v>97</v>
      </c>
      <c r="D1886" t="s">
        <v>766</v>
      </c>
      <c r="E1886" t="s">
        <v>831</v>
      </c>
      <c r="F1886">
        <v>1</v>
      </c>
      <c r="G1886">
        <v>0.05</v>
      </c>
      <c r="H1886" t="s">
        <v>865</v>
      </c>
      <c r="I1886" t="str">
        <f>VLOOKUP(C1886,Customers!A:C,2,FALSE)&amp;" "&amp;VLOOKUP(C1886,Customers!A:C,3,FALSE)</f>
        <v>Molly Murray</v>
      </c>
      <c r="J1886" t="str">
        <f>VLOOKUP(D1886,Products!A:C,2,FALSE)</f>
        <v>Firm Dairy</v>
      </c>
      <c r="K1886" t="str">
        <f>VLOOKUP(D1886,Products!A:C,3,FALSE)</f>
        <v>Groceries</v>
      </c>
      <c r="L1886" t="str">
        <f>VLOOKUP(E1886,Stores!A:B,2,FALSE)</f>
        <v>MegaMart Jimenezborough</v>
      </c>
      <c r="M1886">
        <f>VLOOKUP(D1886,Products!A:E,5,FALSE)</f>
        <v>1227.24</v>
      </c>
      <c r="N1886" s="5">
        <f t="shared" si="29"/>
        <v>1165.8779999999999</v>
      </c>
    </row>
    <row r="1887" spans="1:14" x14ac:dyDescent="0.3">
      <c r="A1887" t="s">
        <v>2743</v>
      </c>
      <c r="B1887" s="2">
        <v>45890</v>
      </c>
      <c r="C1887" t="s">
        <v>167</v>
      </c>
      <c r="D1887" t="s">
        <v>818</v>
      </c>
      <c r="E1887" t="s">
        <v>846</v>
      </c>
      <c r="F1887">
        <v>1</v>
      </c>
      <c r="G1887">
        <v>0</v>
      </c>
      <c r="H1887" t="s">
        <v>855</v>
      </c>
      <c r="I1887" t="str">
        <f>VLOOKUP(C1887,Customers!A:C,2,FALSE)&amp;" "&amp;VLOOKUP(C1887,Customers!A:C,3,FALSE)</f>
        <v>Kenneth Allen</v>
      </c>
      <c r="J1887" t="str">
        <f>VLOOKUP(D1887,Products!A:C,2,FALSE)</f>
        <v>Nature Clothing</v>
      </c>
      <c r="K1887" t="str">
        <f>VLOOKUP(D1887,Products!A:C,3,FALSE)</f>
        <v>Fashion</v>
      </c>
      <c r="L1887" t="str">
        <f>VLOOKUP(E1887,Stores!A:B,2,FALSE)</f>
        <v>MegaMart Johnmouth</v>
      </c>
      <c r="M1887">
        <f>VLOOKUP(D1887,Products!A:E,5,FALSE)</f>
        <v>1165.3699999999999</v>
      </c>
      <c r="N1887" s="5">
        <f t="shared" si="29"/>
        <v>1165.3699999999999</v>
      </c>
    </row>
    <row r="1888" spans="1:14" x14ac:dyDescent="0.3">
      <c r="A1888" t="s">
        <v>2744</v>
      </c>
      <c r="B1888" s="2">
        <v>45635</v>
      </c>
      <c r="C1888" t="s">
        <v>516</v>
      </c>
      <c r="D1888" t="s">
        <v>792</v>
      </c>
      <c r="E1888" t="s">
        <v>842</v>
      </c>
      <c r="F1888">
        <v>1</v>
      </c>
      <c r="G1888">
        <v>0.15</v>
      </c>
      <c r="H1888" t="s">
        <v>861</v>
      </c>
      <c r="I1888" t="str">
        <f>VLOOKUP(C1888,Customers!A:C,2,FALSE)&amp;" "&amp;VLOOKUP(C1888,Customers!A:C,3,FALSE)</f>
        <v>Suzanne Fox</v>
      </c>
      <c r="J1888" t="str">
        <f>VLOOKUP(D1888,Products!A:C,2,FALSE)</f>
        <v>Beat Accessories</v>
      </c>
      <c r="K1888" t="str">
        <f>VLOOKUP(D1888,Products!A:C,3,FALSE)</f>
        <v>Fashion</v>
      </c>
      <c r="L1888" t="str">
        <f>VLOOKUP(E1888,Stores!A:B,2,FALSE)</f>
        <v>MegaMart Brianahaven</v>
      </c>
      <c r="M1888">
        <f>VLOOKUP(D1888,Products!A:E,5,FALSE)</f>
        <v>1798.97</v>
      </c>
      <c r="N1888" s="5">
        <f t="shared" si="29"/>
        <v>1529.1244999999999</v>
      </c>
    </row>
    <row r="1889" spans="1:14" x14ac:dyDescent="0.3">
      <c r="A1889" t="s">
        <v>2745</v>
      </c>
      <c r="B1889" s="2">
        <v>45555</v>
      </c>
      <c r="C1889" t="s">
        <v>454</v>
      </c>
      <c r="D1889" t="s">
        <v>750</v>
      </c>
      <c r="E1889" t="s">
        <v>842</v>
      </c>
      <c r="F1889">
        <v>5</v>
      </c>
      <c r="G1889">
        <v>0</v>
      </c>
      <c r="H1889" t="s">
        <v>858</v>
      </c>
      <c r="I1889" t="str">
        <f>VLOOKUP(C1889,Customers!A:C,2,FALSE)&amp;" "&amp;VLOOKUP(C1889,Customers!A:C,3,FALSE)</f>
        <v>Peter Edwards</v>
      </c>
      <c r="J1889" t="str">
        <f>VLOOKUP(D1889,Products!A:C,2,FALSE)</f>
        <v>Add Clothing</v>
      </c>
      <c r="K1889" t="str">
        <f>VLOOKUP(D1889,Products!A:C,3,FALSE)</f>
        <v>Fashion</v>
      </c>
      <c r="L1889" t="str">
        <f>VLOOKUP(E1889,Stores!A:B,2,FALSE)</f>
        <v>MegaMart Brianahaven</v>
      </c>
      <c r="M1889">
        <f>VLOOKUP(D1889,Products!A:E,5,FALSE)</f>
        <v>1342.75</v>
      </c>
      <c r="N1889" s="5">
        <f t="shared" si="29"/>
        <v>6713.75</v>
      </c>
    </row>
    <row r="1890" spans="1:14" x14ac:dyDescent="0.3">
      <c r="A1890" t="s">
        <v>2746</v>
      </c>
      <c r="B1890" s="2">
        <v>45181</v>
      </c>
      <c r="C1890" t="s">
        <v>20</v>
      </c>
      <c r="D1890" t="s">
        <v>786</v>
      </c>
      <c r="E1890" t="s">
        <v>846</v>
      </c>
      <c r="F1890">
        <v>2</v>
      </c>
      <c r="G1890">
        <v>0</v>
      </c>
      <c r="H1890" t="s">
        <v>858</v>
      </c>
      <c r="I1890" t="str">
        <f>VLOOKUP(C1890,Customers!A:C,2,FALSE)&amp;" "&amp;VLOOKUP(C1890,Customers!A:C,3,FALSE)</f>
        <v>Joseph Ward</v>
      </c>
      <c r="J1890" t="str">
        <f>VLOOKUP(D1890,Products!A:C,2,FALSE)</f>
        <v>National Watches</v>
      </c>
      <c r="K1890" t="str">
        <f>VLOOKUP(D1890,Products!A:C,3,FALSE)</f>
        <v>Fashion</v>
      </c>
      <c r="L1890" t="str">
        <f>VLOOKUP(E1890,Stores!A:B,2,FALSE)</f>
        <v>MegaMart Johnmouth</v>
      </c>
      <c r="M1890">
        <f>VLOOKUP(D1890,Products!A:E,5,FALSE)</f>
        <v>29.24</v>
      </c>
      <c r="N1890" s="5">
        <f t="shared" si="29"/>
        <v>58.48</v>
      </c>
    </row>
    <row r="1891" spans="1:14" x14ac:dyDescent="0.3">
      <c r="A1891" t="s">
        <v>2747</v>
      </c>
      <c r="B1891" s="2">
        <v>45558</v>
      </c>
      <c r="C1891" t="s">
        <v>636</v>
      </c>
      <c r="D1891" t="s">
        <v>812</v>
      </c>
      <c r="E1891" t="s">
        <v>846</v>
      </c>
      <c r="F1891">
        <v>3</v>
      </c>
      <c r="G1891">
        <v>0.05</v>
      </c>
      <c r="H1891" t="s">
        <v>865</v>
      </c>
      <c r="I1891" t="str">
        <f>VLOOKUP(C1891,Customers!A:C,2,FALSE)&amp;" "&amp;VLOOKUP(C1891,Customers!A:C,3,FALSE)</f>
        <v>Nichole Calhoun</v>
      </c>
      <c r="J1891" t="str">
        <f>VLOOKUP(D1891,Products!A:C,2,FALSE)</f>
        <v>Soon Accessories</v>
      </c>
      <c r="K1891" t="str">
        <f>VLOOKUP(D1891,Products!A:C,3,FALSE)</f>
        <v>Fashion</v>
      </c>
      <c r="L1891" t="str">
        <f>VLOOKUP(E1891,Stores!A:B,2,FALSE)</f>
        <v>MegaMart Johnmouth</v>
      </c>
      <c r="M1891">
        <f>VLOOKUP(D1891,Products!A:E,5,FALSE)</f>
        <v>564.41999999999996</v>
      </c>
      <c r="N1891" s="5">
        <f t="shared" si="29"/>
        <v>1608.5969999999998</v>
      </c>
    </row>
    <row r="1892" spans="1:14" x14ac:dyDescent="0.3">
      <c r="A1892" t="s">
        <v>2748</v>
      </c>
      <c r="B1892" s="2">
        <v>45725</v>
      </c>
      <c r="C1892" t="s">
        <v>560</v>
      </c>
      <c r="D1892" t="s">
        <v>736</v>
      </c>
      <c r="E1892" t="s">
        <v>842</v>
      </c>
      <c r="F1892">
        <v>2</v>
      </c>
      <c r="G1892">
        <v>0.05</v>
      </c>
      <c r="H1892" t="s">
        <v>861</v>
      </c>
      <c r="I1892" t="str">
        <f>VLOOKUP(C1892,Customers!A:C,2,FALSE)&amp;" "&amp;VLOOKUP(C1892,Customers!A:C,3,FALSE)</f>
        <v>George Young</v>
      </c>
      <c r="J1892" t="str">
        <f>VLOOKUP(D1892,Products!A:C,2,FALSE)</f>
        <v>Us Snacks</v>
      </c>
      <c r="K1892" t="str">
        <f>VLOOKUP(D1892,Products!A:C,3,FALSE)</f>
        <v>Groceries</v>
      </c>
      <c r="L1892" t="str">
        <f>VLOOKUP(E1892,Stores!A:B,2,FALSE)</f>
        <v>MegaMart Brianahaven</v>
      </c>
      <c r="M1892">
        <f>VLOOKUP(D1892,Products!A:E,5,FALSE)</f>
        <v>123.19</v>
      </c>
      <c r="N1892" s="5">
        <f t="shared" si="29"/>
        <v>234.06099999999998</v>
      </c>
    </row>
    <row r="1893" spans="1:14" x14ac:dyDescent="0.3">
      <c r="A1893" t="s">
        <v>2749</v>
      </c>
      <c r="B1893" s="2">
        <v>45403</v>
      </c>
      <c r="C1893" t="s">
        <v>81</v>
      </c>
      <c r="D1893" t="s">
        <v>739</v>
      </c>
      <c r="E1893" t="s">
        <v>839</v>
      </c>
      <c r="F1893">
        <v>2</v>
      </c>
      <c r="G1893">
        <v>0.1</v>
      </c>
      <c r="H1893" t="s">
        <v>865</v>
      </c>
      <c r="I1893" t="str">
        <f>VLOOKUP(C1893,Customers!A:C,2,FALSE)&amp;" "&amp;VLOOKUP(C1893,Customers!A:C,3,FALSE)</f>
        <v>Ryan Cole</v>
      </c>
      <c r="J1893" t="str">
        <f>VLOOKUP(D1893,Products!A:C,2,FALSE)</f>
        <v>Step Smartphone</v>
      </c>
      <c r="K1893" t="str">
        <f>VLOOKUP(D1893,Products!A:C,3,FALSE)</f>
        <v>Electronics</v>
      </c>
      <c r="L1893" t="str">
        <f>VLOOKUP(E1893,Stores!A:B,2,FALSE)</f>
        <v>MegaMart New Michele</v>
      </c>
      <c r="M1893">
        <f>VLOOKUP(D1893,Products!A:E,5,FALSE)</f>
        <v>1194.1199999999999</v>
      </c>
      <c r="N1893" s="5">
        <f t="shared" si="29"/>
        <v>2149.4159999999997</v>
      </c>
    </row>
    <row r="1894" spans="1:14" x14ac:dyDescent="0.3">
      <c r="A1894" t="s">
        <v>2750</v>
      </c>
      <c r="B1894" s="2">
        <v>45445</v>
      </c>
      <c r="C1894" t="s">
        <v>407</v>
      </c>
      <c r="D1894" t="s">
        <v>715</v>
      </c>
      <c r="E1894" t="s">
        <v>842</v>
      </c>
      <c r="F1894">
        <v>4</v>
      </c>
      <c r="G1894">
        <v>0.05</v>
      </c>
      <c r="H1894" t="s">
        <v>855</v>
      </c>
      <c r="I1894" t="str">
        <f>VLOOKUP(C1894,Customers!A:C,2,FALSE)&amp;" "&amp;VLOOKUP(C1894,Customers!A:C,3,FALSE)</f>
        <v>Austin Hogan</v>
      </c>
      <c r="J1894" t="str">
        <f>VLOOKUP(D1894,Products!A:C,2,FALSE)</f>
        <v>Audience Television</v>
      </c>
      <c r="K1894" t="str">
        <f>VLOOKUP(D1894,Products!A:C,3,FALSE)</f>
        <v>Electronics</v>
      </c>
      <c r="L1894" t="str">
        <f>VLOOKUP(E1894,Stores!A:B,2,FALSE)</f>
        <v>MegaMart Brianahaven</v>
      </c>
      <c r="M1894">
        <f>VLOOKUP(D1894,Products!A:E,5,FALSE)</f>
        <v>818.76</v>
      </c>
      <c r="N1894" s="5">
        <f t="shared" si="29"/>
        <v>3111.288</v>
      </c>
    </row>
    <row r="1895" spans="1:14" x14ac:dyDescent="0.3">
      <c r="A1895" t="s">
        <v>2751</v>
      </c>
      <c r="B1895" s="2">
        <v>45897</v>
      </c>
      <c r="C1895" t="s">
        <v>115</v>
      </c>
      <c r="D1895" t="s">
        <v>806</v>
      </c>
      <c r="E1895" t="s">
        <v>839</v>
      </c>
      <c r="F1895">
        <v>2</v>
      </c>
      <c r="G1895">
        <v>0</v>
      </c>
      <c r="H1895" t="s">
        <v>855</v>
      </c>
      <c r="I1895" t="str">
        <f>VLOOKUP(C1895,Customers!A:C,2,FALSE)&amp;" "&amp;VLOOKUP(C1895,Customers!A:C,3,FALSE)</f>
        <v>Tyler Levine</v>
      </c>
      <c r="J1895" t="str">
        <f>VLOOKUP(D1895,Products!A:C,2,FALSE)</f>
        <v>Piece Headphones</v>
      </c>
      <c r="K1895" t="str">
        <f>VLOOKUP(D1895,Products!A:C,3,FALSE)</f>
        <v>Electronics</v>
      </c>
      <c r="L1895" t="str">
        <f>VLOOKUP(E1895,Stores!A:B,2,FALSE)</f>
        <v>MegaMart New Michele</v>
      </c>
      <c r="M1895">
        <f>VLOOKUP(D1895,Products!A:E,5,FALSE)</f>
        <v>1745.61</v>
      </c>
      <c r="N1895" s="5">
        <f t="shared" si="29"/>
        <v>3491.22</v>
      </c>
    </row>
    <row r="1896" spans="1:14" x14ac:dyDescent="0.3">
      <c r="A1896" t="s">
        <v>2752</v>
      </c>
      <c r="B1896" s="2">
        <v>45711</v>
      </c>
      <c r="C1896" t="s">
        <v>291</v>
      </c>
      <c r="D1896" t="s">
        <v>782</v>
      </c>
      <c r="E1896" t="s">
        <v>842</v>
      </c>
      <c r="F1896">
        <v>3</v>
      </c>
      <c r="G1896">
        <v>0.1</v>
      </c>
      <c r="H1896" t="s">
        <v>861</v>
      </c>
      <c r="I1896" t="str">
        <f>VLOOKUP(C1896,Customers!A:C,2,FALSE)&amp;" "&amp;VLOOKUP(C1896,Customers!A:C,3,FALSE)</f>
        <v>Matthew Juarez</v>
      </c>
      <c r="J1896" t="str">
        <f>VLOOKUP(D1896,Products!A:C,2,FALSE)</f>
        <v>Deal Smartphone</v>
      </c>
      <c r="K1896" t="str">
        <f>VLOOKUP(D1896,Products!A:C,3,FALSE)</f>
        <v>Electronics</v>
      </c>
      <c r="L1896" t="str">
        <f>VLOOKUP(E1896,Stores!A:B,2,FALSE)</f>
        <v>MegaMart Brianahaven</v>
      </c>
      <c r="M1896">
        <f>VLOOKUP(D1896,Products!A:E,5,FALSE)</f>
        <v>673.78</v>
      </c>
      <c r="N1896" s="5">
        <f t="shared" si="29"/>
        <v>1819.2059999999999</v>
      </c>
    </row>
    <row r="1897" spans="1:14" x14ac:dyDescent="0.3">
      <c r="A1897" t="s">
        <v>2753</v>
      </c>
      <c r="B1897" s="2">
        <v>45807</v>
      </c>
      <c r="C1897" t="s">
        <v>7</v>
      </c>
      <c r="D1897" t="s">
        <v>736</v>
      </c>
      <c r="E1897" t="s">
        <v>846</v>
      </c>
      <c r="F1897">
        <v>4</v>
      </c>
      <c r="G1897">
        <v>0.05</v>
      </c>
      <c r="H1897" t="s">
        <v>855</v>
      </c>
      <c r="I1897" t="str">
        <f>VLOOKUP(C1897,Customers!A:C,2,FALSE)&amp;" "&amp;VLOOKUP(C1897,Customers!A:C,3,FALSE)</f>
        <v>Michael Davis</v>
      </c>
      <c r="J1897" t="str">
        <f>VLOOKUP(D1897,Products!A:C,2,FALSE)</f>
        <v>Us Snacks</v>
      </c>
      <c r="K1897" t="str">
        <f>VLOOKUP(D1897,Products!A:C,3,FALSE)</f>
        <v>Groceries</v>
      </c>
      <c r="L1897" t="str">
        <f>VLOOKUP(E1897,Stores!A:B,2,FALSE)</f>
        <v>MegaMart Johnmouth</v>
      </c>
      <c r="M1897">
        <f>VLOOKUP(D1897,Products!A:E,5,FALSE)</f>
        <v>123.19</v>
      </c>
      <c r="N1897" s="5">
        <f t="shared" si="29"/>
        <v>468.12199999999996</v>
      </c>
    </row>
    <row r="1898" spans="1:14" x14ac:dyDescent="0.3">
      <c r="A1898" t="s">
        <v>2754</v>
      </c>
      <c r="B1898" s="2">
        <v>45294</v>
      </c>
      <c r="C1898" t="s">
        <v>589</v>
      </c>
      <c r="D1898" t="s">
        <v>820</v>
      </c>
      <c r="E1898" t="s">
        <v>846</v>
      </c>
      <c r="F1898">
        <v>1</v>
      </c>
      <c r="G1898">
        <v>0.15</v>
      </c>
      <c r="H1898" t="s">
        <v>858</v>
      </c>
      <c r="I1898" t="str">
        <f>VLOOKUP(C1898,Customers!A:C,2,FALSE)&amp;" "&amp;VLOOKUP(C1898,Customers!A:C,3,FALSE)</f>
        <v>Tanya Mueller</v>
      </c>
      <c r="J1898" t="str">
        <f>VLOOKUP(D1898,Products!A:C,2,FALSE)</f>
        <v>Or Smartphone</v>
      </c>
      <c r="K1898" t="str">
        <f>VLOOKUP(D1898,Products!A:C,3,FALSE)</f>
        <v>Electronics</v>
      </c>
      <c r="L1898" t="str">
        <f>VLOOKUP(E1898,Stores!A:B,2,FALSE)</f>
        <v>MegaMart Johnmouth</v>
      </c>
      <c r="M1898">
        <f>VLOOKUP(D1898,Products!A:E,5,FALSE)</f>
        <v>1197.18</v>
      </c>
      <c r="N1898" s="5">
        <f t="shared" si="29"/>
        <v>1017.6030000000001</v>
      </c>
    </row>
    <row r="1899" spans="1:14" x14ac:dyDescent="0.3">
      <c r="A1899" t="s">
        <v>2755</v>
      </c>
      <c r="B1899" s="2">
        <v>45693</v>
      </c>
      <c r="C1899" t="s">
        <v>63</v>
      </c>
      <c r="D1899" t="s">
        <v>759</v>
      </c>
      <c r="E1899" t="s">
        <v>839</v>
      </c>
      <c r="F1899">
        <v>1</v>
      </c>
      <c r="G1899">
        <v>0.15</v>
      </c>
      <c r="H1899" t="s">
        <v>855</v>
      </c>
      <c r="I1899" t="str">
        <f>VLOOKUP(C1899,Customers!A:C,2,FALSE)&amp;" "&amp;VLOOKUP(C1899,Customers!A:C,3,FALSE)</f>
        <v>Matthew Molina</v>
      </c>
      <c r="J1899" t="str">
        <f>VLOOKUP(D1899,Products!A:C,2,FALSE)</f>
        <v>Democratic Smartphone</v>
      </c>
      <c r="K1899" t="str">
        <f>VLOOKUP(D1899,Products!A:C,3,FALSE)</f>
        <v>Electronics</v>
      </c>
      <c r="L1899" t="str">
        <f>VLOOKUP(E1899,Stores!A:B,2,FALSE)</f>
        <v>MegaMart New Michele</v>
      </c>
      <c r="M1899">
        <f>VLOOKUP(D1899,Products!A:E,5,FALSE)</f>
        <v>1079.8900000000001</v>
      </c>
      <c r="N1899" s="5">
        <f t="shared" si="29"/>
        <v>917.90650000000005</v>
      </c>
    </row>
    <row r="1900" spans="1:14" x14ac:dyDescent="0.3">
      <c r="A1900" t="s">
        <v>2756</v>
      </c>
      <c r="B1900" s="2">
        <v>45607</v>
      </c>
      <c r="C1900" t="s">
        <v>291</v>
      </c>
      <c r="D1900" t="s">
        <v>755</v>
      </c>
      <c r="E1900" t="s">
        <v>839</v>
      </c>
      <c r="F1900">
        <v>1</v>
      </c>
      <c r="G1900">
        <v>0</v>
      </c>
      <c r="H1900" t="s">
        <v>855</v>
      </c>
      <c r="I1900" t="str">
        <f>VLOOKUP(C1900,Customers!A:C,2,FALSE)&amp;" "&amp;VLOOKUP(C1900,Customers!A:C,3,FALSE)</f>
        <v>Matthew Juarez</v>
      </c>
      <c r="J1900" t="str">
        <f>VLOOKUP(D1900,Products!A:C,2,FALSE)</f>
        <v>House Accessories</v>
      </c>
      <c r="K1900" t="str">
        <f>VLOOKUP(D1900,Products!A:C,3,FALSE)</f>
        <v>Fashion</v>
      </c>
      <c r="L1900" t="str">
        <f>VLOOKUP(E1900,Stores!A:B,2,FALSE)</f>
        <v>MegaMart New Michele</v>
      </c>
      <c r="M1900">
        <f>VLOOKUP(D1900,Products!A:E,5,FALSE)</f>
        <v>1858.75</v>
      </c>
      <c r="N1900" s="5">
        <f t="shared" si="29"/>
        <v>1858.75</v>
      </c>
    </row>
    <row r="1901" spans="1:14" x14ac:dyDescent="0.3">
      <c r="A1901" t="s">
        <v>2757</v>
      </c>
      <c r="B1901" s="2">
        <v>45811</v>
      </c>
      <c r="C1901" t="s">
        <v>653</v>
      </c>
      <c r="D1901" t="s">
        <v>826</v>
      </c>
      <c r="E1901" t="s">
        <v>835</v>
      </c>
      <c r="F1901">
        <v>4</v>
      </c>
      <c r="G1901">
        <v>0.1</v>
      </c>
      <c r="H1901" t="s">
        <v>865</v>
      </c>
      <c r="I1901" t="str">
        <f>VLOOKUP(C1901,Customers!A:C,2,FALSE)&amp;" "&amp;VLOOKUP(C1901,Customers!A:C,3,FALSE)</f>
        <v>Joe Vincent</v>
      </c>
      <c r="J1901" t="str">
        <f>VLOOKUP(D1901,Products!A:C,2,FALSE)</f>
        <v>Maybe Footwear</v>
      </c>
      <c r="K1901" t="str">
        <f>VLOOKUP(D1901,Products!A:C,3,FALSE)</f>
        <v>Fashion</v>
      </c>
      <c r="L1901" t="str">
        <f>VLOOKUP(E1901,Stores!A:B,2,FALSE)</f>
        <v>MegaMart Peckmouth</v>
      </c>
      <c r="M1901">
        <f>VLOOKUP(D1901,Products!A:E,5,FALSE)</f>
        <v>1044.6400000000001</v>
      </c>
      <c r="N1901" s="5">
        <f t="shared" si="29"/>
        <v>3760.7040000000006</v>
      </c>
    </row>
    <row r="1902" spans="1:14" x14ac:dyDescent="0.3">
      <c r="A1902" t="s">
        <v>2758</v>
      </c>
      <c r="B1902" s="2">
        <v>45586</v>
      </c>
      <c r="C1902" t="s">
        <v>105</v>
      </c>
      <c r="D1902" t="s">
        <v>808</v>
      </c>
      <c r="E1902" t="s">
        <v>842</v>
      </c>
      <c r="F1902">
        <v>4</v>
      </c>
      <c r="G1902">
        <v>0.05</v>
      </c>
      <c r="H1902" t="s">
        <v>865</v>
      </c>
      <c r="I1902" t="str">
        <f>VLOOKUP(C1902,Customers!A:C,2,FALSE)&amp;" "&amp;VLOOKUP(C1902,Customers!A:C,3,FALSE)</f>
        <v>Justin Macdonald</v>
      </c>
      <c r="J1902" t="str">
        <f>VLOOKUP(D1902,Products!A:C,2,FALSE)</f>
        <v>Present Television</v>
      </c>
      <c r="K1902" t="str">
        <f>VLOOKUP(D1902,Products!A:C,3,FALSE)</f>
        <v>Electronics</v>
      </c>
      <c r="L1902" t="str">
        <f>VLOOKUP(E1902,Stores!A:B,2,FALSE)</f>
        <v>MegaMart Brianahaven</v>
      </c>
      <c r="M1902">
        <f>VLOOKUP(D1902,Products!A:E,5,FALSE)</f>
        <v>1635.01</v>
      </c>
      <c r="N1902" s="5">
        <f t="shared" si="29"/>
        <v>6213.0379999999996</v>
      </c>
    </row>
    <row r="1903" spans="1:14" x14ac:dyDescent="0.3">
      <c r="A1903" t="s">
        <v>2759</v>
      </c>
      <c r="B1903" s="2">
        <v>45305</v>
      </c>
      <c r="C1903" t="s">
        <v>498</v>
      </c>
      <c r="D1903" t="s">
        <v>776</v>
      </c>
      <c r="E1903" t="s">
        <v>846</v>
      </c>
      <c r="F1903">
        <v>2</v>
      </c>
      <c r="G1903">
        <v>0.15</v>
      </c>
      <c r="H1903" t="s">
        <v>865</v>
      </c>
      <c r="I1903" t="str">
        <f>VLOOKUP(C1903,Customers!A:C,2,FALSE)&amp;" "&amp;VLOOKUP(C1903,Customers!A:C,3,FALSE)</f>
        <v>Amanda Garcia</v>
      </c>
      <c r="J1903" t="str">
        <f>VLOOKUP(D1903,Products!A:C,2,FALSE)</f>
        <v>Little Watches</v>
      </c>
      <c r="K1903" t="str">
        <f>VLOOKUP(D1903,Products!A:C,3,FALSE)</f>
        <v>Fashion</v>
      </c>
      <c r="L1903" t="str">
        <f>VLOOKUP(E1903,Stores!A:B,2,FALSE)</f>
        <v>MegaMart Johnmouth</v>
      </c>
      <c r="M1903">
        <f>VLOOKUP(D1903,Products!A:E,5,FALSE)</f>
        <v>429.15</v>
      </c>
      <c r="N1903" s="5">
        <f t="shared" si="29"/>
        <v>729.55499999999995</v>
      </c>
    </row>
    <row r="1904" spans="1:14" x14ac:dyDescent="0.3">
      <c r="A1904" t="s">
        <v>2760</v>
      </c>
      <c r="B1904" s="2">
        <v>45199</v>
      </c>
      <c r="C1904" t="s">
        <v>462</v>
      </c>
      <c r="D1904" t="s">
        <v>824</v>
      </c>
      <c r="E1904" t="s">
        <v>831</v>
      </c>
      <c r="F1904">
        <v>2</v>
      </c>
      <c r="G1904">
        <v>0.1</v>
      </c>
      <c r="H1904" t="s">
        <v>861</v>
      </c>
      <c r="I1904" t="str">
        <f>VLOOKUP(C1904,Customers!A:C,2,FALSE)&amp;" "&amp;VLOOKUP(C1904,Customers!A:C,3,FALSE)</f>
        <v>Kimberly Parker</v>
      </c>
      <c r="J1904" t="str">
        <f>VLOOKUP(D1904,Products!A:C,2,FALSE)</f>
        <v>Possible Watches</v>
      </c>
      <c r="K1904" t="str">
        <f>VLOOKUP(D1904,Products!A:C,3,FALSE)</f>
        <v>Fashion</v>
      </c>
      <c r="L1904" t="str">
        <f>VLOOKUP(E1904,Stores!A:B,2,FALSE)</f>
        <v>MegaMart Jimenezborough</v>
      </c>
      <c r="M1904">
        <f>VLOOKUP(D1904,Products!A:E,5,FALSE)</f>
        <v>388.26</v>
      </c>
      <c r="N1904" s="5">
        <f t="shared" si="29"/>
        <v>698.86800000000005</v>
      </c>
    </row>
    <row r="1905" spans="1:14" x14ac:dyDescent="0.3">
      <c r="A1905" t="s">
        <v>2761</v>
      </c>
      <c r="B1905" s="2">
        <v>45510</v>
      </c>
      <c r="C1905" t="s">
        <v>449</v>
      </c>
      <c r="D1905" t="s">
        <v>747</v>
      </c>
      <c r="E1905" t="s">
        <v>842</v>
      </c>
      <c r="F1905">
        <v>3</v>
      </c>
      <c r="G1905">
        <v>0.1</v>
      </c>
      <c r="H1905" t="s">
        <v>855</v>
      </c>
      <c r="I1905" t="str">
        <f>VLOOKUP(C1905,Customers!A:C,2,FALSE)&amp;" "&amp;VLOOKUP(C1905,Customers!A:C,3,FALSE)</f>
        <v>John Bell</v>
      </c>
      <c r="J1905" t="str">
        <f>VLOOKUP(D1905,Products!A:C,2,FALSE)</f>
        <v>World Watches</v>
      </c>
      <c r="K1905" t="str">
        <f>VLOOKUP(D1905,Products!A:C,3,FALSE)</f>
        <v>Fashion</v>
      </c>
      <c r="L1905" t="str">
        <f>VLOOKUP(E1905,Stores!A:B,2,FALSE)</f>
        <v>MegaMart Brianahaven</v>
      </c>
      <c r="M1905">
        <f>VLOOKUP(D1905,Products!A:E,5,FALSE)</f>
        <v>1134.8</v>
      </c>
      <c r="N1905" s="5">
        <f t="shared" si="29"/>
        <v>3063.9599999999996</v>
      </c>
    </row>
    <row r="1906" spans="1:14" x14ac:dyDescent="0.3">
      <c r="A1906" t="s">
        <v>2762</v>
      </c>
      <c r="B1906" s="2">
        <v>45909</v>
      </c>
      <c r="C1906" t="s">
        <v>411</v>
      </c>
      <c r="D1906" t="s">
        <v>772</v>
      </c>
      <c r="E1906" t="s">
        <v>835</v>
      </c>
      <c r="F1906">
        <v>5</v>
      </c>
      <c r="G1906">
        <v>0.1</v>
      </c>
      <c r="H1906" t="s">
        <v>865</v>
      </c>
      <c r="I1906" t="str">
        <f>VLOOKUP(C1906,Customers!A:C,2,FALSE)&amp;" "&amp;VLOOKUP(C1906,Customers!A:C,3,FALSE)</f>
        <v>Travis Peters</v>
      </c>
      <c r="J1906" t="str">
        <f>VLOOKUP(D1906,Products!A:C,2,FALSE)</f>
        <v>And Footwear</v>
      </c>
      <c r="K1906" t="str">
        <f>VLOOKUP(D1906,Products!A:C,3,FALSE)</f>
        <v>Fashion</v>
      </c>
      <c r="L1906" t="str">
        <f>VLOOKUP(E1906,Stores!A:B,2,FALSE)</f>
        <v>MegaMart Peckmouth</v>
      </c>
      <c r="M1906">
        <f>VLOOKUP(D1906,Products!A:E,5,FALSE)</f>
        <v>1878.47</v>
      </c>
      <c r="N1906" s="5">
        <f t="shared" si="29"/>
        <v>8453.1149999999998</v>
      </c>
    </row>
    <row r="1907" spans="1:14" x14ac:dyDescent="0.3">
      <c r="A1907" t="s">
        <v>2763</v>
      </c>
      <c r="B1907" s="2">
        <v>45332</v>
      </c>
      <c r="C1907" t="s">
        <v>422</v>
      </c>
      <c r="D1907" t="s">
        <v>774</v>
      </c>
      <c r="E1907" t="s">
        <v>842</v>
      </c>
      <c r="F1907">
        <v>2</v>
      </c>
      <c r="G1907">
        <v>0.05</v>
      </c>
      <c r="H1907" t="s">
        <v>855</v>
      </c>
      <c r="I1907" t="str">
        <f>VLOOKUP(C1907,Customers!A:C,2,FALSE)&amp;" "&amp;VLOOKUP(C1907,Customers!A:C,3,FALSE)</f>
        <v>Heidi Wilson</v>
      </c>
      <c r="J1907" t="str">
        <f>VLOOKUP(D1907,Products!A:C,2,FALSE)</f>
        <v>Him Smartphone</v>
      </c>
      <c r="K1907" t="str">
        <f>VLOOKUP(D1907,Products!A:C,3,FALSE)</f>
        <v>Electronics</v>
      </c>
      <c r="L1907" t="str">
        <f>VLOOKUP(E1907,Stores!A:B,2,FALSE)</f>
        <v>MegaMart Brianahaven</v>
      </c>
      <c r="M1907">
        <f>VLOOKUP(D1907,Products!A:E,5,FALSE)</f>
        <v>1487.41</v>
      </c>
      <c r="N1907" s="5">
        <f t="shared" si="29"/>
        <v>2826.0790000000002</v>
      </c>
    </row>
    <row r="1908" spans="1:14" x14ac:dyDescent="0.3">
      <c r="A1908" t="s">
        <v>2764</v>
      </c>
      <c r="B1908" s="2">
        <v>45413</v>
      </c>
      <c r="C1908" t="s">
        <v>677</v>
      </c>
      <c r="D1908" t="s">
        <v>780</v>
      </c>
      <c r="E1908" t="s">
        <v>842</v>
      </c>
      <c r="F1908">
        <v>1</v>
      </c>
      <c r="G1908">
        <v>0.1</v>
      </c>
      <c r="H1908" t="s">
        <v>861</v>
      </c>
      <c r="I1908" t="str">
        <f>VLOOKUP(C1908,Customers!A:C,2,FALSE)&amp;" "&amp;VLOOKUP(C1908,Customers!A:C,3,FALSE)</f>
        <v>James Wilson</v>
      </c>
      <c r="J1908" t="str">
        <f>VLOOKUP(D1908,Products!A:C,2,FALSE)</f>
        <v>Hospital Smartphone</v>
      </c>
      <c r="K1908" t="str">
        <f>VLOOKUP(D1908,Products!A:C,3,FALSE)</f>
        <v>Electronics</v>
      </c>
      <c r="L1908" t="str">
        <f>VLOOKUP(E1908,Stores!A:B,2,FALSE)</f>
        <v>MegaMart Brianahaven</v>
      </c>
      <c r="M1908">
        <f>VLOOKUP(D1908,Products!A:E,5,FALSE)</f>
        <v>1272.23</v>
      </c>
      <c r="N1908" s="5">
        <f t="shared" si="29"/>
        <v>1145.0070000000001</v>
      </c>
    </row>
    <row r="1909" spans="1:14" x14ac:dyDescent="0.3">
      <c r="A1909" t="s">
        <v>2765</v>
      </c>
      <c r="B1909" s="2">
        <v>45536</v>
      </c>
      <c r="C1909" t="s">
        <v>115</v>
      </c>
      <c r="D1909" t="s">
        <v>818</v>
      </c>
      <c r="E1909" t="s">
        <v>835</v>
      </c>
      <c r="F1909">
        <v>3</v>
      </c>
      <c r="G1909">
        <v>0</v>
      </c>
      <c r="H1909" t="s">
        <v>861</v>
      </c>
      <c r="I1909" t="str">
        <f>VLOOKUP(C1909,Customers!A:C,2,FALSE)&amp;" "&amp;VLOOKUP(C1909,Customers!A:C,3,FALSE)</f>
        <v>Tyler Levine</v>
      </c>
      <c r="J1909" t="str">
        <f>VLOOKUP(D1909,Products!A:C,2,FALSE)</f>
        <v>Nature Clothing</v>
      </c>
      <c r="K1909" t="str">
        <f>VLOOKUP(D1909,Products!A:C,3,FALSE)</f>
        <v>Fashion</v>
      </c>
      <c r="L1909" t="str">
        <f>VLOOKUP(E1909,Stores!A:B,2,FALSE)</f>
        <v>MegaMart Peckmouth</v>
      </c>
      <c r="M1909">
        <f>VLOOKUP(D1909,Products!A:E,5,FALSE)</f>
        <v>1165.3699999999999</v>
      </c>
      <c r="N1909" s="5">
        <f t="shared" si="29"/>
        <v>3496.1099999999997</v>
      </c>
    </row>
    <row r="1910" spans="1:14" x14ac:dyDescent="0.3">
      <c r="A1910" t="s">
        <v>2766</v>
      </c>
      <c r="B1910" s="2">
        <v>45565</v>
      </c>
      <c r="C1910" t="s">
        <v>382</v>
      </c>
      <c r="D1910" t="s">
        <v>822</v>
      </c>
      <c r="E1910" t="s">
        <v>842</v>
      </c>
      <c r="F1910">
        <v>3</v>
      </c>
      <c r="G1910">
        <v>0</v>
      </c>
      <c r="H1910" t="s">
        <v>861</v>
      </c>
      <c r="I1910" t="str">
        <f>VLOOKUP(C1910,Customers!A:C,2,FALSE)&amp;" "&amp;VLOOKUP(C1910,Customers!A:C,3,FALSE)</f>
        <v>Carolyn Perez</v>
      </c>
      <c r="J1910" t="str">
        <f>VLOOKUP(D1910,Products!A:C,2,FALSE)</f>
        <v>Nor Bags</v>
      </c>
      <c r="K1910" t="str">
        <f>VLOOKUP(D1910,Products!A:C,3,FALSE)</f>
        <v>Fashion</v>
      </c>
      <c r="L1910" t="str">
        <f>VLOOKUP(E1910,Stores!A:B,2,FALSE)</f>
        <v>MegaMart Brianahaven</v>
      </c>
      <c r="M1910">
        <f>VLOOKUP(D1910,Products!A:E,5,FALSE)</f>
        <v>1216.3599999999999</v>
      </c>
      <c r="N1910" s="5">
        <f t="shared" si="29"/>
        <v>3649.08</v>
      </c>
    </row>
    <row r="1911" spans="1:14" x14ac:dyDescent="0.3">
      <c r="A1911" t="s">
        <v>2767</v>
      </c>
      <c r="B1911" s="2">
        <v>45183</v>
      </c>
      <c r="C1911" t="s">
        <v>608</v>
      </c>
      <c r="D1911" t="s">
        <v>808</v>
      </c>
      <c r="E1911" t="s">
        <v>835</v>
      </c>
      <c r="F1911">
        <v>4</v>
      </c>
      <c r="G1911">
        <v>0.1</v>
      </c>
      <c r="H1911" t="s">
        <v>865</v>
      </c>
      <c r="I1911" t="str">
        <f>VLOOKUP(C1911,Customers!A:C,2,FALSE)&amp;" "&amp;VLOOKUP(C1911,Customers!A:C,3,FALSE)</f>
        <v>Christina Dominguez</v>
      </c>
      <c r="J1911" t="str">
        <f>VLOOKUP(D1911,Products!A:C,2,FALSE)</f>
        <v>Present Television</v>
      </c>
      <c r="K1911" t="str">
        <f>VLOOKUP(D1911,Products!A:C,3,FALSE)</f>
        <v>Electronics</v>
      </c>
      <c r="L1911" t="str">
        <f>VLOOKUP(E1911,Stores!A:B,2,FALSE)</f>
        <v>MegaMart Peckmouth</v>
      </c>
      <c r="M1911">
        <f>VLOOKUP(D1911,Products!A:E,5,FALSE)</f>
        <v>1635.01</v>
      </c>
      <c r="N1911" s="5">
        <f t="shared" si="29"/>
        <v>5886.0360000000001</v>
      </c>
    </row>
    <row r="1912" spans="1:14" x14ac:dyDescent="0.3">
      <c r="A1912" t="s">
        <v>2768</v>
      </c>
      <c r="B1912" s="2">
        <v>45897</v>
      </c>
      <c r="C1912" t="s">
        <v>403</v>
      </c>
      <c r="D1912" t="s">
        <v>826</v>
      </c>
      <c r="E1912" t="s">
        <v>842</v>
      </c>
      <c r="F1912">
        <v>5</v>
      </c>
      <c r="G1912">
        <v>0.15</v>
      </c>
      <c r="H1912" t="s">
        <v>861</v>
      </c>
      <c r="I1912" t="str">
        <f>VLOOKUP(C1912,Customers!A:C,2,FALSE)&amp;" "&amp;VLOOKUP(C1912,Customers!A:C,3,FALSE)</f>
        <v>Samantha Hill</v>
      </c>
      <c r="J1912" t="str">
        <f>VLOOKUP(D1912,Products!A:C,2,FALSE)</f>
        <v>Maybe Footwear</v>
      </c>
      <c r="K1912" t="str">
        <f>VLOOKUP(D1912,Products!A:C,3,FALSE)</f>
        <v>Fashion</v>
      </c>
      <c r="L1912" t="str">
        <f>VLOOKUP(E1912,Stores!A:B,2,FALSE)</f>
        <v>MegaMart Brianahaven</v>
      </c>
      <c r="M1912">
        <f>VLOOKUP(D1912,Products!A:E,5,FALSE)</f>
        <v>1044.6400000000001</v>
      </c>
      <c r="N1912" s="5">
        <f t="shared" si="29"/>
        <v>4439.72</v>
      </c>
    </row>
    <row r="1913" spans="1:14" x14ac:dyDescent="0.3">
      <c r="A1913" t="s">
        <v>2769</v>
      </c>
      <c r="B1913" s="2">
        <v>45190</v>
      </c>
      <c r="C1913" t="s">
        <v>317</v>
      </c>
      <c r="D1913" t="s">
        <v>798</v>
      </c>
      <c r="E1913" t="s">
        <v>842</v>
      </c>
      <c r="F1913">
        <v>5</v>
      </c>
      <c r="G1913">
        <v>0.15</v>
      </c>
      <c r="H1913" t="s">
        <v>861</v>
      </c>
      <c r="I1913" t="str">
        <f>VLOOKUP(C1913,Customers!A:C,2,FALSE)&amp;" "&amp;VLOOKUP(C1913,Customers!A:C,3,FALSE)</f>
        <v>Amanda Lee</v>
      </c>
      <c r="J1913" t="str">
        <f>VLOOKUP(D1913,Products!A:C,2,FALSE)</f>
        <v>New Watches</v>
      </c>
      <c r="K1913" t="str">
        <f>VLOOKUP(D1913,Products!A:C,3,FALSE)</f>
        <v>Fashion</v>
      </c>
      <c r="L1913" t="str">
        <f>VLOOKUP(E1913,Stores!A:B,2,FALSE)</f>
        <v>MegaMart Brianahaven</v>
      </c>
      <c r="M1913">
        <f>VLOOKUP(D1913,Products!A:E,5,FALSE)</f>
        <v>1501.46</v>
      </c>
      <c r="N1913" s="5">
        <f t="shared" si="29"/>
        <v>6381.2049999999999</v>
      </c>
    </row>
    <row r="1914" spans="1:14" x14ac:dyDescent="0.3">
      <c r="A1914" t="s">
        <v>2770</v>
      </c>
      <c r="B1914" s="2">
        <v>45351</v>
      </c>
      <c r="C1914" t="s">
        <v>115</v>
      </c>
      <c r="D1914" t="s">
        <v>820</v>
      </c>
      <c r="E1914" t="s">
        <v>831</v>
      </c>
      <c r="F1914">
        <v>1</v>
      </c>
      <c r="G1914">
        <v>0.05</v>
      </c>
      <c r="H1914" t="s">
        <v>861</v>
      </c>
      <c r="I1914" t="str">
        <f>VLOOKUP(C1914,Customers!A:C,2,FALSE)&amp;" "&amp;VLOOKUP(C1914,Customers!A:C,3,FALSE)</f>
        <v>Tyler Levine</v>
      </c>
      <c r="J1914" t="str">
        <f>VLOOKUP(D1914,Products!A:C,2,FALSE)</f>
        <v>Or Smartphone</v>
      </c>
      <c r="K1914" t="str">
        <f>VLOOKUP(D1914,Products!A:C,3,FALSE)</f>
        <v>Electronics</v>
      </c>
      <c r="L1914" t="str">
        <f>VLOOKUP(E1914,Stores!A:B,2,FALSE)</f>
        <v>MegaMart Jimenezborough</v>
      </c>
      <c r="M1914">
        <f>VLOOKUP(D1914,Products!A:E,5,FALSE)</f>
        <v>1197.18</v>
      </c>
      <c r="N1914" s="5">
        <f t="shared" si="29"/>
        <v>1137.3209999999999</v>
      </c>
    </row>
    <row r="1915" spans="1:14" x14ac:dyDescent="0.3">
      <c r="A1915" t="s">
        <v>2771</v>
      </c>
      <c r="B1915" s="2">
        <v>45697</v>
      </c>
      <c r="C1915" t="s">
        <v>335</v>
      </c>
      <c r="D1915" t="s">
        <v>790</v>
      </c>
      <c r="E1915" t="s">
        <v>846</v>
      </c>
      <c r="F1915">
        <v>1</v>
      </c>
      <c r="G1915">
        <v>0.05</v>
      </c>
      <c r="H1915" t="s">
        <v>865</v>
      </c>
      <c r="I1915" t="str">
        <f>VLOOKUP(C1915,Customers!A:C,2,FALSE)&amp;" "&amp;VLOOKUP(C1915,Customers!A:C,3,FALSE)</f>
        <v>William Warner</v>
      </c>
      <c r="J1915" t="str">
        <f>VLOOKUP(D1915,Products!A:C,2,FALSE)</f>
        <v>Difficult Vegetables</v>
      </c>
      <c r="K1915" t="str">
        <f>VLOOKUP(D1915,Products!A:C,3,FALSE)</f>
        <v>Groceries</v>
      </c>
      <c r="L1915" t="str">
        <f>VLOOKUP(E1915,Stores!A:B,2,FALSE)</f>
        <v>MegaMart Johnmouth</v>
      </c>
      <c r="M1915">
        <f>VLOOKUP(D1915,Products!A:E,5,FALSE)</f>
        <v>304.70999999999998</v>
      </c>
      <c r="N1915" s="5">
        <f t="shared" si="29"/>
        <v>289.47449999999998</v>
      </c>
    </row>
    <row r="1916" spans="1:14" x14ac:dyDescent="0.3">
      <c r="A1916" t="s">
        <v>2772</v>
      </c>
      <c r="B1916" s="2">
        <v>45186</v>
      </c>
      <c r="C1916" t="s">
        <v>618</v>
      </c>
      <c r="D1916" t="s">
        <v>794</v>
      </c>
      <c r="E1916" t="s">
        <v>839</v>
      </c>
      <c r="F1916">
        <v>4</v>
      </c>
      <c r="G1916">
        <v>0</v>
      </c>
      <c r="H1916" t="s">
        <v>858</v>
      </c>
      <c r="I1916" t="str">
        <f>VLOOKUP(C1916,Customers!A:C,2,FALSE)&amp;" "&amp;VLOOKUP(C1916,Customers!A:C,3,FALSE)</f>
        <v>Scott Howell</v>
      </c>
      <c r="J1916" t="str">
        <f>VLOOKUP(D1916,Products!A:C,2,FALSE)</f>
        <v>Everything Laptop</v>
      </c>
      <c r="K1916" t="str">
        <f>VLOOKUP(D1916,Products!A:C,3,FALSE)</f>
        <v>Electronics</v>
      </c>
      <c r="L1916" t="str">
        <f>VLOOKUP(E1916,Stores!A:B,2,FALSE)</f>
        <v>MegaMart New Michele</v>
      </c>
      <c r="M1916">
        <f>VLOOKUP(D1916,Products!A:E,5,FALSE)</f>
        <v>428.05</v>
      </c>
      <c r="N1916" s="5">
        <f t="shared" si="29"/>
        <v>1712.2</v>
      </c>
    </row>
    <row r="1917" spans="1:14" x14ac:dyDescent="0.3">
      <c r="A1917" t="s">
        <v>2773</v>
      </c>
      <c r="B1917" s="2">
        <v>45290</v>
      </c>
      <c r="C1917" t="s">
        <v>454</v>
      </c>
      <c r="D1917" t="s">
        <v>766</v>
      </c>
      <c r="E1917" t="s">
        <v>839</v>
      </c>
      <c r="F1917">
        <v>3</v>
      </c>
      <c r="G1917">
        <v>0.15</v>
      </c>
      <c r="H1917" t="s">
        <v>865</v>
      </c>
      <c r="I1917" t="str">
        <f>VLOOKUP(C1917,Customers!A:C,2,FALSE)&amp;" "&amp;VLOOKUP(C1917,Customers!A:C,3,FALSE)</f>
        <v>Peter Edwards</v>
      </c>
      <c r="J1917" t="str">
        <f>VLOOKUP(D1917,Products!A:C,2,FALSE)</f>
        <v>Firm Dairy</v>
      </c>
      <c r="K1917" t="str">
        <f>VLOOKUP(D1917,Products!A:C,3,FALSE)</f>
        <v>Groceries</v>
      </c>
      <c r="L1917" t="str">
        <f>VLOOKUP(E1917,Stores!A:B,2,FALSE)</f>
        <v>MegaMart New Michele</v>
      </c>
      <c r="M1917">
        <f>VLOOKUP(D1917,Products!A:E,5,FALSE)</f>
        <v>1227.24</v>
      </c>
      <c r="N1917" s="5">
        <f t="shared" si="29"/>
        <v>3129.462</v>
      </c>
    </row>
    <row r="1918" spans="1:14" x14ac:dyDescent="0.3">
      <c r="A1918" t="s">
        <v>2774</v>
      </c>
      <c r="B1918" s="2">
        <v>45817</v>
      </c>
      <c r="C1918" t="s">
        <v>687</v>
      </c>
      <c r="D1918" t="s">
        <v>711</v>
      </c>
      <c r="E1918" t="s">
        <v>842</v>
      </c>
      <c r="F1918">
        <v>2</v>
      </c>
      <c r="G1918">
        <v>0.05</v>
      </c>
      <c r="H1918" t="s">
        <v>861</v>
      </c>
      <c r="I1918" t="str">
        <f>VLOOKUP(C1918,Customers!A:C,2,FALSE)&amp;" "&amp;VLOOKUP(C1918,Customers!A:C,3,FALSE)</f>
        <v>James Mitchell</v>
      </c>
      <c r="J1918" t="str">
        <f>VLOOKUP(D1918,Products!A:C,2,FALSE)</f>
        <v>Like Camera</v>
      </c>
      <c r="K1918" t="str">
        <f>VLOOKUP(D1918,Products!A:C,3,FALSE)</f>
        <v>Electronics</v>
      </c>
      <c r="L1918" t="str">
        <f>VLOOKUP(E1918,Stores!A:B,2,FALSE)</f>
        <v>MegaMart Brianahaven</v>
      </c>
      <c r="M1918">
        <f>VLOOKUP(D1918,Products!A:E,5,FALSE)</f>
        <v>1673.69</v>
      </c>
      <c r="N1918" s="5">
        <f t="shared" si="29"/>
        <v>3180.011</v>
      </c>
    </row>
    <row r="1919" spans="1:14" x14ac:dyDescent="0.3">
      <c r="A1919" t="s">
        <v>2775</v>
      </c>
      <c r="B1919" s="2">
        <v>45882</v>
      </c>
      <c r="C1919" t="s">
        <v>243</v>
      </c>
      <c r="D1919" t="s">
        <v>722</v>
      </c>
      <c r="E1919" t="s">
        <v>839</v>
      </c>
      <c r="F1919">
        <v>1</v>
      </c>
      <c r="G1919">
        <v>0.1</v>
      </c>
      <c r="H1919" t="s">
        <v>861</v>
      </c>
      <c r="I1919" t="str">
        <f>VLOOKUP(C1919,Customers!A:C,2,FALSE)&amp;" "&amp;VLOOKUP(C1919,Customers!A:C,3,FALSE)</f>
        <v>Amanda Hoover</v>
      </c>
      <c r="J1919" t="str">
        <f>VLOOKUP(D1919,Products!A:C,2,FALSE)</f>
        <v>Four Accessories</v>
      </c>
      <c r="K1919" t="str">
        <f>VLOOKUP(D1919,Products!A:C,3,FALSE)</f>
        <v>Fashion</v>
      </c>
      <c r="L1919" t="str">
        <f>VLOOKUP(E1919,Stores!A:B,2,FALSE)</f>
        <v>MegaMart New Michele</v>
      </c>
      <c r="M1919">
        <f>VLOOKUP(D1919,Products!A:E,5,FALSE)</f>
        <v>1853.77</v>
      </c>
      <c r="N1919" s="5">
        <f t="shared" si="29"/>
        <v>1668.393</v>
      </c>
    </row>
    <row r="1920" spans="1:14" x14ac:dyDescent="0.3">
      <c r="A1920" t="s">
        <v>2776</v>
      </c>
      <c r="B1920" s="2">
        <v>45594</v>
      </c>
      <c r="C1920" t="s">
        <v>608</v>
      </c>
      <c r="D1920" t="s">
        <v>757</v>
      </c>
      <c r="E1920" t="s">
        <v>842</v>
      </c>
      <c r="F1920">
        <v>2</v>
      </c>
      <c r="G1920">
        <v>0.15</v>
      </c>
      <c r="H1920" t="s">
        <v>865</v>
      </c>
      <c r="I1920" t="str">
        <f>VLOOKUP(C1920,Customers!A:C,2,FALSE)&amp;" "&amp;VLOOKUP(C1920,Customers!A:C,3,FALSE)</f>
        <v>Christina Dominguez</v>
      </c>
      <c r="J1920" t="str">
        <f>VLOOKUP(D1920,Products!A:C,2,FALSE)</f>
        <v>Find Headphones</v>
      </c>
      <c r="K1920" t="str">
        <f>VLOOKUP(D1920,Products!A:C,3,FALSE)</f>
        <v>Electronics</v>
      </c>
      <c r="L1920" t="str">
        <f>VLOOKUP(E1920,Stores!A:B,2,FALSE)</f>
        <v>MegaMart Brianahaven</v>
      </c>
      <c r="M1920">
        <f>VLOOKUP(D1920,Products!A:E,5,FALSE)</f>
        <v>1246.1099999999999</v>
      </c>
      <c r="N1920" s="5">
        <f t="shared" si="29"/>
        <v>2118.3869999999997</v>
      </c>
    </row>
    <row r="1921" spans="1:14" x14ac:dyDescent="0.3">
      <c r="A1921" t="s">
        <v>2777</v>
      </c>
      <c r="B1921" s="2">
        <v>45407</v>
      </c>
      <c r="C1921" t="s">
        <v>636</v>
      </c>
      <c r="D1921" t="s">
        <v>822</v>
      </c>
      <c r="E1921" t="s">
        <v>846</v>
      </c>
      <c r="F1921">
        <v>5</v>
      </c>
      <c r="G1921">
        <v>0.05</v>
      </c>
      <c r="H1921" t="s">
        <v>861</v>
      </c>
      <c r="I1921" t="str">
        <f>VLOOKUP(C1921,Customers!A:C,2,FALSE)&amp;" "&amp;VLOOKUP(C1921,Customers!A:C,3,FALSE)</f>
        <v>Nichole Calhoun</v>
      </c>
      <c r="J1921" t="str">
        <f>VLOOKUP(D1921,Products!A:C,2,FALSE)</f>
        <v>Nor Bags</v>
      </c>
      <c r="K1921" t="str">
        <f>VLOOKUP(D1921,Products!A:C,3,FALSE)</f>
        <v>Fashion</v>
      </c>
      <c r="L1921" t="str">
        <f>VLOOKUP(E1921,Stores!A:B,2,FALSE)</f>
        <v>MegaMart Johnmouth</v>
      </c>
      <c r="M1921">
        <f>VLOOKUP(D1921,Products!A:E,5,FALSE)</f>
        <v>1216.3599999999999</v>
      </c>
      <c r="N1921" s="5">
        <f t="shared" si="29"/>
        <v>5777.7099999999991</v>
      </c>
    </row>
    <row r="1922" spans="1:14" x14ac:dyDescent="0.3">
      <c r="A1922" t="s">
        <v>2778</v>
      </c>
      <c r="B1922" s="2">
        <v>45601</v>
      </c>
      <c r="C1922" t="s">
        <v>549</v>
      </c>
      <c r="D1922" t="s">
        <v>757</v>
      </c>
      <c r="E1922" t="s">
        <v>835</v>
      </c>
      <c r="F1922">
        <v>2</v>
      </c>
      <c r="G1922">
        <v>0</v>
      </c>
      <c r="H1922" t="s">
        <v>861</v>
      </c>
      <c r="I1922" t="str">
        <f>VLOOKUP(C1922,Customers!A:C,2,FALSE)&amp;" "&amp;VLOOKUP(C1922,Customers!A:C,3,FALSE)</f>
        <v>Brittany Green</v>
      </c>
      <c r="J1922" t="str">
        <f>VLOOKUP(D1922,Products!A:C,2,FALSE)</f>
        <v>Find Headphones</v>
      </c>
      <c r="K1922" t="str">
        <f>VLOOKUP(D1922,Products!A:C,3,FALSE)</f>
        <v>Electronics</v>
      </c>
      <c r="L1922" t="str">
        <f>VLOOKUP(E1922,Stores!A:B,2,FALSE)</f>
        <v>MegaMart Peckmouth</v>
      </c>
      <c r="M1922">
        <f>VLOOKUP(D1922,Products!A:E,5,FALSE)</f>
        <v>1246.1099999999999</v>
      </c>
      <c r="N1922" s="5">
        <f t="shared" si="29"/>
        <v>2492.2199999999998</v>
      </c>
    </row>
    <row r="1923" spans="1:14" x14ac:dyDescent="0.3">
      <c r="A1923" t="s">
        <v>2779</v>
      </c>
      <c r="B1923" s="2">
        <v>45734</v>
      </c>
      <c r="C1923" t="s">
        <v>386</v>
      </c>
      <c r="D1923" t="s">
        <v>806</v>
      </c>
      <c r="E1923" t="s">
        <v>831</v>
      </c>
      <c r="F1923">
        <v>3</v>
      </c>
      <c r="G1923">
        <v>0.05</v>
      </c>
      <c r="H1923" t="s">
        <v>861</v>
      </c>
      <c r="I1923" t="str">
        <f>VLOOKUP(C1923,Customers!A:C,2,FALSE)&amp;" "&amp;VLOOKUP(C1923,Customers!A:C,3,FALSE)</f>
        <v>David Burns</v>
      </c>
      <c r="J1923" t="str">
        <f>VLOOKUP(D1923,Products!A:C,2,FALSE)</f>
        <v>Piece Headphones</v>
      </c>
      <c r="K1923" t="str">
        <f>VLOOKUP(D1923,Products!A:C,3,FALSE)</f>
        <v>Electronics</v>
      </c>
      <c r="L1923" t="str">
        <f>VLOOKUP(E1923,Stores!A:B,2,FALSE)</f>
        <v>MegaMart Jimenezborough</v>
      </c>
      <c r="M1923">
        <f>VLOOKUP(D1923,Products!A:E,5,FALSE)</f>
        <v>1745.61</v>
      </c>
      <c r="N1923" s="5">
        <f t="shared" ref="N1923:N1986" si="30">F1923*M1923*(1-G1923)</f>
        <v>4974.9884999999995</v>
      </c>
    </row>
    <row r="1924" spans="1:14" x14ac:dyDescent="0.3">
      <c r="A1924" t="s">
        <v>2780</v>
      </c>
      <c r="B1924" s="2">
        <v>45875</v>
      </c>
      <c r="C1924" t="s">
        <v>411</v>
      </c>
      <c r="D1924" t="s">
        <v>796</v>
      </c>
      <c r="E1924" t="s">
        <v>831</v>
      </c>
      <c r="F1924">
        <v>5</v>
      </c>
      <c r="G1924">
        <v>0.05</v>
      </c>
      <c r="H1924" t="s">
        <v>865</v>
      </c>
      <c r="I1924" t="str">
        <f>VLOOKUP(C1924,Customers!A:C,2,FALSE)&amp;" "&amp;VLOOKUP(C1924,Customers!A:C,3,FALSE)</f>
        <v>Travis Peters</v>
      </c>
      <c r="J1924" t="str">
        <f>VLOOKUP(D1924,Products!A:C,2,FALSE)</f>
        <v>Chair Laptop</v>
      </c>
      <c r="K1924" t="str">
        <f>VLOOKUP(D1924,Products!A:C,3,FALSE)</f>
        <v>Electronics</v>
      </c>
      <c r="L1924" t="str">
        <f>VLOOKUP(E1924,Stores!A:B,2,FALSE)</f>
        <v>MegaMart Jimenezborough</v>
      </c>
      <c r="M1924">
        <f>VLOOKUP(D1924,Products!A:E,5,FALSE)</f>
        <v>1562.43</v>
      </c>
      <c r="N1924" s="5">
        <f t="shared" si="30"/>
        <v>7421.5425000000005</v>
      </c>
    </row>
    <row r="1925" spans="1:14" x14ac:dyDescent="0.3">
      <c r="A1925" t="s">
        <v>2781</v>
      </c>
      <c r="B1925" s="2">
        <v>45525</v>
      </c>
      <c r="C1925" t="s">
        <v>59</v>
      </c>
      <c r="D1925" t="s">
        <v>796</v>
      </c>
      <c r="E1925" t="s">
        <v>842</v>
      </c>
      <c r="F1925">
        <v>4</v>
      </c>
      <c r="G1925">
        <v>0.1</v>
      </c>
      <c r="H1925" t="s">
        <v>861</v>
      </c>
      <c r="I1925" t="str">
        <f>VLOOKUP(C1925,Customers!A:C,2,FALSE)&amp;" "&amp;VLOOKUP(C1925,Customers!A:C,3,FALSE)</f>
        <v>Brittany Green</v>
      </c>
      <c r="J1925" t="str">
        <f>VLOOKUP(D1925,Products!A:C,2,FALSE)</f>
        <v>Chair Laptop</v>
      </c>
      <c r="K1925" t="str">
        <f>VLOOKUP(D1925,Products!A:C,3,FALSE)</f>
        <v>Electronics</v>
      </c>
      <c r="L1925" t="str">
        <f>VLOOKUP(E1925,Stores!A:B,2,FALSE)</f>
        <v>MegaMart Brianahaven</v>
      </c>
      <c r="M1925">
        <f>VLOOKUP(D1925,Products!A:E,5,FALSE)</f>
        <v>1562.43</v>
      </c>
      <c r="N1925" s="5">
        <f t="shared" si="30"/>
        <v>5624.7480000000005</v>
      </c>
    </row>
    <row r="1926" spans="1:14" x14ac:dyDescent="0.3">
      <c r="A1926" t="s">
        <v>2782</v>
      </c>
      <c r="B1926" s="2">
        <v>45500</v>
      </c>
      <c r="C1926" t="s">
        <v>221</v>
      </c>
      <c r="D1926" t="s">
        <v>750</v>
      </c>
      <c r="E1926" t="s">
        <v>839</v>
      </c>
      <c r="F1926">
        <v>4</v>
      </c>
      <c r="G1926">
        <v>0.15</v>
      </c>
      <c r="H1926" t="s">
        <v>865</v>
      </c>
      <c r="I1926" t="str">
        <f>VLOOKUP(C1926,Customers!A:C,2,FALSE)&amp;" "&amp;VLOOKUP(C1926,Customers!A:C,3,FALSE)</f>
        <v>Julie Gibson</v>
      </c>
      <c r="J1926" t="str">
        <f>VLOOKUP(D1926,Products!A:C,2,FALSE)</f>
        <v>Add Clothing</v>
      </c>
      <c r="K1926" t="str">
        <f>VLOOKUP(D1926,Products!A:C,3,FALSE)</f>
        <v>Fashion</v>
      </c>
      <c r="L1926" t="str">
        <f>VLOOKUP(E1926,Stores!A:B,2,FALSE)</f>
        <v>MegaMart New Michele</v>
      </c>
      <c r="M1926">
        <f>VLOOKUP(D1926,Products!A:E,5,FALSE)</f>
        <v>1342.75</v>
      </c>
      <c r="N1926" s="5">
        <f t="shared" si="30"/>
        <v>4565.3499999999995</v>
      </c>
    </row>
    <row r="1927" spans="1:14" x14ac:dyDescent="0.3">
      <c r="A1927" t="s">
        <v>2783</v>
      </c>
      <c r="B1927" s="2">
        <v>45712</v>
      </c>
      <c r="C1927" t="s">
        <v>480</v>
      </c>
      <c r="D1927" t="s">
        <v>747</v>
      </c>
      <c r="E1927" t="s">
        <v>842</v>
      </c>
      <c r="F1927">
        <v>1</v>
      </c>
      <c r="G1927">
        <v>0.1</v>
      </c>
      <c r="H1927" t="s">
        <v>865</v>
      </c>
      <c r="I1927" t="str">
        <f>VLOOKUP(C1927,Customers!A:C,2,FALSE)&amp;" "&amp;VLOOKUP(C1927,Customers!A:C,3,FALSE)</f>
        <v>Denise Jackson</v>
      </c>
      <c r="J1927" t="str">
        <f>VLOOKUP(D1927,Products!A:C,2,FALSE)</f>
        <v>World Watches</v>
      </c>
      <c r="K1927" t="str">
        <f>VLOOKUP(D1927,Products!A:C,3,FALSE)</f>
        <v>Fashion</v>
      </c>
      <c r="L1927" t="str">
        <f>VLOOKUP(E1927,Stores!A:B,2,FALSE)</f>
        <v>MegaMart Brianahaven</v>
      </c>
      <c r="M1927">
        <f>VLOOKUP(D1927,Products!A:E,5,FALSE)</f>
        <v>1134.8</v>
      </c>
      <c r="N1927" s="5">
        <f t="shared" si="30"/>
        <v>1021.3199999999999</v>
      </c>
    </row>
    <row r="1928" spans="1:14" x14ac:dyDescent="0.3">
      <c r="A1928" t="s">
        <v>2784</v>
      </c>
      <c r="B1928" s="2">
        <v>45395</v>
      </c>
      <c r="C1928" t="s">
        <v>262</v>
      </c>
      <c r="D1928" t="s">
        <v>824</v>
      </c>
      <c r="E1928" t="s">
        <v>839</v>
      </c>
      <c r="F1928">
        <v>3</v>
      </c>
      <c r="G1928">
        <v>0.1</v>
      </c>
      <c r="H1928" t="s">
        <v>858</v>
      </c>
      <c r="I1928" t="str">
        <f>VLOOKUP(C1928,Customers!A:C,2,FALSE)&amp;" "&amp;VLOOKUP(C1928,Customers!A:C,3,FALSE)</f>
        <v>Gabriel Daugherty</v>
      </c>
      <c r="J1928" t="str">
        <f>VLOOKUP(D1928,Products!A:C,2,FALSE)</f>
        <v>Possible Watches</v>
      </c>
      <c r="K1928" t="str">
        <f>VLOOKUP(D1928,Products!A:C,3,FALSE)</f>
        <v>Fashion</v>
      </c>
      <c r="L1928" t="str">
        <f>VLOOKUP(E1928,Stores!A:B,2,FALSE)</f>
        <v>MegaMart New Michele</v>
      </c>
      <c r="M1928">
        <f>VLOOKUP(D1928,Products!A:E,5,FALSE)</f>
        <v>388.26</v>
      </c>
      <c r="N1928" s="5">
        <f t="shared" si="30"/>
        <v>1048.3019999999999</v>
      </c>
    </row>
    <row r="1929" spans="1:14" x14ac:dyDescent="0.3">
      <c r="A1929" t="s">
        <v>2785</v>
      </c>
      <c r="B1929" s="2">
        <v>45376</v>
      </c>
      <c r="C1929" t="s">
        <v>243</v>
      </c>
      <c r="D1929" t="s">
        <v>792</v>
      </c>
      <c r="E1929" t="s">
        <v>839</v>
      </c>
      <c r="F1929">
        <v>1</v>
      </c>
      <c r="G1929">
        <v>0.05</v>
      </c>
      <c r="H1929" t="s">
        <v>865</v>
      </c>
      <c r="I1929" t="str">
        <f>VLOOKUP(C1929,Customers!A:C,2,FALSE)&amp;" "&amp;VLOOKUP(C1929,Customers!A:C,3,FALSE)</f>
        <v>Amanda Hoover</v>
      </c>
      <c r="J1929" t="str">
        <f>VLOOKUP(D1929,Products!A:C,2,FALSE)</f>
        <v>Beat Accessories</v>
      </c>
      <c r="K1929" t="str">
        <f>VLOOKUP(D1929,Products!A:C,3,FALSE)</f>
        <v>Fashion</v>
      </c>
      <c r="L1929" t="str">
        <f>VLOOKUP(E1929,Stores!A:B,2,FALSE)</f>
        <v>MegaMart New Michele</v>
      </c>
      <c r="M1929">
        <f>VLOOKUP(D1929,Products!A:E,5,FALSE)</f>
        <v>1798.97</v>
      </c>
      <c r="N1929" s="5">
        <f t="shared" si="30"/>
        <v>1709.0214999999998</v>
      </c>
    </row>
    <row r="1930" spans="1:14" x14ac:dyDescent="0.3">
      <c r="A1930" t="s">
        <v>2786</v>
      </c>
      <c r="B1930" s="2">
        <v>45836</v>
      </c>
      <c r="C1930" t="s">
        <v>7</v>
      </c>
      <c r="D1930" t="s">
        <v>715</v>
      </c>
      <c r="E1930" t="s">
        <v>831</v>
      </c>
      <c r="F1930">
        <v>3</v>
      </c>
      <c r="G1930">
        <v>0.05</v>
      </c>
      <c r="H1930" t="s">
        <v>855</v>
      </c>
      <c r="I1930" t="str">
        <f>VLOOKUP(C1930,Customers!A:C,2,FALSE)&amp;" "&amp;VLOOKUP(C1930,Customers!A:C,3,FALSE)</f>
        <v>Michael Davis</v>
      </c>
      <c r="J1930" t="str">
        <f>VLOOKUP(D1930,Products!A:C,2,FALSE)</f>
        <v>Audience Television</v>
      </c>
      <c r="K1930" t="str">
        <f>VLOOKUP(D1930,Products!A:C,3,FALSE)</f>
        <v>Electronics</v>
      </c>
      <c r="L1930" t="str">
        <f>VLOOKUP(E1930,Stores!A:B,2,FALSE)</f>
        <v>MegaMart Jimenezborough</v>
      </c>
      <c r="M1930">
        <f>VLOOKUP(D1930,Products!A:E,5,FALSE)</f>
        <v>818.76</v>
      </c>
      <c r="N1930" s="5">
        <f t="shared" si="30"/>
        <v>2333.4659999999994</v>
      </c>
    </row>
    <row r="1931" spans="1:14" x14ac:dyDescent="0.3">
      <c r="A1931" t="s">
        <v>2787</v>
      </c>
      <c r="B1931" s="2">
        <v>45461</v>
      </c>
      <c r="C1931" t="s">
        <v>449</v>
      </c>
      <c r="D1931" t="s">
        <v>826</v>
      </c>
      <c r="E1931" t="s">
        <v>839</v>
      </c>
      <c r="F1931">
        <v>5</v>
      </c>
      <c r="G1931">
        <v>0</v>
      </c>
      <c r="H1931" t="s">
        <v>858</v>
      </c>
      <c r="I1931" t="str">
        <f>VLOOKUP(C1931,Customers!A:C,2,FALSE)&amp;" "&amp;VLOOKUP(C1931,Customers!A:C,3,FALSE)</f>
        <v>John Bell</v>
      </c>
      <c r="J1931" t="str">
        <f>VLOOKUP(D1931,Products!A:C,2,FALSE)</f>
        <v>Maybe Footwear</v>
      </c>
      <c r="K1931" t="str">
        <f>VLOOKUP(D1931,Products!A:C,3,FALSE)</f>
        <v>Fashion</v>
      </c>
      <c r="L1931" t="str">
        <f>VLOOKUP(E1931,Stores!A:B,2,FALSE)</f>
        <v>MegaMart New Michele</v>
      </c>
      <c r="M1931">
        <f>VLOOKUP(D1931,Products!A:E,5,FALSE)</f>
        <v>1044.6400000000001</v>
      </c>
      <c r="N1931" s="5">
        <f t="shared" si="30"/>
        <v>5223.2000000000007</v>
      </c>
    </row>
    <row r="1932" spans="1:14" x14ac:dyDescent="0.3">
      <c r="A1932" t="s">
        <v>2788</v>
      </c>
      <c r="B1932" s="2">
        <v>45314</v>
      </c>
      <c r="C1932" t="s">
        <v>187</v>
      </c>
      <c r="D1932" t="s">
        <v>755</v>
      </c>
      <c r="E1932" t="s">
        <v>839</v>
      </c>
      <c r="F1932">
        <v>4</v>
      </c>
      <c r="G1932">
        <v>0.1</v>
      </c>
      <c r="H1932" t="s">
        <v>855</v>
      </c>
      <c r="I1932" t="str">
        <f>VLOOKUP(C1932,Customers!A:C,2,FALSE)&amp;" "&amp;VLOOKUP(C1932,Customers!A:C,3,FALSE)</f>
        <v>Alexis Crane</v>
      </c>
      <c r="J1932" t="str">
        <f>VLOOKUP(D1932,Products!A:C,2,FALSE)</f>
        <v>House Accessories</v>
      </c>
      <c r="K1932" t="str">
        <f>VLOOKUP(D1932,Products!A:C,3,FALSE)</f>
        <v>Fashion</v>
      </c>
      <c r="L1932" t="str">
        <f>VLOOKUP(E1932,Stores!A:B,2,FALSE)</f>
        <v>MegaMart New Michele</v>
      </c>
      <c r="M1932">
        <f>VLOOKUP(D1932,Products!A:E,5,FALSE)</f>
        <v>1858.75</v>
      </c>
      <c r="N1932" s="5">
        <f t="shared" si="30"/>
        <v>6691.5</v>
      </c>
    </row>
    <row r="1933" spans="1:14" x14ac:dyDescent="0.3">
      <c r="A1933" t="s">
        <v>2789</v>
      </c>
      <c r="B1933" s="2">
        <v>45223</v>
      </c>
      <c r="C1933" t="s">
        <v>294</v>
      </c>
      <c r="D1933" t="s">
        <v>824</v>
      </c>
      <c r="E1933" t="s">
        <v>831</v>
      </c>
      <c r="F1933">
        <v>1</v>
      </c>
      <c r="G1933">
        <v>0</v>
      </c>
      <c r="H1933" t="s">
        <v>861</v>
      </c>
      <c r="I1933" t="str">
        <f>VLOOKUP(C1933,Customers!A:C,2,FALSE)&amp;" "&amp;VLOOKUP(C1933,Customers!A:C,3,FALSE)</f>
        <v>Jeanne Young</v>
      </c>
      <c r="J1933" t="str">
        <f>VLOOKUP(D1933,Products!A:C,2,FALSE)</f>
        <v>Possible Watches</v>
      </c>
      <c r="K1933" t="str">
        <f>VLOOKUP(D1933,Products!A:C,3,FALSE)</f>
        <v>Fashion</v>
      </c>
      <c r="L1933" t="str">
        <f>VLOOKUP(E1933,Stores!A:B,2,FALSE)</f>
        <v>MegaMart Jimenezborough</v>
      </c>
      <c r="M1933">
        <f>VLOOKUP(D1933,Products!A:E,5,FALSE)</f>
        <v>388.26</v>
      </c>
      <c r="N1933" s="5">
        <f t="shared" si="30"/>
        <v>388.26</v>
      </c>
    </row>
    <row r="1934" spans="1:14" x14ac:dyDescent="0.3">
      <c r="A1934" t="s">
        <v>2790</v>
      </c>
      <c r="B1934" s="2">
        <v>45832</v>
      </c>
      <c r="C1934" t="s">
        <v>320</v>
      </c>
      <c r="D1934" t="s">
        <v>800</v>
      </c>
      <c r="E1934" t="s">
        <v>839</v>
      </c>
      <c r="F1934">
        <v>3</v>
      </c>
      <c r="G1934">
        <v>0.1</v>
      </c>
      <c r="H1934" t="s">
        <v>861</v>
      </c>
      <c r="I1934" t="str">
        <f>VLOOKUP(C1934,Customers!A:C,2,FALSE)&amp;" "&amp;VLOOKUP(C1934,Customers!A:C,3,FALSE)</f>
        <v>Juan Ramirez</v>
      </c>
      <c r="J1934" t="str">
        <f>VLOOKUP(D1934,Products!A:C,2,FALSE)</f>
        <v>Book Television</v>
      </c>
      <c r="K1934" t="str">
        <f>VLOOKUP(D1934,Products!A:C,3,FALSE)</f>
        <v>Electronics</v>
      </c>
      <c r="L1934" t="str">
        <f>VLOOKUP(E1934,Stores!A:B,2,FALSE)</f>
        <v>MegaMart New Michele</v>
      </c>
      <c r="M1934">
        <f>VLOOKUP(D1934,Products!A:E,5,FALSE)</f>
        <v>1952.65</v>
      </c>
      <c r="N1934" s="5">
        <f t="shared" si="30"/>
        <v>5272.1550000000007</v>
      </c>
    </row>
    <row r="1935" spans="1:14" x14ac:dyDescent="0.3">
      <c r="A1935" t="s">
        <v>2791</v>
      </c>
      <c r="B1935" s="2">
        <v>45466</v>
      </c>
      <c r="C1935" t="s">
        <v>596</v>
      </c>
      <c r="D1935" t="s">
        <v>802</v>
      </c>
      <c r="E1935" t="s">
        <v>839</v>
      </c>
      <c r="F1935">
        <v>2</v>
      </c>
      <c r="G1935">
        <v>0.15</v>
      </c>
      <c r="H1935" t="s">
        <v>865</v>
      </c>
      <c r="I1935" t="str">
        <f>VLOOKUP(C1935,Customers!A:C,2,FALSE)&amp;" "&amp;VLOOKUP(C1935,Customers!A:C,3,FALSE)</f>
        <v>Kimberly Lin</v>
      </c>
      <c r="J1935" t="str">
        <f>VLOOKUP(D1935,Products!A:C,2,FALSE)</f>
        <v>Stage Footwear</v>
      </c>
      <c r="K1935" t="str">
        <f>VLOOKUP(D1935,Products!A:C,3,FALSE)</f>
        <v>Fashion</v>
      </c>
      <c r="L1935" t="str">
        <f>VLOOKUP(E1935,Stores!A:B,2,FALSE)</f>
        <v>MegaMart New Michele</v>
      </c>
      <c r="M1935">
        <f>VLOOKUP(D1935,Products!A:E,5,FALSE)</f>
        <v>366.93</v>
      </c>
      <c r="N1935" s="5">
        <f t="shared" si="30"/>
        <v>623.78099999999995</v>
      </c>
    </row>
    <row r="1936" spans="1:14" x14ac:dyDescent="0.3">
      <c r="A1936" t="s">
        <v>2792</v>
      </c>
      <c r="B1936" s="2">
        <v>45559</v>
      </c>
      <c r="C1936" t="s">
        <v>112</v>
      </c>
      <c r="D1936" t="s">
        <v>736</v>
      </c>
      <c r="E1936" t="s">
        <v>835</v>
      </c>
      <c r="F1936">
        <v>5</v>
      </c>
      <c r="G1936">
        <v>0</v>
      </c>
      <c r="H1936" t="s">
        <v>865</v>
      </c>
      <c r="I1936" t="str">
        <f>VLOOKUP(C1936,Customers!A:C,2,FALSE)&amp;" "&amp;VLOOKUP(C1936,Customers!A:C,3,FALSE)</f>
        <v>John Carr</v>
      </c>
      <c r="J1936" t="str">
        <f>VLOOKUP(D1936,Products!A:C,2,FALSE)</f>
        <v>Us Snacks</v>
      </c>
      <c r="K1936" t="str">
        <f>VLOOKUP(D1936,Products!A:C,3,FALSE)</f>
        <v>Groceries</v>
      </c>
      <c r="L1936" t="str">
        <f>VLOOKUP(E1936,Stores!A:B,2,FALSE)</f>
        <v>MegaMart Peckmouth</v>
      </c>
      <c r="M1936">
        <f>VLOOKUP(D1936,Products!A:E,5,FALSE)</f>
        <v>123.19</v>
      </c>
      <c r="N1936" s="5">
        <f t="shared" si="30"/>
        <v>615.95000000000005</v>
      </c>
    </row>
    <row r="1937" spans="1:14" x14ac:dyDescent="0.3">
      <c r="A1937" t="s">
        <v>2793</v>
      </c>
      <c r="B1937" s="2">
        <v>45909</v>
      </c>
      <c r="C1937" t="s">
        <v>545</v>
      </c>
      <c r="D1937" t="s">
        <v>722</v>
      </c>
      <c r="E1937" t="s">
        <v>835</v>
      </c>
      <c r="F1937">
        <v>2</v>
      </c>
      <c r="G1937">
        <v>0.15</v>
      </c>
      <c r="H1937" t="s">
        <v>865</v>
      </c>
      <c r="I1937" t="str">
        <f>VLOOKUP(C1937,Customers!A:C,2,FALSE)&amp;" "&amp;VLOOKUP(C1937,Customers!A:C,3,FALSE)</f>
        <v>Dawn Fletcher</v>
      </c>
      <c r="J1937" t="str">
        <f>VLOOKUP(D1937,Products!A:C,2,FALSE)</f>
        <v>Four Accessories</v>
      </c>
      <c r="K1937" t="str">
        <f>VLOOKUP(D1937,Products!A:C,3,FALSE)</f>
        <v>Fashion</v>
      </c>
      <c r="L1937" t="str">
        <f>VLOOKUP(E1937,Stores!A:B,2,FALSE)</f>
        <v>MegaMart Peckmouth</v>
      </c>
      <c r="M1937">
        <f>VLOOKUP(D1937,Products!A:E,5,FALSE)</f>
        <v>1853.77</v>
      </c>
      <c r="N1937" s="5">
        <f t="shared" si="30"/>
        <v>3151.4090000000001</v>
      </c>
    </row>
    <row r="1938" spans="1:14" x14ac:dyDescent="0.3">
      <c r="A1938" t="s">
        <v>2794</v>
      </c>
      <c r="B1938" s="2">
        <v>45242</v>
      </c>
      <c r="C1938" t="s">
        <v>81</v>
      </c>
      <c r="D1938" t="s">
        <v>808</v>
      </c>
      <c r="E1938" t="s">
        <v>846</v>
      </c>
      <c r="F1938">
        <v>5</v>
      </c>
      <c r="G1938">
        <v>0.1</v>
      </c>
      <c r="H1938" t="s">
        <v>855</v>
      </c>
      <c r="I1938" t="str">
        <f>VLOOKUP(C1938,Customers!A:C,2,FALSE)&amp;" "&amp;VLOOKUP(C1938,Customers!A:C,3,FALSE)</f>
        <v>Ryan Cole</v>
      </c>
      <c r="J1938" t="str">
        <f>VLOOKUP(D1938,Products!A:C,2,FALSE)</f>
        <v>Present Television</v>
      </c>
      <c r="K1938" t="str">
        <f>VLOOKUP(D1938,Products!A:C,3,FALSE)</f>
        <v>Electronics</v>
      </c>
      <c r="L1938" t="str">
        <f>VLOOKUP(E1938,Stores!A:B,2,FALSE)</f>
        <v>MegaMart Johnmouth</v>
      </c>
      <c r="M1938">
        <f>VLOOKUP(D1938,Products!A:E,5,FALSE)</f>
        <v>1635.01</v>
      </c>
      <c r="N1938" s="5">
        <f t="shared" si="30"/>
        <v>7357.5450000000001</v>
      </c>
    </row>
    <row r="1939" spans="1:14" x14ac:dyDescent="0.3">
      <c r="A1939" t="s">
        <v>2795</v>
      </c>
      <c r="B1939" s="2">
        <v>45506</v>
      </c>
      <c r="C1939" t="s">
        <v>657</v>
      </c>
      <c r="D1939" t="s">
        <v>757</v>
      </c>
      <c r="E1939" t="s">
        <v>842</v>
      </c>
      <c r="F1939">
        <v>2</v>
      </c>
      <c r="G1939">
        <v>0.05</v>
      </c>
      <c r="H1939" t="s">
        <v>865</v>
      </c>
      <c r="I1939" t="str">
        <f>VLOOKUP(C1939,Customers!A:C,2,FALSE)&amp;" "&amp;VLOOKUP(C1939,Customers!A:C,3,FALSE)</f>
        <v>Vicki Guzman</v>
      </c>
      <c r="J1939" t="str">
        <f>VLOOKUP(D1939,Products!A:C,2,FALSE)</f>
        <v>Find Headphones</v>
      </c>
      <c r="K1939" t="str">
        <f>VLOOKUP(D1939,Products!A:C,3,FALSE)</f>
        <v>Electronics</v>
      </c>
      <c r="L1939" t="str">
        <f>VLOOKUP(E1939,Stores!A:B,2,FALSE)</f>
        <v>MegaMart Brianahaven</v>
      </c>
      <c r="M1939">
        <f>VLOOKUP(D1939,Products!A:E,5,FALSE)</f>
        <v>1246.1099999999999</v>
      </c>
      <c r="N1939" s="5">
        <f t="shared" si="30"/>
        <v>2367.6089999999999</v>
      </c>
    </row>
    <row r="1940" spans="1:14" x14ac:dyDescent="0.3">
      <c r="A1940" t="s">
        <v>2796</v>
      </c>
      <c r="B1940" s="2">
        <v>45713</v>
      </c>
      <c r="C1940" t="s">
        <v>130</v>
      </c>
      <c r="D1940" t="s">
        <v>794</v>
      </c>
      <c r="E1940" t="s">
        <v>835</v>
      </c>
      <c r="F1940">
        <v>4</v>
      </c>
      <c r="G1940">
        <v>0.1</v>
      </c>
      <c r="H1940" t="s">
        <v>855</v>
      </c>
      <c r="I1940" t="str">
        <f>VLOOKUP(C1940,Customers!A:C,2,FALSE)&amp;" "&amp;VLOOKUP(C1940,Customers!A:C,3,FALSE)</f>
        <v>Jenny Beck</v>
      </c>
      <c r="J1940" t="str">
        <f>VLOOKUP(D1940,Products!A:C,2,FALSE)</f>
        <v>Everything Laptop</v>
      </c>
      <c r="K1940" t="str">
        <f>VLOOKUP(D1940,Products!A:C,3,FALSE)</f>
        <v>Electronics</v>
      </c>
      <c r="L1940" t="str">
        <f>VLOOKUP(E1940,Stores!A:B,2,FALSE)</f>
        <v>MegaMart Peckmouth</v>
      </c>
      <c r="M1940">
        <f>VLOOKUP(D1940,Products!A:E,5,FALSE)</f>
        <v>428.05</v>
      </c>
      <c r="N1940" s="5">
        <f t="shared" si="30"/>
        <v>1540.98</v>
      </c>
    </row>
    <row r="1941" spans="1:14" x14ac:dyDescent="0.3">
      <c r="A1941" t="s">
        <v>2797</v>
      </c>
      <c r="B1941" s="2">
        <v>45836</v>
      </c>
      <c r="C1941" t="s">
        <v>355</v>
      </c>
      <c r="D1941" t="s">
        <v>776</v>
      </c>
      <c r="E1941" t="s">
        <v>842</v>
      </c>
      <c r="F1941">
        <v>1</v>
      </c>
      <c r="G1941">
        <v>0.15</v>
      </c>
      <c r="H1941" t="s">
        <v>865</v>
      </c>
      <c r="I1941" t="str">
        <f>VLOOKUP(C1941,Customers!A:C,2,FALSE)&amp;" "&amp;VLOOKUP(C1941,Customers!A:C,3,FALSE)</f>
        <v>Kimberly Stokes</v>
      </c>
      <c r="J1941" t="str">
        <f>VLOOKUP(D1941,Products!A:C,2,FALSE)</f>
        <v>Little Watches</v>
      </c>
      <c r="K1941" t="str">
        <f>VLOOKUP(D1941,Products!A:C,3,FALSE)</f>
        <v>Fashion</v>
      </c>
      <c r="L1941" t="str">
        <f>VLOOKUP(E1941,Stores!A:B,2,FALSE)</f>
        <v>MegaMart Brianahaven</v>
      </c>
      <c r="M1941">
        <f>VLOOKUP(D1941,Products!A:E,5,FALSE)</f>
        <v>429.15</v>
      </c>
      <c r="N1941" s="5">
        <f t="shared" si="30"/>
        <v>364.77749999999997</v>
      </c>
    </row>
    <row r="1942" spans="1:14" x14ac:dyDescent="0.3">
      <c r="A1942" t="s">
        <v>2798</v>
      </c>
      <c r="B1942" s="2">
        <v>45815</v>
      </c>
      <c r="C1942" t="s">
        <v>458</v>
      </c>
      <c r="D1942" t="s">
        <v>804</v>
      </c>
      <c r="E1942" t="s">
        <v>842</v>
      </c>
      <c r="F1942">
        <v>5</v>
      </c>
      <c r="G1942">
        <v>0</v>
      </c>
      <c r="H1942" t="s">
        <v>861</v>
      </c>
      <c r="I1942" t="str">
        <f>VLOOKUP(C1942,Customers!A:C,2,FALSE)&amp;" "&amp;VLOOKUP(C1942,Customers!A:C,3,FALSE)</f>
        <v>Chad Roberts</v>
      </c>
      <c r="J1942" t="str">
        <f>VLOOKUP(D1942,Products!A:C,2,FALSE)</f>
        <v>Church Clothing</v>
      </c>
      <c r="K1942" t="str">
        <f>VLOOKUP(D1942,Products!A:C,3,FALSE)</f>
        <v>Fashion</v>
      </c>
      <c r="L1942" t="str">
        <f>VLOOKUP(E1942,Stores!A:B,2,FALSE)</f>
        <v>MegaMart Brianahaven</v>
      </c>
      <c r="M1942">
        <f>VLOOKUP(D1942,Products!A:E,5,FALSE)</f>
        <v>540.94000000000005</v>
      </c>
      <c r="N1942" s="5">
        <f t="shared" si="30"/>
        <v>2704.7000000000003</v>
      </c>
    </row>
    <row r="1943" spans="1:14" x14ac:dyDescent="0.3">
      <c r="A1943" t="s">
        <v>2799</v>
      </c>
      <c r="B1943" s="2">
        <v>45812</v>
      </c>
      <c r="C1943" t="s">
        <v>554</v>
      </c>
      <c r="D1943" t="s">
        <v>778</v>
      </c>
      <c r="E1943" t="s">
        <v>839</v>
      </c>
      <c r="F1943">
        <v>2</v>
      </c>
      <c r="G1943">
        <v>0.1</v>
      </c>
      <c r="H1943" t="s">
        <v>865</v>
      </c>
      <c r="I1943" t="str">
        <f>VLOOKUP(C1943,Customers!A:C,2,FALSE)&amp;" "&amp;VLOOKUP(C1943,Customers!A:C,3,FALSE)</f>
        <v>Lisa Martinez</v>
      </c>
      <c r="J1943" t="str">
        <f>VLOOKUP(D1943,Products!A:C,2,FALSE)</f>
        <v>Behavior Dairy</v>
      </c>
      <c r="K1943" t="str">
        <f>VLOOKUP(D1943,Products!A:C,3,FALSE)</f>
        <v>Groceries</v>
      </c>
      <c r="L1943" t="str">
        <f>VLOOKUP(E1943,Stores!A:B,2,FALSE)</f>
        <v>MegaMart New Michele</v>
      </c>
      <c r="M1943">
        <f>VLOOKUP(D1943,Products!A:E,5,FALSE)</f>
        <v>1015.76</v>
      </c>
      <c r="N1943" s="5">
        <f t="shared" si="30"/>
        <v>1828.3679999999999</v>
      </c>
    </row>
    <row r="1944" spans="1:14" x14ac:dyDescent="0.3">
      <c r="A1944" t="s">
        <v>2800</v>
      </c>
      <c r="B1944" s="2">
        <v>45585</v>
      </c>
      <c r="C1944" t="s">
        <v>527</v>
      </c>
      <c r="D1944" t="s">
        <v>747</v>
      </c>
      <c r="E1944" t="s">
        <v>831</v>
      </c>
      <c r="F1944">
        <v>2</v>
      </c>
      <c r="G1944">
        <v>0.15</v>
      </c>
      <c r="H1944" t="s">
        <v>858</v>
      </c>
      <c r="I1944" t="str">
        <f>VLOOKUP(C1944,Customers!A:C,2,FALSE)&amp;" "&amp;VLOOKUP(C1944,Customers!A:C,3,FALSE)</f>
        <v>Paige Osborne</v>
      </c>
      <c r="J1944" t="str">
        <f>VLOOKUP(D1944,Products!A:C,2,FALSE)</f>
        <v>World Watches</v>
      </c>
      <c r="K1944" t="str">
        <f>VLOOKUP(D1944,Products!A:C,3,FALSE)</f>
        <v>Fashion</v>
      </c>
      <c r="L1944" t="str">
        <f>VLOOKUP(E1944,Stores!A:B,2,FALSE)</f>
        <v>MegaMart Jimenezborough</v>
      </c>
      <c r="M1944">
        <f>VLOOKUP(D1944,Products!A:E,5,FALSE)</f>
        <v>1134.8</v>
      </c>
      <c r="N1944" s="5">
        <f t="shared" si="30"/>
        <v>1929.1599999999999</v>
      </c>
    </row>
    <row r="1945" spans="1:14" x14ac:dyDescent="0.3">
      <c r="A1945" t="s">
        <v>2801</v>
      </c>
      <c r="B1945" s="2">
        <v>45355</v>
      </c>
      <c r="C1945" t="s">
        <v>625</v>
      </c>
      <c r="D1945" t="s">
        <v>816</v>
      </c>
      <c r="E1945" t="s">
        <v>846</v>
      </c>
      <c r="F1945">
        <v>5</v>
      </c>
      <c r="G1945">
        <v>0</v>
      </c>
      <c r="H1945" t="s">
        <v>861</v>
      </c>
      <c r="I1945" t="str">
        <f>VLOOKUP(C1945,Customers!A:C,2,FALSE)&amp;" "&amp;VLOOKUP(C1945,Customers!A:C,3,FALSE)</f>
        <v>Peter Garcia</v>
      </c>
      <c r="J1945" t="str">
        <f>VLOOKUP(D1945,Products!A:C,2,FALSE)</f>
        <v>Set Dairy</v>
      </c>
      <c r="K1945" t="str">
        <f>VLOOKUP(D1945,Products!A:C,3,FALSE)</f>
        <v>Groceries</v>
      </c>
      <c r="L1945" t="str">
        <f>VLOOKUP(E1945,Stores!A:B,2,FALSE)</f>
        <v>MegaMart Johnmouth</v>
      </c>
      <c r="M1945">
        <f>VLOOKUP(D1945,Products!A:E,5,FALSE)</f>
        <v>1879.08</v>
      </c>
      <c r="N1945" s="5">
        <f t="shared" si="30"/>
        <v>9395.4</v>
      </c>
    </row>
    <row r="1946" spans="1:14" x14ac:dyDescent="0.3">
      <c r="A1946" t="s">
        <v>2802</v>
      </c>
      <c r="B1946" s="2">
        <v>45433</v>
      </c>
      <c r="C1946" t="s">
        <v>422</v>
      </c>
      <c r="D1946" t="s">
        <v>776</v>
      </c>
      <c r="E1946" t="s">
        <v>846</v>
      </c>
      <c r="F1946">
        <v>4</v>
      </c>
      <c r="G1946">
        <v>0.15</v>
      </c>
      <c r="H1946" t="s">
        <v>858</v>
      </c>
      <c r="I1946" t="str">
        <f>VLOOKUP(C1946,Customers!A:C,2,FALSE)&amp;" "&amp;VLOOKUP(C1946,Customers!A:C,3,FALSE)</f>
        <v>Heidi Wilson</v>
      </c>
      <c r="J1946" t="str">
        <f>VLOOKUP(D1946,Products!A:C,2,FALSE)</f>
        <v>Little Watches</v>
      </c>
      <c r="K1946" t="str">
        <f>VLOOKUP(D1946,Products!A:C,3,FALSE)</f>
        <v>Fashion</v>
      </c>
      <c r="L1946" t="str">
        <f>VLOOKUP(E1946,Stores!A:B,2,FALSE)</f>
        <v>MegaMart Johnmouth</v>
      </c>
      <c r="M1946">
        <f>VLOOKUP(D1946,Products!A:E,5,FALSE)</f>
        <v>429.15</v>
      </c>
      <c r="N1946" s="5">
        <f t="shared" si="30"/>
        <v>1459.11</v>
      </c>
    </row>
    <row r="1947" spans="1:14" x14ac:dyDescent="0.3">
      <c r="A1947" t="s">
        <v>2803</v>
      </c>
      <c r="B1947" s="2">
        <v>45831</v>
      </c>
      <c r="C1947" t="s">
        <v>560</v>
      </c>
      <c r="D1947" t="s">
        <v>810</v>
      </c>
      <c r="E1947" t="s">
        <v>839</v>
      </c>
      <c r="F1947">
        <v>2</v>
      </c>
      <c r="G1947">
        <v>0.05</v>
      </c>
      <c r="H1947" t="s">
        <v>865</v>
      </c>
      <c r="I1947" t="str">
        <f>VLOOKUP(C1947,Customers!A:C,2,FALSE)&amp;" "&amp;VLOOKUP(C1947,Customers!A:C,3,FALSE)</f>
        <v>George Young</v>
      </c>
      <c r="J1947" t="str">
        <f>VLOOKUP(D1947,Products!A:C,2,FALSE)</f>
        <v>Maybe Clothing</v>
      </c>
      <c r="K1947" t="str">
        <f>VLOOKUP(D1947,Products!A:C,3,FALSE)</f>
        <v>Fashion</v>
      </c>
      <c r="L1947" t="str">
        <f>VLOOKUP(E1947,Stores!A:B,2,FALSE)</f>
        <v>MegaMart New Michele</v>
      </c>
      <c r="M1947">
        <f>VLOOKUP(D1947,Products!A:E,5,FALSE)</f>
        <v>453.62</v>
      </c>
      <c r="N1947" s="5">
        <f t="shared" si="30"/>
        <v>861.87799999999993</v>
      </c>
    </row>
    <row r="1948" spans="1:14" x14ac:dyDescent="0.3">
      <c r="A1948" t="s">
        <v>2804</v>
      </c>
      <c r="B1948" s="2">
        <v>45810</v>
      </c>
      <c r="C1948" t="s">
        <v>159</v>
      </c>
      <c r="D1948" t="s">
        <v>804</v>
      </c>
      <c r="E1948" t="s">
        <v>846</v>
      </c>
      <c r="F1948">
        <v>2</v>
      </c>
      <c r="G1948">
        <v>0</v>
      </c>
      <c r="H1948" t="s">
        <v>858</v>
      </c>
      <c r="I1948" t="str">
        <f>VLOOKUP(C1948,Customers!A:C,2,FALSE)&amp;" "&amp;VLOOKUP(C1948,Customers!A:C,3,FALSE)</f>
        <v>Melissa Rodgers</v>
      </c>
      <c r="J1948" t="str">
        <f>VLOOKUP(D1948,Products!A:C,2,FALSE)</f>
        <v>Church Clothing</v>
      </c>
      <c r="K1948" t="str">
        <f>VLOOKUP(D1948,Products!A:C,3,FALSE)</f>
        <v>Fashion</v>
      </c>
      <c r="L1948" t="str">
        <f>VLOOKUP(E1948,Stores!A:B,2,FALSE)</f>
        <v>MegaMart Johnmouth</v>
      </c>
      <c r="M1948">
        <f>VLOOKUP(D1948,Products!A:E,5,FALSE)</f>
        <v>540.94000000000005</v>
      </c>
      <c r="N1948" s="5">
        <f t="shared" si="30"/>
        <v>1081.8800000000001</v>
      </c>
    </row>
    <row r="1949" spans="1:14" x14ac:dyDescent="0.3">
      <c r="A1949" t="s">
        <v>2805</v>
      </c>
      <c r="B1949" s="2">
        <v>45478</v>
      </c>
      <c r="C1949" t="s">
        <v>472</v>
      </c>
      <c r="D1949" t="s">
        <v>820</v>
      </c>
      <c r="E1949" t="s">
        <v>846</v>
      </c>
      <c r="F1949">
        <v>3</v>
      </c>
      <c r="G1949">
        <v>0.1</v>
      </c>
      <c r="H1949" t="s">
        <v>861</v>
      </c>
      <c r="I1949" t="str">
        <f>VLOOKUP(C1949,Customers!A:C,2,FALSE)&amp;" "&amp;VLOOKUP(C1949,Customers!A:C,3,FALSE)</f>
        <v>Gary Taylor</v>
      </c>
      <c r="J1949" t="str">
        <f>VLOOKUP(D1949,Products!A:C,2,FALSE)</f>
        <v>Or Smartphone</v>
      </c>
      <c r="K1949" t="str">
        <f>VLOOKUP(D1949,Products!A:C,3,FALSE)</f>
        <v>Electronics</v>
      </c>
      <c r="L1949" t="str">
        <f>VLOOKUP(E1949,Stores!A:B,2,FALSE)</f>
        <v>MegaMart Johnmouth</v>
      </c>
      <c r="M1949">
        <f>VLOOKUP(D1949,Products!A:E,5,FALSE)</f>
        <v>1197.18</v>
      </c>
      <c r="N1949" s="5">
        <f t="shared" si="30"/>
        <v>3232.386</v>
      </c>
    </row>
    <row r="1950" spans="1:14" x14ac:dyDescent="0.3">
      <c r="A1950" t="s">
        <v>2806</v>
      </c>
      <c r="B1950" s="2">
        <v>45482</v>
      </c>
      <c r="C1950" t="s">
        <v>287</v>
      </c>
      <c r="D1950" t="s">
        <v>715</v>
      </c>
      <c r="E1950" t="s">
        <v>839</v>
      </c>
      <c r="F1950">
        <v>5</v>
      </c>
      <c r="G1950">
        <v>0</v>
      </c>
      <c r="H1950" t="s">
        <v>861</v>
      </c>
      <c r="I1950" t="str">
        <f>VLOOKUP(C1950,Customers!A:C,2,FALSE)&amp;" "&amp;VLOOKUP(C1950,Customers!A:C,3,FALSE)</f>
        <v>Phyllis Durham</v>
      </c>
      <c r="J1950" t="str">
        <f>VLOOKUP(D1950,Products!A:C,2,FALSE)</f>
        <v>Audience Television</v>
      </c>
      <c r="K1950" t="str">
        <f>VLOOKUP(D1950,Products!A:C,3,FALSE)</f>
        <v>Electronics</v>
      </c>
      <c r="L1950" t="str">
        <f>VLOOKUP(E1950,Stores!A:B,2,FALSE)</f>
        <v>MegaMart New Michele</v>
      </c>
      <c r="M1950">
        <f>VLOOKUP(D1950,Products!A:E,5,FALSE)</f>
        <v>818.76</v>
      </c>
      <c r="N1950" s="5">
        <f t="shared" si="30"/>
        <v>4093.8</v>
      </c>
    </row>
    <row r="1951" spans="1:14" x14ac:dyDescent="0.3">
      <c r="A1951" t="s">
        <v>2807</v>
      </c>
      <c r="B1951" s="2">
        <v>45718</v>
      </c>
      <c r="C1951" t="s">
        <v>224</v>
      </c>
      <c r="D1951" t="s">
        <v>742</v>
      </c>
      <c r="E1951" t="s">
        <v>831</v>
      </c>
      <c r="F1951">
        <v>5</v>
      </c>
      <c r="G1951">
        <v>0.05</v>
      </c>
      <c r="H1951" t="s">
        <v>855</v>
      </c>
      <c r="I1951" t="str">
        <f>VLOOKUP(C1951,Customers!A:C,2,FALSE)&amp;" "&amp;VLOOKUP(C1951,Customers!A:C,3,FALSE)</f>
        <v>Lawrence Stewart</v>
      </c>
      <c r="J1951" t="str">
        <f>VLOOKUP(D1951,Products!A:C,2,FALSE)</f>
        <v>Either Headphones</v>
      </c>
      <c r="K1951" t="str">
        <f>VLOOKUP(D1951,Products!A:C,3,FALSE)</f>
        <v>Electronics</v>
      </c>
      <c r="L1951" t="str">
        <f>VLOOKUP(E1951,Stores!A:B,2,FALSE)</f>
        <v>MegaMart Jimenezborough</v>
      </c>
      <c r="M1951">
        <f>VLOOKUP(D1951,Products!A:E,5,FALSE)</f>
        <v>248.57</v>
      </c>
      <c r="N1951" s="5">
        <f t="shared" si="30"/>
        <v>1180.7074999999998</v>
      </c>
    </row>
    <row r="1952" spans="1:14" x14ac:dyDescent="0.3">
      <c r="A1952" t="s">
        <v>2808</v>
      </c>
      <c r="B1952" s="2">
        <v>45823</v>
      </c>
      <c r="C1952" t="s">
        <v>48</v>
      </c>
      <c r="D1952" t="s">
        <v>798</v>
      </c>
      <c r="E1952" t="s">
        <v>835</v>
      </c>
      <c r="F1952">
        <v>3</v>
      </c>
      <c r="G1952">
        <v>0.05</v>
      </c>
      <c r="H1952" t="s">
        <v>855</v>
      </c>
      <c r="I1952" t="str">
        <f>VLOOKUP(C1952,Customers!A:C,2,FALSE)&amp;" "&amp;VLOOKUP(C1952,Customers!A:C,3,FALSE)</f>
        <v>Haley Williams</v>
      </c>
      <c r="J1952" t="str">
        <f>VLOOKUP(D1952,Products!A:C,2,FALSE)</f>
        <v>New Watches</v>
      </c>
      <c r="K1952" t="str">
        <f>VLOOKUP(D1952,Products!A:C,3,FALSE)</f>
        <v>Fashion</v>
      </c>
      <c r="L1952" t="str">
        <f>VLOOKUP(E1952,Stores!A:B,2,FALSE)</f>
        <v>MegaMart Peckmouth</v>
      </c>
      <c r="M1952">
        <f>VLOOKUP(D1952,Products!A:E,5,FALSE)</f>
        <v>1501.46</v>
      </c>
      <c r="N1952" s="5">
        <f t="shared" si="30"/>
        <v>4279.1610000000001</v>
      </c>
    </row>
    <row r="1953" spans="1:14" x14ac:dyDescent="0.3">
      <c r="A1953" t="s">
        <v>2809</v>
      </c>
      <c r="B1953" s="2">
        <v>45758</v>
      </c>
      <c r="C1953" t="s">
        <v>59</v>
      </c>
      <c r="D1953" t="s">
        <v>715</v>
      </c>
      <c r="E1953" t="s">
        <v>835</v>
      </c>
      <c r="F1953">
        <v>2</v>
      </c>
      <c r="G1953">
        <v>0</v>
      </c>
      <c r="H1953" t="s">
        <v>865</v>
      </c>
      <c r="I1953" t="str">
        <f>VLOOKUP(C1953,Customers!A:C,2,FALSE)&amp;" "&amp;VLOOKUP(C1953,Customers!A:C,3,FALSE)</f>
        <v>Brittany Green</v>
      </c>
      <c r="J1953" t="str">
        <f>VLOOKUP(D1953,Products!A:C,2,FALSE)</f>
        <v>Audience Television</v>
      </c>
      <c r="K1953" t="str">
        <f>VLOOKUP(D1953,Products!A:C,3,FALSE)</f>
        <v>Electronics</v>
      </c>
      <c r="L1953" t="str">
        <f>VLOOKUP(E1953,Stores!A:B,2,FALSE)</f>
        <v>MegaMart Peckmouth</v>
      </c>
      <c r="M1953">
        <f>VLOOKUP(D1953,Products!A:E,5,FALSE)</f>
        <v>818.76</v>
      </c>
      <c r="N1953" s="5">
        <f t="shared" si="30"/>
        <v>1637.52</v>
      </c>
    </row>
    <row r="1954" spans="1:14" x14ac:dyDescent="0.3">
      <c r="A1954" t="s">
        <v>2810</v>
      </c>
      <c r="B1954" s="2">
        <v>45240</v>
      </c>
      <c r="C1954" t="s">
        <v>596</v>
      </c>
      <c r="D1954" t="s">
        <v>759</v>
      </c>
      <c r="E1954" t="s">
        <v>839</v>
      </c>
      <c r="F1954">
        <v>5</v>
      </c>
      <c r="G1954">
        <v>0.1</v>
      </c>
      <c r="H1954" t="s">
        <v>855</v>
      </c>
      <c r="I1954" t="str">
        <f>VLOOKUP(C1954,Customers!A:C,2,FALSE)&amp;" "&amp;VLOOKUP(C1954,Customers!A:C,3,FALSE)</f>
        <v>Kimberly Lin</v>
      </c>
      <c r="J1954" t="str">
        <f>VLOOKUP(D1954,Products!A:C,2,FALSE)</f>
        <v>Democratic Smartphone</v>
      </c>
      <c r="K1954" t="str">
        <f>VLOOKUP(D1954,Products!A:C,3,FALSE)</f>
        <v>Electronics</v>
      </c>
      <c r="L1954" t="str">
        <f>VLOOKUP(E1954,Stores!A:B,2,FALSE)</f>
        <v>MegaMart New Michele</v>
      </c>
      <c r="M1954">
        <f>VLOOKUP(D1954,Products!A:E,5,FALSE)</f>
        <v>1079.8900000000001</v>
      </c>
      <c r="N1954" s="5">
        <f t="shared" si="30"/>
        <v>4859.505000000001</v>
      </c>
    </row>
    <row r="1955" spans="1:14" x14ac:dyDescent="0.3">
      <c r="A1955" t="s">
        <v>2811</v>
      </c>
      <c r="B1955" s="2">
        <v>45838</v>
      </c>
      <c r="C1955" t="s">
        <v>89</v>
      </c>
      <c r="D1955" t="s">
        <v>742</v>
      </c>
      <c r="E1955" t="s">
        <v>846</v>
      </c>
      <c r="F1955">
        <v>3</v>
      </c>
      <c r="G1955">
        <v>0.05</v>
      </c>
      <c r="H1955" t="s">
        <v>858</v>
      </c>
      <c r="I1955" t="str">
        <f>VLOOKUP(C1955,Customers!A:C,2,FALSE)&amp;" "&amp;VLOOKUP(C1955,Customers!A:C,3,FALSE)</f>
        <v>Megan Velasquez</v>
      </c>
      <c r="J1955" t="str">
        <f>VLOOKUP(D1955,Products!A:C,2,FALSE)</f>
        <v>Either Headphones</v>
      </c>
      <c r="K1955" t="str">
        <f>VLOOKUP(D1955,Products!A:C,3,FALSE)</f>
        <v>Electronics</v>
      </c>
      <c r="L1955" t="str">
        <f>VLOOKUP(E1955,Stores!A:B,2,FALSE)</f>
        <v>MegaMart Johnmouth</v>
      </c>
      <c r="M1955">
        <f>VLOOKUP(D1955,Products!A:E,5,FALSE)</f>
        <v>248.57</v>
      </c>
      <c r="N1955" s="5">
        <f t="shared" si="30"/>
        <v>708.42449999999997</v>
      </c>
    </row>
    <row r="1956" spans="1:14" x14ac:dyDescent="0.3">
      <c r="A1956" t="s">
        <v>2812</v>
      </c>
      <c r="B1956" s="2">
        <v>45537</v>
      </c>
      <c r="C1956" t="s">
        <v>563</v>
      </c>
      <c r="D1956" t="s">
        <v>715</v>
      </c>
      <c r="E1956" t="s">
        <v>839</v>
      </c>
      <c r="F1956">
        <v>3</v>
      </c>
      <c r="G1956">
        <v>0</v>
      </c>
      <c r="H1956" t="s">
        <v>865</v>
      </c>
      <c r="I1956" t="str">
        <f>VLOOKUP(C1956,Customers!A:C,2,FALSE)&amp;" "&amp;VLOOKUP(C1956,Customers!A:C,3,FALSE)</f>
        <v>Connie Terry</v>
      </c>
      <c r="J1956" t="str">
        <f>VLOOKUP(D1956,Products!A:C,2,FALSE)</f>
        <v>Audience Television</v>
      </c>
      <c r="K1956" t="str">
        <f>VLOOKUP(D1956,Products!A:C,3,FALSE)</f>
        <v>Electronics</v>
      </c>
      <c r="L1956" t="str">
        <f>VLOOKUP(E1956,Stores!A:B,2,FALSE)</f>
        <v>MegaMart New Michele</v>
      </c>
      <c r="M1956">
        <f>VLOOKUP(D1956,Products!A:E,5,FALSE)</f>
        <v>818.76</v>
      </c>
      <c r="N1956" s="5">
        <f t="shared" si="30"/>
        <v>2456.2799999999997</v>
      </c>
    </row>
    <row r="1957" spans="1:14" x14ac:dyDescent="0.3">
      <c r="A1957" t="s">
        <v>2813</v>
      </c>
      <c r="B1957" s="2">
        <v>45717</v>
      </c>
      <c r="C1957" t="s">
        <v>347</v>
      </c>
      <c r="D1957" t="s">
        <v>802</v>
      </c>
      <c r="E1957" t="s">
        <v>835</v>
      </c>
      <c r="F1957">
        <v>3</v>
      </c>
      <c r="G1957">
        <v>0.05</v>
      </c>
      <c r="H1957" t="s">
        <v>855</v>
      </c>
      <c r="I1957" t="str">
        <f>VLOOKUP(C1957,Customers!A:C,2,FALSE)&amp;" "&amp;VLOOKUP(C1957,Customers!A:C,3,FALSE)</f>
        <v>Lindsey Holder</v>
      </c>
      <c r="J1957" t="str">
        <f>VLOOKUP(D1957,Products!A:C,2,FALSE)</f>
        <v>Stage Footwear</v>
      </c>
      <c r="K1957" t="str">
        <f>VLOOKUP(D1957,Products!A:C,3,FALSE)</f>
        <v>Fashion</v>
      </c>
      <c r="L1957" t="str">
        <f>VLOOKUP(E1957,Stores!A:B,2,FALSE)</f>
        <v>MegaMart Peckmouth</v>
      </c>
      <c r="M1957">
        <f>VLOOKUP(D1957,Products!A:E,5,FALSE)</f>
        <v>366.93</v>
      </c>
      <c r="N1957" s="5">
        <f t="shared" si="30"/>
        <v>1045.7504999999999</v>
      </c>
    </row>
    <row r="1958" spans="1:14" x14ac:dyDescent="0.3">
      <c r="A1958" t="s">
        <v>2814</v>
      </c>
      <c r="B1958" s="2">
        <v>45674</v>
      </c>
      <c r="C1958" t="s">
        <v>24</v>
      </c>
      <c r="D1958" t="s">
        <v>774</v>
      </c>
      <c r="E1958" t="s">
        <v>846</v>
      </c>
      <c r="F1958">
        <v>5</v>
      </c>
      <c r="G1958">
        <v>0</v>
      </c>
      <c r="H1958" t="s">
        <v>858</v>
      </c>
      <c r="I1958" t="str">
        <f>VLOOKUP(C1958,Customers!A:C,2,FALSE)&amp;" "&amp;VLOOKUP(C1958,Customers!A:C,3,FALSE)</f>
        <v>Jamie Salinas</v>
      </c>
      <c r="J1958" t="str">
        <f>VLOOKUP(D1958,Products!A:C,2,FALSE)</f>
        <v>Him Smartphone</v>
      </c>
      <c r="K1958" t="str">
        <f>VLOOKUP(D1958,Products!A:C,3,FALSE)</f>
        <v>Electronics</v>
      </c>
      <c r="L1958" t="str">
        <f>VLOOKUP(E1958,Stores!A:B,2,FALSE)</f>
        <v>MegaMart Johnmouth</v>
      </c>
      <c r="M1958">
        <f>VLOOKUP(D1958,Products!A:E,5,FALSE)</f>
        <v>1487.41</v>
      </c>
      <c r="N1958" s="5">
        <f t="shared" si="30"/>
        <v>7437.05</v>
      </c>
    </row>
    <row r="1959" spans="1:14" x14ac:dyDescent="0.3">
      <c r="A1959" t="s">
        <v>2815</v>
      </c>
      <c r="B1959" s="2">
        <v>45375</v>
      </c>
      <c r="C1959" t="s">
        <v>599</v>
      </c>
      <c r="D1959" t="s">
        <v>796</v>
      </c>
      <c r="E1959" t="s">
        <v>839</v>
      </c>
      <c r="F1959">
        <v>5</v>
      </c>
      <c r="G1959">
        <v>0.05</v>
      </c>
      <c r="H1959" t="s">
        <v>858</v>
      </c>
      <c r="I1959" t="str">
        <f>VLOOKUP(C1959,Customers!A:C,2,FALSE)&amp;" "&amp;VLOOKUP(C1959,Customers!A:C,3,FALSE)</f>
        <v>Richard Jones</v>
      </c>
      <c r="J1959" t="str">
        <f>VLOOKUP(D1959,Products!A:C,2,FALSE)</f>
        <v>Chair Laptop</v>
      </c>
      <c r="K1959" t="str">
        <f>VLOOKUP(D1959,Products!A:C,3,FALSE)</f>
        <v>Electronics</v>
      </c>
      <c r="L1959" t="str">
        <f>VLOOKUP(E1959,Stores!A:B,2,FALSE)</f>
        <v>MegaMart New Michele</v>
      </c>
      <c r="M1959">
        <f>VLOOKUP(D1959,Products!A:E,5,FALSE)</f>
        <v>1562.43</v>
      </c>
      <c r="N1959" s="5">
        <f t="shared" si="30"/>
        <v>7421.5425000000005</v>
      </c>
    </row>
    <row r="1960" spans="1:14" x14ac:dyDescent="0.3">
      <c r="A1960" t="s">
        <v>2816</v>
      </c>
      <c r="B1960" s="2">
        <v>45282</v>
      </c>
      <c r="C1960" t="s">
        <v>221</v>
      </c>
      <c r="D1960" t="s">
        <v>786</v>
      </c>
      <c r="E1960" t="s">
        <v>839</v>
      </c>
      <c r="F1960">
        <v>3</v>
      </c>
      <c r="G1960">
        <v>0.05</v>
      </c>
      <c r="H1960" t="s">
        <v>858</v>
      </c>
      <c r="I1960" t="str">
        <f>VLOOKUP(C1960,Customers!A:C,2,FALSE)&amp;" "&amp;VLOOKUP(C1960,Customers!A:C,3,FALSE)</f>
        <v>Julie Gibson</v>
      </c>
      <c r="J1960" t="str">
        <f>VLOOKUP(D1960,Products!A:C,2,FALSE)</f>
        <v>National Watches</v>
      </c>
      <c r="K1960" t="str">
        <f>VLOOKUP(D1960,Products!A:C,3,FALSE)</f>
        <v>Fashion</v>
      </c>
      <c r="L1960" t="str">
        <f>VLOOKUP(E1960,Stores!A:B,2,FALSE)</f>
        <v>MegaMart New Michele</v>
      </c>
      <c r="M1960">
        <f>VLOOKUP(D1960,Products!A:E,5,FALSE)</f>
        <v>29.24</v>
      </c>
      <c r="N1960" s="5">
        <f t="shared" si="30"/>
        <v>83.333999999999989</v>
      </c>
    </row>
    <row r="1961" spans="1:14" x14ac:dyDescent="0.3">
      <c r="A1961" t="s">
        <v>2817</v>
      </c>
      <c r="B1961" s="2">
        <v>45509</v>
      </c>
      <c r="C1961" t="s">
        <v>155</v>
      </c>
      <c r="D1961" t="s">
        <v>774</v>
      </c>
      <c r="E1961" t="s">
        <v>842</v>
      </c>
      <c r="F1961">
        <v>2</v>
      </c>
      <c r="G1961">
        <v>0.15</v>
      </c>
      <c r="H1961" t="s">
        <v>855</v>
      </c>
      <c r="I1961" t="str">
        <f>VLOOKUP(C1961,Customers!A:C,2,FALSE)&amp;" "&amp;VLOOKUP(C1961,Customers!A:C,3,FALSE)</f>
        <v>Scott Powell</v>
      </c>
      <c r="J1961" t="str">
        <f>VLOOKUP(D1961,Products!A:C,2,FALSE)</f>
        <v>Him Smartphone</v>
      </c>
      <c r="K1961" t="str">
        <f>VLOOKUP(D1961,Products!A:C,3,FALSE)</f>
        <v>Electronics</v>
      </c>
      <c r="L1961" t="str">
        <f>VLOOKUP(E1961,Stores!A:B,2,FALSE)</f>
        <v>MegaMart Brianahaven</v>
      </c>
      <c r="M1961">
        <f>VLOOKUP(D1961,Products!A:E,5,FALSE)</f>
        <v>1487.41</v>
      </c>
      <c r="N1961" s="5">
        <f t="shared" si="30"/>
        <v>2528.5970000000002</v>
      </c>
    </row>
    <row r="1962" spans="1:14" x14ac:dyDescent="0.3">
      <c r="A1962" t="s">
        <v>2818</v>
      </c>
      <c r="B1962" s="2">
        <v>45605</v>
      </c>
      <c r="C1962" t="s">
        <v>148</v>
      </c>
      <c r="D1962" t="s">
        <v>766</v>
      </c>
      <c r="E1962" t="s">
        <v>842</v>
      </c>
      <c r="F1962">
        <v>1</v>
      </c>
      <c r="G1962">
        <v>0.15</v>
      </c>
      <c r="H1962" t="s">
        <v>861</v>
      </c>
      <c r="I1962" t="str">
        <f>VLOOKUP(C1962,Customers!A:C,2,FALSE)&amp;" "&amp;VLOOKUP(C1962,Customers!A:C,3,FALSE)</f>
        <v>Tracey Davis</v>
      </c>
      <c r="J1962" t="str">
        <f>VLOOKUP(D1962,Products!A:C,2,FALSE)</f>
        <v>Firm Dairy</v>
      </c>
      <c r="K1962" t="str">
        <f>VLOOKUP(D1962,Products!A:C,3,FALSE)</f>
        <v>Groceries</v>
      </c>
      <c r="L1962" t="str">
        <f>VLOOKUP(E1962,Stores!A:B,2,FALSE)</f>
        <v>MegaMart Brianahaven</v>
      </c>
      <c r="M1962">
        <f>VLOOKUP(D1962,Products!A:E,5,FALSE)</f>
        <v>1227.24</v>
      </c>
      <c r="N1962" s="5">
        <f t="shared" si="30"/>
        <v>1043.154</v>
      </c>
    </row>
    <row r="1963" spans="1:14" x14ac:dyDescent="0.3">
      <c r="A1963" t="s">
        <v>2819</v>
      </c>
      <c r="B1963" s="2">
        <v>45292</v>
      </c>
      <c r="C1963" t="s">
        <v>438</v>
      </c>
      <c r="D1963" t="s">
        <v>798</v>
      </c>
      <c r="E1963" t="s">
        <v>835</v>
      </c>
      <c r="F1963">
        <v>2</v>
      </c>
      <c r="G1963">
        <v>0.05</v>
      </c>
      <c r="H1963" t="s">
        <v>858</v>
      </c>
      <c r="I1963" t="str">
        <f>VLOOKUP(C1963,Customers!A:C,2,FALSE)&amp;" "&amp;VLOOKUP(C1963,Customers!A:C,3,FALSE)</f>
        <v>Gina Bradford</v>
      </c>
      <c r="J1963" t="str">
        <f>VLOOKUP(D1963,Products!A:C,2,FALSE)</f>
        <v>New Watches</v>
      </c>
      <c r="K1963" t="str">
        <f>VLOOKUP(D1963,Products!A:C,3,FALSE)</f>
        <v>Fashion</v>
      </c>
      <c r="L1963" t="str">
        <f>VLOOKUP(E1963,Stores!A:B,2,FALSE)</f>
        <v>MegaMart Peckmouth</v>
      </c>
      <c r="M1963">
        <f>VLOOKUP(D1963,Products!A:E,5,FALSE)</f>
        <v>1501.46</v>
      </c>
      <c r="N1963" s="5">
        <f t="shared" si="30"/>
        <v>2852.7739999999999</v>
      </c>
    </row>
    <row r="1964" spans="1:14" x14ac:dyDescent="0.3">
      <c r="A1964" t="s">
        <v>2820</v>
      </c>
      <c r="B1964" s="2">
        <v>45553</v>
      </c>
      <c r="C1964" t="s">
        <v>661</v>
      </c>
      <c r="D1964" t="s">
        <v>816</v>
      </c>
      <c r="E1964" t="s">
        <v>835</v>
      </c>
      <c r="F1964">
        <v>3</v>
      </c>
      <c r="G1964">
        <v>0</v>
      </c>
      <c r="H1964" t="s">
        <v>855</v>
      </c>
      <c r="I1964" t="str">
        <f>VLOOKUP(C1964,Customers!A:C,2,FALSE)&amp;" "&amp;VLOOKUP(C1964,Customers!A:C,3,FALSE)</f>
        <v>Cynthia Cherry</v>
      </c>
      <c r="J1964" t="str">
        <f>VLOOKUP(D1964,Products!A:C,2,FALSE)</f>
        <v>Set Dairy</v>
      </c>
      <c r="K1964" t="str">
        <f>VLOOKUP(D1964,Products!A:C,3,FALSE)</f>
        <v>Groceries</v>
      </c>
      <c r="L1964" t="str">
        <f>VLOOKUP(E1964,Stores!A:B,2,FALSE)</f>
        <v>MegaMart Peckmouth</v>
      </c>
      <c r="M1964">
        <f>VLOOKUP(D1964,Products!A:E,5,FALSE)</f>
        <v>1879.08</v>
      </c>
      <c r="N1964" s="5">
        <f t="shared" si="30"/>
        <v>5637.24</v>
      </c>
    </row>
    <row r="1965" spans="1:14" x14ac:dyDescent="0.3">
      <c r="A1965" t="s">
        <v>2821</v>
      </c>
      <c r="B1965" s="2">
        <v>45518</v>
      </c>
      <c r="C1965" t="s">
        <v>163</v>
      </c>
      <c r="D1965" t="s">
        <v>824</v>
      </c>
      <c r="E1965" t="s">
        <v>835</v>
      </c>
      <c r="F1965">
        <v>4</v>
      </c>
      <c r="G1965">
        <v>0.05</v>
      </c>
      <c r="H1965" t="s">
        <v>865</v>
      </c>
      <c r="I1965" t="str">
        <f>VLOOKUP(C1965,Customers!A:C,2,FALSE)&amp;" "&amp;VLOOKUP(C1965,Customers!A:C,3,FALSE)</f>
        <v>Anna Andrews</v>
      </c>
      <c r="J1965" t="str">
        <f>VLOOKUP(D1965,Products!A:C,2,FALSE)</f>
        <v>Possible Watches</v>
      </c>
      <c r="K1965" t="str">
        <f>VLOOKUP(D1965,Products!A:C,3,FALSE)</f>
        <v>Fashion</v>
      </c>
      <c r="L1965" t="str">
        <f>VLOOKUP(E1965,Stores!A:B,2,FALSE)</f>
        <v>MegaMart Peckmouth</v>
      </c>
      <c r="M1965">
        <f>VLOOKUP(D1965,Products!A:E,5,FALSE)</f>
        <v>388.26</v>
      </c>
      <c r="N1965" s="5">
        <f t="shared" si="30"/>
        <v>1475.3879999999999</v>
      </c>
    </row>
    <row r="1966" spans="1:14" x14ac:dyDescent="0.3">
      <c r="A1966" t="s">
        <v>2822</v>
      </c>
      <c r="B1966" s="2">
        <v>45453</v>
      </c>
      <c r="C1966" t="s">
        <v>144</v>
      </c>
      <c r="D1966" t="s">
        <v>766</v>
      </c>
      <c r="E1966" t="s">
        <v>831</v>
      </c>
      <c r="F1966">
        <v>4</v>
      </c>
      <c r="G1966">
        <v>0.05</v>
      </c>
      <c r="H1966" t="s">
        <v>858</v>
      </c>
      <c r="I1966" t="str">
        <f>VLOOKUP(C1966,Customers!A:C,2,FALSE)&amp;" "&amp;VLOOKUP(C1966,Customers!A:C,3,FALSE)</f>
        <v>Miranda Nelson</v>
      </c>
      <c r="J1966" t="str">
        <f>VLOOKUP(D1966,Products!A:C,2,FALSE)</f>
        <v>Firm Dairy</v>
      </c>
      <c r="K1966" t="str">
        <f>VLOOKUP(D1966,Products!A:C,3,FALSE)</f>
        <v>Groceries</v>
      </c>
      <c r="L1966" t="str">
        <f>VLOOKUP(E1966,Stores!A:B,2,FALSE)</f>
        <v>MegaMart Jimenezborough</v>
      </c>
      <c r="M1966">
        <f>VLOOKUP(D1966,Products!A:E,5,FALSE)</f>
        <v>1227.24</v>
      </c>
      <c r="N1966" s="5">
        <f t="shared" si="30"/>
        <v>4663.5119999999997</v>
      </c>
    </row>
    <row r="1967" spans="1:14" x14ac:dyDescent="0.3">
      <c r="A1967" t="s">
        <v>2823</v>
      </c>
      <c r="B1967" s="2">
        <v>45342</v>
      </c>
      <c r="C1967" t="s">
        <v>593</v>
      </c>
      <c r="D1967" t="s">
        <v>715</v>
      </c>
      <c r="E1967" t="s">
        <v>842</v>
      </c>
      <c r="F1967">
        <v>1</v>
      </c>
      <c r="G1967">
        <v>0.05</v>
      </c>
      <c r="H1967" t="s">
        <v>865</v>
      </c>
      <c r="I1967" t="str">
        <f>VLOOKUP(C1967,Customers!A:C,2,FALSE)&amp;" "&amp;VLOOKUP(C1967,Customers!A:C,3,FALSE)</f>
        <v>Meagan Ali</v>
      </c>
      <c r="J1967" t="str">
        <f>VLOOKUP(D1967,Products!A:C,2,FALSE)</f>
        <v>Audience Television</v>
      </c>
      <c r="K1967" t="str">
        <f>VLOOKUP(D1967,Products!A:C,3,FALSE)</f>
        <v>Electronics</v>
      </c>
      <c r="L1967" t="str">
        <f>VLOOKUP(E1967,Stores!A:B,2,FALSE)</f>
        <v>MegaMart Brianahaven</v>
      </c>
      <c r="M1967">
        <f>VLOOKUP(D1967,Products!A:E,5,FALSE)</f>
        <v>818.76</v>
      </c>
      <c r="N1967" s="5">
        <f t="shared" si="30"/>
        <v>777.822</v>
      </c>
    </row>
    <row r="1968" spans="1:14" x14ac:dyDescent="0.3">
      <c r="A1968" t="s">
        <v>2824</v>
      </c>
      <c r="B1968" s="2">
        <v>45208</v>
      </c>
      <c r="C1968" t="s">
        <v>556</v>
      </c>
      <c r="D1968" t="s">
        <v>786</v>
      </c>
      <c r="E1968" t="s">
        <v>831</v>
      </c>
      <c r="F1968">
        <v>4</v>
      </c>
      <c r="G1968">
        <v>0.15</v>
      </c>
      <c r="H1968" t="s">
        <v>865</v>
      </c>
      <c r="I1968" t="str">
        <f>VLOOKUP(C1968,Customers!A:C,2,FALSE)&amp;" "&amp;VLOOKUP(C1968,Customers!A:C,3,FALSE)</f>
        <v>Jill Mcconnell</v>
      </c>
      <c r="J1968" t="str">
        <f>VLOOKUP(D1968,Products!A:C,2,FALSE)</f>
        <v>National Watches</v>
      </c>
      <c r="K1968" t="str">
        <f>VLOOKUP(D1968,Products!A:C,3,FALSE)</f>
        <v>Fashion</v>
      </c>
      <c r="L1968" t="str">
        <f>VLOOKUP(E1968,Stores!A:B,2,FALSE)</f>
        <v>MegaMart Jimenezborough</v>
      </c>
      <c r="M1968">
        <f>VLOOKUP(D1968,Products!A:E,5,FALSE)</f>
        <v>29.24</v>
      </c>
      <c r="N1968" s="5">
        <f t="shared" si="30"/>
        <v>99.415999999999997</v>
      </c>
    </row>
    <row r="1969" spans="1:14" x14ac:dyDescent="0.3">
      <c r="A1969" t="s">
        <v>2825</v>
      </c>
      <c r="B1969" s="2">
        <v>45370</v>
      </c>
      <c r="C1969" t="s">
        <v>115</v>
      </c>
      <c r="D1969" t="s">
        <v>786</v>
      </c>
      <c r="E1969" t="s">
        <v>831</v>
      </c>
      <c r="F1969">
        <v>1</v>
      </c>
      <c r="G1969">
        <v>0.05</v>
      </c>
      <c r="H1969" t="s">
        <v>861</v>
      </c>
      <c r="I1969" t="str">
        <f>VLOOKUP(C1969,Customers!A:C,2,FALSE)&amp;" "&amp;VLOOKUP(C1969,Customers!A:C,3,FALSE)</f>
        <v>Tyler Levine</v>
      </c>
      <c r="J1969" t="str">
        <f>VLOOKUP(D1969,Products!A:C,2,FALSE)</f>
        <v>National Watches</v>
      </c>
      <c r="K1969" t="str">
        <f>VLOOKUP(D1969,Products!A:C,3,FALSE)</f>
        <v>Fashion</v>
      </c>
      <c r="L1969" t="str">
        <f>VLOOKUP(E1969,Stores!A:B,2,FALSE)</f>
        <v>MegaMart Jimenezborough</v>
      </c>
      <c r="M1969">
        <f>VLOOKUP(D1969,Products!A:E,5,FALSE)</f>
        <v>29.24</v>
      </c>
      <c r="N1969" s="5">
        <f t="shared" si="30"/>
        <v>27.777999999999999</v>
      </c>
    </row>
    <row r="1970" spans="1:14" x14ac:dyDescent="0.3">
      <c r="A1970" t="s">
        <v>2826</v>
      </c>
      <c r="B1970" s="2">
        <v>45709</v>
      </c>
      <c r="C1970" t="s">
        <v>696</v>
      </c>
      <c r="D1970" t="s">
        <v>736</v>
      </c>
      <c r="E1970" t="s">
        <v>831</v>
      </c>
      <c r="F1970">
        <v>3</v>
      </c>
      <c r="G1970">
        <v>0.05</v>
      </c>
      <c r="H1970" t="s">
        <v>865</v>
      </c>
      <c r="I1970" t="str">
        <f>VLOOKUP(C1970,Customers!A:C,2,FALSE)&amp;" "&amp;VLOOKUP(C1970,Customers!A:C,3,FALSE)</f>
        <v>Jessica Mullins</v>
      </c>
      <c r="J1970" t="str">
        <f>VLOOKUP(D1970,Products!A:C,2,FALSE)</f>
        <v>Us Snacks</v>
      </c>
      <c r="K1970" t="str">
        <f>VLOOKUP(D1970,Products!A:C,3,FALSE)</f>
        <v>Groceries</v>
      </c>
      <c r="L1970" t="str">
        <f>VLOOKUP(E1970,Stores!A:B,2,FALSE)</f>
        <v>MegaMart Jimenezborough</v>
      </c>
      <c r="M1970">
        <f>VLOOKUP(D1970,Products!A:E,5,FALSE)</f>
        <v>123.19</v>
      </c>
      <c r="N1970" s="5">
        <f t="shared" si="30"/>
        <v>351.0915</v>
      </c>
    </row>
    <row r="1971" spans="1:14" x14ac:dyDescent="0.3">
      <c r="A1971" t="s">
        <v>2827</v>
      </c>
      <c r="B1971" s="2">
        <v>45262</v>
      </c>
      <c r="C1971" t="s">
        <v>15</v>
      </c>
      <c r="D1971" t="s">
        <v>808</v>
      </c>
      <c r="E1971" t="s">
        <v>831</v>
      </c>
      <c r="F1971">
        <v>5</v>
      </c>
      <c r="G1971">
        <v>0.1</v>
      </c>
      <c r="H1971" t="s">
        <v>865</v>
      </c>
      <c r="I1971" t="str">
        <f>VLOOKUP(C1971,Customers!A:C,2,FALSE)&amp;" "&amp;VLOOKUP(C1971,Customers!A:C,3,FALSE)</f>
        <v>Carol Hays</v>
      </c>
      <c r="J1971" t="str">
        <f>VLOOKUP(D1971,Products!A:C,2,FALSE)</f>
        <v>Present Television</v>
      </c>
      <c r="K1971" t="str">
        <f>VLOOKUP(D1971,Products!A:C,3,FALSE)</f>
        <v>Electronics</v>
      </c>
      <c r="L1971" t="str">
        <f>VLOOKUP(E1971,Stores!A:B,2,FALSE)</f>
        <v>MegaMart Jimenezborough</v>
      </c>
      <c r="M1971">
        <f>VLOOKUP(D1971,Products!A:E,5,FALSE)</f>
        <v>1635.01</v>
      </c>
      <c r="N1971" s="5">
        <f t="shared" si="30"/>
        <v>7357.5450000000001</v>
      </c>
    </row>
    <row r="1972" spans="1:14" x14ac:dyDescent="0.3">
      <c r="A1972" t="s">
        <v>2828</v>
      </c>
      <c r="B1972" s="2">
        <v>45525</v>
      </c>
      <c r="C1972" t="s">
        <v>202</v>
      </c>
      <c r="D1972" t="s">
        <v>742</v>
      </c>
      <c r="E1972" t="s">
        <v>835</v>
      </c>
      <c r="F1972">
        <v>4</v>
      </c>
      <c r="G1972">
        <v>0.15</v>
      </c>
      <c r="H1972" t="s">
        <v>861</v>
      </c>
      <c r="I1972" t="str">
        <f>VLOOKUP(C1972,Customers!A:C,2,FALSE)&amp;" "&amp;VLOOKUP(C1972,Customers!A:C,3,FALSE)</f>
        <v>Billy Hernandez</v>
      </c>
      <c r="J1972" t="str">
        <f>VLOOKUP(D1972,Products!A:C,2,FALSE)</f>
        <v>Either Headphones</v>
      </c>
      <c r="K1972" t="str">
        <f>VLOOKUP(D1972,Products!A:C,3,FALSE)</f>
        <v>Electronics</v>
      </c>
      <c r="L1972" t="str">
        <f>VLOOKUP(E1972,Stores!A:B,2,FALSE)</f>
        <v>MegaMart Peckmouth</v>
      </c>
      <c r="M1972">
        <f>VLOOKUP(D1972,Products!A:E,5,FALSE)</f>
        <v>248.57</v>
      </c>
      <c r="N1972" s="5">
        <f t="shared" si="30"/>
        <v>845.13799999999992</v>
      </c>
    </row>
    <row r="1973" spans="1:14" x14ac:dyDescent="0.3">
      <c r="A1973" t="s">
        <v>2829</v>
      </c>
      <c r="B1973" s="2">
        <v>45792</v>
      </c>
      <c r="C1973" t="s">
        <v>298</v>
      </c>
      <c r="D1973" t="s">
        <v>818</v>
      </c>
      <c r="E1973" t="s">
        <v>839</v>
      </c>
      <c r="F1973">
        <v>4</v>
      </c>
      <c r="G1973">
        <v>0.05</v>
      </c>
      <c r="H1973" t="s">
        <v>861</v>
      </c>
      <c r="I1973" t="str">
        <f>VLOOKUP(C1973,Customers!A:C,2,FALSE)&amp;" "&amp;VLOOKUP(C1973,Customers!A:C,3,FALSE)</f>
        <v>Donald Marsh</v>
      </c>
      <c r="J1973" t="str">
        <f>VLOOKUP(D1973,Products!A:C,2,FALSE)</f>
        <v>Nature Clothing</v>
      </c>
      <c r="K1973" t="str">
        <f>VLOOKUP(D1973,Products!A:C,3,FALSE)</f>
        <v>Fashion</v>
      </c>
      <c r="L1973" t="str">
        <f>VLOOKUP(E1973,Stores!A:B,2,FALSE)</f>
        <v>MegaMart New Michele</v>
      </c>
      <c r="M1973">
        <f>VLOOKUP(D1973,Products!A:E,5,FALSE)</f>
        <v>1165.3699999999999</v>
      </c>
      <c r="N1973" s="5">
        <f t="shared" si="30"/>
        <v>4428.405999999999</v>
      </c>
    </row>
    <row r="1974" spans="1:14" x14ac:dyDescent="0.3">
      <c r="A1974" t="s">
        <v>2830</v>
      </c>
      <c r="B1974" s="2">
        <v>45495</v>
      </c>
      <c r="C1974" t="s">
        <v>63</v>
      </c>
      <c r="D1974" t="s">
        <v>711</v>
      </c>
      <c r="E1974" t="s">
        <v>846</v>
      </c>
      <c r="F1974">
        <v>3</v>
      </c>
      <c r="G1974">
        <v>0</v>
      </c>
      <c r="H1974" t="s">
        <v>865</v>
      </c>
      <c r="I1974" t="str">
        <f>VLOOKUP(C1974,Customers!A:C,2,FALSE)&amp;" "&amp;VLOOKUP(C1974,Customers!A:C,3,FALSE)</f>
        <v>Matthew Molina</v>
      </c>
      <c r="J1974" t="str">
        <f>VLOOKUP(D1974,Products!A:C,2,FALSE)</f>
        <v>Like Camera</v>
      </c>
      <c r="K1974" t="str">
        <f>VLOOKUP(D1974,Products!A:C,3,FALSE)</f>
        <v>Electronics</v>
      </c>
      <c r="L1974" t="str">
        <f>VLOOKUP(E1974,Stores!A:B,2,FALSE)</f>
        <v>MegaMart Johnmouth</v>
      </c>
      <c r="M1974">
        <f>VLOOKUP(D1974,Products!A:E,5,FALSE)</f>
        <v>1673.69</v>
      </c>
      <c r="N1974" s="5">
        <f t="shared" si="30"/>
        <v>5021.07</v>
      </c>
    </row>
    <row r="1975" spans="1:14" x14ac:dyDescent="0.3">
      <c r="A1975" t="s">
        <v>2831</v>
      </c>
      <c r="B1975" s="2">
        <v>45430</v>
      </c>
      <c r="C1975" t="s">
        <v>51</v>
      </c>
      <c r="D1975" t="s">
        <v>774</v>
      </c>
      <c r="E1975" t="s">
        <v>831</v>
      </c>
      <c r="F1975">
        <v>5</v>
      </c>
      <c r="G1975">
        <v>0.1</v>
      </c>
      <c r="H1975" t="s">
        <v>865</v>
      </c>
      <c r="I1975" t="str">
        <f>VLOOKUP(C1975,Customers!A:C,2,FALSE)&amp;" "&amp;VLOOKUP(C1975,Customers!A:C,3,FALSE)</f>
        <v>Dale Perry</v>
      </c>
      <c r="J1975" t="str">
        <f>VLOOKUP(D1975,Products!A:C,2,FALSE)</f>
        <v>Him Smartphone</v>
      </c>
      <c r="K1975" t="str">
        <f>VLOOKUP(D1975,Products!A:C,3,FALSE)</f>
        <v>Electronics</v>
      </c>
      <c r="L1975" t="str">
        <f>VLOOKUP(E1975,Stores!A:B,2,FALSE)</f>
        <v>MegaMart Jimenezborough</v>
      </c>
      <c r="M1975">
        <f>VLOOKUP(D1975,Products!A:E,5,FALSE)</f>
        <v>1487.41</v>
      </c>
      <c r="N1975" s="5">
        <f t="shared" si="30"/>
        <v>6693.3450000000003</v>
      </c>
    </row>
    <row r="1976" spans="1:14" x14ac:dyDescent="0.3">
      <c r="A1976" t="s">
        <v>2832</v>
      </c>
      <c r="B1976" s="2">
        <v>45246</v>
      </c>
      <c r="C1976" t="s">
        <v>480</v>
      </c>
      <c r="D1976" t="s">
        <v>790</v>
      </c>
      <c r="E1976" t="s">
        <v>842</v>
      </c>
      <c r="F1976">
        <v>2</v>
      </c>
      <c r="G1976">
        <v>0</v>
      </c>
      <c r="H1976" t="s">
        <v>861</v>
      </c>
      <c r="I1976" t="str">
        <f>VLOOKUP(C1976,Customers!A:C,2,FALSE)&amp;" "&amp;VLOOKUP(C1976,Customers!A:C,3,FALSE)</f>
        <v>Denise Jackson</v>
      </c>
      <c r="J1976" t="str">
        <f>VLOOKUP(D1976,Products!A:C,2,FALSE)</f>
        <v>Difficult Vegetables</v>
      </c>
      <c r="K1976" t="str">
        <f>VLOOKUP(D1976,Products!A:C,3,FALSE)</f>
        <v>Groceries</v>
      </c>
      <c r="L1976" t="str">
        <f>VLOOKUP(E1976,Stores!A:B,2,FALSE)</f>
        <v>MegaMart Brianahaven</v>
      </c>
      <c r="M1976">
        <f>VLOOKUP(D1976,Products!A:E,5,FALSE)</f>
        <v>304.70999999999998</v>
      </c>
      <c r="N1976" s="5">
        <f t="shared" si="30"/>
        <v>609.41999999999996</v>
      </c>
    </row>
    <row r="1977" spans="1:14" x14ac:dyDescent="0.3">
      <c r="A1977" t="s">
        <v>2833</v>
      </c>
      <c r="B1977" s="2">
        <v>45567</v>
      </c>
      <c r="C1977" t="s">
        <v>32</v>
      </c>
      <c r="D1977" t="s">
        <v>747</v>
      </c>
      <c r="E1977" t="s">
        <v>835</v>
      </c>
      <c r="F1977">
        <v>4</v>
      </c>
      <c r="G1977">
        <v>0.15</v>
      </c>
      <c r="H1977" t="s">
        <v>861</v>
      </c>
      <c r="I1977" t="str">
        <f>VLOOKUP(C1977,Customers!A:C,2,FALSE)&amp;" "&amp;VLOOKUP(C1977,Customers!A:C,3,FALSE)</f>
        <v>Erin Walker</v>
      </c>
      <c r="J1977" t="str">
        <f>VLOOKUP(D1977,Products!A:C,2,FALSE)</f>
        <v>World Watches</v>
      </c>
      <c r="K1977" t="str">
        <f>VLOOKUP(D1977,Products!A:C,3,FALSE)</f>
        <v>Fashion</v>
      </c>
      <c r="L1977" t="str">
        <f>VLOOKUP(E1977,Stores!A:B,2,FALSE)</f>
        <v>MegaMart Peckmouth</v>
      </c>
      <c r="M1977">
        <f>VLOOKUP(D1977,Products!A:E,5,FALSE)</f>
        <v>1134.8</v>
      </c>
      <c r="N1977" s="5">
        <f t="shared" si="30"/>
        <v>3858.3199999999997</v>
      </c>
    </row>
    <row r="1978" spans="1:14" x14ac:dyDescent="0.3">
      <c r="A1978" t="s">
        <v>2834</v>
      </c>
      <c r="B1978" s="2">
        <v>45589</v>
      </c>
      <c r="C1978" t="s">
        <v>343</v>
      </c>
      <c r="D1978" t="s">
        <v>766</v>
      </c>
      <c r="E1978" t="s">
        <v>839</v>
      </c>
      <c r="F1978">
        <v>2</v>
      </c>
      <c r="G1978">
        <v>0.15</v>
      </c>
      <c r="H1978" t="s">
        <v>865</v>
      </c>
      <c r="I1978" t="str">
        <f>VLOOKUP(C1978,Customers!A:C,2,FALSE)&amp;" "&amp;VLOOKUP(C1978,Customers!A:C,3,FALSE)</f>
        <v>Brian Fowler</v>
      </c>
      <c r="J1978" t="str">
        <f>VLOOKUP(D1978,Products!A:C,2,FALSE)</f>
        <v>Firm Dairy</v>
      </c>
      <c r="K1978" t="str">
        <f>VLOOKUP(D1978,Products!A:C,3,FALSE)</f>
        <v>Groceries</v>
      </c>
      <c r="L1978" t="str">
        <f>VLOOKUP(E1978,Stores!A:B,2,FALSE)</f>
        <v>MegaMart New Michele</v>
      </c>
      <c r="M1978">
        <f>VLOOKUP(D1978,Products!A:E,5,FALSE)</f>
        <v>1227.24</v>
      </c>
      <c r="N1978" s="5">
        <f t="shared" si="30"/>
        <v>2086.308</v>
      </c>
    </row>
    <row r="1979" spans="1:14" x14ac:dyDescent="0.3">
      <c r="A1979" t="s">
        <v>2835</v>
      </c>
      <c r="B1979" s="2">
        <v>45190</v>
      </c>
      <c r="C1979" t="s">
        <v>464</v>
      </c>
      <c r="D1979" t="s">
        <v>745</v>
      </c>
      <c r="E1979" t="s">
        <v>835</v>
      </c>
      <c r="F1979">
        <v>1</v>
      </c>
      <c r="G1979">
        <v>0.05</v>
      </c>
      <c r="H1979" t="s">
        <v>865</v>
      </c>
      <c r="I1979" t="str">
        <f>VLOOKUP(C1979,Customers!A:C,2,FALSE)&amp;" "&amp;VLOOKUP(C1979,Customers!A:C,3,FALSE)</f>
        <v>Monique Johnson</v>
      </c>
      <c r="J1979" t="str">
        <f>VLOOKUP(D1979,Products!A:C,2,FALSE)</f>
        <v>Above Camera</v>
      </c>
      <c r="K1979" t="str">
        <f>VLOOKUP(D1979,Products!A:C,3,FALSE)</f>
        <v>Electronics</v>
      </c>
      <c r="L1979" t="str">
        <f>VLOOKUP(E1979,Stores!A:B,2,FALSE)</f>
        <v>MegaMart Peckmouth</v>
      </c>
      <c r="M1979">
        <f>VLOOKUP(D1979,Products!A:E,5,FALSE)</f>
        <v>1193.0899999999999</v>
      </c>
      <c r="N1979" s="5">
        <f t="shared" si="30"/>
        <v>1133.4354999999998</v>
      </c>
    </row>
    <row r="1980" spans="1:14" x14ac:dyDescent="0.3">
      <c r="A1980" t="s">
        <v>2836</v>
      </c>
      <c r="B1980" s="2">
        <v>45604</v>
      </c>
      <c r="C1980" t="s">
        <v>277</v>
      </c>
      <c r="D1980" t="s">
        <v>774</v>
      </c>
      <c r="E1980" t="s">
        <v>839</v>
      </c>
      <c r="F1980">
        <v>1</v>
      </c>
      <c r="G1980">
        <v>0.1</v>
      </c>
      <c r="H1980" t="s">
        <v>865</v>
      </c>
      <c r="I1980" t="str">
        <f>VLOOKUP(C1980,Customers!A:C,2,FALSE)&amp;" "&amp;VLOOKUP(C1980,Customers!A:C,3,FALSE)</f>
        <v>Carl Armstrong</v>
      </c>
      <c r="J1980" t="str">
        <f>VLOOKUP(D1980,Products!A:C,2,FALSE)</f>
        <v>Him Smartphone</v>
      </c>
      <c r="K1980" t="str">
        <f>VLOOKUP(D1980,Products!A:C,3,FALSE)</f>
        <v>Electronics</v>
      </c>
      <c r="L1980" t="str">
        <f>VLOOKUP(E1980,Stores!A:B,2,FALSE)</f>
        <v>MegaMart New Michele</v>
      </c>
      <c r="M1980">
        <f>VLOOKUP(D1980,Products!A:E,5,FALSE)</f>
        <v>1487.41</v>
      </c>
      <c r="N1980" s="5">
        <f t="shared" si="30"/>
        <v>1338.6690000000001</v>
      </c>
    </row>
    <row r="1981" spans="1:14" x14ac:dyDescent="0.3">
      <c r="A1981" t="s">
        <v>2837</v>
      </c>
      <c r="B1981" s="2">
        <v>45685</v>
      </c>
      <c r="C1981" t="s">
        <v>351</v>
      </c>
      <c r="D1981" t="s">
        <v>759</v>
      </c>
      <c r="E1981" t="s">
        <v>831</v>
      </c>
      <c r="F1981">
        <v>1</v>
      </c>
      <c r="G1981">
        <v>0.05</v>
      </c>
      <c r="H1981" t="s">
        <v>861</v>
      </c>
      <c r="I1981" t="str">
        <f>VLOOKUP(C1981,Customers!A:C,2,FALSE)&amp;" "&amp;VLOOKUP(C1981,Customers!A:C,3,FALSE)</f>
        <v>Stanley Brown</v>
      </c>
      <c r="J1981" t="str">
        <f>VLOOKUP(D1981,Products!A:C,2,FALSE)</f>
        <v>Democratic Smartphone</v>
      </c>
      <c r="K1981" t="str">
        <f>VLOOKUP(D1981,Products!A:C,3,FALSE)</f>
        <v>Electronics</v>
      </c>
      <c r="L1981" t="str">
        <f>VLOOKUP(E1981,Stores!A:B,2,FALSE)</f>
        <v>MegaMart Jimenezborough</v>
      </c>
      <c r="M1981">
        <f>VLOOKUP(D1981,Products!A:E,5,FALSE)</f>
        <v>1079.8900000000001</v>
      </c>
      <c r="N1981" s="5">
        <f t="shared" si="30"/>
        <v>1025.8955000000001</v>
      </c>
    </row>
    <row r="1982" spans="1:14" x14ac:dyDescent="0.3">
      <c r="A1982" t="s">
        <v>2838</v>
      </c>
      <c r="B1982" s="2">
        <v>45783</v>
      </c>
      <c r="C1982" t="s">
        <v>411</v>
      </c>
      <c r="D1982" t="s">
        <v>761</v>
      </c>
      <c r="E1982" t="s">
        <v>846</v>
      </c>
      <c r="F1982">
        <v>3</v>
      </c>
      <c r="G1982">
        <v>0.05</v>
      </c>
      <c r="H1982" t="s">
        <v>858</v>
      </c>
      <c r="I1982" t="str">
        <f>VLOOKUP(C1982,Customers!A:C,2,FALSE)&amp;" "&amp;VLOOKUP(C1982,Customers!A:C,3,FALSE)</f>
        <v>Travis Peters</v>
      </c>
      <c r="J1982" t="str">
        <f>VLOOKUP(D1982,Products!A:C,2,FALSE)</f>
        <v>Traditional Laptop</v>
      </c>
      <c r="K1982" t="str">
        <f>VLOOKUP(D1982,Products!A:C,3,FALSE)</f>
        <v>Electronics</v>
      </c>
      <c r="L1982" t="str">
        <f>VLOOKUP(E1982,Stores!A:B,2,FALSE)</f>
        <v>MegaMart Johnmouth</v>
      </c>
      <c r="M1982">
        <f>VLOOKUP(D1982,Products!A:E,5,FALSE)</f>
        <v>1762.92</v>
      </c>
      <c r="N1982" s="5">
        <f t="shared" si="30"/>
        <v>5024.3220000000001</v>
      </c>
    </row>
    <row r="1983" spans="1:14" x14ac:dyDescent="0.3">
      <c r="A1983" t="s">
        <v>2839</v>
      </c>
      <c r="B1983" s="2">
        <v>45217</v>
      </c>
      <c r="C1983" t="s">
        <v>151</v>
      </c>
      <c r="D1983" t="s">
        <v>782</v>
      </c>
      <c r="E1983" t="s">
        <v>839</v>
      </c>
      <c r="F1983">
        <v>5</v>
      </c>
      <c r="G1983">
        <v>0.1</v>
      </c>
      <c r="H1983" t="s">
        <v>855</v>
      </c>
      <c r="I1983" t="str">
        <f>VLOOKUP(C1983,Customers!A:C,2,FALSE)&amp;" "&amp;VLOOKUP(C1983,Customers!A:C,3,FALSE)</f>
        <v>Nancy Savage</v>
      </c>
      <c r="J1983" t="str">
        <f>VLOOKUP(D1983,Products!A:C,2,FALSE)</f>
        <v>Deal Smartphone</v>
      </c>
      <c r="K1983" t="str">
        <f>VLOOKUP(D1983,Products!A:C,3,FALSE)</f>
        <v>Electronics</v>
      </c>
      <c r="L1983" t="str">
        <f>VLOOKUP(E1983,Stores!A:B,2,FALSE)</f>
        <v>MegaMart New Michele</v>
      </c>
      <c r="M1983">
        <f>VLOOKUP(D1983,Products!A:E,5,FALSE)</f>
        <v>673.78</v>
      </c>
      <c r="N1983" s="5">
        <f t="shared" si="30"/>
        <v>3032.0099999999998</v>
      </c>
    </row>
    <row r="1984" spans="1:14" x14ac:dyDescent="0.3">
      <c r="A1984" t="s">
        <v>2840</v>
      </c>
      <c r="B1984" s="2">
        <v>45673</v>
      </c>
      <c r="C1984" t="s">
        <v>109</v>
      </c>
      <c r="D1984" t="s">
        <v>761</v>
      </c>
      <c r="E1984" t="s">
        <v>839</v>
      </c>
      <c r="F1984">
        <v>4</v>
      </c>
      <c r="G1984">
        <v>0.1</v>
      </c>
      <c r="H1984" t="s">
        <v>855</v>
      </c>
      <c r="I1984" t="str">
        <f>VLOOKUP(C1984,Customers!A:C,2,FALSE)&amp;" "&amp;VLOOKUP(C1984,Customers!A:C,3,FALSE)</f>
        <v>Jacqueline Martin</v>
      </c>
      <c r="J1984" t="str">
        <f>VLOOKUP(D1984,Products!A:C,2,FALSE)</f>
        <v>Traditional Laptop</v>
      </c>
      <c r="K1984" t="str">
        <f>VLOOKUP(D1984,Products!A:C,3,FALSE)</f>
        <v>Electronics</v>
      </c>
      <c r="L1984" t="str">
        <f>VLOOKUP(E1984,Stores!A:B,2,FALSE)</f>
        <v>MegaMart New Michele</v>
      </c>
      <c r="M1984">
        <f>VLOOKUP(D1984,Products!A:E,5,FALSE)</f>
        <v>1762.92</v>
      </c>
      <c r="N1984" s="5">
        <f t="shared" si="30"/>
        <v>6346.5120000000006</v>
      </c>
    </row>
    <row r="1985" spans="1:14" x14ac:dyDescent="0.3">
      <c r="A1985" t="s">
        <v>2841</v>
      </c>
      <c r="B1985" s="2">
        <v>45719</v>
      </c>
      <c r="C1985" t="s">
        <v>647</v>
      </c>
      <c r="D1985" t="s">
        <v>774</v>
      </c>
      <c r="E1985" t="s">
        <v>831</v>
      </c>
      <c r="F1985">
        <v>1</v>
      </c>
      <c r="G1985">
        <v>0.05</v>
      </c>
      <c r="H1985" t="s">
        <v>861</v>
      </c>
      <c r="I1985" t="str">
        <f>VLOOKUP(C1985,Customers!A:C,2,FALSE)&amp;" "&amp;VLOOKUP(C1985,Customers!A:C,3,FALSE)</f>
        <v>Mary Dawson</v>
      </c>
      <c r="J1985" t="str">
        <f>VLOOKUP(D1985,Products!A:C,2,FALSE)</f>
        <v>Him Smartphone</v>
      </c>
      <c r="K1985" t="str">
        <f>VLOOKUP(D1985,Products!A:C,3,FALSE)</f>
        <v>Electronics</v>
      </c>
      <c r="L1985" t="str">
        <f>VLOOKUP(E1985,Stores!A:B,2,FALSE)</f>
        <v>MegaMart Jimenezborough</v>
      </c>
      <c r="M1985">
        <f>VLOOKUP(D1985,Products!A:E,5,FALSE)</f>
        <v>1487.41</v>
      </c>
      <c r="N1985" s="5">
        <f t="shared" si="30"/>
        <v>1413.0395000000001</v>
      </c>
    </row>
    <row r="1986" spans="1:14" x14ac:dyDescent="0.3">
      <c r="A1986" t="s">
        <v>2842</v>
      </c>
      <c r="B1986" s="2">
        <v>45661</v>
      </c>
      <c r="C1986" t="s">
        <v>310</v>
      </c>
      <c r="D1986" t="s">
        <v>774</v>
      </c>
      <c r="E1986" t="s">
        <v>835</v>
      </c>
      <c r="F1986">
        <v>4</v>
      </c>
      <c r="G1986">
        <v>0.15</v>
      </c>
      <c r="H1986" t="s">
        <v>858</v>
      </c>
      <c r="I1986" t="str">
        <f>VLOOKUP(C1986,Customers!A:C,2,FALSE)&amp;" "&amp;VLOOKUP(C1986,Customers!A:C,3,FALSE)</f>
        <v>Amy Haley</v>
      </c>
      <c r="J1986" t="str">
        <f>VLOOKUP(D1986,Products!A:C,2,FALSE)</f>
        <v>Him Smartphone</v>
      </c>
      <c r="K1986" t="str">
        <f>VLOOKUP(D1986,Products!A:C,3,FALSE)</f>
        <v>Electronics</v>
      </c>
      <c r="L1986" t="str">
        <f>VLOOKUP(E1986,Stores!A:B,2,FALSE)</f>
        <v>MegaMart Peckmouth</v>
      </c>
      <c r="M1986">
        <f>VLOOKUP(D1986,Products!A:E,5,FALSE)</f>
        <v>1487.41</v>
      </c>
      <c r="N1986" s="5">
        <f t="shared" si="30"/>
        <v>5057.1940000000004</v>
      </c>
    </row>
    <row r="1987" spans="1:14" x14ac:dyDescent="0.3">
      <c r="A1987" t="s">
        <v>2843</v>
      </c>
      <c r="B1987" s="2">
        <v>45690</v>
      </c>
      <c r="C1987" t="s">
        <v>74</v>
      </c>
      <c r="D1987" t="s">
        <v>790</v>
      </c>
      <c r="E1987" t="s">
        <v>831</v>
      </c>
      <c r="F1987">
        <v>5</v>
      </c>
      <c r="G1987">
        <v>0.15</v>
      </c>
      <c r="H1987" t="s">
        <v>855</v>
      </c>
      <c r="I1987" t="str">
        <f>VLOOKUP(C1987,Customers!A:C,2,FALSE)&amp;" "&amp;VLOOKUP(C1987,Customers!A:C,3,FALSE)</f>
        <v>Breanna Davis</v>
      </c>
      <c r="J1987" t="str">
        <f>VLOOKUP(D1987,Products!A:C,2,FALSE)</f>
        <v>Difficult Vegetables</v>
      </c>
      <c r="K1987" t="str">
        <f>VLOOKUP(D1987,Products!A:C,3,FALSE)</f>
        <v>Groceries</v>
      </c>
      <c r="L1987" t="str">
        <f>VLOOKUP(E1987,Stores!A:B,2,FALSE)</f>
        <v>MegaMart Jimenezborough</v>
      </c>
      <c r="M1987">
        <f>VLOOKUP(D1987,Products!A:E,5,FALSE)</f>
        <v>304.70999999999998</v>
      </c>
      <c r="N1987" s="5">
        <f t="shared" ref="N1987:N2050" si="31">F1987*M1987*(1-G1987)</f>
        <v>1295.0174999999999</v>
      </c>
    </row>
    <row r="1988" spans="1:14" x14ac:dyDescent="0.3">
      <c r="A1988" t="s">
        <v>2844</v>
      </c>
      <c r="B1988" s="2">
        <v>45665</v>
      </c>
      <c r="C1988" t="s">
        <v>148</v>
      </c>
      <c r="D1988" t="s">
        <v>766</v>
      </c>
      <c r="E1988" t="s">
        <v>831</v>
      </c>
      <c r="F1988">
        <v>3</v>
      </c>
      <c r="G1988">
        <v>0.05</v>
      </c>
      <c r="H1988" t="s">
        <v>861</v>
      </c>
      <c r="I1988" t="str">
        <f>VLOOKUP(C1988,Customers!A:C,2,FALSE)&amp;" "&amp;VLOOKUP(C1988,Customers!A:C,3,FALSE)</f>
        <v>Tracey Davis</v>
      </c>
      <c r="J1988" t="str">
        <f>VLOOKUP(D1988,Products!A:C,2,FALSE)</f>
        <v>Firm Dairy</v>
      </c>
      <c r="K1988" t="str">
        <f>VLOOKUP(D1988,Products!A:C,3,FALSE)</f>
        <v>Groceries</v>
      </c>
      <c r="L1988" t="str">
        <f>VLOOKUP(E1988,Stores!A:B,2,FALSE)</f>
        <v>MegaMart Jimenezborough</v>
      </c>
      <c r="M1988">
        <f>VLOOKUP(D1988,Products!A:E,5,FALSE)</f>
        <v>1227.24</v>
      </c>
      <c r="N1988" s="5">
        <f t="shared" si="31"/>
        <v>3497.634</v>
      </c>
    </row>
    <row r="1989" spans="1:14" x14ac:dyDescent="0.3">
      <c r="A1989" t="s">
        <v>2845</v>
      </c>
      <c r="B1989" s="2">
        <v>45386</v>
      </c>
      <c r="C1989" t="s">
        <v>693</v>
      </c>
      <c r="D1989" t="s">
        <v>824</v>
      </c>
      <c r="E1989" t="s">
        <v>842</v>
      </c>
      <c r="F1989">
        <v>3</v>
      </c>
      <c r="G1989">
        <v>0.1</v>
      </c>
      <c r="H1989" t="s">
        <v>858</v>
      </c>
      <c r="I1989" t="str">
        <f>VLOOKUP(C1989,Customers!A:C,2,FALSE)&amp;" "&amp;VLOOKUP(C1989,Customers!A:C,3,FALSE)</f>
        <v>Matthew Dixon</v>
      </c>
      <c r="J1989" t="str">
        <f>VLOOKUP(D1989,Products!A:C,2,FALSE)</f>
        <v>Possible Watches</v>
      </c>
      <c r="K1989" t="str">
        <f>VLOOKUP(D1989,Products!A:C,3,FALSE)</f>
        <v>Fashion</v>
      </c>
      <c r="L1989" t="str">
        <f>VLOOKUP(E1989,Stores!A:B,2,FALSE)</f>
        <v>MegaMart Brianahaven</v>
      </c>
      <c r="M1989">
        <f>VLOOKUP(D1989,Products!A:E,5,FALSE)</f>
        <v>388.26</v>
      </c>
      <c r="N1989" s="5">
        <f t="shared" si="31"/>
        <v>1048.3019999999999</v>
      </c>
    </row>
    <row r="1990" spans="1:14" x14ac:dyDescent="0.3">
      <c r="A1990" t="s">
        <v>2846</v>
      </c>
      <c r="B1990" s="2">
        <v>45285</v>
      </c>
      <c r="C1990" t="s">
        <v>407</v>
      </c>
      <c r="D1990" t="s">
        <v>810</v>
      </c>
      <c r="E1990" t="s">
        <v>842</v>
      </c>
      <c r="F1990">
        <v>4</v>
      </c>
      <c r="G1990">
        <v>0.1</v>
      </c>
      <c r="H1990" t="s">
        <v>861</v>
      </c>
      <c r="I1990" t="str">
        <f>VLOOKUP(C1990,Customers!A:C,2,FALSE)&amp;" "&amp;VLOOKUP(C1990,Customers!A:C,3,FALSE)</f>
        <v>Austin Hogan</v>
      </c>
      <c r="J1990" t="str">
        <f>VLOOKUP(D1990,Products!A:C,2,FALSE)</f>
        <v>Maybe Clothing</v>
      </c>
      <c r="K1990" t="str">
        <f>VLOOKUP(D1990,Products!A:C,3,FALSE)</f>
        <v>Fashion</v>
      </c>
      <c r="L1990" t="str">
        <f>VLOOKUP(E1990,Stores!A:B,2,FALSE)</f>
        <v>MegaMart Brianahaven</v>
      </c>
      <c r="M1990">
        <f>VLOOKUP(D1990,Products!A:E,5,FALSE)</f>
        <v>453.62</v>
      </c>
      <c r="N1990" s="5">
        <f t="shared" si="31"/>
        <v>1633.0320000000002</v>
      </c>
    </row>
    <row r="1991" spans="1:14" x14ac:dyDescent="0.3">
      <c r="A1991" t="s">
        <v>2847</v>
      </c>
      <c r="B1991" s="2">
        <v>45667</v>
      </c>
      <c r="C1991" t="s">
        <v>599</v>
      </c>
      <c r="D1991" t="s">
        <v>798</v>
      </c>
      <c r="E1991" t="s">
        <v>835</v>
      </c>
      <c r="F1991">
        <v>4</v>
      </c>
      <c r="G1991">
        <v>0.15</v>
      </c>
      <c r="H1991" t="s">
        <v>858</v>
      </c>
      <c r="I1991" t="str">
        <f>VLOOKUP(C1991,Customers!A:C,2,FALSE)&amp;" "&amp;VLOOKUP(C1991,Customers!A:C,3,FALSE)</f>
        <v>Richard Jones</v>
      </c>
      <c r="J1991" t="str">
        <f>VLOOKUP(D1991,Products!A:C,2,FALSE)</f>
        <v>New Watches</v>
      </c>
      <c r="K1991" t="str">
        <f>VLOOKUP(D1991,Products!A:C,3,FALSE)</f>
        <v>Fashion</v>
      </c>
      <c r="L1991" t="str">
        <f>VLOOKUP(E1991,Stores!A:B,2,FALSE)</f>
        <v>MegaMart Peckmouth</v>
      </c>
      <c r="M1991">
        <f>VLOOKUP(D1991,Products!A:E,5,FALSE)</f>
        <v>1501.46</v>
      </c>
      <c r="N1991" s="5">
        <f t="shared" si="31"/>
        <v>5104.9639999999999</v>
      </c>
    </row>
    <row r="1992" spans="1:14" x14ac:dyDescent="0.3">
      <c r="A1992" t="s">
        <v>2848</v>
      </c>
      <c r="B1992" s="2">
        <v>45429</v>
      </c>
      <c r="C1992" t="s">
        <v>503</v>
      </c>
      <c r="D1992" t="s">
        <v>739</v>
      </c>
      <c r="E1992" t="s">
        <v>846</v>
      </c>
      <c r="F1992">
        <v>4</v>
      </c>
      <c r="G1992">
        <v>0.05</v>
      </c>
      <c r="H1992" t="s">
        <v>858</v>
      </c>
      <c r="I1992" t="str">
        <f>VLOOKUP(C1992,Customers!A:C,2,FALSE)&amp;" "&amp;VLOOKUP(C1992,Customers!A:C,3,FALSE)</f>
        <v>Breanna Moore</v>
      </c>
      <c r="J1992" t="str">
        <f>VLOOKUP(D1992,Products!A:C,2,FALSE)</f>
        <v>Step Smartphone</v>
      </c>
      <c r="K1992" t="str">
        <f>VLOOKUP(D1992,Products!A:C,3,FALSE)</f>
        <v>Electronics</v>
      </c>
      <c r="L1992" t="str">
        <f>VLOOKUP(E1992,Stores!A:B,2,FALSE)</f>
        <v>MegaMart Johnmouth</v>
      </c>
      <c r="M1992">
        <f>VLOOKUP(D1992,Products!A:E,5,FALSE)</f>
        <v>1194.1199999999999</v>
      </c>
      <c r="N1992" s="5">
        <f t="shared" si="31"/>
        <v>4537.655999999999</v>
      </c>
    </row>
    <row r="1993" spans="1:14" x14ac:dyDescent="0.3">
      <c r="A1993" t="s">
        <v>2849</v>
      </c>
      <c r="B1993" s="2">
        <v>45603</v>
      </c>
      <c r="C1993" t="s">
        <v>89</v>
      </c>
      <c r="D1993" t="s">
        <v>800</v>
      </c>
      <c r="E1993" t="s">
        <v>846</v>
      </c>
      <c r="F1993">
        <v>4</v>
      </c>
      <c r="G1993">
        <v>0.05</v>
      </c>
      <c r="H1993" t="s">
        <v>865</v>
      </c>
      <c r="I1993" t="str">
        <f>VLOOKUP(C1993,Customers!A:C,2,FALSE)&amp;" "&amp;VLOOKUP(C1993,Customers!A:C,3,FALSE)</f>
        <v>Megan Velasquez</v>
      </c>
      <c r="J1993" t="str">
        <f>VLOOKUP(D1993,Products!A:C,2,FALSE)</f>
        <v>Book Television</v>
      </c>
      <c r="K1993" t="str">
        <f>VLOOKUP(D1993,Products!A:C,3,FALSE)</f>
        <v>Electronics</v>
      </c>
      <c r="L1993" t="str">
        <f>VLOOKUP(E1993,Stores!A:B,2,FALSE)</f>
        <v>MegaMart Johnmouth</v>
      </c>
      <c r="M1993">
        <f>VLOOKUP(D1993,Products!A:E,5,FALSE)</f>
        <v>1952.65</v>
      </c>
      <c r="N1993" s="5">
        <f t="shared" si="31"/>
        <v>7420.07</v>
      </c>
    </row>
    <row r="1994" spans="1:14" x14ac:dyDescent="0.3">
      <c r="A1994" t="s">
        <v>2850</v>
      </c>
      <c r="B1994" s="2">
        <v>45184</v>
      </c>
      <c r="C1994" t="s">
        <v>234</v>
      </c>
      <c r="D1994" t="s">
        <v>747</v>
      </c>
      <c r="E1994" t="s">
        <v>839</v>
      </c>
      <c r="F1994">
        <v>1</v>
      </c>
      <c r="G1994">
        <v>0.05</v>
      </c>
      <c r="H1994" t="s">
        <v>865</v>
      </c>
      <c r="I1994" t="str">
        <f>VLOOKUP(C1994,Customers!A:C,2,FALSE)&amp;" "&amp;VLOOKUP(C1994,Customers!A:C,3,FALSE)</f>
        <v>Heather Russell</v>
      </c>
      <c r="J1994" t="str">
        <f>VLOOKUP(D1994,Products!A:C,2,FALSE)</f>
        <v>World Watches</v>
      </c>
      <c r="K1994" t="str">
        <f>VLOOKUP(D1994,Products!A:C,3,FALSE)</f>
        <v>Fashion</v>
      </c>
      <c r="L1994" t="str">
        <f>VLOOKUP(E1994,Stores!A:B,2,FALSE)</f>
        <v>MegaMart New Michele</v>
      </c>
      <c r="M1994">
        <f>VLOOKUP(D1994,Products!A:E,5,FALSE)</f>
        <v>1134.8</v>
      </c>
      <c r="N1994" s="5">
        <f t="shared" si="31"/>
        <v>1078.06</v>
      </c>
    </row>
    <row r="1995" spans="1:14" x14ac:dyDescent="0.3">
      <c r="A1995" t="s">
        <v>2851</v>
      </c>
      <c r="B1995" s="2">
        <v>45907</v>
      </c>
      <c r="C1995" t="s">
        <v>351</v>
      </c>
      <c r="D1995" t="s">
        <v>784</v>
      </c>
      <c r="E1995" t="s">
        <v>846</v>
      </c>
      <c r="F1995">
        <v>4</v>
      </c>
      <c r="G1995">
        <v>0.05</v>
      </c>
      <c r="H1995" t="s">
        <v>865</v>
      </c>
      <c r="I1995" t="str">
        <f>VLOOKUP(C1995,Customers!A:C,2,FALSE)&amp;" "&amp;VLOOKUP(C1995,Customers!A:C,3,FALSE)</f>
        <v>Stanley Brown</v>
      </c>
      <c r="J1995" t="str">
        <f>VLOOKUP(D1995,Products!A:C,2,FALSE)</f>
        <v>Road Clothing</v>
      </c>
      <c r="K1995" t="str">
        <f>VLOOKUP(D1995,Products!A:C,3,FALSE)</f>
        <v>Fashion</v>
      </c>
      <c r="L1995" t="str">
        <f>VLOOKUP(E1995,Stores!A:B,2,FALSE)</f>
        <v>MegaMart Johnmouth</v>
      </c>
      <c r="M1995">
        <f>VLOOKUP(D1995,Products!A:E,5,FALSE)</f>
        <v>1485.05</v>
      </c>
      <c r="N1995" s="5">
        <f t="shared" si="31"/>
        <v>5643.19</v>
      </c>
    </row>
    <row r="1996" spans="1:14" x14ac:dyDescent="0.3">
      <c r="A1996" t="s">
        <v>2852</v>
      </c>
      <c r="B1996" s="2">
        <v>45386</v>
      </c>
      <c r="C1996" t="s">
        <v>67</v>
      </c>
      <c r="D1996" t="s">
        <v>812</v>
      </c>
      <c r="E1996" t="s">
        <v>839</v>
      </c>
      <c r="F1996">
        <v>3</v>
      </c>
      <c r="G1996">
        <v>0.05</v>
      </c>
      <c r="H1996" t="s">
        <v>855</v>
      </c>
      <c r="I1996" t="str">
        <f>VLOOKUP(C1996,Customers!A:C,2,FALSE)&amp;" "&amp;VLOOKUP(C1996,Customers!A:C,3,FALSE)</f>
        <v>Miguel Johnson</v>
      </c>
      <c r="J1996" t="str">
        <f>VLOOKUP(D1996,Products!A:C,2,FALSE)</f>
        <v>Soon Accessories</v>
      </c>
      <c r="K1996" t="str">
        <f>VLOOKUP(D1996,Products!A:C,3,FALSE)</f>
        <v>Fashion</v>
      </c>
      <c r="L1996" t="str">
        <f>VLOOKUP(E1996,Stores!A:B,2,FALSE)</f>
        <v>MegaMart New Michele</v>
      </c>
      <c r="M1996">
        <f>VLOOKUP(D1996,Products!A:E,5,FALSE)</f>
        <v>564.41999999999996</v>
      </c>
      <c r="N1996" s="5">
        <f t="shared" si="31"/>
        <v>1608.5969999999998</v>
      </c>
    </row>
    <row r="1997" spans="1:14" x14ac:dyDescent="0.3">
      <c r="A1997" t="s">
        <v>2853</v>
      </c>
      <c r="B1997" s="2">
        <v>45223</v>
      </c>
      <c r="C1997" t="s">
        <v>438</v>
      </c>
      <c r="D1997" t="s">
        <v>794</v>
      </c>
      <c r="E1997" t="s">
        <v>835</v>
      </c>
      <c r="F1997">
        <v>5</v>
      </c>
      <c r="G1997">
        <v>0.15</v>
      </c>
      <c r="H1997" t="s">
        <v>861</v>
      </c>
      <c r="I1997" t="str">
        <f>VLOOKUP(C1997,Customers!A:C,2,FALSE)&amp;" "&amp;VLOOKUP(C1997,Customers!A:C,3,FALSE)</f>
        <v>Gina Bradford</v>
      </c>
      <c r="J1997" t="str">
        <f>VLOOKUP(D1997,Products!A:C,2,FALSE)</f>
        <v>Everything Laptop</v>
      </c>
      <c r="K1997" t="str">
        <f>VLOOKUP(D1997,Products!A:C,3,FALSE)</f>
        <v>Electronics</v>
      </c>
      <c r="L1997" t="str">
        <f>VLOOKUP(E1997,Stores!A:B,2,FALSE)</f>
        <v>MegaMart Peckmouth</v>
      </c>
      <c r="M1997">
        <f>VLOOKUP(D1997,Products!A:E,5,FALSE)</f>
        <v>428.05</v>
      </c>
      <c r="N1997" s="5">
        <f t="shared" si="31"/>
        <v>1819.2124999999999</v>
      </c>
    </row>
    <row r="1998" spans="1:14" x14ac:dyDescent="0.3">
      <c r="A1998" t="s">
        <v>2854</v>
      </c>
      <c r="B1998" s="2">
        <v>45289</v>
      </c>
      <c r="C1998" t="s">
        <v>210</v>
      </c>
      <c r="D1998" t="s">
        <v>780</v>
      </c>
      <c r="E1998" t="s">
        <v>835</v>
      </c>
      <c r="F1998">
        <v>1</v>
      </c>
      <c r="G1998">
        <v>0.05</v>
      </c>
      <c r="H1998" t="s">
        <v>865</v>
      </c>
      <c r="I1998" t="str">
        <f>VLOOKUP(C1998,Customers!A:C,2,FALSE)&amp;" "&amp;VLOOKUP(C1998,Customers!A:C,3,FALSE)</f>
        <v>Crystal Johnson</v>
      </c>
      <c r="J1998" t="str">
        <f>VLOOKUP(D1998,Products!A:C,2,FALSE)</f>
        <v>Hospital Smartphone</v>
      </c>
      <c r="K1998" t="str">
        <f>VLOOKUP(D1998,Products!A:C,3,FALSE)</f>
        <v>Electronics</v>
      </c>
      <c r="L1998" t="str">
        <f>VLOOKUP(E1998,Stores!A:B,2,FALSE)</f>
        <v>MegaMart Peckmouth</v>
      </c>
      <c r="M1998">
        <f>VLOOKUP(D1998,Products!A:E,5,FALSE)</f>
        <v>1272.23</v>
      </c>
      <c r="N1998" s="5">
        <f t="shared" si="31"/>
        <v>1208.6185</v>
      </c>
    </row>
    <row r="1999" spans="1:14" x14ac:dyDescent="0.3">
      <c r="A1999" t="s">
        <v>2855</v>
      </c>
      <c r="B1999" s="2">
        <v>45296</v>
      </c>
      <c r="C1999" t="s">
        <v>633</v>
      </c>
      <c r="D1999" t="s">
        <v>736</v>
      </c>
      <c r="E1999" t="s">
        <v>835</v>
      </c>
      <c r="F1999">
        <v>4</v>
      </c>
      <c r="G1999">
        <v>0</v>
      </c>
      <c r="H1999" t="s">
        <v>858</v>
      </c>
      <c r="I1999" t="str">
        <f>VLOOKUP(C1999,Customers!A:C,2,FALSE)&amp;" "&amp;VLOOKUP(C1999,Customers!A:C,3,FALSE)</f>
        <v>Dennis Wallace</v>
      </c>
      <c r="J1999" t="str">
        <f>VLOOKUP(D1999,Products!A:C,2,FALSE)</f>
        <v>Us Snacks</v>
      </c>
      <c r="K1999" t="str">
        <f>VLOOKUP(D1999,Products!A:C,3,FALSE)</f>
        <v>Groceries</v>
      </c>
      <c r="L1999" t="str">
        <f>VLOOKUP(E1999,Stores!A:B,2,FALSE)</f>
        <v>MegaMart Peckmouth</v>
      </c>
      <c r="M1999">
        <f>VLOOKUP(D1999,Products!A:E,5,FALSE)</f>
        <v>123.19</v>
      </c>
      <c r="N1999" s="5">
        <f t="shared" si="31"/>
        <v>492.76</v>
      </c>
    </row>
    <row r="2000" spans="1:14" x14ac:dyDescent="0.3">
      <c r="A2000" t="s">
        <v>2856</v>
      </c>
      <c r="B2000" s="2">
        <v>45406</v>
      </c>
      <c r="C2000" t="s">
        <v>362</v>
      </c>
      <c r="D2000" t="s">
        <v>764</v>
      </c>
      <c r="E2000" t="s">
        <v>831</v>
      </c>
      <c r="F2000">
        <v>1</v>
      </c>
      <c r="G2000">
        <v>0</v>
      </c>
      <c r="H2000" t="s">
        <v>858</v>
      </c>
      <c r="I2000" t="str">
        <f>VLOOKUP(C2000,Customers!A:C,2,FALSE)&amp;" "&amp;VLOOKUP(C2000,Customers!A:C,3,FALSE)</f>
        <v>Eric King</v>
      </c>
      <c r="J2000" t="str">
        <f>VLOOKUP(D2000,Products!A:C,2,FALSE)</f>
        <v>Simple Accessories</v>
      </c>
      <c r="K2000" t="str">
        <f>VLOOKUP(D2000,Products!A:C,3,FALSE)</f>
        <v>Fashion</v>
      </c>
      <c r="L2000" t="str">
        <f>VLOOKUP(E2000,Stores!A:B,2,FALSE)</f>
        <v>MegaMart Jimenezborough</v>
      </c>
      <c r="M2000">
        <f>VLOOKUP(D2000,Products!A:E,5,FALSE)</f>
        <v>323.92</v>
      </c>
      <c r="N2000" s="5">
        <f t="shared" si="31"/>
        <v>323.92</v>
      </c>
    </row>
    <row r="2001" spans="1:14" x14ac:dyDescent="0.3">
      <c r="A2001" t="s">
        <v>2857</v>
      </c>
      <c r="B2001" s="2">
        <v>45663</v>
      </c>
      <c r="C2001" t="s">
        <v>551</v>
      </c>
      <c r="D2001" t="s">
        <v>739</v>
      </c>
      <c r="E2001" t="s">
        <v>835</v>
      </c>
      <c r="F2001">
        <v>1</v>
      </c>
      <c r="G2001">
        <v>0.05</v>
      </c>
      <c r="H2001" t="s">
        <v>855</v>
      </c>
      <c r="I2001" t="str">
        <f>VLOOKUP(C2001,Customers!A:C,2,FALSE)&amp;" "&amp;VLOOKUP(C2001,Customers!A:C,3,FALSE)</f>
        <v>Nancy Gordon</v>
      </c>
      <c r="J2001" t="str">
        <f>VLOOKUP(D2001,Products!A:C,2,FALSE)</f>
        <v>Step Smartphone</v>
      </c>
      <c r="K2001" t="str">
        <f>VLOOKUP(D2001,Products!A:C,3,FALSE)</f>
        <v>Electronics</v>
      </c>
      <c r="L2001" t="str">
        <f>VLOOKUP(E2001,Stores!A:B,2,FALSE)</f>
        <v>MegaMart Peckmouth</v>
      </c>
      <c r="M2001">
        <f>VLOOKUP(D2001,Products!A:E,5,FALSE)</f>
        <v>1194.1199999999999</v>
      </c>
      <c r="N2001" s="5">
        <f t="shared" si="31"/>
        <v>1134.4139999999998</v>
      </c>
    </row>
    <row r="2002" spans="1:14" x14ac:dyDescent="0.3">
      <c r="A2002" t="s">
        <v>2858</v>
      </c>
      <c r="B2002" s="2">
        <v>45511</v>
      </c>
      <c r="C2002" t="s">
        <v>144</v>
      </c>
      <c r="D2002" t="s">
        <v>711</v>
      </c>
      <c r="E2002" t="s">
        <v>831</v>
      </c>
      <c r="F2002">
        <v>2</v>
      </c>
      <c r="G2002">
        <v>0</v>
      </c>
      <c r="H2002" t="s">
        <v>865</v>
      </c>
      <c r="I2002" t="str">
        <f>VLOOKUP(C2002,Customers!A:C,2,FALSE)&amp;" "&amp;VLOOKUP(C2002,Customers!A:C,3,FALSE)</f>
        <v>Miranda Nelson</v>
      </c>
      <c r="J2002" t="str">
        <f>VLOOKUP(D2002,Products!A:C,2,FALSE)</f>
        <v>Like Camera</v>
      </c>
      <c r="K2002" t="str">
        <f>VLOOKUP(D2002,Products!A:C,3,FALSE)</f>
        <v>Electronics</v>
      </c>
      <c r="L2002" t="str">
        <f>VLOOKUP(E2002,Stores!A:B,2,FALSE)</f>
        <v>MegaMart Jimenezborough</v>
      </c>
      <c r="M2002">
        <f>VLOOKUP(D2002,Products!A:E,5,FALSE)</f>
        <v>1673.69</v>
      </c>
      <c r="N2002" s="5">
        <f t="shared" si="31"/>
        <v>3347.38</v>
      </c>
    </row>
    <row r="2003" spans="1:14" x14ac:dyDescent="0.3">
      <c r="A2003" t="s">
        <v>2859</v>
      </c>
      <c r="B2003" s="2">
        <v>45655</v>
      </c>
      <c r="C2003" t="s">
        <v>531</v>
      </c>
      <c r="D2003" t="s">
        <v>802</v>
      </c>
      <c r="E2003" t="s">
        <v>842</v>
      </c>
      <c r="F2003">
        <v>2</v>
      </c>
      <c r="G2003">
        <v>0.05</v>
      </c>
      <c r="H2003" t="s">
        <v>858</v>
      </c>
      <c r="I2003" t="str">
        <f>VLOOKUP(C2003,Customers!A:C,2,FALSE)&amp;" "&amp;VLOOKUP(C2003,Customers!A:C,3,FALSE)</f>
        <v>John Johnson</v>
      </c>
      <c r="J2003" t="str">
        <f>VLOOKUP(D2003,Products!A:C,2,FALSE)</f>
        <v>Stage Footwear</v>
      </c>
      <c r="K2003" t="str">
        <f>VLOOKUP(D2003,Products!A:C,3,FALSE)</f>
        <v>Fashion</v>
      </c>
      <c r="L2003" t="str">
        <f>VLOOKUP(E2003,Stores!A:B,2,FALSE)</f>
        <v>MegaMart Brianahaven</v>
      </c>
      <c r="M2003">
        <f>VLOOKUP(D2003,Products!A:E,5,FALSE)</f>
        <v>366.93</v>
      </c>
      <c r="N2003" s="5">
        <f t="shared" si="31"/>
        <v>697.16700000000003</v>
      </c>
    </row>
    <row r="2004" spans="1:14" x14ac:dyDescent="0.3">
      <c r="A2004" t="s">
        <v>2860</v>
      </c>
      <c r="B2004" s="2">
        <v>45186</v>
      </c>
      <c r="C2004" t="s">
        <v>673</v>
      </c>
      <c r="D2004" t="s">
        <v>822</v>
      </c>
      <c r="E2004" t="s">
        <v>835</v>
      </c>
      <c r="F2004">
        <v>5</v>
      </c>
      <c r="G2004">
        <v>0.1</v>
      </c>
      <c r="H2004" t="s">
        <v>858</v>
      </c>
      <c r="I2004" t="str">
        <f>VLOOKUP(C2004,Customers!A:C,2,FALSE)&amp;" "&amp;VLOOKUP(C2004,Customers!A:C,3,FALSE)</f>
        <v>Karen Quinn</v>
      </c>
      <c r="J2004" t="str">
        <f>VLOOKUP(D2004,Products!A:C,2,FALSE)</f>
        <v>Nor Bags</v>
      </c>
      <c r="K2004" t="str">
        <f>VLOOKUP(D2004,Products!A:C,3,FALSE)</f>
        <v>Fashion</v>
      </c>
      <c r="L2004" t="str">
        <f>VLOOKUP(E2004,Stores!A:B,2,FALSE)</f>
        <v>MegaMart Peckmouth</v>
      </c>
      <c r="M2004">
        <f>VLOOKUP(D2004,Products!A:E,5,FALSE)</f>
        <v>1216.3599999999999</v>
      </c>
      <c r="N2004" s="5">
        <f t="shared" si="31"/>
        <v>5473.62</v>
      </c>
    </row>
    <row r="2005" spans="1:14" x14ac:dyDescent="0.3">
      <c r="A2005" t="s">
        <v>2861</v>
      </c>
      <c r="B2005" s="2">
        <v>45833</v>
      </c>
      <c r="C2005" t="s">
        <v>396</v>
      </c>
      <c r="D2005" t="s">
        <v>804</v>
      </c>
      <c r="E2005" t="s">
        <v>839</v>
      </c>
      <c r="F2005">
        <v>4</v>
      </c>
      <c r="G2005">
        <v>0</v>
      </c>
      <c r="H2005" t="s">
        <v>855</v>
      </c>
      <c r="I2005" t="str">
        <f>VLOOKUP(C2005,Customers!A:C,2,FALSE)&amp;" "&amp;VLOOKUP(C2005,Customers!A:C,3,FALSE)</f>
        <v>Kevin Flores</v>
      </c>
      <c r="J2005" t="str">
        <f>VLOOKUP(D2005,Products!A:C,2,FALSE)</f>
        <v>Church Clothing</v>
      </c>
      <c r="K2005" t="str">
        <f>VLOOKUP(D2005,Products!A:C,3,FALSE)</f>
        <v>Fashion</v>
      </c>
      <c r="L2005" t="str">
        <f>VLOOKUP(E2005,Stores!A:B,2,FALSE)</f>
        <v>MegaMart New Michele</v>
      </c>
      <c r="M2005">
        <f>VLOOKUP(D2005,Products!A:E,5,FALSE)</f>
        <v>540.94000000000005</v>
      </c>
      <c r="N2005" s="5">
        <f t="shared" si="31"/>
        <v>2163.7600000000002</v>
      </c>
    </row>
    <row r="2006" spans="1:14" x14ac:dyDescent="0.3">
      <c r="A2006" t="s">
        <v>2862</v>
      </c>
      <c r="B2006" s="2">
        <v>45875</v>
      </c>
      <c r="C2006" t="s">
        <v>115</v>
      </c>
      <c r="D2006" t="s">
        <v>820</v>
      </c>
      <c r="E2006" t="s">
        <v>835</v>
      </c>
      <c r="F2006">
        <v>1</v>
      </c>
      <c r="G2006">
        <v>0</v>
      </c>
      <c r="H2006" t="s">
        <v>861</v>
      </c>
      <c r="I2006" t="str">
        <f>VLOOKUP(C2006,Customers!A:C,2,FALSE)&amp;" "&amp;VLOOKUP(C2006,Customers!A:C,3,FALSE)</f>
        <v>Tyler Levine</v>
      </c>
      <c r="J2006" t="str">
        <f>VLOOKUP(D2006,Products!A:C,2,FALSE)</f>
        <v>Or Smartphone</v>
      </c>
      <c r="K2006" t="str">
        <f>VLOOKUP(D2006,Products!A:C,3,FALSE)</f>
        <v>Electronics</v>
      </c>
      <c r="L2006" t="str">
        <f>VLOOKUP(E2006,Stores!A:B,2,FALSE)</f>
        <v>MegaMart Peckmouth</v>
      </c>
      <c r="M2006">
        <f>VLOOKUP(D2006,Products!A:E,5,FALSE)</f>
        <v>1197.18</v>
      </c>
      <c r="N2006" s="5">
        <f t="shared" si="31"/>
        <v>1197.18</v>
      </c>
    </row>
    <row r="2007" spans="1:14" x14ac:dyDescent="0.3">
      <c r="A2007" t="s">
        <v>2863</v>
      </c>
      <c r="B2007" s="2">
        <v>45364</v>
      </c>
      <c r="C2007" t="s">
        <v>472</v>
      </c>
      <c r="D2007" t="s">
        <v>806</v>
      </c>
      <c r="E2007" t="s">
        <v>835</v>
      </c>
      <c r="F2007">
        <v>1</v>
      </c>
      <c r="G2007">
        <v>0.15</v>
      </c>
      <c r="H2007" t="s">
        <v>858</v>
      </c>
      <c r="I2007" t="str">
        <f>VLOOKUP(C2007,Customers!A:C,2,FALSE)&amp;" "&amp;VLOOKUP(C2007,Customers!A:C,3,FALSE)</f>
        <v>Gary Taylor</v>
      </c>
      <c r="J2007" t="str">
        <f>VLOOKUP(D2007,Products!A:C,2,FALSE)</f>
        <v>Piece Headphones</v>
      </c>
      <c r="K2007" t="str">
        <f>VLOOKUP(D2007,Products!A:C,3,FALSE)</f>
        <v>Electronics</v>
      </c>
      <c r="L2007" t="str">
        <f>VLOOKUP(E2007,Stores!A:B,2,FALSE)</f>
        <v>MegaMart Peckmouth</v>
      </c>
      <c r="M2007">
        <f>VLOOKUP(D2007,Products!A:E,5,FALSE)</f>
        <v>1745.61</v>
      </c>
      <c r="N2007" s="5">
        <f t="shared" si="31"/>
        <v>1483.7684999999999</v>
      </c>
    </row>
    <row r="2008" spans="1:14" x14ac:dyDescent="0.3">
      <c r="A2008" t="s">
        <v>2864</v>
      </c>
      <c r="B2008" s="2">
        <v>45578</v>
      </c>
      <c r="C2008" t="s">
        <v>621</v>
      </c>
      <c r="D2008" t="s">
        <v>742</v>
      </c>
      <c r="E2008" t="s">
        <v>842</v>
      </c>
      <c r="F2008">
        <v>5</v>
      </c>
      <c r="G2008">
        <v>0.1</v>
      </c>
      <c r="H2008" t="s">
        <v>855</v>
      </c>
      <c r="I2008" t="str">
        <f>VLOOKUP(C2008,Customers!A:C,2,FALSE)&amp;" "&amp;VLOOKUP(C2008,Customers!A:C,3,FALSE)</f>
        <v>Stacey Thompson</v>
      </c>
      <c r="J2008" t="str">
        <f>VLOOKUP(D2008,Products!A:C,2,FALSE)</f>
        <v>Either Headphones</v>
      </c>
      <c r="K2008" t="str">
        <f>VLOOKUP(D2008,Products!A:C,3,FALSE)</f>
        <v>Electronics</v>
      </c>
      <c r="L2008" t="str">
        <f>VLOOKUP(E2008,Stores!A:B,2,FALSE)</f>
        <v>MegaMart Brianahaven</v>
      </c>
      <c r="M2008">
        <f>VLOOKUP(D2008,Products!A:E,5,FALSE)</f>
        <v>248.57</v>
      </c>
      <c r="N2008" s="5">
        <f t="shared" si="31"/>
        <v>1118.5650000000001</v>
      </c>
    </row>
    <row r="2009" spans="1:14" x14ac:dyDescent="0.3">
      <c r="A2009" t="s">
        <v>2865</v>
      </c>
      <c r="B2009" s="2">
        <v>45377</v>
      </c>
      <c r="C2009" t="s">
        <v>643</v>
      </c>
      <c r="D2009" t="s">
        <v>774</v>
      </c>
      <c r="E2009" t="s">
        <v>835</v>
      </c>
      <c r="F2009">
        <v>4</v>
      </c>
      <c r="G2009">
        <v>0.05</v>
      </c>
      <c r="H2009" t="s">
        <v>855</v>
      </c>
      <c r="I2009" t="str">
        <f>VLOOKUP(C2009,Customers!A:C,2,FALSE)&amp;" "&amp;VLOOKUP(C2009,Customers!A:C,3,FALSE)</f>
        <v>Meghan Wright</v>
      </c>
      <c r="J2009" t="str">
        <f>VLOOKUP(D2009,Products!A:C,2,FALSE)</f>
        <v>Him Smartphone</v>
      </c>
      <c r="K2009" t="str">
        <f>VLOOKUP(D2009,Products!A:C,3,FALSE)</f>
        <v>Electronics</v>
      </c>
      <c r="L2009" t="str">
        <f>VLOOKUP(E2009,Stores!A:B,2,FALSE)</f>
        <v>MegaMart Peckmouth</v>
      </c>
      <c r="M2009">
        <f>VLOOKUP(D2009,Products!A:E,5,FALSE)</f>
        <v>1487.41</v>
      </c>
      <c r="N2009" s="5">
        <f t="shared" si="31"/>
        <v>5652.1580000000004</v>
      </c>
    </row>
    <row r="2010" spans="1:14" x14ac:dyDescent="0.3">
      <c r="A2010" t="s">
        <v>2866</v>
      </c>
      <c r="B2010" s="2">
        <v>45379</v>
      </c>
      <c r="C2010" t="s">
        <v>97</v>
      </c>
      <c r="D2010" t="s">
        <v>734</v>
      </c>
      <c r="E2010" t="s">
        <v>846</v>
      </c>
      <c r="F2010">
        <v>4</v>
      </c>
      <c r="G2010">
        <v>0.05</v>
      </c>
      <c r="H2010" t="s">
        <v>861</v>
      </c>
      <c r="I2010" t="str">
        <f>VLOOKUP(C2010,Customers!A:C,2,FALSE)&amp;" "&amp;VLOOKUP(C2010,Customers!A:C,3,FALSE)</f>
        <v>Molly Murray</v>
      </c>
      <c r="J2010" t="str">
        <f>VLOOKUP(D2010,Products!A:C,2,FALSE)</f>
        <v>Recognize Footwear</v>
      </c>
      <c r="K2010" t="str">
        <f>VLOOKUP(D2010,Products!A:C,3,FALSE)</f>
        <v>Fashion</v>
      </c>
      <c r="L2010" t="str">
        <f>VLOOKUP(E2010,Stores!A:B,2,FALSE)</f>
        <v>MegaMart Johnmouth</v>
      </c>
      <c r="M2010">
        <f>VLOOKUP(D2010,Products!A:E,5,FALSE)</f>
        <v>109.78</v>
      </c>
      <c r="N2010" s="5">
        <f t="shared" si="31"/>
        <v>417.16399999999999</v>
      </c>
    </row>
    <row r="2011" spans="1:14" x14ac:dyDescent="0.3">
      <c r="A2011" t="s">
        <v>2867</v>
      </c>
      <c r="B2011" s="2">
        <v>45751</v>
      </c>
      <c r="C2011" t="s">
        <v>386</v>
      </c>
      <c r="D2011" t="s">
        <v>776</v>
      </c>
      <c r="E2011" t="s">
        <v>846</v>
      </c>
      <c r="F2011">
        <v>1</v>
      </c>
      <c r="G2011">
        <v>0.05</v>
      </c>
      <c r="H2011" t="s">
        <v>858</v>
      </c>
      <c r="I2011" t="str">
        <f>VLOOKUP(C2011,Customers!A:C,2,FALSE)&amp;" "&amp;VLOOKUP(C2011,Customers!A:C,3,FALSE)</f>
        <v>David Burns</v>
      </c>
      <c r="J2011" t="str">
        <f>VLOOKUP(D2011,Products!A:C,2,FALSE)</f>
        <v>Little Watches</v>
      </c>
      <c r="K2011" t="str">
        <f>VLOOKUP(D2011,Products!A:C,3,FALSE)</f>
        <v>Fashion</v>
      </c>
      <c r="L2011" t="str">
        <f>VLOOKUP(E2011,Stores!A:B,2,FALSE)</f>
        <v>MegaMart Johnmouth</v>
      </c>
      <c r="M2011">
        <f>VLOOKUP(D2011,Products!A:E,5,FALSE)</f>
        <v>429.15</v>
      </c>
      <c r="N2011" s="5">
        <f t="shared" si="31"/>
        <v>407.69249999999994</v>
      </c>
    </row>
    <row r="2012" spans="1:14" x14ac:dyDescent="0.3">
      <c r="A2012" t="s">
        <v>2868</v>
      </c>
      <c r="B2012" s="2">
        <v>45568</v>
      </c>
      <c r="C2012" t="s">
        <v>187</v>
      </c>
      <c r="D2012" t="s">
        <v>718</v>
      </c>
      <c r="E2012" t="s">
        <v>846</v>
      </c>
      <c r="F2012">
        <v>5</v>
      </c>
      <c r="G2012">
        <v>0</v>
      </c>
      <c r="H2012" t="s">
        <v>858</v>
      </c>
      <c r="I2012" t="str">
        <f>VLOOKUP(C2012,Customers!A:C,2,FALSE)&amp;" "&amp;VLOOKUP(C2012,Customers!A:C,3,FALSE)</f>
        <v>Alexis Crane</v>
      </c>
      <c r="J2012" t="str">
        <f>VLOOKUP(D2012,Products!A:C,2,FALSE)</f>
        <v>Here Footwear</v>
      </c>
      <c r="K2012" t="str">
        <f>VLOOKUP(D2012,Products!A:C,3,FALSE)</f>
        <v>Fashion</v>
      </c>
      <c r="L2012" t="str">
        <f>VLOOKUP(E2012,Stores!A:B,2,FALSE)</f>
        <v>MegaMart Johnmouth</v>
      </c>
      <c r="M2012">
        <f>VLOOKUP(D2012,Products!A:E,5,FALSE)</f>
        <v>337.63</v>
      </c>
      <c r="N2012" s="5">
        <f t="shared" si="31"/>
        <v>1688.15</v>
      </c>
    </row>
    <row r="2013" spans="1:14" x14ac:dyDescent="0.3">
      <c r="A2013" t="s">
        <v>2869</v>
      </c>
      <c r="B2013" s="2">
        <v>45275</v>
      </c>
      <c r="C2013" t="s">
        <v>454</v>
      </c>
      <c r="D2013" t="s">
        <v>820</v>
      </c>
      <c r="E2013" t="s">
        <v>839</v>
      </c>
      <c r="F2013">
        <v>4</v>
      </c>
      <c r="G2013">
        <v>0.15</v>
      </c>
      <c r="H2013" t="s">
        <v>861</v>
      </c>
      <c r="I2013" t="str">
        <f>VLOOKUP(C2013,Customers!A:C,2,FALSE)&amp;" "&amp;VLOOKUP(C2013,Customers!A:C,3,FALSE)</f>
        <v>Peter Edwards</v>
      </c>
      <c r="J2013" t="str">
        <f>VLOOKUP(D2013,Products!A:C,2,FALSE)</f>
        <v>Or Smartphone</v>
      </c>
      <c r="K2013" t="str">
        <f>VLOOKUP(D2013,Products!A:C,3,FALSE)</f>
        <v>Electronics</v>
      </c>
      <c r="L2013" t="str">
        <f>VLOOKUP(E2013,Stores!A:B,2,FALSE)</f>
        <v>MegaMart New Michele</v>
      </c>
      <c r="M2013">
        <f>VLOOKUP(D2013,Products!A:E,5,FALSE)</f>
        <v>1197.18</v>
      </c>
      <c r="N2013" s="5">
        <f t="shared" si="31"/>
        <v>4070.4120000000003</v>
      </c>
    </row>
    <row r="2014" spans="1:14" x14ac:dyDescent="0.3">
      <c r="A2014" t="s">
        <v>2870</v>
      </c>
      <c r="B2014" s="2">
        <v>45389</v>
      </c>
      <c r="C2014" t="s">
        <v>59</v>
      </c>
      <c r="D2014" t="s">
        <v>755</v>
      </c>
      <c r="E2014" t="s">
        <v>839</v>
      </c>
      <c r="F2014">
        <v>4</v>
      </c>
      <c r="G2014">
        <v>0.05</v>
      </c>
      <c r="H2014" t="s">
        <v>855</v>
      </c>
      <c r="I2014" t="str">
        <f>VLOOKUP(C2014,Customers!A:C,2,FALSE)&amp;" "&amp;VLOOKUP(C2014,Customers!A:C,3,FALSE)</f>
        <v>Brittany Green</v>
      </c>
      <c r="J2014" t="str">
        <f>VLOOKUP(D2014,Products!A:C,2,FALSE)</f>
        <v>House Accessories</v>
      </c>
      <c r="K2014" t="str">
        <f>VLOOKUP(D2014,Products!A:C,3,FALSE)</f>
        <v>Fashion</v>
      </c>
      <c r="L2014" t="str">
        <f>VLOOKUP(E2014,Stores!A:B,2,FALSE)</f>
        <v>MegaMart New Michele</v>
      </c>
      <c r="M2014">
        <f>VLOOKUP(D2014,Products!A:E,5,FALSE)</f>
        <v>1858.75</v>
      </c>
      <c r="N2014" s="5">
        <f t="shared" si="31"/>
        <v>7063.25</v>
      </c>
    </row>
    <row r="2015" spans="1:14" x14ac:dyDescent="0.3">
      <c r="A2015" t="s">
        <v>2871</v>
      </c>
      <c r="B2015" s="2">
        <v>45279</v>
      </c>
      <c r="C2015" t="s">
        <v>112</v>
      </c>
      <c r="D2015" t="s">
        <v>826</v>
      </c>
      <c r="E2015" t="s">
        <v>831</v>
      </c>
      <c r="F2015">
        <v>1</v>
      </c>
      <c r="G2015">
        <v>0.1</v>
      </c>
      <c r="H2015" t="s">
        <v>855</v>
      </c>
      <c r="I2015" t="str">
        <f>VLOOKUP(C2015,Customers!A:C,2,FALSE)&amp;" "&amp;VLOOKUP(C2015,Customers!A:C,3,FALSE)</f>
        <v>John Carr</v>
      </c>
      <c r="J2015" t="str">
        <f>VLOOKUP(D2015,Products!A:C,2,FALSE)</f>
        <v>Maybe Footwear</v>
      </c>
      <c r="K2015" t="str">
        <f>VLOOKUP(D2015,Products!A:C,3,FALSE)</f>
        <v>Fashion</v>
      </c>
      <c r="L2015" t="str">
        <f>VLOOKUP(E2015,Stores!A:B,2,FALSE)</f>
        <v>MegaMart Jimenezborough</v>
      </c>
      <c r="M2015">
        <f>VLOOKUP(D2015,Products!A:E,5,FALSE)</f>
        <v>1044.6400000000001</v>
      </c>
      <c r="N2015" s="5">
        <f t="shared" si="31"/>
        <v>940.17600000000016</v>
      </c>
    </row>
    <row r="2016" spans="1:14" x14ac:dyDescent="0.3">
      <c r="A2016" t="s">
        <v>2872</v>
      </c>
      <c r="B2016" s="2">
        <v>45699</v>
      </c>
      <c r="C2016" t="s">
        <v>36</v>
      </c>
      <c r="D2016" t="s">
        <v>776</v>
      </c>
      <c r="E2016" t="s">
        <v>835</v>
      </c>
      <c r="F2016">
        <v>3</v>
      </c>
      <c r="G2016">
        <v>0.05</v>
      </c>
      <c r="H2016" t="s">
        <v>865</v>
      </c>
      <c r="I2016" t="str">
        <f>VLOOKUP(C2016,Customers!A:C,2,FALSE)&amp;" "&amp;VLOOKUP(C2016,Customers!A:C,3,FALSE)</f>
        <v>Isaiah Williams</v>
      </c>
      <c r="J2016" t="str">
        <f>VLOOKUP(D2016,Products!A:C,2,FALSE)</f>
        <v>Little Watches</v>
      </c>
      <c r="K2016" t="str">
        <f>VLOOKUP(D2016,Products!A:C,3,FALSE)</f>
        <v>Fashion</v>
      </c>
      <c r="L2016" t="str">
        <f>VLOOKUP(E2016,Stores!A:B,2,FALSE)</f>
        <v>MegaMart Peckmouth</v>
      </c>
      <c r="M2016">
        <f>VLOOKUP(D2016,Products!A:E,5,FALSE)</f>
        <v>429.15</v>
      </c>
      <c r="N2016" s="5">
        <f t="shared" si="31"/>
        <v>1223.0774999999999</v>
      </c>
    </row>
    <row r="2017" spans="1:14" x14ac:dyDescent="0.3">
      <c r="A2017" t="s">
        <v>2873</v>
      </c>
      <c r="B2017" s="2">
        <v>45342</v>
      </c>
      <c r="C2017" t="s">
        <v>71</v>
      </c>
      <c r="D2017" t="s">
        <v>798</v>
      </c>
      <c r="E2017" t="s">
        <v>835</v>
      </c>
      <c r="F2017">
        <v>5</v>
      </c>
      <c r="G2017">
        <v>0</v>
      </c>
      <c r="H2017" t="s">
        <v>855</v>
      </c>
      <c r="I2017" t="str">
        <f>VLOOKUP(C2017,Customers!A:C,2,FALSE)&amp;" "&amp;VLOOKUP(C2017,Customers!A:C,3,FALSE)</f>
        <v>Vanessa Anderson</v>
      </c>
      <c r="J2017" t="str">
        <f>VLOOKUP(D2017,Products!A:C,2,FALSE)</f>
        <v>New Watches</v>
      </c>
      <c r="K2017" t="str">
        <f>VLOOKUP(D2017,Products!A:C,3,FALSE)</f>
        <v>Fashion</v>
      </c>
      <c r="L2017" t="str">
        <f>VLOOKUP(E2017,Stores!A:B,2,FALSE)</f>
        <v>MegaMart Peckmouth</v>
      </c>
      <c r="M2017">
        <f>VLOOKUP(D2017,Products!A:E,5,FALSE)</f>
        <v>1501.46</v>
      </c>
      <c r="N2017" s="5">
        <f t="shared" si="31"/>
        <v>7507.3</v>
      </c>
    </row>
    <row r="2018" spans="1:14" x14ac:dyDescent="0.3">
      <c r="A2018" t="s">
        <v>2874</v>
      </c>
      <c r="B2018" s="2">
        <v>45199</v>
      </c>
      <c r="C2018" t="s">
        <v>191</v>
      </c>
      <c r="D2018" t="s">
        <v>725</v>
      </c>
      <c r="E2018" t="s">
        <v>846</v>
      </c>
      <c r="F2018">
        <v>2</v>
      </c>
      <c r="G2018">
        <v>0</v>
      </c>
      <c r="H2018" t="s">
        <v>861</v>
      </c>
      <c r="I2018" t="str">
        <f>VLOOKUP(C2018,Customers!A:C,2,FALSE)&amp;" "&amp;VLOOKUP(C2018,Customers!A:C,3,FALSE)</f>
        <v>Antonio Hamilton</v>
      </c>
      <c r="J2018" t="str">
        <f>VLOOKUP(D2018,Products!A:C,2,FALSE)</f>
        <v>Knowledge Bags</v>
      </c>
      <c r="K2018" t="str">
        <f>VLOOKUP(D2018,Products!A:C,3,FALSE)</f>
        <v>Fashion</v>
      </c>
      <c r="L2018" t="str">
        <f>VLOOKUP(E2018,Stores!A:B,2,FALSE)</f>
        <v>MegaMart Johnmouth</v>
      </c>
      <c r="M2018">
        <f>VLOOKUP(D2018,Products!A:E,5,FALSE)</f>
        <v>1396.22</v>
      </c>
      <c r="N2018" s="5">
        <f t="shared" si="31"/>
        <v>2792.44</v>
      </c>
    </row>
    <row r="2019" spans="1:14" x14ac:dyDescent="0.3">
      <c r="A2019" t="s">
        <v>2875</v>
      </c>
      <c r="B2019" s="2">
        <v>45641</v>
      </c>
      <c r="C2019" t="s">
        <v>262</v>
      </c>
      <c r="D2019" t="s">
        <v>818</v>
      </c>
      <c r="E2019" t="s">
        <v>831</v>
      </c>
      <c r="F2019">
        <v>5</v>
      </c>
      <c r="G2019">
        <v>0</v>
      </c>
      <c r="H2019" t="s">
        <v>858</v>
      </c>
      <c r="I2019" t="str">
        <f>VLOOKUP(C2019,Customers!A:C,2,FALSE)&amp;" "&amp;VLOOKUP(C2019,Customers!A:C,3,FALSE)</f>
        <v>Gabriel Daugherty</v>
      </c>
      <c r="J2019" t="str">
        <f>VLOOKUP(D2019,Products!A:C,2,FALSE)</f>
        <v>Nature Clothing</v>
      </c>
      <c r="K2019" t="str">
        <f>VLOOKUP(D2019,Products!A:C,3,FALSE)</f>
        <v>Fashion</v>
      </c>
      <c r="L2019" t="str">
        <f>VLOOKUP(E2019,Stores!A:B,2,FALSE)</f>
        <v>MegaMart Jimenezborough</v>
      </c>
      <c r="M2019">
        <f>VLOOKUP(D2019,Products!A:E,5,FALSE)</f>
        <v>1165.3699999999999</v>
      </c>
      <c r="N2019" s="5">
        <f t="shared" si="31"/>
        <v>5826.8499999999995</v>
      </c>
    </row>
    <row r="2020" spans="1:14" x14ac:dyDescent="0.3">
      <c r="A2020" t="s">
        <v>2876</v>
      </c>
      <c r="B2020" s="2">
        <v>45268</v>
      </c>
      <c r="C2020" t="s">
        <v>51</v>
      </c>
      <c r="D2020" t="s">
        <v>784</v>
      </c>
      <c r="E2020" t="s">
        <v>831</v>
      </c>
      <c r="F2020">
        <v>3</v>
      </c>
      <c r="G2020">
        <v>0</v>
      </c>
      <c r="H2020" t="s">
        <v>855</v>
      </c>
      <c r="I2020" t="str">
        <f>VLOOKUP(C2020,Customers!A:C,2,FALSE)&amp;" "&amp;VLOOKUP(C2020,Customers!A:C,3,FALSE)</f>
        <v>Dale Perry</v>
      </c>
      <c r="J2020" t="str">
        <f>VLOOKUP(D2020,Products!A:C,2,FALSE)</f>
        <v>Road Clothing</v>
      </c>
      <c r="K2020" t="str">
        <f>VLOOKUP(D2020,Products!A:C,3,FALSE)</f>
        <v>Fashion</v>
      </c>
      <c r="L2020" t="str">
        <f>VLOOKUP(E2020,Stores!A:B,2,FALSE)</f>
        <v>MegaMart Jimenezborough</v>
      </c>
      <c r="M2020">
        <f>VLOOKUP(D2020,Products!A:E,5,FALSE)</f>
        <v>1485.05</v>
      </c>
      <c r="N2020" s="5">
        <f t="shared" si="31"/>
        <v>4455.1499999999996</v>
      </c>
    </row>
    <row r="2021" spans="1:14" x14ac:dyDescent="0.3">
      <c r="A2021" t="s">
        <v>2877</v>
      </c>
      <c r="B2021" s="2">
        <v>45736</v>
      </c>
      <c r="C2021" t="s">
        <v>15</v>
      </c>
      <c r="D2021" t="s">
        <v>816</v>
      </c>
      <c r="E2021" t="s">
        <v>839</v>
      </c>
      <c r="F2021">
        <v>3</v>
      </c>
      <c r="G2021">
        <v>0.15</v>
      </c>
      <c r="H2021" t="s">
        <v>861</v>
      </c>
      <c r="I2021" t="str">
        <f>VLOOKUP(C2021,Customers!A:C,2,FALSE)&amp;" "&amp;VLOOKUP(C2021,Customers!A:C,3,FALSE)</f>
        <v>Carol Hays</v>
      </c>
      <c r="J2021" t="str">
        <f>VLOOKUP(D2021,Products!A:C,2,FALSE)</f>
        <v>Set Dairy</v>
      </c>
      <c r="K2021" t="str">
        <f>VLOOKUP(D2021,Products!A:C,3,FALSE)</f>
        <v>Groceries</v>
      </c>
      <c r="L2021" t="str">
        <f>VLOOKUP(E2021,Stores!A:B,2,FALSE)</f>
        <v>MegaMart New Michele</v>
      </c>
      <c r="M2021">
        <f>VLOOKUP(D2021,Products!A:E,5,FALSE)</f>
        <v>1879.08</v>
      </c>
      <c r="N2021" s="5">
        <f t="shared" si="31"/>
        <v>4791.6539999999995</v>
      </c>
    </row>
    <row r="2022" spans="1:14" x14ac:dyDescent="0.3">
      <c r="A2022" t="s">
        <v>2878</v>
      </c>
      <c r="B2022" s="2">
        <v>45245</v>
      </c>
      <c r="C2022" t="s">
        <v>306</v>
      </c>
      <c r="D2022" t="s">
        <v>757</v>
      </c>
      <c r="E2022" t="s">
        <v>842</v>
      </c>
      <c r="F2022">
        <v>3</v>
      </c>
      <c r="G2022">
        <v>0.05</v>
      </c>
      <c r="H2022" t="s">
        <v>865</v>
      </c>
      <c r="I2022" t="str">
        <f>VLOOKUP(C2022,Customers!A:C,2,FALSE)&amp;" "&amp;VLOOKUP(C2022,Customers!A:C,3,FALSE)</f>
        <v>Sarah Reynolds</v>
      </c>
      <c r="J2022" t="str">
        <f>VLOOKUP(D2022,Products!A:C,2,FALSE)</f>
        <v>Find Headphones</v>
      </c>
      <c r="K2022" t="str">
        <f>VLOOKUP(D2022,Products!A:C,3,FALSE)</f>
        <v>Electronics</v>
      </c>
      <c r="L2022" t="str">
        <f>VLOOKUP(E2022,Stores!A:B,2,FALSE)</f>
        <v>MegaMart Brianahaven</v>
      </c>
      <c r="M2022">
        <f>VLOOKUP(D2022,Products!A:E,5,FALSE)</f>
        <v>1246.1099999999999</v>
      </c>
      <c r="N2022" s="5">
        <f t="shared" si="31"/>
        <v>3551.4134999999997</v>
      </c>
    </row>
    <row r="2023" spans="1:14" x14ac:dyDescent="0.3">
      <c r="A2023" t="s">
        <v>2879</v>
      </c>
      <c r="B2023" s="2">
        <v>45347</v>
      </c>
      <c r="C2023" t="s">
        <v>320</v>
      </c>
      <c r="D2023" t="s">
        <v>820</v>
      </c>
      <c r="E2023" t="s">
        <v>842</v>
      </c>
      <c r="F2023">
        <v>5</v>
      </c>
      <c r="G2023">
        <v>0</v>
      </c>
      <c r="H2023" t="s">
        <v>861</v>
      </c>
      <c r="I2023" t="str">
        <f>VLOOKUP(C2023,Customers!A:C,2,FALSE)&amp;" "&amp;VLOOKUP(C2023,Customers!A:C,3,FALSE)</f>
        <v>Juan Ramirez</v>
      </c>
      <c r="J2023" t="str">
        <f>VLOOKUP(D2023,Products!A:C,2,FALSE)</f>
        <v>Or Smartphone</v>
      </c>
      <c r="K2023" t="str">
        <f>VLOOKUP(D2023,Products!A:C,3,FALSE)</f>
        <v>Electronics</v>
      </c>
      <c r="L2023" t="str">
        <f>VLOOKUP(E2023,Stores!A:B,2,FALSE)</f>
        <v>MegaMart Brianahaven</v>
      </c>
      <c r="M2023">
        <f>VLOOKUP(D2023,Products!A:E,5,FALSE)</f>
        <v>1197.18</v>
      </c>
      <c r="N2023" s="5">
        <f t="shared" si="31"/>
        <v>5985.9000000000005</v>
      </c>
    </row>
    <row r="2024" spans="1:14" x14ac:dyDescent="0.3">
      <c r="A2024" t="s">
        <v>2880</v>
      </c>
      <c r="B2024" s="2">
        <v>45478</v>
      </c>
      <c r="C2024" t="s">
        <v>32</v>
      </c>
      <c r="D2024" t="s">
        <v>725</v>
      </c>
      <c r="E2024" t="s">
        <v>846</v>
      </c>
      <c r="F2024">
        <v>4</v>
      </c>
      <c r="G2024">
        <v>0.15</v>
      </c>
      <c r="H2024" t="s">
        <v>865</v>
      </c>
      <c r="I2024" t="str">
        <f>VLOOKUP(C2024,Customers!A:C,2,FALSE)&amp;" "&amp;VLOOKUP(C2024,Customers!A:C,3,FALSE)</f>
        <v>Erin Walker</v>
      </c>
      <c r="J2024" t="str">
        <f>VLOOKUP(D2024,Products!A:C,2,FALSE)</f>
        <v>Knowledge Bags</v>
      </c>
      <c r="K2024" t="str">
        <f>VLOOKUP(D2024,Products!A:C,3,FALSE)</f>
        <v>Fashion</v>
      </c>
      <c r="L2024" t="str">
        <f>VLOOKUP(E2024,Stores!A:B,2,FALSE)</f>
        <v>MegaMart Johnmouth</v>
      </c>
      <c r="M2024">
        <f>VLOOKUP(D2024,Products!A:E,5,FALSE)</f>
        <v>1396.22</v>
      </c>
      <c r="N2024" s="5">
        <f t="shared" si="31"/>
        <v>4747.1480000000001</v>
      </c>
    </row>
    <row r="2025" spans="1:14" x14ac:dyDescent="0.3">
      <c r="A2025" t="s">
        <v>2881</v>
      </c>
      <c r="B2025" s="2">
        <v>45261</v>
      </c>
      <c r="C2025" t="s">
        <v>284</v>
      </c>
      <c r="D2025" t="s">
        <v>782</v>
      </c>
      <c r="E2025" t="s">
        <v>835</v>
      </c>
      <c r="F2025">
        <v>2</v>
      </c>
      <c r="G2025">
        <v>0.15</v>
      </c>
      <c r="H2025" t="s">
        <v>865</v>
      </c>
      <c r="I2025" t="str">
        <f>VLOOKUP(C2025,Customers!A:C,2,FALSE)&amp;" "&amp;VLOOKUP(C2025,Customers!A:C,3,FALSE)</f>
        <v>Seth Moore</v>
      </c>
      <c r="J2025" t="str">
        <f>VLOOKUP(D2025,Products!A:C,2,FALSE)</f>
        <v>Deal Smartphone</v>
      </c>
      <c r="K2025" t="str">
        <f>VLOOKUP(D2025,Products!A:C,3,FALSE)</f>
        <v>Electronics</v>
      </c>
      <c r="L2025" t="str">
        <f>VLOOKUP(E2025,Stores!A:B,2,FALSE)</f>
        <v>MegaMart Peckmouth</v>
      </c>
      <c r="M2025">
        <f>VLOOKUP(D2025,Products!A:E,5,FALSE)</f>
        <v>673.78</v>
      </c>
      <c r="N2025" s="5">
        <f t="shared" si="31"/>
        <v>1145.4259999999999</v>
      </c>
    </row>
    <row r="2026" spans="1:14" x14ac:dyDescent="0.3">
      <c r="A2026" t="s">
        <v>2882</v>
      </c>
      <c r="B2026" s="2">
        <v>45571</v>
      </c>
      <c r="C2026" t="s">
        <v>577</v>
      </c>
      <c r="D2026" t="s">
        <v>766</v>
      </c>
      <c r="E2026" t="s">
        <v>831</v>
      </c>
      <c r="F2026">
        <v>2</v>
      </c>
      <c r="G2026">
        <v>0.05</v>
      </c>
      <c r="H2026" t="s">
        <v>861</v>
      </c>
      <c r="I2026" t="str">
        <f>VLOOKUP(C2026,Customers!A:C,2,FALSE)&amp;" "&amp;VLOOKUP(C2026,Customers!A:C,3,FALSE)</f>
        <v>Michael Perez</v>
      </c>
      <c r="J2026" t="str">
        <f>VLOOKUP(D2026,Products!A:C,2,FALSE)</f>
        <v>Firm Dairy</v>
      </c>
      <c r="K2026" t="str">
        <f>VLOOKUP(D2026,Products!A:C,3,FALSE)</f>
        <v>Groceries</v>
      </c>
      <c r="L2026" t="str">
        <f>VLOOKUP(E2026,Stores!A:B,2,FALSE)</f>
        <v>MegaMart Jimenezborough</v>
      </c>
      <c r="M2026">
        <f>VLOOKUP(D2026,Products!A:E,5,FALSE)</f>
        <v>1227.24</v>
      </c>
      <c r="N2026" s="5">
        <f t="shared" si="31"/>
        <v>2331.7559999999999</v>
      </c>
    </row>
    <row r="2027" spans="1:14" x14ac:dyDescent="0.3">
      <c r="A2027" t="s">
        <v>2883</v>
      </c>
      <c r="B2027" s="2">
        <v>45268</v>
      </c>
      <c r="C2027" t="s">
        <v>693</v>
      </c>
      <c r="D2027" t="s">
        <v>734</v>
      </c>
      <c r="E2027" t="s">
        <v>835</v>
      </c>
      <c r="F2027">
        <v>5</v>
      </c>
      <c r="G2027">
        <v>0.1</v>
      </c>
      <c r="H2027" t="s">
        <v>858</v>
      </c>
      <c r="I2027" t="str">
        <f>VLOOKUP(C2027,Customers!A:C,2,FALSE)&amp;" "&amp;VLOOKUP(C2027,Customers!A:C,3,FALSE)</f>
        <v>Matthew Dixon</v>
      </c>
      <c r="J2027" t="str">
        <f>VLOOKUP(D2027,Products!A:C,2,FALSE)</f>
        <v>Recognize Footwear</v>
      </c>
      <c r="K2027" t="str">
        <f>VLOOKUP(D2027,Products!A:C,3,FALSE)</f>
        <v>Fashion</v>
      </c>
      <c r="L2027" t="str">
        <f>VLOOKUP(E2027,Stores!A:B,2,FALSE)</f>
        <v>MegaMart Peckmouth</v>
      </c>
      <c r="M2027">
        <f>VLOOKUP(D2027,Products!A:E,5,FALSE)</f>
        <v>109.78</v>
      </c>
      <c r="N2027" s="5">
        <f t="shared" si="31"/>
        <v>494.01</v>
      </c>
    </row>
    <row r="2028" spans="1:14" x14ac:dyDescent="0.3">
      <c r="A2028" t="s">
        <v>2884</v>
      </c>
      <c r="B2028" s="2">
        <v>45638</v>
      </c>
      <c r="C2028" t="s">
        <v>134</v>
      </c>
      <c r="D2028" t="s">
        <v>774</v>
      </c>
      <c r="E2028" t="s">
        <v>839</v>
      </c>
      <c r="F2028">
        <v>3</v>
      </c>
      <c r="G2028">
        <v>0.1</v>
      </c>
      <c r="H2028" t="s">
        <v>858</v>
      </c>
      <c r="I2028" t="str">
        <f>VLOOKUP(C2028,Customers!A:C,2,FALSE)&amp;" "&amp;VLOOKUP(C2028,Customers!A:C,3,FALSE)</f>
        <v>Kari Miller</v>
      </c>
      <c r="J2028" t="str">
        <f>VLOOKUP(D2028,Products!A:C,2,FALSE)</f>
        <v>Him Smartphone</v>
      </c>
      <c r="K2028" t="str">
        <f>VLOOKUP(D2028,Products!A:C,3,FALSE)</f>
        <v>Electronics</v>
      </c>
      <c r="L2028" t="str">
        <f>VLOOKUP(E2028,Stores!A:B,2,FALSE)</f>
        <v>MegaMart New Michele</v>
      </c>
      <c r="M2028">
        <f>VLOOKUP(D2028,Products!A:E,5,FALSE)</f>
        <v>1487.41</v>
      </c>
      <c r="N2028" s="5">
        <f t="shared" si="31"/>
        <v>4016.0070000000005</v>
      </c>
    </row>
    <row r="2029" spans="1:14" x14ac:dyDescent="0.3">
      <c r="A2029" t="s">
        <v>2885</v>
      </c>
      <c r="B2029" s="2">
        <v>45474</v>
      </c>
      <c r="C2029" t="s">
        <v>48</v>
      </c>
      <c r="D2029" t="s">
        <v>742</v>
      </c>
      <c r="E2029" t="s">
        <v>842</v>
      </c>
      <c r="F2029">
        <v>2</v>
      </c>
      <c r="G2029">
        <v>0.05</v>
      </c>
      <c r="H2029" t="s">
        <v>865</v>
      </c>
      <c r="I2029" t="str">
        <f>VLOOKUP(C2029,Customers!A:C,2,FALSE)&amp;" "&amp;VLOOKUP(C2029,Customers!A:C,3,FALSE)</f>
        <v>Haley Williams</v>
      </c>
      <c r="J2029" t="str">
        <f>VLOOKUP(D2029,Products!A:C,2,FALSE)</f>
        <v>Either Headphones</v>
      </c>
      <c r="K2029" t="str">
        <f>VLOOKUP(D2029,Products!A:C,3,FALSE)</f>
        <v>Electronics</v>
      </c>
      <c r="L2029" t="str">
        <f>VLOOKUP(E2029,Stores!A:B,2,FALSE)</f>
        <v>MegaMart Brianahaven</v>
      </c>
      <c r="M2029">
        <f>VLOOKUP(D2029,Products!A:E,5,FALSE)</f>
        <v>248.57</v>
      </c>
      <c r="N2029" s="5">
        <f t="shared" si="31"/>
        <v>472.28299999999996</v>
      </c>
    </row>
    <row r="2030" spans="1:14" x14ac:dyDescent="0.3">
      <c r="A2030" t="s">
        <v>2886</v>
      </c>
      <c r="B2030" s="2">
        <v>45687</v>
      </c>
      <c r="C2030" t="s">
        <v>155</v>
      </c>
      <c r="D2030" t="s">
        <v>790</v>
      </c>
      <c r="E2030" t="s">
        <v>846</v>
      </c>
      <c r="F2030">
        <v>4</v>
      </c>
      <c r="G2030">
        <v>0</v>
      </c>
      <c r="H2030" t="s">
        <v>865</v>
      </c>
      <c r="I2030" t="str">
        <f>VLOOKUP(C2030,Customers!A:C,2,FALSE)&amp;" "&amp;VLOOKUP(C2030,Customers!A:C,3,FALSE)</f>
        <v>Scott Powell</v>
      </c>
      <c r="J2030" t="str">
        <f>VLOOKUP(D2030,Products!A:C,2,FALSE)</f>
        <v>Difficult Vegetables</v>
      </c>
      <c r="K2030" t="str">
        <f>VLOOKUP(D2030,Products!A:C,3,FALSE)</f>
        <v>Groceries</v>
      </c>
      <c r="L2030" t="str">
        <f>VLOOKUP(E2030,Stores!A:B,2,FALSE)</f>
        <v>MegaMart Johnmouth</v>
      </c>
      <c r="M2030">
        <f>VLOOKUP(D2030,Products!A:E,5,FALSE)</f>
        <v>304.70999999999998</v>
      </c>
      <c r="N2030" s="5">
        <f t="shared" si="31"/>
        <v>1218.8399999999999</v>
      </c>
    </row>
    <row r="2031" spans="1:14" x14ac:dyDescent="0.3">
      <c r="A2031" t="s">
        <v>2887</v>
      </c>
      <c r="B2031" s="2">
        <v>45704</v>
      </c>
      <c r="C2031" t="s">
        <v>144</v>
      </c>
      <c r="D2031" t="s">
        <v>776</v>
      </c>
      <c r="E2031" t="s">
        <v>839</v>
      </c>
      <c r="F2031">
        <v>5</v>
      </c>
      <c r="G2031">
        <v>0</v>
      </c>
      <c r="H2031" t="s">
        <v>858</v>
      </c>
      <c r="I2031" t="str">
        <f>VLOOKUP(C2031,Customers!A:C,2,FALSE)&amp;" "&amp;VLOOKUP(C2031,Customers!A:C,3,FALSE)</f>
        <v>Miranda Nelson</v>
      </c>
      <c r="J2031" t="str">
        <f>VLOOKUP(D2031,Products!A:C,2,FALSE)</f>
        <v>Little Watches</v>
      </c>
      <c r="K2031" t="str">
        <f>VLOOKUP(D2031,Products!A:C,3,FALSE)</f>
        <v>Fashion</v>
      </c>
      <c r="L2031" t="str">
        <f>VLOOKUP(E2031,Stores!A:B,2,FALSE)</f>
        <v>MegaMart New Michele</v>
      </c>
      <c r="M2031">
        <f>VLOOKUP(D2031,Products!A:E,5,FALSE)</f>
        <v>429.15</v>
      </c>
      <c r="N2031" s="5">
        <f t="shared" si="31"/>
        <v>2145.75</v>
      </c>
    </row>
    <row r="2032" spans="1:14" x14ac:dyDescent="0.3">
      <c r="A2032" t="s">
        <v>2888</v>
      </c>
      <c r="B2032" s="2">
        <v>45380</v>
      </c>
      <c r="C2032" t="s">
        <v>101</v>
      </c>
      <c r="D2032" t="s">
        <v>798</v>
      </c>
      <c r="E2032" t="s">
        <v>842</v>
      </c>
      <c r="F2032">
        <v>3</v>
      </c>
      <c r="G2032">
        <v>0.05</v>
      </c>
      <c r="H2032" t="s">
        <v>855</v>
      </c>
      <c r="I2032" t="str">
        <f>VLOOKUP(C2032,Customers!A:C,2,FALSE)&amp;" "&amp;VLOOKUP(C2032,Customers!A:C,3,FALSE)</f>
        <v>Cheryl Gilbert</v>
      </c>
      <c r="J2032" t="str">
        <f>VLOOKUP(D2032,Products!A:C,2,FALSE)</f>
        <v>New Watches</v>
      </c>
      <c r="K2032" t="str">
        <f>VLOOKUP(D2032,Products!A:C,3,FALSE)</f>
        <v>Fashion</v>
      </c>
      <c r="L2032" t="str">
        <f>VLOOKUP(E2032,Stores!A:B,2,FALSE)</f>
        <v>MegaMart Brianahaven</v>
      </c>
      <c r="M2032">
        <f>VLOOKUP(D2032,Products!A:E,5,FALSE)</f>
        <v>1501.46</v>
      </c>
      <c r="N2032" s="5">
        <f t="shared" si="31"/>
        <v>4279.1610000000001</v>
      </c>
    </row>
    <row r="2033" spans="1:14" x14ac:dyDescent="0.3">
      <c r="A2033" t="s">
        <v>2889</v>
      </c>
      <c r="B2033" s="2">
        <v>45291</v>
      </c>
      <c r="C2033" t="s">
        <v>163</v>
      </c>
      <c r="D2033" t="s">
        <v>739</v>
      </c>
      <c r="E2033" t="s">
        <v>831</v>
      </c>
      <c r="F2033">
        <v>3</v>
      </c>
      <c r="G2033">
        <v>0.1</v>
      </c>
      <c r="H2033" t="s">
        <v>855</v>
      </c>
      <c r="I2033" t="str">
        <f>VLOOKUP(C2033,Customers!A:C,2,FALSE)&amp;" "&amp;VLOOKUP(C2033,Customers!A:C,3,FALSE)</f>
        <v>Anna Andrews</v>
      </c>
      <c r="J2033" t="str">
        <f>VLOOKUP(D2033,Products!A:C,2,FALSE)</f>
        <v>Step Smartphone</v>
      </c>
      <c r="K2033" t="str">
        <f>VLOOKUP(D2033,Products!A:C,3,FALSE)</f>
        <v>Electronics</v>
      </c>
      <c r="L2033" t="str">
        <f>VLOOKUP(E2033,Stores!A:B,2,FALSE)</f>
        <v>MegaMart Jimenezborough</v>
      </c>
      <c r="M2033">
        <f>VLOOKUP(D2033,Products!A:E,5,FALSE)</f>
        <v>1194.1199999999999</v>
      </c>
      <c r="N2033" s="5">
        <f t="shared" si="31"/>
        <v>3224.1239999999998</v>
      </c>
    </row>
    <row r="2034" spans="1:14" x14ac:dyDescent="0.3">
      <c r="A2034" t="s">
        <v>2890</v>
      </c>
      <c r="B2034" s="2">
        <v>45379</v>
      </c>
      <c r="C2034" t="s">
        <v>93</v>
      </c>
      <c r="D2034" t="s">
        <v>776</v>
      </c>
      <c r="E2034" t="s">
        <v>831</v>
      </c>
      <c r="F2034">
        <v>2</v>
      </c>
      <c r="G2034">
        <v>0.15</v>
      </c>
      <c r="H2034" t="s">
        <v>855</v>
      </c>
      <c r="I2034" t="str">
        <f>VLOOKUP(C2034,Customers!A:C,2,FALSE)&amp;" "&amp;VLOOKUP(C2034,Customers!A:C,3,FALSE)</f>
        <v>Mark Martinez</v>
      </c>
      <c r="J2034" t="str">
        <f>VLOOKUP(D2034,Products!A:C,2,FALSE)</f>
        <v>Little Watches</v>
      </c>
      <c r="K2034" t="str">
        <f>VLOOKUP(D2034,Products!A:C,3,FALSE)</f>
        <v>Fashion</v>
      </c>
      <c r="L2034" t="str">
        <f>VLOOKUP(E2034,Stores!A:B,2,FALSE)</f>
        <v>MegaMart Jimenezborough</v>
      </c>
      <c r="M2034">
        <f>VLOOKUP(D2034,Products!A:E,5,FALSE)</f>
        <v>429.15</v>
      </c>
      <c r="N2034" s="5">
        <f t="shared" si="31"/>
        <v>729.55499999999995</v>
      </c>
    </row>
    <row r="2035" spans="1:14" x14ac:dyDescent="0.3">
      <c r="A2035" t="s">
        <v>2891</v>
      </c>
      <c r="B2035" s="2">
        <v>45795</v>
      </c>
      <c r="C2035" t="s">
        <v>452</v>
      </c>
      <c r="D2035" t="s">
        <v>808</v>
      </c>
      <c r="E2035" t="s">
        <v>839</v>
      </c>
      <c r="F2035">
        <v>4</v>
      </c>
      <c r="G2035">
        <v>0.05</v>
      </c>
      <c r="H2035" t="s">
        <v>865</v>
      </c>
      <c r="I2035" t="str">
        <f>VLOOKUP(C2035,Customers!A:C,2,FALSE)&amp;" "&amp;VLOOKUP(C2035,Customers!A:C,3,FALSE)</f>
        <v>Amy Smith</v>
      </c>
      <c r="J2035" t="str">
        <f>VLOOKUP(D2035,Products!A:C,2,FALSE)</f>
        <v>Present Television</v>
      </c>
      <c r="K2035" t="str">
        <f>VLOOKUP(D2035,Products!A:C,3,FALSE)</f>
        <v>Electronics</v>
      </c>
      <c r="L2035" t="str">
        <f>VLOOKUP(E2035,Stores!A:B,2,FALSE)</f>
        <v>MegaMart New Michele</v>
      </c>
      <c r="M2035">
        <f>VLOOKUP(D2035,Products!A:E,5,FALSE)</f>
        <v>1635.01</v>
      </c>
      <c r="N2035" s="5">
        <f t="shared" si="31"/>
        <v>6213.0379999999996</v>
      </c>
    </row>
    <row r="2036" spans="1:14" x14ac:dyDescent="0.3">
      <c r="A2036" t="s">
        <v>2892</v>
      </c>
      <c r="B2036" s="2">
        <v>45334</v>
      </c>
      <c r="C2036" t="s">
        <v>531</v>
      </c>
      <c r="D2036" t="s">
        <v>822</v>
      </c>
      <c r="E2036" t="s">
        <v>842</v>
      </c>
      <c r="F2036">
        <v>1</v>
      </c>
      <c r="G2036">
        <v>0.1</v>
      </c>
      <c r="H2036" t="s">
        <v>855</v>
      </c>
      <c r="I2036" t="str">
        <f>VLOOKUP(C2036,Customers!A:C,2,FALSE)&amp;" "&amp;VLOOKUP(C2036,Customers!A:C,3,FALSE)</f>
        <v>John Johnson</v>
      </c>
      <c r="J2036" t="str">
        <f>VLOOKUP(D2036,Products!A:C,2,FALSE)</f>
        <v>Nor Bags</v>
      </c>
      <c r="K2036" t="str">
        <f>VLOOKUP(D2036,Products!A:C,3,FALSE)</f>
        <v>Fashion</v>
      </c>
      <c r="L2036" t="str">
        <f>VLOOKUP(E2036,Stores!A:B,2,FALSE)</f>
        <v>MegaMart Brianahaven</v>
      </c>
      <c r="M2036">
        <f>VLOOKUP(D2036,Products!A:E,5,FALSE)</f>
        <v>1216.3599999999999</v>
      </c>
      <c r="N2036" s="5">
        <f t="shared" si="31"/>
        <v>1094.7239999999999</v>
      </c>
    </row>
    <row r="2037" spans="1:14" x14ac:dyDescent="0.3">
      <c r="A2037" t="s">
        <v>2893</v>
      </c>
      <c r="B2037" s="2">
        <v>45493</v>
      </c>
      <c r="C2037" t="s">
        <v>386</v>
      </c>
      <c r="D2037" t="s">
        <v>769</v>
      </c>
      <c r="E2037" t="s">
        <v>842</v>
      </c>
      <c r="F2037">
        <v>5</v>
      </c>
      <c r="G2037">
        <v>0.05</v>
      </c>
      <c r="H2037" t="s">
        <v>858</v>
      </c>
      <c r="I2037" t="str">
        <f>VLOOKUP(C2037,Customers!A:C,2,FALSE)&amp;" "&amp;VLOOKUP(C2037,Customers!A:C,3,FALSE)</f>
        <v>David Burns</v>
      </c>
      <c r="J2037" t="str">
        <f>VLOOKUP(D2037,Products!A:C,2,FALSE)</f>
        <v>How Vegetables</v>
      </c>
      <c r="K2037" t="str">
        <f>VLOOKUP(D2037,Products!A:C,3,FALSE)</f>
        <v>Groceries</v>
      </c>
      <c r="L2037" t="str">
        <f>VLOOKUP(E2037,Stores!A:B,2,FALSE)</f>
        <v>MegaMart Brianahaven</v>
      </c>
      <c r="M2037">
        <f>VLOOKUP(D2037,Products!A:E,5,FALSE)</f>
        <v>25.57</v>
      </c>
      <c r="N2037" s="5">
        <f t="shared" si="31"/>
        <v>121.4575</v>
      </c>
    </row>
    <row r="2038" spans="1:14" x14ac:dyDescent="0.3">
      <c r="A2038" t="s">
        <v>2894</v>
      </c>
      <c r="B2038" s="2">
        <v>45739</v>
      </c>
      <c r="C2038" t="s">
        <v>355</v>
      </c>
      <c r="D2038" t="s">
        <v>780</v>
      </c>
      <c r="E2038" t="s">
        <v>846</v>
      </c>
      <c r="F2038">
        <v>5</v>
      </c>
      <c r="G2038">
        <v>0.1</v>
      </c>
      <c r="H2038" t="s">
        <v>855</v>
      </c>
      <c r="I2038" t="str">
        <f>VLOOKUP(C2038,Customers!A:C,2,FALSE)&amp;" "&amp;VLOOKUP(C2038,Customers!A:C,3,FALSE)</f>
        <v>Kimberly Stokes</v>
      </c>
      <c r="J2038" t="str">
        <f>VLOOKUP(D2038,Products!A:C,2,FALSE)</f>
        <v>Hospital Smartphone</v>
      </c>
      <c r="K2038" t="str">
        <f>VLOOKUP(D2038,Products!A:C,3,FALSE)</f>
        <v>Electronics</v>
      </c>
      <c r="L2038" t="str">
        <f>VLOOKUP(E2038,Stores!A:B,2,FALSE)</f>
        <v>MegaMart Johnmouth</v>
      </c>
      <c r="M2038">
        <f>VLOOKUP(D2038,Products!A:E,5,FALSE)</f>
        <v>1272.23</v>
      </c>
      <c r="N2038" s="5">
        <f t="shared" si="31"/>
        <v>5725.0349999999999</v>
      </c>
    </row>
    <row r="2039" spans="1:14" x14ac:dyDescent="0.3">
      <c r="A2039" t="s">
        <v>2895</v>
      </c>
      <c r="B2039" s="2">
        <v>45783</v>
      </c>
      <c r="C2039" t="s">
        <v>89</v>
      </c>
      <c r="D2039" t="s">
        <v>769</v>
      </c>
      <c r="E2039" t="s">
        <v>842</v>
      </c>
      <c r="F2039">
        <v>5</v>
      </c>
      <c r="G2039">
        <v>0.15</v>
      </c>
      <c r="H2039" t="s">
        <v>855</v>
      </c>
      <c r="I2039" t="str">
        <f>VLOOKUP(C2039,Customers!A:C,2,FALSE)&amp;" "&amp;VLOOKUP(C2039,Customers!A:C,3,FALSE)</f>
        <v>Megan Velasquez</v>
      </c>
      <c r="J2039" t="str">
        <f>VLOOKUP(D2039,Products!A:C,2,FALSE)</f>
        <v>How Vegetables</v>
      </c>
      <c r="K2039" t="str">
        <f>VLOOKUP(D2039,Products!A:C,3,FALSE)</f>
        <v>Groceries</v>
      </c>
      <c r="L2039" t="str">
        <f>VLOOKUP(E2039,Stores!A:B,2,FALSE)</f>
        <v>MegaMart Brianahaven</v>
      </c>
      <c r="M2039">
        <f>VLOOKUP(D2039,Products!A:E,5,FALSE)</f>
        <v>25.57</v>
      </c>
      <c r="N2039" s="5">
        <f t="shared" si="31"/>
        <v>108.67249999999999</v>
      </c>
    </row>
    <row r="2040" spans="1:14" x14ac:dyDescent="0.3">
      <c r="A2040" t="s">
        <v>2896</v>
      </c>
      <c r="B2040" s="2">
        <v>45207</v>
      </c>
      <c r="C2040" t="s">
        <v>621</v>
      </c>
      <c r="D2040" t="s">
        <v>769</v>
      </c>
      <c r="E2040" t="s">
        <v>831</v>
      </c>
      <c r="F2040">
        <v>5</v>
      </c>
      <c r="G2040">
        <v>0</v>
      </c>
      <c r="H2040" t="s">
        <v>861</v>
      </c>
      <c r="I2040" t="str">
        <f>VLOOKUP(C2040,Customers!A:C,2,FALSE)&amp;" "&amp;VLOOKUP(C2040,Customers!A:C,3,FALSE)</f>
        <v>Stacey Thompson</v>
      </c>
      <c r="J2040" t="str">
        <f>VLOOKUP(D2040,Products!A:C,2,FALSE)</f>
        <v>How Vegetables</v>
      </c>
      <c r="K2040" t="str">
        <f>VLOOKUP(D2040,Products!A:C,3,FALSE)</f>
        <v>Groceries</v>
      </c>
      <c r="L2040" t="str">
        <f>VLOOKUP(E2040,Stores!A:B,2,FALSE)</f>
        <v>MegaMart Jimenezborough</v>
      </c>
      <c r="M2040">
        <f>VLOOKUP(D2040,Products!A:E,5,FALSE)</f>
        <v>25.57</v>
      </c>
      <c r="N2040" s="5">
        <f t="shared" si="31"/>
        <v>127.85</v>
      </c>
    </row>
    <row r="2041" spans="1:14" x14ac:dyDescent="0.3">
      <c r="A2041" t="s">
        <v>2897</v>
      </c>
      <c r="B2041" s="2">
        <v>45845</v>
      </c>
      <c r="C2041" t="s">
        <v>636</v>
      </c>
      <c r="D2041" t="s">
        <v>759</v>
      </c>
      <c r="E2041" t="s">
        <v>846</v>
      </c>
      <c r="F2041">
        <v>1</v>
      </c>
      <c r="G2041">
        <v>0.05</v>
      </c>
      <c r="H2041" t="s">
        <v>865</v>
      </c>
      <c r="I2041" t="str">
        <f>VLOOKUP(C2041,Customers!A:C,2,FALSE)&amp;" "&amp;VLOOKUP(C2041,Customers!A:C,3,FALSE)</f>
        <v>Nichole Calhoun</v>
      </c>
      <c r="J2041" t="str">
        <f>VLOOKUP(D2041,Products!A:C,2,FALSE)</f>
        <v>Democratic Smartphone</v>
      </c>
      <c r="K2041" t="str">
        <f>VLOOKUP(D2041,Products!A:C,3,FALSE)</f>
        <v>Electronics</v>
      </c>
      <c r="L2041" t="str">
        <f>VLOOKUP(E2041,Stores!A:B,2,FALSE)</f>
        <v>MegaMart Johnmouth</v>
      </c>
      <c r="M2041">
        <f>VLOOKUP(D2041,Products!A:E,5,FALSE)</f>
        <v>1079.8900000000001</v>
      </c>
      <c r="N2041" s="5">
        <f t="shared" si="31"/>
        <v>1025.8955000000001</v>
      </c>
    </row>
    <row r="2042" spans="1:14" x14ac:dyDescent="0.3">
      <c r="A2042" t="s">
        <v>2898</v>
      </c>
      <c r="B2042" s="2">
        <v>45251</v>
      </c>
      <c r="C2042" t="s">
        <v>284</v>
      </c>
      <c r="D2042" t="s">
        <v>774</v>
      </c>
      <c r="E2042" t="s">
        <v>842</v>
      </c>
      <c r="F2042">
        <v>2</v>
      </c>
      <c r="G2042">
        <v>0.15</v>
      </c>
      <c r="H2042" t="s">
        <v>865</v>
      </c>
      <c r="I2042" t="str">
        <f>VLOOKUP(C2042,Customers!A:C,2,FALSE)&amp;" "&amp;VLOOKUP(C2042,Customers!A:C,3,FALSE)</f>
        <v>Seth Moore</v>
      </c>
      <c r="J2042" t="str">
        <f>VLOOKUP(D2042,Products!A:C,2,FALSE)</f>
        <v>Him Smartphone</v>
      </c>
      <c r="K2042" t="str">
        <f>VLOOKUP(D2042,Products!A:C,3,FALSE)</f>
        <v>Electronics</v>
      </c>
      <c r="L2042" t="str">
        <f>VLOOKUP(E2042,Stores!A:B,2,FALSE)</f>
        <v>MegaMart Brianahaven</v>
      </c>
      <c r="M2042">
        <f>VLOOKUP(D2042,Products!A:E,5,FALSE)</f>
        <v>1487.41</v>
      </c>
      <c r="N2042" s="5">
        <f t="shared" si="31"/>
        <v>2528.5970000000002</v>
      </c>
    </row>
    <row r="2043" spans="1:14" x14ac:dyDescent="0.3">
      <c r="A2043" t="s">
        <v>2899</v>
      </c>
      <c r="B2043" s="2">
        <v>45511</v>
      </c>
      <c r="C2043" t="s">
        <v>224</v>
      </c>
      <c r="D2043" t="s">
        <v>818</v>
      </c>
      <c r="E2043" t="s">
        <v>842</v>
      </c>
      <c r="F2043">
        <v>4</v>
      </c>
      <c r="G2043">
        <v>0</v>
      </c>
      <c r="H2043" t="s">
        <v>855</v>
      </c>
      <c r="I2043" t="str">
        <f>VLOOKUP(C2043,Customers!A:C,2,FALSE)&amp;" "&amp;VLOOKUP(C2043,Customers!A:C,3,FALSE)</f>
        <v>Lawrence Stewart</v>
      </c>
      <c r="J2043" t="str">
        <f>VLOOKUP(D2043,Products!A:C,2,FALSE)</f>
        <v>Nature Clothing</v>
      </c>
      <c r="K2043" t="str">
        <f>VLOOKUP(D2043,Products!A:C,3,FALSE)</f>
        <v>Fashion</v>
      </c>
      <c r="L2043" t="str">
        <f>VLOOKUP(E2043,Stores!A:B,2,FALSE)</f>
        <v>MegaMart Brianahaven</v>
      </c>
      <c r="M2043">
        <f>VLOOKUP(D2043,Products!A:E,5,FALSE)</f>
        <v>1165.3699999999999</v>
      </c>
      <c r="N2043" s="5">
        <f t="shared" si="31"/>
        <v>4661.4799999999996</v>
      </c>
    </row>
    <row r="2044" spans="1:14" x14ac:dyDescent="0.3">
      <c r="A2044" t="s">
        <v>2900</v>
      </c>
      <c r="B2044" s="2">
        <v>45564</v>
      </c>
      <c r="C2044" t="s">
        <v>445</v>
      </c>
      <c r="D2044" t="s">
        <v>753</v>
      </c>
      <c r="E2044" t="s">
        <v>842</v>
      </c>
      <c r="F2044">
        <v>5</v>
      </c>
      <c r="G2044">
        <v>0.15</v>
      </c>
      <c r="H2044" t="s">
        <v>865</v>
      </c>
      <c r="I2044" t="str">
        <f>VLOOKUP(C2044,Customers!A:C,2,FALSE)&amp;" "&amp;VLOOKUP(C2044,Customers!A:C,3,FALSE)</f>
        <v>Curtis Faulkner</v>
      </c>
      <c r="J2044" t="str">
        <f>VLOOKUP(D2044,Products!A:C,2,FALSE)</f>
        <v>Whether Bags</v>
      </c>
      <c r="K2044" t="str">
        <f>VLOOKUP(D2044,Products!A:C,3,FALSE)</f>
        <v>Fashion</v>
      </c>
      <c r="L2044" t="str">
        <f>VLOOKUP(E2044,Stores!A:B,2,FALSE)</f>
        <v>MegaMart Brianahaven</v>
      </c>
      <c r="M2044">
        <f>VLOOKUP(D2044,Products!A:E,5,FALSE)</f>
        <v>270.45</v>
      </c>
      <c r="N2044" s="5">
        <f t="shared" si="31"/>
        <v>1149.4124999999999</v>
      </c>
    </row>
    <row r="2045" spans="1:14" x14ac:dyDescent="0.3">
      <c r="A2045" t="s">
        <v>2901</v>
      </c>
      <c r="B2045" s="2">
        <v>45743</v>
      </c>
      <c r="C2045" t="s">
        <v>89</v>
      </c>
      <c r="D2045" t="s">
        <v>747</v>
      </c>
      <c r="E2045" t="s">
        <v>835</v>
      </c>
      <c r="F2045">
        <v>1</v>
      </c>
      <c r="G2045">
        <v>0.15</v>
      </c>
      <c r="H2045" t="s">
        <v>858</v>
      </c>
      <c r="I2045" t="str">
        <f>VLOOKUP(C2045,Customers!A:C,2,FALSE)&amp;" "&amp;VLOOKUP(C2045,Customers!A:C,3,FALSE)</f>
        <v>Megan Velasquez</v>
      </c>
      <c r="J2045" t="str">
        <f>VLOOKUP(D2045,Products!A:C,2,FALSE)</f>
        <v>World Watches</v>
      </c>
      <c r="K2045" t="str">
        <f>VLOOKUP(D2045,Products!A:C,3,FALSE)</f>
        <v>Fashion</v>
      </c>
      <c r="L2045" t="str">
        <f>VLOOKUP(E2045,Stores!A:B,2,FALSE)</f>
        <v>MegaMart Peckmouth</v>
      </c>
      <c r="M2045">
        <f>VLOOKUP(D2045,Products!A:E,5,FALSE)</f>
        <v>1134.8</v>
      </c>
      <c r="N2045" s="5">
        <f t="shared" si="31"/>
        <v>964.57999999999993</v>
      </c>
    </row>
    <row r="2046" spans="1:14" x14ac:dyDescent="0.3">
      <c r="A2046" t="s">
        <v>2902</v>
      </c>
      <c r="B2046" s="2">
        <v>45555</v>
      </c>
      <c r="C2046" t="s">
        <v>202</v>
      </c>
      <c r="D2046" t="s">
        <v>814</v>
      </c>
      <c r="E2046" t="s">
        <v>842</v>
      </c>
      <c r="F2046">
        <v>3</v>
      </c>
      <c r="G2046">
        <v>0</v>
      </c>
      <c r="H2046" t="s">
        <v>855</v>
      </c>
      <c r="I2046" t="str">
        <f>VLOOKUP(C2046,Customers!A:C,2,FALSE)&amp;" "&amp;VLOOKUP(C2046,Customers!A:C,3,FALSE)</f>
        <v>Billy Hernandez</v>
      </c>
      <c r="J2046" t="str">
        <f>VLOOKUP(D2046,Products!A:C,2,FALSE)</f>
        <v>Least Accessories</v>
      </c>
      <c r="K2046" t="str">
        <f>VLOOKUP(D2046,Products!A:C,3,FALSE)</f>
        <v>Fashion</v>
      </c>
      <c r="L2046" t="str">
        <f>VLOOKUP(E2046,Stores!A:B,2,FALSE)</f>
        <v>MegaMart Brianahaven</v>
      </c>
      <c r="M2046">
        <f>VLOOKUP(D2046,Products!A:E,5,FALSE)</f>
        <v>1286.55</v>
      </c>
      <c r="N2046" s="5">
        <f t="shared" si="31"/>
        <v>3859.6499999999996</v>
      </c>
    </row>
    <row r="2047" spans="1:14" x14ac:dyDescent="0.3">
      <c r="A2047" t="s">
        <v>2903</v>
      </c>
      <c r="B2047" s="2">
        <v>45484</v>
      </c>
      <c r="C2047" t="s">
        <v>331</v>
      </c>
      <c r="D2047" t="s">
        <v>792</v>
      </c>
      <c r="E2047" t="s">
        <v>846</v>
      </c>
      <c r="F2047">
        <v>4</v>
      </c>
      <c r="G2047">
        <v>0.05</v>
      </c>
      <c r="H2047" t="s">
        <v>858</v>
      </c>
      <c r="I2047" t="str">
        <f>VLOOKUP(C2047,Customers!A:C,2,FALSE)&amp;" "&amp;VLOOKUP(C2047,Customers!A:C,3,FALSE)</f>
        <v>Brenda Costa</v>
      </c>
      <c r="J2047" t="str">
        <f>VLOOKUP(D2047,Products!A:C,2,FALSE)</f>
        <v>Beat Accessories</v>
      </c>
      <c r="K2047" t="str">
        <f>VLOOKUP(D2047,Products!A:C,3,FALSE)</f>
        <v>Fashion</v>
      </c>
      <c r="L2047" t="str">
        <f>VLOOKUP(E2047,Stores!A:B,2,FALSE)</f>
        <v>MegaMart Johnmouth</v>
      </c>
      <c r="M2047">
        <f>VLOOKUP(D2047,Products!A:E,5,FALSE)</f>
        <v>1798.97</v>
      </c>
      <c r="N2047" s="5">
        <f t="shared" si="31"/>
        <v>6836.0859999999993</v>
      </c>
    </row>
    <row r="2048" spans="1:14" x14ac:dyDescent="0.3">
      <c r="A2048" t="s">
        <v>2904</v>
      </c>
      <c r="B2048" s="2">
        <v>45851</v>
      </c>
      <c r="C2048" t="s">
        <v>119</v>
      </c>
      <c r="D2048" t="s">
        <v>769</v>
      </c>
      <c r="E2048" t="s">
        <v>839</v>
      </c>
      <c r="F2048">
        <v>4</v>
      </c>
      <c r="G2048">
        <v>0</v>
      </c>
      <c r="H2048" t="s">
        <v>861</v>
      </c>
      <c r="I2048" t="str">
        <f>VLOOKUP(C2048,Customers!A:C,2,FALSE)&amp;" "&amp;VLOOKUP(C2048,Customers!A:C,3,FALSE)</f>
        <v>Lacey Hall</v>
      </c>
      <c r="J2048" t="str">
        <f>VLOOKUP(D2048,Products!A:C,2,FALSE)</f>
        <v>How Vegetables</v>
      </c>
      <c r="K2048" t="str">
        <f>VLOOKUP(D2048,Products!A:C,3,FALSE)</f>
        <v>Groceries</v>
      </c>
      <c r="L2048" t="str">
        <f>VLOOKUP(E2048,Stores!A:B,2,FALSE)</f>
        <v>MegaMart New Michele</v>
      </c>
      <c r="M2048">
        <f>VLOOKUP(D2048,Products!A:E,5,FALSE)</f>
        <v>25.57</v>
      </c>
      <c r="N2048" s="5">
        <f t="shared" si="31"/>
        <v>102.28</v>
      </c>
    </row>
    <row r="2049" spans="1:14" x14ac:dyDescent="0.3">
      <c r="A2049" t="s">
        <v>2905</v>
      </c>
      <c r="B2049" s="2">
        <v>45385</v>
      </c>
      <c r="C2049" t="s">
        <v>449</v>
      </c>
      <c r="D2049" t="s">
        <v>826</v>
      </c>
      <c r="E2049" t="s">
        <v>835</v>
      </c>
      <c r="F2049">
        <v>2</v>
      </c>
      <c r="G2049">
        <v>0.1</v>
      </c>
      <c r="H2049" t="s">
        <v>865</v>
      </c>
      <c r="I2049" t="str">
        <f>VLOOKUP(C2049,Customers!A:C,2,FALSE)&amp;" "&amp;VLOOKUP(C2049,Customers!A:C,3,FALSE)</f>
        <v>John Bell</v>
      </c>
      <c r="J2049" t="str">
        <f>VLOOKUP(D2049,Products!A:C,2,FALSE)</f>
        <v>Maybe Footwear</v>
      </c>
      <c r="K2049" t="str">
        <f>VLOOKUP(D2049,Products!A:C,3,FALSE)</f>
        <v>Fashion</v>
      </c>
      <c r="L2049" t="str">
        <f>VLOOKUP(E2049,Stores!A:B,2,FALSE)</f>
        <v>MegaMart Peckmouth</v>
      </c>
      <c r="M2049">
        <f>VLOOKUP(D2049,Products!A:E,5,FALSE)</f>
        <v>1044.6400000000001</v>
      </c>
      <c r="N2049" s="5">
        <f t="shared" si="31"/>
        <v>1880.3520000000003</v>
      </c>
    </row>
    <row r="2050" spans="1:14" x14ac:dyDescent="0.3">
      <c r="A2050" t="s">
        <v>2906</v>
      </c>
      <c r="B2050" s="2">
        <v>45467</v>
      </c>
      <c r="C2050" t="s">
        <v>554</v>
      </c>
      <c r="D2050" t="s">
        <v>822</v>
      </c>
      <c r="E2050" t="s">
        <v>842</v>
      </c>
      <c r="F2050">
        <v>1</v>
      </c>
      <c r="G2050">
        <v>0.1</v>
      </c>
      <c r="H2050" t="s">
        <v>858</v>
      </c>
      <c r="I2050" t="str">
        <f>VLOOKUP(C2050,Customers!A:C,2,FALSE)&amp;" "&amp;VLOOKUP(C2050,Customers!A:C,3,FALSE)</f>
        <v>Lisa Martinez</v>
      </c>
      <c r="J2050" t="str">
        <f>VLOOKUP(D2050,Products!A:C,2,FALSE)</f>
        <v>Nor Bags</v>
      </c>
      <c r="K2050" t="str">
        <f>VLOOKUP(D2050,Products!A:C,3,FALSE)</f>
        <v>Fashion</v>
      </c>
      <c r="L2050" t="str">
        <f>VLOOKUP(E2050,Stores!A:B,2,FALSE)</f>
        <v>MegaMart Brianahaven</v>
      </c>
      <c r="M2050">
        <f>VLOOKUP(D2050,Products!A:E,5,FALSE)</f>
        <v>1216.3599999999999</v>
      </c>
      <c r="N2050" s="5">
        <f t="shared" si="31"/>
        <v>1094.7239999999999</v>
      </c>
    </row>
    <row r="2051" spans="1:14" x14ac:dyDescent="0.3">
      <c r="A2051" t="s">
        <v>2907</v>
      </c>
      <c r="B2051" s="2">
        <v>45659</v>
      </c>
      <c r="C2051" t="s">
        <v>452</v>
      </c>
      <c r="D2051" t="s">
        <v>728</v>
      </c>
      <c r="E2051" t="s">
        <v>835</v>
      </c>
      <c r="F2051">
        <v>1</v>
      </c>
      <c r="G2051">
        <v>0.05</v>
      </c>
      <c r="H2051" t="s">
        <v>865</v>
      </c>
      <c r="I2051" t="str">
        <f>VLOOKUP(C2051,Customers!A:C,2,FALSE)&amp;" "&amp;VLOOKUP(C2051,Customers!A:C,3,FALSE)</f>
        <v>Amy Smith</v>
      </c>
      <c r="J2051" t="str">
        <f>VLOOKUP(D2051,Products!A:C,2,FALSE)</f>
        <v>Company Fruits</v>
      </c>
      <c r="K2051" t="str">
        <f>VLOOKUP(D2051,Products!A:C,3,FALSE)</f>
        <v>Groceries</v>
      </c>
      <c r="L2051" t="str">
        <f>VLOOKUP(E2051,Stores!A:B,2,FALSE)</f>
        <v>MegaMart Peckmouth</v>
      </c>
      <c r="M2051">
        <f>VLOOKUP(D2051,Products!A:E,5,FALSE)</f>
        <v>318.05</v>
      </c>
      <c r="N2051" s="5">
        <f t="shared" ref="N2051:N2114" si="32">F2051*M2051*(1-G2051)</f>
        <v>302.14749999999998</v>
      </c>
    </row>
    <row r="2052" spans="1:14" x14ac:dyDescent="0.3">
      <c r="A2052" t="s">
        <v>2908</v>
      </c>
      <c r="B2052" s="2">
        <v>45296</v>
      </c>
      <c r="C2052" t="s">
        <v>687</v>
      </c>
      <c r="D2052" t="s">
        <v>812</v>
      </c>
      <c r="E2052" t="s">
        <v>842</v>
      </c>
      <c r="F2052">
        <v>3</v>
      </c>
      <c r="G2052">
        <v>0.1</v>
      </c>
      <c r="H2052" t="s">
        <v>861</v>
      </c>
      <c r="I2052" t="str">
        <f>VLOOKUP(C2052,Customers!A:C,2,FALSE)&amp;" "&amp;VLOOKUP(C2052,Customers!A:C,3,FALSE)</f>
        <v>James Mitchell</v>
      </c>
      <c r="J2052" t="str">
        <f>VLOOKUP(D2052,Products!A:C,2,FALSE)</f>
        <v>Soon Accessories</v>
      </c>
      <c r="K2052" t="str">
        <f>VLOOKUP(D2052,Products!A:C,3,FALSE)</f>
        <v>Fashion</v>
      </c>
      <c r="L2052" t="str">
        <f>VLOOKUP(E2052,Stores!A:B,2,FALSE)</f>
        <v>MegaMart Brianahaven</v>
      </c>
      <c r="M2052">
        <f>VLOOKUP(D2052,Products!A:E,5,FALSE)</f>
        <v>564.41999999999996</v>
      </c>
      <c r="N2052" s="5">
        <f t="shared" si="32"/>
        <v>1523.9339999999997</v>
      </c>
    </row>
    <row r="2053" spans="1:14" x14ac:dyDescent="0.3">
      <c r="A2053" t="s">
        <v>2909</v>
      </c>
      <c r="B2053" s="2">
        <v>45803</v>
      </c>
      <c r="C2053" t="s">
        <v>89</v>
      </c>
      <c r="D2053" t="s">
        <v>798</v>
      </c>
      <c r="E2053" t="s">
        <v>835</v>
      </c>
      <c r="F2053">
        <v>1</v>
      </c>
      <c r="G2053">
        <v>0.1</v>
      </c>
      <c r="H2053" t="s">
        <v>858</v>
      </c>
      <c r="I2053" t="str">
        <f>VLOOKUP(C2053,Customers!A:C,2,FALSE)&amp;" "&amp;VLOOKUP(C2053,Customers!A:C,3,FALSE)</f>
        <v>Megan Velasquez</v>
      </c>
      <c r="J2053" t="str">
        <f>VLOOKUP(D2053,Products!A:C,2,FALSE)</f>
        <v>New Watches</v>
      </c>
      <c r="K2053" t="str">
        <f>VLOOKUP(D2053,Products!A:C,3,FALSE)</f>
        <v>Fashion</v>
      </c>
      <c r="L2053" t="str">
        <f>VLOOKUP(E2053,Stores!A:B,2,FALSE)</f>
        <v>MegaMart Peckmouth</v>
      </c>
      <c r="M2053">
        <f>VLOOKUP(D2053,Products!A:E,5,FALSE)</f>
        <v>1501.46</v>
      </c>
      <c r="N2053" s="5">
        <f t="shared" si="32"/>
        <v>1351.3140000000001</v>
      </c>
    </row>
    <row r="2054" spans="1:14" x14ac:dyDescent="0.3">
      <c r="A2054" t="s">
        <v>2910</v>
      </c>
      <c r="B2054" s="2">
        <v>45681</v>
      </c>
      <c r="C2054" t="s">
        <v>85</v>
      </c>
      <c r="D2054" t="s">
        <v>761</v>
      </c>
      <c r="E2054" t="s">
        <v>839</v>
      </c>
      <c r="F2054">
        <v>4</v>
      </c>
      <c r="G2054">
        <v>0.15</v>
      </c>
      <c r="H2054" t="s">
        <v>861</v>
      </c>
      <c r="I2054" t="str">
        <f>VLOOKUP(C2054,Customers!A:C,2,FALSE)&amp;" "&amp;VLOOKUP(C2054,Customers!A:C,3,FALSE)</f>
        <v>Debbie Martin</v>
      </c>
      <c r="J2054" t="str">
        <f>VLOOKUP(D2054,Products!A:C,2,FALSE)</f>
        <v>Traditional Laptop</v>
      </c>
      <c r="K2054" t="str">
        <f>VLOOKUP(D2054,Products!A:C,3,FALSE)</f>
        <v>Electronics</v>
      </c>
      <c r="L2054" t="str">
        <f>VLOOKUP(E2054,Stores!A:B,2,FALSE)</f>
        <v>MegaMart New Michele</v>
      </c>
      <c r="M2054">
        <f>VLOOKUP(D2054,Products!A:E,5,FALSE)</f>
        <v>1762.92</v>
      </c>
      <c r="N2054" s="5">
        <f t="shared" si="32"/>
        <v>5993.9279999999999</v>
      </c>
    </row>
    <row r="2055" spans="1:14" x14ac:dyDescent="0.3">
      <c r="A2055" t="s">
        <v>2911</v>
      </c>
      <c r="B2055" s="2">
        <v>45627</v>
      </c>
      <c r="C2055" t="s">
        <v>612</v>
      </c>
      <c r="D2055" t="s">
        <v>796</v>
      </c>
      <c r="E2055" t="s">
        <v>839</v>
      </c>
      <c r="F2055">
        <v>2</v>
      </c>
      <c r="G2055">
        <v>0</v>
      </c>
      <c r="H2055" t="s">
        <v>865</v>
      </c>
      <c r="I2055" t="str">
        <f>VLOOKUP(C2055,Customers!A:C,2,FALSE)&amp;" "&amp;VLOOKUP(C2055,Customers!A:C,3,FALSE)</f>
        <v>Michelle Smith</v>
      </c>
      <c r="J2055" t="str">
        <f>VLOOKUP(D2055,Products!A:C,2,FALSE)</f>
        <v>Chair Laptop</v>
      </c>
      <c r="K2055" t="str">
        <f>VLOOKUP(D2055,Products!A:C,3,FALSE)</f>
        <v>Electronics</v>
      </c>
      <c r="L2055" t="str">
        <f>VLOOKUP(E2055,Stores!A:B,2,FALSE)</f>
        <v>MegaMart New Michele</v>
      </c>
      <c r="M2055">
        <f>VLOOKUP(D2055,Products!A:E,5,FALSE)</f>
        <v>1562.43</v>
      </c>
      <c r="N2055" s="5">
        <f t="shared" si="32"/>
        <v>3124.86</v>
      </c>
    </row>
    <row r="2056" spans="1:14" x14ac:dyDescent="0.3">
      <c r="A2056" t="s">
        <v>2912</v>
      </c>
      <c r="B2056" s="2">
        <v>45522</v>
      </c>
      <c r="C2056" t="s">
        <v>411</v>
      </c>
      <c r="D2056" t="s">
        <v>810</v>
      </c>
      <c r="E2056" t="s">
        <v>839</v>
      </c>
      <c r="F2056">
        <v>3</v>
      </c>
      <c r="G2056">
        <v>0.05</v>
      </c>
      <c r="H2056" t="s">
        <v>861</v>
      </c>
      <c r="I2056" t="str">
        <f>VLOOKUP(C2056,Customers!A:C,2,FALSE)&amp;" "&amp;VLOOKUP(C2056,Customers!A:C,3,FALSE)</f>
        <v>Travis Peters</v>
      </c>
      <c r="J2056" t="str">
        <f>VLOOKUP(D2056,Products!A:C,2,FALSE)</f>
        <v>Maybe Clothing</v>
      </c>
      <c r="K2056" t="str">
        <f>VLOOKUP(D2056,Products!A:C,3,FALSE)</f>
        <v>Fashion</v>
      </c>
      <c r="L2056" t="str">
        <f>VLOOKUP(E2056,Stores!A:B,2,FALSE)</f>
        <v>MegaMart New Michele</v>
      </c>
      <c r="M2056">
        <f>VLOOKUP(D2056,Products!A:E,5,FALSE)</f>
        <v>453.62</v>
      </c>
      <c r="N2056" s="5">
        <f t="shared" si="32"/>
        <v>1292.817</v>
      </c>
    </row>
    <row r="2057" spans="1:14" x14ac:dyDescent="0.3">
      <c r="A2057" t="s">
        <v>2913</v>
      </c>
      <c r="B2057" s="2">
        <v>45636</v>
      </c>
      <c r="C2057" t="s">
        <v>339</v>
      </c>
      <c r="D2057" t="s">
        <v>778</v>
      </c>
      <c r="E2057" t="s">
        <v>842</v>
      </c>
      <c r="F2057">
        <v>4</v>
      </c>
      <c r="G2057">
        <v>0.15</v>
      </c>
      <c r="H2057" t="s">
        <v>861</v>
      </c>
      <c r="I2057" t="str">
        <f>VLOOKUP(C2057,Customers!A:C,2,FALSE)&amp;" "&amp;VLOOKUP(C2057,Customers!A:C,3,FALSE)</f>
        <v>Carrie Peterson</v>
      </c>
      <c r="J2057" t="str">
        <f>VLOOKUP(D2057,Products!A:C,2,FALSE)</f>
        <v>Behavior Dairy</v>
      </c>
      <c r="K2057" t="str">
        <f>VLOOKUP(D2057,Products!A:C,3,FALSE)</f>
        <v>Groceries</v>
      </c>
      <c r="L2057" t="str">
        <f>VLOOKUP(E2057,Stores!A:B,2,FALSE)</f>
        <v>MegaMart Brianahaven</v>
      </c>
      <c r="M2057">
        <f>VLOOKUP(D2057,Products!A:E,5,FALSE)</f>
        <v>1015.76</v>
      </c>
      <c r="N2057" s="5">
        <f t="shared" si="32"/>
        <v>3453.5839999999998</v>
      </c>
    </row>
    <row r="2058" spans="1:14" x14ac:dyDescent="0.3">
      <c r="A2058" t="s">
        <v>2914</v>
      </c>
      <c r="B2058" s="2">
        <v>45635</v>
      </c>
      <c r="C2058" t="s">
        <v>633</v>
      </c>
      <c r="D2058" t="s">
        <v>790</v>
      </c>
      <c r="E2058" t="s">
        <v>842</v>
      </c>
      <c r="F2058">
        <v>3</v>
      </c>
      <c r="G2058">
        <v>0.15</v>
      </c>
      <c r="H2058" t="s">
        <v>865</v>
      </c>
      <c r="I2058" t="str">
        <f>VLOOKUP(C2058,Customers!A:C,2,FALSE)&amp;" "&amp;VLOOKUP(C2058,Customers!A:C,3,FALSE)</f>
        <v>Dennis Wallace</v>
      </c>
      <c r="J2058" t="str">
        <f>VLOOKUP(D2058,Products!A:C,2,FALSE)</f>
        <v>Difficult Vegetables</v>
      </c>
      <c r="K2058" t="str">
        <f>VLOOKUP(D2058,Products!A:C,3,FALSE)</f>
        <v>Groceries</v>
      </c>
      <c r="L2058" t="str">
        <f>VLOOKUP(E2058,Stores!A:B,2,FALSE)</f>
        <v>MegaMart Brianahaven</v>
      </c>
      <c r="M2058">
        <f>VLOOKUP(D2058,Products!A:E,5,FALSE)</f>
        <v>304.70999999999998</v>
      </c>
      <c r="N2058" s="5">
        <f t="shared" si="32"/>
        <v>777.01049999999987</v>
      </c>
    </row>
    <row r="2059" spans="1:14" x14ac:dyDescent="0.3">
      <c r="A2059" t="s">
        <v>2915</v>
      </c>
      <c r="B2059" s="2">
        <v>45841</v>
      </c>
      <c r="C2059" t="s">
        <v>524</v>
      </c>
      <c r="D2059" t="s">
        <v>747</v>
      </c>
      <c r="E2059" t="s">
        <v>846</v>
      </c>
      <c r="F2059">
        <v>2</v>
      </c>
      <c r="G2059">
        <v>0</v>
      </c>
      <c r="H2059" t="s">
        <v>861</v>
      </c>
      <c r="I2059" t="str">
        <f>VLOOKUP(C2059,Customers!A:C,2,FALSE)&amp;" "&amp;VLOOKUP(C2059,Customers!A:C,3,FALSE)</f>
        <v>Betty Johnson</v>
      </c>
      <c r="J2059" t="str">
        <f>VLOOKUP(D2059,Products!A:C,2,FALSE)</f>
        <v>World Watches</v>
      </c>
      <c r="K2059" t="str">
        <f>VLOOKUP(D2059,Products!A:C,3,FALSE)</f>
        <v>Fashion</v>
      </c>
      <c r="L2059" t="str">
        <f>VLOOKUP(E2059,Stores!A:B,2,FALSE)</f>
        <v>MegaMart Johnmouth</v>
      </c>
      <c r="M2059">
        <f>VLOOKUP(D2059,Products!A:E,5,FALSE)</f>
        <v>1134.8</v>
      </c>
      <c r="N2059" s="5">
        <f t="shared" si="32"/>
        <v>2269.6</v>
      </c>
    </row>
    <row r="2060" spans="1:14" x14ac:dyDescent="0.3">
      <c r="A2060" t="s">
        <v>2916</v>
      </c>
      <c r="B2060" s="2">
        <v>45787</v>
      </c>
      <c r="C2060" t="s">
        <v>313</v>
      </c>
      <c r="D2060" t="s">
        <v>761</v>
      </c>
      <c r="E2060" t="s">
        <v>839</v>
      </c>
      <c r="F2060">
        <v>1</v>
      </c>
      <c r="G2060">
        <v>0.05</v>
      </c>
      <c r="H2060" t="s">
        <v>858</v>
      </c>
      <c r="I2060" t="str">
        <f>VLOOKUP(C2060,Customers!A:C,2,FALSE)&amp;" "&amp;VLOOKUP(C2060,Customers!A:C,3,FALSE)</f>
        <v>Jeremy Robles</v>
      </c>
      <c r="J2060" t="str">
        <f>VLOOKUP(D2060,Products!A:C,2,FALSE)</f>
        <v>Traditional Laptop</v>
      </c>
      <c r="K2060" t="str">
        <f>VLOOKUP(D2060,Products!A:C,3,FALSE)</f>
        <v>Electronics</v>
      </c>
      <c r="L2060" t="str">
        <f>VLOOKUP(E2060,Stores!A:B,2,FALSE)</f>
        <v>MegaMart New Michele</v>
      </c>
      <c r="M2060">
        <f>VLOOKUP(D2060,Products!A:E,5,FALSE)</f>
        <v>1762.92</v>
      </c>
      <c r="N2060" s="5">
        <f t="shared" si="32"/>
        <v>1674.7739999999999</v>
      </c>
    </row>
    <row r="2061" spans="1:14" x14ac:dyDescent="0.3">
      <c r="A2061" t="s">
        <v>2917</v>
      </c>
      <c r="B2061" s="2">
        <v>45478</v>
      </c>
      <c r="C2061" t="s">
        <v>148</v>
      </c>
      <c r="D2061" t="s">
        <v>780</v>
      </c>
      <c r="E2061" t="s">
        <v>842</v>
      </c>
      <c r="F2061">
        <v>3</v>
      </c>
      <c r="G2061">
        <v>0</v>
      </c>
      <c r="H2061" t="s">
        <v>858</v>
      </c>
      <c r="I2061" t="str">
        <f>VLOOKUP(C2061,Customers!A:C,2,FALSE)&amp;" "&amp;VLOOKUP(C2061,Customers!A:C,3,FALSE)</f>
        <v>Tracey Davis</v>
      </c>
      <c r="J2061" t="str">
        <f>VLOOKUP(D2061,Products!A:C,2,FALSE)</f>
        <v>Hospital Smartphone</v>
      </c>
      <c r="K2061" t="str">
        <f>VLOOKUP(D2061,Products!A:C,3,FALSE)</f>
        <v>Electronics</v>
      </c>
      <c r="L2061" t="str">
        <f>VLOOKUP(E2061,Stores!A:B,2,FALSE)</f>
        <v>MegaMart Brianahaven</v>
      </c>
      <c r="M2061">
        <f>VLOOKUP(D2061,Products!A:E,5,FALSE)</f>
        <v>1272.23</v>
      </c>
      <c r="N2061" s="5">
        <f t="shared" si="32"/>
        <v>3816.69</v>
      </c>
    </row>
    <row r="2062" spans="1:14" x14ac:dyDescent="0.3">
      <c r="A2062" t="s">
        <v>2918</v>
      </c>
      <c r="B2062" s="2">
        <v>45283</v>
      </c>
      <c r="C2062" t="s">
        <v>258</v>
      </c>
      <c r="D2062" t="s">
        <v>806</v>
      </c>
      <c r="E2062" t="s">
        <v>846</v>
      </c>
      <c r="F2062">
        <v>1</v>
      </c>
      <c r="G2062">
        <v>0.15</v>
      </c>
      <c r="H2062" t="s">
        <v>861</v>
      </c>
      <c r="I2062" t="str">
        <f>VLOOKUP(C2062,Customers!A:C,2,FALSE)&amp;" "&amp;VLOOKUP(C2062,Customers!A:C,3,FALSE)</f>
        <v>Alexandra Montoya</v>
      </c>
      <c r="J2062" t="str">
        <f>VLOOKUP(D2062,Products!A:C,2,FALSE)</f>
        <v>Piece Headphones</v>
      </c>
      <c r="K2062" t="str">
        <f>VLOOKUP(D2062,Products!A:C,3,FALSE)</f>
        <v>Electronics</v>
      </c>
      <c r="L2062" t="str">
        <f>VLOOKUP(E2062,Stores!A:B,2,FALSE)</f>
        <v>MegaMart Johnmouth</v>
      </c>
      <c r="M2062">
        <f>VLOOKUP(D2062,Products!A:E,5,FALSE)</f>
        <v>1745.61</v>
      </c>
      <c r="N2062" s="5">
        <f t="shared" si="32"/>
        <v>1483.7684999999999</v>
      </c>
    </row>
    <row r="2063" spans="1:14" x14ac:dyDescent="0.3">
      <c r="A2063" t="s">
        <v>2919</v>
      </c>
      <c r="B2063" s="2">
        <v>45629</v>
      </c>
      <c r="C2063" t="s">
        <v>582</v>
      </c>
      <c r="D2063" t="s">
        <v>782</v>
      </c>
      <c r="E2063" t="s">
        <v>842</v>
      </c>
      <c r="F2063">
        <v>5</v>
      </c>
      <c r="G2063">
        <v>0</v>
      </c>
      <c r="H2063" t="s">
        <v>865</v>
      </c>
      <c r="I2063" t="str">
        <f>VLOOKUP(C2063,Customers!A:C,2,FALSE)&amp;" "&amp;VLOOKUP(C2063,Customers!A:C,3,FALSE)</f>
        <v>Erin Rogers</v>
      </c>
      <c r="J2063" t="str">
        <f>VLOOKUP(D2063,Products!A:C,2,FALSE)</f>
        <v>Deal Smartphone</v>
      </c>
      <c r="K2063" t="str">
        <f>VLOOKUP(D2063,Products!A:C,3,FALSE)</f>
        <v>Electronics</v>
      </c>
      <c r="L2063" t="str">
        <f>VLOOKUP(E2063,Stores!A:B,2,FALSE)</f>
        <v>MegaMart Brianahaven</v>
      </c>
      <c r="M2063">
        <f>VLOOKUP(D2063,Products!A:E,5,FALSE)</f>
        <v>673.78</v>
      </c>
      <c r="N2063" s="5">
        <f t="shared" si="32"/>
        <v>3368.8999999999996</v>
      </c>
    </row>
    <row r="2064" spans="1:14" x14ac:dyDescent="0.3">
      <c r="A2064" t="s">
        <v>2920</v>
      </c>
      <c r="B2064" s="2">
        <v>45511</v>
      </c>
      <c r="C2064" t="s">
        <v>217</v>
      </c>
      <c r="D2064" t="s">
        <v>810</v>
      </c>
      <c r="E2064" t="s">
        <v>835</v>
      </c>
      <c r="F2064">
        <v>4</v>
      </c>
      <c r="G2064">
        <v>0.05</v>
      </c>
      <c r="H2064" t="s">
        <v>858</v>
      </c>
      <c r="I2064" t="str">
        <f>VLOOKUP(C2064,Customers!A:C,2,FALSE)&amp;" "&amp;VLOOKUP(C2064,Customers!A:C,3,FALSE)</f>
        <v>Carl Wyatt</v>
      </c>
      <c r="J2064" t="str">
        <f>VLOOKUP(D2064,Products!A:C,2,FALSE)</f>
        <v>Maybe Clothing</v>
      </c>
      <c r="K2064" t="str">
        <f>VLOOKUP(D2064,Products!A:C,3,FALSE)</f>
        <v>Fashion</v>
      </c>
      <c r="L2064" t="str">
        <f>VLOOKUP(E2064,Stores!A:B,2,FALSE)</f>
        <v>MegaMart Peckmouth</v>
      </c>
      <c r="M2064">
        <f>VLOOKUP(D2064,Products!A:E,5,FALSE)</f>
        <v>453.62</v>
      </c>
      <c r="N2064" s="5">
        <f t="shared" si="32"/>
        <v>1723.7559999999999</v>
      </c>
    </row>
    <row r="2065" spans="1:14" x14ac:dyDescent="0.3">
      <c r="A2065" t="s">
        <v>2921</v>
      </c>
      <c r="B2065" s="2">
        <v>45333</v>
      </c>
      <c r="C2065" t="s">
        <v>217</v>
      </c>
      <c r="D2065" t="s">
        <v>816</v>
      </c>
      <c r="E2065" t="s">
        <v>839</v>
      </c>
      <c r="F2065">
        <v>2</v>
      </c>
      <c r="G2065">
        <v>0.05</v>
      </c>
      <c r="H2065" t="s">
        <v>865</v>
      </c>
      <c r="I2065" t="str">
        <f>VLOOKUP(C2065,Customers!A:C,2,FALSE)&amp;" "&amp;VLOOKUP(C2065,Customers!A:C,3,FALSE)</f>
        <v>Carl Wyatt</v>
      </c>
      <c r="J2065" t="str">
        <f>VLOOKUP(D2065,Products!A:C,2,FALSE)</f>
        <v>Set Dairy</v>
      </c>
      <c r="K2065" t="str">
        <f>VLOOKUP(D2065,Products!A:C,3,FALSE)</f>
        <v>Groceries</v>
      </c>
      <c r="L2065" t="str">
        <f>VLOOKUP(E2065,Stores!A:B,2,FALSE)</f>
        <v>MegaMart New Michele</v>
      </c>
      <c r="M2065">
        <f>VLOOKUP(D2065,Products!A:E,5,FALSE)</f>
        <v>1879.08</v>
      </c>
      <c r="N2065" s="5">
        <f t="shared" si="32"/>
        <v>3570.2519999999995</v>
      </c>
    </row>
    <row r="2066" spans="1:14" x14ac:dyDescent="0.3">
      <c r="A2066" t="s">
        <v>2922</v>
      </c>
      <c r="B2066" s="2">
        <v>45834</v>
      </c>
      <c r="C2066" t="s">
        <v>358</v>
      </c>
      <c r="D2066" t="s">
        <v>732</v>
      </c>
      <c r="E2066" t="s">
        <v>839</v>
      </c>
      <c r="F2066">
        <v>1</v>
      </c>
      <c r="G2066">
        <v>0.1</v>
      </c>
      <c r="H2066" t="s">
        <v>855</v>
      </c>
      <c r="I2066" t="str">
        <f>VLOOKUP(C2066,Customers!A:C,2,FALSE)&amp;" "&amp;VLOOKUP(C2066,Customers!A:C,3,FALSE)</f>
        <v>Kevin Snyder</v>
      </c>
      <c r="J2066" t="str">
        <f>VLOOKUP(D2066,Products!A:C,2,FALSE)</f>
        <v>Understand Camera</v>
      </c>
      <c r="K2066" t="str">
        <f>VLOOKUP(D2066,Products!A:C,3,FALSE)</f>
        <v>Electronics</v>
      </c>
      <c r="L2066" t="str">
        <f>VLOOKUP(E2066,Stores!A:B,2,FALSE)</f>
        <v>MegaMart New Michele</v>
      </c>
      <c r="M2066">
        <f>VLOOKUP(D2066,Products!A:E,5,FALSE)</f>
        <v>1474.12</v>
      </c>
      <c r="N2066" s="5">
        <f t="shared" si="32"/>
        <v>1326.7079999999999</v>
      </c>
    </row>
    <row r="2067" spans="1:14" x14ac:dyDescent="0.3">
      <c r="A2067" t="s">
        <v>2923</v>
      </c>
      <c r="B2067" s="2">
        <v>45345</v>
      </c>
      <c r="C2067" t="s">
        <v>472</v>
      </c>
      <c r="D2067" t="s">
        <v>739</v>
      </c>
      <c r="E2067" t="s">
        <v>831</v>
      </c>
      <c r="F2067">
        <v>4</v>
      </c>
      <c r="G2067">
        <v>0.15</v>
      </c>
      <c r="H2067" t="s">
        <v>858</v>
      </c>
      <c r="I2067" t="str">
        <f>VLOOKUP(C2067,Customers!A:C,2,FALSE)&amp;" "&amp;VLOOKUP(C2067,Customers!A:C,3,FALSE)</f>
        <v>Gary Taylor</v>
      </c>
      <c r="J2067" t="str">
        <f>VLOOKUP(D2067,Products!A:C,2,FALSE)</f>
        <v>Step Smartphone</v>
      </c>
      <c r="K2067" t="str">
        <f>VLOOKUP(D2067,Products!A:C,3,FALSE)</f>
        <v>Electronics</v>
      </c>
      <c r="L2067" t="str">
        <f>VLOOKUP(E2067,Stores!A:B,2,FALSE)</f>
        <v>MegaMart Jimenezborough</v>
      </c>
      <c r="M2067">
        <f>VLOOKUP(D2067,Products!A:E,5,FALSE)</f>
        <v>1194.1199999999999</v>
      </c>
      <c r="N2067" s="5">
        <f t="shared" si="32"/>
        <v>4060.0079999999994</v>
      </c>
    </row>
    <row r="2068" spans="1:14" x14ac:dyDescent="0.3">
      <c r="A2068" t="s">
        <v>2924</v>
      </c>
      <c r="B2068" s="2">
        <v>45288</v>
      </c>
      <c r="C2068" t="s">
        <v>396</v>
      </c>
      <c r="D2068" t="s">
        <v>728</v>
      </c>
      <c r="E2068" t="s">
        <v>839</v>
      </c>
      <c r="F2068">
        <v>3</v>
      </c>
      <c r="G2068">
        <v>0.15</v>
      </c>
      <c r="H2068" t="s">
        <v>855</v>
      </c>
      <c r="I2068" t="str">
        <f>VLOOKUP(C2068,Customers!A:C,2,FALSE)&amp;" "&amp;VLOOKUP(C2068,Customers!A:C,3,FALSE)</f>
        <v>Kevin Flores</v>
      </c>
      <c r="J2068" t="str">
        <f>VLOOKUP(D2068,Products!A:C,2,FALSE)</f>
        <v>Company Fruits</v>
      </c>
      <c r="K2068" t="str">
        <f>VLOOKUP(D2068,Products!A:C,3,FALSE)</f>
        <v>Groceries</v>
      </c>
      <c r="L2068" t="str">
        <f>VLOOKUP(E2068,Stores!A:B,2,FALSE)</f>
        <v>MegaMart New Michele</v>
      </c>
      <c r="M2068">
        <f>VLOOKUP(D2068,Products!A:E,5,FALSE)</f>
        <v>318.05</v>
      </c>
      <c r="N2068" s="5">
        <f t="shared" si="32"/>
        <v>811.02750000000003</v>
      </c>
    </row>
    <row r="2069" spans="1:14" x14ac:dyDescent="0.3">
      <c r="A2069" t="s">
        <v>2925</v>
      </c>
      <c r="B2069" s="2">
        <v>45610</v>
      </c>
      <c r="C2069" t="s">
        <v>119</v>
      </c>
      <c r="D2069" t="s">
        <v>715</v>
      </c>
      <c r="E2069" t="s">
        <v>835</v>
      </c>
      <c r="F2069">
        <v>4</v>
      </c>
      <c r="G2069">
        <v>0.15</v>
      </c>
      <c r="H2069" t="s">
        <v>855</v>
      </c>
      <c r="I2069" t="str">
        <f>VLOOKUP(C2069,Customers!A:C,2,FALSE)&amp;" "&amp;VLOOKUP(C2069,Customers!A:C,3,FALSE)</f>
        <v>Lacey Hall</v>
      </c>
      <c r="J2069" t="str">
        <f>VLOOKUP(D2069,Products!A:C,2,FALSE)</f>
        <v>Audience Television</v>
      </c>
      <c r="K2069" t="str">
        <f>VLOOKUP(D2069,Products!A:C,3,FALSE)</f>
        <v>Electronics</v>
      </c>
      <c r="L2069" t="str">
        <f>VLOOKUP(E2069,Stores!A:B,2,FALSE)</f>
        <v>MegaMart Peckmouth</v>
      </c>
      <c r="M2069">
        <f>VLOOKUP(D2069,Products!A:E,5,FALSE)</f>
        <v>818.76</v>
      </c>
      <c r="N2069" s="5">
        <f t="shared" si="32"/>
        <v>2783.7840000000001</v>
      </c>
    </row>
    <row r="2070" spans="1:14" x14ac:dyDescent="0.3">
      <c r="A2070" t="s">
        <v>2926</v>
      </c>
      <c r="B2070" s="2">
        <v>45860</v>
      </c>
      <c r="C2070" t="s">
        <v>179</v>
      </c>
      <c r="D2070" t="s">
        <v>808</v>
      </c>
      <c r="E2070" t="s">
        <v>846</v>
      </c>
      <c r="F2070">
        <v>5</v>
      </c>
      <c r="G2070">
        <v>0.05</v>
      </c>
      <c r="H2070" t="s">
        <v>858</v>
      </c>
      <c r="I2070" t="str">
        <f>VLOOKUP(C2070,Customers!A:C,2,FALSE)&amp;" "&amp;VLOOKUP(C2070,Customers!A:C,3,FALSE)</f>
        <v>Dennis Poole</v>
      </c>
      <c r="J2070" t="str">
        <f>VLOOKUP(D2070,Products!A:C,2,FALSE)</f>
        <v>Present Television</v>
      </c>
      <c r="K2070" t="str">
        <f>VLOOKUP(D2070,Products!A:C,3,FALSE)</f>
        <v>Electronics</v>
      </c>
      <c r="L2070" t="str">
        <f>VLOOKUP(E2070,Stores!A:B,2,FALSE)</f>
        <v>MegaMart Johnmouth</v>
      </c>
      <c r="M2070">
        <f>VLOOKUP(D2070,Products!A:E,5,FALSE)</f>
        <v>1635.01</v>
      </c>
      <c r="N2070" s="5">
        <f t="shared" si="32"/>
        <v>7766.2974999999997</v>
      </c>
    </row>
    <row r="2071" spans="1:14" x14ac:dyDescent="0.3">
      <c r="A2071" t="s">
        <v>2927</v>
      </c>
      <c r="B2071" s="2">
        <v>45746</v>
      </c>
      <c r="C2071" t="s">
        <v>368</v>
      </c>
      <c r="D2071" t="s">
        <v>747</v>
      </c>
      <c r="E2071" t="s">
        <v>839</v>
      </c>
      <c r="F2071">
        <v>4</v>
      </c>
      <c r="G2071">
        <v>0.1</v>
      </c>
      <c r="H2071" t="s">
        <v>865</v>
      </c>
      <c r="I2071" t="str">
        <f>VLOOKUP(C2071,Customers!A:C,2,FALSE)&amp;" "&amp;VLOOKUP(C2071,Customers!A:C,3,FALSE)</f>
        <v>Lisa Vega</v>
      </c>
      <c r="J2071" t="str">
        <f>VLOOKUP(D2071,Products!A:C,2,FALSE)</f>
        <v>World Watches</v>
      </c>
      <c r="K2071" t="str">
        <f>VLOOKUP(D2071,Products!A:C,3,FALSE)</f>
        <v>Fashion</v>
      </c>
      <c r="L2071" t="str">
        <f>VLOOKUP(E2071,Stores!A:B,2,FALSE)</f>
        <v>MegaMart New Michele</v>
      </c>
      <c r="M2071">
        <f>VLOOKUP(D2071,Products!A:E,5,FALSE)</f>
        <v>1134.8</v>
      </c>
      <c r="N2071" s="5">
        <f t="shared" si="32"/>
        <v>4085.2799999999997</v>
      </c>
    </row>
    <row r="2072" spans="1:14" x14ac:dyDescent="0.3">
      <c r="A2072" t="s">
        <v>2928</v>
      </c>
      <c r="B2072" s="2">
        <v>45395</v>
      </c>
      <c r="C2072" t="s">
        <v>93</v>
      </c>
      <c r="D2072" t="s">
        <v>722</v>
      </c>
      <c r="E2072" t="s">
        <v>831</v>
      </c>
      <c r="F2072">
        <v>1</v>
      </c>
      <c r="G2072">
        <v>0</v>
      </c>
      <c r="H2072" t="s">
        <v>858</v>
      </c>
      <c r="I2072" t="str">
        <f>VLOOKUP(C2072,Customers!A:C,2,FALSE)&amp;" "&amp;VLOOKUP(C2072,Customers!A:C,3,FALSE)</f>
        <v>Mark Martinez</v>
      </c>
      <c r="J2072" t="str">
        <f>VLOOKUP(D2072,Products!A:C,2,FALSE)</f>
        <v>Four Accessories</v>
      </c>
      <c r="K2072" t="str">
        <f>VLOOKUP(D2072,Products!A:C,3,FALSE)</f>
        <v>Fashion</v>
      </c>
      <c r="L2072" t="str">
        <f>VLOOKUP(E2072,Stores!A:B,2,FALSE)</f>
        <v>MegaMart Jimenezborough</v>
      </c>
      <c r="M2072">
        <f>VLOOKUP(D2072,Products!A:E,5,FALSE)</f>
        <v>1853.77</v>
      </c>
      <c r="N2072" s="5">
        <f t="shared" si="32"/>
        <v>1853.77</v>
      </c>
    </row>
    <row r="2073" spans="1:14" x14ac:dyDescent="0.3">
      <c r="A2073" t="s">
        <v>2929</v>
      </c>
      <c r="B2073" s="2">
        <v>45837</v>
      </c>
      <c r="C2073" t="s">
        <v>109</v>
      </c>
      <c r="D2073" t="s">
        <v>802</v>
      </c>
      <c r="E2073" t="s">
        <v>842</v>
      </c>
      <c r="F2073">
        <v>5</v>
      </c>
      <c r="G2073">
        <v>0</v>
      </c>
      <c r="H2073" t="s">
        <v>858</v>
      </c>
      <c r="I2073" t="str">
        <f>VLOOKUP(C2073,Customers!A:C,2,FALSE)&amp;" "&amp;VLOOKUP(C2073,Customers!A:C,3,FALSE)</f>
        <v>Jacqueline Martin</v>
      </c>
      <c r="J2073" t="str">
        <f>VLOOKUP(D2073,Products!A:C,2,FALSE)</f>
        <v>Stage Footwear</v>
      </c>
      <c r="K2073" t="str">
        <f>VLOOKUP(D2073,Products!A:C,3,FALSE)</f>
        <v>Fashion</v>
      </c>
      <c r="L2073" t="str">
        <f>VLOOKUP(E2073,Stores!A:B,2,FALSE)</f>
        <v>MegaMart Brianahaven</v>
      </c>
      <c r="M2073">
        <f>VLOOKUP(D2073,Products!A:E,5,FALSE)</f>
        <v>366.93</v>
      </c>
      <c r="N2073" s="5">
        <f t="shared" si="32"/>
        <v>1834.65</v>
      </c>
    </row>
    <row r="2074" spans="1:14" x14ac:dyDescent="0.3">
      <c r="A2074" t="s">
        <v>2930</v>
      </c>
      <c r="B2074" s="2">
        <v>45271</v>
      </c>
      <c r="C2074" t="s">
        <v>472</v>
      </c>
      <c r="D2074" t="s">
        <v>784</v>
      </c>
      <c r="E2074" t="s">
        <v>846</v>
      </c>
      <c r="F2074">
        <v>1</v>
      </c>
      <c r="G2074">
        <v>0.1</v>
      </c>
      <c r="H2074" t="s">
        <v>858</v>
      </c>
      <c r="I2074" t="str">
        <f>VLOOKUP(C2074,Customers!A:C,2,FALSE)&amp;" "&amp;VLOOKUP(C2074,Customers!A:C,3,FALSE)</f>
        <v>Gary Taylor</v>
      </c>
      <c r="J2074" t="str">
        <f>VLOOKUP(D2074,Products!A:C,2,FALSE)</f>
        <v>Road Clothing</v>
      </c>
      <c r="K2074" t="str">
        <f>VLOOKUP(D2074,Products!A:C,3,FALSE)</f>
        <v>Fashion</v>
      </c>
      <c r="L2074" t="str">
        <f>VLOOKUP(E2074,Stores!A:B,2,FALSE)</f>
        <v>MegaMart Johnmouth</v>
      </c>
      <c r="M2074">
        <f>VLOOKUP(D2074,Products!A:E,5,FALSE)</f>
        <v>1485.05</v>
      </c>
      <c r="N2074" s="5">
        <f t="shared" si="32"/>
        <v>1336.5450000000001</v>
      </c>
    </row>
    <row r="2075" spans="1:14" x14ac:dyDescent="0.3">
      <c r="A2075" t="s">
        <v>2931</v>
      </c>
      <c r="B2075" s="2">
        <v>45345</v>
      </c>
      <c r="C2075" t="s">
        <v>213</v>
      </c>
      <c r="D2075" t="s">
        <v>759</v>
      </c>
      <c r="E2075" t="s">
        <v>835</v>
      </c>
      <c r="F2075">
        <v>4</v>
      </c>
      <c r="G2075">
        <v>0.15</v>
      </c>
      <c r="H2075" t="s">
        <v>865</v>
      </c>
      <c r="I2075" t="str">
        <f>VLOOKUP(C2075,Customers!A:C,2,FALSE)&amp;" "&amp;VLOOKUP(C2075,Customers!A:C,3,FALSE)</f>
        <v>Deborah Moody</v>
      </c>
      <c r="J2075" t="str">
        <f>VLOOKUP(D2075,Products!A:C,2,FALSE)</f>
        <v>Democratic Smartphone</v>
      </c>
      <c r="K2075" t="str">
        <f>VLOOKUP(D2075,Products!A:C,3,FALSE)</f>
        <v>Electronics</v>
      </c>
      <c r="L2075" t="str">
        <f>VLOOKUP(E2075,Stores!A:B,2,FALSE)</f>
        <v>MegaMart Peckmouth</v>
      </c>
      <c r="M2075">
        <f>VLOOKUP(D2075,Products!A:E,5,FALSE)</f>
        <v>1079.8900000000001</v>
      </c>
      <c r="N2075" s="5">
        <f t="shared" si="32"/>
        <v>3671.6260000000002</v>
      </c>
    </row>
    <row r="2076" spans="1:14" x14ac:dyDescent="0.3">
      <c r="A2076" t="s">
        <v>2932</v>
      </c>
      <c r="B2076" s="2">
        <v>45328</v>
      </c>
      <c r="C2076" t="s">
        <v>198</v>
      </c>
      <c r="D2076" t="s">
        <v>734</v>
      </c>
      <c r="E2076" t="s">
        <v>842</v>
      </c>
      <c r="F2076">
        <v>1</v>
      </c>
      <c r="G2076">
        <v>0.1</v>
      </c>
      <c r="H2076" t="s">
        <v>858</v>
      </c>
      <c r="I2076" t="str">
        <f>VLOOKUP(C2076,Customers!A:C,2,FALSE)&amp;" "&amp;VLOOKUP(C2076,Customers!A:C,3,FALSE)</f>
        <v>Madison Sellers</v>
      </c>
      <c r="J2076" t="str">
        <f>VLOOKUP(D2076,Products!A:C,2,FALSE)</f>
        <v>Recognize Footwear</v>
      </c>
      <c r="K2076" t="str">
        <f>VLOOKUP(D2076,Products!A:C,3,FALSE)</f>
        <v>Fashion</v>
      </c>
      <c r="L2076" t="str">
        <f>VLOOKUP(E2076,Stores!A:B,2,FALSE)</f>
        <v>MegaMart Brianahaven</v>
      </c>
      <c r="M2076">
        <f>VLOOKUP(D2076,Products!A:E,5,FALSE)</f>
        <v>109.78</v>
      </c>
      <c r="N2076" s="5">
        <f t="shared" si="32"/>
        <v>98.802000000000007</v>
      </c>
    </row>
    <row r="2077" spans="1:14" x14ac:dyDescent="0.3">
      <c r="A2077" t="s">
        <v>2933</v>
      </c>
      <c r="B2077" s="2">
        <v>45295</v>
      </c>
      <c r="C2077" t="s">
        <v>396</v>
      </c>
      <c r="D2077" t="s">
        <v>739</v>
      </c>
      <c r="E2077" t="s">
        <v>842</v>
      </c>
      <c r="F2077">
        <v>1</v>
      </c>
      <c r="G2077">
        <v>0.1</v>
      </c>
      <c r="H2077" t="s">
        <v>861</v>
      </c>
      <c r="I2077" t="str">
        <f>VLOOKUP(C2077,Customers!A:C,2,FALSE)&amp;" "&amp;VLOOKUP(C2077,Customers!A:C,3,FALSE)</f>
        <v>Kevin Flores</v>
      </c>
      <c r="J2077" t="str">
        <f>VLOOKUP(D2077,Products!A:C,2,FALSE)</f>
        <v>Step Smartphone</v>
      </c>
      <c r="K2077" t="str">
        <f>VLOOKUP(D2077,Products!A:C,3,FALSE)</f>
        <v>Electronics</v>
      </c>
      <c r="L2077" t="str">
        <f>VLOOKUP(E2077,Stores!A:B,2,FALSE)</f>
        <v>MegaMart Brianahaven</v>
      </c>
      <c r="M2077">
        <f>VLOOKUP(D2077,Products!A:E,5,FALSE)</f>
        <v>1194.1199999999999</v>
      </c>
      <c r="N2077" s="5">
        <f t="shared" si="32"/>
        <v>1074.7079999999999</v>
      </c>
    </row>
    <row r="2078" spans="1:14" x14ac:dyDescent="0.3">
      <c r="A2078" t="s">
        <v>2934</v>
      </c>
      <c r="B2078" s="2">
        <v>45591</v>
      </c>
      <c r="C2078" t="s">
        <v>476</v>
      </c>
      <c r="D2078" t="s">
        <v>774</v>
      </c>
      <c r="E2078" t="s">
        <v>839</v>
      </c>
      <c r="F2078">
        <v>3</v>
      </c>
      <c r="G2078">
        <v>0.1</v>
      </c>
      <c r="H2078" t="s">
        <v>855</v>
      </c>
      <c r="I2078" t="str">
        <f>VLOOKUP(C2078,Customers!A:C,2,FALSE)&amp;" "&amp;VLOOKUP(C2078,Customers!A:C,3,FALSE)</f>
        <v>Aaron Bailey</v>
      </c>
      <c r="J2078" t="str">
        <f>VLOOKUP(D2078,Products!A:C,2,FALSE)</f>
        <v>Him Smartphone</v>
      </c>
      <c r="K2078" t="str">
        <f>VLOOKUP(D2078,Products!A:C,3,FALSE)</f>
        <v>Electronics</v>
      </c>
      <c r="L2078" t="str">
        <f>VLOOKUP(E2078,Stores!A:B,2,FALSE)</f>
        <v>MegaMart New Michele</v>
      </c>
      <c r="M2078">
        <f>VLOOKUP(D2078,Products!A:E,5,FALSE)</f>
        <v>1487.41</v>
      </c>
      <c r="N2078" s="5">
        <f t="shared" si="32"/>
        <v>4016.0070000000005</v>
      </c>
    </row>
    <row r="2079" spans="1:14" x14ac:dyDescent="0.3">
      <c r="A2079" t="s">
        <v>2935</v>
      </c>
      <c r="B2079" s="2">
        <v>45458</v>
      </c>
      <c r="C2079" t="s">
        <v>399</v>
      </c>
      <c r="D2079" t="s">
        <v>736</v>
      </c>
      <c r="E2079" t="s">
        <v>835</v>
      </c>
      <c r="F2079">
        <v>1</v>
      </c>
      <c r="G2079">
        <v>0.15</v>
      </c>
      <c r="H2079" t="s">
        <v>865</v>
      </c>
      <c r="I2079" t="str">
        <f>VLOOKUP(C2079,Customers!A:C,2,FALSE)&amp;" "&amp;VLOOKUP(C2079,Customers!A:C,3,FALSE)</f>
        <v>Victoria Hansen</v>
      </c>
      <c r="J2079" t="str">
        <f>VLOOKUP(D2079,Products!A:C,2,FALSE)</f>
        <v>Us Snacks</v>
      </c>
      <c r="K2079" t="str">
        <f>VLOOKUP(D2079,Products!A:C,3,FALSE)</f>
        <v>Groceries</v>
      </c>
      <c r="L2079" t="str">
        <f>VLOOKUP(E2079,Stores!A:B,2,FALSE)</f>
        <v>MegaMart Peckmouth</v>
      </c>
      <c r="M2079">
        <f>VLOOKUP(D2079,Products!A:E,5,FALSE)</f>
        <v>123.19</v>
      </c>
      <c r="N2079" s="5">
        <f t="shared" si="32"/>
        <v>104.7115</v>
      </c>
    </row>
    <row r="2080" spans="1:14" x14ac:dyDescent="0.3">
      <c r="A2080" t="s">
        <v>2936</v>
      </c>
      <c r="B2080" s="2">
        <v>45872</v>
      </c>
      <c r="C2080" t="s">
        <v>20</v>
      </c>
      <c r="D2080" t="s">
        <v>764</v>
      </c>
      <c r="E2080" t="s">
        <v>831</v>
      </c>
      <c r="F2080">
        <v>2</v>
      </c>
      <c r="G2080">
        <v>0.1</v>
      </c>
      <c r="H2080" t="s">
        <v>855</v>
      </c>
      <c r="I2080" t="str">
        <f>VLOOKUP(C2080,Customers!A:C,2,FALSE)&amp;" "&amp;VLOOKUP(C2080,Customers!A:C,3,FALSE)</f>
        <v>Joseph Ward</v>
      </c>
      <c r="J2080" t="str">
        <f>VLOOKUP(D2080,Products!A:C,2,FALSE)</f>
        <v>Simple Accessories</v>
      </c>
      <c r="K2080" t="str">
        <f>VLOOKUP(D2080,Products!A:C,3,FALSE)</f>
        <v>Fashion</v>
      </c>
      <c r="L2080" t="str">
        <f>VLOOKUP(E2080,Stores!A:B,2,FALSE)</f>
        <v>MegaMart Jimenezborough</v>
      </c>
      <c r="M2080">
        <f>VLOOKUP(D2080,Products!A:E,5,FALSE)</f>
        <v>323.92</v>
      </c>
      <c r="N2080" s="5">
        <f t="shared" si="32"/>
        <v>583.05600000000004</v>
      </c>
    </row>
    <row r="2081" spans="1:14" x14ac:dyDescent="0.3">
      <c r="A2081" t="s">
        <v>2937</v>
      </c>
      <c r="B2081" s="2">
        <v>45790</v>
      </c>
      <c r="C2081" t="s">
        <v>324</v>
      </c>
      <c r="D2081" t="s">
        <v>745</v>
      </c>
      <c r="E2081" t="s">
        <v>835</v>
      </c>
      <c r="F2081">
        <v>5</v>
      </c>
      <c r="G2081">
        <v>0.15</v>
      </c>
      <c r="H2081" t="s">
        <v>861</v>
      </c>
      <c r="I2081" t="str">
        <f>VLOOKUP(C2081,Customers!A:C,2,FALSE)&amp;" "&amp;VLOOKUP(C2081,Customers!A:C,3,FALSE)</f>
        <v>Lawrence Hunter</v>
      </c>
      <c r="J2081" t="str">
        <f>VLOOKUP(D2081,Products!A:C,2,FALSE)</f>
        <v>Above Camera</v>
      </c>
      <c r="K2081" t="str">
        <f>VLOOKUP(D2081,Products!A:C,3,FALSE)</f>
        <v>Electronics</v>
      </c>
      <c r="L2081" t="str">
        <f>VLOOKUP(E2081,Stores!A:B,2,FALSE)</f>
        <v>MegaMart Peckmouth</v>
      </c>
      <c r="M2081">
        <f>VLOOKUP(D2081,Products!A:E,5,FALSE)</f>
        <v>1193.0899999999999</v>
      </c>
      <c r="N2081" s="5">
        <f t="shared" si="32"/>
        <v>5070.6324999999997</v>
      </c>
    </row>
    <row r="2082" spans="1:14" x14ac:dyDescent="0.3">
      <c r="A2082" t="s">
        <v>2938</v>
      </c>
      <c r="B2082" s="2">
        <v>45591</v>
      </c>
      <c r="C2082" t="s">
        <v>520</v>
      </c>
      <c r="D2082" t="s">
        <v>826</v>
      </c>
      <c r="E2082" t="s">
        <v>842</v>
      </c>
      <c r="F2082">
        <v>2</v>
      </c>
      <c r="G2082">
        <v>0.15</v>
      </c>
      <c r="H2082" t="s">
        <v>865</v>
      </c>
      <c r="I2082" t="str">
        <f>VLOOKUP(C2082,Customers!A:C,2,FALSE)&amp;" "&amp;VLOOKUP(C2082,Customers!A:C,3,FALSE)</f>
        <v>Cynthia Carlson</v>
      </c>
      <c r="J2082" t="str">
        <f>VLOOKUP(D2082,Products!A:C,2,FALSE)</f>
        <v>Maybe Footwear</v>
      </c>
      <c r="K2082" t="str">
        <f>VLOOKUP(D2082,Products!A:C,3,FALSE)</f>
        <v>Fashion</v>
      </c>
      <c r="L2082" t="str">
        <f>VLOOKUP(E2082,Stores!A:B,2,FALSE)</f>
        <v>MegaMart Brianahaven</v>
      </c>
      <c r="M2082">
        <f>VLOOKUP(D2082,Products!A:E,5,FALSE)</f>
        <v>1044.6400000000001</v>
      </c>
      <c r="N2082" s="5">
        <f t="shared" si="32"/>
        <v>1775.8880000000001</v>
      </c>
    </row>
    <row r="2083" spans="1:14" x14ac:dyDescent="0.3">
      <c r="A2083" t="s">
        <v>2939</v>
      </c>
      <c r="B2083" s="2">
        <v>45185</v>
      </c>
      <c r="C2083" t="s">
        <v>536</v>
      </c>
      <c r="D2083" t="s">
        <v>747</v>
      </c>
      <c r="E2083" t="s">
        <v>842</v>
      </c>
      <c r="F2083">
        <v>2</v>
      </c>
      <c r="G2083">
        <v>0.15</v>
      </c>
      <c r="H2083" t="s">
        <v>861</v>
      </c>
      <c r="I2083" t="str">
        <f>VLOOKUP(C2083,Customers!A:C,2,FALSE)&amp;" "&amp;VLOOKUP(C2083,Customers!A:C,3,FALSE)</f>
        <v>John Foster</v>
      </c>
      <c r="J2083" t="str">
        <f>VLOOKUP(D2083,Products!A:C,2,FALSE)</f>
        <v>World Watches</v>
      </c>
      <c r="K2083" t="str">
        <f>VLOOKUP(D2083,Products!A:C,3,FALSE)</f>
        <v>Fashion</v>
      </c>
      <c r="L2083" t="str">
        <f>VLOOKUP(E2083,Stores!A:B,2,FALSE)</f>
        <v>MegaMart Brianahaven</v>
      </c>
      <c r="M2083">
        <f>VLOOKUP(D2083,Products!A:E,5,FALSE)</f>
        <v>1134.8</v>
      </c>
      <c r="N2083" s="5">
        <f t="shared" si="32"/>
        <v>1929.1599999999999</v>
      </c>
    </row>
    <row r="2084" spans="1:14" x14ac:dyDescent="0.3">
      <c r="A2084" t="s">
        <v>2940</v>
      </c>
      <c r="B2084" s="2">
        <v>45816</v>
      </c>
      <c r="C2084" t="s">
        <v>390</v>
      </c>
      <c r="D2084" t="s">
        <v>782</v>
      </c>
      <c r="E2084" t="s">
        <v>839</v>
      </c>
      <c r="F2084">
        <v>5</v>
      </c>
      <c r="G2084">
        <v>0.05</v>
      </c>
      <c r="H2084" t="s">
        <v>858</v>
      </c>
      <c r="I2084" t="str">
        <f>VLOOKUP(C2084,Customers!A:C,2,FALSE)&amp;" "&amp;VLOOKUP(C2084,Customers!A:C,3,FALSE)</f>
        <v>Brenda Dean</v>
      </c>
      <c r="J2084" t="str">
        <f>VLOOKUP(D2084,Products!A:C,2,FALSE)</f>
        <v>Deal Smartphone</v>
      </c>
      <c r="K2084" t="str">
        <f>VLOOKUP(D2084,Products!A:C,3,FALSE)</f>
        <v>Electronics</v>
      </c>
      <c r="L2084" t="str">
        <f>VLOOKUP(E2084,Stores!A:B,2,FALSE)</f>
        <v>MegaMart New Michele</v>
      </c>
      <c r="M2084">
        <f>VLOOKUP(D2084,Products!A:E,5,FALSE)</f>
        <v>673.78</v>
      </c>
      <c r="N2084" s="5">
        <f t="shared" si="32"/>
        <v>3200.4549999999995</v>
      </c>
    </row>
    <row r="2085" spans="1:14" x14ac:dyDescent="0.3">
      <c r="A2085" t="s">
        <v>2941</v>
      </c>
      <c r="B2085" s="2">
        <v>45313</v>
      </c>
      <c r="C2085" t="s">
        <v>230</v>
      </c>
      <c r="D2085" t="s">
        <v>755</v>
      </c>
      <c r="E2085" t="s">
        <v>831</v>
      </c>
      <c r="F2085">
        <v>2</v>
      </c>
      <c r="G2085">
        <v>0</v>
      </c>
      <c r="H2085" t="s">
        <v>858</v>
      </c>
      <c r="I2085" t="str">
        <f>VLOOKUP(C2085,Customers!A:C,2,FALSE)&amp;" "&amp;VLOOKUP(C2085,Customers!A:C,3,FALSE)</f>
        <v>Anthony Conway</v>
      </c>
      <c r="J2085" t="str">
        <f>VLOOKUP(D2085,Products!A:C,2,FALSE)</f>
        <v>House Accessories</v>
      </c>
      <c r="K2085" t="str">
        <f>VLOOKUP(D2085,Products!A:C,3,FALSE)</f>
        <v>Fashion</v>
      </c>
      <c r="L2085" t="str">
        <f>VLOOKUP(E2085,Stores!A:B,2,FALSE)</f>
        <v>MegaMart Jimenezborough</v>
      </c>
      <c r="M2085">
        <f>VLOOKUP(D2085,Products!A:E,5,FALSE)</f>
        <v>1858.75</v>
      </c>
      <c r="N2085" s="5">
        <f t="shared" si="32"/>
        <v>3717.5</v>
      </c>
    </row>
    <row r="2086" spans="1:14" x14ac:dyDescent="0.3">
      <c r="A2086" t="s">
        <v>2942</v>
      </c>
      <c r="B2086" s="2">
        <v>45723</v>
      </c>
      <c r="C2086" t="s">
        <v>690</v>
      </c>
      <c r="D2086" t="s">
        <v>824</v>
      </c>
      <c r="E2086" t="s">
        <v>839</v>
      </c>
      <c r="F2086">
        <v>5</v>
      </c>
      <c r="G2086">
        <v>0.05</v>
      </c>
      <c r="H2086" t="s">
        <v>855</v>
      </c>
      <c r="I2086" t="str">
        <f>VLOOKUP(C2086,Customers!A:C,2,FALSE)&amp;" "&amp;VLOOKUP(C2086,Customers!A:C,3,FALSE)</f>
        <v>James Noble</v>
      </c>
      <c r="J2086" t="str">
        <f>VLOOKUP(D2086,Products!A:C,2,FALSE)</f>
        <v>Possible Watches</v>
      </c>
      <c r="K2086" t="str">
        <f>VLOOKUP(D2086,Products!A:C,3,FALSE)</f>
        <v>Fashion</v>
      </c>
      <c r="L2086" t="str">
        <f>VLOOKUP(E2086,Stores!A:B,2,FALSE)</f>
        <v>MegaMart New Michele</v>
      </c>
      <c r="M2086">
        <f>VLOOKUP(D2086,Products!A:E,5,FALSE)</f>
        <v>388.26</v>
      </c>
      <c r="N2086" s="5">
        <f t="shared" si="32"/>
        <v>1844.2349999999999</v>
      </c>
    </row>
    <row r="2087" spans="1:14" x14ac:dyDescent="0.3">
      <c r="A2087" t="s">
        <v>2943</v>
      </c>
      <c r="B2087" s="2">
        <v>45337</v>
      </c>
      <c r="C2087" t="s">
        <v>206</v>
      </c>
      <c r="D2087" t="s">
        <v>810</v>
      </c>
      <c r="E2087" t="s">
        <v>831</v>
      </c>
      <c r="F2087">
        <v>1</v>
      </c>
      <c r="G2087">
        <v>0</v>
      </c>
      <c r="H2087" t="s">
        <v>858</v>
      </c>
      <c r="I2087" t="str">
        <f>VLOOKUP(C2087,Customers!A:C,2,FALSE)&amp;" "&amp;VLOOKUP(C2087,Customers!A:C,3,FALSE)</f>
        <v>Felicia Morgan</v>
      </c>
      <c r="J2087" t="str">
        <f>VLOOKUP(D2087,Products!A:C,2,FALSE)</f>
        <v>Maybe Clothing</v>
      </c>
      <c r="K2087" t="str">
        <f>VLOOKUP(D2087,Products!A:C,3,FALSE)</f>
        <v>Fashion</v>
      </c>
      <c r="L2087" t="str">
        <f>VLOOKUP(E2087,Stores!A:B,2,FALSE)</f>
        <v>MegaMart Jimenezborough</v>
      </c>
      <c r="M2087">
        <f>VLOOKUP(D2087,Products!A:E,5,FALSE)</f>
        <v>453.62</v>
      </c>
      <c r="N2087" s="5">
        <f t="shared" si="32"/>
        <v>453.62</v>
      </c>
    </row>
    <row r="2088" spans="1:14" x14ac:dyDescent="0.3">
      <c r="A2088" t="s">
        <v>2944</v>
      </c>
      <c r="B2088" s="2">
        <v>45507</v>
      </c>
      <c r="C2088" t="s">
        <v>15</v>
      </c>
      <c r="D2088" t="s">
        <v>753</v>
      </c>
      <c r="E2088" t="s">
        <v>846</v>
      </c>
      <c r="F2088">
        <v>2</v>
      </c>
      <c r="G2088">
        <v>0</v>
      </c>
      <c r="H2088" t="s">
        <v>865</v>
      </c>
      <c r="I2088" t="str">
        <f>VLOOKUP(C2088,Customers!A:C,2,FALSE)&amp;" "&amp;VLOOKUP(C2088,Customers!A:C,3,FALSE)</f>
        <v>Carol Hays</v>
      </c>
      <c r="J2088" t="str">
        <f>VLOOKUP(D2088,Products!A:C,2,FALSE)</f>
        <v>Whether Bags</v>
      </c>
      <c r="K2088" t="str">
        <f>VLOOKUP(D2088,Products!A:C,3,FALSE)</f>
        <v>Fashion</v>
      </c>
      <c r="L2088" t="str">
        <f>VLOOKUP(E2088,Stores!A:B,2,FALSE)</f>
        <v>MegaMart Johnmouth</v>
      </c>
      <c r="M2088">
        <f>VLOOKUP(D2088,Products!A:E,5,FALSE)</f>
        <v>270.45</v>
      </c>
      <c r="N2088" s="5">
        <f t="shared" si="32"/>
        <v>540.9</v>
      </c>
    </row>
    <row r="2089" spans="1:14" x14ac:dyDescent="0.3">
      <c r="A2089" t="s">
        <v>2945</v>
      </c>
      <c r="B2089" s="2">
        <v>45522</v>
      </c>
      <c r="C2089" t="s">
        <v>533</v>
      </c>
      <c r="D2089" t="s">
        <v>761</v>
      </c>
      <c r="E2089" t="s">
        <v>842</v>
      </c>
      <c r="F2089">
        <v>1</v>
      </c>
      <c r="G2089">
        <v>0.05</v>
      </c>
      <c r="H2089" t="s">
        <v>858</v>
      </c>
      <c r="I2089" t="str">
        <f>VLOOKUP(C2089,Customers!A:C,2,FALSE)&amp;" "&amp;VLOOKUP(C2089,Customers!A:C,3,FALSE)</f>
        <v>Crystal Garrison</v>
      </c>
      <c r="J2089" t="str">
        <f>VLOOKUP(D2089,Products!A:C,2,FALSE)</f>
        <v>Traditional Laptop</v>
      </c>
      <c r="K2089" t="str">
        <f>VLOOKUP(D2089,Products!A:C,3,FALSE)</f>
        <v>Electronics</v>
      </c>
      <c r="L2089" t="str">
        <f>VLOOKUP(E2089,Stores!A:B,2,FALSE)</f>
        <v>MegaMart Brianahaven</v>
      </c>
      <c r="M2089">
        <f>VLOOKUP(D2089,Products!A:E,5,FALSE)</f>
        <v>1762.92</v>
      </c>
      <c r="N2089" s="5">
        <f t="shared" si="32"/>
        <v>1674.7739999999999</v>
      </c>
    </row>
    <row r="2090" spans="1:14" x14ac:dyDescent="0.3">
      <c r="A2090" t="s">
        <v>2946</v>
      </c>
      <c r="B2090" s="2">
        <v>45596</v>
      </c>
      <c r="C2090" t="s">
        <v>582</v>
      </c>
      <c r="D2090" t="s">
        <v>788</v>
      </c>
      <c r="E2090" t="s">
        <v>839</v>
      </c>
      <c r="F2090">
        <v>2</v>
      </c>
      <c r="G2090">
        <v>0.05</v>
      </c>
      <c r="H2090" t="s">
        <v>861</v>
      </c>
      <c r="I2090" t="str">
        <f>VLOOKUP(C2090,Customers!A:C,2,FALSE)&amp;" "&amp;VLOOKUP(C2090,Customers!A:C,3,FALSE)</f>
        <v>Erin Rogers</v>
      </c>
      <c r="J2090" t="str">
        <f>VLOOKUP(D2090,Products!A:C,2,FALSE)</f>
        <v>Foot Snacks</v>
      </c>
      <c r="K2090" t="str">
        <f>VLOOKUP(D2090,Products!A:C,3,FALSE)</f>
        <v>Groceries</v>
      </c>
      <c r="L2090" t="str">
        <f>VLOOKUP(E2090,Stores!A:B,2,FALSE)</f>
        <v>MegaMart New Michele</v>
      </c>
      <c r="M2090">
        <f>VLOOKUP(D2090,Products!A:E,5,FALSE)</f>
        <v>1095.72</v>
      </c>
      <c r="N2090" s="5">
        <f t="shared" si="32"/>
        <v>2081.8679999999999</v>
      </c>
    </row>
    <row r="2091" spans="1:14" x14ac:dyDescent="0.3">
      <c r="A2091" t="s">
        <v>2947</v>
      </c>
      <c r="B2091" s="2">
        <v>45695</v>
      </c>
      <c r="C2091" t="s">
        <v>291</v>
      </c>
      <c r="D2091" t="s">
        <v>816</v>
      </c>
      <c r="E2091" t="s">
        <v>835</v>
      </c>
      <c r="F2091">
        <v>5</v>
      </c>
      <c r="G2091">
        <v>0.05</v>
      </c>
      <c r="H2091" t="s">
        <v>858</v>
      </c>
      <c r="I2091" t="str">
        <f>VLOOKUP(C2091,Customers!A:C,2,FALSE)&amp;" "&amp;VLOOKUP(C2091,Customers!A:C,3,FALSE)</f>
        <v>Matthew Juarez</v>
      </c>
      <c r="J2091" t="str">
        <f>VLOOKUP(D2091,Products!A:C,2,FALSE)</f>
        <v>Set Dairy</v>
      </c>
      <c r="K2091" t="str">
        <f>VLOOKUP(D2091,Products!A:C,3,FALSE)</f>
        <v>Groceries</v>
      </c>
      <c r="L2091" t="str">
        <f>VLOOKUP(E2091,Stores!A:B,2,FALSE)</f>
        <v>MegaMart Peckmouth</v>
      </c>
      <c r="M2091">
        <f>VLOOKUP(D2091,Products!A:E,5,FALSE)</f>
        <v>1879.08</v>
      </c>
      <c r="N2091" s="5">
        <f t="shared" si="32"/>
        <v>8925.6299999999992</v>
      </c>
    </row>
    <row r="2092" spans="1:14" x14ac:dyDescent="0.3">
      <c r="A2092" t="s">
        <v>2948</v>
      </c>
      <c r="B2092" s="2">
        <v>45787</v>
      </c>
      <c r="C2092" t="s">
        <v>696</v>
      </c>
      <c r="D2092" t="s">
        <v>802</v>
      </c>
      <c r="E2092" t="s">
        <v>839</v>
      </c>
      <c r="F2092">
        <v>1</v>
      </c>
      <c r="G2092">
        <v>0.1</v>
      </c>
      <c r="H2092" t="s">
        <v>865</v>
      </c>
      <c r="I2092" t="str">
        <f>VLOOKUP(C2092,Customers!A:C,2,FALSE)&amp;" "&amp;VLOOKUP(C2092,Customers!A:C,3,FALSE)</f>
        <v>Jessica Mullins</v>
      </c>
      <c r="J2092" t="str">
        <f>VLOOKUP(D2092,Products!A:C,2,FALSE)</f>
        <v>Stage Footwear</v>
      </c>
      <c r="K2092" t="str">
        <f>VLOOKUP(D2092,Products!A:C,3,FALSE)</f>
        <v>Fashion</v>
      </c>
      <c r="L2092" t="str">
        <f>VLOOKUP(E2092,Stores!A:B,2,FALSE)</f>
        <v>MegaMart New Michele</v>
      </c>
      <c r="M2092">
        <f>VLOOKUP(D2092,Products!A:E,5,FALSE)</f>
        <v>366.93</v>
      </c>
      <c r="N2092" s="5">
        <f t="shared" si="32"/>
        <v>330.23700000000002</v>
      </c>
    </row>
    <row r="2093" spans="1:14" x14ac:dyDescent="0.3">
      <c r="A2093" t="s">
        <v>2949</v>
      </c>
      <c r="B2093" s="2">
        <v>45877</v>
      </c>
      <c r="C2093" t="s">
        <v>144</v>
      </c>
      <c r="D2093" t="s">
        <v>826</v>
      </c>
      <c r="E2093" t="s">
        <v>831</v>
      </c>
      <c r="F2093">
        <v>5</v>
      </c>
      <c r="G2093">
        <v>0</v>
      </c>
      <c r="H2093" t="s">
        <v>865</v>
      </c>
      <c r="I2093" t="str">
        <f>VLOOKUP(C2093,Customers!A:C,2,FALSE)&amp;" "&amp;VLOOKUP(C2093,Customers!A:C,3,FALSE)</f>
        <v>Miranda Nelson</v>
      </c>
      <c r="J2093" t="str">
        <f>VLOOKUP(D2093,Products!A:C,2,FALSE)</f>
        <v>Maybe Footwear</v>
      </c>
      <c r="K2093" t="str">
        <f>VLOOKUP(D2093,Products!A:C,3,FALSE)</f>
        <v>Fashion</v>
      </c>
      <c r="L2093" t="str">
        <f>VLOOKUP(E2093,Stores!A:B,2,FALSE)</f>
        <v>MegaMart Jimenezborough</v>
      </c>
      <c r="M2093">
        <f>VLOOKUP(D2093,Products!A:E,5,FALSE)</f>
        <v>1044.6400000000001</v>
      </c>
      <c r="N2093" s="5">
        <f t="shared" si="32"/>
        <v>5223.2000000000007</v>
      </c>
    </row>
    <row r="2094" spans="1:14" x14ac:dyDescent="0.3">
      <c r="A2094" t="s">
        <v>2950</v>
      </c>
      <c r="B2094" s="2">
        <v>45858</v>
      </c>
      <c r="C2094" t="s">
        <v>438</v>
      </c>
      <c r="D2094" t="s">
        <v>824</v>
      </c>
      <c r="E2094" t="s">
        <v>846</v>
      </c>
      <c r="F2094">
        <v>1</v>
      </c>
      <c r="G2094">
        <v>0</v>
      </c>
      <c r="H2094" t="s">
        <v>861</v>
      </c>
      <c r="I2094" t="str">
        <f>VLOOKUP(C2094,Customers!A:C,2,FALSE)&amp;" "&amp;VLOOKUP(C2094,Customers!A:C,3,FALSE)</f>
        <v>Gina Bradford</v>
      </c>
      <c r="J2094" t="str">
        <f>VLOOKUP(D2094,Products!A:C,2,FALSE)</f>
        <v>Possible Watches</v>
      </c>
      <c r="K2094" t="str">
        <f>VLOOKUP(D2094,Products!A:C,3,FALSE)</f>
        <v>Fashion</v>
      </c>
      <c r="L2094" t="str">
        <f>VLOOKUP(E2094,Stores!A:B,2,FALSE)</f>
        <v>MegaMart Johnmouth</v>
      </c>
      <c r="M2094">
        <f>VLOOKUP(D2094,Products!A:E,5,FALSE)</f>
        <v>388.26</v>
      </c>
      <c r="N2094" s="5">
        <f t="shared" si="32"/>
        <v>388.26</v>
      </c>
    </row>
    <row r="2095" spans="1:14" x14ac:dyDescent="0.3">
      <c r="A2095" t="s">
        <v>2951</v>
      </c>
      <c r="B2095" s="2">
        <v>45339</v>
      </c>
      <c r="C2095" t="s">
        <v>277</v>
      </c>
      <c r="D2095" t="s">
        <v>718</v>
      </c>
      <c r="E2095" t="s">
        <v>839</v>
      </c>
      <c r="F2095">
        <v>2</v>
      </c>
      <c r="G2095">
        <v>0</v>
      </c>
      <c r="H2095" t="s">
        <v>865</v>
      </c>
      <c r="I2095" t="str">
        <f>VLOOKUP(C2095,Customers!A:C,2,FALSE)&amp;" "&amp;VLOOKUP(C2095,Customers!A:C,3,FALSE)</f>
        <v>Carl Armstrong</v>
      </c>
      <c r="J2095" t="str">
        <f>VLOOKUP(D2095,Products!A:C,2,FALSE)</f>
        <v>Here Footwear</v>
      </c>
      <c r="K2095" t="str">
        <f>VLOOKUP(D2095,Products!A:C,3,FALSE)</f>
        <v>Fashion</v>
      </c>
      <c r="L2095" t="str">
        <f>VLOOKUP(E2095,Stores!A:B,2,FALSE)</f>
        <v>MegaMart New Michele</v>
      </c>
      <c r="M2095">
        <f>VLOOKUP(D2095,Products!A:E,5,FALSE)</f>
        <v>337.63</v>
      </c>
      <c r="N2095" s="5">
        <f t="shared" si="32"/>
        <v>675.26</v>
      </c>
    </row>
    <row r="2096" spans="1:14" x14ac:dyDescent="0.3">
      <c r="A2096" t="s">
        <v>2952</v>
      </c>
      <c r="B2096" s="2">
        <v>45488</v>
      </c>
      <c r="C2096" t="s">
        <v>467</v>
      </c>
      <c r="D2096" t="s">
        <v>742</v>
      </c>
      <c r="E2096" t="s">
        <v>839</v>
      </c>
      <c r="F2096">
        <v>2</v>
      </c>
      <c r="G2096">
        <v>0.15</v>
      </c>
      <c r="H2096" t="s">
        <v>865</v>
      </c>
      <c r="I2096" t="str">
        <f>VLOOKUP(C2096,Customers!A:C,2,FALSE)&amp;" "&amp;VLOOKUP(C2096,Customers!A:C,3,FALSE)</f>
        <v>John Allen</v>
      </c>
      <c r="J2096" t="str">
        <f>VLOOKUP(D2096,Products!A:C,2,FALSE)</f>
        <v>Either Headphones</v>
      </c>
      <c r="K2096" t="str">
        <f>VLOOKUP(D2096,Products!A:C,3,FALSE)</f>
        <v>Electronics</v>
      </c>
      <c r="L2096" t="str">
        <f>VLOOKUP(E2096,Stores!A:B,2,FALSE)</f>
        <v>MegaMart New Michele</v>
      </c>
      <c r="M2096">
        <f>VLOOKUP(D2096,Products!A:E,5,FALSE)</f>
        <v>248.57</v>
      </c>
      <c r="N2096" s="5">
        <f t="shared" si="32"/>
        <v>422.56899999999996</v>
      </c>
    </row>
    <row r="2097" spans="1:14" x14ac:dyDescent="0.3">
      <c r="A2097" t="s">
        <v>2953</v>
      </c>
      <c r="B2097" s="2">
        <v>45798</v>
      </c>
      <c r="C2097" t="s">
        <v>464</v>
      </c>
      <c r="D2097" t="s">
        <v>786</v>
      </c>
      <c r="E2097" t="s">
        <v>831</v>
      </c>
      <c r="F2097">
        <v>4</v>
      </c>
      <c r="G2097">
        <v>0</v>
      </c>
      <c r="H2097" t="s">
        <v>858</v>
      </c>
      <c r="I2097" t="str">
        <f>VLOOKUP(C2097,Customers!A:C,2,FALSE)&amp;" "&amp;VLOOKUP(C2097,Customers!A:C,3,FALSE)</f>
        <v>Monique Johnson</v>
      </c>
      <c r="J2097" t="str">
        <f>VLOOKUP(D2097,Products!A:C,2,FALSE)</f>
        <v>National Watches</v>
      </c>
      <c r="K2097" t="str">
        <f>VLOOKUP(D2097,Products!A:C,3,FALSE)</f>
        <v>Fashion</v>
      </c>
      <c r="L2097" t="str">
        <f>VLOOKUP(E2097,Stores!A:B,2,FALSE)</f>
        <v>MegaMart Jimenezborough</v>
      </c>
      <c r="M2097">
        <f>VLOOKUP(D2097,Products!A:E,5,FALSE)</f>
        <v>29.24</v>
      </c>
      <c r="N2097" s="5">
        <f t="shared" si="32"/>
        <v>116.96</v>
      </c>
    </row>
    <row r="2098" spans="1:14" x14ac:dyDescent="0.3">
      <c r="A2098" t="s">
        <v>2954</v>
      </c>
      <c r="B2098" s="2">
        <v>45189</v>
      </c>
      <c r="C2098" t="s">
        <v>577</v>
      </c>
      <c r="D2098" t="s">
        <v>808</v>
      </c>
      <c r="E2098" t="s">
        <v>831</v>
      </c>
      <c r="F2098">
        <v>2</v>
      </c>
      <c r="G2098">
        <v>0.15</v>
      </c>
      <c r="H2098" t="s">
        <v>858</v>
      </c>
      <c r="I2098" t="str">
        <f>VLOOKUP(C2098,Customers!A:C,2,FALSE)&amp;" "&amp;VLOOKUP(C2098,Customers!A:C,3,FALSE)</f>
        <v>Michael Perez</v>
      </c>
      <c r="J2098" t="str">
        <f>VLOOKUP(D2098,Products!A:C,2,FALSE)</f>
        <v>Present Television</v>
      </c>
      <c r="K2098" t="str">
        <f>VLOOKUP(D2098,Products!A:C,3,FALSE)</f>
        <v>Electronics</v>
      </c>
      <c r="L2098" t="str">
        <f>VLOOKUP(E2098,Stores!A:B,2,FALSE)</f>
        <v>MegaMart Jimenezborough</v>
      </c>
      <c r="M2098">
        <f>VLOOKUP(D2098,Products!A:E,5,FALSE)</f>
        <v>1635.01</v>
      </c>
      <c r="N2098" s="5">
        <f t="shared" si="32"/>
        <v>2779.5169999999998</v>
      </c>
    </row>
    <row r="2099" spans="1:14" x14ac:dyDescent="0.3">
      <c r="A2099" t="s">
        <v>2955</v>
      </c>
      <c r="B2099" s="2">
        <v>45240</v>
      </c>
      <c r="C2099" t="s">
        <v>306</v>
      </c>
      <c r="D2099" t="s">
        <v>769</v>
      </c>
      <c r="E2099" t="s">
        <v>842</v>
      </c>
      <c r="F2099">
        <v>2</v>
      </c>
      <c r="G2099">
        <v>0.05</v>
      </c>
      <c r="H2099" t="s">
        <v>855</v>
      </c>
      <c r="I2099" t="str">
        <f>VLOOKUP(C2099,Customers!A:C,2,FALSE)&amp;" "&amp;VLOOKUP(C2099,Customers!A:C,3,FALSE)</f>
        <v>Sarah Reynolds</v>
      </c>
      <c r="J2099" t="str">
        <f>VLOOKUP(D2099,Products!A:C,2,FALSE)</f>
        <v>How Vegetables</v>
      </c>
      <c r="K2099" t="str">
        <f>VLOOKUP(D2099,Products!A:C,3,FALSE)</f>
        <v>Groceries</v>
      </c>
      <c r="L2099" t="str">
        <f>VLOOKUP(E2099,Stores!A:B,2,FALSE)</f>
        <v>MegaMart Brianahaven</v>
      </c>
      <c r="M2099">
        <f>VLOOKUP(D2099,Products!A:E,5,FALSE)</f>
        <v>25.57</v>
      </c>
      <c r="N2099" s="5">
        <f t="shared" si="32"/>
        <v>48.582999999999998</v>
      </c>
    </row>
    <row r="2100" spans="1:14" x14ac:dyDescent="0.3">
      <c r="A2100" t="s">
        <v>2956</v>
      </c>
      <c r="B2100" s="2">
        <v>45546</v>
      </c>
      <c r="C2100" t="s">
        <v>15</v>
      </c>
      <c r="D2100" t="s">
        <v>818</v>
      </c>
      <c r="E2100" t="s">
        <v>835</v>
      </c>
      <c r="F2100">
        <v>5</v>
      </c>
      <c r="G2100">
        <v>0</v>
      </c>
      <c r="H2100" t="s">
        <v>865</v>
      </c>
      <c r="I2100" t="str">
        <f>VLOOKUP(C2100,Customers!A:C,2,FALSE)&amp;" "&amp;VLOOKUP(C2100,Customers!A:C,3,FALSE)</f>
        <v>Carol Hays</v>
      </c>
      <c r="J2100" t="str">
        <f>VLOOKUP(D2100,Products!A:C,2,FALSE)</f>
        <v>Nature Clothing</v>
      </c>
      <c r="K2100" t="str">
        <f>VLOOKUP(D2100,Products!A:C,3,FALSE)</f>
        <v>Fashion</v>
      </c>
      <c r="L2100" t="str">
        <f>VLOOKUP(E2100,Stores!A:B,2,FALSE)</f>
        <v>MegaMart Peckmouth</v>
      </c>
      <c r="M2100">
        <f>VLOOKUP(D2100,Products!A:E,5,FALSE)</f>
        <v>1165.3699999999999</v>
      </c>
      <c r="N2100" s="5">
        <f t="shared" si="32"/>
        <v>5826.8499999999995</v>
      </c>
    </row>
    <row r="2101" spans="1:14" x14ac:dyDescent="0.3">
      <c r="A2101" t="s">
        <v>2957</v>
      </c>
      <c r="B2101" s="2">
        <v>45637</v>
      </c>
      <c r="C2101" t="s">
        <v>331</v>
      </c>
      <c r="D2101" t="s">
        <v>734</v>
      </c>
      <c r="E2101" t="s">
        <v>839</v>
      </c>
      <c r="F2101">
        <v>4</v>
      </c>
      <c r="G2101">
        <v>0</v>
      </c>
      <c r="H2101" t="s">
        <v>861</v>
      </c>
      <c r="I2101" t="str">
        <f>VLOOKUP(C2101,Customers!A:C,2,FALSE)&amp;" "&amp;VLOOKUP(C2101,Customers!A:C,3,FALSE)</f>
        <v>Brenda Costa</v>
      </c>
      <c r="J2101" t="str">
        <f>VLOOKUP(D2101,Products!A:C,2,FALSE)</f>
        <v>Recognize Footwear</v>
      </c>
      <c r="K2101" t="str">
        <f>VLOOKUP(D2101,Products!A:C,3,FALSE)</f>
        <v>Fashion</v>
      </c>
      <c r="L2101" t="str">
        <f>VLOOKUP(E2101,Stores!A:B,2,FALSE)</f>
        <v>MegaMart New Michele</v>
      </c>
      <c r="M2101">
        <f>VLOOKUP(D2101,Products!A:E,5,FALSE)</f>
        <v>109.78</v>
      </c>
      <c r="N2101" s="5">
        <f t="shared" si="32"/>
        <v>439.12</v>
      </c>
    </row>
    <row r="2102" spans="1:14" x14ac:dyDescent="0.3">
      <c r="A2102" t="s">
        <v>2958</v>
      </c>
      <c r="B2102" s="2">
        <v>45744</v>
      </c>
      <c r="C2102" t="s">
        <v>491</v>
      </c>
      <c r="D2102" t="s">
        <v>753</v>
      </c>
      <c r="E2102" t="s">
        <v>839</v>
      </c>
      <c r="F2102">
        <v>1</v>
      </c>
      <c r="G2102">
        <v>0.05</v>
      </c>
      <c r="H2102" t="s">
        <v>865</v>
      </c>
      <c r="I2102" t="str">
        <f>VLOOKUP(C2102,Customers!A:C,2,FALSE)&amp;" "&amp;VLOOKUP(C2102,Customers!A:C,3,FALSE)</f>
        <v>Emily Hart</v>
      </c>
      <c r="J2102" t="str">
        <f>VLOOKUP(D2102,Products!A:C,2,FALSE)</f>
        <v>Whether Bags</v>
      </c>
      <c r="K2102" t="str">
        <f>VLOOKUP(D2102,Products!A:C,3,FALSE)</f>
        <v>Fashion</v>
      </c>
      <c r="L2102" t="str">
        <f>VLOOKUP(E2102,Stores!A:B,2,FALSE)</f>
        <v>MegaMart New Michele</v>
      </c>
      <c r="M2102">
        <f>VLOOKUP(D2102,Products!A:E,5,FALSE)</f>
        <v>270.45</v>
      </c>
      <c r="N2102" s="5">
        <f t="shared" si="32"/>
        <v>256.92749999999995</v>
      </c>
    </row>
    <row r="2103" spans="1:14" x14ac:dyDescent="0.3">
      <c r="A2103" t="s">
        <v>2959</v>
      </c>
      <c r="B2103" s="2">
        <v>45300</v>
      </c>
      <c r="C2103" t="s">
        <v>503</v>
      </c>
      <c r="D2103" t="s">
        <v>736</v>
      </c>
      <c r="E2103" t="s">
        <v>831</v>
      </c>
      <c r="F2103">
        <v>5</v>
      </c>
      <c r="G2103">
        <v>0.05</v>
      </c>
      <c r="H2103" t="s">
        <v>861</v>
      </c>
      <c r="I2103" t="str">
        <f>VLOOKUP(C2103,Customers!A:C,2,FALSE)&amp;" "&amp;VLOOKUP(C2103,Customers!A:C,3,FALSE)</f>
        <v>Breanna Moore</v>
      </c>
      <c r="J2103" t="str">
        <f>VLOOKUP(D2103,Products!A:C,2,FALSE)</f>
        <v>Us Snacks</v>
      </c>
      <c r="K2103" t="str">
        <f>VLOOKUP(D2103,Products!A:C,3,FALSE)</f>
        <v>Groceries</v>
      </c>
      <c r="L2103" t="str">
        <f>VLOOKUP(E2103,Stores!A:B,2,FALSE)</f>
        <v>MegaMart Jimenezborough</v>
      </c>
      <c r="M2103">
        <f>VLOOKUP(D2103,Products!A:E,5,FALSE)</f>
        <v>123.19</v>
      </c>
      <c r="N2103" s="5">
        <f t="shared" si="32"/>
        <v>585.15250000000003</v>
      </c>
    </row>
    <row r="2104" spans="1:14" x14ac:dyDescent="0.3">
      <c r="A2104" t="s">
        <v>2960</v>
      </c>
      <c r="B2104" s="2">
        <v>45605</v>
      </c>
      <c r="C2104" t="s">
        <v>355</v>
      </c>
      <c r="D2104" t="s">
        <v>718</v>
      </c>
      <c r="E2104" t="s">
        <v>831</v>
      </c>
      <c r="F2104">
        <v>2</v>
      </c>
      <c r="G2104">
        <v>0</v>
      </c>
      <c r="H2104" t="s">
        <v>855</v>
      </c>
      <c r="I2104" t="str">
        <f>VLOOKUP(C2104,Customers!A:C,2,FALSE)&amp;" "&amp;VLOOKUP(C2104,Customers!A:C,3,FALSE)</f>
        <v>Kimberly Stokes</v>
      </c>
      <c r="J2104" t="str">
        <f>VLOOKUP(D2104,Products!A:C,2,FALSE)</f>
        <v>Here Footwear</v>
      </c>
      <c r="K2104" t="str">
        <f>VLOOKUP(D2104,Products!A:C,3,FALSE)</f>
        <v>Fashion</v>
      </c>
      <c r="L2104" t="str">
        <f>VLOOKUP(E2104,Stores!A:B,2,FALSE)</f>
        <v>MegaMart Jimenezborough</v>
      </c>
      <c r="M2104">
        <f>VLOOKUP(D2104,Products!A:E,5,FALSE)</f>
        <v>337.63</v>
      </c>
      <c r="N2104" s="5">
        <f t="shared" si="32"/>
        <v>675.26</v>
      </c>
    </row>
    <row r="2105" spans="1:14" x14ac:dyDescent="0.3">
      <c r="A2105" t="s">
        <v>2961</v>
      </c>
      <c r="B2105" s="2">
        <v>45530</v>
      </c>
      <c r="C2105" t="s">
        <v>141</v>
      </c>
      <c r="D2105" t="s">
        <v>766</v>
      </c>
      <c r="E2105" t="s">
        <v>835</v>
      </c>
      <c r="F2105">
        <v>1</v>
      </c>
      <c r="G2105">
        <v>0.05</v>
      </c>
      <c r="H2105" t="s">
        <v>855</v>
      </c>
      <c r="I2105" t="str">
        <f>VLOOKUP(C2105,Customers!A:C,2,FALSE)&amp;" "&amp;VLOOKUP(C2105,Customers!A:C,3,FALSE)</f>
        <v>Michael Cervantes</v>
      </c>
      <c r="J2105" t="str">
        <f>VLOOKUP(D2105,Products!A:C,2,FALSE)</f>
        <v>Firm Dairy</v>
      </c>
      <c r="K2105" t="str">
        <f>VLOOKUP(D2105,Products!A:C,3,FALSE)</f>
        <v>Groceries</v>
      </c>
      <c r="L2105" t="str">
        <f>VLOOKUP(E2105,Stores!A:B,2,FALSE)</f>
        <v>MegaMart Peckmouth</v>
      </c>
      <c r="M2105">
        <f>VLOOKUP(D2105,Products!A:E,5,FALSE)</f>
        <v>1227.24</v>
      </c>
      <c r="N2105" s="5">
        <f t="shared" si="32"/>
        <v>1165.8779999999999</v>
      </c>
    </row>
    <row r="2106" spans="1:14" x14ac:dyDescent="0.3">
      <c r="A2106" t="s">
        <v>2962</v>
      </c>
      <c r="B2106" s="2">
        <v>45761</v>
      </c>
      <c r="C2106" t="s">
        <v>270</v>
      </c>
      <c r="D2106" t="s">
        <v>806</v>
      </c>
      <c r="E2106" t="s">
        <v>842</v>
      </c>
      <c r="F2106">
        <v>2</v>
      </c>
      <c r="G2106">
        <v>0</v>
      </c>
      <c r="H2106" t="s">
        <v>855</v>
      </c>
      <c r="I2106" t="str">
        <f>VLOOKUP(C2106,Customers!A:C,2,FALSE)&amp;" "&amp;VLOOKUP(C2106,Customers!A:C,3,FALSE)</f>
        <v>Denise Gutierrez</v>
      </c>
      <c r="J2106" t="str">
        <f>VLOOKUP(D2106,Products!A:C,2,FALSE)</f>
        <v>Piece Headphones</v>
      </c>
      <c r="K2106" t="str">
        <f>VLOOKUP(D2106,Products!A:C,3,FALSE)</f>
        <v>Electronics</v>
      </c>
      <c r="L2106" t="str">
        <f>VLOOKUP(E2106,Stores!A:B,2,FALSE)</f>
        <v>MegaMart Brianahaven</v>
      </c>
      <c r="M2106">
        <f>VLOOKUP(D2106,Products!A:E,5,FALSE)</f>
        <v>1745.61</v>
      </c>
      <c r="N2106" s="5">
        <f t="shared" si="32"/>
        <v>3491.22</v>
      </c>
    </row>
    <row r="2107" spans="1:14" x14ac:dyDescent="0.3">
      <c r="A2107" t="s">
        <v>2963</v>
      </c>
      <c r="B2107" s="2">
        <v>45429</v>
      </c>
      <c r="C2107" t="s">
        <v>643</v>
      </c>
      <c r="D2107" t="s">
        <v>816</v>
      </c>
      <c r="E2107" t="s">
        <v>846</v>
      </c>
      <c r="F2107">
        <v>3</v>
      </c>
      <c r="G2107">
        <v>0.15</v>
      </c>
      <c r="H2107" t="s">
        <v>858</v>
      </c>
      <c r="I2107" t="str">
        <f>VLOOKUP(C2107,Customers!A:C,2,FALSE)&amp;" "&amp;VLOOKUP(C2107,Customers!A:C,3,FALSE)</f>
        <v>Meghan Wright</v>
      </c>
      <c r="J2107" t="str">
        <f>VLOOKUP(D2107,Products!A:C,2,FALSE)</f>
        <v>Set Dairy</v>
      </c>
      <c r="K2107" t="str">
        <f>VLOOKUP(D2107,Products!A:C,3,FALSE)</f>
        <v>Groceries</v>
      </c>
      <c r="L2107" t="str">
        <f>VLOOKUP(E2107,Stores!A:B,2,FALSE)</f>
        <v>MegaMart Johnmouth</v>
      </c>
      <c r="M2107">
        <f>VLOOKUP(D2107,Products!A:E,5,FALSE)</f>
        <v>1879.08</v>
      </c>
      <c r="N2107" s="5">
        <f t="shared" si="32"/>
        <v>4791.6539999999995</v>
      </c>
    </row>
    <row r="2108" spans="1:14" x14ac:dyDescent="0.3">
      <c r="A2108" t="s">
        <v>2964</v>
      </c>
      <c r="B2108" s="2">
        <v>45642</v>
      </c>
      <c r="C2108" t="s">
        <v>419</v>
      </c>
      <c r="D2108" t="s">
        <v>769</v>
      </c>
      <c r="E2108" t="s">
        <v>846</v>
      </c>
      <c r="F2108">
        <v>4</v>
      </c>
      <c r="G2108">
        <v>0.05</v>
      </c>
      <c r="H2108" t="s">
        <v>855</v>
      </c>
      <c r="I2108" t="str">
        <f>VLOOKUP(C2108,Customers!A:C,2,FALSE)&amp;" "&amp;VLOOKUP(C2108,Customers!A:C,3,FALSE)</f>
        <v>Jeffrey Smith</v>
      </c>
      <c r="J2108" t="str">
        <f>VLOOKUP(D2108,Products!A:C,2,FALSE)</f>
        <v>How Vegetables</v>
      </c>
      <c r="K2108" t="str">
        <f>VLOOKUP(D2108,Products!A:C,3,FALSE)</f>
        <v>Groceries</v>
      </c>
      <c r="L2108" t="str">
        <f>VLOOKUP(E2108,Stores!A:B,2,FALSE)</f>
        <v>MegaMart Johnmouth</v>
      </c>
      <c r="M2108">
        <f>VLOOKUP(D2108,Products!A:E,5,FALSE)</f>
        <v>25.57</v>
      </c>
      <c r="N2108" s="5">
        <f t="shared" si="32"/>
        <v>97.165999999999997</v>
      </c>
    </row>
    <row r="2109" spans="1:14" x14ac:dyDescent="0.3">
      <c r="A2109" t="s">
        <v>2965</v>
      </c>
      <c r="B2109" s="2">
        <v>45832</v>
      </c>
      <c r="C2109" t="s">
        <v>175</v>
      </c>
      <c r="D2109" t="s">
        <v>790</v>
      </c>
      <c r="E2109" t="s">
        <v>835</v>
      </c>
      <c r="F2109">
        <v>3</v>
      </c>
      <c r="G2109">
        <v>0.15</v>
      </c>
      <c r="H2109" t="s">
        <v>865</v>
      </c>
      <c r="I2109" t="str">
        <f>VLOOKUP(C2109,Customers!A:C,2,FALSE)&amp;" "&amp;VLOOKUP(C2109,Customers!A:C,3,FALSE)</f>
        <v>Kelly Shaw</v>
      </c>
      <c r="J2109" t="str">
        <f>VLOOKUP(D2109,Products!A:C,2,FALSE)</f>
        <v>Difficult Vegetables</v>
      </c>
      <c r="K2109" t="str">
        <f>VLOOKUP(D2109,Products!A:C,3,FALSE)</f>
        <v>Groceries</v>
      </c>
      <c r="L2109" t="str">
        <f>VLOOKUP(E2109,Stores!A:B,2,FALSE)</f>
        <v>MegaMart Peckmouth</v>
      </c>
      <c r="M2109">
        <f>VLOOKUP(D2109,Products!A:E,5,FALSE)</f>
        <v>304.70999999999998</v>
      </c>
      <c r="N2109" s="5">
        <f t="shared" si="32"/>
        <v>777.01049999999987</v>
      </c>
    </row>
    <row r="2110" spans="1:14" x14ac:dyDescent="0.3">
      <c r="A2110" t="s">
        <v>2966</v>
      </c>
      <c r="B2110" s="2">
        <v>45625</v>
      </c>
      <c r="C2110" t="s">
        <v>542</v>
      </c>
      <c r="D2110" t="s">
        <v>769</v>
      </c>
      <c r="E2110" t="s">
        <v>846</v>
      </c>
      <c r="F2110">
        <v>3</v>
      </c>
      <c r="G2110">
        <v>0.05</v>
      </c>
      <c r="H2110" t="s">
        <v>861</v>
      </c>
      <c r="I2110" t="str">
        <f>VLOOKUP(C2110,Customers!A:C,2,FALSE)&amp;" "&amp;VLOOKUP(C2110,Customers!A:C,3,FALSE)</f>
        <v>Francis Hernandez</v>
      </c>
      <c r="J2110" t="str">
        <f>VLOOKUP(D2110,Products!A:C,2,FALSE)</f>
        <v>How Vegetables</v>
      </c>
      <c r="K2110" t="str">
        <f>VLOOKUP(D2110,Products!A:C,3,FALSE)</f>
        <v>Groceries</v>
      </c>
      <c r="L2110" t="str">
        <f>VLOOKUP(E2110,Stores!A:B,2,FALSE)</f>
        <v>MegaMart Johnmouth</v>
      </c>
      <c r="M2110">
        <f>VLOOKUP(D2110,Products!A:E,5,FALSE)</f>
        <v>25.57</v>
      </c>
      <c r="N2110" s="5">
        <f t="shared" si="32"/>
        <v>72.874499999999998</v>
      </c>
    </row>
    <row r="2111" spans="1:14" x14ac:dyDescent="0.3">
      <c r="A2111" t="s">
        <v>2967</v>
      </c>
      <c r="B2111" s="2">
        <v>45765</v>
      </c>
      <c r="C2111" t="s">
        <v>653</v>
      </c>
      <c r="D2111" t="s">
        <v>736</v>
      </c>
      <c r="E2111" t="s">
        <v>842</v>
      </c>
      <c r="F2111">
        <v>4</v>
      </c>
      <c r="G2111">
        <v>0.15</v>
      </c>
      <c r="H2111" t="s">
        <v>858</v>
      </c>
      <c r="I2111" t="str">
        <f>VLOOKUP(C2111,Customers!A:C,2,FALSE)&amp;" "&amp;VLOOKUP(C2111,Customers!A:C,3,FALSE)</f>
        <v>Joe Vincent</v>
      </c>
      <c r="J2111" t="str">
        <f>VLOOKUP(D2111,Products!A:C,2,FALSE)</f>
        <v>Us Snacks</v>
      </c>
      <c r="K2111" t="str">
        <f>VLOOKUP(D2111,Products!A:C,3,FALSE)</f>
        <v>Groceries</v>
      </c>
      <c r="L2111" t="str">
        <f>VLOOKUP(E2111,Stores!A:B,2,FALSE)</f>
        <v>MegaMart Brianahaven</v>
      </c>
      <c r="M2111">
        <f>VLOOKUP(D2111,Products!A:E,5,FALSE)</f>
        <v>123.19</v>
      </c>
      <c r="N2111" s="5">
        <f t="shared" si="32"/>
        <v>418.846</v>
      </c>
    </row>
    <row r="2112" spans="1:14" x14ac:dyDescent="0.3">
      <c r="A2112" t="s">
        <v>2968</v>
      </c>
      <c r="B2112" s="2">
        <v>45669</v>
      </c>
      <c r="C2112" t="s">
        <v>551</v>
      </c>
      <c r="D2112" t="s">
        <v>745</v>
      </c>
      <c r="E2112" t="s">
        <v>839</v>
      </c>
      <c r="F2112">
        <v>3</v>
      </c>
      <c r="G2112">
        <v>0</v>
      </c>
      <c r="H2112" t="s">
        <v>858</v>
      </c>
      <c r="I2112" t="str">
        <f>VLOOKUP(C2112,Customers!A:C,2,FALSE)&amp;" "&amp;VLOOKUP(C2112,Customers!A:C,3,FALSE)</f>
        <v>Nancy Gordon</v>
      </c>
      <c r="J2112" t="str">
        <f>VLOOKUP(D2112,Products!A:C,2,FALSE)</f>
        <v>Above Camera</v>
      </c>
      <c r="K2112" t="str">
        <f>VLOOKUP(D2112,Products!A:C,3,FALSE)</f>
        <v>Electronics</v>
      </c>
      <c r="L2112" t="str">
        <f>VLOOKUP(E2112,Stores!A:B,2,FALSE)</f>
        <v>MegaMart New Michele</v>
      </c>
      <c r="M2112">
        <f>VLOOKUP(D2112,Products!A:E,5,FALSE)</f>
        <v>1193.0899999999999</v>
      </c>
      <c r="N2112" s="5">
        <f t="shared" si="32"/>
        <v>3579.2699999999995</v>
      </c>
    </row>
    <row r="2113" spans="1:14" x14ac:dyDescent="0.3">
      <c r="A2113" t="s">
        <v>2969</v>
      </c>
      <c r="B2113" s="2">
        <v>45373</v>
      </c>
      <c r="C2113" t="s">
        <v>411</v>
      </c>
      <c r="D2113" t="s">
        <v>788</v>
      </c>
      <c r="E2113" t="s">
        <v>835</v>
      </c>
      <c r="F2113">
        <v>5</v>
      </c>
      <c r="G2113">
        <v>0.1</v>
      </c>
      <c r="H2113" t="s">
        <v>855</v>
      </c>
      <c r="I2113" t="str">
        <f>VLOOKUP(C2113,Customers!A:C,2,FALSE)&amp;" "&amp;VLOOKUP(C2113,Customers!A:C,3,FALSE)</f>
        <v>Travis Peters</v>
      </c>
      <c r="J2113" t="str">
        <f>VLOOKUP(D2113,Products!A:C,2,FALSE)</f>
        <v>Foot Snacks</v>
      </c>
      <c r="K2113" t="str">
        <f>VLOOKUP(D2113,Products!A:C,3,FALSE)</f>
        <v>Groceries</v>
      </c>
      <c r="L2113" t="str">
        <f>VLOOKUP(E2113,Stores!A:B,2,FALSE)</f>
        <v>MegaMart Peckmouth</v>
      </c>
      <c r="M2113">
        <f>VLOOKUP(D2113,Products!A:E,5,FALSE)</f>
        <v>1095.72</v>
      </c>
      <c r="N2113" s="5">
        <f t="shared" si="32"/>
        <v>4930.7400000000007</v>
      </c>
    </row>
    <row r="2114" spans="1:14" x14ac:dyDescent="0.3">
      <c r="A2114" t="s">
        <v>2970</v>
      </c>
      <c r="B2114" s="2">
        <v>45759</v>
      </c>
      <c r="C2114" t="s">
        <v>579</v>
      </c>
      <c r="D2114" t="s">
        <v>734</v>
      </c>
      <c r="E2114" t="s">
        <v>831</v>
      </c>
      <c r="F2114">
        <v>4</v>
      </c>
      <c r="G2114">
        <v>0.05</v>
      </c>
      <c r="H2114" t="s">
        <v>865</v>
      </c>
      <c r="I2114" t="str">
        <f>VLOOKUP(C2114,Customers!A:C,2,FALSE)&amp;" "&amp;VLOOKUP(C2114,Customers!A:C,3,FALSE)</f>
        <v>Jill Roach</v>
      </c>
      <c r="J2114" t="str">
        <f>VLOOKUP(D2114,Products!A:C,2,FALSE)</f>
        <v>Recognize Footwear</v>
      </c>
      <c r="K2114" t="str">
        <f>VLOOKUP(D2114,Products!A:C,3,FALSE)</f>
        <v>Fashion</v>
      </c>
      <c r="L2114" t="str">
        <f>VLOOKUP(E2114,Stores!A:B,2,FALSE)</f>
        <v>MegaMart Jimenezborough</v>
      </c>
      <c r="M2114">
        <f>VLOOKUP(D2114,Products!A:E,5,FALSE)</f>
        <v>109.78</v>
      </c>
      <c r="N2114" s="5">
        <f t="shared" si="32"/>
        <v>417.16399999999999</v>
      </c>
    </row>
    <row r="2115" spans="1:14" x14ac:dyDescent="0.3">
      <c r="A2115" t="s">
        <v>2971</v>
      </c>
      <c r="B2115" s="2">
        <v>45249</v>
      </c>
      <c r="C2115" t="s">
        <v>480</v>
      </c>
      <c r="D2115" t="s">
        <v>794</v>
      </c>
      <c r="E2115" t="s">
        <v>839</v>
      </c>
      <c r="F2115">
        <v>5</v>
      </c>
      <c r="G2115">
        <v>0.15</v>
      </c>
      <c r="H2115" t="s">
        <v>855</v>
      </c>
      <c r="I2115" t="str">
        <f>VLOOKUP(C2115,Customers!A:C,2,FALSE)&amp;" "&amp;VLOOKUP(C2115,Customers!A:C,3,FALSE)</f>
        <v>Denise Jackson</v>
      </c>
      <c r="J2115" t="str">
        <f>VLOOKUP(D2115,Products!A:C,2,FALSE)</f>
        <v>Everything Laptop</v>
      </c>
      <c r="K2115" t="str">
        <f>VLOOKUP(D2115,Products!A:C,3,FALSE)</f>
        <v>Electronics</v>
      </c>
      <c r="L2115" t="str">
        <f>VLOOKUP(E2115,Stores!A:B,2,FALSE)</f>
        <v>MegaMart New Michele</v>
      </c>
      <c r="M2115">
        <f>VLOOKUP(D2115,Products!A:E,5,FALSE)</f>
        <v>428.05</v>
      </c>
      <c r="N2115" s="5">
        <f t="shared" ref="N2115:N2178" si="33">F2115*M2115*(1-G2115)</f>
        <v>1819.2124999999999</v>
      </c>
    </row>
    <row r="2116" spans="1:14" x14ac:dyDescent="0.3">
      <c r="A2116" t="s">
        <v>2972</v>
      </c>
      <c r="B2116" s="2">
        <v>45804</v>
      </c>
      <c r="C2116" t="s">
        <v>556</v>
      </c>
      <c r="D2116" t="s">
        <v>818</v>
      </c>
      <c r="E2116" t="s">
        <v>846</v>
      </c>
      <c r="F2116">
        <v>3</v>
      </c>
      <c r="G2116">
        <v>0.15</v>
      </c>
      <c r="H2116" t="s">
        <v>865</v>
      </c>
      <c r="I2116" t="str">
        <f>VLOOKUP(C2116,Customers!A:C,2,FALSE)&amp;" "&amp;VLOOKUP(C2116,Customers!A:C,3,FALSE)</f>
        <v>Jill Mcconnell</v>
      </c>
      <c r="J2116" t="str">
        <f>VLOOKUP(D2116,Products!A:C,2,FALSE)</f>
        <v>Nature Clothing</v>
      </c>
      <c r="K2116" t="str">
        <f>VLOOKUP(D2116,Products!A:C,3,FALSE)</f>
        <v>Fashion</v>
      </c>
      <c r="L2116" t="str">
        <f>VLOOKUP(E2116,Stores!A:B,2,FALSE)</f>
        <v>MegaMart Johnmouth</v>
      </c>
      <c r="M2116">
        <f>VLOOKUP(D2116,Products!A:E,5,FALSE)</f>
        <v>1165.3699999999999</v>
      </c>
      <c r="N2116" s="5">
        <f t="shared" si="33"/>
        <v>2971.6934999999999</v>
      </c>
    </row>
    <row r="2117" spans="1:14" x14ac:dyDescent="0.3">
      <c r="A2117" t="s">
        <v>2973</v>
      </c>
      <c r="B2117" s="2">
        <v>45441</v>
      </c>
      <c r="C2117" t="s">
        <v>119</v>
      </c>
      <c r="D2117" t="s">
        <v>745</v>
      </c>
      <c r="E2117" t="s">
        <v>835</v>
      </c>
      <c r="F2117">
        <v>3</v>
      </c>
      <c r="G2117">
        <v>0.15</v>
      </c>
      <c r="H2117" t="s">
        <v>861</v>
      </c>
      <c r="I2117" t="str">
        <f>VLOOKUP(C2117,Customers!A:C,2,FALSE)&amp;" "&amp;VLOOKUP(C2117,Customers!A:C,3,FALSE)</f>
        <v>Lacey Hall</v>
      </c>
      <c r="J2117" t="str">
        <f>VLOOKUP(D2117,Products!A:C,2,FALSE)</f>
        <v>Above Camera</v>
      </c>
      <c r="K2117" t="str">
        <f>VLOOKUP(D2117,Products!A:C,3,FALSE)</f>
        <v>Electronics</v>
      </c>
      <c r="L2117" t="str">
        <f>VLOOKUP(E2117,Stores!A:B,2,FALSE)</f>
        <v>MegaMart Peckmouth</v>
      </c>
      <c r="M2117">
        <f>VLOOKUP(D2117,Products!A:E,5,FALSE)</f>
        <v>1193.0899999999999</v>
      </c>
      <c r="N2117" s="5">
        <f t="shared" si="33"/>
        <v>3042.3794999999996</v>
      </c>
    </row>
    <row r="2118" spans="1:14" x14ac:dyDescent="0.3">
      <c r="A2118" t="s">
        <v>2974</v>
      </c>
      <c r="B2118" s="2">
        <v>45781</v>
      </c>
      <c r="C2118" t="s">
        <v>347</v>
      </c>
      <c r="D2118" t="s">
        <v>734</v>
      </c>
      <c r="E2118" t="s">
        <v>835</v>
      </c>
      <c r="F2118">
        <v>1</v>
      </c>
      <c r="G2118">
        <v>0.05</v>
      </c>
      <c r="H2118" t="s">
        <v>855</v>
      </c>
      <c r="I2118" t="str">
        <f>VLOOKUP(C2118,Customers!A:C,2,FALSE)&amp;" "&amp;VLOOKUP(C2118,Customers!A:C,3,FALSE)</f>
        <v>Lindsey Holder</v>
      </c>
      <c r="J2118" t="str">
        <f>VLOOKUP(D2118,Products!A:C,2,FALSE)</f>
        <v>Recognize Footwear</v>
      </c>
      <c r="K2118" t="str">
        <f>VLOOKUP(D2118,Products!A:C,3,FALSE)</f>
        <v>Fashion</v>
      </c>
      <c r="L2118" t="str">
        <f>VLOOKUP(E2118,Stores!A:B,2,FALSE)</f>
        <v>MegaMart Peckmouth</v>
      </c>
      <c r="M2118">
        <f>VLOOKUP(D2118,Products!A:E,5,FALSE)</f>
        <v>109.78</v>
      </c>
      <c r="N2118" s="5">
        <f t="shared" si="33"/>
        <v>104.291</v>
      </c>
    </row>
    <row r="2119" spans="1:14" x14ac:dyDescent="0.3">
      <c r="A2119" t="s">
        <v>2975</v>
      </c>
      <c r="B2119" s="2">
        <v>45306</v>
      </c>
      <c r="C2119" t="s">
        <v>362</v>
      </c>
      <c r="D2119" t="s">
        <v>753</v>
      </c>
      <c r="E2119" t="s">
        <v>835</v>
      </c>
      <c r="F2119">
        <v>3</v>
      </c>
      <c r="G2119">
        <v>0</v>
      </c>
      <c r="H2119" t="s">
        <v>865</v>
      </c>
      <c r="I2119" t="str">
        <f>VLOOKUP(C2119,Customers!A:C,2,FALSE)&amp;" "&amp;VLOOKUP(C2119,Customers!A:C,3,FALSE)</f>
        <v>Eric King</v>
      </c>
      <c r="J2119" t="str">
        <f>VLOOKUP(D2119,Products!A:C,2,FALSE)</f>
        <v>Whether Bags</v>
      </c>
      <c r="K2119" t="str">
        <f>VLOOKUP(D2119,Products!A:C,3,FALSE)</f>
        <v>Fashion</v>
      </c>
      <c r="L2119" t="str">
        <f>VLOOKUP(E2119,Stores!A:B,2,FALSE)</f>
        <v>MegaMart Peckmouth</v>
      </c>
      <c r="M2119">
        <f>VLOOKUP(D2119,Products!A:E,5,FALSE)</f>
        <v>270.45</v>
      </c>
      <c r="N2119" s="5">
        <f t="shared" si="33"/>
        <v>811.34999999999991</v>
      </c>
    </row>
    <row r="2120" spans="1:14" x14ac:dyDescent="0.3">
      <c r="A2120" t="s">
        <v>2976</v>
      </c>
      <c r="B2120" s="2">
        <v>45511</v>
      </c>
      <c r="C2120" t="s">
        <v>310</v>
      </c>
      <c r="D2120" t="s">
        <v>786</v>
      </c>
      <c r="E2120" t="s">
        <v>831</v>
      </c>
      <c r="F2120">
        <v>3</v>
      </c>
      <c r="G2120">
        <v>0.05</v>
      </c>
      <c r="H2120" t="s">
        <v>858</v>
      </c>
      <c r="I2120" t="str">
        <f>VLOOKUP(C2120,Customers!A:C,2,FALSE)&amp;" "&amp;VLOOKUP(C2120,Customers!A:C,3,FALSE)</f>
        <v>Amy Haley</v>
      </c>
      <c r="J2120" t="str">
        <f>VLOOKUP(D2120,Products!A:C,2,FALSE)</f>
        <v>National Watches</v>
      </c>
      <c r="K2120" t="str">
        <f>VLOOKUP(D2120,Products!A:C,3,FALSE)</f>
        <v>Fashion</v>
      </c>
      <c r="L2120" t="str">
        <f>VLOOKUP(E2120,Stores!A:B,2,FALSE)</f>
        <v>MegaMart Jimenezborough</v>
      </c>
      <c r="M2120">
        <f>VLOOKUP(D2120,Products!A:E,5,FALSE)</f>
        <v>29.24</v>
      </c>
      <c r="N2120" s="5">
        <f t="shared" si="33"/>
        <v>83.333999999999989</v>
      </c>
    </row>
    <row r="2121" spans="1:14" x14ac:dyDescent="0.3">
      <c r="A2121" t="s">
        <v>2977</v>
      </c>
      <c r="B2121" s="2">
        <v>45186</v>
      </c>
      <c r="C2121" t="s">
        <v>531</v>
      </c>
      <c r="D2121" t="s">
        <v>826</v>
      </c>
      <c r="E2121" t="s">
        <v>839</v>
      </c>
      <c r="F2121">
        <v>2</v>
      </c>
      <c r="G2121">
        <v>0</v>
      </c>
      <c r="H2121" t="s">
        <v>858</v>
      </c>
      <c r="I2121" t="str">
        <f>VLOOKUP(C2121,Customers!A:C,2,FALSE)&amp;" "&amp;VLOOKUP(C2121,Customers!A:C,3,FALSE)</f>
        <v>John Johnson</v>
      </c>
      <c r="J2121" t="str">
        <f>VLOOKUP(D2121,Products!A:C,2,FALSE)</f>
        <v>Maybe Footwear</v>
      </c>
      <c r="K2121" t="str">
        <f>VLOOKUP(D2121,Products!A:C,3,FALSE)</f>
        <v>Fashion</v>
      </c>
      <c r="L2121" t="str">
        <f>VLOOKUP(E2121,Stores!A:B,2,FALSE)</f>
        <v>MegaMart New Michele</v>
      </c>
      <c r="M2121">
        <f>VLOOKUP(D2121,Products!A:E,5,FALSE)</f>
        <v>1044.6400000000001</v>
      </c>
      <c r="N2121" s="5">
        <f t="shared" si="33"/>
        <v>2089.2800000000002</v>
      </c>
    </row>
    <row r="2122" spans="1:14" x14ac:dyDescent="0.3">
      <c r="A2122" t="s">
        <v>2978</v>
      </c>
      <c r="B2122" s="2">
        <v>45222</v>
      </c>
      <c r="C2122" t="s">
        <v>277</v>
      </c>
      <c r="D2122" t="s">
        <v>810</v>
      </c>
      <c r="E2122" t="s">
        <v>846</v>
      </c>
      <c r="F2122">
        <v>2</v>
      </c>
      <c r="G2122">
        <v>0.05</v>
      </c>
      <c r="H2122" t="s">
        <v>865</v>
      </c>
      <c r="I2122" t="str">
        <f>VLOOKUP(C2122,Customers!A:C,2,FALSE)&amp;" "&amp;VLOOKUP(C2122,Customers!A:C,3,FALSE)</f>
        <v>Carl Armstrong</v>
      </c>
      <c r="J2122" t="str">
        <f>VLOOKUP(D2122,Products!A:C,2,FALSE)</f>
        <v>Maybe Clothing</v>
      </c>
      <c r="K2122" t="str">
        <f>VLOOKUP(D2122,Products!A:C,3,FALSE)</f>
        <v>Fashion</v>
      </c>
      <c r="L2122" t="str">
        <f>VLOOKUP(E2122,Stores!A:B,2,FALSE)</f>
        <v>MegaMart Johnmouth</v>
      </c>
      <c r="M2122">
        <f>VLOOKUP(D2122,Products!A:E,5,FALSE)</f>
        <v>453.62</v>
      </c>
      <c r="N2122" s="5">
        <f t="shared" si="33"/>
        <v>861.87799999999993</v>
      </c>
    </row>
    <row r="2123" spans="1:14" x14ac:dyDescent="0.3">
      <c r="A2123" t="s">
        <v>2979</v>
      </c>
      <c r="B2123" s="2">
        <v>45396</v>
      </c>
      <c r="C2123" t="s">
        <v>524</v>
      </c>
      <c r="D2123" t="s">
        <v>802</v>
      </c>
      <c r="E2123" t="s">
        <v>839</v>
      </c>
      <c r="F2123">
        <v>5</v>
      </c>
      <c r="G2123">
        <v>0</v>
      </c>
      <c r="H2123" t="s">
        <v>858</v>
      </c>
      <c r="I2123" t="str">
        <f>VLOOKUP(C2123,Customers!A:C,2,FALSE)&amp;" "&amp;VLOOKUP(C2123,Customers!A:C,3,FALSE)</f>
        <v>Betty Johnson</v>
      </c>
      <c r="J2123" t="str">
        <f>VLOOKUP(D2123,Products!A:C,2,FALSE)</f>
        <v>Stage Footwear</v>
      </c>
      <c r="K2123" t="str">
        <f>VLOOKUP(D2123,Products!A:C,3,FALSE)</f>
        <v>Fashion</v>
      </c>
      <c r="L2123" t="str">
        <f>VLOOKUP(E2123,Stores!A:B,2,FALSE)</f>
        <v>MegaMart New Michele</v>
      </c>
      <c r="M2123">
        <f>VLOOKUP(D2123,Products!A:E,5,FALSE)</f>
        <v>366.93</v>
      </c>
      <c r="N2123" s="5">
        <f t="shared" si="33"/>
        <v>1834.65</v>
      </c>
    </row>
    <row r="2124" spans="1:14" x14ac:dyDescent="0.3">
      <c r="A2124" t="s">
        <v>2980</v>
      </c>
      <c r="B2124" s="2">
        <v>45846</v>
      </c>
      <c r="C2124" t="s">
        <v>621</v>
      </c>
      <c r="D2124" t="s">
        <v>722</v>
      </c>
      <c r="E2124" t="s">
        <v>842</v>
      </c>
      <c r="F2124">
        <v>3</v>
      </c>
      <c r="G2124">
        <v>0.1</v>
      </c>
      <c r="H2124" t="s">
        <v>861</v>
      </c>
      <c r="I2124" t="str">
        <f>VLOOKUP(C2124,Customers!A:C,2,FALSE)&amp;" "&amp;VLOOKUP(C2124,Customers!A:C,3,FALSE)</f>
        <v>Stacey Thompson</v>
      </c>
      <c r="J2124" t="str">
        <f>VLOOKUP(D2124,Products!A:C,2,FALSE)</f>
        <v>Four Accessories</v>
      </c>
      <c r="K2124" t="str">
        <f>VLOOKUP(D2124,Products!A:C,3,FALSE)</f>
        <v>Fashion</v>
      </c>
      <c r="L2124" t="str">
        <f>VLOOKUP(E2124,Stores!A:B,2,FALSE)</f>
        <v>MegaMart Brianahaven</v>
      </c>
      <c r="M2124">
        <f>VLOOKUP(D2124,Products!A:E,5,FALSE)</f>
        <v>1853.77</v>
      </c>
      <c r="N2124" s="5">
        <f t="shared" si="33"/>
        <v>5005.1790000000001</v>
      </c>
    </row>
    <row r="2125" spans="1:14" x14ac:dyDescent="0.3">
      <c r="A2125" t="s">
        <v>2981</v>
      </c>
      <c r="B2125" s="2">
        <v>45592</v>
      </c>
      <c r="C2125" t="s">
        <v>198</v>
      </c>
      <c r="D2125" t="s">
        <v>753</v>
      </c>
      <c r="E2125" t="s">
        <v>831</v>
      </c>
      <c r="F2125">
        <v>4</v>
      </c>
      <c r="G2125">
        <v>0.15</v>
      </c>
      <c r="H2125" t="s">
        <v>865</v>
      </c>
      <c r="I2125" t="str">
        <f>VLOOKUP(C2125,Customers!A:C,2,FALSE)&amp;" "&amp;VLOOKUP(C2125,Customers!A:C,3,FALSE)</f>
        <v>Madison Sellers</v>
      </c>
      <c r="J2125" t="str">
        <f>VLOOKUP(D2125,Products!A:C,2,FALSE)</f>
        <v>Whether Bags</v>
      </c>
      <c r="K2125" t="str">
        <f>VLOOKUP(D2125,Products!A:C,3,FALSE)</f>
        <v>Fashion</v>
      </c>
      <c r="L2125" t="str">
        <f>VLOOKUP(E2125,Stores!A:B,2,FALSE)</f>
        <v>MegaMart Jimenezborough</v>
      </c>
      <c r="M2125">
        <f>VLOOKUP(D2125,Products!A:E,5,FALSE)</f>
        <v>270.45</v>
      </c>
      <c r="N2125" s="5">
        <f t="shared" si="33"/>
        <v>919.53</v>
      </c>
    </row>
    <row r="2126" spans="1:14" x14ac:dyDescent="0.3">
      <c r="A2126" t="s">
        <v>2982</v>
      </c>
      <c r="B2126" s="2">
        <v>45325</v>
      </c>
      <c r="C2126" t="s">
        <v>270</v>
      </c>
      <c r="D2126" t="s">
        <v>759</v>
      </c>
      <c r="E2126" t="s">
        <v>842</v>
      </c>
      <c r="F2126">
        <v>1</v>
      </c>
      <c r="G2126">
        <v>0</v>
      </c>
      <c r="H2126" t="s">
        <v>858</v>
      </c>
      <c r="I2126" t="str">
        <f>VLOOKUP(C2126,Customers!A:C,2,FALSE)&amp;" "&amp;VLOOKUP(C2126,Customers!A:C,3,FALSE)</f>
        <v>Denise Gutierrez</v>
      </c>
      <c r="J2126" t="str">
        <f>VLOOKUP(D2126,Products!A:C,2,FALSE)</f>
        <v>Democratic Smartphone</v>
      </c>
      <c r="K2126" t="str">
        <f>VLOOKUP(D2126,Products!A:C,3,FALSE)</f>
        <v>Electronics</v>
      </c>
      <c r="L2126" t="str">
        <f>VLOOKUP(E2126,Stores!A:B,2,FALSE)</f>
        <v>MegaMart Brianahaven</v>
      </c>
      <c r="M2126">
        <f>VLOOKUP(D2126,Products!A:E,5,FALSE)</f>
        <v>1079.8900000000001</v>
      </c>
      <c r="N2126" s="5">
        <f t="shared" si="33"/>
        <v>1079.8900000000001</v>
      </c>
    </row>
    <row r="2127" spans="1:14" x14ac:dyDescent="0.3">
      <c r="A2127" t="s">
        <v>2983</v>
      </c>
      <c r="B2127" s="2">
        <v>45794</v>
      </c>
      <c r="C2127" t="s">
        <v>171</v>
      </c>
      <c r="D2127" t="s">
        <v>728</v>
      </c>
      <c r="E2127" t="s">
        <v>846</v>
      </c>
      <c r="F2127">
        <v>3</v>
      </c>
      <c r="G2127">
        <v>0.15</v>
      </c>
      <c r="H2127" t="s">
        <v>861</v>
      </c>
      <c r="I2127" t="str">
        <f>VLOOKUP(C2127,Customers!A:C,2,FALSE)&amp;" "&amp;VLOOKUP(C2127,Customers!A:C,3,FALSE)</f>
        <v>Parker Sparks</v>
      </c>
      <c r="J2127" t="str">
        <f>VLOOKUP(D2127,Products!A:C,2,FALSE)</f>
        <v>Company Fruits</v>
      </c>
      <c r="K2127" t="str">
        <f>VLOOKUP(D2127,Products!A:C,3,FALSE)</f>
        <v>Groceries</v>
      </c>
      <c r="L2127" t="str">
        <f>VLOOKUP(E2127,Stores!A:B,2,FALSE)</f>
        <v>MegaMart Johnmouth</v>
      </c>
      <c r="M2127">
        <f>VLOOKUP(D2127,Products!A:E,5,FALSE)</f>
        <v>318.05</v>
      </c>
      <c r="N2127" s="5">
        <f t="shared" si="33"/>
        <v>811.02750000000003</v>
      </c>
    </row>
    <row r="2128" spans="1:14" x14ac:dyDescent="0.3">
      <c r="A2128" t="s">
        <v>2984</v>
      </c>
      <c r="B2128" s="2">
        <v>45766</v>
      </c>
      <c r="C2128" t="s">
        <v>536</v>
      </c>
      <c r="D2128" t="s">
        <v>753</v>
      </c>
      <c r="E2128" t="s">
        <v>831</v>
      </c>
      <c r="F2128">
        <v>3</v>
      </c>
      <c r="G2128">
        <v>0</v>
      </c>
      <c r="H2128" t="s">
        <v>865</v>
      </c>
      <c r="I2128" t="str">
        <f>VLOOKUP(C2128,Customers!A:C,2,FALSE)&amp;" "&amp;VLOOKUP(C2128,Customers!A:C,3,FALSE)</f>
        <v>John Foster</v>
      </c>
      <c r="J2128" t="str">
        <f>VLOOKUP(D2128,Products!A:C,2,FALSE)</f>
        <v>Whether Bags</v>
      </c>
      <c r="K2128" t="str">
        <f>VLOOKUP(D2128,Products!A:C,3,FALSE)</f>
        <v>Fashion</v>
      </c>
      <c r="L2128" t="str">
        <f>VLOOKUP(E2128,Stores!A:B,2,FALSE)</f>
        <v>MegaMart Jimenezborough</v>
      </c>
      <c r="M2128">
        <f>VLOOKUP(D2128,Products!A:E,5,FALSE)</f>
        <v>270.45</v>
      </c>
      <c r="N2128" s="5">
        <f t="shared" si="33"/>
        <v>811.34999999999991</v>
      </c>
    </row>
    <row r="2129" spans="1:14" x14ac:dyDescent="0.3">
      <c r="A2129" t="s">
        <v>2985</v>
      </c>
      <c r="B2129" s="2">
        <v>45646</v>
      </c>
      <c r="C2129" t="s">
        <v>442</v>
      </c>
      <c r="D2129" t="s">
        <v>800</v>
      </c>
      <c r="E2129" t="s">
        <v>839</v>
      </c>
      <c r="F2129">
        <v>2</v>
      </c>
      <c r="G2129">
        <v>0.15</v>
      </c>
      <c r="H2129" t="s">
        <v>865</v>
      </c>
      <c r="I2129" t="str">
        <f>VLOOKUP(C2129,Customers!A:C,2,FALSE)&amp;" "&amp;VLOOKUP(C2129,Customers!A:C,3,FALSE)</f>
        <v>Jason Lloyd</v>
      </c>
      <c r="J2129" t="str">
        <f>VLOOKUP(D2129,Products!A:C,2,FALSE)</f>
        <v>Book Television</v>
      </c>
      <c r="K2129" t="str">
        <f>VLOOKUP(D2129,Products!A:C,3,FALSE)</f>
        <v>Electronics</v>
      </c>
      <c r="L2129" t="str">
        <f>VLOOKUP(E2129,Stores!A:B,2,FALSE)</f>
        <v>MegaMart New Michele</v>
      </c>
      <c r="M2129">
        <f>VLOOKUP(D2129,Products!A:E,5,FALSE)</f>
        <v>1952.65</v>
      </c>
      <c r="N2129" s="5">
        <f t="shared" si="33"/>
        <v>3319.5050000000001</v>
      </c>
    </row>
    <row r="2130" spans="1:14" x14ac:dyDescent="0.3">
      <c r="A2130" t="s">
        <v>2986</v>
      </c>
      <c r="B2130" s="2">
        <v>45778</v>
      </c>
      <c r="C2130" t="s">
        <v>500</v>
      </c>
      <c r="D2130" t="s">
        <v>728</v>
      </c>
      <c r="E2130" t="s">
        <v>846</v>
      </c>
      <c r="F2130">
        <v>1</v>
      </c>
      <c r="G2130">
        <v>0.1</v>
      </c>
      <c r="H2130" t="s">
        <v>865</v>
      </c>
      <c r="I2130" t="str">
        <f>VLOOKUP(C2130,Customers!A:C,2,FALSE)&amp;" "&amp;VLOOKUP(C2130,Customers!A:C,3,FALSE)</f>
        <v>Gary Lopez</v>
      </c>
      <c r="J2130" t="str">
        <f>VLOOKUP(D2130,Products!A:C,2,FALSE)</f>
        <v>Company Fruits</v>
      </c>
      <c r="K2130" t="str">
        <f>VLOOKUP(D2130,Products!A:C,3,FALSE)</f>
        <v>Groceries</v>
      </c>
      <c r="L2130" t="str">
        <f>VLOOKUP(E2130,Stores!A:B,2,FALSE)</f>
        <v>MegaMart Johnmouth</v>
      </c>
      <c r="M2130">
        <f>VLOOKUP(D2130,Products!A:E,5,FALSE)</f>
        <v>318.05</v>
      </c>
      <c r="N2130" s="5">
        <f t="shared" si="33"/>
        <v>286.245</v>
      </c>
    </row>
    <row r="2131" spans="1:14" x14ac:dyDescent="0.3">
      <c r="A2131" t="s">
        <v>2987</v>
      </c>
      <c r="B2131" s="2">
        <v>45741</v>
      </c>
      <c r="C2131" t="s">
        <v>74</v>
      </c>
      <c r="D2131" t="s">
        <v>761</v>
      </c>
      <c r="E2131" t="s">
        <v>842</v>
      </c>
      <c r="F2131">
        <v>1</v>
      </c>
      <c r="G2131">
        <v>0.15</v>
      </c>
      <c r="H2131" t="s">
        <v>855</v>
      </c>
      <c r="I2131" t="str">
        <f>VLOOKUP(C2131,Customers!A:C,2,FALSE)&amp;" "&amp;VLOOKUP(C2131,Customers!A:C,3,FALSE)</f>
        <v>Breanna Davis</v>
      </c>
      <c r="J2131" t="str">
        <f>VLOOKUP(D2131,Products!A:C,2,FALSE)</f>
        <v>Traditional Laptop</v>
      </c>
      <c r="K2131" t="str">
        <f>VLOOKUP(D2131,Products!A:C,3,FALSE)</f>
        <v>Electronics</v>
      </c>
      <c r="L2131" t="str">
        <f>VLOOKUP(E2131,Stores!A:B,2,FALSE)</f>
        <v>MegaMart Brianahaven</v>
      </c>
      <c r="M2131">
        <f>VLOOKUP(D2131,Products!A:E,5,FALSE)</f>
        <v>1762.92</v>
      </c>
      <c r="N2131" s="5">
        <f t="shared" si="33"/>
        <v>1498.482</v>
      </c>
    </row>
    <row r="2132" spans="1:14" x14ac:dyDescent="0.3">
      <c r="A2132" t="s">
        <v>2988</v>
      </c>
      <c r="B2132" s="2">
        <v>45895</v>
      </c>
      <c r="C2132" t="s">
        <v>270</v>
      </c>
      <c r="D2132" t="s">
        <v>818</v>
      </c>
      <c r="E2132" t="s">
        <v>839</v>
      </c>
      <c r="F2132">
        <v>3</v>
      </c>
      <c r="G2132">
        <v>0.15</v>
      </c>
      <c r="H2132" t="s">
        <v>865</v>
      </c>
      <c r="I2132" t="str">
        <f>VLOOKUP(C2132,Customers!A:C,2,FALSE)&amp;" "&amp;VLOOKUP(C2132,Customers!A:C,3,FALSE)</f>
        <v>Denise Gutierrez</v>
      </c>
      <c r="J2132" t="str">
        <f>VLOOKUP(D2132,Products!A:C,2,FALSE)</f>
        <v>Nature Clothing</v>
      </c>
      <c r="K2132" t="str">
        <f>VLOOKUP(D2132,Products!A:C,3,FALSE)</f>
        <v>Fashion</v>
      </c>
      <c r="L2132" t="str">
        <f>VLOOKUP(E2132,Stores!A:B,2,FALSE)</f>
        <v>MegaMart New Michele</v>
      </c>
      <c r="M2132">
        <f>VLOOKUP(D2132,Products!A:E,5,FALSE)</f>
        <v>1165.3699999999999</v>
      </c>
      <c r="N2132" s="5">
        <f t="shared" si="33"/>
        <v>2971.6934999999999</v>
      </c>
    </row>
    <row r="2133" spans="1:14" x14ac:dyDescent="0.3">
      <c r="A2133" t="s">
        <v>2989</v>
      </c>
      <c r="B2133" s="2">
        <v>45458</v>
      </c>
      <c r="C2133" t="s">
        <v>520</v>
      </c>
      <c r="D2133" t="s">
        <v>796</v>
      </c>
      <c r="E2133" t="s">
        <v>839</v>
      </c>
      <c r="F2133">
        <v>4</v>
      </c>
      <c r="G2133">
        <v>0</v>
      </c>
      <c r="H2133" t="s">
        <v>858</v>
      </c>
      <c r="I2133" t="str">
        <f>VLOOKUP(C2133,Customers!A:C,2,FALSE)&amp;" "&amp;VLOOKUP(C2133,Customers!A:C,3,FALSE)</f>
        <v>Cynthia Carlson</v>
      </c>
      <c r="J2133" t="str">
        <f>VLOOKUP(D2133,Products!A:C,2,FALSE)</f>
        <v>Chair Laptop</v>
      </c>
      <c r="K2133" t="str">
        <f>VLOOKUP(D2133,Products!A:C,3,FALSE)</f>
        <v>Electronics</v>
      </c>
      <c r="L2133" t="str">
        <f>VLOOKUP(E2133,Stores!A:B,2,FALSE)</f>
        <v>MegaMart New Michele</v>
      </c>
      <c r="M2133">
        <f>VLOOKUP(D2133,Products!A:E,5,FALSE)</f>
        <v>1562.43</v>
      </c>
      <c r="N2133" s="5">
        <f t="shared" si="33"/>
        <v>6249.72</v>
      </c>
    </row>
    <row r="2134" spans="1:14" x14ac:dyDescent="0.3">
      <c r="A2134" t="s">
        <v>2990</v>
      </c>
      <c r="B2134" s="2">
        <v>45596</v>
      </c>
      <c r="C2134" t="s">
        <v>291</v>
      </c>
      <c r="D2134" t="s">
        <v>798</v>
      </c>
      <c r="E2134" t="s">
        <v>842</v>
      </c>
      <c r="F2134">
        <v>4</v>
      </c>
      <c r="G2134">
        <v>0</v>
      </c>
      <c r="H2134" t="s">
        <v>855</v>
      </c>
      <c r="I2134" t="str">
        <f>VLOOKUP(C2134,Customers!A:C,2,FALSE)&amp;" "&amp;VLOOKUP(C2134,Customers!A:C,3,FALSE)</f>
        <v>Matthew Juarez</v>
      </c>
      <c r="J2134" t="str">
        <f>VLOOKUP(D2134,Products!A:C,2,FALSE)</f>
        <v>New Watches</v>
      </c>
      <c r="K2134" t="str">
        <f>VLOOKUP(D2134,Products!A:C,3,FALSE)</f>
        <v>Fashion</v>
      </c>
      <c r="L2134" t="str">
        <f>VLOOKUP(E2134,Stores!A:B,2,FALSE)</f>
        <v>MegaMart Brianahaven</v>
      </c>
      <c r="M2134">
        <f>VLOOKUP(D2134,Products!A:E,5,FALSE)</f>
        <v>1501.46</v>
      </c>
      <c r="N2134" s="5">
        <f t="shared" si="33"/>
        <v>6005.84</v>
      </c>
    </row>
    <row r="2135" spans="1:14" x14ac:dyDescent="0.3">
      <c r="A2135" t="s">
        <v>2991</v>
      </c>
      <c r="B2135" s="2">
        <v>45419</v>
      </c>
      <c r="C2135" t="s">
        <v>570</v>
      </c>
      <c r="D2135" t="s">
        <v>824</v>
      </c>
      <c r="E2135" t="s">
        <v>831</v>
      </c>
      <c r="F2135">
        <v>1</v>
      </c>
      <c r="G2135">
        <v>0.05</v>
      </c>
      <c r="H2135" t="s">
        <v>865</v>
      </c>
      <c r="I2135" t="str">
        <f>VLOOKUP(C2135,Customers!A:C,2,FALSE)&amp;" "&amp;VLOOKUP(C2135,Customers!A:C,3,FALSE)</f>
        <v>Thomas Chung</v>
      </c>
      <c r="J2135" t="str">
        <f>VLOOKUP(D2135,Products!A:C,2,FALSE)</f>
        <v>Possible Watches</v>
      </c>
      <c r="K2135" t="str">
        <f>VLOOKUP(D2135,Products!A:C,3,FALSE)</f>
        <v>Fashion</v>
      </c>
      <c r="L2135" t="str">
        <f>VLOOKUP(E2135,Stores!A:B,2,FALSE)</f>
        <v>MegaMart Jimenezborough</v>
      </c>
      <c r="M2135">
        <f>VLOOKUP(D2135,Products!A:E,5,FALSE)</f>
        <v>388.26</v>
      </c>
      <c r="N2135" s="5">
        <f t="shared" si="33"/>
        <v>368.84699999999998</v>
      </c>
    </row>
    <row r="2136" spans="1:14" x14ac:dyDescent="0.3">
      <c r="A2136" t="s">
        <v>2992</v>
      </c>
      <c r="B2136" s="2">
        <v>45594</v>
      </c>
      <c r="C2136" t="s">
        <v>15</v>
      </c>
      <c r="D2136" t="s">
        <v>790</v>
      </c>
      <c r="E2136" t="s">
        <v>835</v>
      </c>
      <c r="F2136">
        <v>1</v>
      </c>
      <c r="G2136">
        <v>0.1</v>
      </c>
      <c r="H2136" t="s">
        <v>858</v>
      </c>
      <c r="I2136" t="str">
        <f>VLOOKUP(C2136,Customers!A:C,2,FALSE)&amp;" "&amp;VLOOKUP(C2136,Customers!A:C,3,FALSE)</f>
        <v>Carol Hays</v>
      </c>
      <c r="J2136" t="str">
        <f>VLOOKUP(D2136,Products!A:C,2,FALSE)</f>
        <v>Difficult Vegetables</v>
      </c>
      <c r="K2136" t="str">
        <f>VLOOKUP(D2136,Products!A:C,3,FALSE)</f>
        <v>Groceries</v>
      </c>
      <c r="L2136" t="str">
        <f>VLOOKUP(E2136,Stores!A:B,2,FALSE)</f>
        <v>MegaMart Peckmouth</v>
      </c>
      <c r="M2136">
        <f>VLOOKUP(D2136,Products!A:E,5,FALSE)</f>
        <v>304.70999999999998</v>
      </c>
      <c r="N2136" s="5">
        <f t="shared" si="33"/>
        <v>274.23899999999998</v>
      </c>
    </row>
    <row r="2137" spans="1:14" x14ac:dyDescent="0.3">
      <c r="A2137" t="s">
        <v>2993</v>
      </c>
      <c r="B2137" s="2">
        <v>45329</v>
      </c>
      <c r="C2137" t="s">
        <v>224</v>
      </c>
      <c r="D2137" t="s">
        <v>759</v>
      </c>
      <c r="E2137" t="s">
        <v>835</v>
      </c>
      <c r="F2137">
        <v>1</v>
      </c>
      <c r="G2137">
        <v>0.05</v>
      </c>
      <c r="H2137" t="s">
        <v>855</v>
      </c>
      <c r="I2137" t="str">
        <f>VLOOKUP(C2137,Customers!A:C,2,FALSE)&amp;" "&amp;VLOOKUP(C2137,Customers!A:C,3,FALSE)</f>
        <v>Lawrence Stewart</v>
      </c>
      <c r="J2137" t="str">
        <f>VLOOKUP(D2137,Products!A:C,2,FALSE)</f>
        <v>Democratic Smartphone</v>
      </c>
      <c r="K2137" t="str">
        <f>VLOOKUP(D2137,Products!A:C,3,FALSE)</f>
        <v>Electronics</v>
      </c>
      <c r="L2137" t="str">
        <f>VLOOKUP(E2137,Stores!A:B,2,FALSE)</f>
        <v>MegaMart Peckmouth</v>
      </c>
      <c r="M2137">
        <f>VLOOKUP(D2137,Products!A:E,5,FALSE)</f>
        <v>1079.8900000000001</v>
      </c>
      <c r="N2137" s="5">
        <f t="shared" si="33"/>
        <v>1025.8955000000001</v>
      </c>
    </row>
    <row r="2138" spans="1:14" x14ac:dyDescent="0.3">
      <c r="A2138" t="s">
        <v>2994</v>
      </c>
      <c r="B2138" s="2">
        <v>45471</v>
      </c>
      <c r="C2138" t="s">
        <v>503</v>
      </c>
      <c r="D2138" t="s">
        <v>764</v>
      </c>
      <c r="E2138" t="s">
        <v>831</v>
      </c>
      <c r="F2138">
        <v>1</v>
      </c>
      <c r="G2138">
        <v>0.1</v>
      </c>
      <c r="H2138" t="s">
        <v>865</v>
      </c>
      <c r="I2138" t="str">
        <f>VLOOKUP(C2138,Customers!A:C,2,FALSE)&amp;" "&amp;VLOOKUP(C2138,Customers!A:C,3,FALSE)</f>
        <v>Breanna Moore</v>
      </c>
      <c r="J2138" t="str">
        <f>VLOOKUP(D2138,Products!A:C,2,FALSE)</f>
        <v>Simple Accessories</v>
      </c>
      <c r="K2138" t="str">
        <f>VLOOKUP(D2138,Products!A:C,3,FALSE)</f>
        <v>Fashion</v>
      </c>
      <c r="L2138" t="str">
        <f>VLOOKUP(E2138,Stores!A:B,2,FALSE)</f>
        <v>MegaMart Jimenezborough</v>
      </c>
      <c r="M2138">
        <f>VLOOKUP(D2138,Products!A:E,5,FALSE)</f>
        <v>323.92</v>
      </c>
      <c r="N2138" s="5">
        <f t="shared" si="33"/>
        <v>291.52800000000002</v>
      </c>
    </row>
    <row r="2139" spans="1:14" x14ac:dyDescent="0.3">
      <c r="A2139" t="s">
        <v>2995</v>
      </c>
      <c r="B2139" s="2">
        <v>45311</v>
      </c>
      <c r="C2139" t="s">
        <v>115</v>
      </c>
      <c r="D2139" t="s">
        <v>800</v>
      </c>
      <c r="E2139" t="s">
        <v>831</v>
      </c>
      <c r="F2139">
        <v>3</v>
      </c>
      <c r="G2139">
        <v>0</v>
      </c>
      <c r="H2139" t="s">
        <v>855</v>
      </c>
      <c r="I2139" t="str">
        <f>VLOOKUP(C2139,Customers!A:C,2,FALSE)&amp;" "&amp;VLOOKUP(C2139,Customers!A:C,3,FALSE)</f>
        <v>Tyler Levine</v>
      </c>
      <c r="J2139" t="str">
        <f>VLOOKUP(D2139,Products!A:C,2,FALSE)</f>
        <v>Book Television</v>
      </c>
      <c r="K2139" t="str">
        <f>VLOOKUP(D2139,Products!A:C,3,FALSE)</f>
        <v>Electronics</v>
      </c>
      <c r="L2139" t="str">
        <f>VLOOKUP(E2139,Stores!A:B,2,FALSE)</f>
        <v>MegaMart Jimenezborough</v>
      </c>
      <c r="M2139">
        <f>VLOOKUP(D2139,Products!A:E,5,FALSE)</f>
        <v>1952.65</v>
      </c>
      <c r="N2139" s="5">
        <f t="shared" si="33"/>
        <v>5857.9500000000007</v>
      </c>
    </row>
    <row r="2140" spans="1:14" x14ac:dyDescent="0.3">
      <c r="A2140" t="s">
        <v>2996</v>
      </c>
      <c r="B2140" s="2">
        <v>45772</v>
      </c>
      <c r="C2140" t="s">
        <v>320</v>
      </c>
      <c r="D2140" t="s">
        <v>769</v>
      </c>
      <c r="E2140" t="s">
        <v>846</v>
      </c>
      <c r="F2140">
        <v>4</v>
      </c>
      <c r="G2140">
        <v>0.1</v>
      </c>
      <c r="H2140" t="s">
        <v>861</v>
      </c>
      <c r="I2140" t="str">
        <f>VLOOKUP(C2140,Customers!A:C,2,FALSE)&amp;" "&amp;VLOOKUP(C2140,Customers!A:C,3,FALSE)</f>
        <v>Juan Ramirez</v>
      </c>
      <c r="J2140" t="str">
        <f>VLOOKUP(D2140,Products!A:C,2,FALSE)</f>
        <v>How Vegetables</v>
      </c>
      <c r="K2140" t="str">
        <f>VLOOKUP(D2140,Products!A:C,3,FALSE)</f>
        <v>Groceries</v>
      </c>
      <c r="L2140" t="str">
        <f>VLOOKUP(E2140,Stores!A:B,2,FALSE)</f>
        <v>MegaMart Johnmouth</v>
      </c>
      <c r="M2140">
        <f>VLOOKUP(D2140,Products!A:E,5,FALSE)</f>
        <v>25.57</v>
      </c>
      <c r="N2140" s="5">
        <f t="shared" si="33"/>
        <v>92.052000000000007</v>
      </c>
    </row>
    <row r="2141" spans="1:14" x14ac:dyDescent="0.3">
      <c r="A2141" t="s">
        <v>2997</v>
      </c>
      <c r="B2141" s="2">
        <v>45866</v>
      </c>
      <c r="C2141" t="s">
        <v>141</v>
      </c>
      <c r="D2141" t="s">
        <v>722</v>
      </c>
      <c r="E2141" t="s">
        <v>846</v>
      </c>
      <c r="F2141">
        <v>4</v>
      </c>
      <c r="G2141">
        <v>0</v>
      </c>
      <c r="H2141" t="s">
        <v>861</v>
      </c>
      <c r="I2141" t="str">
        <f>VLOOKUP(C2141,Customers!A:C,2,FALSE)&amp;" "&amp;VLOOKUP(C2141,Customers!A:C,3,FALSE)</f>
        <v>Michael Cervantes</v>
      </c>
      <c r="J2141" t="str">
        <f>VLOOKUP(D2141,Products!A:C,2,FALSE)</f>
        <v>Four Accessories</v>
      </c>
      <c r="K2141" t="str">
        <f>VLOOKUP(D2141,Products!A:C,3,FALSE)</f>
        <v>Fashion</v>
      </c>
      <c r="L2141" t="str">
        <f>VLOOKUP(E2141,Stores!A:B,2,FALSE)</f>
        <v>MegaMart Johnmouth</v>
      </c>
      <c r="M2141">
        <f>VLOOKUP(D2141,Products!A:E,5,FALSE)</f>
        <v>1853.77</v>
      </c>
      <c r="N2141" s="5">
        <f t="shared" si="33"/>
        <v>7415.08</v>
      </c>
    </row>
    <row r="2142" spans="1:14" x14ac:dyDescent="0.3">
      <c r="A2142" t="s">
        <v>2998</v>
      </c>
      <c r="B2142" s="2">
        <v>45265</v>
      </c>
      <c r="C2142" t="s">
        <v>310</v>
      </c>
      <c r="D2142" t="s">
        <v>794</v>
      </c>
      <c r="E2142" t="s">
        <v>835</v>
      </c>
      <c r="F2142">
        <v>5</v>
      </c>
      <c r="G2142">
        <v>0.15</v>
      </c>
      <c r="H2142" t="s">
        <v>858</v>
      </c>
      <c r="I2142" t="str">
        <f>VLOOKUP(C2142,Customers!A:C,2,FALSE)&amp;" "&amp;VLOOKUP(C2142,Customers!A:C,3,FALSE)</f>
        <v>Amy Haley</v>
      </c>
      <c r="J2142" t="str">
        <f>VLOOKUP(D2142,Products!A:C,2,FALSE)</f>
        <v>Everything Laptop</v>
      </c>
      <c r="K2142" t="str">
        <f>VLOOKUP(D2142,Products!A:C,3,FALSE)</f>
        <v>Electronics</v>
      </c>
      <c r="L2142" t="str">
        <f>VLOOKUP(E2142,Stores!A:B,2,FALSE)</f>
        <v>MegaMart Peckmouth</v>
      </c>
      <c r="M2142">
        <f>VLOOKUP(D2142,Products!A:E,5,FALSE)</f>
        <v>428.05</v>
      </c>
      <c r="N2142" s="5">
        <f t="shared" si="33"/>
        <v>1819.2124999999999</v>
      </c>
    </row>
    <row r="2143" spans="1:14" x14ac:dyDescent="0.3">
      <c r="A2143" t="s">
        <v>2999</v>
      </c>
      <c r="B2143" s="2">
        <v>45726</v>
      </c>
      <c r="C2143" t="s">
        <v>612</v>
      </c>
      <c r="D2143" t="s">
        <v>810</v>
      </c>
      <c r="E2143" t="s">
        <v>831</v>
      </c>
      <c r="F2143">
        <v>5</v>
      </c>
      <c r="G2143">
        <v>0.05</v>
      </c>
      <c r="H2143" t="s">
        <v>858</v>
      </c>
      <c r="I2143" t="str">
        <f>VLOOKUP(C2143,Customers!A:C,2,FALSE)&amp;" "&amp;VLOOKUP(C2143,Customers!A:C,3,FALSE)</f>
        <v>Michelle Smith</v>
      </c>
      <c r="J2143" t="str">
        <f>VLOOKUP(D2143,Products!A:C,2,FALSE)</f>
        <v>Maybe Clothing</v>
      </c>
      <c r="K2143" t="str">
        <f>VLOOKUP(D2143,Products!A:C,3,FALSE)</f>
        <v>Fashion</v>
      </c>
      <c r="L2143" t="str">
        <f>VLOOKUP(E2143,Stores!A:B,2,FALSE)</f>
        <v>MegaMart Jimenezborough</v>
      </c>
      <c r="M2143">
        <f>VLOOKUP(D2143,Products!A:E,5,FALSE)</f>
        <v>453.62</v>
      </c>
      <c r="N2143" s="5">
        <f t="shared" si="33"/>
        <v>2154.6949999999997</v>
      </c>
    </row>
    <row r="2144" spans="1:14" x14ac:dyDescent="0.3">
      <c r="A2144" t="s">
        <v>3000</v>
      </c>
      <c r="B2144" s="2">
        <v>45838</v>
      </c>
      <c r="C2144" t="s">
        <v>604</v>
      </c>
      <c r="D2144" t="s">
        <v>796</v>
      </c>
      <c r="E2144" t="s">
        <v>842</v>
      </c>
      <c r="F2144">
        <v>3</v>
      </c>
      <c r="G2144">
        <v>0.1</v>
      </c>
      <c r="H2144" t="s">
        <v>858</v>
      </c>
      <c r="I2144" t="str">
        <f>VLOOKUP(C2144,Customers!A:C,2,FALSE)&amp;" "&amp;VLOOKUP(C2144,Customers!A:C,3,FALSE)</f>
        <v>Amber Graham</v>
      </c>
      <c r="J2144" t="str">
        <f>VLOOKUP(D2144,Products!A:C,2,FALSE)</f>
        <v>Chair Laptop</v>
      </c>
      <c r="K2144" t="str">
        <f>VLOOKUP(D2144,Products!A:C,3,FALSE)</f>
        <v>Electronics</v>
      </c>
      <c r="L2144" t="str">
        <f>VLOOKUP(E2144,Stores!A:B,2,FALSE)</f>
        <v>MegaMart Brianahaven</v>
      </c>
      <c r="M2144">
        <f>VLOOKUP(D2144,Products!A:E,5,FALSE)</f>
        <v>1562.43</v>
      </c>
      <c r="N2144" s="5">
        <f t="shared" si="33"/>
        <v>4218.5609999999997</v>
      </c>
    </row>
    <row r="2145" spans="1:14" x14ac:dyDescent="0.3">
      <c r="A2145" t="s">
        <v>3001</v>
      </c>
      <c r="B2145" s="2">
        <v>45843</v>
      </c>
      <c r="C2145" t="s">
        <v>224</v>
      </c>
      <c r="D2145" t="s">
        <v>745</v>
      </c>
      <c r="E2145" t="s">
        <v>831</v>
      </c>
      <c r="F2145">
        <v>3</v>
      </c>
      <c r="G2145">
        <v>0.1</v>
      </c>
      <c r="H2145" t="s">
        <v>865</v>
      </c>
      <c r="I2145" t="str">
        <f>VLOOKUP(C2145,Customers!A:C,2,FALSE)&amp;" "&amp;VLOOKUP(C2145,Customers!A:C,3,FALSE)</f>
        <v>Lawrence Stewart</v>
      </c>
      <c r="J2145" t="str">
        <f>VLOOKUP(D2145,Products!A:C,2,FALSE)</f>
        <v>Above Camera</v>
      </c>
      <c r="K2145" t="str">
        <f>VLOOKUP(D2145,Products!A:C,3,FALSE)</f>
        <v>Electronics</v>
      </c>
      <c r="L2145" t="str">
        <f>VLOOKUP(E2145,Stores!A:B,2,FALSE)</f>
        <v>MegaMart Jimenezborough</v>
      </c>
      <c r="M2145">
        <f>VLOOKUP(D2145,Products!A:E,5,FALSE)</f>
        <v>1193.0899999999999</v>
      </c>
      <c r="N2145" s="5">
        <f t="shared" si="33"/>
        <v>3221.3429999999998</v>
      </c>
    </row>
    <row r="2146" spans="1:14" x14ac:dyDescent="0.3">
      <c r="A2146" t="s">
        <v>3002</v>
      </c>
      <c r="B2146" s="2">
        <v>45743</v>
      </c>
      <c r="C2146" t="s">
        <v>343</v>
      </c>
      <c r="D2146" t="s">
        <v>742</v>
      </c>
      <c r="E2146" t="s">
        <v>846</v>
      </c>
      <c r="F2146">
        <v>2</v>
      </c>
      <c r="G2146">
        <v>0.05</v>
      </c>
      <c r="H2146" t="s">
        <v>865</v>
      </c>
      <c r="I2146" t="str">
        <f>VLOOKUP(C2146,Customers!A:C,2,FALSE)&amp;" "&amp;VLOOKUP(C2146,Customers!A:C,3,FALSE)</f>
        <v>Brian Fowler</v>
      </c>
      <c r="J2146" t="str">
        <f>VLOOKUP(D2146,Products!A:C,2,FALSE)</f>
        <v>Either Headphones</v>
      </c>
      <c r="K2146" t="str">
        <f>VLOOKUP(D2146,Products!A:C,3,FALSE)</f>
        <v>Electronics</v>
      </c>
      <c r="L2146" t="str">
        <f>VLOOKUP(E2146,Stores!A:B,2,FALSE)</f>
        <v>MegaMart Johnmouth</v>
      </c>
      <c r="M2146">
        <f>VLOOKUP(D2146,Products!A:E,5,FALSE)</f>
        <v>248.57</v>
      </c>
      <c r="N2146" s="5">
        <f t="shared" si="33"/>
        <v>472.28299999999996</v>
      </c>
    </row>
    <row r="2147" spans="1:14" x14ac:dyDescent="0.3">
      <c r="A2147" t="s">
        <v>3003</v>
      </c>
      <c r="B2147" s="2">
        <v>45489</v>
      </c>
      <c r="C2147" t="s">
        <v>81</v>
      </c>
      <c r="D2147" t="s">
        <v>808</v>
      </c>
      <c r="E2147" t="s">
        <v>842</v>
      </c>
      <c r="F2147">
        <v>1</v>
      </c>
      <c r="G2147">
        <v>0.05</v>
      </c>
      <c r="H2147" t="s">
        <v>865</v>
      </c>
      <c r="I2147" t="str">
        <f>VLOOKUP(C2147,Customers!A:C,2,FALSE)&amp;" "&amp;VLOOKUP(C2147,Customers!A:C,3,FALSE)</f>
        <v>Ryan Cole</v>
      </c>
      <c r="J2147" t="str">
        <f>VLOOKUP(D2147,Products!A:C,2,FALSE)</f>
        <v>Present Television</v>
      </c>
      <c r="K2147" t="str">
        <f>VLOOKUP(D2147,Products!A:C,3,FALSE)</f>
        <v>Electronics</v>
      </c>
      <c r="L2147" t="str">
        <f>VLOOKUP(E2147,Stores!A:B,2,FALSE)</f>
        <v>MegaMart Brianahaven</v>
      </c>
      <c r="M2147">
        <f>VLOOKUP(D2147,Products!A:E,5,FALSE)</f>
        <v>1635.01</v>
      </c>
      <c r="N2147" s="5">
        <f t="shared" si="33"/>
        <v>1553.2594999999999</v>
      </c>
    </row>
    <row r="2148" spans="1:14" x14ac:dyDescent="0.3">
      <c r="A2148" t="s">
        <v>3004</v>
      </c>
      <c r="B2148" s="2">
        <v>45205</v>
      </c>
      <c r="C2148" t="s">
        <v>612</v>
      </c>
      <c r="D2148" t="s">
        <v>826</v>
      </c>
      <c r="E2148" t="s">
        <v>835</v>
      </c>
      <c r="F2148">
        <v>4</v>
      </c>
      <c r="G2148">
        <v>0.15</v>
      </c>
      <c r="H2148" t="s">
        <v>861</v>
      </c>
      <c r="I2148" t="str">
        <f>VLOOKUP(C2148,Customers!A:C,2,FALSE)&amp;" "&amp;VLOOKUP(C2148,Customers!A:C,3,FALSE)</f>
        <v>Michelle Smith</v>
      </c>
      <c r="J2148" t="str">
        <f>VLOOKUP(D2148,Products!A:C,2,FALSE)</f>
        <v>Maybe Footwear</v>
      </c>
      <c r="K2148" t="str">
        <f>VLOOKUP(D2148,Products!A:C,3,FALSE)</f>
        <v>Fashion</v>
      </c>
      <c r="L2148" t="str">
        <f>VLOOKUP(E2148,Stores!A:B,2,FALSE)</f>
        <v>MegaMart Peckmouth</v>
      </c>
      <c r="M2148">
        <f>VLOOKUP(D2148,Products!A:E,5,FALSE)</f>
        <v>1044.6400000000001</v>
      </c>
      <c r="N2148" s="5">
        <f t="shared" si="33"/>
        <v>3551.7760000000003</v>
      </c>
    </row>
    <row r="2149" spans="1:14" x14ac:dyDescent="0.3">
      <c r="A2149" t="s">
        <v>3005</v>
      </c>
      <c r="B2149" s="2">
        <v>45830</v>
      </c>
      <c r="C2149" t="s">
        <v>462</v>
      </c>
      <c r="D2149" t="s">
        <v>757</v>
      </c>
      <c r="E2149" t="s">
        <v>831</v>
      </c>
      <c r="F2149">
        <v>3</v>
      </c>
      <c r="G2149">
        <v>0.05</v>
      </c>
      <c r="H2149" t="s">
        <v>855</v>
      </c>
      <c r="I2149" t="str">
        <f>VLOOKUP(C2149,Customers!A:C,2,FALSE)&amp;" "&amp;VLOOKUP(C2149,Customers!A:C,3,FALSE)</f>
        <v>Kimberly Parker</v>
      </c>
      <c r="J2149" t="str">
        <f>VLOOKUP(D2149,Products!A:C,2,FALSE)</f>
        <v>Find Headphones</v>
      </c>
      <c r="K2149" t="str">
        <f>VLOOKUP(D2149,Products!A:C,3,FALSE)</f>
        <v>Electronics</v>
      </c>
      <c r="L2149" t="str">
        <f>VLOOKUP(E2149,Stores!A:B,2,FALSE)</f>
        <v>MegaMart Jimenezborough</v>
      </c>
      <c r="M2149">
        <f>VLOOKUP(D2149,Products!A:E,5,FALSE)</f>
        <v>1246.1099999999999</v>
      </c>
      <c r="N2149" s="5">
        <f t="shared" si="33"/>
        <v>3551.4134999999997</v>
      </c>
    </row>
    <row r="2150" spans="1:14" x14ac:dyDescent="0.3">
      <c r="A2150" t="s">
        <v>3006</v>
      </c>
      <c r="B2150" s="2">
        <v>45315</v>
      </c>
      <c r="C2150" t="s">
        <v>687</v>
      </c>
      <c r="D2150" t="s">
        <v>745</v>
      </c>
      <c r="E2150" t="s">
        <v>839</v>
      </c>
      <c r="F2150">
        <v>4</v>
      </c>
      <c r="G2150">
        <v>0.05</v>
      </c>
      <c r="H2150" t="s">
        <v>865</v>
      </c>
      <c r="I2150" t="str">
        <f>VLOOKUP(C2150,Customers!A:C,2,FALSE)&amp;" "&amp;VLOOKUP(C2150,Customers!A:C,3,FALSE)</f>
        <v>James Mitchell</v>
      </c>
      <c r="J2150" t="str">
        <f>VLOOKUP(D2150,Products!A:C,2,FALSE)</f>
        <v>Above Camera</v>
      </c>
      <c r="K2150" t="str">
        <f>VLOOKUP(D2150,Products!A:C,3,FALSE)</f>
        <v>Electronics</v>
      </c>
      <c r="L2150" t="str">
        <f>VLOOKUP(E2150,Stores!A:B,2,FALSE)</f>
        <v>MegaMart New Michele</v>
      </c>
      <c r="M2150">
        <f>VLOOKUP(D2150,Products!A:E,5,FALSE)</f>
        <v>1193.0899999999999</v>
      </c>
      <c r="N2150" s="5">
        <f t="shared" si="33"/>
        <v>4533.7419999999993</v>
      </c>
    </row>
    <row r="2151" spans="1:14" x14ac:dyDescent="0.3">
      <c r="A2151" t="s">
        <v>3007</v>
      </c>
      <c r="B2151" s="2">
        <v>45416</v>
      </c>
      <c r="C2151" t="s">
        <v>134</v>
      </c>
      <c r="D2151" t="s">
        <v>798</v>
      </c>
      <c r="E2151" t="s">
        <v>835</v>
      </c>
      <c r="F2151">
        <v>3</v>
      </c>
      <c r="G2151">
        <v>0.15</v>
      </c>
      <c r="H2151" t="s">
        <v>858</v>
      </c>
      <c r="I2151" t="str">
        <f>VLOOKUP(C2151,Customers!A:C,2,FALSE)&amp;" "&amp;VLOOKUP(C2151,Customers!A:C,3,FALSE)</f>
        <v>Kari Miller</v>
      </c>
      <c r="J2151" t="str">
        <f>VLOOKUP(D2151,Products!A:C,2,FALSE)</f>
        <v>New Watches</v>
      </c>
      <c r="K2151" t="str">
        <f>VLOOKUP(D2151,Products!A:C,3,FALSE)</f>
        <v>Fashion</v>
      </c>
      <c r="L2151" t="str">
        <f>VLOOKUP(E2151,Stores!A:B,2,FALSE)</f>
        <v>MegaMart Peckmouth</v>
      </c>
      <c r="M2151">
        <f>VLOOKUP(D2151,Products!A:E,5,FALSE)</f>
        <v>1501.46</v>
      </c>
      <c r="N2151" s="5">
        <f t="shared" si="33"/>
        <v>3828.723</v>
      </c>
    </row>
    <row r="2152" spans="1:14" x14ac:dyDescent="0.3">
      <c r="A2152" t="s">
        <v>3008</v>
      </c>
      <c r="B2152" s="2">
        <v>45706</v>
      </c>
      <c r="C2152" t="s">
        <v>570</v>
      </c>
      <c r="D2152" t="s">
        <v>734</v>
      </c>
      <c r="E2152" t="s">
        <v>846</v>
      </c>
      <c r="F2152">
        <v>2</v>
      </c>
      <c r="G2152">
        <v>0.15</v>
      </c>
      <c r="H2152" t="s">
        <v>861</v>
      </c>
      <c r="I2152" t="str">
        <f>VLOOKUP(C2152,Customers!A:C,2,FALSE)&amp;" "&amp;VLOOKUP(C2152,Customers!A:C,3,FALSE)</f>
        <v>Thomas Chung</v>
      </c>
      <c r="J2152" t="str">
        <f>VLOOKUP(D2152,Products!A:C,2,FALSE)</f>
        <v>Recognize Footwear</v>
      </c>
      <c r="K2152" t="str">
        <f>VLOOKUP(D2152,Products!A:C,3,FALSE)</f>
        <v>Fashion</v>
      </c>
      <c r="L2152" t="str">
        <f>VLOOKUP(E2152,Stores!A:B,2,FALSE)</f>
        <v>MegaMart Johnmouth</v>
      </c>
      <c r="M2152">
        <f>VLOOKUP(D2152,Products!A:E,5,FALSE)</f>
        <v>109.78</v>
      </c>
      <c r="N2152" s="5">
        <f t="shared" si="33"/>
        <v>186.626</v>
      </c>
    </row>
    <row r="2153" spans="1:14" x14ac:dyDescent="0.3">
      <c r="A2153" t="s">
        <v>3009</v>
      </c>
      <c r="B2153" s="2">
        <v>45613</v>
      </c>
      <c r="C2153" t="s">
        <v>74</v>
      </c>
      <c r="D2153" t="s">
        <v>755</v>
      </c>
      <c r="E2153" t="s">
        <v>839</v>
      </c>
      <c r="F2153">
        <v>4</v>
      </c>
      <c r="G2153">
        <v>0.05</v>
      </c>
      <c r="H2153" t="s">
        <v>855</v>
      </c>
      <c r="I2153" t="str">
        <f>VLOOKUP(C2153,Customers!A:C,2,FALSE)&amp;" "&amp;VLOOKUP(C2153,Customers!A:C,3,FALSE)</f>
        <v>Breanna Davis</v>
      </c>
      <c r="J2153" t="str">
        <f>VLOOKUP(D2153,Products!A:C,2,FALSE)</f>
        <v>House Accessories</v>
      </c>
      <c r="K2153" t="str">
        <f>VLOOKUP(D2153,Products!A:C,3,FALSE)</f>
        <v>Fashion</v>
      </c>
      <c r="L2153" t="str">
        <f>VLOOKUP(E2153,Stores!A:B,2,FALSE)</f>
        <v>MegaMart New Michele</v>
      </c>
      <c r="M2153">
        <f>VLOOKUP(D2153,Products!A:E,5,FALSE)</f>
        <v>1858.75</v>
      </c>
      <c r="N2153" s="5">
        <f t="shared" si="33"/>
        <v>7063.25</v>
      </c>
    </row>
    <row r="2154" spans="1:14" x14ac:dyDescent="0.3">
      <c r="A2154" t="s">
        <v>3010</v>
      </c>
      <c r="B2154" s="2">
        <v>45192</v>
      </c>
      <c r="C2154" t="s">
        <v>536</v>
      </c>
      <c r="D2154" t="s">
        <v>798</v>
      </c>
      <c r="E2154" t="s">
        <v>831</v>
      </c>
      <c r="F2154">
        <v>2</v>
      </c>
      <c r="G2154">
        <v>0.15</v>
      </c>
      <c r="H2154" t="s">
        <v>865</v>
      </c>
      <c r="I2154" t="str">
        <f>VLOOKUP(C2154,Customers!A:C,2,FALSE)&amp;" "&amp;VLOOKUP(C2154,Customers!A:C,3,FALSE)</f>
        <v>John Foster</v>
      </c>
      <c r="J2154" t="str">
        <f>VLOOKUP(D2154,Products!A:C,2,FALSE)</f>
        <v>New Watches</v>
      </c>
      <c r="K2154" t="str">
        <f>VLOOKUP(D2154,Products!A:C,3,FALSE)</f>
        <v>Fashion</v>
      </c>
      <c r="L2154" t="str">
        <f>VLOOKUP(E2154,Stores!A:B,2,FALSE)</f>
        <v>MegaMart Jimenezborough</v>
      </c>
      <c r="M2154">
        <f>VLOOKUP(D2154,Products!A:E,5,FALSE)</f>
        <v>1501.46</v>
      </c>
      <c r="N2154" s="5">
        <f t="shared" si="33"/>
        <v>2552.482</v>
      </c>
    </row>
    <row r="2155" spans="1:14" x14ac:dyDescent="0.3">
      <c r="A2155" t="s">
        <v>3011</v>
      </c>
      <c r="B2155" s="2">
        <v>45711</v>
      </c>
      <c r="C2155" t="s">
        <v>673</v>
      </c>
      <c r="D2155" t="s">
        <v>804</v>
      </c>
      <c r="E2155" t="s">
        <v>831</v>
      </c>
      <c r="F2155">
        <v>2</v>
      </c>
      <c r="G2155">
        <v>0</v>
      </c>
      <c r="H2155" t="s">
        <v>858</v>
      </c>
      <c r="I2155" t="str">
        <f>VLOOKUP(C2155,Customers!A:C,2,FALSE)&amp;" "&amp;VLOOKUP(C2155,Customers!A:C,3,FALSE)</f>
        <v>Karen Quinn</v>
      </c>
      <c r="J2155" t="str">
        <f>VLOOKUP(D2155,Products!A:C,2,FALSE)</f>
        <v>Church Clothing</v>
      </c>
      <c r="K2155" t="str">
        <f>VLOOKUP(D2155,Products!A:C,3,FALSE)</f>
        <v>Fashion</v>
      </c>
      <c r="L2155" t="str">
        <f>VLOOKUP(E2155,Stores!A:B,2,FALSE)</f>
        <v>MegaMart Jimenezborough</v>
      </c>
      <c r="M2155">
        <f>VLOOKUP(D2155,Products!A:E,5,FALSE)</f>
        <v>540.94000000000005</v>
      </c>
      <c r="N2155" s="5">
        <f t="shared" si="33"/>
        <v>1081.8800000000001</v>
      </c>
    </row>
    <row r="2156" spans="1:14" x14ac:dyDescent="0.3">
      <c r="A2156" t="s">
        <v>3012</v>
      </c>
      <c r="B2156" s="2">
        <v>45896</v>
      </c>
      <c r="C2156" t="s">
        <v>187</v>
      </c>
      <c r="D2156" t="s">
        <v>776</v>
      </c>
      <c r="E2156" t="s">
        <v>839</v>
      </c>
      <c r="F2156">
        <v>1</v>
      </c>
      <c r="G2156">
        <v>0.15</v>
      </c>
      <c r="H2156" t="s">
        <v>858</v>
      </c>
      <c r="I2156" t="str">
        <f>VLOOKUP(C2156,Customers!A:C,2,FALSE)&amp;" "&amp;VLOOKUP(C2156,Customers!A:C,3,FALSE)</f>
        <v>Alexis Crane</v>
      </c>
      <c r="J2156" t="str">
        <f>VLOOKUP(D2156,Products!A:C,2,FALSE)</f>
        <v>Little Watches</v>
      </c>
      <c r="K2156" t="str">
        <f>VLOOKUP(D2156,Products!A:C,3,FALSE)</f>
        <v>Fashion</v>
      </c>
      <c r="L2156" t="str">
        <f>VLOOKUP(E2156,Stores!A:B,2,FALSE)</f>
        <v>MegaMart New Michele</v>
      </c>
      <c r="M2156">
        <f>VLOOKUP(D2156,Products!A:E,5,FALSE)</f>
        <v>429.15</v>
      </c>
      <c r="N2156" s="5">
        <f t="shared" si="33"/>
        <v>364.77749999999997</v>
      </c>
    </row>
    <row r="2157" spans="1:14" x14ac:dyDescent="0.3">
      <c r="A2157" t="s">
        <v>3013</v>
      </c>
      <c r="B2157" s="2">
        <v>45675</v>
      </c>
      <c r="C2157" t="s">
        <v>343</v>
      </c>
      <c r="D2157" t="s">
        <v>753</v>
      </c>
      <c r="E2157" t="s">
        <v>839</v>
      </c>
      <c r="F2157">
        <v>1</v>
      </c>
      <c r="G2157">
        <v>0</v>
      </c>
      <c r="H2157" t="s">
        <v>855</v>
      </c>
      <c r="I2157" t="str">
        <f>VLOOKUP(C2157,Customers!A:C,2,FALSE)&amp;" "&amp;VLOOKUP(C2157,Customers!A:C,3,FALSE)</f>
        <v>Brian Fowler</v>
      </c>
      <c r="J2157" t="str">
        <f>VLOOKUP(D2157,Products!A:C,2,FALSE)</f>
        <v>Whether Bags</v>
      </c>
      <c r="K2157" t="str">
        <f>VLOOKUP(D2157,Products!A:C,3,FALSE)</f>
        <v>Fashion</v>
      </c>
      <c r="L2157" t="str">
        <f>VLOOKUP(E2157,Stores!A:B,2,FALSE)</f>
        <v>MegaMart New Michele</v>
      </c>
      <c r="M2157">
        <f>VLOOKUP(D2157,Products!A:E,5,FALSE)</f>
        <v>270.45</v>
      </c>
      <c r="N2157" s="5">
        <f t="shared" si="33"/>
        <v>270.45</v>
      </c>
    </row>
    <row r="2158" spans="1:14" x14ac:dyDescent="0.3">
      <c r="A2158" t="s">
        <v>3014</v>
      </c>
      <c r="B2158" s="2">
        <v>45738</v>
      </c>
      <c r="C2158" t="s">
        <v>415</v>
      </c>
      <c r="D2158" t="s">
        <v>820</v>
      </c>
      <c r="E2158" t="s">
        <v>835</v>
      </c>
      <c r="F2158">
        <v>2</v>
      </c>
      <c r="G2158">
        <v>0.15</v>
      </c>
      <c r="H2158" t="s">
        <v>858</v>
      </c>
      <c r="I2158" t="str">
        <f>VLOOKUP(C2158,Customers!A:C,2,FALSE)&amp;" "&amp;VLOOKUP(C2158,Customers!A:C,3,FALSE)</f>
        <v>Dylan Booker</v>
      </c>
      <c r="J2158" t="str">
        <f>VLOOKUP(D2158,Products!A:C,2,FALSE)</f>
        <v>Or Smartphone</v>
      </c>
      <c r="K2158" t="str">
        <f>VLOOKUP(D2158,Products!A:C,3,FALSE)</f>
        <v>Electronics</v>
      </c>
      <c r="L2158" t="str">
        <f>VLOOKUP(E2158,Stores!A:B,2,FALSE)</f>
        <v>MegaMart Peckmouth</v>
      </c>
      <c r="M2158">
        <f>VLOOKUP(D2158,Products!A:E,5,FALSE)</f>
        <v>1197.18</v>
      </c>
      <c r="N2158" s="5">
        <f t="shared" si="33"/>
        <v>2035.2060000000001</v>
      </c>
    </row>
    <row r="2159" spans="1:14" x14ac:dyDescent="0.3">
      <c r="A2159" t="s">
        <v>3015</v>
      </c>
      <c r="B2159" s="2">
        <v>45647</v>
      </c>
      <c r="C2159" t="s">
        <v>480</v>
      </c>
      <c r="D2159" t="s">
        <v>824</v>
      </c>
      <c r="E2159" t="s">
        <v>839</v>
      </c>
      <c r="F2159">
        <v>1</v>
      </c>
      <c r="G2159">
        <v>0.15</v>
      </c>
      <c r="H2159" t="s">
        <v>855</v>
      </c>
      <c r="I2159" t="str">
        <f>VLOOKUP(C2159,Customers!A:C,2,FALSE)&amp;" "&amp;VLOOKUP(C2159,Customers!A:C,3,FALSE)</f>
        <v>Denise Jackson</v>
      </c>
      <c r="J2159" t="str">
        <f>VLOOKUP(D2159,Products!A:C,2,FALSE)</f>
        <v>Possible Watches</v>
      </c>
      <c r="K2159" t="str">
        <f>VLOOKUP(D2159,Products!A:C,3,FALSE)</f>
        <v>Fashion</v>
      </c>
      <c r="L2159" t="str">
        <f>VLOOKUP(E2159,Stores!A:B,2,FALSE)</f>
        <v>MegaMart New Michele</v>
      </c>
      <c r="M2159">
        <f>VLOOKUP(D2159,Products!A:E,5,FALSE)</f>
        <v>388.26</v>
      </c>
      <c r="N2159" s="5">
        <f t="shared" si="33"/>
        <v>330.02099999999996</v>
      </c>
    </row>
    <row r="2160" spans="1:14" x14ac:dyDescent="0.3">
      <c r="A2160" t="s">
        <v>3016</v>
      </c>
      <c r="B2160" s="2">
        <v>45823</v>
      </c>
      <c r="C2160" t="s">
        <v>358</v>
      </c>
      <c r="D2160" t="s">
        <v>822</v>
      </c>
      <c r="E2160" t="s">
        <v>831</v>
      </c>
      <c r="F2160">
        <v>1</v>
      </c>
      <c r="G2160">
        <v>0.15</v>
      </c>
      <c r="H2160" t="s">
        <v>858</v>
      </c>
      <c r="I2160" t="str">
        <f>VLOOKUP(C2160,Customers!A:C,2,FALSE)&amp;" "&amp;VLOOKUP(C2160,Customers!A:C,3,FALSE)</f>
        <v>Kevin Snyder</v>
      </c>
      <c r="J2160" t="str">
        <f>VLOOKUP(D2160,Products!A:C,2,FALSE)</f>
        <v>Nor Bags</v>
      </c>
      <c r="K2160" t="str">
        <f>VLOOKUP(D2160,Products!A:C,3,FALSE)</f>
        <v>Fashion</v>
      </c>
      <c r="L2160" t="str">
        <f>VLOOKUP(E2160,Stores!A:B,2,FALSE)</f>
        <v>MegaMart Jimenezborough</v>
      </c>
      <c r="M2160">
        <f>VLOOKUP(D2160,Products!A:E,5,FALSE)</f>
        <v>1216.3599999999999</v>
      </c>
      <c r="N2160" s="5">
        <f t="shared" si="33"/>
        <v>1033.9059999999999</v>
      </c>
    </row>
    <row r="2161" spans="1:14" x14ac:dyDescent="0.3">
      <c r="A2161" t="s">
        <v>3017</v>
      </c>
      <c r="B2161" s="2">
        <v>45257</v>
      </c>
      <c r="C2161" t="s">
        <v>195</v>
      </c>
      <c r="D2161" t="s">
        <v>826</v>
      </c>
      <c r="E2161" t="s">
        <v>839</v>
      </c>
      <c r="F2161">
        <v>2</v>
      </c>
      <c r="G2161">
        <v>0.15</v>
      </c>
      <c r="H2161" t="s">
        <v>861</v>
      </c>
      <c r="I2161" t="str">
        <f>VLOOKUP(C2161,Customers!A:C,2,FALSE)&amp;" "&amp;VLOOKUP(C2161,Customers!A:C,3,FALSE)</f>
        <v>Kelly Mcmillan</v>
      </c>
      <c r="J2161" t="str">
        <f>VLOOKUP(D2161,Products!A:C,2,FALSE)</f>
        <v>Maybe Footwear</v>
      </c>
      <c r="K2161" t="str">
        <f>VLOOKUP(D2161,Products!A:C,3,FALSE)</f>
        <v>Fashion</v>
      </c>
      <c r="L2161" t="str">
        <f>VLOOKUP(E2161,Stores!A:B,2,FALSE)</f>
        <v>MegaMart New Michele</v>
      </c>
      <c r="M2161">
        <f>VLOOKUP(D2161,Products!A:E,5,FALSE)</f>
        <v>1044.6400000000001</v>
      </c>
      <c r="N2161" s="5">
        <f t="shared" si="33"/>
        <v>1775.8880000000001</v>
      </c>
    </row>
    <row r="2162" spans="1:14" x14ac:dyDescent="0.3">
      <c r="A2162" t="s">
        <v>3018</v>
      </c>
      <c r="B2162" s="2">
        <v>45581</v>
      </c>
      <c r="C2162" t="s">
        <v>551</v>
      </c>
      <c r="D2162" t="s">
        <v>774</v>
      </c>
      <c r="E2162" t="s">
        <v>839</v>
      </c>
      <c r="F2162">
        <v>5</v>
      </c>
      <c r="G2162">
        <v>0.15</v>
      </c>
      <c r="H2162" t="s">
        <v>858</v>
      </c>
      <c r="I2162" t="str">
        <f>VLOOKUP(C2162,Customers!A:C,2,FALSE)&amp;" "&amp;VLOOKUP(C2162,Customers!A:C,3,FALSE)</f>
        <v>Nancy Gordon</v>
      </c>
      <c r="J2162" t="str">
        <f>VLOOKUP(D2162,Products!A:C,2,FALSE)</f>
        <v>Him Smartphone</v>
      </c>
      <c r="K2162" t="str">
        <f>VLOOKUP(D2162,Products!A:C,3,FALSE)</f>
        <v>Electronics</v>
      </c>
      <c r="L2162" t="str">
        <f>VLOOKUP(E2162,Stores!A:B,2,FALSE)</f>
        <v>MegaMart New Michele</v>
      </c>
      <c r="M2162">
        <f>VLOOKUP(D2162,Products!A:E,5,FALSE)</f>
        <v>1487.41</v>
      </c>
      <c r="N2162" s="5">
        <f t="shared" si="33"/>
        <v>6321.4925000000003</v>
      </c>
    </row>
    <row r="2163" spans="1:14" x14ac:dyDescent="0.3">
      <c r="A2163" t="s">
        <v>3019</v>
      </c>
      <c r="B2163" s="2">
        <v>45889</v>
      </c>
      <c r="C2163" t="s">
        <v>112</v>
      </c>
      <c r="D2163" t="s">
        <v>776</v>
      </c>
      <c r="E2163" t="s">
        <v>831</v>
      </c>
      <c r="F2163">
        <v>2</v>
      </c>
      <c r="G2163">
        <v>0</v>
      </c>
      <c r="H2163" t="s">
        <v>861</v>
      </c>
      <c r="I2163" t="str">
        <f>VLOOKUP(C2163,Customers!A:C,2,FALSE)&amp;" "&amp;VLOOKUP(C2163,Customers!A:C,3,FALSE)</f>
        <v>John Carr</v>
      </c>
      <c r="J2163" t="str">
        <f>VLOOKUP(D2163,Products!A:C,2,FALSE)</f>
        <v>Little Watches</v>
      </c>
      <c r="K2163" t="str">
        <f>VLOOKUP(D2163,Products!A:C,3,FALSE)</f>
        <v>Fashion</v>
      </c>
      <c r="L2163" t="str">
        <f>VLOOKUP(E2163,Stores!A:B,2,FALSE)</f>
        <v>MegaMart Jimenezborough</v>
      </c>
      <c r="M2163">
        <f>VLOOKUP(D2163,Products!A:E,5,FALSE)</f>
        <v>429.15</v>
      </c>
      <c r="N2163" s="5">
        <f t="shared" si="33"/>
        <v>858.3</v>
      </c>
    </row>
    <row r="2164" spans="1:14" x14ac:dyDescent="0.3">
      <c r="A2164" t="s">
        <v>3020</v>
      </c>
      <c r="B2164" s="2">
        <v>45629</v>
      </c>
      <c r="C2164" t="s">
        <v>119</v>
      </c>
      <c r="D2164" t="s">
        <v>757</v>
      </c>
      <c r="E2164" t="s">
        <v>831</v>
      </c>
      <c r="F2164">
        <v>1</v>
      </c>
      <c r="G2164">
        <v>0.1</v>
      </c>
      <c r="H2164" t="s">
        <v>861</v>
      </c>
      <c r="I2164" t="str">
        <f>VLOOKUP(C2164,Customers!A:C,2,FALSE)&amp;" "&amp;VLOOKUP(C2164,Customers!A:C,3,FALSE)</f>
        <v>Lacey Hall</v>
      </c>
      <c r="J2164" t="str">
        <f>VLOOKUP(D2164,Products!A:C,2,FALSE)</f>
        <v>Find Headphones</v>
      </c>
      <c r="K2164" t="str">
        <f>VLOOKUP(D2164,Products!A:C,3,FALSE)</f>
        <v>Electronics</v>
      </c>
      <c r="L2164" t="str">
        <f>VLOOKUP(E2164,Stores!A:B,2,FALSE)</f>
        <v>MegaMart Jimenezborough</v>
      </c>
      <c r="M2164">
        <f>VLOOKUP(D2164,Products!A:E,5,FALSE)</f>
        <v>1246.1099999999999</v>
      </c>
      <c r="N2164" s="5">
        <f t="shared" si="33"/>
        <v>1121.499</v>
      </c>
    </row>
    <row r="2165" spans="1:14" x14ac:dyDescent="0.3">
      <c r="A2165" t="s">
        <v>3021</v>
      </c>
      <c r="B2165" s="2">
        <v>45295</v>
      </c>
      <c r="C2165" t="s">
        <v>71</v>
      </c>
      <c r="D2165" t="s">
        <v>711</v>
      </c>
      <c r="E2165" t="s">
        <v>846</v>
      </c>
      <c r="F2165">
        <v>1</v>
      </c>
      <c r="G2165">
        <v>0.1</v>
      </c>
      <c r="H2165" t="s">
        <v>861</v>
      </c>
      <c r="I2165" t="str">
        <f>VLOOKUP(C2165,Customers!A:C,2,FALSE)&amp;" "&amp;VLOOKUP(C2165,Customers!A:C,3,FALSE)</f>
        <v>Vanessa Anderson</v>
      </c>
      <c r="J2165" t="str">
        <f>VLOOKUP(D2165,Products!A:C,2,FALSE)</f>
        <v>Like Camera</v>
      </c>
      <c r="K2165" t="str">
        <f>VLOOKUP(D2165,Products!A:C,3,FALSE)</f>
        <v>Electronics</v>
      </c>
      <c r="L2165" t="str">
        <f>VLOOKUP(E2165,Stores!A:B,2,FALSE)</f>
        <v>MegaMart Johnmouth</v>
      </c>
      <c r="M2165">
        <f>VLOOKUP(D2165,Products!A:E,5,FALSE)</f>
        <v>1673.69</v>
      </c>
      <c r="N2165" s="5">
        <f t="shared" si="33"/>
        <v>1506.3210000000001</v>
      </c>
    </row>
    <row r="2166" spans="1:14" x14ac:dyDescent="0.3">
      <c r="A2166" t="s">
        <v>3022</v>
      </c>
      <c r="B2166" s="2">
        <v>45660</v>
      </c>
      <c r="C2166" t="s">
        <v>570</v>
      </c>
      <c r="D2166" t="s">
        <v>747</v>
      </c>
      <c r="E2166" t="s">
        <v>842</v>
      </c>
      <c r="F2166">
        <v>4</v>
      </c>
      <c r="G2166">
        <v>0.15</v>
      </c>
      <c r="H2166" t="s">
        <v>865</v>
      </c>
      <c r="I2166" t="str">
        <f>VLOOKUP(C2166,Customers!A:C,2,FALSE)&amp;" "&amp;VLOOKUP(C2166,Customers!A:C,3,FALSE)</f>
        <v>Thomas Chung</v>
      </c>
      <c r="J2166" t="str">
        <f>VLOOKUP(D2166,Products!A:C,2,FALSE)</f>
        <v>World Watches</v>
      </c>
      <c r="K2166" t="str">
        <f>VLOOKUP(D2166,Products!A:C,3,FALSE)</f>
        <v>Fashion</v>
      </c>
      <c r="L2166" t="str">
        <f>VLOOKUP(E2166,Stores!A:B,2,FALSE)</f>
        <v>MegaMart Brianahaven</v>
      </c>
      <c r="M2166">
        <f>VLOOKUP(D2166,Products!A:E,5,FALSE)</f>
        <v>1134.8</v>
      </c>
      <c r="N2166" s="5">
        <f t="shared" si="33"/>
        <v>3858.3199999999997</v>
      </c>
    </row>
    <row r="2167" spans="1:14" x14ac:dyDescent="0.3">
      <c r="A2167" t="s">
        <v>3023</v>
      </c>
      <c r="B2167" s="2">
        <v>45819</v>
      </c>
      <c r="C2167" t="s">
        <v>221</v>
      </c>
      <c r="D2167" t="s">
        <v>742</v>
      </c>
      <c r="E2167" t="s">
        <v>839</v>
      </c>
      <c r="F2167">
        <v>4</v>
      </c>
      <c r="G2167">
        <v>0.05</v>
      </c>
      <c r="H2167" t="s">
        <v>861</v>
      </c>
      <c r="I2167" t="str">
        <f>VLOOKUP(C2167,Customers!A:C,2,FALSE)&amp;" "&amp;VLOOKUP(C2167,Customers!A:C,3,FALSE)</f>
        <v>Julie Gibson</v>
      </c>
      <c r="J2167" t="str">
        <f>VLOOKUP(D2167,Products!A:C,2,FALSE)</f>
        <v>Either Headphones</v>
      </c>
      <c r="K2167" t="str">
        <f>VLOOKUP(D2167,Products!A:C,3,FALSE)</f>
        <v>Electronics</v>
      </c>
      <c r="L2167" t="str">
        <f>VLOOKUP(E2167,Stores!A:B,2,FALSE)</f>
        <v>MegaMart New Michele</v>
      </c>
      <c r="M2167">
        <f>VLOOKUP(D2167,Products!A:E,5,FALSE)</f>
        <v>248.57</v>
      </c>
      <c r="N2167" s="5">
        <f t="shared" si="33"/>
        <v>944.56599999999992</v>
      </c>
    </row>
    <row r="2168" spans="1:14" x14ac:dyDescent="0.3">
      <c r="A2168" t="s">
        <v>3024</v>
      </c>
      <c r="B2168" s="2">
        <v>45362</v>
      </c>
      <c r="C2168" t="s">
        <v>206</v>
      </c>
      <c r="D2168" t="s">
        <v>788</v>
      </c>
      <c r="E2168" t="s">
        <v>839</v>
      </c>
      <c r="F2168">
        <v>3</v>
      </c>
      <c r="G2168">
        <v>0.1</v>
      </c>
      <c r="H2168" t="s">
        <v>865</v>
      </c>
      <c r="I2168" t="str">
        <f>VLOOKUP(C2168,Customers!A:C,2,FALSE)&amp;" "&amp;VLOOKUP(C2168,Customers!A:C,3,FALSE)</f>
        <v>Felicia Morgan</v>
      </c>
      <c r="J2168" t="str">
        <f>VLOOKUP(D2168,Products!A:C,2,FALSE)</f>
        <v>Foot Snacks</v>
      </c>
      <c r="K2168" t="str">
        <f>VLOOKUP(D2168,Products!A:C,3,FALSE)</f>
        <v>Groceries</v>
      </c>
      <c r="L2168" t="str">
        <f>VLOOKUP(E2168,Stores!A:B,2,FALSE)</f>
        <v>MegaMart New Michele</v>
      </c>
      <c r="M2168">
        <f>VLOOKUP(D2168,Products!A:E,5,FALSE)</f>
        <v>1095.72</v>
      </c>
      <c r="N2168" s="5">
        <f t="shared" si="33"/>
        <v>2958.444</v>
      </c>
    </row>
    <row r="2169" spans="1:14" x14ac:dyDescent="0.3">
      <c r="A2169" t="s">
        <v>3025</v>
      </c>
      <c r="B2169" s="2">
        <v>45477</v>
      </c>
      <c r="C2169" t="s">
        <v>101</v>
      </c>
      <c r="D2169" t="s">
        <v>725</v>
      </c>
      <c r="E2169" t="s">
        <v>835</v>
      </c>
      <c r="F2169">
        <v>5</v>
      </c>
      <c r="G2169">
        <v>0.15</v>
      </c>
      <c r="H2169" t="s">
        <v>855</v>
      </c>
      <c r="I2169" t="str">
        <f>VLOOKUP(C2169,Customers!A:C,2,FALSE)&amp;" "&amp;VLOOKUP(C2169,Customers!A:C,3,FALSE)</f>
        <v>Cheryl Gilbert</v>
      </c>
      <c r="J2169" t="str">
        <f>VLOOKUP(D2169,Products!A:C,2,FALSE)</f>
        <v>Knowledge Bags</v>
      </c>
      <c r="K2169" t="str">
        <f>VLOOKUP(D2169,Products!A:C,3,FALSE)</f>
        <v>Fashion</v>
      </c>
      <c r="L2169" t="str">
        <f>VLOOKUP(E2169,Stores!A:B,2,FALSE)</f>
        <v>MegaMart Peckmouth</v>
      </c>
      <c r="M2169">
        <f>VLOOKUP(D2169,Products!A:E,5,FALSE)</f>
        <v>1396.22</v>
      </c>
      <c r="N2169" s="5">
        <f t="shared" si="33"/>
        <v>5933.9350000000004</v>
      </c>
    </row>
    <row r="2170" spans="1:14" x14ac:dyDescent="0.3">
      <c r="A2170" t="s">
        <v>3026</v>
      </c>
      <c r="B2170" s="2">
        <v>45232</v>
      </c>
      <c r="C2170" t="s">
        <v>627</v>
      </c>
      <c r="D2170" t="s">
        <v>822</v>
      </c>
      <c r="E2170" t="s">
        <v>835</v>
      </c>
      <c r="F2170">
        <v>2</v>
      </c>
      <c r="G2170">
        <v>0.1</v>
      </c>
      <c r="H2170" t="s">
        <v>865</v>
      </c>
      <c r="I2170" t="str">
        <f>VLOOKUP(C2170,Customers!A:C,2,FALSE)&amp;" "&amp;VLOOKUP(C2170,Customers!A:C,3,FALSE)</f>
        <v>Anthony Gould</v>
      </c>
      <c r="J2170" t="str">
        <f>VLOOKUP(D2170,Products!A:C,2,FALSE)</f>
        <v>Nor Bags</v>
      </c>
      <c r="K2170" t="str">
        <f>VLOOKUP(D2170,Products!A:C,3,FALSE)</f>
        <v>Fashion</v>
      </c>
      <c r="L2170" t="str">
        <f>VLOOKUP(E2170,Stores!A:B,2,FALSE)</f>
        <v>MegaMart Peckmouth</v>
      </c>
      <c r="M2170">
        <f>VLOOKUP(D2170,Products!A:E,5,FALSE)</f>
        <v>1216.3599999999999</v>
      </c>
      <c r="N2170" s="5">
        <f t="shared" si="33"/>
        <v>2189.4479999999999</v>
      </c>
    </row>
    <row r="2171" spans="1:14" x14ac:dyDescent="0.3">
      <c r="A2171" t="s">
        <v>3027</v>
      </c>
      <c r="B2171" s="2">
        <v>45500</v>
      </c>
      <c r="C2171" t="s">
        <v>167</v>
      </c>
      <c r="D2171" t="s">
        <v>794</v>
      </c>
      <c r="E2171" t="s">
        <v>835</v>
      </c>
      <c r="F2171">
        <v>3</v>
      </c>
      <c r="G2171">
        <v>0.15</v>
      </c>
      <c r="H2171" t="s">
        <v>861</v>
      </c>
      <c r="I2171" t="str">
        <f>VLOOKUP(C2171,Customers!A:C,2,FALSE)&amp;" "&amp;VLOOKUP(C2171,Customers!A:C,3,FALSE)</f>
        <v>Kenneth Allen</v>
      </c>
      <c r="J2171" t="str">
        <f>VLOOKUP(D2171,Products!A:C,2,FALSE)</f>
        <v>Everything Laptop</v>
      </c>
      <c r="K2171" t="str">
        <f>VLOOKUP(D2171,Products!A:C,3,FALSE)</f>
        <v>Electronics</v>
      </c>
      <c r="L2171" t="str">
        <f>VLOOKUP(E2171,Stores!A:B,2,FALSE)</f>
        <v>MegaMart Peckmouth</v>
      </c>
      <c r="M2171">
        <f>VLOOKUP(D2171,Products!A:E,5,FALSE)</f>
        <v>428.05</v>
      </c>
      <c r="N2171" s="5">
        <f t="shared" si="33"/>
        <v>1091.5275000000001</v>
      </c>
    </row>
    <row r="2172" spans="1:14" x14ac:dyDescent="0.3">
      <c r="A2172" t="s">
        <v>3028</v>
      </c>
      <c r="B2172" s="2">
        <v>45685</v>
      </c>
      <c r="C2172" t="s">
        <v>20</v>
      </c>
      <c r="D2172" t="s">
        <v>782</v>
      </c>
      <c r="E2172" t="s">
        <v>842</v>
      </c>
      <c r="F2172">
        <v>4</v>
      </c>
      <c r="G2172">
        <v>0.1</v>
      </c>
      <c r="H2172" t="s">
        <v>865</v>
      </c>
      <c r="I2172" t="str">
        <f>VLOOKUP(C2172,Customers!A:C,2,FALSE)&amp;" "&amp;VLOOKUP(C2172,Customers!A:C,3,FALSE)</f>
        <v>Joseph Ward</v>
      </c>
      <c r="J2172" t="str">
        <f>VLOOKUP(D2172,Products!A:C,2,FALSE)</f>
        <v>Deal Smartphone</v>
      </c>
      <c r="K2172" t="str">
        <f>VLOOKUP(D2172,Products!A:C,3,FALSE)</f>
        <v>Electronics</v>
      </c>
      <c r="L2172" t="str">
        <f>VLOOKUP(E2172,Stores!A:B,2,FALSE)</f>
        <v>MegaMart Brianahaven</v>
      </c>
      <c r="M2172">
        <f>VLOOKUP(D2172,Products!A:E,5,FALSE)</f>
        <v>673.78</v>
      </c>
      <c r="N2172" s="5">
        <f t="shared" si="33"/>
        <v>2425.6080000000002</v>
      </c>
    </row>
    <row r="2173" spans="1:14" x14ac:dyDescent="0.3">
      <c r="A2173" t="s">
        <v>3029</v>
      </c>
      <c r="B2173" s="2">
        <v>45437</v>
      </c>
      <c r="C2173" t="s">
        <v>179</v>
      </c>
      <c r="D2173" t="s">
        <v>761</v>
      </c>
      <c r="E2173" t="s">
        <v>839</v>
      </c>
      <c r="F2173">
        <v>1</v>
      </c>
      <c r="G2173">
        <v>0.05</v>
      </c>
      <c r="H2173" t="s">
        <v>865</v>
      </c>
      <c r="I2173" t="str">
        <f>VLOOKUP(C2173,Customers!A:C,2,FALSE)&amp;" "&amp;VLOOKUP(C2173,Customers!A:C,3,FALSE)</f>
        <v>Dennis Poole</v>
      </c>
      <c r="J2173" t="str">
        <f>VLOOKUP(D2173,Products!A:C,2,FALSE)</f>
        <v>Traditional Laptop</v>
      </c>
      <c r="K2173" t="str">
        <f>VLOOKUP(D2173,Products!A:C,3,FALSE)</f>
        <v>Electronics</v>
      </c>
      <c r="L2173" t="str">
        <f>VLOOKUP(E2173,Stores!A:B,2,FALSE)</f>
        <v>MegaMart New Michele</v>
      </c>
      <c r="M2173">
        <f>VLOOKUP(D2173,Products!A:E,5,FALSE)</f>
        <v>1762.92</v>
      </c>
      <c r="N2173" s="5">
        <f t="shared" si="33"/>
        <v>1674.7739999999999</v>
      </c>
    </row>
    <row r="2174" spans="1:14" x14ac:dyDescent="0.3">
      <c r="A2174" t="s">
        <v>3030</v>
      </c>
      <c r="B2174" s="2">
        <v>45592</v>
      </c>
      <c r="C2174" t="s">
        <v>551</v>
      </c>
      <c r="D2174" t="s">
        <v>774</v>
      </c>
      <c r="E2174" t="s">
        <v>839</v>
      </c>
      <c r="F2174">
        <v>4</v>
      </c>
      <c r="G2174">
        <v>0</v>
      </c>
      <c r="H2174" t="s">
        <v>858</v>
      </c>
      <c r="I2174" t="str">
        <f>VLOOKUP(C2174,Customers!A:C,2,FALSE)&amp;" "&amp;VLOOKUP(C2174,Customers!A:C,3,FALSE)</f>
        <v>Nancy Gordon</v>
      </c>
      <c r="J2174" t="str">
        <f>VLOOKUP(D2174,Products!A:C,2,FALSE)</f>
        <v>Him Smartphone</v>
      </c>
      <c r="K2174" t="str">
        <f>VLOOKUP(D2174,Products!A:C,3,FALSE)</f>
        <v>Electronics</v>
      </c>
      <c r="L2174" t="str">
        <f>VLOOKUP(E2174,Stores!A:B,2,FALSE)</f>
        <v>MegaMart New Michele</v>
      </c>
      <c r="M2174">
        <f>VLOOKUP(D2174,Products!A:E,5,FALSE)</f>
        <v>1487.41</v>
      </c>
      <c r="N2174" s="5">
        <f t="shared" si="33"/>
        <v>5949.64</v>
      </c>
    </row>
    <row r="2175" spans="1:14" x14ac:dyDescent="0.3">
      <c r="A2175" t="s">
        <v>3031</v>
      </c>
      <c r="B2175" s="2">
        <v>45841</v>
      </c>
      <c r="C2175" t="s">
        <v>243</v>
      </c>
      <c r="D2175" t="s">
        <v>722</v>
      </c>
      <c r="E2175" t="s">
        <v>842</v>
      </c>
      <c r="F2175">
        <v>1</v>
      </c>
      <c r="G2175">
        <v>0</v>
      </c>
      <c r="H2175" t="s">
        <v>865</v>
      </c>
      <c r="I2175" t="str">
        <f>VLOOKUP(C2175,Customers!A:C,2,FALSE)&amp;" "&amp;VLOOKUP(C2175,Customers!A:C,3,FALSE)</f>
        <v>Amanda Hoover</v>
      </c>
      <c r="J2175" t="str">
        <f>VLOOKUP(D2175,Products!A:C,2,FALSE)</f>
        <v>Four Accessories</v>
      </c>
      <c r="K2175" t="str">
        <f>VLOOKUP(D2175,Products!A:C,3,FALSE)</f>
        <v>Fashion</v>
      </c>
      <c r="L2175" t="str">
        <f>VLOOKUP(E2175,Stores!A:B,2,FALSE)</f>
        <v>MegaMart Brianahaven</v>
      </c>
      <c r="M2175">
        <f>VLOOKUP(D2175,Products!A:E,5,FALSE)</f>
        <v>1853.77</v>
      </c>
      <c r="N2175" s="5">
        <f t="shared" si="33"/>
        <v>1853.77</v>
      </c>
    </row>
    <row r="2176" spans="1:14" x14ac:dyDescent="0.3">
      <c r="A2176" t="s">
        <v>3032</v>
      </c>
      <c r="B2176" s="2">
        <v>45449</v>
      </c>
      <c r="C2176" t="s">
        <v>531</v>
      </c>
      <c r="D2176" t="s">
        <v>742</v>
      </c>
      <c r="E2176" t="s">
        <v>839</v>
      </c>
      <c r="F2176">
        <v>2</v>
      </c>
      <c r="G2176">
        <v>0.05</v>
      </c>
      <c r="H2176" t="s">
        <v>861</v>
      </c>
      <c r="I2176" t="str">
        <f>VLOOKUP(C2176,Customers!A:C,2,FALSE)&amp;" "&amp;VLOOKUP(C2176,Customers!A:C,3,FALSE)</f>
        <v>John Johnson</v>
      </c>
      <c r="J2176" t="str">
        <f>VLOOKUP(D2176,Products!A:C,2,FALSE)</f>
        <v>Either Headphones</v>
      </c>
      <c r="K2176" t="str">
        <f>VLOOKUP(D2176,Products!A:C,3,FALSE)</f>
        <v>Electronics</v>
      </c>
      <c r="L2176" t="str">
        <f>VLOOKUP(E2176,Stores!A:B,2,FALSE)</f>
        <v>MegaMart New Michele</v>
      </c>
      <c r="M2176">
        <f>VLOOKUP(D2176,Products!A:E,5,FALSE)</f>
        <v>248.57</v>
      </c>
      <c r="N2176" s="5">
        <f t="shared" si="33"/>
        <v>472.28299999999996</v>
      </c>
    </row>
    <row r="2177" spans="1:14" x14ac:dyDescent="0.3">
      <c r="A2177" t="s">
        <v>3033</v>
      </c>
      <c r="B2177" s="2">
        <v>45745</v>
      </c>
      <c r="C2177" t="s">
        <v>700</v>
      </c>
      <c r="D2177" t="s">
        <v>786</v>
      </c>
      <c r="E2177" t="s">
        <v>831</v>
      </c>
      <c r="F2177">
        <v>1</v>
      </c>
      <c r="G2177">
        <v>0.1</v>
      </c>
      <c r="H2177" t="s">
        <v>855</v>
      </c>
      <c r="I2177" t="str">
        <f>VLOOKUP(C2177,Customers!A:C,2,FALSE)&amp;" "&amp;VLOOKUP(C2177,Customers!A:C,3,FALSE)</f>
        <v>Juan Johnson</v>
      </c>
      <c r="J2177" t="str">
        <f>VLOOKUP(D2177,Products!A:C,2,FALSE)</f>
        <v>National Watches</v>
      </c>
      <c r="K2177" t="str">
        <f>VLOOKUP(D2177,Products!A:C,3,FALSE)</f>
        <v>Fashion</v>
      </c>
      <c r="L2177" t="str">
        <f>VLOOKUP(E2177,Stores!A:B,2,FALSE)</f>
        <v>MegaMart Jimenezborough</v>
      </c>
      <c r="M2177">
        <f>VLOOKUP(D2177,Products!A:E,5,FALSE)</f>
        <v>29.24</v>
      </c>
      <c r="N2177" s="5">
        <f t="shared" si="33"/>
        <v>26.315999999999999</v>
      </c>
    </row>
    <row r="2178" spans="1:14" x14ac:dyDescent="0.3">
      <c r="A2178" t="s">
        <v>3034</v>
      </c>
      <c r="B2178" s="2">
        <v>45806</v>
      </c>
      <c r="C2178" t="s">
        <v>432</v>
      </c>
      <c r="D2178" t="s">
        <v>818</v>
      </c>
      <c r="E2178" t="s">
        <v>842</v>
      </c>
      <c r="F2178">
        <v>3</v>
      </c>
      <c r="G2178">
        <v>0.1</v>
      </c>
      <c r="H2178" t="s">
        <v>858</v>
      </c>
      <c r="I2178" t="str">
        <f>VLOOKUP(C2178,Customers!A:C,2,FALSE)&amp;" "&amp;VLOOKUP(C2178,Customers!A:C,3,FALSE)</f>
        <v>Jamie Webb</v>
      </c>
      <c r="J2178" t="str">
        <f>VLOOKUP(D2178,Products!A:C,2,FALSE)</f>
        <v>Nature Clothing</v>
      </c>
      <c r="K2178" t="str">
        <f>VLOOKUP(D2178,Products!A:C,3,FALSE)</f>
        <v>Fashion</v>
      </c>
      <c r="L2178" t="str">
        <f>VLOOKUP(E2178,Stores!A:B,2,FALSE)</f>
        <v>MegaMart Brianahaven</v>
      </c>
      <c r="M2178">
        <f>VLOOKUP(D2178,Products!A:E,5,FALSE)</f>
        <v>1165.3699999999999</v>
      </c>
      <c r="N2178" s="5">
        <f t="shared" si="33"/>
        <v>3146.4989999999998</v>
      </c>
    </row>
    <row r="2179" spans="1:14" x14ac:dyDescent="0.3">
      <c r="A2179" t="s">
        <v>3035</v>
      </c>
      <c r="B2179" s="2">
        <v>45522</v>
      </c>
      <c r="C2179" t="s">
        <v>247</v>
      </c>
      <c r="D2179" t="s">
        <v>786</v>
      </c>
      <c r="E2179" t="s">
        <v>839</v>
      </c>
      <c r="F2179">
        <v>4</v>
      </c>
      <c r="G2179">
        <v>0</v>
      </c>
      <c r="H2179" t="s">
        <v>855</v>
      </c>
      <c r="I2179" t="str">
        <f>VLOOKUP(C2179,Customers!A:C,2,FALSE)&amp;" "&amp;VLOOKUP(C2179,Customers!A:C,3,FALSE)</f>
        <v>Scott Duke</v>
      </c>
      <c r="J2179" t="str">
        <f>VLOOKUP(D2179,Products!A:C,2,FALSE)</f>
        <v>National Watches</v>
      </c>
      <c r="K2179" t="str">
        <f>VLOOKUP(D2179,Products!A:C,3,FALSE)</f>
        <v>Fashion</v>
      </c>
      <c r="L2179" t="str">
        <f>VLOOKUP(E2179,Stores!A:B,2,FALSE)</f>
        <v>MegaMart New Michele</v>
      </c>
      <c r="M2179">
        <f>VLOOKUP(D2179,Products!A:E,5,FALSE)</f>
        <v>29.24</v>
      </c>
      <c r="N2179" s="5">
        <f t="shared" ref="N2179:N2242" si="34">F2179*M2179*(1-G2179)</f>
        <v>116.96</v>
      </c>
    </row>
    <row r="2180" spans="1:14" x14ac:dyDescent="0.3">
      <c r="A2180" t="s">
        <v>3036</v>
      </c>
      <c r="B2180" s="2">
        <v>45226</v>
      </c>
      <c r="C2180" t="s">
        <v>294</v>
      </c>
      <c r="D2180" t="s">
        <v>761</v>
      </c>
      <c r="E2180" t="s">
        <v>839</v>
      </c>
      <c r="F2180">
        <v>5</v>
      </c>
      <c r="G2180">
        <v>0.15</v>
      </c>
      <c r="H2180" t="s">
        <v>865</v>
      </c>
      <c r="I2180" t="str">
        <f>VLOOKUP(C2180,Customers!A:C,2,FALSE)&amp;" "&amp;VLOOKUP(C2180,Customers!A:C,3,FALSE)</f>
        <v>Jeanne Young</v>
      </c>
      <c r="J2180" t="str">
        <f>VLOOKUP(D2180,Products!A:C,2,FALSE)</f>
        <v>Traditional Laptop</v>
      </c>
      <c r="K2180" t="str">
        <f>VLOOKUP(D2180,Products!A:C,3,FALSE)</f>
        <v>Electronics</v>
      </c>
      <c r="L2180" t="str">
        <f>VLOOKUP(E2180,Stores!A:B,2,FALSE)</f>
        <v>MegaMart New Michele</v>
      </c>
      <c r="M2180">
        <f>VLOOKUP(D2180,Products!A:E,5,FALSE)</f>
        <v>1762.92</v>
      </c>
      <c r="N2180" s="5">
        <f t="shared" si="34"/>
        <v>7492.41</v>
      </c>
    </row>
    <row r="2181" spans="1:14" x14ac:dyDescent="0.3">
      <c r="A2181" t="s">
        <v>3037</v>
      </c>
      <c r="B2181" s="2">
        <v>45713</v>
      </c>
      <c r="C2181" t="s">
        <v>266</v>
      </c>
      <c r="D2181" t="s">
        <v>772</v>
      </c>
      <c r="E2181" t="s">
        <v>846</v>
      </c>
      <c r="F2181">
        <v>1</v>
      </c>
      <c r="G2181">
        <v>0.05</v>
      </c>
      <c r="H2181" t="s">
        <v>858</v>
      </c>
      <c r="I2181" t="str">
        <f>VLOOKUP(C2181,Customers!A:C,2,FALSE)&amp;" "&amp;VLOOKUP(C2181,Customers!A:C,3,FALSE)</f>
        <v>Eric Bryan</v>
      </c>
      <c r="J2181" t="str">
        <f>VLOOKUP(D2181,Products!A:C,2,FALSE)</f>
        <v>And Footwear</v>
      </c>
      <c r="K2181" t="str">
        <f>VLOOKUP(D2181,Products!A:C,3,FALSE)</f>
        <v>Fashion</v>
      </c>
      <c r="L2181" t="str">
        <f>VLOOKUP(E2181,Stores!A:B,2,FALSE)</f>
        <v>MegaMart Johnmouth</v>
      </c>
      <c r="M2181">
        <f>VLOOKUP(D2181,Products!A:E,5,FALSE)</f>
        <v>1878.47</v>
      </c>
      <c r="N2181" s="5">
        <f t="shared" si="34"/>
        <v>1784.5464999999999</v>
      </c>
    </row>
    <row r="2182" spans="1:14" x14ac:dyDescent="0.3">
      <c r="A2182" t="s">
        <v>3038</v>
      </c>
      <c r="B2182" s="2">
        <v>45278</v>
      </c>
      <c r="C2182" t="s">
        <v>221</v>
      </c>
      <c r="D2182" t="s">
        <v>804</v>
      </c>
      <c r="E2182" t="s">
        <v>835</v>
      </c>
      <c r="F2182">
        <v>3</v>
      </c>
      <c r="G2182">
        <v>0.15</v>
      </c>
      <c r="H2182" t="s">
        <v>865</v>
      </c>
      <c r="I2182" t="str">
        <f>VLOOKUP(C2182,Customers!A:C,2,FALSE)&amp;" "&amp;VLOOKUP(C2182,Customers!A:C,3,FALSE)</f>
        <v>Julie Gibson</v>
      </c>
      <c r="J2182" t="str">
        <f>VLOOKUP(D2182,Products!A:C,2,FALSE)</f>
        <v>Church Clothing</v>
      </c>
      <c r="K2182" t="str">
        <f>VLOOKUP(D2182,Products!A:C,3,FALSE)</f>
        <v>Fashion</v>
      </c>
      <c r="L2182" t="str">
        <f>VLOOKUP(E2182,Stores!A:B,2,FALSE)</f>
        <v>MegaMart Peckmouth</v>
      </c>
      <c r="M2182">
        <f>VLOOKUP(D2182,Products!A:E,5,FALSE)</f>
        <v>540.94000000000005</v>
      </c>
      <c r="N2182" s="5">
        <f t="shared" si="34"/>
        <v>1379.3970000000002</v>
      </c>
    </row>
    <row r="2183" spans="1:14" x14ac:dyDescent="0.3">
      <c r="A2183" t="s">
        <v>3039</v>
      </c>
      <c r="B2183" s="2">
        <v>45237</v>
      </c>
      <c r="C2183" t="s">
        <v>241</v>
      </c>
      <c r="D2183" t="s">
        <v>782</v>
      </c>
      <c r="E2183" t="s">
        <v>846</v>
      </c>
      <c r="F2183">
        <v>4</v>
      </c>
      <c r="G2183">
        <v>0.1</v>
      </c>
      <c r="H2183" t="s">
        <v>861</v>
      </c>
      <c r="I2183" t="str">
        <f>VLOOKUP(C2183,Customers!A:C,2,FALSE)&amp;" "&amp;VLOOKUP(C2183,Customers!A:C,3,FALSE)</f>
        <v>Michael Johnson</v>
      </c>
      <c r="J2183" t="str">
        <f>VLOOKUP(D2183,Products!A:C,2,FALSE)</f>
        <v>Deal Smartphone</v>
      </c>
      <c r="K2183" t="str">
        <f>VLOOKUP(D2183,Products!A:C,3,FALSE)</f>
        <v>Electronics</v>
      </c>
      <c r="L2183" t="str">
        <f>VLOOKUP(E2183,Stores!A:B,2,FALSE)</f>
        <v>MegaMart Johnmouth</v>
      </c>
      <c r="M2183">
        <f>VLOOKUP(D2183,Products!A:E,5,FALSE)</f>
        <v>673.78</v>
      </c>
      <c r="N2183" s="5">
        <f t="shared" si="34"/>
        <v>2425.6080000000002</v>
      </c>
    </row>
    <row r="2184" spans="1:14" x14ac:dyDescent="0.3">
      <c r="A2184" t="s">
        <v>3040</v>
      </c>
      <c r="B2184" s="2">
        <v>45521</v>
      </c>
      <c r="C2184" t="s">
        <v>673</v>
      </c>
      <c r="D2184" t="s">
        <v>711</v>
      </c>
      <c r="E2184" t="s">
        <v>831</v>
      </c>
      <c r="F2184">
        <v>2</v>
      </c>
      <c r="G2184">
        <v>0.15</v>
      </c>
      <c r="H2184" t="s">
        <v>865</v>
      </c>
      <c r="I2184" t="str">
        <f>VLOOKUP(C2184,Customers!A:C,2,FALSE)&amp;" "&amp;VLOOKUP(C2184,Customers!A:C,3,FALSE)</f>
        <v>Karen Quinn</v>
      </c>
      <c r="J2184" t="str">
        <f>VLOOKUP(D2184,Products!A:C,2,FALSE)</f>
        <v>Like Camera</v>
      </c>
      <c r="K2184" t="str">
        <f>VLOOKUP(D2184,Products!A:C,3,FALSE)</f>
        <v>Electronics</v>
      </c>
      <c r="L2184" t="str">
        <f>VLOOKUP(E2184,Stores!A:B,2,FALSE)</f>
        <v>MegaMart Jimenezborough</v>
      </c>
      <c r="M2184">
        <f>VLOOKUP(D2184,Products!A:E,5,FALSE)</f>
        <v>1673.69</v>
      </c>
      <c r="N2184" s="5">
        <f t="shared" si="34"/>
        <v>2845.2730000000001</v>
      </c>
    </row>
    <row r="2185" spans="1:14" x14ac:dyDescent="0.3">
      <c r="A2185" t="s">
        <v>3041</v>
      </c>
      <c r="B2185" s="2">
        <v>45292</v>
      </c>
      <c r="C2185" t="s">
        <v>270</v>
      </c>
      <c r="D2185" t="s">
        <v>820</v>
      </c>
      <c r="E2185" t="s">
        <v>846</v>
      </c>
      <c r="F2185">
        <v>4</v>
      </c>
      <c r="G2185">
        <v>0.05</v>
      </c>
      <c r="H2185" t="s">
        <v>855</v>
      </c>
      <c r="I2185" t="str">
        <f>VLOOKUP(C2185,Customers!A:C,2,FALSE)&amp;" "&amp;VLOOKUP(C2185,Customers!A:C,3,FALSE)</f>
        <v>Denise Gutierrez</v>
      </c>
      <c r="J2185" t="str">
        <f>VLOOKUP(D2185,Products!A:C,2,FALSE)</f>
        <v>Or Smartphone</v>
      </c>
      <c r="K2185" t="str">
        <f>VLOOKUP(D2185,Products!A:C,3,FALSE)</f>
        <v>Electronics</v>
      </c>
      <c r="L2185" t="str">
        <f>VLOOKUP(E2185,Stores!A:B,2,FALSE)</f>
        <v>MegaMart Johnmouth</v>
      </c>
      <c r="M2185">
        <f>VLOOKUP(D2185,Products!A:E,5,FALSE)</f>
        <v>1197.18</v>
      </c>
      <c r="N2185" s="5">
        <f t="shared" si="34"/>
        <v>4549.2839999999997</v>
      </c>
    </row>
    <row r="2186" spans="1:14" x14ac:dyDescent="0.3">
      <c r="A2186" t="s">
        <v>3042</v>
      </c>
      <c r="B2186" s="2">
        <v>45818</v>
      </c>
      <c r="C2186" t="s">
        <v>618</v>
      </c>
      <c r="D2186" t="s">
        <v>728</v>
      </c>
      <c r="E2186" t="s">
        <v>839</v>
      </c>
      <c r="F2186">
        <v>3</v>
      </c>
      <c r="G2186">
        <v>0.15</v>
      </c>
      <c r="H2186" t="s">
        <v>858</v>
      </c>
      <c r="I2186" t="str">
        <f>VLOOKUP(C2186,Customers!A:C,2,FALSE)&amp;" "&amp;VLOOKUP(C2186,Customers!A:C,3,FALSE)</f>
        <v>Scott Howell</v>
      </c>
      <c r="J2186" t="str">
        <f>VLOOKUP(D2186,Products!A:C,2,FALSE)</f>
        <v>Company Fruits</v>
      </c>
      <c r="K2186" t="str">
        <f>VLOOKUP(D2186,Products!A:C,3,FALSE)</f>
        <v>Groceries</v>
      </c>
      <c r="L2186" t="str">
        <f>VLOOKUP(E2186,Stores!A:B,2,FALSE)</f>
        <v>MegaMart New Michele</v>
      </c>
      <c r="M2186">
        <f>VLOOKUP(D2186,Products!A:E,5,FALSE)</f>
        <v>318.05</v>
      </c>
      <c r="N2186" s="5">
        <f t="shared" si="34"/>
        <v>811.02750000000003</v>
      </c>
    </row>
    <row r="2187" spans="1:14" x14ac:dyDescent="0.3">
      <c r="A2187" t="s">
        <v>3043</v>
      </c>
      <c r="B2187" s="2">
        <v>45273</v>
      </c>
      <c r="C2187" t="s">
        <v>270</v>
      </c>
      <c r="D2187" t="s">
        <v>792</v>
      </c>
      <c r="E2187" t="s">
        <v>839</v>
      </c>
      <c r="F2187">
        <v>2</v>
      </c>
      <c r="G2187">
        <v>0</v>
      </c>
      <c r="H2187" t="s">
        <v>855</v>
      </c>
      <c r="I2187" t="str">
        <f>VLOOKUP(C2187,Customers!A:C,2,FALSE)&amp;" "&amp;VLOOKUP(C2187,Customers!A:C,3,FALSE)</f>
        <v>Denise Gutierrez</v>
      </c>
      <c r="J2187" t="str">
        <f>VLOOKUP(D2187,Products!A:C,2,FALSE)</f>
        <v>Beat Accessories</v>
      </c>
      <c r="K2187" t="str">
        <f>VLOOKUP(D2187,Products!A:C,3,FALSE)</f>
        <v>Fashion</v>
      </c>
      <c r="L2187" t="str">
        <f>VLOOKUP(E2187,Stores!A:B,2,FALSE)</f>
        <v>MegaMart New Michele</v>
      </c>
      <c r="M2187">
        <f>VLOOKUP(D2187,Products!A:E,5,FALSE)</f>
        <v>1798.97</v>
      </c>
      <c r="N2187" s="5">
        <f t="shared" si="34"/>
        <v>3597.94</v>
      </c>
    </row>
    <row r="2188" spans="1:14" x14ac:dyDescent="0.3">
      <c r="A2188" t="s">
        <v>3044</v>
      </c>
      <c r="B2188" s="2">
        <v>45786</v>
      </c>
      <c r="C2188" t="s">
        <v>563</v>
      </c>
      <c r="D2188" t="s">
        <v>725</v>
      </c>
      <c r="E2188" t="s">
        <v>831</v>
      </c>
      <c r="F2188">
        <v>4</v>
      </c>
      <c r="G2188">
        <v>0.15</v>
      </c>
      <c r="H2188" t="s">
        <v>855</v>
      </c>
      <c r="I2188" t="str">
        <f>VLOOKUP(C2188,Customers!A:C,2,FALSE)&amp;" "&amp;VLOOKUP(C2188,Customers!A:C,3,FALSE)</f>
        <v>Connie Terry</v>
      </c>
      <c r="J2188" t="str">
        <f>VLOOKUP(D2188,Products!A:C,2,FALSE)</f>
        <v>Knowledge Bags</v>
      </c>
      <c r="K2188" t="str">
        <f>VLOOKUP(D2188,Products!A:C,3,FALSE)</f>
        <v>Fashion</v>
      </c>
      <c r="L2188" t="str">
        <f>VLOOKUP(E2188,Stores!A:B,2,FALSE)</f>
        <v>MegaMart Jimenezborough</v>
      </c>
      <c r="M2188">
        <f>VLOOKUP(D2188,Products!A:E,5,FALSE)</f>
        <v>1396.22</v>
      </c>
      <c r="N2188" s="5">
        <f t="shared" si="34"/>
        <v>4747.1480000000001</v>
      </c>
    </row>
    <row r="2189" spans="1:14" x14ac:dyDescent="0.3">
      <c r="A2189" t="s">
        <v>3045</v>
      </c>
      <c r="B2189" s="2">
        <v>45903</v>
      </c>
      <c r="C2189" t="s">
        <v>280</v>
      </c>
      <c r="D2189" t="s">
        <v>750</v>
      </c>
      <c r="E2189" t="s">
        <v>831</v>
      </c>
      <c r="F2189">
        <v>1</v>
      </c>
      <c r="G2189">
        <v>0.15</v>
      </c>
      <c r="H2189" t="s">
        <v>861</v>
      </c>
      <c r="I2189" t="str">
        <f>VLOOKUP(C2189,Customers!A:C,2,FALSE)&amp;" "&amp;VLOOKUP(C2189,Customers!A:C,3,FALSE)</f>
        <v>Jesus Singh</v>
      </c>
      <c r="J2189" t="str">
        <f>VLOOKUP(D2189,Products!A:C,2,FALSE)</f>
        <v>Add Clothing</v>
      </c>
      <c r="K2189" t="str">
        <f>VLOOKUP(D2189,Products!A:C,3,FALSE)</f>
        <v>Fashion</v>
      </c>
      <c r="L2189" t="str">
        <f>VLOOKUP(E2189,Stores!A:B,2,FALSE)</f>
        <v>MegaMart Jimenezborough</v>
      </c>
      <c r="M2189">
        <f>VLOOKUP(D2189,Products!A:E,5,FALSE)</f>
        <v>1342.75</v>
      </c>
      <c r="N2189" s="5">
        <f t="shared" si="34"/>
        <v>1141.3374999999999</v>
      </c>
    </row>
    <row r="2190" spans="1:14" x14ac:dyDescent="0.3">
      <c r="A2190" t="s">
        <v>3046</v>
      </c>
      <c r="B2190" s="2">
        <v>45226</v>
      </c>
      <c r="C2190" t="s">
        <v>445</v>
      </c>
      <c r="D2190" t="s">
        <v>814</v>
      </c>
      <c r="E2190" t="s">
        <v>835</v>
      </c>
      <c r="F2190">
        <v>5</v>
      </c>
      <c r="G2190">
        <v>0.1</v>
      </c>
      <c r="H2190" t="s">
        <v>861</v>
      </c>
      <c r="I2190" t="str">
        <f>VLOOKUP(C2190,Customers!A:C,2,FALSE)&amp;" "&amp;VLOOKUP(C2190,Customers!A:C,3,FALSE)</f>
        <v>Curtis Faulkner</v>
      </c>
      <c r="J2190" t="str">
        <f>VLOOKUP(D2190,Products!A:C,2,FALSE)</f>
        <v>Least Accessories</v>
      </c>
      <c r="K2190" t="str">
        <f>VLOOKUP(D2190,Products!A:C,3,FALSE)</f>
        <v>Fashion</v>
      </c>
      <c r="L2190" t="str">
        <f>VLOOKUP(E2190,Stores!A:B,2,FALSE)</f>
        <v>MegaMart Peckmouth</v>
      </c>
      <c r="M2190">
        <f>VLOOKUP(D2190,Products!A:E,5,FALSE)</f>
        <v>1286.55</v>
      </c>
      <c r="N2190" s="5">
        <f t="shared" si="34"/>
        <v>5789.4750000000004</v>
      </c>
    </row>
    <row r="2191" spans="1:14" x14ac:dyDescent="0.3">
      <c r="A2191" t="s">
        <v>3047</v>
      </c>
      <c r="B2191" s="2">
        <v>45642</v>
      </c>
      <c r="C2191" t="s">
        <v>294</v>
      </c>
      <c r="D2191" t="s">
        <v>784</v>
      </c>
      <c r="E2191" t="s">
        <v>842</v>
      </c>
      <c r="F2191">
        <v>3</v>
      </c>
      <c r="G2191">
        <v>0</v>
      </c>
      <c r="H2191" t="s">
        <v>855</v>
      </c>
      <c r="I2191" t="str">
        <f>VLOOKUP(C2191,Customers!A:C,2,FALSE)&amp;" "&amp;VLOOKUP(C2191,Customers!A:C,3,FALSE)</f>
        <v>Jeanne Young</v>
      </c>
      <c r="J2191" t="str">
        <f>VLOOKUP(D2191,Products!A:C,2,FALSE)</f>
        <v>Road Clothing</v>
      </c>
      <c r="K2191" t="str">
        <f>VLOOKUP(D2191,Products!A:C,3,FALSE)</f>
        <v>Fashion</v>
      </c>
      <c r="L2191" t="str">
        <f>VLOOKUP(E2191,Stores!A:B,2,FALSE)</f>
        <v>MegaMart Brianahaven</v>
      </c>
      <c r="M2191">
        <f>VLOOKUP(D2191,Products!A:E,5,FALSE)</f>
        <v>1485.05</v>
      </c>
      <c r="N2191" s="5">
        <f t="shared" si="34"/>
        <v>4455.1499999999996</v>
      </c>
    </row>
    <row r="2192" spans="1:14" x14ac:dyDescent="0.3">
      <c r="A2192" t="s">
        <v>3048</v>
      </c>
      <c r="B2192" s="2">
        <v>45762</v>
      </c>
      <c r="C2192" t="s">
        <v>20</v>
      </c>
      <c r="D2192" t="s">
        <v>814</v>
      </c>
      <c r="E2192" t="s">
        <v>842</v>
      </c>
      <c r="F2192">
        <v>1</v>
      </c>
      <c r="G2192">
        <v>0.05</v>
      </c>
      <c r="H2192" t="s">
        <v>855</v>
      </c>
      <c r="I2192" t="str">
        <f>VLOOKUP(C2192,Customers!A:C,2,FALSE)&amp;" "&amp;VLOOKUP(C2192,Customers!A:C,3,FALSE)</f>
        <v>Joseph Ward</v>
      </c>
      <c r="J2192" t="str">
        <f>VLOOKUP(D2192,Products!A:C,2,FALSE)</f>
        <v>Least Accessories</v>
      </c>
      <c r="K2192" t="str">
        <f>VLOOKUP(D2192,Products!A:C,3,FALSE)</f>
        <v>Fashion</v>
      </c>
      <c r="L2192" t="str">
        <f>VLOOKUP(E2192,Stores!A:B,2,FALSE)</f>
        <v>MegaMart Brianahaven</v>
      </c>
      <c r="M2192">
        <f>VLOOKUP(D2192,Products!A:E,5,FALSE)</f>
        <v>1286.55</v>
      </c>
      <c r="N2192" s="5">
        <f t="shared" si="34"/>
        <v>1222.2224999999999</v>
      </c>
    </row>
    <row r="2193" spans="1:14" x14ac:dyDescent="0.3">
      <c r="A2193" t="s">
        <v>3049</v>
      </c>
      <c r="B2193" s="2">
        <v>45657</v>
      </c>
      <c r="C2193" t="s">
        <v>549</v>
      </c>
      <c r="D2193" t="s">
        <v>745</v>
      </c>
      <c r="E2193" t="s">
        <v>831</v>
      </c>
      <c r="F2193">
        <v>1</v>
      </c>
      <c r="G2193">
        <v>0.15</v>
      </c>
      <c r="H2193" t="s">
        <v>855</v>
      </c>
      <c r="I2193" t="str">
        <f>VLOOKUP(C2193,Customers!A:C,2,FALSE)&amp;" "&amp;VLOOKUP(C2193,Customers!A:C,3,FALSE)</f>
        <v>Brittany Green</v>
      </c>
      <c r="J2193" t="str">
        <f>VLOOKUP(D2193,Products!A:C,2,FALSE)</f>
        <v>Above Camera</v>
      </c>
      <c r="K2193" t="str">
        <f>VLOOKUP(D2193,Products!A:C,3,FALSE)</f>
        <v>Electronics</v>
      </c>
      <c r="L2193" t="str">
        <f>VLOOKUP(E2193,Stores!A:B,2,FALSE)</f>
        <v>MegaMart Jimenezborough</v>
      </c>
      <c r="M2193">
        <f>VLOOKUP(D2193,Products!A:E,5,FALSE)</f>
        <v>1193.0899999999999</v>
      </c>
      <c r="N2193" s="5">
        <f t="shared" si="34"/>
        <v>1014.1264999999999</v>
      </c>
    </row>
    <row r="2194" spans="1:14" x14ac:dyDescent="0.3">
      <c r="A2194" t="s">
        <v>3050</v>
      </c>
      <c r="B2194" s="2">
        <v>45323</v>
      </c>
      <c r="C2194" t="s">
        <v>12</v>
      </c>
      <c r="D2194" t="s">
        <v>804</v>
      </c>
      <c r="E2194" t="s">
        <v>842</v>
      </c>
      <c r="F2194">
        <v>3</v>
      </c>
      <c r="G2194">
        <v>0</v>
      </c>
      <c r="H2194" t="s">
        <v>865</v>
      </c>
      <c r="I2194" t="str">
        <f>VLOOKUP(C2194,Customers!A:C,2,FALSE)&amp;" "&amp;VLOOKUP(C2194,Customers!A:C,3,FALSE)</f>
        <v>Michael Miller</v>
      </c>
      <c r="J2194" t="str">
        <f>VLOOKUP(D2194,Products!A:C,2,FALSE)</f>
        <v>Church Clothing</v>
      </c>
      <c r="K2194" t="str">
        <f>VLOOKUP(D2194,Products!A:C,3,FALSE)</f>
        <v>Fashion</v>
      </c>
      <c r="L2194" t="str">
        <f>VLOOKUP(E2194,Stores!A:B,2,FALSE)</f>
        <v>MegaMart Brianahaven</v>
      </c>
      <c r="M2194">
        <f>VLOOKUP(D2194,Products!A:E,5,FALSE)</f>
        <v>540.94000000000005</v>
      </c>
      <c r="N2194" s="5">
        <f t="shared" si="34"/>
        <v>1622.8200000000002</v>
      </c>
    </row>
    <row r="2195" spans="1:14" x14ac:dyDescent="0.3">
      <c r="A2195" t="s">
        <v>3051</v>
      </c>
      <c r="B2195" s="2">
        <v>45454</v>
      </c>
      <c r="C2195" t="s">
        <v>247</v>
      </c>
      <c r="D2195" t="s">
        <v>732</v>
      </c>
      <c r="E2195" t="s">
        <v>835</v>
      </c>
      <c r="F2195">
        <v>3</v>
      </c>
      <c r="G2195">
        <v>0.1</v>
      </c>
      <c r="H2195" t="s">
        <v>861</v>
      </c>
      <c r="I2195" t="str">
        <f>VLOOKUP(C2195,Customers!A:C,2,FALSE)&amp;" "&amp;VLOOKUP(C2195,Customers!A:C,3,FALSE)</f>
        <v>Scott Duke</v>
      </c>
      <c r="J2195" t="str">
        <f>VLOOKUP(D2195,Products!A:C,2,FALSE)</f>
        <v>Understand Camera</v>
      </c>
      <c r="K2195" t="str">
        <f>VLOOKUP(D2195,Products!A:C,3,FALSE)</f>
        <v>Electronics</v>
      </c>
      <c r="L2195" t="str">
        <f>VLOOKUP(E2195,Stores!A:B,2,FALSE)</f>
        <v>MegaMart Peckmouth</v>
      </c>
      <c r="M2195">
        <f>VLOOKUP(D2195,Products!A:E,5,FALSE)</f>
        <v>1474.12</v>
      </c>
      <c r="N2195" s="5">
        <f t="shared" si="34"/>
        <v>3980.1239999999998</v>
      </c>
    </row>
    <row r="2196" spans="1:14" x14ac:dyDescent="0.3">
      <c r="A2196" t="s">
        <v>3052</v>
      </c>
      <c r="B2196" s="2">
        <v>45466</v>
      </c>
      <c r="C2196" t="s">
        <v>93</v>
      </c>
      <c r="D2196" t="s">
        <v>790</v>
      </c>
      <c r="E2196" t="s">
        <v>839</v>
      </c>
      <c r="F2196">
        <v>2</v>
      </c>
      <c r="G2196">
        <v>0.05</v>
      </c>
      <c r="H2196" t="s">
        <v>858</v>
      </c>
      <c r="I2196" t="str">
        <f>VLOOKUP(C2196,Customers!A:C,2,FALSE)&amp;" "&amp;VLOOKUP(C2196,Customers!A:C,3,FALSE)</f>
        <v>Mark Martinez</v>
      </c>
      <c r="J2196" t="str">
        <f>VLOOKUP(D2196,Products!A:C,2,FALSE)</f>
        <v>Difficult Vegetables</v>
      </c>
      <c r="K2196" t="str">
        <f>VLOOKUP(D2196,Products!A:C,3,FALSE)</f>
        <v>Groceries</v>
      </c>
      <c r="L2196" t="str">
        <f>VLOOKUP(E2196,Stores!A:B,2,FALSE)</f>
        <v>MegaMart New Michele</v>
      </c>
      <c r="M2196">
        <f>VLOOKUP(D2196,Products!A:E,5,FALSE)</f>
        <v>304.70999999999998</v>
      </c>
      <c r="N2196" s="5">
        <f t="shared" si="34"/>
        <v>578.94899999999996</v>
      </c>
    </row>
    <row r="2197" spans="1:14" x14ac:dyDescent="0.3">
      <c r="A2197" t="s">
        <v>3053</v>
      </c>
      <c r="B2197" s="2">
        <v>45727</v>
      </c>
      <c r="C2197" t="s">
        <v>542</v>
      </c>
      <c r="D2197" t="s">
        <v>739</v>
      </c>
      <c r="E2197" t="s">
        <v>831</v>
      </c>
      <c r="F2197">
        <v>3</v>
      </c>
      <c r="G2197">
        <v>0.05</v>
      </c>
      <c r="H2197" t="s">
        <v>865</v>
      </c>
      <c r="I2197" t="str">
        <f>VLOOKUP(C2197,Customers!A:C,2,FALSE)&amp;" "&amp;VLOOKUP(C2197,Customers!A:C,3,FALSE)</f>
        <v>Francis Hernandez</v>
      </c>
      <c r="J2197" t="str">
        <f>VLOOKUP(D2197,Products!A:C,2,FALSE)</f>
        <v>Step Smartphone</v>
      </c>
      <c r="K2197" t="str">
        <f>VLOOKUP(D2197,Products!A:C,3,FALSE)</f>
        <v>Electronics</v>
      </c>
      <c r="L2197" t="str">
        <f>VLOOKUP(E2197,Stores!A:B,2,FALSE)</f>
        <v>MegaMart Jimenezborough</v>
      </c>
      <c r="M2197">
        <f>VLOOKUP(D2197,Products!A:E,5,FALSE)</f>
        <v>1194.1199999999999</v>
      </c>
      <c r="N2197" s="5">
        <f t="shared" si="34"/>
        <v>3403.2419999999997</v>
      </c>
    </row>
    <row r="2198" spans="1:14" x14ac:dyDescent="0.3">
      <c r="A2198" t="s">
        <v>3054</v>
      </c>
      <c r="B2198" s="2">
        <v>45226</v>
      </c>
      <c r="C2198" t="s">
        <v>452</v>
      </c>
      <c r="D2198" t="s">
        <v>750</v>
      </c>
      <c r="E2198" t="s">
        <v>839</v>
      </c>
      <c r="F2198">
        <v>2</v>
      </c>
      <c r="G2198">
        <v>0.15</v>
      </c>
      <c r="H2198" t="s">
        <v>858</v>
      </c>
      <c r="I2198" t="str">
        <f>VLOOKUP(C2198,Customers!A:C,2,FALSE)&amp;" "&amp;VLOOKUP(C2198,Customers!A:C,3,FALSE)</f>
        <v>Amy Smith</v>
      </c>
      <c r="J2198" t="str">
        <f>VLOOKUP(D2198,Products!A:C,2,FALSE)</f>
        <v>Add Clothing</v>
      </c>
      <c r="K2198" t="str">
        <f>VLOOKUP(D2198,Products!A:C,3,FALSE)</f>
        <v>Fashion</v>
      </c>
      <c r="L2198" t="str">
        <f>VLOOKUP(E2198,Stores!A:B,2,FALSE)</f>
        <v>MegaMart New Michele</v>
      </c>
      <c r="M2198">
        <f>VLOOKUP(D2198,Products!A:E,5,FALSE)</f>
        <v>1342.75</v>
      </c>
      <c r="N2198" s="5">
        <f t="shared" si="34"/>
        <v>2282.6749999999997</v>
      </c>
    </row>
    <row r="2199" spans="1:14" x14ac:dyDescent="0.3">
      <c r="A2199" t="s">
        <v>3055</v>
      </c>
      <c r="B2199" s="2">
        <v>45370</v>
      </c>
      <c r="C2199" t="s">
        <v>386</v>
      </c>
      <c r="D2199" t="s">
        <v>800</v>
      </c>
      <c r="E2199" t="s">
        <v>831</v>
      </c>
      <c r="F2199">
        <v>3</v>
      </c>
      <c r="G2199">
        <v>0.1</v>
      </c>
      <c r="H2199" t="s">
        <v>855</v>
      </c>
      <c r="I2199" t="str">
        <f>VLOOKUP(C2199,Customers!A:C,2,FALSE)&amp;" "&amp;VLOOKUP(C2199,Customers!A:C,3,FALSE)</f>
        <v>David Burns</v>
      </c>
      <c r="J2199" t="str">
        <f>VLOOKUP(D2199,Products!A:C,2,FALSE)</f>
        <v>Book Television</v>
      </c>
      <c r="K2199" t="str">
        <f>VLOOKUP(D2199,Products!A:C,3,FALSE)</f>
        <v>Electronics</v>
      </c>
      <c r="L2199" t="str">
        <f>VLOOKUP(E2199,Stores!A:B,2,FALSE)</f>
        <v>MegaMart Jimenezborough</v>
      </c>
      <c r="M2199">
        <f>VLOOKUP(D2199,Products!A:E,5,FALSE)</f>
        <v>1952.65</v>
      </c>
      <c r="N2199" s="5">
        <f t="shared" si="34"/>
        <v>5272.1550000000007</v>
      </c>
    </row>
    <row r="2200" spans="1:14" x14ac:dyDescent="0.3">
      <c r="A2200" t="s">
        <v>3056</v>
      </c>
      <c r="B2200" s="2">
        <v>45538</v>
      </c>
      <c r="C2200" t="s">
        <v>175</v>
      </c>
      <c r="D2200" t="s">
        <v>769</v>
      </c>
      <c r="E2200" t="s">
        <v>846</v>
      </c>
      <c r="F2200">
        <v>4</v>
      </c>
      <c r="G2200">
        <v>0.1</v>
      </c>
      <c r="H2200" t="s">
        <v>861</v>
      </c>
      <c r="I2200" t="str">
        <f>VLOOKUP(C2200,Customers!A:C,2,FALSE)&amp;" "&amp;VLOOKUP(C2200,Customers!A:C,3,FALSE)</f>
        <v>Kelly Shaw</v>
      </c>
      <c r="J2200" t="str">
        <f>VLOOKUP(D2200,Products!A:C,2,FALSE)</f>
        <v>How Vegetables</v>
      </c>
      <c r="K2200" t="str">
        <f>VLOOKUP(D2200,Products!A:C,3,FALSE)</f>
        <v>Groceries</v>
      </c>
      <c r="L2200" t="str">
        <f>VLOOKUP(E2200,Stores!A:B,2,FALSE)</f>
        <v>MegaMart Johnmouth</v>
      </c>
      <c r="M2200">
        <f>VLOOKUP(D2200,Products!A:E,5,FALSE)</f>
        <v>25.57</v>
      </c>
      <c r="N2200" s="5">
        <f t="shared" si="34"/>
        <v>92.052000000000007</v>
      </c>
    </row>
    <row r="2201" spans="1:14" x14ac:dyDescent="0.3">
      <c r="A2201" t="s">
        <v>3057</v>
      </c>
      <c r="B2201" s="2">
        <v>45380</v>
      </c>
      <c r="C2201" t="s">
        <v>621</v>
      </c>
      <c r="D2201" t="s">
        <v>808</v>
      </c>
      <c r="E2201" t="s">
        <v>835</v>
      </c>
      <c r="F2201">
        <v>3</v>
      </c>
      <c r="G2201">
        <v>0.05</v>
      </c>
      <c r="H2201" t="s">
        <v>858</v>
      </c>
      <c r="I2201" t="str">
        <f>VLOOKUP(C2201,Customers!A:C,2,FALSE)&amp;" "&amp;VLOOKUP(C2201,Customers!A:C,3,FALSE)</f>
        <v>Stacey Thompson</v>
      </c>
      <c r="J2201" t="str">
        <f>VLOOKUP(D2201,Products!A:C,2,FALSE)</f>
        <v>Present Television</v>
      </c>
      <c r="K2201" t="str">
        <f>VLOOKUP(D2201,Products!A:C,3,FALSE)</f>
        <v>Electronics</v>
      </c>
      <c r="L2201" t="str">
        <f>VLOOKUP(E2201,Stores!A:B,2,FALSE)</f>
        <v>MegaMart Peckmouth</v>
      </c>
      <c r="M2201">
        <f>VLOOKUP(D2201,Products!A:E,5,FALSE)</f>
        <v>1635.01</v>
      </c>
      <c r="N2201" s="5">
        <f t="shared" si="34"/>
        <v>4659.7784999999994</v>
      </c>
    </row>
    <row r="2202" spans="1:14" x14ac:dyDescent="0.3">
      <c r="A2202" t="s">
        <v>3058</v>
      </c>
      <c r="B2202" s="2">
        <v>45563</v>
      </c>
      <c r="C2202" t="s">
        <v>516</v>
      </c>
      <c r="D2202" t="s">
        <v>808</v>
      </c>
      <c r="E2202" t="s">
        <v>835</v>
      </c>
      <c r="F2202">
        <v>3</v>
      </c>
      <c r="G2202">
        <v>0.1</v>
      </c>
      <c r="H2202" t="s">
        <v>865</v>
      </c>
      <c r="I2202" t="str">
        <f>VLOOKUP(C2202,Customers!A:C,2,FALSE)&amp;" "&amp;VLOOKUP(C2202,Customers!A:C,3,FALSE)</f>
        <v>Suzanne Fox</v>
      </c>
      <c r="J2202" t="str">
        <f>VLOOKUP(D2202,Products!A:C,2,FALSE)</f>
        <v>Present Television</v>
      </c>
      <c r="K2202" t="str">
        <f>VLOOKUP(D2202,Products!A:C,3,FALSE)</f>
        <v>Electronics</v>
      </c>
      <c r="L2202" t="str">
        <f>VLOOKUP(E2202,Stores!A:B,2,FALSE)</f>
        <v>MegaMart Peckmouth</v>
      </c>
      <c r="M2202">
        <f>VLOOKUP(D2202,Products!A:E,5,FALSE)</f>
        <v>1635.01</v>
      </c>
      <c r="N2202" s="5">
        <f t="shared" si="34"/>
        <v>4414.527</v>
      </c>
    </row>
    <row r="2203" spans="1:14" x14ac:dyDescent="0.3">
      <c r="A2203" t="s">
        <v>3059</v>
      </c>
      <c r="B2203" s="2">
        <v>45831</v>
      </c>
      <c r="C2203" t="s">
        <v>291</v>
      </c>
      <c r="D2203" t="s">
        <v>806</v>
      </c>
      <c r="E2203" t="s">
        <v>846</v>
      </c>
      <c r="F2203">
        <v>4</v>
      </c>
      <c r="G2203">
        <v>0.05</v>
      </c>
      <c r="H2203" t="s">
        <v>858</v>
      </c>
      <c r="I2203" t="str">
        <f>VLOOKUP(C2203,Customers!A:C,2,FALSE)&amp;" "&amp;VLOOKUP(C2203,Customers!A:C,3,FALSE)</f>
        <v>Matthew Juarez</v>
      </c>
      <c r="J2203" t="str">
        <f>VLOOKUP(D2203,Products!A:C,2,FALSE)</f>
        <v>Piece Headphones</v>
      </c>
      <c r="K2203" t="str">
        <f>VLOOKUP(D2203,Products!A:C,3,FALSE)</f>
        <v>Electronics</v>
      </c>
      <c r="L2203" t="str">
        <f>VLOOKUP(E2203,Stores!A:B,2,FALSE)</f>
        <v>MegaMart Johnmouth</v>
      </c>
      <c r="M2203">
        <f>VLOOKUP(D2203,Products!A:E,5,FALSE)</f>
        <v>1745.61</v>
      </c>
      <c r="N2203" s="5">
        <f t="shared" si="34"/>
        <v>6633.3179999999993</v>
      </c>
    </row>
    <row r="2204" spans="1:14" x14ac:dyDescent="0.3">
      <c r="A2204" t="s">
        <v>3060</v>
      </c>
      <c r="B2204" s="2">
        <v>45338</v>
      </c>
      <c r="C2204" t="s">
        <v>419</v>
      </c>
      <c r="D2204" t="s">
        <v>761</v>
      </c>
      <c r="E2204" t="s">
        <v>831</v>
      </c>
      <c r="F2204">
        <v>2</v>
      </c>
      <c r="G2204">
        <v>0.15</v>
      </c>
      <c r="H2204" t="s">
        <v>855</v>
      </c>
      <c r="I2204" t="str">
        <f>VLOOKUP(C2204,Customers!A:C,2,FALSE)&amp;" "&amp;VLOOKUP(C2204,Customers!A:C,3,FALSE)</f>
        <v>Jeffrey Smith</v>
      </c>
      <c r="J2204" t="str">
        <f>VLOOKUP(D2204,Products!A:C,2,FALSE)</f>
        <v>Traditional Laptop</v>
      </c>
      <c r="K2204" t="str">
        <f>VLOOKUP(D2204,Products!A:C,3,FALSE)</f>
        <v>Electronics</v>
      </c>
      <c r="L2204" t="str">
        <f>VLOOKUP(E2204,Stores!A:B,2,FALSE)</f>
        <v>MegaMart Jimenezborough</v>
      </c>
      <c r="M2204">
        <f>VLOOKUP(D2204,Products!A:E,5,FALSE)</f>
        <v>1762.92</v>
      </c>
      <c r="N2204" s="5">
        <f t="shared" si="34"/>
        <v>2996.9639999999999</v>
      </c>
    </row>
    <row r="2205" spans="1:14" x14ac:dyDescent="0.3">
      <c r="A2205" t="s">
        <v>3061</v>
      </c>
      <c r="B2205" s="2">
        <v>45357</v>
      </c>
      <c r="C2205" t="s">
        <v>472</v>
      </c>
      <c r="D2205" t="s">
        <v>824</v>
      </c>
      <c r="E2205" t="s">
        <v>839</v>
      </c>
      <c r="F2205">
        <v>4</v>
      </c>
      <c r="G2205">
        <v>0.1</v>
      </c>
      <c r="H2205" t="s">
        <v>858</v>
      </c>
      <c r="I2205" t="str">
        <f>VLOOKUP(C2205,Customers!A:C,2,FALSE)&amp;" "&amp;VLOOKUP(C2205,Customers!A:C,3,FALSE)</f>
        <v>Gary Taylor</v>
      </c>
      <c r="J2205" t="str">
        <f>VLOOKUP(D2205,Products!A:C,2,FALSE)</f>
        <v>Possible Watches</v>
      </c>
      <c r="K2205" t="str">
        <f>VLOOKUP(D2205,Products!A:C,3,FALSE)</f>
        <v>Fashion</v>
      </c>
      <c r="L2205" t="str">
        <f>VLOOKUP(E2205,Stores!A:B,2,FALSE)</f>
        <v>MegaMart New Michele</v>
      </c>
      <c r="M2205">
        <f>VLOOKUP(D2205,Products!A:E,5,FALSE)</f>
        <v>388.26</v>
      </c>
      <c r="N2205" s="5">
        <f t="shared" si="34"/>
        <v>1397.7360000000001</v>
      </c>
    </row>
    <row r="2206" spans="1:14" x14ac:dyDescent="0.3">
      <c r="A2206" t="s">
        <v>3062</v>
      </c>
      <c r="B2206" s="2">
        <v>45560</v>
      </c>
      <c r="C2206" t="s">
        <v>445</v>
      </c>
      <c r="D2206" t="s">
        <v>810</v>
      </c>
      <c r="E2206" t="s">
        <v>842</v>
      </c>
      <c r="F2206">
        <v>4</v>
      </c>
      <c r="G2206">
        <v>0.15</v>
      </c>
      <c r="H2206" t="s">
        <v>865</v>
      </c>
      <c r="I2206" t="str">
        <f>VLOOKUP(C2206,Customers!A:C,2,FALSE)&amp;" "&amp;VLOOKUP(C2206,Customers!A:C,3,FALSE)</f>
        <v>Curtis Faulkner</v>
      </c>
      <c r="J2206" t="str">
        <f>VLOOKUP(D2206,Products!A:C,2,FALSE)</f>
        <v>Maybe Clothing</v>
      </c>
      <c r="K2206" t="str">
        <f>VLOOKUP(D2206,Products!A:C,3,FALSE)</f>
        <v>Fashion</v>
      </c>
      <c r="L2206" t="str">
        <f>VLOOKUP(E2206,Stores!A:B,2,FALSE)</f>
        <v>MegaMart Brianahaven</v>
      </c>
      <c r="M2206">
        <f>VLOOKUP(D2206,Products!A:E,5,FALSE)</f>
        <v>453.62</v>
      </c>
      <c r="N2206" s="5">
        <f t="shared" si="34"/>
        <v>1542.308</v>
      </c>
    </row>
    <row r="2207" spans="1:14" x14ac:dyDescent="0.3">
      <c r="A2207" t="s">
        <v>3063</v>
      </c>
      <c r="B2207" s="2">
        <v>45738</v>
      </c>
      <c r="C2207" t="s">
        <v>524</v>
      </c>
      <c r="D2207" t="s">
        <v>806</v>
      </c>
      <c r="E2207" t="s">
        <v>831</v>
      </c>
      <c r="F2207">
        <v>4</v>
      </c>
      <c r="G2207">
        <v>0</v>
      </c>
      <c r="H2207" t="s">
        <v>861</v>
      </c>
      <c r="I2207" t="str">
        <f>VLOOKUP(C2207,Customers!A:C,2,FALSE)&amp;" "&amp;VLOOKUP(C2207,Customers!A:C,3,FALSE)</f>
        <v>Betty Johnson</v>
      </c>
      <c r="J2207" t="str">
        <f>VLOOKUP(D2207,Products!A:C,2,FALSE)</f>
        <v>Piece Headphones</v>
      </c>
      <c r="K2207" t="str">
        <f>VLOOKUP(D2207,Products!A:C,3,FALSE)</f>
        <v>Electronics</v>
      </c>
      <c r="L2207" t="str">
        <f>VLOOKUP(E2207,Stores!A:B,2,FALSE)</f>
        <v>MegaMart Jimenezborough</v>
      </c>
      <c r="M2207">
        <f>VLOOKUP(D2207,Products!A:E,5,FALSE)</f>
        <v>1745.61</v>
      </c>
      <c r="N2207" s="5">
        <f t="shared" si="34"/>
        <v>6982.44</v>
      </c>
    </row>
    <row r="2208" spans="1:14" x14ac:dyDescent="0.3">
      <c r="A2208" t="s">
        <v>3064</v>
      </c>
      <c r="B2208" s="2">
        <v>45348</v>
      </c>
      <c r="C2208" t="s">
        <v>567</v>
      </c>
      <c r="D2208" t="s">
        <v>812</v>
      </c>
      <c r="E2208" t="s">
        <v>839</v>
      </c>
      <c r="F2208">
        <v>2</v>
      </c>
      <c r="G2208">
        <v>0.1</v>
      </c>
      <c r="H2208" t="s">
        <v>861</v>
      </c>
      <c r="I2208" t="str">
        <f>VLOOKUP(C2208,Customers!A:C,2,FALSE)&amp;" "&amp;VLOOKUP(C2208,Customers!A:C,3,FALSE)</f>
        <v>Crystal Aguirre</v>
      </c>
      <c r="J2208" t="str">
        <f>VLOOKUP(D2208,Products!A:C,2,FALSE)</f>
        <v>Soon Accessories</v>
      </c>
      <c r="K2208" t="str">
        <f>VLOOKUP(D2208,Products!A:C,3,FALSE)</f>
        <v>Fashion</v>
      </c>
      <c r="L2208" t="str">
        <f>VLOOKUP(E2208,Stores!A:B,2,FALSE)</f>
        <v>MegaMart New Michele</v>
      </c>
      <c r="M2208">
        <f>VLOOKUP(D2208,Products!A:E,5,FALSE)</f>
        <v>564.41999999999996</v>
      </c>
      <c r="N2208" s="5">
        <f t="shared" si="34"/>
        <v>1015.9559999999999</v>
      </c>
    </row>
    <row r="2209" spans="1:14" x14ac:dyDescent="0.3">
      <c r="A2209" t="s">
        <v>3065</v>
      </c>
      <c r="B2209" s="2">
        <v>45878</v>
      </c>
      <c r="C2209" t="s">
        <v>570</v>
      </c>
      <c r="D2209" t="s">
        <v>780</v>
      </c>
      <c r="E2209" t="s">
        <v>846</v>
      </c>
      <c r="F2209">
        <v>5</v>
      </c>
      <c r="G2209">
        <v>0.1</v>
      </c>
      <c r="H2209" t="s">
        <v>865</v>
      </c>
      <c r="I2209" t="str">
        <f>VLOOKUP(C2209,Customers!A:C,2,FALSE)&amp;" "&amp;VLOOKUP(C2209,Customers!A:C,3,FALSE)</f>
        <v>Thomas Chung</v>
      </c>
      <c r="J2209" t="str">
        <f>VLOOKUP(D2209,Products!A:C,2,FALSE)</f>
        <v>Hospital Smartphone</v>
      </c>
      <c r="K2209" t="str">
        <f>VLOOKUP(D2209,Products!A:C,3,FALSE)</f>
        <v>Electronics</v>
      </c>
      <c r="L2209" t="str">
        <f>VLOOKUP(E2209,Stores!A:B,2,FALSE)</f>
        <v>MegaMart Johnmouth</v>
      </c>
      <c r="M2209">
        <f>VLOOKUP(D2209,Products!A:E,5,FALSE)</f>
        <v>1272.23</v>
      </c>
      <c r="N2209" s="5">
        <f t="shared" si="34"/>
        <v>5725.0349999999999</v>
      </c>
    </row>
    <row r="2210" spans="1:14" x14ac:dyDescent="0.3">
      <c r="A2210" t="s">
        <v>3066</v>
      </c>
      <c r="B2210" s="2">
        <v>45325</v>
      </c>
      <c r="C2210" t="s">
        <v>683</v>
      </c>
      <c r="D2210" t="s">
        <v>782</v>
      </c>
      <c r="E2210" t="s">
        <v>842</v>
      </c>
      <c r="F2210">
        <v>2</v>
      </c>
      <c r="G2210">
        <v>0.15</v>
      </c>
      <c r="H2210" t="s">
        <v>865</v>
      </c>
      <c r="I2210" t="str">
        <f>VLOOKUP(C2210,Customers!A:C,2,FALSE)&amp;" "&amp;VLOOKUP(C2210,Customers!A:C,3,FALSE)</f>
        <v>Ann West</v>
      </c>
      <c r="J2210" t="str">
        <f>VLOOKUP(D2210,Products!A:C,2,FALSE)</f>
        <v>Deal Smartphone</v>
      </c>
      <c r="K2210" t="str">
        <f>VLOOKUP(D2210,Products!A:C,3,FALSE)</f>
        <v>Electronics</v>
      </c>
      <c r="L2210" t="str">
        <f>VLOOKUP(E2210,Stores!A:B,2,FALSE)</f>
        <v>MegaMart Brianahaven</v>
      </c>
      <c r="M2210">
        <f>VLOOKUP(D2210,Products!A:E,5,FALSE)</f>
        <v>673.78</v>
      </c>
      <c r="N2210" s="5">
        <f t="shared" si="34"/>
        <v>1145.4259999999999</v>
      </c>
    </row>
    <row r="2211" spans="1:14" x14ac:dyDescent="0.3">
      <c r="A2211" t="s">
        <v>3067</v>
      </c>
      <c r="B2211" s="2">
        <v>45571</v>
      </c>
      <c r="C2211" t="s">
        <v>442</v>
      </c>
      <c r="D2211" t="s">
        <v>722</v>
      </c>
      <c r="E2211" t="s">
        <v>846</v>
      </c>
      <c r="F2211">
        <v>4</v>
      </c>
      <c r="G2211">
        <v>0</v>
      </c>
      <c r="H2211" t="s">
        <v>865</v>
      </c>
      <c r="I2211" t="str">
        <f>VLOOKUP(C2211,Customers!A:C,2,FALSE)&amp;" "&amp;VLOOKUP(C2211,Customers!A:C,3,FALSE)</f>
        <v>Jason Lloyd</v>
      </c>
      <c r="J2211" t="str">
        <f>VLOOKUP(D2211,Products!A:C,2,FALSE)</f>
        <v>Four Accessories</v>
      </c>
      <c r="K2211" t="str">
        <f>VLOOKUP(D2211,Products!A:C,3,FALSE)</f>
        <v>Fashion</v>
      </c>
      <c r="L2211" t="str">
        <f>VLOOKUP(E2211,Stores!A:B,2,FALSE)</f>
        <v>MegaMart Johnmouth</v>
      </c>
      <c r="M2211">
        <f>VLOOKUP(D2211,Products!A:E,5,FALSE)</f>
        <v>1853.77</v>
      </c>
      <c r="N2211" s="5">
        <f t="shared" si="34"/>
        <v>7415.08</v>
      </c>
    </row>
    <row r="2212" spans="1:14" x14ac:dyDescent="0.3">
      <c r="A2212" t="s">
        <v>3068</v>
      </c>
      <c r="B2212" s="2">
        <v>45400</v>
      </c>
      <c r="C2212" t="s">
        <v>63</v>
      </c>
      <c r="D2212" t="s">
        <v>742</v>
      </c>
      <c r="E2212" t="s">
        <v>839</v>
      </c>
      <c r="F2212">
        <v>1</v>
      </c>
      <c r="G2212">
        <v>0.1</v>
      </c>
      <c r="H2212" t="s">
        <v>865</v>
      </c>
      <c r="I2212" t="str">
        <f>VLOOKUP(C2212,Customers!A:C,2,FALSE)&amp;" "&amp;VLOOKUP(C2212,Customers!A:C,3,FALSE)</f>
        <v>Matthew Molina</v>
      </c>
      <c r="J2212" t="str">
        <f>VLOOKUP(D2212,Products!A:C,2,FALSE)</f>
        <v>Either Headphones</v>
      </c>
      <c r="K2212" t="str">
        <f>VLOOKUP(D2212,Products!A:C,3,FALSE)</f>
        <v>Electronics</v>
      </c>
      <c r="L2212" t="str">
        <f>VLOOKUP(E2212,Stores!A:B,2,FALSE)</f>
        <v>MegaMart New Michele</v>
      </c>
      <c r="M2212">
        <f>VLOOKUP(D2212,Products!A:E,5,FALSE)</f>
        <v>248.57</v>
      </c>
      <c r="N2212" s="5">
        <f t="shared" si="34"/>
        <v>223.71299999999999</v>
      </c>
    </row>
    <row r="2213" spans="1:14" x14ac:dyDescent="0.3">
      <c r="A2213" t="s">
        <v>3069</v>
      </c>
      <c r="B2213" s="2">
        <v>45846</v>
      </c>
      <c r="C2213" t="s">
        <v>284</v>
      </c>
      <c r="D2213" t="s">
        <v>745</v>
      </c>
      <c r="E2213" t="s">
        <v>846</v>
      </c>
      <c r="F2213">
        <v>4</v>
      </c>
      <c r="G2213">
        <v>0.1</v>
      </c>
      <c r="H2213" t="s">
        <v>865</v>
      </c>
      <c r="I2213" t="str">
        <f>VLOOKUP(C2213,Customers!A:C,2,FALSE)&amp;" "&amp;VLOOKUP(C2213,Customers!A:C,3,FALSE)</f>
        <v>Seth Moore</v>
      </c>
      <c r="J2213" t="str">
        <f>VLOOKUP(D2213,Products!A:C,2,FALSE)</f>
        <v>Above Camera</v>
      </c>
      <c r="K2213" t="str">
        <f>VLOOKUP(D2213,Products!A:C,3,FALSE)</f>
        <v>Electronics</v>
      </c>
      <c r="L2213" t="str">
        <f>VLOOKUP(E2213,Stores!A:B,2,FALSE)</f>
        <v>MegaMart Johnmouth</v>
      </c>
      <c r="M2213">
        <f>VLOOKUP(D2213,Products!A:E,5,FALSE)</f>
        <v>1193.0899999999999</v>
      </c>
      <c r="N2213" s="5">
        <f t="shared" si="34"/>
        <v>4295.1239999999998</v>
      </c>
    </row>
    <row r="2214" spans="1:14" x14ac:dyDescent="0.3">
      <c r="A2214" t="s">
        <v>3070</v>
      </c>
      <c r="B2214" s="2">
        <v>45667</v>
      </c>
      <c r="C2214" t="s">
        <v>127</v>
      </c>
      <c r="D2214" t="s">
        <v>804</v>
      </c>
      <c r="E2214" t="s">
        <v>846</v>
      </c>
      <c r="F2214">
        <v>5</v>
      </c>
      <c r="G2214">
        <v>0</v>
      </c>
      <c r="H2214" t="s">
        <v>861</v>
      </c>
      <c r="I2214" t="str">
        <f>VLOOKUP(C2214,Customers!A:C,2,FALSE)&amp;" "&amp;VLOOKUP(C2214,Customers!A:C,3,FALSE)</f>
        <v>Valerie Macdonald</v>
      </c>
      <c r="J2214" t="str">
        <f>VLOOKUP(D2214,Products!A:C,2,FALSE)</f>
        <v>Church Clothing</v>
      </c>
      <c r="K2214" t="str">
        <f>VLOOKUP(D2214,Products!A:C,3,FALSE)</f>
        <v>Fashion</v>
      </c>
      <c r="L2214" t="str">
        <f>VLOOKUP(E2214,Stores!A:B,2,FALSE)</f>
        <v>MegaMart Johnmouth</v>
      </c>
      <c r="M2214">
        <f>VLOOKUP(D2214,Products!A:E,5,FALSE)</f>
        <v>540.94000000000005</v>
      </c>
      <c r="N2214" s="5">
        <f t="shared" si="34"/>
        <v>2704.7000000000003</v>
      </c>
    </row>
    <row r="2215" spans="1:14" x14ac:dyDescent="0.3">
      <c r="A2215" t="s">
        <v>3071</v>
      </c>
      <c r="B2215" s="2">
        <v>45477</v>
      </c>
      <c r="C2215" t="s">
        <v>487</v>
      </c>
      <c r="D2215" t="s">
        <v>764</v>
      </c>
      <c r="E2215" t="s">
        <v>835</v>
      </c>
      <c r="F2215">
        <v>5</v>
      </c>
      <c r="G2215">
        <v>0.15</v>
      </c>
      <c r="H2215" t="s">
        <v>861</v>
      </c>
      <c r="I2215" t="str">
        <f>VLOOKUP(C2215,Customers!A:C,2,FALSE)&amp;" "&amp;VLOOKUP(C2215,Customers!A:C,3,FALSE)</f>
        <v>Yvette Roth</v>
      </c>
      <c r="J2215" t="str">
        <f>VLOOKUP(D2215,Products!A:C,2,FALSE)</f>
        <v>Simple Accessories</v>
      </c>
      <c r="K2215" t="str">
        <f>VLOOKUP(D2215,Products!A:C,3,FALSE)</f>
        <v>Fashion</v>
      </c>
      <c r="L2215" t="str">
        <f>VLOOKUP(E2215,Stores!A:B,2,FALSE)</f>
        <v>MegaMart Peckmouth</v>
      </c>
      <c r="M2215">
        <f>VLOOKUP(D2215,Products!A:E,5,FALSE)</f>
        <v>323.92</v>
      </c>
      <c r="N2215" s="5">
        <f t="shared" si="34"/>
        <v>1376.66</v>
      </c>
    </row>
    <row r="2216" spans="1:14" x14ac:dyDescent="0.3">
      <c r="A2216" t="s">
        <v>3072</v>
      </c>
      <c r="B2216" s="2">
        <v>45677</v>
      </c>
      <c r="C2216" t="s">
        <v>224</v>
      </c>
      <c r="D2216" t="s">
        <v>750</v>
      </c>
      <c r="E2216" t="s">
        <v>835</v>
      </c>
      <c r="F2216">
        <v>3</v>
      </c>
      <c r="G2216">
        <v>0.1</v>
      </c>
      <c r="H2216" t="s">
        <v>865</v>
      </c>
      <c r="I2216" t="str">
        <f>VLOOKUP(C2216,Customers!A:C,2,FALSE)&amp;" "&amp;VLOOKUP(C2216,Customers!A:C,3,FALSE)</f>
        <v>Lawrence Stewart</v>
      </c>
      <c r="J2216" t="str">
        <f>VLOOKUP(D2216,Products!A:C,2,FALSE)</f>
        <v>Add Clothing</v>
      </c>
      <c r="K2216" t="str">
        <f>VLOOKUP(D2216,Products!A:C,3,FALSE)</f>
        <v>Fashion</v>
      </c>
      <c r="L2216" t="str">
        <f>VLOOKUP(E2216,Stores!A:B,2,FALSE)</f>
        <v>MegaMart Peckmouth</v>
      </c>
      <c r="M2216">
        <f>VLOOKUP(D2216,Products!A:E,5,FALSE)</f>
        <v>1342.75</v>
      </c>
      <c r="N2216" s="5">
        <f t="shared" si="34"/>
        <v>3625.4250000000002</v>
      </c>
    </row>
    <row r="2217" spans="1:14" x14ac:dyDescent="0.3">
      <c r="A2217" t="s">
        <v>3073</v>
      </c>
      <c r="B2217" s="2">
        <v>45640</v>
      </c>
      <c r="C2217" t="s">
        <v>462</v>
      </c>
      <c r="D2217" t="s">
        <v>739</v>
      </c>
      <c r="E2217" t="s">
        <v>846</v>
      </c>
      <c r="F2217">
        <v>2</v>
      </c>
      <c r="G2217">
        <v>0</v>
      </c>
      <c r="H2217" t="s">
        <v>865</v>
      </c>
      <c r="I2217" t="str">
        <f>VLOOKUP(C2217,Customers!A:C,2,FALSE)&amp;" "&amp;VLOOKUP(C2217,Customers!A:C,3,FALSE)</f>
        <v>Kimberly Parker</v>
      </c>
      <c r="J2217" t="str">
        <f>VLOOKUP(D2217,Products!A:C,2,FALSE)</f>
        <v>Step Smartphone</v>
      </c>
      <c r="K2217" t="str">
        <f>VLOOKUP(D2217,Products!A:C,3,FALSE)</f>
        <v>Electronics</v>
      </c>
      <c r="L2217" t="str">
        <f>VLOOKUP(E2217,Stores!A:B,2,FALSE)</f>
        <v>MegaMart Johnmouth</v>
      </c>
      <c r="M2217">
        <f>VLOOKUP(D2217,Products!A:E,5,FALSE)</f>
        <v>1194.1199999999999</v>
      </c>
      <c r="N2217" s="5">
        <f t="shared" si="34"/>
        <v>2388.2399999999998</v>
      </c>
    </row>
    <row r="2218" spans="1:14" x14ac:dyDescent="0.3">
      <c r="A2218" t="s">
        <v>3074</v>
      </c>
      <c r="B2218" s="2">
        <v>45652</v>
      </c>
      <c r="C2218" t="s">
        <v>7</v>
      </c>
      <c r="D2218" t="s">
        <v>725</v>
      </c>
      <c r="E2218" t="s">
        <v>835</v>
      </c>
      <c r="F2218">
        <v>5</v>
      </c>
      <c r="G2218">
        <v>0</v>
      </c>
      <c r="H2218" t="s">
        <v>865</v>
      </c>
      <c r="I2218" t="str">
        <f>VLOOKUP(C2218,Customers!A:C,2,FALSE)&amp;" "&amp;VLOOKUP(C2218,Customers!A:C,3,FALSE)</f>
        <v>Michael Davis</v>
      </c>
      <c r="J2218" t="str">
        <f>VLOOKUP(D2218,Products!A:C,2,FALSE)</f>
        <v>Knowledge Bags</v>
      </c>
      <c r="K2218" t="str">
        <f>VLOOKUP(D2218,Products!A:C,3,FALSE)</f>
        <v>Fashion</v>
      </c>
      <c r="L2218" t="str">
        <f>VLOOKUP(E2218,Stores!A:B,2,FALSE)</f>
        <v>MegaMart Peckmouth</v>
      </c>
      <c r="M2218">
        <f>VLOOKUP(D2218,Products!A:E,5,FALSE)</f>
        <v>1396.22</v>
      </c>
      <c r="N2218" s="5">
        <f t="shared" si="34"/>
        <v>6981.1</v>
      </c>
    </row>
    <row r="2219" spans="1:14" x14ac:dyDescent="0.3">
      <c r="A2219" t="s">
        <v>3075</v>
      </c>
      <c r="B2219" s="2">
        <v>45248</v>
      </c>
      <c r="C2219" t="s">
        <v>243</v>
      </c>
      <c r="D2219" t="s">
        <v>766</v>
      </c>
      <c r="E2219" t="s">
        <v>835</v>
      </c>
      <c r="F2219">
        <v>1</v>
      </c>
      <c r="G2219">
        <v>0.15</v>
      </c>
      <c r="H2219" t="s">
        <v>865</v>
      </c>
      <c r="I2219" t="str">
        <f>VLOOKUP(C2219,Customers!A:C,2,FALSE)&amp;" "&amp;VLOOKUP(C2219,Customers!A:C,3,FALSE)</f>
        <v>Amanda Hoover</v>
      </c>
      <c r="J2219" t="str">
        <f>VLOOKUP(D2219,Products!A:C,2,FALSE)</f>
        <v>Firm Dairy</v>
      </c>
      <c r="K2219" t="str">
        <f>VLOOKUP(D2219,Products!A:C,3,FALSE)</f>
        <v>Groceries</v>
      </c>
      <c r="L2219" t="str">
        <f>VLOOKUP(E2219,Stores!A:B,2,FALSE)</f>
        <v>MegaMart Peckmouth</v>
      </c>
      <c r="M2219">
        <f>VLOOKUP(D2219,Products!A:E,5,FALSE)</f>
        <v>1227.24</v>
      </c>
      <c r="N2219" s="5">
        <f t="shared" si="34"/>
        <v>1043.154</v>
      </c>
    </row>
    <row r="2220" spans="1:14" x14ac:dyDescent="0.3">
      <c r="A2220" t="s">
        <v>3076</v>
      </c>
      <c r="B2220" s="2">
        <v>45618</v>
      </c>
      <c r="C2220" t="s">
        <v>476</v>
      </c>
      <c r="D2220" t="s">
        <v>806</v>
      </c>
      <c r="E2220" t="s">
        <v>842</v>
      </c>
      <c r="F2220">
        <v>4</v>
      </c>
      <c r="G2220">
        <v>0</v>
      </c>
      <c r="H2220" t="s">
        <v>865</v>
      </c>
      <c r="I2220" t="str">
        <f>VLOOKUP(C2220,Customers!A:C,2,FALSE)&amp;" "&amp;VLOOKUP(C2220,Customers!A:C,3,FALSE)</f>
        <v>Aaron Bailey</v>
      </c>
      <c r="J2220" t="str">
        <f>VLOOKUP(D2220,Products!A:C,2,FALSE)</f>
        <v>Piece Headphones</v>
      </c>
      <c r="K2220" t="str">
        <f>VLOOKUP(D2220,Products!A:C,3,FALSE)</f>
        <v>Electronics</v>
      </c>
      <c r="L2220" t="str">
        <f>VLOOKUP(E2220,Stores!A:B,2,FALSE)</f>
        <v>MegaMart Brianahaven</v>
      </c>
      <c r="M2220">
        <f>VLOOKUP(D2220,Products!A:E,5,FALSE)</f>
        <v>1745.61</v>
      </c>
      <c r="N2220" s="5">
        <f t="shared" si="34"/>
        <v>6982.44</v>
      </c>
    </row>
    <row r="2221" spans="1:14" x14ac:dyDescent="0.3">
      <c r="A2221" t="s">
        <v>3077</v>
      </c>
      <c r="B2221" s="2">
        <v>45191</v>
      </c>
      <c r="C2221" t="s">
        <v>291</v>
      </c>
      <c r="D2221" t="s">
        <v>800</v>
      </c>
      <c r="E2221" t="s">
        <v>842</v>
      </c>
      <c r="F2221">
        <v>4</v>
      </c>
      <c r="G2221">
        <v>0.05</v>
      </c>
      <c r="H2221" t="s">
        <v>861</v>
      </c>
      <c r="I2221" t="str">
        <f>VLOOKUP(C2221,Customers!A:C,2,FALSE)&amp;" "&amp;VLOOKUP(C2221,Customers!A:C,3,FALSE)</f>
        <v>Matthew Juarez</v>
      </c>
      <c r="J2221" t="str">
        <f>VLOOKUP(D2221,Products!A:C,2,FALSE)</f>
        <v>Book Television</v>
      </c>
      <c r="K2221" t="str">
        <f>VLOOKUP(D2221,Products!A:C,3,FALSE)</f>
        <v>Electronics</v>
      </c>
      <c r="L2221" t="str">
        <f>VLOOKUP(E2221,Stores!A:B,2,FALSE)</f>
        <v>MegaMart Brianahaven</v>
      </c>
      <c r="M2221">
        <f>VLOOKUP(D2221,Products!A:E,5,FALSE)</f>
        <v>1952.65</v>
      </c>
      <c r="N2221" s="5">
        <f t="shared" si="34"/>
        <v>7420.07</v>
      </c>
    </row>
    <row r="2222" spans="1:14" x14ac:dyDescent="0.3">
      <c r="A2222" t="s">
        <v>3078</v>
      </c>
      <c r="B2222" s="2">
        <v>45463</v>
      </c>
      <c r="C2222" t="s">
        <v>509</v>
      </c>
      <c r="D2222" t="s">
        <v>816</v>
      </c>
      <c r="E2222" t="s">
        <v>839</v>
      </c>
      <c r="F2222">
        <v>5</v>
      </c>
      <c r="G2222">
        <v>0.15</v>
      </c>
      <c r="H2222" t="s">
        <v>865</v>
      </c>
      <c r="I2222" t="str">
        <f>VLOOKUP(C2222,Customers!A:C,2,FALSE)&amp;" "&amp;VLOOKUP(C2222,Customers!A:C,3,FALSE)</f>
        <v>Stacy Williams</v>
      </c>
      <c r="J2222" t="str">
        <f>VLOOKUP(D2222,Products!A:C,2,FALSE)</f>
        <v>Set Dairy</v>
      </c>
      <c r="K2222" t="str">
        <f>VLOOKUP(D2222,Products!A:C,3,FALSE)</f>
        <v>Groceries</v>
      </c>
      <c r="L2222" t="str">
        <f>VLOOKUP(E2222,Stores!A:B,2,FALSE)</f>
        <v>MegaMart New Michele</v>
      </c>
      <c r="M2222">
        <f>VLOOKUP(D2222,Products!A:E,5,FALSE)</f>
        <v>1879.08</v>
      </c>
      <c r="N2222" s="5">
        <f t="shared" si="34"/>
        <v>7986.0899999999992</v>
      </c>
    </row>
    <row r="2223" spans="1:14" x14ac:dyDescent="0.3">
      <c r="A2223" t="s">
        <v>3079</v>
      </c>
      <c r="B2223" s="2">
        <v>45380</v>
      </c>
      <c r="C2223" t="s">
        <v>415</v>
      </c>
      <c r="D2223" t="s">
        <v>784</v>
      </c>
      <c r="E2223" t="s">
        <v>835</v>
      </c>
      <c r="F2223">
        <v>1</v>
      </c>
      <c r="G2223">
        <v>0.05</v>
      </c>
      <c r="H2223" t="s">
        <v>861</v>
      </c>
      <c r="I2223" t="str">
        <f>VLOOKUP(C2223,Customers!A:C,2,FALSE)&amp;" "&amp;VLOOKUP(C2223,Customers!A:C,3,FALSE)</f>
        <v>Dylan Booker</v>
      </c>
      <c r="J2223" t="str">
        <f>VLOOKUP(D2223,Products!A:C,2,FALSE)</f>
        <v>Road Clothing</v>
      </c>
      <c r="K2223" t="str">
        <f>VLOOKUP(D2223,Products!A:C,3,FALSE)</f>
        <v>Fashion</v>
      </c>
      <c r="L2223" t="str">
        <f>VLOOKUP(E2223,Stores!A:B,2,FALSE)</f>
        <v>MegaMart Peckmouth</v>
      </c>
      <c r="M2223">
        <f>VLOOKUP(D2223,Products!A:E,5,FALSE)</f>
        <v>1485.05</v>
      </c>
      <c r="N2223" s="5">
        <f t="shared" si="34"/>
        <v>1410.7974999999999</v>
      </c>
    </row>
    <row r="2224" spans="1:14" x14ac:dyDescent="0.3">
      <c r="A2224" t="s">
        <v>3080</v>
      </c>
      <c r="B2224" s="2">
        <v>45188</v>
      </c>
      <c r="C2224" t="s">
        <v>673</v>
      </c>
      <c r="D2224" t="s">
        <v>769</v>
      </c>
      <c r="E2224" t="s">
        <v>835</v>
      </c>
      <c r="F2224">
        <v>2</v>
      </c>
      <c r="G2224">
        <v>0.05</v>
      </c>
      <c r="H2224" t="s">
        <v>858</v>
      </c>
      <c r="I2224" t="str">
        <f>VLOOKUP(C2224,Customers!A:C,2,FALSE)&amp;" "&amp;VLOOKUP(C2224,Customers!A:C,3,FALSE)</f>
        <v>Karen Quinn</v>
      </c>
      <c r="J2224" t="str">
        <f>VLOOKUP(D2224,Products!A:C,2,FALSE)</f>
        <v>How Vegetables</v>
      </c>
      <c r="K2224" t="str">
        <f>VLOOKUP(D2224,Products!A:C,3,FALSE)</f>
        <v>Groceries</v>
      </c>
      <c r="L2224" t="str">
        <f>VLOOKUP(E2224,Stores!A:B,2,FALSE)</f>
        <v>MegaMart Peckmouth</v>
      </c>
      <c r="M2224">
        <f>VLOOKUP(D2224,Products!A:E,5,FALSE)</f>
        <v>25.57</v>
      </c>
      <c r="N2224" s="5">
        <f t="shared" si="34"/>
        <v>48.582999999999998</v>
      </c>
    </row>
    <row r="2225" spans="1:14" x14ac:dyDescent="0.3">
      <c r="A2225" t="s">
        <v>3081</v>
      </c>
      <c r="B2225" s="2">
        <v>45830</v>
      </c>
      <c r="C2225" t="s">
        <v>454</v>
      </c>
      <c r="D2225" t="s">
        <v>772</v>
      </c>
      <c r="E2225" t="s">
        <v>839</v>
      </c>
      <c r="F2225">
        <v>3</v>
      </c>
      <c r="G2225">
        <v>0</v>
      </c>
      <c r="H2225" t="s">
        <v>858</v>
      </c>
      <c r="I2225" t="str">
        <f>VLOOKUP(C2225,Customers!A:C,2,FALSE)&amp;" "&amp;VLOOKUP(C2225,Customers!A:C,3,FALSE)</f>
        <v>Peter Edwards</v>
      </c>
      <c r="J2225" t="str">
        <f>VLOOKUP(D2225,Products!A:C,2,FALSE)</f>
        <v>And Footwear</v>
      </c>
      <c r="K2225" t="str">
        <f>VLOOKUP(D2225,Products!A:C,3,FALSE)</f>
        <v>Fashion</v>
      </c>
      <c r="L2225" t="str">
        <f>VLOOKUP(E2225,Stores!A:B,2,FALSE)</f>
        <v>MegaMart New Michele</v>
      </c>
      <c r="M2225">
        <f>VLOOKUP(D2225,Products!A:E,5,FALSE)</f>
        <v>1878.47</v>
      </c>
      <c r="N2225" s="5">
        <f t="shared" si="34"/>
        <v>5635.41</v>
      </c>
    </row>
    <row r="2226" spans="1:14" x14ac:dyDescent="0.3">
      <c r="A2226" t="s">
        <v>3082</v>
      </c>
      <c r="B2226" s="2">
        <v>45209</v>
      </c>
      <c r="C2226" t="s">
        <v>358</v>
      </c>
      <c r="D2226" t="s">
        <v>810</v>
      </c>
      <c r="E2226" t="s">
        <v>839</v>
      </c>
      <c r="F2226">
        <v>4</v>
      </c>
      <c r="G2226">
        <v>0.15</v>
      </c>
      <c r="H2226" t="s">
        <v>865</v>
      </c>
      <c r="I2226" t="str">
        <f>VLOOKUP(C2226,Customers!A:C,2,FALSE)&amp;" "&amp;VLOOKUP(C2226,Customers!A:C,3,FALSE)</f>
        <v>Kevin Snyder</v>
      </c>
      <c r="J2226" t="str">
        <f>VLOOKUP(D2226,Products!A:C,2,FALSE)</f>
        <v>Maybe Clothing</v>
      </c>
      <c r="K2226" t="str">
        <f>VLOOKUP(D2226,Products!A:C,3,FALSE)</f>
        <v>Fashion</v>
      </c>
      <c r="L2226" t="str">
        <f>VLOOKUP(E2226,Stores!A:B,2,FALSE)</f>
        <v>MegaMart New Michele</v>
      </c>
      <c r="M2226">
        <f>VLOOKUP(D2226,Products!A:E,5,FALSE)</f>
        <v>453.62</v>
      </c>
      <c r="N2226" s="5">
        <f t="shared" si="34"/>
        <v>1542.308</v>
      </c>
    </row>
    <row r="2227" spans="1:14" x14ac:dyDescent="0.3">
      <c r="A2227" t="s">
        <v>3083</v>
      </c>
      <c r="B2227" s="2">
        <v>45530</v>
      </c>
      <c r="C2227" t="s">
        <v>442</v>
      </c>
      <c r="D2227" t="s">
        <v>715</v>
      </c>
      <c r="E2227" t="s">
        <v>842</v>
      </c>
      <c r="F2227">
        <v>4</v>
      </c>
      <c r="G2227">
        <v>0.05</v>
      </c>
      <c r="H2227" t="s">
        <v>865</v>
      </c>
      <c r="I2227" t="str">
        <f>VLOOKUP(C2227,Customers!A:C,2,FALSE)&amp;" "&amp;VLOOKUP(C2227,Customers!A:C,3,FALSE)</f>
        <v>Jason Lloyd</v>
      </c>
      <c r="J2227" t="str">
        <f>VLOOKUP(D2227,Products!A:C,2,FALSE)</f>
        <v>Audience Television</v>
      </c>
      <c r="K2227" t="str">
        <f>VLOOKUP(D2227,Products!A:C,3,FALSE)</f>
        <v>Electronics</v>
      </c>
      <c r="L2227" t="str">
        <f>VLOOKUP(E2227,Stores!A:B,2,FALSE)</f>
        <v>MegaMart Brianahaven</v>
      </c>
      <c r="M2227">
        <f>VLOOKUP(D2227,Products!A:E,5,FALSE)</f>
        <v>818.76</v>
      </c>
      <c r="N2227" s="5">
        <f t="shared" si="34"/>
        <v>3111.288</v>
      </c>
    </row>
    <row r="2228" spans="1:14" x14ac:dyDescent="0.3">
      <c r="A2228" t="s">
        <v>3084</v>
      </c>
      <c r="B2228" s="2">
        <v>45236</v>
      </c>
      <c r="C2228" t="s">
        <v>277</v>
      </c>
      <c r="D2228" t="s">
        <v>826</v>
      </c>
      <c r="E2228" t="s">
        <v>842</v>
      </c>
      <c r="F2228">
        <v>1</v>
      </c>
      <c r="G2228">
        <v>0.15</v>
      </c>
      <c r="H2228" t="s">
        <v>865</v>
      </c>
      <c r="I2228" t="str">
        <f>VLOOKUP(C2228,Customers!A:C,2,FALSE)&amp;" "&amp;VLOOKUP(C2228,Customers!A:C,3,FALSE)</f>
        <v>Carl Armstrong</v>
      </c>
      <c r="J2228" t="str">
        <f>VLOOKUP(D2228,Products!A:C,2,FALSE)</f>
        <v>Maybe Footwear</v>
      </c>
      <c r="K2228" t="str">
        <f>VLOOKUP(D2228,Products!A:C,3,FALSE)</f>
        <v>Fashion</v>
      </c>
      <c r="L2228" t="str">
        <f>VLOOKUP(E2228,Stores!A:B,2,FALSE)</f>
        <v>MegaMart Brianahaven</v>
      </c>
      <c r="M2228">
        <f>VLOOKUP(D2228,Products!A:E,5,FALSE)</f>
        <v>1044.6400000000001</v>
      </c>
      <c r="N2228" s="5">
        <f t="shared" si="34"/>
        <v>887.94400000000007</v>
      </c>
    </row>
    <row r="2229" spans="1:14" x14ac:dyDescent="0.3">
      <c r="A2229" t="s">
        <v>3085</v>
      </c>
      <c r="B2229" s="2">
        <v>45884</v>
      </c>
      <c r="C2229" t="s">
        <v>539</v>
      </c>
      <c r="D2229" t="s">
        <v>776</v>
      </c>
      <c r="E2229" t="s">
        <v>839</v>
      </c>
      <c r="F2229">
        <v>1</v>
      </c>
      <c r="G2229">
        <v>0.15</v>
      </c>
      <c r="H2229" t="s">
        <v>865</v>
      </c>
      <c r="I2229" t="str">
        <f>VLOOKUP(C2229,Customers!A:C,2,FALSE)&amp;" "&amp;VLOOKUP(C2229,Customers!A:C,3,FALSE)</f>
        <v>Melissa Torres</v>
      </c>
      <c r="J2229" t="str">
        <f>VLOOKUP(D2229,Products!A:C,2,FALSE)</f>
        <v>Little Watches</v>
      </c>
      <c r="K2229" t="str">
        <f>VLOOKUP(D2229,Products!A:C,3,FALSE)</f>
        <v>Fashion</v>
      </c>
      <c r="L2229" t="str">
        <f>VLOOKUP(E2229,Stores!A:B,2,FALSE)</f>
        <v>MegaMart New Michele</v>
      </c>
      <c r="M2229">
        <f>VLOOKUP(D2229,Products!A:E,5,FALSE)</f>
        <v>429.15</v>
      </c>
      <c r="N2229" s="5">
        <f t="shared" si="34"/>
        <v>364.77749999999997</v>
      </c>
    </row>
    <row r="2230" spans="1:14" x14ac:dyDescent="0.3">
      <c r="A2230" t="s">
        <v>3086</v>
      </c>
      <c r="B2230" s="2">
        <v>45889</v>
      </c>
      <c r="C2230" t="s">
        <v>343</v>
      </c>
      <c r="D2230" t="s">
        <v>812</v>
      </c>
      <c r="E2230" t="s">
        <v>835</v>
      </c>
      <c r="F2230">
        <v>4</v>
      </c>
      <c r="G2230">
        <v>0.15</v>
      </c>
      <c r="H2230" t="s">
        <v>855</v>
      </c>
      <c r="I2230" t="str">
        <f>VLOOKUP(C2230,Customers!A:C,2,FALSE)&amp;" "&amp;VLOOKUP(C2230,Customers!A:C,3,FALSE)</f>
        <v>Brian Fowler</v>
      </c>
      <c r="J2230" t="str">
        <f>VLOOKUP(D2230,Products!A:C,2,FALSE)</f>
        <v>Soon Accessories</v>
      </c>
      <c r="K2230" t="str">
        <f>VLOOKUP(D2230,Products!A:C,3,FALSE)</f>
        <v>Fashion</v>
      </c>
      <c r="L2230" t="str">
        <f>VLOOKUP(E2230,Stores!A:B,2,FALSE)</f>
        <v>MegaMart Peckmouth</v>
      </c>
      <c r="M2230">
        <f>VLOOKUP(D2230,Products!A:E,5,FALSE)</f>
        <v>564.41999999999996</v>
      </c>
      <c r="N2230" s="5">
        <f t="shared" si="34"/>
        <v>1919.0279999999998</v>
      </c>
    </row>
    <row r="2231" spans="1:14" x14ac:dyDescent="0.3">
      <c r="A2231" t="s">
        <v>3087</v>
      </c>
      <c r="B2231" s="2">
        <v>45218</v>
      </c>
      <c r="C2231" t="s">
        <v>15</v>
      </c>
      <c r="D2231" t="s">
        <v>806</v>
      </c>
      <c r="E2231" t="s">
        <v>835</v>
      </c>
      <c r="F2231">
        <v>3</v>
      </c>
      <c r="G2231">
        <v>0.05</v>
      </c>
      <c r="H2231" t="s">
        <v>855</v>
      </c>
      <c r="I2231" t="str">
        <f>VLOOKUP(C2231,Customers!A:C,2,FALSE)&amp;" "&amp;VLOOKUP(C2231,Customers!A:C,3,FALSE)</f>
        <v>Carol Hays</v>
      </c>
      <c r="J2231" t="str">
        <f>VLOOKUP(D2231,Products!A:C,2,FALSE)</f>
        <v>Piece Headphones</v>
      </c>
      <c r="K2231" t="str">
        <f>VLOOKUP(D2231,Products!A:C,3,FALSE)</f>
        <v>Electronics</v>
      </c>
      <c r="L2231" t="str">
        <f>VLOOKUP(E2231,Stores!A:B,2,FALSE)</f>
        <v>MegaMart Peckmouth</v>
      </c>
      <c r="M2231">
        <f>VLOOKUP(D2231,Products!A:E,5,FALSE)</f>
        <v>1745.61</v>
      </c>
      <c r="N2231" s="5">
        <f t="shared" si="34"/>
        <v>4974.9884999999995</v>
      </c>
    </row>
    <row r="2232" spans="1:14" x14ac:dyDescent="0.3">
      <c r="A2232" t="s">
        <v>3088</v>
      </c>
      <c r="B2232" s="2">
        <v>45381</v>
      </c>
      <c r="C2232" t="s">
        <v>640</v>
      </c>
      <c r="D2232" t="s">
        <v>764</v>
      </c>
      <c r="E2232" t="s">
        <v>846</v>
      </c>
      <c r="F2232">
        <v>4</v>
      </c>
      <c r="G2232">
        <v>0</v>
      </c>
      <c r="H2232" t="s">
        <v>861</v>
      </c>
      <c r="I2232" t="str">
        <f>VLOOKUP(C2232,Customers!A:C,2,FALSE)&amp;" "&amp;VLOOKUP(C2232,Customers!A:C,3,FALSE)</f>
        <v>Brittany Oneal</v>
      </c>
      <c r="J2232" t="str">
        <f>VLOOKUP(D2232,Products!A:C,2,FALSE)</f>
        <v>Simple Accessories</v>
      </c>
      <c r="K2232" t="str">
        <f>VLOOKUP(D2232,Products!A:C,3,FALSE)</f>
        <v>Fashion</v>
      </c>
      <c r="L2232" t="str">
        <f>VLOOKUP(E2232,Stores!A:B,2,FALSE)</f>
        <v>MegaMart Johnmouth</v>
      </c>
      <c r="M2232">
        <f>VLOOKUP(D2232,Products!A:E,5,FALSE)</f>
        <v>323.92</v>
      </c>
      <c r="N2232" s="5">
        <f t="shared" si="34"/>
        <v>1295.68</v>
      </c>
    </row>
    <row r="2233" spans="1:14" x14ac:dyDescent="0.3">
      <c r="A2233" t="s">
        <v>3089</v>
      </c>
      <c r="B2233" s="2">
        <v>45737</v>
      </c>
      <c r="C2233" t="s">
        <v>599</v>
      </c>
      <c r="D2233" t="s">
        <v>778</v>
      </c>
      <c r="E2233" t="s">
        <v>835</v>
      </c>
      <c r="F2233">
        <v>3</v>
      </c>
      <c r="G2233">
        <v>0.1</v>
      </c>
      <c r="H2233" t="s">
        <v>858</v>
      </c>
      <c r="I2233" t="str">
        <f>VLOOKUP(C2233,Customers!A:C,2,FALSE)&amp;" "&amp;VLOOKUP(C2233,Customers!A:C,3,FALSE)</f>
        <v>Richard Jones</v>
      </c>
      <c r="J2233" t="str">
        <f>VLOOKUP(D2233,Products!A:C,2,FALSE)</f>
        <v>Behavior Dairy</v>
      </c>
      <c r="K2233" t="str">
        <f>VLOOKUP(D2233,Products!A:C,3,FALSE)</f>
        <v>Groceries</v>
      </c>
      <c r="L2233" t="str">
        <f>VLOOKUP(E2233,Stores!A:B,2,FALSE)</f>
        <v>MegaMart Peckmouth</v>
      </c>
      <c r="M2233">
        <f>VLOOKUP(D2233,Products!A:E,5,FALSE)</f>
        <v>1015.76</v>
      </c>
      <c r="N2233" s="5">
        <f t="shared" si="34"/>
        <v>2742.5519999999997</v>
      </c>
    </row>
    <row r="2234" spans="1:14" x14ac:dyDescent="0.3">
      <c r="A2234" t="s">
        <v>3090</v>
      </c>
      <c r="B2234" s="2">
        <v>45681</v>
      </c>
      <c r="C2234" t="s">
        <v>650</v>
      </c>
      <c r="D2234" t="s">
        <v>784</v>
      </c>
      <c r="E2234" t="s">
        <v>835</v>
      </c>
      <c r="F2234">
        <v>3</v>
      </c>
      <c r="G2234">
        <v>0.1</v>
      </c>
      <c r="H2234" t="s">
        <v>858</v>
      </c>
      <c r="I2234" t="str">
        <f>VLOOKUP(C2234,Customers!A:C,2,FALSE)&amp;" "&amp;VLOOKUP(C2234,Customers!A:C,3,FALSE)</f>
        <v>Daniel Mcintyre</v>
      </c>
      <c r="J2234" t="str">
        <f>VLOOKUP(D2234,Products!A:C,2,FALSE)</f>
        <v>Road Clothing</v>
      </c>
      <c r="K2234" t="str">
        <f>VLOOKUP(D2234,Products!A:C,3,FALSE)</f>
        <v>Fashion</v>
      </c>
      <c r="L2234" t="str">
        <f>VLOOKUP(E2234,Stores!A:B,2,FALSE)</f>
        <v>MegaMart Peckmouth</v>
      </c>
      <c r="M2234">
        <f>VLOOKUP(D2234,Products!A:E,5,FALSE)</f>
        <v>1485.05</v>
      </c>
      <c r="N2234" s="5">
        <f t="shared" si="34"/>
        <v>4009.6349999999998</v>
      </c>
    </row>
    <row r="2235" spans="1:14" x14ac:dyDescent="0.3">
      <c r="A2235" t="s">
        <v>3091</v>
      </c>
      <c r="B2235" s="2">
        <v>45303</v>
      </c>
      <c r="C2235" t="s">
        <v>74</v>
      </c>
      <c r="D2235" t="s">
        <v>711</v>
      </c>
      <c r="E2235" t="s">
        <v>842</v>
      </c>
      <c r="F2235">
        <v>4</v>
      </c>
      <c r="G2235">
        <v>0.15</v>
      </c>
      <c r="H2235" t="s">
        <v>861</v>
      </c>
      <c r="I2235" t="str">
        <f>VLOOKUP(C2235,Customers!A:C,2,FALSE)&amp;" "&amp;VLOOKUP(C2235,Customers!A:C,3,FALSE)</f>
        <v>Breanna Davis</v>
      </c>
      <c r="J2235" t="str">
        <f>VLOOKUP(D2235,Products!A:C,2,FALSE)</f>
        <v>Like Camera</v>
      </c>
      <c r="K2235" t="str">
        <f>VLOOKUP(D2235,Products!A:C,3,FALSE)</f>
        <v>Electronics</v>
      </c>
      <c r="L2235" t="str">
        <f>VLOOKUP(E2235,Stores!A:B,2,FALSE)</f>
        <v>MegaMart Brianahaven</v>
      </c>
      <c r="M2235">
        <f>VLOOKUP(D2235,Products!A:E,5,FALSE)</f>
        <v>1673.69</v>
      </c>
      <c r="N2235" s="5">
        <f t="shared" si="34"/>
        <v>5690.5460000000003</v>
      </c>
    </row>
    <row r="2236" spans="1:14" x14ac:dyDescent="0.3">
      <c r="A2236" t="s">
        <v>3092</v>
      </c>
      <c r="B2236" s="2">
        <v>45195</v>
      </c>
      <c r="C2236" t="s">
        <v>536</v>
      </c>
      <c r="D2236" t="s">
        <v>822</v>
      </c>
      <c r="E2236" t="s">
        <v>846</v>
      </c>
      <c r="F2236">
        <v>5</v>
      </c>
      <c r="G2236">
        <v>0.1</v>
      </c>
      <c r="H2236" t="s">
        <v>861</v>
      </c>
      <c r="I2236" t="str">
        <f>VLOOKUP(C2236,Customers!A:C,2,FALSE)&amp;" "&amp;VLOOKUP(C2236,Customers!A:C,3,FALSE)</f>
        <v>John Foster</v>
      </c>
      <c r="J2236" t="str">
        <f>VLOOKUP(D2236,Products!A:C,2,FALSE)</f>
        <v>Nor Bags</v>
      </c>
      <c r="K2236" t="str">
        <f>VLOOKUP(D2236,Products!A:C,3,FALSE)</f>
        <v>Fashion</v>
      </c>
      <c r="L2236" t="str">
        <f>VLOOKUP(E2236,Stores!A:B,2,FALSE)</f>
        <v>MegaMart Johnmouth</v>
      </c>
      <c r="M2236">
        <f>VLOOKUP(D2236,Products!A:E,5,FALSE)</f>
        <v>1216.3599999999999</v>
      </c>
      <c r="N2236" s="5">
        <f t="shared" si="34"/>
        <v>5473.62</v>
      </c>
    </row>
    <row r="2237" spans="1:14" x14ac:dyDescent="0.3">
      <c r="A2237" t="s">
        <v>3093</v>
      </c>
      <c r="B2237" s="2">
        <v>45374</v>
      </c>
      <c r="C2237" t="s">
        <v>633</v>
      </c>
      <c r="D2237" t="s">
        <v>764</v>
      </c>
      <c r="E2237" t="s">
        <v>839</v>
      </c>
      <c r="F2237">
        <v>5</v>
      </c>
      <c r="G2237">
        <v>0.1</v>
      </c>
      <c r="H2237" t="s">
        <v>858</v>
      </c>
      <c r="I2237" t="str">
        <f>VLOOKUP(C2237,Customers!A:C,2,FALSE)&amp;" "&amp;VLOOKUP(C2237,Customers!A:C,3,FALSE)</f>
        <v>Dennis Wallace</v>
      </c>
      <c r="J2237" t="str">
        <f>VLOOKUP(D2237,Products!A:C,2,FALSE)</f>
        <v>Simple Accessories</v>
      </c>
      <c r="K2237" t="str">
        <f>VLOOKUP(D2237,Products!A:C,3,FALSE)</f>
        <v>Fashion</v>
      </c>
      <c r="L2237" t="str">
        <f>VLOOKUP(E2237,Stores!A:B,2,FALSE)</f>
        <v>MegaMart New Michele</v>
      </c>
      <c r="M2237">
        <f>VLOOKUP(D2237,Products!A:E,5,FALSE)</f>
        <v>323.92</v>
      </c>
      <c r="N2237" s="5">
        <f t="shared" si="34"/>
        <v>1457.64</v>
      </c>
    </row>
    <row r="2238" spans="1:14" x14ac:dyDescent="0.3">
      <c r="A2238" t="s">
        <v>3094</v>
      </c>
      <c r="B2238" s="2">
        <v>45523</v>
      </c>
      <c r="C2238" t="s">
        <v>74</v>
      </c>
      <c r="D2238" t="s">
        <v>822</v>
      </c>
      <c r="E2238" t="s">
        <v>831</v>
      </c>
      <c r="F2238">
        <v>1</v>
      </c>
      <c r="G2238">
        <v>0.05</v>
      </c>
      <c r="H2238" t="s">
        <v>861</v>
      </c>
      <c r="I2238" t="str">
        <f>VLOOKUP(C2238,Customers!A:C,2,FALSE)&amp;" "&amp;VLOOKUP(C2238,Customers!A:C,3,FALSE)</f>
        <v>Breanna Davis</v>
      </c>
      <c r="J2238" t="str">
        <f>VLOOKUP(D2238,Products!A:C,2,FALSE)</f>
        <v>Nor Bags</v>
      </c>
      <c r="K2238" t="str">
        <f>VLOOKUP(D2238,Products!A:C,3,FALSE)</f>
        <v>Fashion</v>
      </c>
      <c r="L2238" t="str">
        <f>VLOOKUP(E2238,Stores!A:B,2,FALSE)</f>
        <v>MegaMart Jimenezborough</v>
      </c>
      <c r="M2238">
        <f>VLOOKUP(D2238,Products!A:E,5,FALSE)</f>
        <v>1216.3599999999999</v>
      </c>
      <c r="N2238" s="5">
        <f t="shared" si="34"/>
        <v>1155.5419999999999</v>
      </c>
    </row>
    <row r="2239" spans="1:14" x14ac:dyDescent="0.3">
      <c r="A2239" t="s">
        <v>3095</v>
      </c>
      <c r="B2239" s="2">
        <v>45544</v>
      </c>
      <c r="C2239" t="s">
        <v>101</v>
      </c>
      <c r="D2239" t="s">
        <v>826</v>
      </c>
      <c r="E2239" t="s">
        <v>831</v>
      </c>
      <c r="F2239">
        <v>4</v>
      </c>
      <c r="G2239">
        <v>0.15</v>
      </c>
      <c r="H2239" t="s">
        <v>855</v>
      </c>
      <c r="I2239" t="str">
        <f>VLOOKUP(C2239,Customers!A:C,2,FALSE)&amp;" "&amp;VLOOKUP(C2239,Customers!A:C,3,FALSE)</f>
        <v>Cheryl Gilbert</v>
      </c>
      <c r="J2239" t="str">
        <f>VLOOKUP(D2239,Products!A:C,2,FALSE)</f>
        <v>Maybe Footwear</v>
      </c>
      <c r="K2239" t="str">
        <f>VLOOKUP(D2239,Products!A:C,3,FALSE)</f>
        <v>Fashion</v>
      </c>
      <c r="L2239" t="str">
        <f>VLOOKUP(E2239,Stores!A:B,2,FALSE)</f>
        <v>MegaMart Jimenezborough</v>
      </c>
      <c r="M2239">
        <f>VLOOKUP(D2239,Products!A:E,5,FALSE)</f>
        <v>1044.6400000000001</v>
      </c>
      <c r="N2239" s="5">
        <f t="shared" si="34"/>
        <v>3551.7760000000003</v>
      </c>
    </row>
    <row r="2240" spans="1:14" x14ac:dyDescent="0.3">
      <c r="A2240" t="s">
        <v>3096</v>
      </c>
      <c r="B2240" s="2">
        <v>45860</v>
      </c>
      <c r="C2240" t="s">
        <v>687</v>
      </c>
      <c r="D2240" t="s">
        <v>736</v>
      </c>
      <c r="E2240" t="s">
        <v>835</v>
      </c>
      <c r="F2240">
        <v>2</v>
      </c>
      <c r="G2240">
        <v>0</v>
      </c>
      <c r="H2240" t="s">
        <v>861</v>
      </c>
      <c r="I2240" t="str">
        <f>VLOOKUP(C2240,Customers!A:C,2,FALSE)&amp;" "&amp;VLOOKUP(C2240,Customers!A:C,3,FALSE)</f>
        <v>James Mitchell</v>
      </c>
      <c r="J2240" t="str">
        <f>VLOOKUP(D2240,Products!A:C,2,FALSE)</f>
        <v>Us Snacks</v>
      </c>
      <c r="K2240" t="str">
        <f>VLOOKUP(D2240,Products!A:C,3,FALSE)</f>
        <v>Groceries</v>
      </c>
      <c r="L2240" t="str">
        <f>VLOOKUP(E2240,Stores!A:B,2,FALSE)</f>
        <v>MegaMart Peckmouth</v>
      </c>
      <c r="M2240">
        <f>VLOOKUP(D2240,Products!A:E,5,FALSE)</f>
        <v>123.19</v>
      </c>
      <c r="N2240" s="5">
        <f t="shared" si="34"/>
        <v>246.38</v>
      </c>
    </row>
    <row r="2241" spans="1:14" x14ac:dyDescent="0.3">
      <c r="A2241" t="s">
        <v>3097</v>
      </c>
      <c r="B2241" s="2">
        <v>45709</v>
      </c>
      <c r="C2241" t="s">
        <v>661</v>
      </c>
      <c r="D2241" t="s">
        <v>761</v>
      </c>
      <c r="E2241" t="s">
        <v>842</v>
      </c>
      <c r="F2241">
        <v>4</v>
      </c>
      <c r="G2241">
        <v>0</v>
      </c>
      <c r="H2241" t="s">
        <v>865</v>
      </c>
      <c r="I2241" t="str">
        <f>VLOOKUP(C2241,Customers!A:C,2,FALSE)&amp;" "&amp;VLOOKUP(C2241,Customers!A:C,3,FALSE)</f>
        <v>Cynthia Cherry</v>
      </c>
      <c r="J2241" t="str">
        <f>VLOOKUP(D2241,Products!A:C,2,FALSE)</f>
        <v>Traditional Laptop</v>
      </c>
      <c r="K2241" t="str">
        <f>VLOOKUP(D2241,Products!A:C,3,FALSE)</f>
        <v>Electronics</v>
      </c>
      <c r="L2241" t="str">
        <f>VLOOKUP(E2241,Stores!A:B,2,FALSE)</f>
        <v>MegaMart Brianahaven</v>
      </c>
      <c r="M2241">
        <f>VLOOKUP(D2241,Products!A:E,5,FALSE)</f>
        <v>1762.92</v>
      </c>
      <c r="N2241" s="5">
        <f t="shared" si="34"/>
        <v>7051.68</v>
      </c>
    </row>
    <row r="2242" spans="1:14" x14ac:dyDescent="0.3">
      <c r="A2242" t="s">
        <v>3098</v>
      </c>
      <c r="B2242" s="2">
        <v>45528</v>
      </c>
      <c r="C2242" t="s">
        <v>563</v>
      </c>
      <c r="D2242" t="s">
        <v>810</v>
      </c>
      <c r="E2242" t="s">
        <v>839</v>
      </c>
      <c r="F2242">
        <v>1</v>
      </c>
      <c r="G2242">
        <v>0</v>
      </c>
      <c r="H2242" t="s">
        <v>865</v>
      </c>
      <c r="I2242" t="str">
        <f>VLOOKUP(C2242,Customers!A:C,2,FALSE)&amp;" "&amp;VLOOKUP(C2242,Customers!A:C,3,FALSE)</f>
        <v>Connie Terry</v>
      </c>
      <c r="J2242" t="str">
        <f>VLOOKUP(D2242,Products!A:C,2,FALSE)</f>
        <v>Maybe Clothing</v>
      </c>
      <c r="K2242" t="str">
        <f>VLOOKUP(D2242,Products!A:C,3,FALSE)</f>
        <v>Fashion</v>
      </c>
      <c r="L2242" t="str">
        <f>VLOOKUP(E2242,Stores!A:B,2,FALSE)</f>
        <v>MegaMart New Michele</v>
      </c>
      <c r="M2242">
        <f>VLOOKUP(D2242,Products!A:E,5,FALSE)</f>
        <v>453.62</v>
      </c>
      <c r="N2242" s="5">
        <f t="shared" si="34"/>
        <v>453.62</v>
      </c>
    </row>
    <row r="2243" spans="1:14" x14ac:dyDescent="0.3">
      <c r="A2243" t="s">
        <v>3099</v>
      </c>
      <c r="B2243" s="2">
        <v>45506</v>
      </c>
      <c r="C2243" t="s">
        <v>426</v>
      </c>
      <c r="D2243" t="s">
        <v>784</v>
      </c>
      <c r="E2243" t="s">
        <v>839</v>
      </c>
      <c r="F2243">
        <v>5</v>
      </c>
      <c r="G2243">
        <v>0</v>
      </c>
      <c r="H2243" t="s">
        <v>861</v>
      </c>
      <c r="I2243" t="str">
        <f>VLOOKUP(C2243,Customers!A:C,2,FALSE)&amp;" "&amp;VLOOKUP(C2243,Customers!A:C,3,FALSE)</f>
        <v>Miranda Rodriguez</v>
      </c>
      <c r="J2243" t="str">
        <f>VLOOKUP(D2243,Products!A:C,2,FALSE)</f>
        <v>Road Clothing</v>
      </c>
      <c r="K2243" t="str">
        <f>VLOOKUP(D2243,Products!A:C,3,FALSE)</f>
        <v>Fashion</v>
      </c>
      <c r="L2243" t="str">
        <f>VLOOKUP(E2243,Stores!A:B,2,FALSE)</f>
        <v>MegaMart New Michele</v>
      </c>
      <c r="M2243">
        <f>VLOOKUP(D2243,Products!A:E,5,FALSE)</f>
        <v>1485.05</v>
      </c>
      <c r="N2243" s="5">
        <f t="shared" ref="N2243:N2306" si="35">F2243*M2243*(1-G2243)</f>
        <v>7425.25</v>
      </c>
    </row>
    <row r="2244" spans="1:14" x14ac:dyDescent="0.3">
      <c r="A2244" t="s">
        <v>3100</v>
      </c>
      <c r="B2244" s="2">
        <v>45400</v>
      </c>
      <c r="C2244" t="s">
        <v>313</v>
      </c>
      <c r="D2244" t="s">
        <v>776</v>
      </c>
      <c r="E2244" t="s">
        <v>831</v>
      </c>
      <c r="F2244">
        <v>4</v>
      </c>
      <c r="G2244">
        <v>0.15</v>
      </c>
      <c r="H2244" t="s">
        <v>861</v>
      </c>
      <c r="I2244" t="str">
        <f>VLOOKUP(C2244,Customers!A:C,2,FALSE)&amp;" "&amp;VLOOKUP(C2244,Customers!A:C,3,FALSE)</f>
        <v>Jeremy Robles</v>
      </c>
      <c r="J2244" t="str">
        <f>VLOOKUP(D2244,Products!A:C,2,FALSE)</f>
        <v>Little Watches</v>
      </c>
      <c r="K2244" t="str">
        <f>VLOOKUP(D2244,Products!A:C,3,FALSE)</f>
        <v>Fashion</v>
      </c>
      <c r="L2244" t="str">
        <f>VLOOKUP(E2244,Stores!A:B,2,FALSE)</f>
        <v>MegaMart Jimenezborough</v>
      </c>
      <c r="M2244">
        <f>VLOOKUP(D2244,Products!A:E,5,FALSE)</f>
        <v>429.15</v>
      </c>
      <c r="N2244" s="5">
        <f t="shared" si="35"/>
        <v>1459.11</v>
      </c>
    </row>
    <row r="2245" spans="1:14" x14ac:dyDescent="0.3">
      <c r="A2245" t="s">
        <v>3101</v>
      </c>
      <c r="B2245" s="2">
        <v>45442</v>
      </c>
      <c r="C2245" t="s">
        <v>585</v>
      </c>
      <c r="D2245" t="s">
        <v>739</v>
      </c>
      <c r="E2245" t="s">
        <v>846</v>
      </c>
      <c r="F2245">
        <v>5</v>
      </c>
      <c r="G2245">
        <v>0.05</v>
      </c>
      <c r="H2245" t="s">
        <v>861</v>
      </c>
      <c r="I2245" t="str">
        <f>VLOOKUP(C2245,Customers!A:C,2,FALSE)&amp;" "&amp;VLOOKUP(C2245,Customers!A:C,3,FALSE)</f>
        <v>Linda Vasquez</v>
      </c>
      <c r="J2245" t="str">
        <f>VLOOKUP(D2245,Products!A:C,2,FALSE)</f>
        <v>Step Smartphone</v>
      </c>
      <c r="K2245" t="str">
        <f>VLOOKUP(D2245,Products!A:C,3,FALSE)</f>
        <v>Electronics</v>
      </c>
      <c r="L2245" t="str">
        <f>VLOOKUP(E2245,Stores!A:B,2,FALSE)</f>
        <v>MegaMart Johnmouth</v>
      </c>
      <c r="M2245">
        <f>VLOOKUP(D2245,Products!A:E,5,FALSE)</f>
        <v>1194.1199999999999</v>
      </c>
      <c r="N2245" s="5">
        <f t="shared" si="35"/>
        <v>5672.0699999999988</v>
      </c>
    </row>
    <row r="2246" spans="1:14" x14ac:dyDescent="0.3">
      <c r="A2246" t="s">
        <v>3102</v>
      </c>
      <c r="B2246" s="2">
        <v>45604</v>
      </c>
      <c r="C2246" t="s">
        <v>247</v>
      </c>
      <c r="D2246" t="s">
        <v>757</v>
      </c>
      <c r="E2246" t="s">
        <v>842</v>
      </c>
      <c r="F2246">
        <v>4</v>
      </c>
      <c r="G2246">
        <v>0.1</v>
      </c>
      <c r="H2246" t="s">
        <v>861</v>
      </c>
      <c r="I2246" t="str">
        <f>VLOOKUP(C2246,Customers!A:C,2,FALSE)&amp;" "&amp;VLOOKUP(C2246,Customers!A:C,3,FALSE)</f>
        <v>Scott Duke</v>
      </c>
      <c r="J2246" t="str">
        <f>VLOOKUP(D2246,Products!A:C,2,FALSE)</f>
        <v>Find Headphones</v>
      </c>
      <c r="K2246" t="str">
        <f>VLOOKUP(D2246,Products!A:C,3,FALSE)</f>
        <v>Electronics</v>
      </c>
      <c r="L2246" t="str">
        <f>VLOOKUP(E2246,Stores!A:B,2,FALSE)</f>
        <v>MegaMart Brianahaven</v>
      </c>
      <c r="M2246">
        <f>VLOOKUP(D2246,Products!A:E,5,FALSE)</f>
        <v>1246.1099999999999</v>
      </c>
      <c r="N2246" s="5">
        <f t="shared" si="35"/>
        <v>4485.9960000000001</v>
      </c>
    </row>
    <row r="2247" spans="1:14" x14ac:dyDescent="0.3">
      <c r="A2247" t="s">
        <v>3103</v>
      </c>
      <c r="B2247" s="2">
        <v>45250</v>
      </c>
      <c r="C2247" t="s">
        <v>202</v>
      </c>
      <c r="D2247" t="s">
        <v>734</v>
      </c>
      <c r="E2247" t="s">
        <v>835</v>
      </c>
      <c r="F2247">
        <v>4</v>
      </c>
      <c r="G2247">
        <v>0.05</v>
      </c>
      <c r="H2247" t="s">
        <v>865</v>
      </c>
      <c r="I2247" t="str">
        <f>VLOOKUP(C2247,Customers!A:C,2,FALSE)&amp;" "&amp;VLOOKUP(C2247,Customers!A:C,3,FALSE)</f>
        <v>Billy Hernandez</v>
      </c>
      <c r="J2247" t="str">
        <f>VLOOKUP(D2247,Products!A:C,2,FALSE)</f>
        <v>Recognize Footwear</v>
      </c>
      <c r="K2247" t="str">
        <f>VLOOKUP(D2247,Products!A:C,3,FALSE)</f>
        <v>Fashion</v>
      </c>
      <c r="L2247" t="str">
        <f>VLOOKUP(E2247,Stores!A:B,2,FALSE)</f>
        <v>MegaMart Peckmouth</v>
      </c>
      <c r="M2247">
        <f>VLOOKUP(D2247,Products!A:E,5,FALSE)</f>
        <v>109.78</v>
      </c>
      <c r="N2247" s="5">
        <f t="shared" si="35"/>
        <v>417.16399999999999</v>
      </c>
    </row>
    <row r="2248" spans="1:14" x14ac:dyDescent="0.3">
      <c r="A2248" t="s">
        <v>3104</v>
      </c>
      <c r="B2248" s="2">
        <v>45273</v>
      </c>
      <c r="C2248" t="s">
        <v>542</v>
      </c>
      <c r="D2248" t="s">
        <v>806</v>
      </c>
      <c r="E2248" t="s">
        <v>831</v>
      </c>
      <c r="F2248">
        <v>1</v>
      </c>
      <c r="G2248">
        <v>0.05</v>
      </c>
      <c r="H2248" t="s">
        <v>865</v>
      </c>
      <c r="I2248" t="str">
        <f>VLOOKUP(C2248,Customers!A:C,2,FALSE)&amp;" "&amp;VLOOKUP(C2248,Customers!A:C,3,FALSE)</f>
        <v>Francis Hernandez</v>
      </c>
      <c r="J2248" t="str">
        <f>VLOOKUP(D2248,Products!A:C,2,FALSE)</f>
        <v>Piece Headphones</v>
      </c>
      <c r="K2248" t="str">
        <f>VLOOKUP(D2248,Products!A:C,3,FALSE)</f>
        <v>Electronics</v>
      </c>
      <c r="L2248" t="str">
        <f>VLOOKUP(E2248,Stores!A:B,2,FALSE)</f>
        <v>MegaMart Jimenezborough</v>
      </c>
      <c r="M2248">
        <f>VLOOKUP(D2248,Products!A:E,5,FALSE)</f>
        <v>1745.61</v>
      </c>
      <c r="N2248" s="5">
        <f t="shared" si="35"/>
        <v>1658.3294999999998</v>
      </c>
    </row>
    <row r="2249" spans="1:14" x14ac:dyDescent="0.3">
      <c r="A2249" t="s">
        <v>3105</v>
      </c>
      <c r="B2249" s="2">
        <v>45590</v>
      </c>
      <c r="C2249" t="s">
        <v>141</v>
      </c>
      <c r="D2249" t="s">
        <v>745</v>
      </c>
      <c r="E2249" t="s">
        <v>831</v>
      </c>
      <c r="F2249">
        <v>3</v>
      </c>
      <c r="G2249">
        <v>0.15</v>
      </c>
      <c r="H2249" t="s">
        <v>865</v>
      </c>
      <c r="I2249" t="str">
        <f>VLOOKUP(C2249,Customers!A:C,2,FALSE)&amp;" "&amp;VLOOKUP(C2249,Customers!A:C,3,FALSE)</f>
        <v>Michael Cervantes</v>
      </c>
      <c r="J2249" t="str">
        <f>VLOOKUP(D2249,Products!A:C,2,FALSE)</f>
        <v>Above Camera</v>
      </c>
      <c r="K2249" t="str">
        <f>VLOOKUP(D2249,Products!A:C,3,FALSE)</f>
        <v>Electronics</v>
      </c>
      <c r="L2249" t="str">
        <f>VLOOKUP(E2249,Stores!A:B,2,FALSE)</f>
        <v>MegaMart Jimenezborough</v>
      </c>
      <c r="M2249">
        <f>VLOOKUP(D2249,Products!A:E,5,FALSE)</f>
        <v>1193.0899999999999</v>
      </c>
      <c r="N2249" s="5">
        <f t="shared" si="35"/>
        <v>3042.3794999999996</v>
      </c>
    </row>
    <row r="2250" spans="1:14" x14ac:dyDescent="0.3">
      <c r="A2250" t="s">
        <v>3106</v>
      </c>
      <c r="B2250" s="2">
        <v>45184</v>
      </c>
      <c r="C2250" t="s">
        <v>331</v>
      </c>
      <c r="D2250" t="s">
        <v>796</v>
      </c>
      <c r="E2250" t="s">
        <v>835</v>
      </c>
      <c r="F2250">
        <v>5</v>
      </c>
      <c r="G2250">
        <v>0.15</v>
      </c>
      <c r="H2250" t="s">
        <v>861</v>
      </c>
      <c r="I2250" t="str">
        <f>VLOOKUP(C2250,Customers!A:C,2,FALSE)&amp;" "&amp;VLOOKUP(C2250,Customers!A:C,3,FALSE)</f>
        <v>Brenda Costa</v>
      </c>
      <c r="J2250" t="str">
        <f>VLOOKUP(D2250,Products!A:C,2,FALSE)</f>
        <v>Chair Laptop</v>
      </c>
      <c r="K2250" t="str">
        <f>VLOOKUP(D2250,Products!A:C,3,FALSE)</f>
        <v>Electronics</v>
      </c>
      <c r="L2250" t="str">
        <f>VLOOKUP(E2250,Stores!A:B,2,FALSE)</f>
        <v>MegaMart Peckmouth</v>
      </c>
      <c r="M2250">
        <f>VLOOKUP(D2250,Products!A:E,5,FALSE)</f>
        <v>1562.43</v>
      </c>
      <c r="N2250" s="5">
        <f t="shared" si="35"/>
        <v>6640.3275000000003</v>
      </c>
    </row>
    <row r="2251" spans="1:14" x14ac:dyDescent="0.3">
      <c r="A2251" t="s">
        <v>3107</v>
      </c>
      <c r="B2251" s="2">
        <v>45754</v>
      </c>
      <c r="C2251" t="s">
        <v>210</v>
      </c>
      <c r="D2251" t="s">
        <v>755</v>
      </c>
      <c r="E2251" t="s">
        <v>846</v>
      </c>
      <c r="F2251">
        <v>4</v>
      </c>
      <c r="G2251">
        <v>0.1</v>
      </c>
      <c r="H2251" t="s">
        <v>855</v>
      </c>
      <c r="I2251" t="str">
        <f>VLOOKUP(C2251,Customers!A:C,2,FALSE)&amp;" "&amp;VLOOKUP(C2251,Customers!A:C,3,FALSE)</f>
        <v>Crystal Johnson</v>
      </c>
      <c r="J2251" t="str">
        <f>VLOOKUP(D2251,Products!A:C,2,FALSE)</f>
        <v>House Accessories</v>
      </c>
      <c r="K2251" t="str">
        <f>VLOOKUP(D2251,Products!A:C,3,FALSE)</f>
        <v>Fashion</v>
      </c>
      <c r="L2251" t="str">
        <f>VLOOKUP(E2251,Stores!A:B,2,FALSE)</f>
        <v>MegaMart Johnmouth</v>
      </c>
      <c r="M2251">
        <f>VLOOKUP(D2251,Products!A:E,5,FALSE)</f>
        <v>1858.75</v>
      </c>
      <c r="N2251" s="5">
        <f t="shared" si="35"/>
        <v>6691.5</v>
      </c>
    </row>
    <row r="2252" spans="1:14" x14ac:dyDescent="0.3">
      <c r="A2252" t="s">
        <v>3108</v>
      </c>
      <c r="B2252" s="2">
        <v>45737</v>
      </c>
      <c r="C2252" t="s">
        <v>570</v>
      </c>
      <c r="D2252" t="s">
        <v>734</v>
      </c>
      <c r="E2252" t="s">
        <v>846</v>
      </c>
      <c r="F2252">
        <v>2</v>
      </c>
      <c r="G2252">
        <v>0</v>
      </c>
      <c r="H2252" t="s">
        <v>858</v>
      </c>
      <c r="I2252" t="str">
        <f>VLOOKUP(C2252,Customers!A:C,2,FALSE)&amp;" "&amp;VLOOKUP(C2252,Customers!A:C,3,FALSE)</f>
        <v>Thomas Chung</v>
      </c>
      <c r="J2252" t="str">
        <f>VLOOKUP(D2252,Products!A:C,2,FALSE)</f>
        <v>Recognize Footwear</v>
      </c>
      <c r="K2252" t="str">
        <f>VLOOKUP(D2252,Products!A:C,3,FALSE)</f>
        <v>Fashion</v>
      </c>
      <c r="L2252" t="str">
        <f>VLOOKUP(E2252,Stores!A:B,2,FALSE)</f>
        <v>MegaMart Johnmouth</v>
      </c>
      <c r="M2252">
        <f>VLOOKUP(D2252,Products!A:E,5,FALSE)</f>
        <v>109.78</v>
      </c>
      <c r="N2252" s="5">
        <f t="shared" si="35"/>
        <v>219.56</v>
      </c>
    </row>
    <row r="2253" spans="1:14" x14ac:dyDescent="0.3">
      <c r="A2253" t="s">
        <v>3109</v>
      </c>
      <c r="B2253" s="2">
        <v>45253</v>
      </c>
      <c r="C2253" t="s">
        <v>411</v>
      </c>
      <c r="D2253" t="s">
        <v>755</v>
      </c>
      <c r="E2253" t="s">
        <v>842</v>
      </c>
      <c r="F2253">
        <v>1</v>
      </c>
      <c r="G2253">
        <v>0</v>
      </c>
      <c r="H2253" t="s">
        <v>861</v>
      </c>
      <c r="I2253" t="str">
        <f>VLOOKUP(C2253,Customers!A:C,2,FALSE)&amp;" "&amp;VLOOKUP(C2253,Customers!A:C,3,FALSE)</f>
        <v>Travis Peters</v>
      </c>
      <c r="J2253" t="str">
        <f>VLOOKUP(D2253,Products!A:C,2,FALSE)</f>
        <v>House Accessories</v>
      </c>
      <c r="K2253" t="str">
        <f>VLOOKUP(D2253,Products!A:C,3,FALSE)</f>
        <v>Fashion</v>
      </c>
      <c r="L2253" t="str">
        <f>VLOOKUP(E2253,Stores!A:B,2,FALSE)</f>
        <v>MegaMart Brianahaven</v>
      </c>
      <c r="M2253">
        <f>VLOOKUP(D2253,Products!A:E,5,FALSE)</f>
        <v>1858.75</v>
      </c>
      <c r="N2253" s="5">
        <f t="shared" si="35"/>
        <v>1858.75</v>
      </c>
    </row>
    <row r="2254" spans="1:14" x14ac:dyDescent="0.3">
      <c r="A2254" t="s">
        <v>3110</v>
      </c>
      <c r="B2254" s="2">
        <v>45618</v>
      </c>
      <c r="C2254" t="s">
        <v>487</v>
      </c>
      <c r="D2254" t="s">
        <v>788</v>
      </c>
      <c r="E2254" t="s">
        <v>839</v>
      </c>
      <c r="F2254">
        <v>1</v>
      </c>
      <c r="G2254">
        <v>0</v>
      </c>
      <c r="H2254" t="s">
        <v>858</v>
      </c>
      <c r="I2254" t="str">
        <f>VLOOKUP(C2254,Customers!A:C,2,FALSE)&amp;" "&amp;VLOOKUP(C2254,Customers!A:C,3,FALSE)</f>
        <v>Yvette Roth</v>
      </c>
      <c r="J2254" t="str">
        <f>VLOOKUP(D2254,Products!A:C,2,FALSE)</f>
        <v>Foot Snacks</v>
      </c>
      <c r="K2254" t="str">
        <f>VLOOKUP(D2254,Products!A:C,3,FALSE)</f>
        <v>Groceries</v>
      </c>
      <c r="L2254" t="str">
        <f>VLOOKUP(E2254,Stores!A:B,2,FALSE)</f>
        <v>MegaMart New Michele</v>
      </c>
      <c r="M2254">
        <f>VLOOKUP(D2254,Products!A:E,5,FALSE)</f>
        <v>1095.72</v>
      </c>
      <c r="N2254" s="5">
        <f t="shared" si="35"/>
        <v>1095.72</v>
      </c>
    </row>
    <row r="2255" spans="1:14" x14ac:dyDescent="0.3">
      <c r="A2255" t="s">
        <v>3111</v>
      </c>
      <c r="B2255" s="2">
        <v>45544</v>
      </c>
      <c r="C2255" t="s">
        <v>230</v>
      </c>
      <c r="D2255" t="s">
        <v>794</v>
      </c>
      <c r="E2255" t="s">
        <v>831</v>
      </c>
      <c r="F2255">
        <v>5</v>
      </c>
      <c r="G2255">
        <v>0.1</v>
      </c>
      <c r="H2255" t="s">
        <v>865</v>
      </c>
      <c r="I2255" t="str">
        <f>VLOOKUP(C2255,Customers!A:C,2,FALSE)&amp;" "&amp;VLOOKUP(C2255,Customers!A:C,3,FALSE)</f>
        <v>Anthony Conway</v>
      </c>
      <c r="J2255" t="str">
        <f>VLOOKUP(D2255,Products!A:C,2,FALSE)</f>
        <v>Everything Laptop</v>
      </c>
      <c r="K2255" t="str">
        <f>VLOOKUP(D2255,Products!A:C,3,FALSE)</f>
        <v>Electronics</v>
      </c>
      <c r="L2255" t="str">
        <f>VLOOKUP(E2255,Stores!A:B,2,FALSE)</f>
        <v>MegaMart Jimenezborough</v>
      </c>
      <c r="M2255">
        <f>VLOOKUP(D2255,Products!A:E,5,FALSE)</f>
        <v>428.05</v>
      </c>
      <c r="N2255" s="5">
        <f t="shared" si="35"/>
        <v>1926.2250000000001</v>
      </c>
    </row>
    <row r="2256" spans="1:14" x14ac:dyDescent="0.3">
      <c r="A2256" t="s">
        <v>3112</v>
      </c>
      <c r="B2256" s="2">
        <v>45310</v>
      </c>
      <c r="C2256" t="s">
        <v>224</v>
      </c>
      <c r="D2256" t="s">
        <v>798</v>
      </c>
      <c r="E2256" t="s">
        <v>839</v>
      </c>
      <c r="F2256">
        <v>3</v>
      </c>
      <c r="G2256">
        <v>0.15</v>
      </c>
      <c r="H2256" t="s">
        <v>855</v>
      </c>
      <c r="I2256" t="str">
        <f>VLOOKUP(C2256,Customers!A:C,2,FALSE)&amp;" "&amp;VLOOKUP(C2256,Customers!A:C,3,FALSE)</f>
        <v>Lawrence Stewart</v>
      </c>
      <c r="J2256" t="str">
        <f>VLOOKUP(D2256,Products!A:C,2,FALSE)</f>
        <v>New Watches</v>
      </c>
      <c r="K2256" t="str">
        <f>VLOOKUP(D2256,Products!A:C,3,FALSE)</f>
        <v>Fashion</v>
      </c>
      <c r="L2256" t="str">
        <f>VLOOKUP(E2256,Stores!A:B,2,FALSE)</f>
        <v>MegaMart New Michele</v>
      </c>
      <c r="M2256">
        <f>VLOOKUP(D2256,Products!A:E,5,FALSE)</f>
        <v>1501.46</v>
      </c>
      <c r="N2256" s="5">
        <f t="shared" si="35"/>
        <v>3828.723</v>
      </c>
    </row>
    <row r="2257" spans="1:14" x14ac:dyDescent="0.3">
      <c r="A2257" t="s">
        <v>3113</v>
      </c>
      <c r="B2257" s="2">
        <v>45801</v>
      </c>
      <c r="C2257" t="s">
        <v>74</v>
      </c>
      <c r="D2257" t="s">
        <v>806</v>
      </c>
      <c r="E2257" t="s">
        <v>835</v>
      </c>
      <c r="F2257">
        <v>3</v>
      </c>
      <c r="G2257">
        <v>0</v>
      </c>
      <c r="H2257" t="s">
        <v>861</v>
      </c>
      <c r="I2257" t="str">
        <f>VLOOKUP(C2257,Customers!A:C,2,FALSE)&amp;" "&amp;VLOOKUP(C2257,Customers!A:C,3,FALSE)</f>
        <v>Breanna Davis</v>
      </c>
      <c r="J2257" t="str">
        <f>VLOOKUP(D2257,Products!A:C,2,FALSE)</f>
        <v>Piece Headphones</v>
      </c>
      <c r="K2257" t="str">
        <f>VLOOKUP(D2257,Products!A:C,3,FALSE)</f>
        <v>Electronics</v>
      </c>
      <c r="L2257" t="str">
        <f>VLOOKUP(E2257,Stores!A:B,2,FALSE)</f>
        <v>MegaMart Peckmouth</v>
      </c>
      <c r="M2257">
        <f>VLOOKUP(D2257,Products!A:E,5,FALSE)</f>
        <v>1745.61</v>
      </c>
      <c r="N2257" s="5">
        <f t="shared" si="35"/>
        <v>5236.83</v>
      </c>
    </row>
    <row r="2258" spans="1:14" x14ac:dyDescent="0.3">
      <c r="A2258" t="s">
        <v>3114</v>
      </c>
      <c r="B2258" s="2">
        <v>45448</v>
      </c>
      <c r="C2258" t="s">
        <v>487</v>
      </c>
      <c r="D2258" t="s">
        <v>808</v>
      </c>
      <c r="E2258" t="s">
        <v>846</v>
      </c>
      <c r="F2258">
        <v>5</v>
      </c>
      <c r="G2258">
        <v>0.1</v>
      </c>
      <c r="H2258" t="s">
        <v>858</v>
      </c>
      <c r="I2258" t="str">
        <f>VLOOKUP(C2258,Customers!A:C,2,FALSE)&amp;" "&amp;VLOOKUP(C2258,Customers!A:C,3,FALSE)</f>
        <v>Yvette Roth</v>
      </c>
      <c r="J2258" t="str">
        <f>VLOOKUP(D2258,Products!A:C,2,FALSE)</f>
        <v>Present Television</v>
      </c>
      <c r="K2258" t="str">
        <f>VLOOKUP(D2258,Products!A:C,3,FALSE)</f>
        <v>Electronics</v>
      </c>
      <c r="L2258" t="str">
        <f>VLOOKUP(E2258,Stores!A:B,2,FALSE)</f>
        <v>MegaMart Johnmouth</v>
      </c>
      <c r="M2258">
        <f>VLOOKUP(D2258,Products!A:E,5,FALSE)</f>
        <v>1635.01</v>
      </c>
      <c r="N2258" s="5">
        <f t="shared" si="35"/>
        <v>7357.5450000000001</v>
      </c>
    </row>
    <row r="2259" spans="1:14" x14ac:dyDescent="0.3">
      <c r="A2259" t="s">
        <v>3115</v>
      </c>
      <c r="B2259" s="2">
        <v>45623</v>
      </c>
      <c r="C2259" t="s">
        <v>570</v>
      </c>
      <c r="D2259" t="s">
        <v>788</v>
      </c>
      <c r="E2259" t="s">
        <v>831</v>
      </c>
      <c r="F2259">
        <v>5</v>
      </c>
      <c r="G2259">
        <v>0</v>
      </c>
      <c r="H2259" t="s">
        <v>858</v>
      </c>
      <c r="I2259" t="str">
        <f>VLOOKUP(C2259,Customers!A:C,2,FALSE)&amp;" "&amp;VLOOKUP(C2259,Customers!A:C,3,FALSE)</f>
        <v>Thomas Chung</v>
      </c>
      <c r="J2259" t="str">
        <f>VLOOKUP(D2259,Products!A:C,2,FALSE)</f>
        <v>Foot Snacks</v>
      </c>
      <c r="K2259" t="str">
        <f>VLOOKUP(D2259,Products!A:C,3,FALSE)</f>
        <v>Groceries</v>
      </c>
      <c r="L2259" t="str">
        <f>VLOOKUP(E2259,Stores!A:B,2,FALSE)</f>
        <v>MegaMart Jimenezborough</v>
      </c>
      <c r="M2259">
        <f>VLOOKUP(D2259,Products!A:E,5,FALSE)</f>
        <v>1095.72</v>
      </c>
      <c r="N2259" s="5">
        <f t="shared" si="35"/>
        <v>5478.6</v>
      </c>
    </row>
    <row r="2260" spans="1:14" x14ac:dyDescent="0.3">
      <c r="A2260" t="s">
        <v>3116</v>
      </c>
      <c r="B2260" s="2">
        <v>45618</v>
      </c>
      <c r="C2260" t="s">
        <v>258</v>
      </c>
      <c r="D2260" t="s">
        <v>802</v>
      </c>
      <c r="E2260" t="s">
        <v>831</v>
      </c>
      <c r="F2260">
        <v>1</v>
      </c>
      <c r="G2260">
        <v>0.1</v>
      </c>
      <c r="H2260" t="s">
        <v>858</v>
      </c>
      <c r="I2260" t="str">
        <f>VLOOKUP(C2260,Customers!A:C,2,FALSE)&amp;" "&amp;VLOOKUP(C2260,Customers!A:C,3,FALSE)</f>
        <v>Alexandra Montoya</v>
      </c>
      <c r="J2260" t="str">
        <f>VLOOKUP(D2260,Products!A:C,2,FALSE)</f>
        <v>Stage Footwear</v>
      </c>
      <c r="K2260" t="str">
        <f>VLOOKUP(D2260,Products!A:C,3,FALSE)</f>
        <v>Fashion</v>
      </c>
      <c r="L2260" t="str">
        <f>VLOOKUP(E2260,Stores!A:B,2,FALSE)</f>
        <v>MegaMart Jimenezborough</v>
      </c>
      <c r="M2260">
        <f>VLOOKUP(D2260,Products!A:E,5,FALSE)</f>
        <v>366.93</v>
      </c>
      <c r="N2260" s="5">
        <f t="shared" si="35"/>
        <v>330.23700000000002</v>
      </c>
    </row>
    <row r="2261" spans="1:14" x14ac:dyDescent="0.3">
      <c r="A2261" t="s">
        <v>3117</v>
      </c>
      <c r="B2261" s="2">
        <v>45314</v>
      </c>
      <c r="C2261" t="s">
        <v>254</v>
      </c>
      <c r="D2261" t="s">
        <v>753</v>
      </c>
      <c r="E2261" t="s">
        <v>835</v>
      </c>
      <c r="F2261">
        <v>3</v>
      </c>
      <c r="G2261">
        <v>0</v>
      </c>
      <c r="H2261" t="s">
        <v>861</v>
      </c>
      <c r="I2261" t="str">
        <f>VLOOKUP(C2261,Customers!A:C,2,FALSE)&amp;" "&amp;VLOOKUP(C2261,Customers!A:C,3,FALSE)</f>
        <v>Daniel Maldonado</v>
      </c>
      <c r="J2261" t="str">
        <f>VLOOKUP(D2261,Products!A:C,2,FALSE)</f>
        <v>Whether Bags</v>
      </c>
      <c r="K2261" t="str">
        <f>VLOOKUP(D2261,Products!A:C,3,FALSE)</f>
        <v>Fashion</v>
      </c>
      <c r="L2261" t="str">
        <f>VLOOKUP(E2261,Stores!A:B,2,FALSE)</f>
        <v>MegaMart Peckmouth</v>
      </c>
      <c r="M2261">
        <f>VLOOKUP(D2261,Products!A:E,5,FALSE)</f>
        <v>270.45</v>
      </c>
      <c r="N2261" s="5">
        <f t="shared" si="35"/>
        <v>811.34999999999991</v>
      </c>
    </row>
    <row r="2262" spans="1:14" x14ac:dyDescent="0.3">
      <c r="A2262" t="s">
        <v>3118</v>
      </c>
      <c r="B2262" s="2">
        <v>45673</v>
      </c>
      <c r="C2262" t="s">
        <v>206</v>
      </c>
      <c r="D2262" t="s">
        <v>802</v>
      </c>
      <c r="E2262" t="s">
        <v>846</v>
      </c>
      <c r="F2262">
        <v>3</v>
      </c>
      <c r="G2262">
        <v>0</v>
      </c>
      <c r="H2262" t="s">
        <v>861</v>
      </c>
      <c r="I2262" t="str">
        <f>VLOOKUP(C2262,Customers!A:C,2,FALSE)&amp;" "&amp;VLOOKUP(C2262,Customers!A:C,3,FALSE)</f>
        <v>Felicia Morgan</v>
      </c>
      <c r="J2262" t="str">
        <f>VLOOKUP(D2262,Products!A:C,2,FALSE)</f>
        <v>Stage Footwear</v>
      </c>
      <c r="K2262" t="str">
        <f>VLOOKUP(D2262,Products!A:C,3,FALSE)</f>
        <v>Fashion</v>
      </c>
      <c r="L2262" t="str">
        <f>VLOOKUP(E2262,Stores!A:B,2,FALSE)</f>
        <v>MegaMart Johnmouth</v>
      </c>
      <c r="M2262">
        <f>VLOOKUP(D2262,Products!A:E,5,FALSE)</f>
        <v>366.93</v>
      </c>
      <c r="N2262" s="5">
        <f t="shared" si="35"/>
        <v>1100.79</v>
      </c>
    </row>
    <row r="2263" spans="1:14" x14ac:dyDescent="0.3">
      <c r="A2263" t="s">
        <v>3119</v>
      </c>
      <c r="B2263" s="2">
        <v>45771</v>
      </c>
      <c r="C2263" t="s">
        <v>467</v>
      </c>
      <c r="D2263" t="s">
        <v>818</v>
      </c>
      <c r="E2263" t="s">
        <v>831</v>
      </c>
      <c r="F2263">
        <v>5</v>
      </c>
      <c r="G2263">
        <v>0</v>
      </c>
      <c r="H2263" t="s">
        <v>855</v>
      </c>
      <c r="I2263" t="str">
        <f>VLOOKUP(C2263,Customers!A:C,2,FALSE)&amp;" "&amp;VLOOKUP(C2263,Customers!A:C,3,FALSE)</f>
        <v>John Allen</v>
      </c>
      <c r="J2263" t="str">
        <f>VLOOKUP(D2263,Products!A:C,2,FALSE)</f>
        <v>Nature Clothing</v>
      </c>
      <c r="K2263" t="str">
        <f>VLOOKUP(D2263,Products!A:C,3,FALSE)</f>
        <v>Fashion</v>
      </c>
      <c r="L2263" t="str">
        <f>VLOOKUP(E2263,Stores!A:B,2,FALSE)</f>
        <v>MegaMart Jimenezborough</v>
      </c>
      <c r="M2263">
        <f>VLOOKUP(D2263,Products!A:E,5,FALSE)</f>
        <v>1165.3699999999999</v>
      </c>
      <c r="N2263" s="5">
        <f t="shared" si="35"/>
        <v>5826.8499999999995</v>
      </c>
    </row>
    <row r="2264" spans="1:14" x14ac:dyDescent="0.3">
      <c r="A2264" t="s">
        <v>3120</v>
      </c>
      <c r="B2264" s="2">
        <v>45233</v>
      </c>
      <c r="C2264" t="s">
        <v>77</v>
      </c>
      <c r="D2264" t="s">
        <v>736</v>
      </c>
      <c r="E2264" t="s">
        <v>842</v>
      </c>
      <c r="F2264">
        <v>5</v>
      </c>
      <c r="G2264">
        <v>0</v>
      </c>
      <c r="H2264" t="s">
        <v>858</v>
      </c>
      <c r="I2264" t="str">
        <f>VLOOKUP(C2264,Customers!A:C,2,FALSE)&amp;" "&amp;VLOOKUP(C2264,Customers!A:C,3,FALSE)</f>
        <v>John Smith</v>
      </c>
      <c r="J2264" t="str">
        <f>VLOOKUP(D2264,Products!A:C,2,FALSE)</f>
        <v>Us Snacks</v>
      </c>
      <c r="K2264" t="str">
        <f>VLOOKUP(D2264,Products!A:C,3,FALSE)</f>
        <v>Groceries</v>
      </c>
      <c r="L2264" t="str">
        <f>VLOOKUP(E2264,Stores!A:B,2,FALSE)</f>
        <v>MegaMart Brianahaven</v>
      </c>
      <c r="M2264">
        <f>VLOOKUP(D2264,Products!A:E,5,FALSE)</f>
        <v>123.19</v>
      </c>
      <c r="N2264" s="5">
        <f t="shared" si="35"/>
        <v>615.95000000000005</v>
      </c>
    </row>
    <row r="2265" spans="1:14" x14ac:dyDescent="0.3">
      <c r="A2265" t="s">
        <v>3121</v>
      </c>
      <c r="B2265" s="2">
        <v>45511</v>
      </c>
      <c r="C2265" t="s">
        <v>134</v>
      </c>
      <c r="D2265" t="s">
        <v>814</v>
      </c>
      <c r="E2265" t="s">
        <v>839</v>
      </c>
      <c r="F2265">
        <v>1</v>
      </c>
      <c r="G2265">
        <v>0</v>
      </c>
      <c r="H2265" t="s">
        <v>865</v>
      </c>
      <c r="I2265" t="str">
        <f>VLOOKUP(C2265,Customers!A:C,2,FALSE)&amp;" "&amp;VLOOKUP(C2265,Customers!A:C,3,FALSE)</f>
        <v>Kari Miller</v>
      </c>
      <c r="J2265" t="str">
        <f>VLOOKUP(D2265,Products!A:C,2,FALSE)</f>
        <v>Least Accessories</v>
      </c>
      <c r="K2265" t="str">
        <f>VLOOKUP(D2265,Products!A:C,3,FALSE)</f>
        <v>Fashion</v>
      </c>
      <c r="L2265" t="str">
        <f>VLOOKUP(E2265,Stores!A:B,2,FALSE)</f>
        <v>MegaMart New Michele</v>
      </c>
      <c r="M2265">
        <f>VLOOKUP(D2265,Products!A:E,5,FALSE)</f>
        <v>1286.55</v>
      </c>
      <c r="N2265" s="5">
        <f t="shared" si="35"/>
        <v>1286.55</v>
      </c>
    </row>
    <row r="2266" spans="1:14" x14ac:dyDescent="0.3">
      <c r="A2266" t="s">
        <v>3122</v>
      </c>
      <c r="B2266" s="2">
        <v>45727</v>
      </c>
      <c r="C2266" t="s">
        <v>469</v>
      </c>
      <c r="D2266" t="s">
        <v>824</v>
      </c>
      <c r="E2266" t="s">
        <v>846</v>
      </c>
      <c r="F2266">
        <v>2</v>
      </c>
      <c r="G2266">
        <v>0.1</v>
      </c>
      <c r="H2266" t="s">
        <v>858</v>
      </c>
      <c r="I2266" t="str">
        <f>VLOOKUP(C2266,Customers!A:C,2,FALSE)&amp;" "&amp;VLOOKUP(C2266,Customers!A:C,3,FALSE)</f>
        <v>Robert Collins</v>
      </c>
      <c r="J2266" t="str">
        <f>VLOOKUP(D2266,Products!A:C,2,FALSE)</f>
        <v>Possible Watches</v>
      </c>
      <c r="K2266" t="str">
        <f>VLOOKUP(D2266,Products!A:C,3,FALSE)</f>
        <v>Fashion</v>
      </c>
      <c r="L2266" t="str">
        <f>VLOOKUP(E2266,Stores!A:B,2,FALSE)</f>
        <v>MegaMart Johnmouth</v>
      </c>
      <c r="M2266">
        <f>VLOOKUP(D2266,Products!A:E,5,FALSE)</f>
        <v>388.26</v>
      </c>
      <c r="N2266" s="5">
        <f t="shared" si="35"/>
        <v>698.86800000000005</v>
      </c>
    </row>
    <row r="2267" spans="1:14" x14ac:dyDescent="0.3">
      <c r="A2267" t="s">
        <v>3123</v>
      </c>
      <c r="B2267" s="2">
        <v>45375</v>
      </c>
      <c r="C2267" t="s">
        <v>454</v>
      </c>
      <c r="D2267" t="s">
        <v>732</v>
      </c>
      <c r="E2267" t="s">
        <v>839</v>
      </c>
      <c r="F2267">
        <v>2</v>
      </c>
      <c r="G2267">
        <v>0</v>
      </c>
      <c r="H2267" t="s">
        <v>865</v>
      </c>
      <c r="I2267" t="str">
        <f>VLOOKUP(C2267,Customers!A:C,2,FALSE)&amp;" "&amp;VLOOKUP(C2267,Customers!A:C,3,FALSE)</f>
        <v>Peter Edwards</v>
      </c>
      <c r="J2267" t="str">
        <f>VLOOKUP(D2267,Products!A:C,2,FALSE)</f>
        <v>Understand Camera</v>
      </c>
      <c r="K2267" t="str">
        <f>VLOOKUP(D2267,Products!A:C,3,FALSE)</f>
        <v>Electronics</v>
      </c>
      <c r="L2267" t="str">
        <f>VLOOKUP(E2267,Stores!A:B,2,FALSE)</f>
        <v>MegaMart New Michele</v>
      </c>
      <c r="M2267">
        <f>VLOOKUP(D2267,Products!A:E,5,FALSE)</f>
        <v>1474.12</v>
      </c>
      <c r="N2267" s="5">
        <f t="shared" si="35"/>
        <v>2948.24</v>
      </c>
    </row>
    <row r="2268" spans="1:14" x14ac:dyDescent="0.3">
      <c r="A2268" t="s">
        <v>3124</v>
      </c>
      <c r="B2268" s="2">
        <v>45820</v>
      </c>
      <c r="C2268" t="s">
        <v>32</v>
      </c>
      <c r="D2268" t="s">
        <v>757</v>
      </c>
      <c r="E2268" t="s">
        <v>835</v>
      </c>
      <c r="F2268">
        <v>5</v>
      </c>
      <c r="G2268">
        <v>0.15</v>
      </c>
      <c r="H2268" t="s">
        <v>865</v>
      </c>
      <c r="I2268" t="str">
        <f>VLOOKUP(C2268,Customers!A:C,2,FALSE)&amp;" "&amp;VLOOKUP(C2268,Customers!A:C,3,FALSE)</f>
        <v>Erin Walker</v>
      </c>
      <c r="J2268" t="str">
        <f>VLOOKUP(D2268,Products!A:C,2,FALSE)</f>
        <v>Find Headphones</v>
      </c>
      <c r="K2268" t="str">
        <f>VLOOKUP(D2268,Products!A:C,3,FALSE)</f>
        <v>Electronics</v>
      </c>
      <c r="L2268" t="str">
        <f>VLOOKUP(E2268,Stores!A:B,2,FALSE)</f>
        <v>MegaMart Peckmouth</v>
      </c>
      <c r="M2268">
        <f>VLOOKUP(D2268,Products!A:E,5,FALSE)</f>
        <v>1246.1099999999999</v>
      </c>
      <c r="N2268" s="5">
        <f t="shared" si="35"/>
        <v>5295.9674999999988</v>
      </c>
    </row>
    <row r="2269" spans="1:14" x14ac:dyDescent="0.3">
      <c r="A2269" t="s">
        <v>3125</v>
      </c>
      <c r="B2269" s="2">
        <v>45369</v>
      </c>
      <c r="C2269" t="s">
        <v>516</v>
      </c>
      <c r="D2269" t="s">
        <v>736</v>
      </c>
      <c r="E2269" t="s">
        <v>842</v>
      </c>
      <c r="F2269">
        <v>1</v>
      </c>
      <c r="G2269">
        <v>0.15</v>
      </c>
      <c r="H2269" t="s">
        <v>858</v>
      </c>
      <c r="I2269" t="str">
        <f>VLOOKUP(C2269,Customers!A:C,2,FALSE)&amp;" "&amp;VLOOKUP(C2269,Customers!A:C,3,FALSE)</f>
        <v>Suzanne Fox</v>
      </c>
      <c r="J2269" t="str">
        <f>VLOOKUP(D2269,Products!A:C,2,FALSE)</f>
        <v>Us Snacks</v>
      </c>
      <c r="K2269" t="str">
        <f>VLOOKUP(D2269,Products!A:C,3,FALSE)</f>
        <v>Groceries</v>
      </c>
      <c r="L2269" t="str">
        <f>VLOOKUP(E2269,Stores!A:B,2,FALSE)</f>
        <v>MegaMart Brianahaven</v>
      </c>
      <c r="M2269">
        <f>VLOOKUP(D2269,Products!A:E,5,FALSE)</f>
        <v>123.19</v>
      </c>
      <c r="N2269" s="5">
        <f t="shared" si="35"/>
        <v>104.7115</v>
      </c>
    </row>
    <row r="2270" spans="1:14" x14ac:dyDescent="0.3">
      <c r="A2270" t="s">
        <v>3126</v>
      </c>
      <c r="B2270" s="2">
        <v>45776</v>
      </c>
      <c r="C2270" t="s">
        <v>633</v>
      </c>
      <c r="D2270" t="s">
        <v>718</v>
      </c>
      <c r="E2270" t="s">
        <v>835</v>
      </c>
      <c r="F2270">
        <v>4</v>
      </c>
      <c r="G2270">
        <v>0.15</v>
      </c>
      <c r="H2270" t="s">
        <v>861</v>
      </c>
      <c r="I2270" t="str">
        <f>VLOOKUP(C2270,Customers!A:C,2,FALSE)&amp;" "&amp;VLOOKUP(C2270,Customers!A:C,3,FALSE)</f>
        <v>Dennis Wallace</v>
      </c>
      <c r="J2270" t="str">
        <f>VLOOKUP(D2270,Products!A:C,2,FALSE)</f>
        <v>Here Footwear</v>
      </c>
      <c r="K2270" t="str">
        <f>VLOOKUP(D2270,Products!A:C,3,FALSE)</f>
        <v>Fashion</v>
      </c>
      <c r="L2270" t="str">
        <f>VLOOKUP(E2270,Stores!A:B,2,FALSE)</f>
        <v>MegaMart Peckmouth</v>
      </c>
      <c r="M2270">
        <f>VLOOKUP(D2270,Products!A:E,5,FALSE)</f>
        <v>337.63</v>
      </c>
      <c r="N2270" s="5">
        <f t="shared" si="35"/>
        <v>1147.942</v>
      </c>
    </row>
    <row r="2271" spans="1:14" x14ac:dyDescent="0.3">
      <c r="A2271" t="s">
        <v>3127</v>
      </c>
      <c r="B2271" s="2">
        <v>45689</v>
      </c>
      <c r="C2271" t="s">
        <v>119</v>
      </c>
      <c r="D2271" t="s">
        <v>739</v>
      </c>
      <c r="E2271" t="s">
        <v>842</v>
      </c>
      <c r="F2271">
        <v>1</v>
      </c>
      <c r="G2271">
        <v>0.1</v>
      </c>
      <c r="H2271" t="s">
        <v>855</v>
      </c>
      <c r="I2271" t="str">
        <f>VLOOKUP(C2271,Customers!A:C,2,FALSE)&amp;" "&amp;VLOOKUP(C2271,Customers!A:C,3,FALSE)</f>
        <v>Lacey Hall</v>
      </c>
      <c r="J2271" t="str">
        <f>VLOOKUP(D2271,Products!A:C,2,FALSE)</f>
        <v>Step Smartphone</v>
      </c>
      <c r="K2271" t="str">
        <f>VLOOKUP(D2271,Products!A:C,3,FALSE)</f>
        <v>Electronics</v>
      </c>
      <c r="L2271" t="str">
        <f>VLOOKUP(E2271,Stores!A:B,2,FALSE)</f>
        <v>MegaMart Brianahaven</v>
      </c>
      <c r="M2271">
        <f>VLOOKUP(D2271,Products!A:E,5,FALSE)</f>
        <v>1194.1199999999999</v>
      </c>
      <c r="N2271" s="5">
        <f t="shared" si="35"/>
        <v>1074.7079999999999</v>
      </c>
    </row>
    <row r="2272" spans="1:14" x14ac:dyDescent="0.3">
      <c r="A2272" t="s">
        <v>3128</v>
      </c>
      <c r="B2272" s="2">
        <v>45437</v>
      </c>
      <c r="C2272" t="s">
        <v>195</v>
      </c>
      <c r="D2272" t="s">
        <v>757</v>
      </c>
      <c r="E2272" t="s">
        <v>839</v>
      </c>
      <c r="F2272">
        <v>4</v>
      </c>
      <c r="G2272">
        <v>0</v>
      </c>
      <c r="H2272" t="s">
        <v>861</v>
      </c>
      <c r="I2272" t="str">
        <f>VLOOKUP(C2272,Customers!A:C,2,FALSE)&amp;" "&amp;VLOOKUP(C2272,Customers!A:C,3,FALSE)</f>
        <v>Kelly Mcmillan</v>
      </c>
      <c r="J2272" t="str">
        <f>VLOOKUP(D2272,Products!A:C,2,FALSE)</f>
        <v>Find Headphones</v>
      </c>
      <c r="K2272" t="str">
        <f>VLOOKUP(D2272,Products!A:C,3,FALSE)</f>
        <v>Electronics</v>
      </c>
      <c r="L2272" t="str">
        <f>VLOOKUP(E2272,Stores!A:B,2,FALSE)</f>
        <v>MegaMart New Michele</v>
      </c>
      <c r="M2272">
        <f>VLOOKUP(D2272,Products!A:E,5,FALSE)</f>
        <v>1246.1099999999999</v>
      </c>
      <c r="N2272" s="5">
        <f t="shared" si="35"/>
        <v>4984.4399999999996</v>
      </c>
    </row>
    <row r="2273" spans="1:14" x14ac:dyDescent="0.3">
      <c r="A2273" t="s">
        <v>3129</v>
      </c>
      <c r="B2273" s="2">
        <v>45799</v>
      </c>
      <c r="C2273" t="s">
        <v>230</v>
      </c>
      <c r="D2273" t="s">
        <v>826</v>
      </c>
      <c r="E2273" t="s">
        <v>831</v>
      </c>
      <c r="F2273">
        <v>5</v>
      </c>
      <c r="G2273">
        <v>0</v>
      </c>
      <c r="H2273" t="s">
        <v>861</v>
      </c>
      <c r="I2273" t="str">
        <f>VLOOKUP(C2273,Customers!A:C,2,FALSE)&amp;" "&amp;VLOOKUP(C2273,Customers!A:C,3,FALSE)</f>
        <v>Anthony Conway</v>
      </c>
      <c r="J2273" t="str">
        <f>VLOOKUP(D2273,Products!A:C,2,FALSE)</f>
        <v>Maybe Footwear</v>
      </c>
      <c r="K2273" t="str">
        <f>VLOOKUP(D2273,Products!A:C,3,FALSE)</f>
        <v>Fashion</v>
      </c>
      <c r="L2273" t="str">
        <f>VLOOKUP(E2273,Stores!A:B,2,FALSE)</f>
        <v>MegaMart Jimenezborough</v>
      </c>
      <c r="M2273">
        <f>VLOOKUP(D2273,Products!A:E,5,FALSE)</f>
        <v>1044.6400000000001</v>
      </c>
      <c r="N2273" s="5">
        <f t="shared" si="35"/>
        <v>5223.2000000000007</v>
      </c>
    </row>
    <row r="2274" spans="1:14" x14ac:dyDescent="0.3">
      <c r="A2274" t="s">
        <v>3130</v>
      </c>
      <c r="B2274" s="2">
        <v>45753</v>
      </c>
      <c r="C2274" t="s">
        <v>396</v>
      </c>
      <c r="D2274" t="s">
        <v>800</v>
      </c>
      <c r="E2274" t="s">
        <v>846</v>
      </c>
      <c r="F2274">
        <v>5</v>
      </c>
      <c r="G2274">
        <v>0</v>
      </c>
      <c r="H2274" t="s">
        <v>865</v>
      </c>
      <c r="I2274" t="str">
        <f>VLOOKUP(C2274,Customers!A:C,2,FALSE)&amp;" "&amp;VLOOKUP(C2274,Customers!A:C,3,FALSE)</f>
        <v>Kevin Flores</v>
      </c>
      <c r="J2274" t="str">
        <f>VLOOKUP(D2274,Products!A:C,2,FALSE)</f>
        <v>Book Television</v>
      </c>
      <c r="K2274" t="str">
        <f>VLOOKUP(D2274,Products!A:C,3,FALSE)</f>
        <v>Electronics</v>
      </c>
      <c r="L2274" t="str">
        <f>VLOOKUP(E2274,Stores!A:B,2,FALSE)</f>
        <v>MegaMart Johnmouth</v>
      </c>
      <c r="M2274">
        <f>VLOOKUP(D2274,Products!A:E,5,FALSE)</f>
        <v>1952.65</v>
      </c>
      <c r="N2274" s="5">
        <f t="shared" si="35"/>
        <v>9763.25</v>
      </c>
    </row>
    <row r="2275" spans="1:14" x14ac:dyDescent="0.3">
      <c r="A2275" t="s">
        <v>3131</v>
      </c>
      <c r="B2275" s="2">
        <v>45740</v>
      </c>
      <c r="C2275" t="s">
        <v>653</v>
      </c>
      <c r="D2275" t="s">
        <v>778</v>
      </c>
      <c r="E2275" t="s">
        <v>835</v>
      </c>
      <c r="F2275">
        <v>1</v>
      </c>
      <c r="G2275">
        <v>0</v>
      </c>
      <c r="H2275" t="s">
        <v>865</v>
      </c>
      <c r="I2275" t="str">
        <f>VLOOKUP(C2275,Customers!A:C,2,FALSE)&amp;" "&amp;VLOOKUP(C2275,Customers!A:C,3,FALSE)</f>
        <v>Joe Vincent</v>
      </c>
      <c r="J2275" t="str">
        <f>VLOOKUP(D2275,Products!A:C,2,FALSE)</f>
        <v>Behavior Dairy</v>
      </c>
      <c r="K2275" t="str">
        <f>VLOOKUP(D2275,Products!A:C,3,FALSE)</f>
        <v>Groceries</v>
      </c>
      <c r="L2275" t="str">
        <f>VLOOKUP(E2275,Stores!A:B,2,FALSE)</f>
        <v>MegaMart Peckmouth</v>
      </c>
      <c r="M2275">
        <f>VLOOKUP(D2275,Products!A:E,5,FALSE)</f>
        <v>1015.76</v>
      </c>
      <c r="N2275" s="5">
        <f t="shared" si="35"/>
        <v>1015.76</v>
      </c>
    </row>
    <row r="2276" spans="1:14" x14ac:dyDescent="0.3">
      <c r="A2276" t="s">
        <v>3132</v>
      </c>
      <c r="B2276" s="2">
        <v>45299</v>
      </c>
      <c r="C2276" t="s">
        <v>130</v>
      </c>
      <c r="D2276" t="s">
        <v>755</v>
      </c>
      <c r="E2276" t="s">
        <v>842</v>
      </c>
      <c r="F2276">
        <v>2</v>
      </c>
      <c r="G2276">
        <v>0.1</v>
      </c>
      <c r="H2276" t="s">
        <v>865</v>
      </c>
      <c r="I2276" t="str">
        <f>VLOOKUP(C2276,Customers!A:C,2,FALSE)&amp;" "&amp;VLOOKUP(C2276,Customers!A:C,3,FALSE)</f>
        <v>Jenny Beck</v>
      </c>
      <c r="J2276" t="str">
        <f>VLOOKUP(D2276,Products!A:C,2,FALSE)</f>
        <v>House Accessories</v>
      </c>
      <c r="K2276" t="str">
        <f>VLOOKUP(D2276,Products!A:C,3,FALSE)</f>
        <v>Fashion</v>
      </c>
      <c r="L2276" t="str">
        <f>VLOOKUP(E2276,Stores!A:B,2,FALSE)</f>
        <v>MegaMart Brianahaven</v>
      </c>
      <c r="M2276">
        <f>VLOOKUP(D2276,Products!A:E,5,FALSE)</f>
        <v>1858.75</v>
      </c>
      <c r="N2276" s="5">
        <f t="shared" si="35"/>
        <v>3345.75</v>
      </c>
    </row>
    <row r="2277" spans="1:14" x14ac:dyDescent="0.3">
      <c r="A2277" t="s">
        <v>3133</v>
      </c>
      <c r="B2277" s="2">
        <v>45521</v>
      </c>
      <c r="C2277" t="s">
        <v>306</v>
      </c>
      <c r="D2277" t="s">
        <v>774</v>
      </c>
      <c r="E2277" t="s">
        <v>839</v>
      </c>
      <c r="F2277">
        <v>5</v>
      </c>
      <c r="G2277">
        <v>0.05</v>
      </c>
      <c r="H2277" t="s">
        <v>855</v>
      </c>
      <c r="I2277" t="str">
        <f>VLOOKUP(C2277,Customers!A:C,2,FALSE)&amp;" "&amp;VLOOKUP(C2277,Customers!A:C,3,FALSE)</f>
        <v>Sarah Reynolds</v>
      </c>
      <c r="J2277" t="str">
        <f>VLOOKUP(D2277,Products!A:C,2,FALSE)</f>
        <v>Him Smartphone</v>
      </c>
      <c r="K2277" t="str">
        <f>VLOOKUP(D2277,Products!A:C,3,FALSE)</f>
        <v>Electronics</v>
      </c>
      <c r="L2277" t="str">
        <f>VLOOKUP(E2277,Stores!A:B,2,FALSE)</f>
        <v>MegaMart New Michele</v>
      </c>
      <c r="M2277">
        <f>VLOOKUP(D2277,Products!A:E,5,FALSE)</f>
        <v>1487.41</v>
      </c>
      <c r="N2277" s="5">
        <f t="shared" si="35"/>
        <v>7065.1975000000002</v>
      </c>
    </row>
    <row r="2278" spans="1:14" x14ac:dyDescent="0.3">
      <c r="A2278" t="s">
        <v>3134</v>
      </c>
      <c r="B2278" s="2">
        <v>45222</v>
      </c>
      <c r="C2278" t="s">
        <v>134</v>
      </c>
      <c r="D2278" t="s">
        <v>718</v>
      </c>
      <c r="E2278" t="s">
        <v>846</v>
      </c>
      <c r="F2278">
        <v>4</v>
      </c>
      <c r="G2278">
        <v>0.15</v>
      </c>
      <c r="H2278" t="s">
        <v>865</v>
      </c>
      <c r="I2278" t="str">
        <f>VLOOKUP(C2278,Customers!A:C,2,FALSE)&amp;" "&amp;VLOOKUP(C2278,Customers!A:C,3,FALSE)</f>
        <v>Kari Miller</v>
      </c>
      <c r="J2278" t="str">
        <f>VLOOKUP(D2278,Products!A:C,2,FALSE)</f>
        <v>Here Footwear</v>
      </c>
      <c r="K2278" t="str">
        <f>VLOOKUP(D2278,Products!A:C,3,FALSE)</f>
        <v>Fashion</v>
      </c>
      <c r="L2278" t="str">
        <f>VLOOKUP(E2278,Stores!A:B,2,FALSE)</f>
        <v>MegaMart Johnmouth</v>
      </c>
      <c r="M2278">
        <f>VLOOKUP(D2278,Products!A:E,5,FALSE)</f>
        <v>337.63</v>
      </c>
      <c r="N2278" s="5">
        <f t="shared" si="35"/>
        <v>1147.942</v>
      </c>
    </row>
    <row r="2279" spans="1:14" x14ac:dyDescent="0.3">
      <c r="A2279" t="s">
        <v>3135</v>
      </c>
      <c r="B2279" s="2">
        <v>45451</v>
      </c>
      <c r="C2279" t="s">
        <v>601</v>
      </c>
      <c r="D2279" t="s">
        <v>812</v>
      </c>
      <c r="E2279" t="s">
        <v>831</v>
      </c>
      <c r="F2279">
        <v>1</v>
      </c>
      <c r="G2279">
        <v>0.1</v>
      </c>
      <c r="H2279" t="s">
        <v>861</v>
      </c>
      <c r="I2279" t="str">
        <f>VLOOKUP(C2279,Customers!A:C,2,FALSE)&amp;" "&amp;VLOOKUP(C2279,Customers!A:C,3,FALSE)</f>
        <v>Travis Watson</v>
      </c>
      <c r="J2279" t="str">
        <f>VLOOKUP(D2279,Products!A:C,2,FALSE)</f>
        <v>Soon Accessories</v>
      </c>
      <c r="K2279" t="str">
        <f>VLOOKUP(D2279,Products!A:C,3,FALSE)</f>
        <v>Fashion</v>
      </c>
      <c r="L2279" t="str">
        <f>VLOOKUP(E2279,Stores!A:B,2,FALSE)</f>
        <v>MegaMart Jimenezborough</v>
      </c>
      <c r="M2279">
        <f>VLOOKUP(D2279,Products!A:E,5,FALSE)</f>
        <v>564.41999999999996</v>
      </c>
      <c r="N2279" s="5">
        <f t="shared" si="35"/>
        <v>507.97799999999995</v>
      </c>
    </row>
    <row r="2280" spans="1:14" x14ac:dyDescent="0.3">
      <c r="A2280" t="s">
        <v>3136</v>
      </c>
      <c r="B2280" s="2">
        <v>45741</v>
      </c>
      <c r="C2280" t="s">
        <v>467</v>
      </c>
      <c r="D2280" t="s">
        <v>820</v>
      </c>
      <c r="E2280" t="s">
        <v>839</v>
      </c>
      <c r="F2280">
        <v>2</v>
      </c>
      <c r="G2280">
        <v>0.15</v>
      </c>
      <c r="H2280" t="s">
        <v>855</v>
      </c>
      <c r="I2280" t="str">
        <f>VLOOKUP(C2280,Customers!A:C,2,FALSE)&amp;" "&amp;VLOOKUP(C2280,Customers!A:C,3,FALSE)</f>
        <v>John Allen</v>
      </c>
      <c r="J2280" t="str">
        <f>VLOOKUP(D2280,Products!A:C,2,FALSE)</f>
        <v>Or Smartphone</v>
      </c>
      <c r="K2280" t="str">
        <f>VLOOKUP(D2280,Products!A:C,3,FALSE)</f>
        <v>Electronics</v>
      </c>
      <c r="L2280" t="str">
        <f>VLOOKUP(E2280,Stores!A:B,2,FALSE)</f>
        <v>MegaMart New Michele</v>
      </c>
      <c r="M2280">
        <f>VLOOKUP(D2280,Products!A:E,5,FALSE)</f>
        <v>1197.18</v>
      </c>
      <c r="N2280" s="5">
        <f t="shared" si="35"/>
        <v>2035.2060000000001</v>
      </c>
    </row>
    <row r="2281" spans="1:14" x14ac:dyDescent="0.3">
      <c r="A2281" t="s">
        <v>3137</v>
      </c>
      <c r="B2281" s="2">
        <v>45732</v>
      </c>
      <c r="C2281" t="s">
        <v>355</v>
      </c>
      <c r="D2281" t="s">
        <v>772</v>
      </c>
      <c r="E2281" t="s">
        <v>846</v>
      </c>
      <c r="F2281">
        <v>3</v>
      </c>
      <c r="G2281">
        <v>0.05</v>
      </c>
      <c r="H2281" t="s">
        <v>855</v>
      </c>
      <c r="I2281" t="str">
        <f>VLOOKUP(C2281,Customers!A:C,2,FALSE)&amp;" "&amp;VLOOKUP(C2281,Customers!A:C,3,FALSE)</f>
        <v>Kimberly Stokes</v>
      </c>
      <c r="J2281" t="str">
        <f>VLOOKUP(D2281,Products!A:C,2,FALSE)</f>
        <v>And Footwear</v>
      </c>
      <c r="K2281" t="str">
        <f>VLOOKUP(D2281,Products!A:C,3,FALSE)</f>
        <v>Fashion</v>
      </c>
      <c r="L2281" t="str">
        <f>VLOOKUP(E2281,Stores!A:B,2,FALSE)</f>
        <v>MegaMart Johnmouth</v>
      </c>
      <c r="M2281">
        <f>VLOOKUP(D2281,Products!A:E,5,FALSE)</f>
        <v>1878.47</v>
      </c>
      <c r="N2281" s="5">
        <f t="shared" si="35"/>
        <v>5353.6394999999993</v>
      </c>
    </row>
    <row r="2282" spans="1:14" x14ac:dyDescent="0.3">
      <c r="A2282" t="s">
        <v>3138</v>
      </c>
      <c r="B2282" s="2">
        <v>45391</v>
      </c>
      <c r="C2282" t="s">
        <v>310</v>
      </c>
      <c r="D2282" t="s">
        <v>814</v>
      </c>
      <c r="E2282" t="s">
        <v>846</v>
      </c>
      <c r="F2282">
        <v>5</v>
      </c>
      <c r="G2282">
        <v>0</v>
      </c>
      <c r="H2282" t="s">
        <v>865</v>
      </c>
      <c r="I2282" t="str">
        <f>VLOOKUP(C2282,Customers!A:C,2,FALSE)&amp;" "&amp;VLOOKUP(C2282,Customers!A:C,3,FALSE)</f>
        <v>Amy Haley</v>
      </c>
      <c r="J2282" t="str">
        <f>VLOOKUP(D2282,Products!A:C,2,FALSE)</f>
        <v>Least Accessories</v>
      </c>
      <c r="K2282" t="str">
        <f>VLOOKUP(D2282,Products!A:C,3,FALSE)</f>
        <v>Fashion</v>
      </c>
      <c r="L2282" t="str">
        <f>VLOOKUP(E2282,Stores!A:B,2,FALSE)</f>
        <v>MegaMart Johnmouth</v>
      </c>
      <c r="M2282">
        <f>VLOOKUP(D2282,Products!A:E,5,FALSE)</f>
        <v>1286.55</v>
      </c>
      <c r="N2282" s="5">
        <f t="shared" si="35"/>
        <v>6432.75</v>
      </c>
    </row>
    <row r="2283" spans="1:14" x14ac:dyDescent="0.3">
      <c r="A2283" t="s">
        <v>3139</v>
      </c>
      <c r="B2283" s="2">
        <v>45182</v>
      </c>
      <c r="C2283" t="s">
        <v>335</v>
      </c>
      <c r="D2283" t="s">
        <v>810</v>
      </c>
      <c r="E2283" t="s">
        <v>842</v>
      </c>
      <c r="F2283">
        <v>5</v>
      </c>
      <c r="G2283">
        <v>0.15</v>
      </c>
      <c r="H2283" t="s">
        <v>855</v>
      </c>
      <c r="I2283" t="str">
        <f>VLOOKUP(C2283,Customers!A:C,2,FALSE)&amp;" "&amp;VLOOKUP(C2283,Customers!A:C,3,FALSE)</f>
        <v>William Warner</v>
      </c>
      <c r="J2283" t="str">
        <f>VLOOKUP(D2283,Products!A:C,2,FALSE)</f>
        <v>Maybe Clothing</v>
      </c>
      <c r="K2283" t="str">
        <f>VLOOKUP(D2283,Products!A:C,3,FALSE)</f>
        <v>Fashion</v>
      </c>
      <c r="L2283" t="str">
        <f>VLOOKUP(E2283,Stores!A:B,2,FALSE)</f>
        <v>MegaMart Brianahaven</v>
      </c>
      <c r="M2283">
        <f>VLOOKUP(D2283,Products!A:E,5,FALSE)</f>
        <v>453.62</v>
      </c>
      <c r="N2283" s="5">
        <f t="shared" si="35"/>
        <v>1927.8849999999998</v>
      </c>
    </row>
    <row r="2284" spans="1:14" x14ac:dyDescent="0.3">
      <c r="A2284" t="s">
        <v>3140</v>
      </c>
      <c r="B2284" s="2">
        <v>45311</v>
      </c>
      <c r="C2284" t="s">
        <v>85</v>
      </c>
      <c r="D2284" t="s">
        <v>722</v>
      </c>
      <c r="E2284" t="s">
        <v>835</v>
      </c>
      <c r="F2284">
        <v>2</v>
      </c>
      <c r="G2284">
        <v>0.05</v>
      </c>
      <c r="H2284" t="s">
        <v>855</v>
      </c>
      <c r="I2284" t="str">
        <f>VLOOKUP(C2284,Customers!A:C,2,FALSE)&amp;" "&amp;VLOOKUP(C2284,Customers!A:C,3,FALSE)</f>
        <v>Debbie Martin</v>
      </c>
      <c r="J2284" t="str">
        <f>VLOOKUP(D2284,Products!A:C,2,FALSE)</f>
        <v>Four Accessories</v>
      </c>
      <c r="K2284" t="str">
        <f>VLOOKUP(D2284,Products!A:C,3,FALSE)</f>
        <v>Fashion</v>
      </c>
      <c r="L2284" t="str">
        <f>VLOOKUP(E2284,Stores!A:B,2,FALSE)</f>
        <v>MegaMart Peckmouth</v>
      </c>
      <c r="M2284">
        <f>VLOOKUP(D2284,Products!A:E,5,FALSE)</f>
        <v>1853.77</v>
      </c>
      <c r="N2284" s="5">
        <f t="shared" si="35"/>
        <v>3522.163</v>
      </c>
    </row>
    <row r="2285" spans="1:14" x14ac:dyDescent="0.3">
      <c r="A2285" t="s">
        <v>3141</v>
      </c>
      <c r="B2285" s="2">
        <v>45687</v>
      </c>
      <c r="C2285" t="s">
        <v>670</v>
      </c>
      <c r="D2285" t="s">
        <v>755</v>
      </c>
      <c r="E2285" t="s">
        <v>846</v>
      </c>
      <c r="F2285">
        <v>2</v>
      </c>
      <c r="G2285">
        <v>0</v>
      </c>
      <c r="H2285" t="s">
        <v>855</v>
      </c>
      <c r="I2285" t="str">
        <f>VLOOKUP(C2285,Customers!A:C,2,FALSE)&amp;" "&amp;VLOOKUP(C2285,Customers!A:C,3,FALSE)</f>
        <v>Daniel Lawson</v>
      </c>
      <c r="J2285" t="str">
        <f>VLOOKUP(D2285,Products!A:C,2,FALSE)</f>
        <v>House Accessories</v>
      </c>
      <c r="K2285" t="str">
        <f>VLOOKUP(D2285,Products!A:C,3,FALSE)</f>
        <v>Fashion</v>
      </c>
      <c r="L2285" t="str">
        <f>VLOOKUP(E2285,Stores!A:B,2,FALSE)</f>
        <v>MegaMart Johnmouth</v>
      </c>
      <c r="M2285">
        <f>VLOOKUP(D2285,Products!A:E,5,FALSE)</f>
        <v>1858.75</v>
      </c>
      <c r="N2285" s="5">
        <f t="shared" si="35"/>
        <v>3717.5</v>
      </c>
    </row>
    <row r="2286" spans="1:14" x14ac:dyDescent="0.3">
      <c r="A2286" t="s">
        <v>3142</v>
      </c>
      <c r="B2286" s="2">
        <v>45411</v>
      </c>
      <c r="C2286" t="s">
        <v>657</v>
      </c>
      <c r="D2286" t="s">
        <v>780</v>
      </c>
      <c r="E2286" t="s">
        <v>835</v>
      </c>
      <c r="F2286">
        <v>1</v>
      </c>
      <c r="G2286">
        <v>0.05</v>
      </c>
      <c r="H2286" t="s">
        <v>858</v>
      </c>
      <c r="I2286" t="str">
        <f>VLOOKUP(C2286,Customers!A:C,2,FALSE)&amp;" "&amp;VLOOKUP(C2286,Customers!A:C,3,FALSE)</f>
        <v>Vicki Guzman</v>
      </c>
      <c r="J2286" t="str">
        <f>VLOOKUP(D2286,Products!A:C,2,FALSE)</f>
        <v>Hospital Smartphone</v>
      </c>
      <c r="K2286" t="str">
        <f>VLOOKUP(D2286,Products!A:C,3,FALSE)</f>
        <v>Electronics</v>
      </c>
      <c r="L2286" t="str">
        <f>VLOOKUP(E2286,Stores!A:B,2,FALSE)</f>
        <v>MegaMart Peckmouth</v>
      </c>
      <c r="M2286">
        <f>VLOOKUP(D2286,Products!A:E,5,FALSE)</f>
        <v>1272.23</v>
      </c>
      <c r="N2286" s="5">
        <f t="shared" si="35"/>
        <v>1208.6185</v>
      </c>
    </row>
    <row r="2287" spans="1:14" x14ac:dyDescent="0.3">
      <c r="A2287" t="s">
        <v>3143</v>
      </c>
      <c r="B2287" s="2">
        <v>45267</v>
      </c>
      <c r="C2287" t="s">
        <v>596</v>
      </c>
      <c r="D2287" t="s">
        <v>792</v>
      </c>
      <c r="E2287" t="s">
        <v>842</v>
      </c>
      <c r="F2287">
        <v>1</v>
      </c>
      <c r="G2287">
        <v>0</v>
      </c>
      <c r="H2287" t="s">
        <v>858</v>
      </c>
      <c r="I2287" t="str">
        <f>VLOOKUP(C2287,Customers!A:C,2,FALSE)&amp;" "&amp;VLOOKUP(C2287,Customers!A:C,3,FALSE)</f>
        <v>Kimberly Lin</v>
      </c>
      <c r="J2287" t="str">
        <f>VLOOKUP(D2287,Products!A:C,2,FALSE)</f>
        <v>Beat Accessories</v>
      </c>
      <c r="K2287" t="str">
        <f>VLOOKUP(D2287,Products!A:C,3,FALSE)</f>
        <v>Fashion</v>
      </c>
      <c r="L2287" t="str">
        <f>VLOOKUP(E2287,Stores!A:B,2,FALSE)</f>
        <v>MegaMart Brianahaven</v>
      </c>
      <c r="M2287">
        <f>VLOOKUP(D2287,Products!A:E,5,FALSE)</f>
        <v>1798.97</v>
      </c>
      <c r="N2287" s="5">
        <f t="shared" si="35"/>
        <v>1798.97</v>
      </c>
    </row>
    <row r="2288" spans="1:14" x14ac:dyDescent="0.3">
      <c r="A2288" t="s">
        <v>3144</v>
      </c>
      <c r="B2288" s="2">
        <v>45864</v>
      </c>
      <c r="C2288" t="s">
        <v>40</v>
      </c>
      <c r="D2288" t="s">
        <v>711</v>
      </c>
      <c r="E2288" t="s">
        <v>839</v>
      </c>
      <c r="F2288">
        <v>3</v>
      </c>
      <c r="G2288">
        <v>0.15</v>
      </c>
      <c r="H2288" t="s">
        <v>855</v>
      </c>
      <c r="I2288" t="str">
        <f>VLOOKUP(C2288,Customers!A:C,2,FALSE)&amp;" "&amp;VLOOKUP(C2288,Customers!A:C,3,FALSE)</f>
        <v>Richard Pacheco</v>
      </c>
      <c r="J2288" t="str">
        <f>VLOOKUP(D2288,Products!A:C,2,FALSE)</f>
        <v>Like Camera</v>
      </c>
      <c r="K2288" t="str">
        <f>VLOOKUP(D2288,Products!A:C,3,FALSE)</f>
        <v>Electronics</v>
      </c>
      <c r="L2288" t="str">
        <f>VLOOKUP(E2288,Stores!A:B,2,FALSE)</f>
        <v>MegaMart New Michele</v>
      </c>
      <c r="M2288">
        <f>VLOOKUP(D2288,Products!A:E,5,FALSE)</f>
        <v>1673.69</v>
      </c>
      <c r="N2288" s="5">
        <f t="shared" si="35"/>
        <v>4267.9094999999998</v>
      </c>
    </row>
    <row r="2289" spans="1:14" x14ac:dyDescent="0.3">
      <c r="A2289" t="s">
        <v>3145</v>
      </c>
      <c r="B2289" s="2">
        <v>45563</v>
      </c>
      <c r="C2289" t="s">
        <v>89</v>
      </c>
      <c r="D2289" t="s">
        <v>742</v>
      </c>
      <c r="E2289" t="s">
        <v>831</v>
      </c>
      <c r="F2289">
        <v>3</v>
      </c>
      <c r="G2289">
        <v>0.15</v>
      </c>
      <c r="H2289" t="s">
        <v>858</v>
      </c>
      <c r="I2289" t="str">
        <f>VLOOKUP(C2289,Customers!A:C,2,FALSE)&amp;" "&amp;VLOOKUP(C2289,Customers!A:C,3,FALSE)</f>
        <v>Megan Velasquez</v>
      </c>
      <c r="J2289" t="str">
        <f>VLOOKUP(D2289,Products!A:C,2,FALSE)</f>
        <v>Either Headphones</v>
      </c>
      <c r="K2289" t="str">
        <f>VLOOKUP(D2289,Products!A:C,3,FALSE)</f>
        <v>Electronics</v>
      </c>
      <c r="L2289" t="str">
        <f>VLOOKUP(E2289,Stores!A:B,2,FALSE)</f>
        <v>MegaMart Jimenezborough</v>
      </c>
      <c r="M2289">
        <f>VLOOKUP(D2289,Products!A:E,5,FALSE)</f>
        <v>248.57</v>
      </c>
      <c r="N2289" s="5">
        <f t="shared" si="35"/>
        <v>633.85350000000005</v>
      </c>
    </row>
    <row r="2290" spans="1:14" x14ac:dyDescent="0.3">
      <c r="A2290" t="s">
        <v>3146</v>
      </c>
      <c r="B2290" s="2">
        <v>45467</v>
      </c>
      <c r="C2290" t="s">
        <v>24</v>
      </c>
      <c r="D2290" t="s">
        <v>739</v>
      </c>
      <c r="E2290" t="s">
        <v>842</v>
      </c>
      <c r="F2290">
        <v>4</v>
      </c>
      <c r="G2290">
        <v>0.15</v>
      </c>
      <c r="H2290" t="s">
        <v>865</v>
      </c>
      <c r="I2290" t="str">
        <f>VLOOKUP(C2290,Customers!A:C,2,FALSE)&amp;" "&amp;VLOOKUP(C2290,Customers!A:C,3,FALSE)</f>
        <v>Jamie Salinas</v>
      </c>
      <c r="J2290" t="str">
        <f>VLOOKUP(D2290,Products!A:C,2,FALSE)</f>
        <v>Step Smartphone</v>
      </c>
      <c r="K2290" t="str">
        <f>VLOOKUP(D2290,Products!A:C,3,FALSE)</f>
        <v>Electronics</v>
      </c>
      <c r="L2290" t="str">
        <f>VLOOKUP(E2290,Stores!A:B,2,FALSE)</f>
        <v>MegaMart Brianahaven</v>
      </c>
      <c r="M2290">
        <f>VLOOKUP(D2290,Products!A:E,5,FALSE)</f>
        <v>1194.1199999999999</v>
      </c>
      <c r="N2290" s="5">
        <f t="shared" si="35"/>
        <v>4060.0079999999994</v>
      </c>
    </row>
    <row r="2291" spans="1:14" x14ac:dyDescent="0.3">
      <c r="A2291" t="s">
        <v>3147</v>
      </c>
      <c r="B2291" s="2">
        <v>45532</v>
      </c>
      <c r="C2291" t="s">
        <v>224</v>
      </c>
      <c r="D2291" t="s">
        <v>802</v>
      </c>
      <c r="E2291" t="s">
        <v>835</v>
      </c>
      <c r="F2291">
        <v>4</v>
      </c>
      <c r="G2291">
        <v>0.05</v>
      </c>
      <c r="H2291" t="s">
        <v>858</v>
      </c>
      <c r="I2291" t="str">
        <f>VLOOKUP(C2291,Customers!A:C,2,FALSE)&amp;" "&amp;VLOOKUP(C2291,Customers!A:C,3,FALSE)</f>
        <v>Lawrence Stewart</v>
      </c>
      <c r="J2291" t="str">
        <f>VLOOKUP(D2291,Products!A:C,2,FALSE)</f>
        <v>Stage Footwear</v>
      </c>
      <c r="K2291" t="str">
        <f>VLOOKUP(D2291,Products!A:C,3,FALSE)</f>
        <v>Fashion</v>
      </c>
      <c r="L2291" t="str">
        <f>VLOOKUP(E2291,Stores!A:B,2,FALSE)</f>
        <v>MegaMart Peckmouth</v>
      </c>
      <c r="M2291">
        <f>VLOOKUP(D2291,Products!A:E,5,FALSE)</f>
        <v>366.93</v>
      </c>
      <c r="N2291" s="5">
        <f t="shared" si="35"/>
        <v>1394.3340000000001</v>
      </c>
    </row>
    <row r="2292" spans="1:14" x14ac:dyDescent="0.3">
      <c r="A2292" t="s">
        <v>3148</v>
      </c>
      <c r="B2292" s="2">
        <v>45213</v>
      </c>
      <c r="C2292" t="s">
        <v>500</v>
      </c>
      <c r="D2292" t="s">
        <v>747</v>
      </c>
      <c r="E2292" t="s">
        <v>831</v>
      </c>
      <c r="F2292">
        <v>3</v>
      </c>
      <c r="G2292">
        <v>0</v>
      </c>
      <c r="H2292" t="s">
        <v>855</v>
      </c>
      <c r="I2292" t="str">
        <f>VLOOKUP(C2292,Customers!A:C,2,FALSE)&amp;" "&amp;VLOOKUP(C2292,Customers!A:C,3,FALSE)</f>
        <v>Gary Lopez</v>
      </c>
      <c r="J2292" t="str">
        <f>VLOOKUP(D2292,Products!A:C,2,FALSE)</f>
        <v>World Watches</v>
      </c>
      <c r="K2292" t="str">
        <f>VLOOKUP(D2292,Products!A:C,3,FALSE)</f>
        <v>Fashion</v>
      </c>
      <c r="L2292" t="str">
        <f>VLOOKUP(E2292,Stores!A:B,2,FALSE)</f>
        <v>MegaMart Jimenezborough</v>
      </c>
      <c r="M2292">
        <f>VLOOKUP(D2292,Products!A:E,5,FALSE)</f>
        <v>1134.8</v>
      </c>
      <c r="N2292" s="5">
        <f t="shared" si="35"/>
        <v>3404.3999999999996</v>
      </c>
    </row>
    <row r="2293" spans="1:14" x14ac:dyDescent="0.3">
      <c r="A2293" t="s">
        <v>3149</v>
      </c>
      <c r="B2293" s="2">
        <v>45280</v>
      </c>
      <c r="C2293" t="s">
        <v>32</v>
      </c>
      <c r="D2293" t="s">
        <v>772</v>
      </c>
      <c r="E2293" t="s">
        <v>846</v>
      </c>
      <c r="F2293">
        <v>3</v>
      </c>
      <c r="G2293">
        <v>0.1</v>
      </c>
      <c r="H2293" t="s">
        <v>861</v>
      </c>
      <c r="I2293" t="str">
        <f>VLOOKUP(C2293,Customers!A:C,2,FALSE)&amp;" "&amp;VLOOKUP(C2293,Customers!A:C,3,FALSE)</f>
        <v>Erin Walker</v>
      </c>
      <c r="J2293" t="str">
        <f>VLOOKUP(D2293,Products!A:C,2,FALSE)</f>
        <v>And Footwear</v>
      </c>
      <c r="K2293" t="str">
        <f>VLOOKUP(D2293,Products!A:C,3,FALSE)</f>
        <v>Fashion</v>
      </c>
      <c r="L2293" t="str">
        <f>VLOOKUP(E2293,Stores!A:B,2,FALSE)</f>
        <v>MegaMart Johnmouth</v>
      </c>
      <c r="M2293">
        <f>VLOOKUP(D2293,Products!A:E,5,FALSE)</f>
        <v>1878.47</v>
      </c>
      <c r="N2293" s="5">
        <f t="shared" si="35"/>
        <v>5071.8689999999997</v>
      </c>
    </row>
    <row r="2294" spans="1:14" x14ac:dyDescent="0.3">
      <c r="A2294" t="s">
        <v>3150</v>
      </c>
      <c r="B2294" s="2">
        <v>45598</v>
      </c>
      <c r="C2294" t="s">
        <v>683</v>
      </c>
      <c r="D2294" t="s">
        <v>711</v>
      </c>
      <c r="E2294" t="s">
        <v>831</v>
      </c>
      <c r="F2294">
        <v>3</v>
      </c>
      <c r="G2294">
        <v>0.15</v>
      </c>
      <c r="H2294" t="s">
        <v>858</v>
      </c>
      <c r="I2294" t="str">
        <f>VLOOKUP(C2294,Customers!A:C,2,FALSE)&amp;" "&amp;VLOOKUP(C2294,Customers!A:C,3,FALSE)</f>
        <v>Ann West</v>
      </c>
      <c r="J2294" t="str">
        <f>VLOOKUP(D2294,Products!A:C,2,FALSE)</f>
        <v>Like Camera</v>
      </c>
      <c r="K2294" t="str">
        <f>VLOOKUP(D2294,Products!A:C,3,FALSE)</f>
        <v>Electronics</v>
      </c>
      <c r="L2294" t="str">
        <f>VLOOKUP(E2294,Stores!A:B,2,FALSE)</f>
        <v>MegaMart Jimenezborough</v>
      </c>
      <c r="M2294">
        <f>VLOOKUP(D2294,Products!A:E,5,FALSE)</f>
        <v>1673.69</v>
      </c>
      <c r="N2294" s="5">
        <f t="shared" si="35"/>
        <v>4267.9094999999998</v>
      </c>
    </row>
    <row r="2295" spans="1:14" x14ac:dyDescent="0.3">
      <c r="A2295" t="s">
        <v>3151</v>
      </c>
      <c r="B2295" s="2">
        <v>45259</v>
      </c>
      <c r="C2295" t="s">
        <v>661</v>
      </c>
      <c r="D2295" t="s">
        <v>759</v>
      </c>
      <c r="E2295" t="s">
        <v>831</v>
      </c>
      <c r="F2295">
        <v>1</v>
      </c>
      <c r="G2295">
        <v>0.15</v>
      </c>
      <c r="H2295" t="s">
        <v>855</v>
      </c>
      <c r="I2295" t="str">
        <f>VLOOKUP(C2295,Customers!A:C,2,FALSE)&amp;" "&amp;VLOOKUP(C2295,Customers!A:C,3,FALSE)</f>
        <v>Cynthia Cherry</v>
      </c>
      <c r="J2295" t="str">
        <f>VLOOKUP(D2295,Products!A:C,2,FALSE)</f>
        <v>Democratic Smartphone</v>
      </c>
      <c r="K2295" t="str">
        <f>VLOOKUP(D2295,Products!A:C,3,FALSE)</f>
        <v>Electronics</v>
      </c>
      <c r="L2295" t="str">
        <f>VLOOKUP(E2295,Stores!A:B,2,FALSE)</f>
        <v>MegaMart Jimenezborough</v>
      </c>
      <c r="M2295">
        <f>VLOOKUP(D2295,Products!A:E,5,FALSE)</f>
        <v>1079.8900000000001</v>
      </c>
      <c r="N2295" s="5">
        <f t="shared" si="35"/>
        <v>917.90650000000005</v>
      </c>
    </row>
    <row r="2296" spans="1:14" x14ac:dyDescent="0.3">
      <c r="A2296" t="s">
        <v>3152</v>
      </c>
      <c r="B2296" s="2">
        <v>45705</v>
      </c>
      <c r="C2296" t="s">
        <v>500</v>
      </c>
      <c r="D2296" t="s">
        <v>761</v>
      </c>
      <c r="E2296" t="s">
        <v>842</v>
      </c>
      <c r="F2296">
        <v>4</v>
      </c>
      <c r="G2296">
        <v>0.1</v>
      </c>
      <c r="H2296" t="s">
        <v>861</v>
      </c>
      <c r="I2296" t="str">
        <f>VLOOKUP(C2296,Customers!A:C,2,FALSE)&amp;" "&amp;VLOOKUP(C2296,Customers!A:C,3,FALSE)</f>
        <v>Gary Lopez</v>
      </c>
      <c r="J2296" t="str">
        <f>VLOOKUP(D2296,Products!A:C,2,FALSE)</f>
        <v>Traditional Laptop</v>
      </c>
      <c r="K2296" t="str">
        <f>VLOOKUP(D2296,Products!A:C,3,FALSE)</f>
        <v>Electronics</v>
      </c>
      <c r="L2296" t="str">
        <f>VLOOKUP(E2296,Stores!A:B,2,FALSE)</f>
        <v>MegaMart Brianahaven</v>
      </c>
      <c r="M2296">
        <f>VLOOKUP(D2296,Products!A:E,5,FALSE)</f>
        <v>1762.92</v>
      </c>
      <c r="N2296" s="5">
        <f t="shared" si="35"/>
        <v>6346.5120000000006</v>
      </c>
    </row>
    <row r="2297" spans="1:14" x14ac:dyDescent="0.3">
      <c r="A2297" t="s">
        <v>3153</v>
      </c>
      <c r="B2297" s="2">
        <v>45418</v>
      </c>
      <c r="C2297" t="s">
        <v>368</v>
      </c>
      <c r="D2297" t="s">
        <v>766</v>
      </c>
      <c r="E2297" t="s">
        <v>842</v>
      </c>
      <c r="F2297">
        <v>2</v>
      </c>
      <c r="G2297">
        <v>0.05</v>
      </c>
      <c r="H2297" t="s">
        <v>865</v>
      </c>
      <c r="I2297" t="str">
        <f>VLOOKUP(C2297,Customers!A:C,2,FALSE)&amp;" "&amp;VLOOKUP(C2297,Customers!A:C,3,FALSE)</f>
        <v>Lisa Vega</v>
      </c>
      <c r="J2297" t="str">
        <f>VLOOKUP(D2297,Products!A:C,2,FALSE)</f>
        <v>Firm Dairy</v>
      </c>
      <c r="K2297" t="str">
        <f>VLOOKUP(D2297,Products!A:C,3,FALSE)</f>
        <v>Groceries</v>
      </c>
      <c r="L2297" t="str">
        <f>VLOOKUP(E2297,Stores!A:B,2,FALSE)</f>
        <v>MegaMart Brianahaven</v>
      </c>
      <c r="M2297">
        <f>VLOOKUP(D2297,Products!A:E,5,FALSE)</f>
        <v>1227.24</v>
      </c>
      <c r="N2297" s="5">
        <f t="shared" si="35"/>
        <v>2331.7559999999999</v>
      </c>
    </row>
    <row r="2298" spans="1:14" x14ac:dyDescent="0.3">
      <c r="A2298" t="s">
        <v>3154</v>
      </c>
      <c r="B2298" s="2">
        <v>45230</v>
      </c>
      <c r="C2298" t="s">
        <v>274</v>
      </c>
      <c r="D2298" t="s">
        <v>808</v>
      </c>
      <c r="E2298" t="s">
        <v>839</v>
      </c>
      <c r="F2298">
        <v>1</v>
      </c>
      <c r="G2298">
        <v>0.05</v>
      </c>
      <c r="H2298" t="s">
        <v>855</v>
      </c>
      <c r="I2298" t="str">
        <f>VLOOKUP(C2298,Customers!A:C,2,FALSE)&amp;" "&amp;VLOOKUP(C2298,Customers!A:C,3,FALSE)</f>
        <v>Eric Watkins</v>
      </c>
      <c r="J2298" t="str">
        <f>VLOOKUP(D2298,Products!A:C,2,FALSE)</f>
        <v>Present Television</v>
      </c>
      <c r="K2298" t="str">
        <f>VLOOKUP(D2298,Products!A:C,3,FALSE)</f>
        <v>Electronics</v>
      </c>
      <c r="L2298" t="str">
        <f>VLOOKUP(E2298,Stores!A:B,2,FALSE)</f>
        <v>MegaMart New Michele</v>
      </c>
      <c r="M2298">
        <f>VLOOKUP(D2298,Products!A:E,5,FALSE)</f>
        <v>1635.01</v>
      </c>
      <c r="N2298" s="5">
        <f t="shared" si="35"/>
        <v>1553.2594999999999</v>
      </c>
    </row>
    <row r="2299" spans="1:14" x14ac:dyDescent="0.3">
      <c r="A2299" t="s">
        <v>3155</v>
      </c>
      <c r="B2299" s="2">
        <v>45243</v>
      </c>
      <c r="C2299" t="s">
        <v>327</v>
      </c>
      <c r="D2299" t="s">
        <v>802</v>
      </c>
      <c r="E2299" t="s">
        <v>846</v>
      </c>
      <c r="F2299">
        <v>4</v>
      </c>
      <c r="G2299">
        <v>0</v>
      </c>
      <c r="H2299" t="s">
        <v>855</v>
      </c>
      <c r="I2299" t="str">
        <f>VLOOKUP(C2299,Customers!A:C,2,FALSE)&amp;" "&amp;VLOOKUP(C2299,Customers!A:C,3,FALSE)</f>
        <v>Laurie Mason</v>
      </c>
      <c r="J2299" t="str">
        <f>VLOOKUP(D2299,Products!A:C,2,FALSE)</f>
        <v>Stage Footwear</v>
      </c>
      <c r="K2299" t="str">
        <f>VLOOKUP(D2299,Products!A:C,3,FALSE)</f>
        <v>Fashion</v>
      </c>
      <c r="L2299" t="str">
        <f>VLOOKUP(E2299,Stores!A:B,2,FALSE)</f>
        <v>MegaMart Johnmouth</v>
      </c>
      <c r="M2299">
        <f>VLOOKUP(D2299,Products!A:E,5,FALSE)</f>
        <v>366.93</v>
      </c>
      <c r="N2299" s="5">
        <f t="shared" si="35"/>
        <v>1467.72</v>
      </c>
    </row>
    <row r="2300" spans="1:14" x14ac:dyDescent="0.3">
      <c r="A2300" t="s">
        <v>3156</v>
      </c>
      <c r="B2300" s="2">
        <v>45831</v>
      </c>
      <c r="C2300" t="s">
        <v>351</v>
      </c>
      <c r="D2300" t="s">
        <v>820</v>
      </c>
      <c r="E2300" t="s">
        <v>839</v>
      </c>
      <c r="F2300">
        <v>3</v>
      </c>
      <c r="G2300">
        <v>0</v>
      </c>
      <c r="H2300" t="s">
        <v>865</v>
      </c>
      <c r="I2300" t="str">
        <f>VLOOKUP(C2300,Customers!A:C,2,FALSE)&amp;" "&amp;VLOOKUP(C2300,Customers!A:C,3,FALSE)</f>
        <v>Stanley Brown</v>
      </c>
      <c r="J2300" t="str">
        <f>VLOOKUP(D2300,Products!A:C,2,FALSE)</f>
        <v>Or Smartphone</v>
      </c>
      <c r="K2300" t="str">
        <f>VLOOKUP(D2300,Products!A:C,3,FALSE)</f>
        <v>Electronics</v>
      </c>
      <c r="L2300" t="str">
        <f>VLOOKUP(E2300,Stores!A:B,2,FALSE)</f>
        <v>MegaMart New Michele</v>
      </c>
      <c r="M2300">
        <f>VLOOKUP(D2300,Products!A:E,5,FALSE)</f>
        <v>1197.18</v>
      </c>
      <c r="N2300" s="5">
        <f t="shared" si="35"/>
        <v>3591.54</v>
      </c>
    </row>
    <row r="2301" spans="1:14" x14ac:dyDescent="0.3">
      <c r="A2301" t="s">
        <v>3157</v>
      </c>
      <c r="B2301" s="2">
        <v>45831</v>
      </c>
      <c r="C2301" t="s">
        <v>298</v>
      </c>
      <c r="D2301" t="s">
        <v>780</v>
      </c>
      <c r="E2301" t="s">
        <v>846</v>
      </c>
      <c r="F2301">
        <v>3</v>
      </c>
      <c r="G2301">
        <v>0.1</v>
      </c>
      <c r="H2301" t="s">
        <v>861</v>
      </c>
      <c r="I2301" t="str">
        <f>VLOOKUP(C2301,Customers!A:C,2,FALSE)&amp;" "&amp;VLOOKUP(C2301,Customers!A:C,3,FALSE)</f>
        <v>Donald Marsh</v>
      </c>
      <c r="J2301" t="str">
        <f>VLOOKUP(D2301,Products!A:C,2,FALSE)</f>
        <v>Hospital Smartphone</v>
      </c>
      <c r="K2301" t="str">
        <f>VLOOKUP(D2301,Products!A:C,3,FALSE)</f>
        <v>Electronics</v>
      </c>
      <c r="L2301" t="str">
        <f>VLOOKUP(E2301,Stores!A:B,2,FALSE)</f>
        <v>MegaMart Johnmouth</v>
      </c>
      <c r="M2301">
        <f>VLOOKUP(D2301,Products!A:E,5,FALSE)</f>
        <v>1272.23</v>
      </c>
      <c r="N2301" s="5">
        <f t="shared" si="35"/>
        <v>3435.0210000000002</v>
      </c>
    </row>
    <row r="2302" spans="1:14" x14ac:dyDescent="0.3">
      <c r="A2302" t="s">
        <v>3158</v>
      </c>
      <c r="B2302" s="2">
        <v>45768</v>
      </c>
      <c r="C2302" t="s">
        <v>426</v>
      </c>
      <c r="D2302" t="s">
        <v>816</v>
      </c>
      <c r="E2302" t="s">
        <v>842</v>
      </c>
      <c r="F2302">
        <v>1</v>
      </c>
      <c r="G2302">
        <v>0.15</v>
      </c>
      <c r="H2302" t="s">
        <v>865</v>
      </c>
      <c r="I2302" t="str">
        <f>VLOOKUP(C2302,Customers!A:C,2,FALSE)&amp;" "&amp;VLOOKUP(C2302,Customers!A:C,3,FALSE)</f>
        <v>Miranda Rodriguez</v>
      </c>
      <c r="J2302" t="str">
        <f>VLOOKUP(D2302,Products!A:C,2,FALSE)</f>
        <v>Set Dairy</v>
      </c>
      <c r="K2302" t="str">
        <f>VLOOKUP(D2302,Products!A:C,3,FALSE)</f>
        <v>Groceries</v>
      </c>
      <c r="L2302" t="str">
        <f>VLOOKUP(E2302,Stores!A:B,2,FALSE)</f>
        <v>MegaMart Brianahaven</v>
      </c>
      <c r="M2302">
        <f>VLOOKUP(D2302,Products!A:E,5,FALSE)</f>
        <v>1879.08</v>
      </c>
      <c r="N2302" s="5">
        <f t="shared" si="35"/>
        <v>1597.2179999999998</v>
      </c>
    </row>
    <row r="2303" spans="1:14" x14ac:dyDescent="0.3">
      <c r="A2303" t="s">
        <v>3159</v>
      </c>
      <c r="B2303" s="2">
        <v>45713</v>
      </c>
      <c r="C2303" t="s">
        <v>445</v>
      </c>
      <c r="D2303" t="s">
        <v>800</v>
      </c>
      <c r="E2303" t="s">
        <v>831</v>
      </c>
      <c r="F2303">
        <v>3</v>
      </c>
      <c r="G2303">
        <v>0.15</v>
      </c>
      <c r="H2303" t="s">
        <v>861</v>
      </c>
      <c r="I2303" t="str">
        <f>VLOOKUP(C2303,Customers!A:C,2,FALSE)&amp;" "&amp;VLOOKUP(C2303,Customers!A:C,3,FALSE)</f>
        <v>Curtis Faulkner</v>
      </c>
      <c r="J2303" t="str">
        <f>VLOOKUP(D2303,Products!A:C,2,FALSE)</f>
        <v>Book Television</v>
      </c>
      <c r="K2303" t="str">
        <f>VLOOKUP(D2303,Products!A:C,3,FALSE)</f>
        <v>Electronics</v>
      </c>
      <c r="L2303" t="str">
        <f>VLOOKUP(E2303,Stores!A:B,2,FALSE)</f>
        <v>MegaMart Jimenezborough</v>
      </c>
      <c r="M2303">
        <f>VLOOKUP(D2303,Products!A:E,5,FALSE)</f>
        <v>1952.65</v>
      </c>
      <c r="N2303" s="5">
        <f t="shared" si="35"/>
        <v>4979.2575000000006</v>
      </c>
    </row>
    <row r="2304" spans="1:14" x14ac:dyDescent="0.3">
      <c r="A2304" t="s">
        <v>3160</v>
      </c>
      <c r="B2304" s="2">
        <v>45666</v>
      </c>
      <c r="C2304" t="s">
        <v>393</v>
      </c>
      <c r="D2304" t="s">
        <v>780</v>
      </c>
      <c r="E2304" t="s">
        <v>831</v>
      </c>
      <c r="F2304">
        <v>5</v>
      </c>
      <c r="G2304">
        <v>0</v>
      </c>
      <c r="H2304" t="s">
        <v>855</v>
      </c>
      <c r="I2304" t="str">
        <f>VLOOKUP(C2304,Customers!A:C,2,FALSE)&amp;" "&amp;VLOOKUP(C2304,Customers!A:C,3,FALSE)</f>
        <v>Kenneth Berg</v>
      </c>
      <c r="J2304" t="str">
        <f>VLOOKUP(D2304,Products!A:C,2,FALSE)</f>
        <v>Hospital Smartphone</v>
      </c>
      <c r="K2304" t="str">
        <f>VLOOKUP(D2304,Products!A:C,3,FALSE)</f>
        <v>Electronics</v>
      </c>
      <c r="L2304" t="str">
        <f>VLOOKUP(E2304,Stores!A:B,2,FALSE)</f>
        <v>MegaMart Jimenezborough</v>
      </c>
      <c r="M2304">
        <f>VLOOKUP(D2304,Products!A:E,5,FALSE)</f>
        <v>1272.23</v>
      </c>
      <c r="N2304" s="5">
        <f t="shared" si="35"/>
        <v>6361.15</v>
      </c>
    </row>
    <row r="2305" spans="1:14" x14ac:dyDescent="0.3">
      <c r="A2305" t="s">
        <v>3161</v>
      </c>
      <c r="B2305" s="2">
        <v>45892</v>
      </c>
      <c r="C2305" t="s">
        <v>563</v>
      </c>
      <c r="D2305" t="s">
        <v>718</v>
      </c>
      <c r="E2305" t="s">
        <v>846</v>
      </c>
      <c r="F2305">
        <v>3</v>
      </c>
      <c r="G2305">
        <v>0</v>
      </c>
      <c r="H2305" t="s">
        <v>858</v>
      </c>
      <c r="I2305" t="str">
        <f>VLOOKUP(C2305,Customers!A:C,2,FALSE)&amp;" "&amp;VLOOKUP(C2305,Customers!A:C,3,FALSE)</f>
        <v>Connie Terry</v>
      </c>
      <c r="J2305" t="str">
        <f>VLOOKUP(D2305,Products!A:C,2,FALSE)</f>
        <v>Here Footwear</v>
      </c>
      <c r="K2305" t="str">
        <f>VLOOKUP(D2305,Products!A:C,3,FALSE)</f>
        <v>Fashion</v>
      </c>
      <c r="L2305" t="str">
        <f>VLOOKUP(E2305,Stores!A:B,2,FALSE)</f>
        <v>MegaMart Johnmouth</v>
      </c>
      <c r="M2305">
        <f>VLOOKUP(D2305,Products!A:E,5,FALSE)</f>
        <v>337.63</v>
      </c>
      <c r="N2305" s="5">
        <f t="shared" si="35"/>
        <v>1012.89</v>
      </c>
    </row>
    <row r="2306" spans="1:14" x14ac:dyDescent="0.3">
      <c r="A2306" t="s">
        <v>3162</v>
      </c>
      <c r="B2306" s="2">
        <v>45211</v>
      </c>
      <c r="C2306" t="s">
        <v>183</v>
      </c>
      <c r="D2306" t="s">
        <v>753</v>
      </c>
      <c r="E2306" t="s">
        <v>839</v>
      </c>
      <c r="F2306">
        <v>3</v>
      </c>
      <c r="G2306">
        <v>0.1</v>
      </c>
      <c r="H2306" t="s">
        <v>858</v>
      </c>
      <c r="I2306" t="str">
        <f>VLOOKUP(C2306,Customers!A:C,2,FALSE)&amp;" "&amp;VLOOKUP(C2306,Customers!A:C,3,FALSE)</f>
        <v>Mary Decker</v>
      </c>
      <c r="J2306" t="str">
        <f>VLOOKUP(D2306,Products!A:C,2,FALSE)</f>
        <v>Whether Bags</v>
      </c>
      <c r="K2306" t="str">
        <f>VLOOKUP(D2306,Products!A:C,3,FALSE)</f>
        <v>Fashion</v>
      </c>
      <c r="L2306" t="str">
        <f>VLOOKUP(E2306,Stores!A:B,2,FALSE)</f>
        <v>MegaMart New Michele</v>
      </c>
      <c r="M2306">
        <f>VLOOKUP(D2306,Products!A:E,5,FALSE)</f>
        <v>270.45</v>
      </c>
      <c r="N2306" s="5">
        <f t="shared" si="35"/>
        <v>730.21499999999992</v>
      </c>
    </row>
    <row r="2307" spans="1:14" x14ac:dyDescent="0.3">
      <c r="A2307" t="s">
        <v>3163</v>
      </c>
      <c r="B2307" s="2">
        <v>45225</v>
      </c>
      <c r="C2307" t="s">
        <v>130</v>
      </c>
      <c r="D2307" t="s">
        <v>792</v>
      </c>
      <c r="E2307" t="s">
        <v>835</v>
      </c>
      <c r="F2307">
        <v>2</v>
      </c>
      <c r="G2307">
        <v>0.05</v>
      </c>
      <c r="H2307" t="s">
        <v>865</v>
      </c>
      <c r="I2307" t="str">
        <f>VLOOKUP(C2307,Customers!A:C,2,FALSE)&amp;" "&amp;VLOOKUP(C2307,Customers!A:C,3,FALSE)</f>
        <v>Jenny Beck</v>
      </c>
      <c r="J2307" t="str">
        <f>VLOOKUP(D2307,Products!A:C,2,FALSE)</f>
        <v>Beat Accessories</v>
      </c>
      <c r="K2307" t="str">
        <f>VLOOKUP(D2307,Products!A:C,3,FALSE)</f>
        <v>Fashion</v>
      </c>
      <c r="L2307" t="str">
        <f>VLOOKUP(E2307,Stores!A:B,2,FALSE)</f>
        <v>MegaMart Peckmouth</v>
      </c>
      <c r="M2307">
        <f>VLOOKUP(D2307,Products!A:E,5,FALSE)</f>
        <v>1798.97</v>
      </c>
      <c r="N2307" s="5">
        <f t="shared" ref="N2307:N2370" si="36">F2307*M2307*(1-G2307)</f>
        <v>3418.0429999999997</v>
      </c>
    </row>
    <row r="2308" spans="1:14" x14ac:dyDescent="0.3">
      <c r="A2308" t="s">
        <v>3164</v>
      </c>
      <c r="B2308" s="2">
        <v>45224</v>
      </c>
      <c r="C2308" t="s">
        <v>230</v>
      </c>
      <c r="D2308" t="s">
        <v>747</v>
      </c>
      <c r="E2308" t="s">
        <v>831</v>
      </c>
      <c r="F2308">
        <v>1</v>
      </c>
      <c r="G2308">
        <v>0.05</v>
      </c>
      <c r="H2308" t="s">
        <v>858</v>
      </c>
      <c r="I2308" t="str">
        <f>VLOOKUP(C2308,Customers!A:C,2,FALSE)&amp;" "&amp;VLOOKUP(C2308,Customers!A:C,3,FALSE)</f>
        <v>Anthony Conway</v>
      </c>
      <c r="J2308" t="str">
        <f>VLOOKUP(D2308,Products!A:C,2,FALSE)</f>
        <v>World Watches</v>
      </c>
      <c r="K2308" t="str">
        <f>VLOOKUP(D2308,Products!A:C,3,FALSE)</f>
        <v>Fashion</v>
      </c>
      <c r="L2308" t="str">
        <f>VLOOKUP(E2308,Stores!A:B,2,FALSE)</f>
        <v>MegaMart Jimenezborough</v>
      </c>
      <c r="M2308">
        <f>VLOOKUP(D2308,Products!A:E,5,FALSE)</f>
        <v>1134.8</v>
      </c>
      <c r="N2308" s="5">
        <f t="shared" si="36"/>
        <v>1078.06</v>
      </c>
    </row>
    <row r="2309" spans="1:14" x14ac:dyDescent="0.3">
      <c r="A2309" t="s">
        <v>3165</v>
      </c>
      <c r="B2309" s="2">
        <v>45895</v>
      </c>
      <c r="C2309" t="s">
        <v>539</v>
      </c>
      <c r="D2309" t="s">
        <v>782</v>
      </c>
      <c r="E2309" t="s">
        <v>839</v>
      </c>
      <c r="F2309">
        <v>1</v>
      </c>
      <c r="G2309">
        <v>0.05</v>
      </c>
      <c r="H2309" t="s">
        <v>865</v>
      </c>
      <c r="I2309" t="str">
        <f>VLOOKUP(C2309,Customers!A:C,2,FALSE)&amp;" "&amp;VLOOKUP(C2309,Customers!A:C,3,FALSE)</f>
        <v>Melissa Torres</v>
      </c>
      <c r="J2309" t="str">
        <f>VLOOKUP(D2309,Products!A:C,2,FALSE)</f>
        <v>Deal Smartphone</v>
      </c>
      <c r="K2309" t="str">
        <f>VLOOKUP(D2309,Products!A:C,3,FALSE)</f>
        <v>Electronics</v>
      </c>
      <c r="L2309" t="str">
        <f>VLOOKUP(E2309,Stores!A:B,2,FALSE)</f>
        <v>MegaMart New Michele</v>
      </c>
      <c r="M2309">
        <f>VLOOKUP(D2309,Products!A:E,5,FALSE)</f>
        <v>673.78</v>
      </c>
      <c r="N2309" s="5">
        <f t="shared" si="36"/>
        <v>640.09099999999989</v>
      </c>
    </row>
    <row r="2310" spans="1:14" x14ac:dyDescent="0.3">
      <c r="A2310" t="s">
        <v>3166</v>
      </c>
      <c r="B2310" s="2">
        <v>45223</v>
      </c>
      <c r="C2310" t="s">
        <v>647</v>
      </c>
      <c r="D2310" t="s">
        <v>806</v>
      </c>
      <c r="E2310" t="s">
        <v>839</v>
      </c>
      <c r="F2310">
        <v>3</v>
      </c>
      <c r="G2310">
        <v>0</v>
      </c>
      <c r="H2310" t="s">
        <v>855</v>
      </c>
      <c r="I2310" t="str">
        <f>VLOOKUP(C2310,Customers!A:C,2,FALSE)&amp;" "&amp;VLOOKUP(C2310,Customers!A:C,3,FALSE)</f>
        <v>Mary Dawson</v>
      </c>
      <c r="J2310" t="str">
        <f>VLOOKUP(D2310,Products!A:C,2,FALSE)</f>
        <v>Piece Headphones</v>
      </c>
      <c r="K2310" t="str">
        <f>VLOOKUP(D2310,Products!A:C,3,FALSE)</f>
        <v>Electronics</v>
      </c>
      <c r="L2310" t="str">
        <f>VLOOKUP(E2310,Stores!A:B,2,FALSE)</f>
        <v>MegaMart New Michele</v>
      </c>
      <c r="M2310">
        <f>VLOOKUP(D2310,Products!A:E,5,FALSE)</f>
        <v>1745.61</v>
      </c>
      <c r="N2310" s="5">
        <f t="shared" si="36"/>
        <v>5236.83</v>
      </c>
    </row>
    <row r="2311" spans="1:14" x14ac:dyDescent="0.3">
      <c r="A2311" t="s">
        <v>3167</v>
      </c>
      <c r="B2311" s="2">
        <v>45507</v>
      </c>
      <c r="C2311" t="s">
        <v>505</v>
      </c>
      <c r="D2311" t="s">
        <v>747</v>
      </c>
      <c r="E2311" t="s">
        <v>831</v>
      </c>
      <c r="F2311">
        <v>5</v>
      </c>
      <c r="G2311">
        <v>0.05</v>
      </c>
      <c r="H2311" t="s">
        <v>855</v>
      </c>
      <c r="I2311" t="str">
        <f>VLOOKUP(C2311,Customers!A:C,2,FALSE)&amp;" "&amp;VLOOKUP(C2311,Customers!A:C,3,FALSE)</f>
        <v>Alexander Mcfarland</v>
      </c>
      <c r="J2311" t="str">
        <f>VLOOKUP(D2311,Products!A:C,2,FALSE)</f>
        <v>World Watches</v>
      </c>
      <c r="K2311" t="str">
        <f>VLOOKUP(D2311,Products!A:C,3,FALSE)</f>
        <v>Fashion</v>
      </c>
      <c r="L2311" t="str">
        <f>VLOOKUP(E2311,Stores!A:B,2,FALSE)</f>
        <v>MegaMart Jimenezborough</v>
      </c>
      <c r="M2311">
        <f>VLOOKUP(D2311,Products!A:E,5,FALSE)</f>
        <v>1134.8</v>
      </c>
      <c r="N2311" s="5">
        <f t="shared" si="36"/>
        <v>5390.3</v>
      </c>
    </row>
    <row r="2312" spans="1:14" x14ac:dyDescent="0.3">
      <c r="A2312" t="s">
        <v>3168</v>
      </c>
      <c r="B2312" s="2">
        <v>45437</v>
      </c>
      <c r="C2312" t="s">
        <v>112</v>
      </c>
      <c r="D2312" t="s">
        <v>766</v>
      </c>
      <c r="E2312" t="s">
        <v>831</v>
      </c>
      <c r="F2312">
        <v>5</v>
      </c>
      <c r="G2312">
        <v>0.15</v>
      </c>
      <c r="H2312" t="s">
        <v>865</v>
      </c>
      <c r="I2312" t="str">
        <f>VLOOKUP(C2312,Customers!A:C,2,FALSE)&amp;" "&amp;VLOOKUP(C2312,Customers!A:C,3,FALSE)</f>
        <v>John Carr</v>
      </c>
      <c r="J2312" t="str">
        <f>VLOOKUP(D2312,Products!A:C,2,FALSE)</f>
        <v>Firm Dairy</v>
      </c>
      <c r="K2312" t="str">
        <f>VLOOKUP(D2312,Products!A:C,3,FALSE)</f>
        <v>Groceries</v>
      </c>
      <c r="L2312" t="str">
        <f>VLOOKUP(E2312,Stores!A:B,2,FALSE)</f>
        <v>MegaMart Jimenezborough</v>
      </c>
      <c r="M2312">
        <f>VLOOKUP(D2312,Products!A:E,5,FALSE)</f>
        <v>1227.24</v>
      </c>
      <c r="N2312" s="5">
        <f t="shared" si="36"/>
        <v>5215.7699999999995</v>
      </c>
    </row>
    <row r="2313" spans="1:14" x14ac:dyDescent="0.3">
      <c r="A2313" t="s">
        <v>3169</v>
      </c>
      <c r="B2313" s="2">
        <v>45617</v>
      </c>
      <c r="C2313" t="s">
        <v>480</v>
      </c>
      <c r="D2313" t="s">
        <v>796</v>
      </c>
      <c r="E2313" t="s">
        <v>831</v>
      </c>
      <c r="F2313">
        <v>2</v>
      </c>
      <c r="G2313">
        <v>0.05</v>
      </c>
      <c r="H2313" t="s">
        <v>855</v>
      </c>
      <c r="I2313" t="str">
        <f>VLOOKUP(C2313,Customers!A:C,2,FALSE)&amp;" "&amp;VLOOKUP(C2313,Customers!A:C,3,FALSE)</f>
        <v>Denise Jackson</v>
      </c>
      <c r="J2313" t="str">
        <f>VLOOKUP(D2313,Products!A:C,2,FALSE)</f>
        <v>Chair Laptop</v>
      </c>
      <c r="K2313" t="str">
        <f>VLOOKUP(D2313,Products!A:C,3,FALSE)</f>
        <v>Electronics</v>
      </c>
      <c r="L2313" t="str">
        <f>VLOOKUP(E2313,Stores!A:B,2,FALSE)</f>
        <v>MegaMart Jimenezborough</v>
      </c>
      <c r="M2313">
        <f>VLOOKUP(D2313,Products!A:E,5,FALSE)</f>
        <v>1562.43</v>
      </c>
      <c r="N2313" s="5">
        <f t="shared" si="36"/>
        <v>2968.6170000000002</v>
      </c>
    </row>
    <row r="2314" spans="1:14" x14ac:dyDescent="0.3">
      <c r="A2314" t="s">
        <v>3170</v>
      </c>
      <c r="B2314" s="2">
        <v>45471</v>
      </c>
      <c r="C2314" t="s">
        <v>533</v>
      </c>
      <c r="D2314" t="s">
        <v>725</v>
      </c>
      <c r="E2314" t="s">
        <v>839</v>
      </c>
      <c r="F2314">
        <v>4</v>
      </c>
      <c r="G2314">
        <v>0</v>
      </c>
      <c r="H2314" t="s">
        <v>858</v>
      </c>
      <c r="I2314" t="str">
        <f>VLOOKUP(C2314,Customers!A:C,2,FALSE)&amp;" "&amp;VLOOKUP(C2314,Customers!A:C,3,FALSE)</f>
        <v>Crystal Garrison</v>
      </c>
      <c r="J2314" t="str">
        <f>VLOOKUP(D2314,Products!A:C,2,FALSE)</f>
        <v>Knowledge Bags</v>
      </c>
      <c r="K2314" t="str">
        <f>VLOOKUP(D2314,Products!A:C,3,FALSE)</f>
        <v>Fashion</v>
      </c>
      <c r="L2314" t="str">
        <f>VLOOKUP(E2314,Stores!A:B,2,FALSE)</f>
        <v>MegaMart New Michele</v>
      </c>
      <c r="M2314">
        <f>VLOOKUP(D2314,Products!A:E,5,FALSE)</f>
        <v>1396.22</v>
      </c>
      <c r="N2314" s="5">
        <f t="shared" si="36"/>
        <v>5584.88</v>
      </c>
    </row>
    <row r="2315" spans="1:14" x14ac:dyDescent="0.3">
      <c r="A2315" t="s">
        <v>3171</v>
      </c>
      <c r="B2315" s="2">
        <v>45363</v>
      </c>
      <c r="C2315" t="s">
        <v>277</v>
      </c>
      <c r="D2315" t="s">
        <v>780</v>
      </c>
      <c r="E2315" t="s">
        <v>835</v>
      </c>
      <c r="F2315">
        <v>1</v>
      </c>
      <c r="G2315">
        <v>0.1</v>
      </c>
      <c r="H2315" t="s">
        <v>855</v>
      </c>
      <c r="I2315" t="str">
        <f>VLOOKUP(C2315,Customers!A:C,2,FALSE)&amp;" "&amp;VLOOKUP(C2315,Customers!A:C,3,FALSE)</f>
        <v>Carl Armstrong</v>
      </c>
      <c r="J2315" t="str">
        <f>VLOOKUP(D2315,Products!A:C,2,FALSE)</f>
        <v>Hospital Smartphone</v>
      </c>
      <c r="K2315" t="str">
        <f>VLOOKUP(D2315,Products!A:C,3,FALSE)</f>
        <v>Electronics</v>
      </c>
      <c r="L2315" t="str">
        <f>VLOOKUP(E2315,Stores!A:B,2,FALSE)</f>
        <v>MegaMart Peckmouth</v>
      </c>
      <c r="M2315">
        <f>VLOOKUP(D2315,Products!A:E,5,FALSE)</f>
        <v>1272.23</v>
      </c>
      <c r="N2315" s="5">
        <f t="shared" si="36"/>
        <v>1145.0070000000001</v>
      </c>
    </row>
    <row r="2316" spans="1:14" x14ac:dyDescent="0.3">
      <c r="A2316" t="s">
        <v>3172</v>
      </c>
      <c r="B2316" s="2">
        <v>45223</v>
      </c>
      <c r="C2316" t="s">
        <v>324</v>
      </c>
      <c r="D2316" t="s">
        <v>798</v>
      </c>
      <c r="E2316" t="s">
        <v>842</v>
      </c>
      <c r="F2316">
        <v>3</v>
      </c>
      <c r="G2316">
        <v>0.15</v>
      </c>
      <c r="H2316" t="s">
        <v>855</v>
      </c>
      <c r="I2316" t="str">
        <f>VLOOKUP(C2316,Customers!A:C,2,FALSE)&amp;" "&amp;VLOOKUP(C2316,Customers!A:C,3,FALSE)</f>
        <v>Lawrence Hunter</v>
      </c>
      <c r="J2316" t="str">
        <f>VLOOKUP(D2316,Products!A:C,2,FALSE)</f>
        <v>New Watches</v>
      </c>
      <c r="K2316" t="str">
        <f>VLOOKUP(D2316,Products!A:C,3,FALSE)</f>
        <v>Fashion</v>
      </c>
      <c r="L2316" t="str">
        <f>VLOOKUP(E2316,Stores!A:B,2,FALSE)</f>
        <v>MegaMart Brianahaven</v>
      </c>
      <c r="M2316">
        <f>VLOOKUP(D2316,Products!A:E,5,FALSE)</f>
        <v>1501.46</v>
      </c>
      <c r="N2316" s="5">
        <f t="shared" si="36"/>
        <v>3828.723</v>
      </c>
    </row>
    <row r="2317" spans="1:14" x14ac:dyDescent="0.3">
      <c r="A2317" t="s">
        <v>3173</v>
      </c>
      <c r="B2317" s="2">
        <v>45219</v>
      </c>
      <c r="C2317" t="s">
        <v>574</v>
      </c>
      <c r="D2317" t="s">
        <v>750</v>
      </c>
      <c r="E2317" t="s">
        <v>831</v>
      </c>
      <c r="F2317">
        <v>2</v>
      </c>
      <c r="G2317">
        <v>0.1</v>
      </c>
      <c r="H2317" t="s">
        <v>865</v>
      </c>
      <c r="I2317" t="str">
        <f>VLOOKUP(C2317,Customers!A:C,2,FALSE)&amp;" "&amp;VLOOKUP(C2317,Customers!A:C,3,FALSE)</f>
        <v>Meagan Macdonald</v>
      </c>
      <c r="J2317" t="str">
        <f>VLOOKUP(D2317,Products!A:C,2,FALSE)</f>
        <v>Add Clothing</v>
      </c>
      <c r="K2317" t="str">
        <f>VLOOKUP(D2317,Products!A:C,3,FALSE)</f>
        <v>Fashion</v>
      </c>
      <c r="L2317" t="str">
        <f>VLOOKUP(E2317,Stores!A:B,2,FALSE)</f>
        <v>MegaMart Jimenezborough</v>
      </c>
      <c r="M2317">
        <f>VLOOKUP(D2317,Products!A:E,5,FALSE)</f>
        <v>1342.75</v>
      </c>
      <c r="N2317" s="5">
        <f t="shared" si="36"/>
        <v>2416.9500000000003</v>
      </c>
    </row>
    <row r="2318" spans="1:14" x14ac:dyDescent="0.3">
      <c r="A2318" t="s">
        <v>3174</v>
      </c>
      <c r="B2318" s="2">
        <v>45770</v>
      </c>
      <c r="C2318" t="s">
        <v>284</v>
      </c>
      <c r="D2318" t="s">
        <v>766</v>
      </c>
      <c r="E2318" t="s">
        <v>835</v>
      </c>
      <c r="F2318">
        <v>5</v>
      </c>
      <c r="G2318">
        <v>0</v>
      </c>
      <c r="H2318" t="s">
        <v>865</v>
      </c>
      <c r="I2318" t="str">
        <f>VLOOKUP(C2318,Customers!A:C,2,FALSE)&amp;" "&amp;VLOOKUP(C2318,Customers!A:C,3,FALSE)</f>
        <v>Seth Moore</v>
      </c>
      <c r="J2318" t="str">
        <f>VLOOKUP(D2318,Products!A:C,2,FALSE)</f>
        <v>Firm Dairy</v>
      </c>
      <c r="K2318" t="str">
        <f>VLOOKUP(D2318,Products!A:C,3,FALSE)</f>
        <v>Groceries</v>
      </c>
      <c r="L2318" t="str">
        <f>VLOOKUP(E2318,Stores!A:B,2,FALSE)</f>
        <v>MegaMart Peckmouth</v>
      </c>
      <c r="M2318">
        <f>VLOOKUP(D2318,Products!A:E,5,FALSE)</f>
        <v>1227.24</v>
      </c>
      <c r="N2318" s="5">
        <f t="shared" si="36"/>
        <v>6136.2</v>
      </c>
    </row>
    <row r="2319" spans="1:14" x14ac:dyDescent="0.3">
      <c r="A2319" t="s">
        <v>3175</v>
      </c>
      <c r="B2319" s="2">
        <v>45606</v>
      </c>
      <c r="C2319" t="s">
        <v>560</v>
      </c>
      <c r="D2319" t="s">
        <v>711</v>
      </c>
      <c r="E2319" t="s">
        <v>835</v>
      </c>
      <c r="F2319">
        <v>3</v>
      </c>
      <c r="G2319">
        <v>0.1</v>
      </c>
      <c r="H2319" t="s">
        <v>861</v>
      </c>
      <c r="I2319" t="str">
        <f>VLOOKUP(C2319,Customers!A:C,2,FALSE)&amp;" "&amp;VLOOKUP(C2319,Customers!A:C,3,FALSE)</f>
        <v>George Young</v>
      </c>
      <c r="J2319" t="str">
        <f>VLOOKUP(D2319,Products!A:C,2,FALSE)</f>
        <v>Like Camera</v>
      </c>
      <c r="K2319" t="str">
        <f>VLOOKUP(D2319,Products!A:C,3,FALSE)</f>
        <v>Electronics</v>
      </c>
      <c r="L2319" t="str">
        <f>VLOOKUP(E2319,Stores!A:B,2,FALSE)</f>
        <v>MegaMart Peckmouth</v>
      </c>
      <c r="M2319">
        <f>VLOOKUP(D2319,Products!A:E,5,FALSE)</f>
        <v>1673.69</v>
      </c>
      <c r="N2319" s="5">
        <f t="shared" si="36"/>
        <v>4518.9629999999997</v>
      </c>
    </row>
    <row r="2320" spans="1:14" x14ac:dyDescent="0.3">
      <c r="A2320" t="s">
        <v>3176</v>
      </c>
      <c r="B2320" s="2">
        <v>45221</v>
      </c>
      <c r="C2320" t="s">
        <v>364</v>
      </c>
      <c r="D2320" t="s">
        <v>764</v>
      </c>
      <c r="E2320" t="s">
        <v>846</v>
      </c>
      <c r="F2320">
        <v>1</v>
      </c>
      <c r="G2320">
        <v>0.05</v>
      </c>
      <c r="H2320" t="s">
        <v>858</v>
      </c>
      <c r="I2320" t="str">
        <f>VLOOKUP(C2320,Customers!A:C,2,FALSE)&amp;" "&amp;VLOOKUP(C2320,Customers!A:C,3,FALSE)</f>
        <v>Evelyn Gray</v>
      </c>
      <c r="J2320" t="str">
        <f>VLOOKUP(D2320,Products!A:C,2,FALSE)</f>
        <v>Simple Accessories</v>
      </c>
      <c r="K2320" t="str">
        <f>VLOOKUP(D2320,Products!A:C,3,FALSE)</f>
        <v>Fashion</v>
      </c>
      <c r="L2320" t="str">
        <f>VLOOKUP(E2320,Stores!A:B,2,FALSE)</f>
        <v>MegaMart Johnmouth</v>
      </c>
      <c r="M2320">
        <f>VLOOKUP(D2320,Products!A:E,5,FALSE)</f>
        <v>323.92</v>
      </c>
      <c r="N2320" s="5">
        <f t="shared" si="36"/>
        <v>307.72399999999999</v>
      </c>
    </row>
    <row r="2321" spans="1:14" x14ac:dyDescent="0.3">
      <c r="A2321" t="s">
        <v>3177</v>
      </c>
      <c r="B2321" s="2">
        <v>45243</v>
      </c>
      <c r="C2321" t="s">
        <v>690</v>
      </c>
      <c r="D2321" t="s">
        <v>732</v>
      </c>
      <c r="E2321" t="s">
        <v>831</v>
      </c>
      <c r="F2321">
        <v>1</v>
      </c>
      <c r="G2321">
        <v>0.05</v>
      </c>
      <c r="H2321" t="s">
        <v>858</v>
      </c>
      <c r="I2321" t="str">
        <f>VLOOKUP(C2321,Customers!A:C,2,FALSE)&amp;" "&amp;VLOOKUP(C2321,Customers!A:C,3,FALSE)</f>
        <v>James Noble</v>
      </c>
      <c r="J2321" t="str">
        <f>VLOOKUP(D2321,Products!A:C,2,FALSE)</f>
        <v>Understand Camera</v>
      </c>
      <c r="K2321" t="str">
        <f>VLOOKUP(D2321,Products!A:C,3,FALSE)</f>
        <v>Electronics</v>
      </c>
      <c r="L2321" t="str">
        <f>VLOOKUP(E2321,Stores!A:B,2,FALSE)</f>
        <v>MegaMart Jimenezborough</v>
      </c>
      <c r="M2321">
        <f>VLOOKUP(D2321,Products!A:E,5,FALSE)</f>
        <v>1474.12</v>
      </c>
      <c r="N2321" s="5">
        <f t="shared" si="36"/>
        <v>1400.4139999999998</v>
      </c>
    </row>
    <row r="2322" spans="1:14" x14ac:dyDescent="0.3">
      <c r="A2322" t="s">
        <v>3178</v>
      </c>
      <c r="B2322" s="2">
        <v>45501</v>
      </c>
      <c r="C2322" t="s">
        <v>503</v>
      </c>
      <c r="D2322" t="s">
        <v>824</v>
      </c>
      <c r="E2322" t="s">
        <v>831</v>
      </c>
      <c r="F2322">
        <v>5</v>
      </c>
      <c r="G2322">
        <v>0</v>
      </c>
      <c r="H2322" t="s">
        <v>858</v>
      </c>
      <c r="I2322" t="str">
        <f>VLOOKUP(C2322,Customers!A:C,2,FALSE)&amp;" "&amp;VLOOKUP(C2322,Customers!A:C,3,FALSE)</f>
        <v>Breanna Moore</v>
      </c>
      <c r="J2322" t="str">
        <f>VLOOKUP(D2322,Products!A:C,2,FALSE)</f>
        <v>Possible Watches</v>
      </c>
      <c r="K2322" t="str">
        <f>VLOOKUP(D2322,Products!A:C,3,FALSE)</f>
        <v>Fashion</v>
      </c>
      <c r="L2322" t="str">
        <f>VLOOKUP(E2322,Stores!A:B,2,FALSE)</f>
        <v>MegaMart Jimenezborough</v>
      </c>
      <c r="M2322">
        <f>VLOOKUP(D2322,Products!A:E,5,FALSE)</f>
        <v>388.26</v>
      </c>
      <c r="N2322" s="5">
        <f t="shared" si="36"/>
        <v>1941.3</v>
      </c>
    </row>
    <row r="2323" spans="1:14" x14ac:dyDescent="0.3">
      <c r="A2323" t="s">
        <v>3179</v>
      </c>
      <c r="B2323" s="2">
        <v>45396</v>
      </c>
      <c r="C2323" t="s">
        <v>601</v>
      </c>
      <c r="D2323" t="s">
        <v>753</v>
      </c>
      <c r="E2323" t="s">
        <v>846</v>
      </c>
      <c r="F2323">
        <v>5</v>
      </c>
      <c r="G2323">
        <v>0.15</v>
      </c>
      <c r="H2323" t="s">
        <v>855</v>
      </c>
      <c r="I2323" t="str">
        <f>VLOOKUP(C2323,Customers!A:C,2,FALSE)&amp;" "&amp;VLOOKUP(C2323,Customers!A:C,3,FALSE)</f>
        <v>Travis Watson</v>
      </c>
      <c r="J2323" t="str">
        <f>VLOOKUP(D2323,Products!A:C,2,FALSE)</f>
        <v>Whether Bags</v>
      </c>
      <c r="K2323" t="str">
        <f>VLOOKUP(D2323,Products!A:C,3,FALSE)</f>
        <v>Fashion</v>
      </c>
      <c r="L2323" t="str">
        <f>VLOOKUP(E2323,Stores!A:B,2,FALSE)</f>
        <v>MegaMart Johnmouth</v>
      </c>
      <c r="M2323">
        <f>VLOOKUP(D2323,Products!A:E,5,FALSE)</f>
        <v>270.45</v>
      </c>
      <c r="N2323" s="5">
        <f t="shared" si="36"/>
        <v>1149.4124999999999</v>
      </c>
    </row>
    <row r="2324" spans="1:14" x14ac:dyDescent="0.3">
      <c r="A2324" t="s">
        <v>3180</v>
      </c>
      <c r="B2324" s="2">
        <v>45377</v>
      </c>
      <c r="C2324" t="s">
        <v>262</v>
      </c>
      <c r="D2324" t="s">
        <v>818</v>
      </c>
      <c r="E2324" t="s">
        <v>835</v>
      </c>
      <c r="F2324">
        <v>5</v>
      </c>
      <c r="G2324">
        <v>0.1</v>
      </c>
      <c r="H2324" t="s">
        <v>861</v>
      </c>
      <c r="I2324" t="str">
        <f>VLOOKUP(C2324,Customers!A:C,2,FALSE)&amp;" "&amp;VLOOKUP(C2324,Customers!A:C,3,FALSE)</f>
        <v>Gabriel Daugherty</v>
      </c>
      <c r="J2324" t="str">
        <f>VLOOKUP(D2324,Products!A:C,2,FALSE)</f>
        <v>Nature Clothing</v>
      </c>
      <c r="K2324" t="str">
        <f>VLOOKUP(D2324,Products!A:C,3,FALSE)</f>
        <v>Fashion</v>
      </c>
      <c r="L2324" t="str">
        <f>VLOOKUP(E2324,Stores!A:B,2,FALSE)</f>
        <v>MegaMart Peckmouth</v>
      </c>
      <c r="M2324">
        <f>VLOOKUP(D2324,Products!A:E,5,FALSE)</f>
        <v>1165.3699999999999</v>
      </c>
      <c r="N2324" s="5">
        <f t="shared" si="36"/>
        <v>5244.165</v>
      </c>
    </row>
    <row r="2325" spans="1:14" x14ac:dyDescent="0.3">
      <c r="A2325" t="s">
        <v>3181</v>
      </c>
      <c r="B2325" s="2">
        <v>45361</v>
      </c>
      <c r="C2325" t="s">
        <v>320</v>
      </c>
      <c r="D2325" t="s">
        <v>750</v>
      </c>
      <c r="E2325" t="s">
        <v>835</v>
      </c>
      <c r="F2325">
        <v>3</v>
      </c>
      <c r="G2325">
        <v>0.05</v>
      </c>
      <c r="H2325" t="s">
        <v>858</v>
      </c>
      <c r="I2325" t="str">
        <f>VLOOKUP(C2325,Customers!A:C,2,FALSE)&amp;" "&amp;VLOOKUP(C2325,Customers!A:C,3,FALSE)</f>
        <v>Juan Ramirez</v>
      </c>
      <c r="J2325" t="str">
        <f>VLOOKUP(D2325,Products!A:C,2,FALSE)</f>
        <v>Add Clothing</v>
      </c>
      <c r="K2325" t="str">
        <f>VLOOKUP(D2325,Products!A:C,3,FALSE)</f>
        <v>Fashion</v>
      </c>
      <c r="L2325" t="str">
        <f>VLOOKUP(E2325,Stores!A:B,2,FALSE)</f>
        <v>MegaMart Peckmouth</v>
      </c>
      <c r="M2325">
        <f>VLOOKUP(D2325,Products!A:E,5,FALSE)</f>
        <v>1342.75</v>
      </c>
      <c r="N2325" s="5">
        <f t="shared" si="36"/>
        <v>3826.8374999999996</v>
      </c>
    </row>
    <row r="2326" spans="1:14" x14ac:dyDescent="0.3">
      <c r="A2326" t="s">
        <v>3182</v>
      </c>
      <c r="B2326" s="2">
        <v>45543</v>
      </c>
      <c r="C2326" t="s">
        <v>306</v>
      </c>
      <c r="D2326" t="s">
        <v>718</v>
      </c>
      <c r="E2326" t="s">
        <v>831</v>
      </c>
      <c r="F2326">
        <v>2</v>
      </c>
      <c r="G2326">
        <v>0.15</v>
      </c>
      <c r="H2326" t="s">
        <v>858</v>
      </c>
      <c r="I2326" t="str">
        <f>VLOOKUP(C2326,Customers!A:C,2,FALSE)&amp;" "&amp;VLOOKUP(C2326,Customers!A:C,3,FALSE)</f>
        <v>Sarah Reynolds</v>
      </c>
      <c r="J2326" t="str">
        <f>VLOOKUP(D2326,Products!A:C,2,FALSE)</f>
        <v>Here Footwear</v>
      </c>
      <c r="K2326" t="str">
        <f>VLOOKUP(D2326,Products!A:C,3,FALSE)</f>
        <v>Fashion</v>
      </c>
      <c r="L2326" t="str">
        <f>VLOOKUP(E2326,Stores!A:B,2,FALSE)</f>
        <v>MegaMart Jimenezborough</v>
      </c>
      <c r="M2326">
        <f>VLOOKUP(D2326,Products!A:E,5,FALSE)</f>
        <v>337.63</v>
      </c>
      <c r="N2326" s="5">
        <f t="shared" si="36"/>
        <v>573.971</v>
      </c>
    </row>
    <row r="2327" spans="1:14" x14ac:dyDescent="0.3">
      <c r="A2327" t="s">
        <v>3183</v>
      </c>
      <c r="B2327" s="2">
        <v>45223</v>
      </c>
      <c r="C2327" t="s">
        <v>351</v>
      </c>
      <c r="D2327" t="s">
        <v>806</v>
      </c>
      <c r="E2327" t="s">
        <v>831</v>
      </c>
      <c r="F2327">
        <v>3</v>
      </c>
      <c r="G2327">
        <v>0</v>
      </c>
      <c r="H2327" t="s">
        <v>855</v>
      </c>
      <c r="I2327" t="str">
        <f>VLOOKUP(C2327,Customers!A:C,2,FALSE)&amp;" "&amp;VLOOKUP(C2327,Customers!A:C,3,FALSE)</f>
        <v>Stanley Brown</v>
      </c>
      <c r="J2327" t="str">
        <f>VLOOKUP(D2327,Products!A:C,2,FALSE)</f>
        <v>Piece Headphones</v>
      </c>
      <c r="K2327" t="str">
        <f>VLOOKUP(D2327,Products!A:C,3,FALSE)</f>
        <v>Electronics</v>
      </c>
      <c r="L2327" t="str">
        <f>VLOOKUP(E2327,Stores!A:B,2,FALSE)</f>
        <v>MegaMart Jimenezborough</v>
      </c>
      <c r="M2327">
        <f>VLOOKUP(D2327,Products!A:E,5,FALSE)</f>
        <v>1745.61</v>
      </c>
      <c r="N2327" s="5">
        <f t="shared" si="36"/>
        <v>5236.83</v>
      </c>
    </row>
    <row r="2328" spans="1:14" x14ac:dyDescent="0.3">
      <c r="A2328" t="s">
        <v>3184</v>
      </c>
      <c r="B2328" s="2">
        <v>45535</v>
      </c>
      <c r="C2328" t="s">
        <v>599</v>
      </c>
      <c r="D2328" t="s">
        <v>798</v>
      </c>
      <c r="E2328" t="s">
        <v>842</v>
      </c>
      <c r="F2328">
        <v>5</v>
      </c>
      <c r="G2328">
        <v>0.05</v>
      </c>
      <c r="H2328" t="s">
        <v>858</v>
      </c>
      <c r="I2328" t="str">
        <f>VLOOKUP(C2328,Customers!A:C,2,FALSE)&amp;" "&amp;VLOOKUP(C2328,Customers!A:C,3,FALSE)</f>
        <v>Richard Jones</v>
      </c>
      <c r="J2328" t="str">
        <f>VLOOKUP(D2328,Products!A:C,2,FALSE)</f>
        <v>New Watches</v>
      </c>
      <c r="K2328" t="str">
        <f>VLOOKUP(D2328,Products!A:C,3,FALSE)</f>
        <v>Fashion</v>
      </c>
      <c r="L2328" t="str">
        <f>VLOOKUP(E2328,Stores!A:B,2,FALSE)</f>
        <v>MegaMart Brianahaven</v>
      </c>
      <c r="M2328">
        <f>VLOOKUP(D2328,Products!A:E,5,FALSE)</f>
        <v>1501.46</v>
      </c>
      <c r="N2328" s="5">
        <f t="shared" si="36"/>
        <v>7131.9349999999995</v>
      </c>
    </row>
    <row r="2329" spans="1:14" x14ac:dyDescent="0.3">
      <c r="A2329" t="s">
        <v>3185</v>
      </c>
      <c r="B2329" s="2">
        <v>45716</v>
      </c>
      <c r="C2329" t="s">
        <v>403</v>
      </c>
      <c r="D2329" t="s">
        <v>769</v>
      </c>
      <c r="E2329" t="s">
        <v>835</v>
      </c>
      <c r="F2329">
        <v>5</v>
      </c>
      <c r="G2329">
        <v>0.05</v>
      </c>
      <c r="H2329" t="s">
        <v>861</v>
      </c>
      <c r="I2329" t="str">
        <f>VLOOKUP(C2329,Customers!A:C,2,FALSE)&amp;" "&amp;VLOOKUP(C2329,Customers!A:C,3,FALSE)</f>
        <v>Samantha Hill</v>
      </c>
      <c r="J2329" t="str">
        <f>VLOOKUP(D2329,Products!A:C,2,FALSE)</f>
        <v>How Vegetables</v>
      </c>
      <c r="K2329" t="str">
        <f>VLOOKUP(D2329,Products!A:C,3,FALSE)</f>
        <v>Groceries</v>
      </c>
      <c r="L2329" t="str">
        <f>VLOOKUP(E2329,Stores!A:B,2,FALSE)</f>
        <v>MegaMart Peckmouth</v>
      </c>
      <c r="M2329">
        <f>VLOOKUP(D2329,Products!A:E,5,FALSE)</f>
        <v>25.57</v>
      </c>
      <c r="N2329" s="5">
        <f t="shared" si="36"/>
        <v>121.4575</v>
      </c>
    </row>
    <row r="2330" spans="1:14" x14ac:dyDescent="0.3">
      <c r="A2330" t="s">
        <v>3186</v>
      </c>
      <c r="B2330" s="2">
        <v>45392</v>
      </c>
      <c r="C2330" t="s">
        <v>700</v>
      </c>
      <c r="D2330" t="s">
        <v>812</v>
      </c>
      <c r="E2330" t="s">
        <v>842</v>
      </c>
      <c r="F2330">
        <v>5</v>
      </c>
      <c r="G2330">
        <v>0.05</v>
      </c>
      <c r="H2330" t="s">
        <v>855</v>
      </c>
      <c r="I2330" t="str">
        <f>VLOOKUP(C2330,Customers!A:C,2,FALSE)&amp;" "&amp;VLOOKUP(C2330,Customers!A:C,3,FALSE)</f>
        <v>Juan Johnson</v>
      </c>
      <c r="J2330" t="str">
        <f>VLOOKUP(D2330,Products!A:C,2,FALSE)</f>
        <v>Soon Accessories</v>
      </c>
      <c r="K2330" t="str">
        <f>VLOOKUP(D2330,Products!A:C,3,FALSE)</f>
        <v>Fashion</v>
      </c>
      <c r="L2330" t="str">
        <f>VLOOKUP(E2330,Stores!A:B,2,FALSE)</f>
        <v>MegaMart Brianahaven</v>
      </c>
      <c r="M2330">
        <f>VLOOKUP(D2330,Products!A:E,5,FALSE)</f>
        <v>564.41999999999996</v>
      </c>
      <c r="N2330" s="5">
        <f t="shared" si="36"/>
        <v>2680.9949999999999</v>
      </c>
    </row>
    <row r="2331" spans="1:14" x14ac:dyDescent="0.3">
      <c r="A2331" t="s">
        <v>3187</v>
      </c>
      <c r="B2331" s="2">
        <v>45417</v>
      </c>
      <c r="C2331" t="s">
        <v>280</v>
      </c>
      <c r="D2331" t="s">
        <v>818</v>
      </c>
      <c r="E2331" t="s">
        <v>839</v>
      </c>
      <c r="F2331">
        <v>3</v>
      </c>
      <c r="G2331">
        <v>0</v>
      </c>
      <c r="H2331" t="s">
        <v>865</v>
      </c>
      <c r="I2331" t="str">
        <f>VLOOKUP(C2331,Customers!A:C,2,FALSE)&amp;" "&amp;VLOOKUP(C2331,Customers!A:C,3,FALSE)</f>
        <v>Jesus Singh</v>
      </c>
      <c r="J2331" t="str">
        <f>VLOOKUP(D2331,Products!A:C,2,FALSE)</f>
        <v>Nature Clothing</v>
      </c>
      <c r="K2331" t="str">
        <f>VLOOKUP(D2331,Products!A:C,3,FALSE)</f>
        <v>Fashion</v>
      </c>
      <c r="L2331" t="str">
        <f>VLOOKUP(E2331,Stores!A:B,2,FALSE)</f>
        <v>MegaMart New Michele</v>
      </c>
      <c r="M2331">
        <f>VLOOKUP(D2331,Products!A:E,5,FALSE)</f>
        <v>1165.3699999999999</v>
      </c>
      <c r="N2331" s="5">
        <f t="shared" si="36"/>
        <v>3496.1099999999997</v>
      </c>
    </row>
    <row r="2332" spans="1:14" x14ac:dyDescent="0.3">
      <c r="A2332" t="s">
        <v>3188</v>
      </c>
      <c r="B2332" s="2">
        <v>45632</v>
      </c>
      <c r="C2332" t="s">
        <v>393</v>
      </c>
      <c r="D2332" t="s">
        <v>790</v>
      </c>
      <c r="E2332" t="s">
        <v>842</v>
      </c>
      <c r="F2332">
        <v>5</v>
      </c>
      <c r="G2332">
        <v>0.05</v>
      </c>
      <c r="H2332" t="s">
        <v>858</v>
      </c>
      <c r="I2332" t="str">
        <f>VLOOKUP(C2332,Customers!A:C,2,FALSE)&amp;" "&amp;VLOOKUP(C2332,Customers!A:C,3,FALSE)</f>
        <v>Kenneth Berg</v>
      </c>
      <c r="J2332" t="str">
        <f>VLOOKUP(D2332,Products!A:C,2,FALSE)</f>
        <v>Difficult Vegetables</v>
      </c>
      <c r="K2332" t="str">
        <f>VLOOKUP(D2332,Products!A:C,3,FALSE)</f>
        <v>Groceries</v>
      </c>
      <c r="L2332" t="str">
        <f>VLOOKUP(E2332,Stores!A:B,2,FALSE)</f>
        <v>MegaMart Brianahaven</v>
      </c>
      <c r="M2332">
        <f>VLOOKUP(D2332,Products!A:E,5,FALSE)</f>
        <v>304.70999999999998</v>
      </c>
      <c r="N2332" s="5">
        <f t="shared" si="36"/>
        <v>1447.3724999999999</v>
      </c>
    </row>
    <row r="2333" spans="1:14" x14ac:dyDescent="0.3">
      <c r="A2333" t="s">
        <v>3189</v>
      </c>
      <c r="B2333" s="2">
        <v>45867</v>
      </c>
      <c r="C2333" t="s">
        <v>579</v>
      </c>
      <c r="D2333" t="s">
        <v>822</v>
      </c>
      <c r="E2333" t="s">
        <v>835</v>
      </c>
      <c r="F2333">
        <v>2</v>
      </c>
      <c r="G2333">
        <v>0.15</v>
      </c>
      <c r="H2333" t="s">
        <v>865</v>
      </c>
      <c r="I2333" t="str">
        <f>VLOOKUP(C2333,Customers!A:C,2,FALSE)&amp;" "&amp;VLOOKUP(C2333,Customers!A:C,3,FALSE)</f>
        <v>Jill Roach</v>
      </c>
      <c r="J2333" t="str">
        <f>VLOOKUP(D2333,Products!A:C,2,FALSE)</f>
        <v>Nor Bags</v>
      </c>
      <c r="K2333" t="str">
        <f>VLOOKUP(D2333,Products!A:C,3,FALSE)</f>
        <v>Fashion</v>
      </c>
      <c r="L2333" t="str">
        <f>VLOOKUP(E2333,Stores!A:B,2,FALSE)</f>
        <v>MegaMart Peckmouth</v>
      </c>
      <c r="M2333">
        <f>VLOOKUP(D2333,Products!A:E,5,FALSE)</f>
        <v>1216.3599999999999</v>
      </c>
      <c r="N2333" s="5">
        <f t="shared" si="36"/>
        <v>2067.8119999999999</v>
      </c>
    </row>
    <row r="2334" spans="1:14" x14ac:dyDescent="0.3">
      <c r="A2334" t="s">
        <v>3190</v>
      </c>
      <c r="B2334" s="2">
        <v>45856</v>
      </c>
      <c r="C2334" t="s">
        <v>167</v>
      </c>
      <c r="D2334" t="s">
        <v>800</v>
      </c>
      <c r="E2334" t="s">
        <v>831</v>
      </c>
      <c r="F2334">
        <v>4</v>
      </c>
      <c r="G2334">
        <v>0.1</v>
      </c>
      <c r="H2334" t="s">
        <v>858</v>
      </c>
      <c r="I2334" t="str">
        <f>VLOOKUP(C2334,Customers!A:C,2,FALSE)&amp;" "&amp;VLOOKUP(C2334,Customers!A:C,3,FALSE)</f>
        <v>Kenneth Allen</v>
      </c>
      <c r="J2334" t="str">
        <f>VLOOKUP(D2334,Products!A:C,2,FALSE)</f>
        <v>Book Television</v>
      </c>
      <c r="K2334" t="str">
        <f>VLOOKUP(D2334,Products!A:C,3,FALSE)</f>
        <v>Electronics</v>
      </c>
      <c r="L2334" t="str">
        <f>VLOOKUP(E2334,Stores!A:B,2,FALSE)</f>
        <v>MegaMart Jimenezborough</v>
      </c>
      <c r="M2334">
        <f>VLOOKUP(D2334,Products!A:E,5,FALSE)</f>
        <v>1952.65</v>
      </c>
      <c r="N2334" s="5">
        <f t="shared" si="36"/>
        <v>7029.5400000000009</v>
      </c>
    </row>
    <row r="2335" spans="1:14" x14ac:dyDescent="0.3">
      <c r="A2335" t="s">
        <v>3191</v>
      </c>
      <c r="B2335" s="2">
        <v>45217</v>
      </c>
      <c r="C2335" t="s">
        <v>673</v>
      </c>
      <c r="D2335" t="s">
        <v>802</v>
      </c>
      <c r="E2335" t="s">
        <v>831</v>
      </c>
      <c r="F2335">
        <v>2</v>
      </c>
      <c r="G2335">
        <v>0</v>
      </c>
      <c r="H2335" t="s">
        <v>858</v>
      </c>
      <c r="I2335" t="str">
        <f>VLOOKUP(C2335,Customers!A:C,2,FALSE)&amp;" "&amp;VLOOKUP(C2335,Customers!A:C,3,FALSE)</f>
        <v>Karen Quinn</v>
      </c>
      <c r="J2335" t="str">
        <f>VLOOKUP(D2335,Products!A:C,2,FALSE)</f>
        <v>Stage Footwear</v>
      </c>
      <c r="K2335" t="str">
        <f>VLOOKUP(D2335,Products!A:C,3,FALSE)</f>
        <v>Fashion</v>
      </c>
      <c r="L2335" t="str">
        <f>VLOOKUP(E2335,Stores!A:B,2,FALSE)</f>
        <v>MegaMart Jimenezborough</v>
      </c>
      <c r="M2335">
        <f>VLOOKUP(D2335,Products!A:E,5,FALSE)</f>
        <v>366.93</v>
      </c>
      <c r="N2335" s="5">
        <f t="shared" si="36"/>
        <v>733.86</v>
      </c>
    </row>
    <row r="2336" spans="1:14" x14ac:dyDescent="0.3">
      <c r="A2336" t="s">
        <v>3192</v>
      </c>
      <c r="B2336" s="2">
        <v>45890</v>
      </c>
      <c r="C2336" t="s">
        <v>32</v>
      </c>
      <c r="D2336" t="s">
        <v>804</v>
      </c>
      <c r="E2336" t="s">
        <v>835</v>
      </c>
      <c r="F2336">
        <v>1</v>
      </c>
      <c r="G2336">
        <v>0.05</v>
      </c>
      <c r="H2336" t="s">
        <v>858</v>
      </c>
      <c r="I2336" t="str">
        <f>VLOOKUP(C2336,Customers!A:C,2,FALSE)&amp;" "&amp;VLOOKUP(C2336,Customers!A:C,3,FALSE)</f>
        <v>Erin Walker</v>
      </c>
      <c r="J2336" t="str">
        <f>VLOOKUP(D2336,Products!A:C,2,FALSE)</f>
        <v>Church Clothing</v>
      </c>
      <c r="K2336" t="str">
        <f>VLOOKUP(D2336,Products!A:C,3,FALSE)</f>
        <v>Fashion</v>
      </c>
      <c r="L2336" t="str">
        <f>VLOOKUP(E2336,Stores!A:B,2,FALSE)</f>
        <v>MegaMart Peckmouth</v>
      </c>
      <c r="M2336">
        <f>VLOOKUP(D2336,Products!A:E,5,FALSE)</f>
        <v>540.94000000000005</v>
      </c>
      <c r="N2336" s="5">
        <f t="shared" si="36"/>
        <v>513.89300000000003</v>
      </c>
    </row>
    <row r="2337" spans="1:14" x14ac:dyDescent="0.3">
      <c r="A2337" t="s">
        <v>3193</v>
      </c>
      <c r="B2337" s="2">
        <v>45340</v>
      </c>
      <c r="C2337" t="s">
        <v>407</v>
      </c>
      <c r="D2337" t="s">
        <v>772</v>
      </c>
      <c r="E2337" t="s">
        <v>839</v>
      </c>
      <c r="F2337">
        <v>2</v>
      </c>
      <c r="G2337">
        <v>0.15</v>
      </c>
      <c r="H2337" t="s">
        <v>861</v>
      </c>
      <c r="I2337" t="str">
        <f>VLOOKUP(C2337,Customers!A:C,2,FALSE)&amp;" "&amp;VLOOKUP(C2337,Customers!A:C,3,FALSE)</f>
        <v>Austin Hogan</v>
      </c>
      <c r="J2337" t="str">
        <f>VLOOKUP(D2337,Products!A:C,2,FALSE)</f>
        <v>And Footwear</v>
      </c>
      <c r="K2337" t="str">
        <f>VLOOKUP(D2337,Products!A:C,3,FALSE)</f>
        <v>Fashion</v>
      </c>
      <c r="L2337" t="str">
        <f>VLOOKUP(E2337,Stores!A:B,2,FALSE)</f>
        <v>MegaMart New Michele</v>
      </c>
      <c r="M2337">
        <f>VLOOKUP(D2337,Products!A:E,5,FALSE)</f>
        <v>1878.47</v>
      </c>
      <c r="N2337" s="5">
        <f t="shared" si="36"/>
        <v>3193.3989999999999</v>
      </c>
    </row>
    <row r="2338" spans="1:14" x14ac:dyDescent="0.3">
      <c r="A2338" t="s">
        <v>3194</v>
      </c>
      <c r="B2338" s="2">
        <v>45608</v>
      </c>
      <c r="C2338" t="s">
        <v>647</v>
      </c>
      <c r="D2338" t="s">
        <v>804</v>
      </c>
      <c r="E2338" t="s">
        <v>839</v>
      </c>
      <c r="F2338">
        <v>1</v>
      </c>
      <c r="G2338">
        <v>0.1</v>
      </c>
      <c r="H2338" t="s">
        <v>855</v>
      </c>
      <c r="I2338" t="str">
        <f>VLOOKUP(C2338,Customers!A:C,2,FALSE)&amp;" "&amp;VLOOKUP(C2338,Customers!A:C,3,FALSE)</f>
        <v>Mary Dawson</v>
      </c>
      <c r="J2338" t="str">
        <f>VLOOKUP(D2338,Products!A:C,2,FALSE)</f>
        <v>Church Clothing</v>
      </c>
      <c r="K2338" t="str">
        <f>VLOOKUP(D2338,Products!A:C,3,FALSE)</f>
        <v>Fashion</v>
      </c>
      <c r="L2338" t="str">
        <f>VLOOKUP(E2338,Stores!A:B,2,FALSE)</f>
        <v>MegaMart New Michele</v>
      </c>
      <c r="M2338">
        <f>VLOOKUP(D2338,Products!A:E,5,FALSE)</f>
        <v>540.94000000000005</v>
      </c>
      <c r="N2338" s="5">
        <f t="shared" si="36"/>
        <v>486.84600000000006</v>
      </c>
    </row>
    <row r="2339" spans="1:14" x14ac:dyDescent="0.3">
      <c r="A2339" t="s">
        <v>3195</v>
      </c>
      <c r="B2339" s="2">
        <v>45670</v>
      </c>
      <c r="C2339" t="s">
        <v>549</v>
      </c>
      <c r="D2339" t="s">
        <v>820</v>
      </c>
      <c r="E2339" t="s">
        <v>846</v>
      </c>
      <c r="F2339">
        <v>5</v>
      </c>
      <c r="G2339">
        <v>0</v>
      </c>
      <c r="H2339" t="s">
        <v>865</v>
      </c>
      <c r="I2339" t="str">
        <f>VLOOKUP(C2339,Customers!A:C,2,FALSE)&amp;" "&amp;VLOOKUP(C2339,Customers!A:C,3,FALSE)</f>
        <v>Brittany Green</v>
      </c>
      <c r="J2339" t="str">
        <f>VLOOKUP(D2339,Products!A:C,2,FALSE)</f>
        <v>Or Smartphone</v>
      </c>
      <c r="K2339" t="str">
        <f>VLOOKUP(D2339,Products!A:C,3,FALSE)</f>
        <v>Electronics</v>
      </c>
      <c r="L2339" t="str">
        <f>VLOOKUP(E2339,Stores!A:B,2,FALSE)</f>
        <v>MegaMart Johnmouth</v>
      </c>
      <c r="M2339">
        <f>VLOOKUP(D2339,Products!A:E,5,FALSE)</f>
        <v>1197.18</v>
      </c>
      <c r="N2339" s="5">
        <f t="shared" si="36"/>
        <v>5985.9000000000005</v>
      </c>
    </row>
    <row r="2340" spans="1:14" x14ac:dyDescent="0.3">
      <c r="A2340" t="s">
        <v>3196</v>
      </c>
      <c r="B2340" s="2">
        <v>45449</v>
      </c>
      <c r="C2340" t="s">
        <v>77</v>
      </c>
      <c r="D2340" t="s">
        <v>790</v>
      </c>
      <c r="E2340" t="s">
        <v>839</v>
      </c>
      <c r="F2340">
        <v>4</v>
      </c>
      <c r="G2340">
        <v>0.15</v>
      </c>
      <c r="H2340" t="s">
        <v>858</v>
      </c>
      <c r="I2340" t="str">
        <f>VLOOKUP(C2340,Customers!A:C,2,FALSE)&amp;" "&amp;VLOOKUP(C2340,Customers!A:C,3,FALSE)</f>
        <v>John Smith</v>
      </c>
      <c r="J2340" t="str">
        <f>VLOOKUP(D2340,Products!A:C,2,FALSE)</f>
        <v>Difficult Vegetables</v>
      </c>
      <c r="K2340" t="str">
        <f>VLOOKUP(D2340,Products!A:C,3,FALSE)</f>
        <v>Groceries</v>
      </c>
      <c r="L2340" t="str">
        <f>VLOOKUP(E2340,Stores!A:B,2,FALSE)</f>
        <v>MegaMart New Michele</v>
      </c>
      <c r="M2340">
        <f>VLOOKUP(D2340,Products!A:E,5,FALSE)</f>
        <v>304.70999999999998</v>
      </c>
      <c r="N2340" s="5">
        <f t="shared" si="36"/>
        <v>1036.0139999999999</v>
      </c>
    </row>
    <row r="2341" spans="1:14" x14ac:dyDescent="0.3">
      <c r="A2341" t="s">
        <v>3197</v>
      </c>
      <c r="B2341" s="2">
        <v>45409</v>
      </c>
      <c r="C2341" t="s">
        <v>670</v>
      </c>
      <c r="D2341" t="s">
        <v>725</v>
      </c>
      <c r="E2341" t="s">
        <v>842</v>
      </c>
      <c r="F2341">
        <v>3</v>
      </c>
      <c r="G2341">
        <v>0.15</v>
      </c>
      <c r="H2341" t="s">
        <v>861</v>
      </c>
      <c r="I2341" t="str">
        <f>VLOOKUP(C2341,Customers!A:C,2,FALSE)&amp;" "&amp;VLOOKUP(C2341,Customers!A:C,3,FALSE)</f>
        <v>Daniel Lawson</v>
      </c>
      <c r="J2341" t="str">
        <f>VLOOKUP(D2341,Products!A:C,2,FALSE)</f>
        <v>Knowledge Bags</v>
      </c>
      <c r="K2341" t="str">
        <f>VLOOKUP(D2341,Products!A:C,3,FALSE)</f>
        <v>Fashion</v>
      </c>
      <c r="L2341" t="str">
        <f>VLOOKUP(E2341,Stores!A:B,2,FALSE)</f>
        <v>MegaMart Brianahaven</v>
      </c>
      <c r="M2341">
        <f>VLOOKUP(D2341,Products!A:E,5,FALSE)</f>
        <v>1396.22</v>
      </c>
      <c r="N2341" s="5">
        <f t="shared" si="36"/>
        <v>3560.3609999999999</v>
      </c>
    </row>
    <row r="2342" spans="1:14" x14ac:dyDescent="0.3">
      <c r="A2342" t="s">
        <v>3198</v>
      </c>
      <c r="B2342" s="2">
        <v>45322</v>
      </c>
      <c r="C2342" t="s">
        <v>664</v>
      </c>
      <c r="D2342" t="s">
        <v>755</v>
      </c>
      <c r="E2342" t="s">
        <v>835</v>
      </c>
      <c r="F2342">
        <v>5</v>
      </c>
      <c r="G2342">
        <v>0</v>
      </c>
      <c r="H2342" t="s">
        <v>861</v>
      </c>
      <c r="I2342" t="str">
        <f>VLOOKUP(C2342,Customers!A:C,2,FALSE)&amp;" "&amp;VLOOKUP(C2342,Customers!A:C,3,FALSE)</f>
        <v>Ryan Flores</v>
      </c>
      <c r="J2342" t="str">
        <f>VLOOKUP(D2342,Products!A:C,2,FALSE)</f>
        <v>House Accessories</v>
      </c>
      <c r="K2342" t="str">
        <f>VLOOKUP(D2342,Products!A:C,3,FALSE)</f>
        <v>Fashion</v>
      </c>
      <c r="L2342" t="str">
        <f>VLOOKUP(E2342,Stores!A:B,2,FALSE)</f>
        <v>MegaMart Peckmouth</v>
      </c>
      <c r="M2342">
        <f>VLOOKUP(D2342,Products!A:E,5,FALSE)</f>
        <v>1858.75</v>
      </c>
      <c r="N2342" s="5">
        <f t="shared" si="36"/>
        <v>9293.75</v>
      </c>
    </row>
    <row r="2343" spans="1:14" x14ac:dyDescent="0.3">
      <c r="A2343" t="s">
        <v>3199</v>
      </c>
      <c r="B2343" s="2">
        <v>45837</v>
      </c>
      <c r="C2343" t="s">
        <v>12</v>
      </c>
      <c r="D2343" t="s">
        <v>782</v>
      </c>
      <c r="E2343" t="s">
        <v>846</v>
      </c>
      <c r="F2343">
        <v>5</v>
      </c>
      <c r="G2343">
        <v>0.1</v>
      </c>
      <c r="H2343" t="s">
        <v>858</v>
      </c>
      <c r="I2343" t="str">
        <f>VLOOKUP(C2343,Customers!A:C,2,FALSE)&amp;" "&amp;VLOOKUP(C2343,Customers!A:C,3,FALSE)</f>
        <v>Michael Miller</v>
      </c>
      <c r="J2343" t="str">
        <f>VLOOKUP(D2343,Products!A:C,2,FALSE)</f>
        <v>Deal Smartphone</v>
      </c>
      <c r="K2343" t="str">
        <f>VLOOKUP(D2343,Products!A:C,3,FALSE)</f>
        <v>Electronics</v>
      </c>
      <c r="L2343" t="str">
        <f>VLOOKUP(E2343,Stores!A:B,2,FALSE)</f>
        <v>MegaMart Johnmouth</v>
      </c>
      <c r="M2343">
        <f>VLOOKUP(D2343,Products!A:E,5,FALSE)</f>
        <v>673.78</v>
      </c>
      <c r="N2343" s="5">
        <f t="shared" si="36"/>
        <v>3032.0099999999998</v>
      </c>
    </row>
    <row r="2344" spans="1:14" x14ac:dyDescent="0.3">
      <c r="A2344" t="s">
        <v>3200</v>
      </c>
      <c r="B2344" s="2">
        <v>45361</v>
      </c>
      <c r="C2344" t="s">
        <v>368</v>
      </c>
      <c r="D2344" t="s">
        <v>814</v>
      </c>
      <c r="E2344" t="s">
        <v>839</v>
      </c>
      <c r="F2344">
        <v>4</v>
      </c>
      <c r="G2344">
        <v>0.05</v>
      </c>
      <c r="H2344" t="s">
        <v>855</v>
      </c>
      <c r="I2344" t="str">
        <f>VLOOKUP(C2344,Customers!A:C,2,FALSE)&amp;" "&amp;VLOOKUP(C2344,Customers!A:C,3,FALSE)</f>
        <v>Lisa Vega</v>
      </c>
      <c r="J2344" t="str">
        <f>VLOOKUP(D2344,Products!A:C,2,FALSE)</f>
        <v>Least Accessories</v>
      </c>
      <c r="K2344" t="str">
        <f>VLOOKUP(D2344,Products!A:C,3,FALSE)</f>
        <v>Fashion</v>
      </c>
      <c r="L2344" t="str">
        <f>VLOOKUP(E2344,Stores!A:B,2,FALSE)</f>
        <v>MegaMart New Michele</v>
      </c>
      <c r="M2344">
        <f>VLOOKUP(D2344,Products!A:E,5,FALSE)</f>
        <v>1286.55</v>
      </c>
      <c r="N2344" s="5">
        <f t="shared" si="36"/>
        <v>4888.8899999999994</v>
      </c>
    </row>
    <row r="2345" spans="1:14" x14ac:dyDescent="0.3">
      <c r="A2345" t="s">
        <v>3201</v>
      </c>
      <c r="B2345" s="2">
        <v>45876</v>
      </c>
      <c r="C2345" t="s">
        <v>696</v>
      </c>
      <c r="D2345" t="s">
        <v>786</v>
      </c>
      <c r="E2345" t="s">
        <v>831</v>
      </c>
      <c r="F2345">
        <v>2</v>
      </c>
      <c r="G2345">
        <v>0.1</v>
      </c>
      <c r="H2345" t="s">
        <v>858</v>
      </c>
      <c r="I2345" t="str">
        <f>VLOOKUP(C2345,Customers!A:C,2,FALSE)&amp;" "&amp;VLOOKUP(C2345,Customers!A:C,3,FALSE)</f>
        <v>Jessica Mullins</v>
      </c>
      <c r="J2345" t="str">
        <f>VLOOKUP(D2345,Products!A:C,2,FALSE)</f>
        <v>National Watches</v>
      </c>
      <c r="K2345" t="str">
        <f>VLOOKUP(D2345,Products!A:C,3,FALSE)</f>
        <v>Fashion</v>
      </c>
      <c r="L2345" t="str">
        <f>VLOOKUP(E2345,Stores!A:B,2,FALSE)</f>
        <v>MegaMart Jimenezborough</v>
      </c>
      <c r="M2345">
        <f>VLOOKUP(D2345,Products!A:E,5,FALSE)</f>
        <v>29.24</v>
      </c>
      <c r="N2345" s="5">
        <f t="shared" si="36"/>
        <v>52.631999999999998</v>
      </c>
    </row>
    <row r="2346" spans="1:14" x14ac:dyDescent="0.3">
      <c r="A2346" t="s">
        <v>3202</v>
      </c>
      <c r="B2346" s="2">
        <v>45727</v>
      </c>
      <c r="C2346" t="s">
        <v>331</v>
      </c>
      <c r="D2346" t="s">
        <v>769</v>
      </c>
      <c r="E2346" t="s">
        <v>831</v>
      </c>
      <c r="F2346">
        <v>5</v>
      </c>
      <c r="G2346">
        <v>0.15</v>
      </c>
      <c r="H2346" t="s">
        <v>855</v>
      </c>
      <c r="I2346" t="str">
        <f>VLOOKUP(C2346,Customers!A:C,2,FALSE)&amp;" "&amp;VLOOKUP(C2346,Customers!A:C,3,FALSE)</f>
        <v>Brenda Costa</v>
      </c>
      <c r="J2346" t="str">
        <f>VLOOKUP(D2346,Products!A:C,2,FALSE)</f>
        <v>How Vegetables</v>
      </c>
      <c r="K2346" t="str">
        <f>VLOOKUP(D2346,Products!A:C,3,FALSE)</f>
        <v>Groceries</v>
      </c>
      <c r="L2346" t="str">
        <f>VLOOKUP(E2346,Stores!A:B,2,FALSE)</f>
        <v>MegaMart Jimenezborough</v>
      </c>
      <c r="M2346">
        <f>VLOOKUP(D2346,Products!A:E,5,FALSE)</f>
        <v>25.57</v>
      </c>
      <c r="N2346" s="5">
        <f t="shared" si="36"/>
        <v>108.67249999999999</v>
      </c>
    </row>
    <row r="2347" spans="1:14" x14ac:dyDescent="0.3">
      <c r="A2347" t="s">
        <v>3203</v>
      </c>
      <c r="B2347" s="2">
        <v>45394</v>
      </c>
      <c r="C2347" t="s">
        <v>313</v>
      </c>
      <c r="D2347" t="s">
        <v>747</v>
      </c>
      <c r="E2347" t="s">
        <v>842</v>
      </c>
      <c r="F2347">
        <v>3</v>
      </c>
      <c r="G2347">
        <v>0.05</v>
      </c>
      <c r="H2347" t="s">
        <v>861</v>
      </c>
      <c r="I2347" t="str">
        <f>VLOOKUP(C2347,Customers!A:C,2,FALSE)&amp;" "&amp;VLOOKUP(C2347,Customers!A:C,3,FALSE)</f>
        <v>Jeremy Robles</v>
      </c>
      <c r="J2347" t="str">
        <f>VLOOKUP(D2347,Products!A:C,2,FALSE)</f>
        <v>World Watches</v>
      </c>
      <c r="K2347" t="str">
        <f>VLOOKUP(D2347,Products!A:C,3,FALSE)</f>
        <v>Fashion</v>
      </c>
      <c r="L2347" t="str">
        <f>VLOOKUP(E2347,Stores!A:B,2,FALSE)</f>
        <v>MegaMart Brianahaven</v>
      </c>
      <c r="M2347">
        <f>VLOOKUP(D2347,Products!A:E,5,FALSE)</f>
        <v>1134.8</v>
      </c>
      <c r="N2347" s="5">
        <f t="shared" si="36"/>
        <v>3234.1799999999994</v>
      </c>
    </row>
    <row r="2348" spans="1:14" x14ac:dyDescent="0.3">
      <c r="A2348" t="s">
        <v>3204</v>
      </c>
      <c r="B2348" s="2">
        <v>45790</v>
      </c>
      <c r="C2348" t="s">
        <v>48</v>
      </c>
      <c r="D2348" t="s">
        <v>792</v>
      </c>
      <c r="E2348" t="s">
        <v>835</v>
      </c>
      <c r="F2348">
        <v>4</v>
      </c>
      <c r="G2348">
        <v>0.1</v>
      </c>
      <c r="H2348" t="s">
        <v>855</v>
      </c>
      <c r="I2348" t="str">
        <f>VLOOKUP(C2348,Customers!A:C,2,FALSE)&amp;" "&amp;VLOOKUP(C2348,Customers!A:C,3,FALSE)</f>
        <v>Haley Williams</v>
      </c>
      <c r="J2348" t="str">
        <f>VLOOKUP(D2348,Products!A:C,2,FALSE)</f>
        <v>Beat Accessories</v>
      </c>
      <c r="K2348" t="str">
        <f>VLOOKUP(D2348,Products!A:C,3,FALSE)</f>
        <v>Fashion</v>
      </c>
      <c r="L2348" t="str">
        <f>VLOOKUP(E2348,Stores!A:B,2,FALSE)</f>
        <v>MegaMart Peckmouth</v>
      </c>
      <c r="M2348">
        <f>VLOOKUP(D2348,Products!A:E,5,FALSE)</f>
        <v>1798.97</v>
      </c>
      <c r="N2348" s="5">
        <f t="shared" si="36"/>
        <v>6476.2920000000004</v>
      </c>
    </row>
    <row r="2349" spans="1:14" x14ac:dyDescent="0.3">
      <c r="A2349" t="s">
        <v>3205</v>
      </c>
      <c r="B2349" s="2">
        <v>45470</v>
      </c>
      <c r="C2349" t="s">
        <v>105</v>
      </c>
      <c r="D2349" t="s">
        <v>820</v>
      </c>
      <c r="E2349" t="s">
        <v>839</v>
      </c>
      <c r="F2349">
        <v>3</v>
      </c>
      <c r="G2349">
        <v>0.05</v>
      </c>
      <c r="H2349" t="s">
        <v>865</v>
      </c>
      <c r="I2349" t="str">
        <f>VLOOKUP(C2349,Customers!A:C,2,FALSE)&amp;" "&amp;VLOOKUP(C2349,Customers!A:C,3,FALSE)</f>
        <v>Justin Macdonald</v>
      </c>
      <c r="J2349" t="str">
        <f>VLOOKUP(D2349,Products!A:C,2,FALSE)</f>
        <v>Or Smartphone</v>
      </c>
      <c r="K2349" t="str">
        <f>VLOOKUP(D2349,Products!A:C,3,FALSE)</f>
        <v>Electronics</v>
      </c>
      <c r="L2349" t="str">
        <f>VLOOKUP(E2349,Stores!A:B,2,FALSE)</f>
        <v>MegaMart New Michele</v>
      </c>
      <c r="M2349">
        <f>VLOOKUP(D2349,Products!A:E,5,FALSE)</f>
        <v>1197.18</v>
      </c>
      <c r="N2349" s="5">
        <f t="shared" si="36"/>
        <v>3411.9629999999997</v>
      </c>
    </row>
    <row r="2350" spans="1:14" x14ac:dyDescent="0.3">
      <c r="A2350" t="s">
        <v>3206</v>
      </c>
      <c r="B2350" s="2">
        <v>45845</v>
      </c>
      <c r="C2350" t="s">
        <v>280</v>
      </c>
      <c r="D2350" t="s">
        <v>736</v>
      </c>
      <c r="E2350" t="s">
        <v>839</v>
      </c>
      <c r="F2350">
        <v>4</v>
      </c>
      <c r="G2350">
        <v>0.15</v>
      </c>
      <c r="H2350" t="s">
        <v>861</v>
      </c>
      <c r="I2350" t="str">
        <f>VLOOKUP(C2350,Customers!A:C,2,FALSE)&amp;" "&amp;VLOOKUP(C2350,Customers!A:C,3,FALSE)</f>
        <v>Jesus Singh</v>
      </c>
      <c r="J2350" t="str">
        <f>VLOOKUP(D2350,Products!A:C,2,FALSE)</f>
        <v>Us Snacks</v>
      </c>
      <c r="K2350" t="str">
        <f>VLOOKUP(D2350,Products!A:C,3,FALSE)</f>
        <v>Groceries</v>
      </c>
      <c r="L2350" t="str">
        <f>VLOOKUP(E2350,Stores!A:B,2,FALSE)</f>
        <v>MegaMart New Michele</v>
      </c>
      <c r="M2350">
        <f>VLOOKUP(D2350,Products!A:E,5,FALSE)</f>
        <v>123.19</v>
      </c>
      <c r="N2350" s="5">
        <f t="shared" si="36"/>
        <v>418.846</v>
      </c>
    </row>
    <row r="2351" spans="1:14" x14ac:dyDescent="0.3">
      <c r="A2351" t="s">
        <v>3207</v>
      </c>
      <c r="B2351" s="2">
        <v>45793</v>
      </c>
      <c r="C2351" t="s">
        <v>171</v>
      </c>
      <c r="D2351" t="s">
        <v>776</v>
      </c>
      <c r="E2351" t="s">
        <v>839</v>
      </c>
      <c r="F2351">
        <v>3</v>
      </c>
      <c r="G2351">
        <v>0</v>
      </c>
      <c r="H2351" t="s">
        <v>861</v>
      </c>
      <c r="I2351" t="str">
        <f>VLOOKUP(C2351,Customers!A:C,2,FALSE)&amp;" "&amp;VLOOKUP(C2351,Customers!A:C,3,FALSE)</f>
        <v>Parker Sparks</v>
      </c>
      <c r="J2351" t="str">
        <f>VLOOKUP(D2351,Products!A:C,2,FALSE)</f>
        <v>Little Watches</v>
      </c>
      <c r="K2351" t="str">
        <f>VLOOKUP(D2351,Products!A:C,3,FALSE)</f>
        <v>Fashion</v>
      </c>
      <c r="L2351" t="str">
        <f>VLOOKUP(E2351,Stores!A:B,2,FALSE)</f>
        <v>MegaMart New Michele</v>
      </c>
      <c r="M2351">
        <f>VLOOKUP(D2351,Products!A:E,5,FALSE)</f>
        <v>429.15</v>
      </c>
      <c r="N2351" s="5">
        <f t="shared" si="36"/>
        <v>1287.4499999999998</v>
      </c>
    </row>
    <row r="2352" spans="1:14" x14ac:dyDescent="0.3">
      <c r="A2352" t="s">
        <v>3208</v>
      </c>
      <c r="B2352" s="2">
        <v>45459</v>
      </c>
      <c r="C2352" t="s">
        <v>608</v>
      </c>
      <c r="D2352" t="s">
        <v>757</v>
      </c>
      <c r="E2352" t="s">
        <v>839</v>
      </c>
      <c r="F2352">
        <v>2</v>
      </c>
      <c r="G2352">
        <v>0</v>
      </c>
      <c r="H2352" t="s">
        <v>861</v>
      </c>
      <c r="I2352" t="str">
        <f>VLOOKUP(C2352,Customers!A:C,2,FALSE)&amp;" "&amp;VLOOKUP(C2352,Customers!A:C,3,FALSE)</f>
        <v>Christina Dominguez</v>
      </c>
      <c r="J2352" t="str">
        <f>VLOOKUP(D2352,Products!A:C,2,FALSE)</f>
        <v>Find Headphones</v>
      </c>
      <c r="K2352" t="str">
        <f>VLOOKUP(D2352,Products!A:C,3,FALSE)</f>
        <v>Electronics</v>
      </c>
      <c r="L2352" t="str">
        <f>VLOOKUP(E2352,Stores!A:B,2,FALSE)</f>
        <v>MegaMart New Michele</v>
      </c>
      <c r="M2352">
        <f>VLOOKUP(D2352,Products!A:E,5,FALSE)</f>
        <v>1246.1099999999999</v>
      </c>
      <c r="N2352" s="5">
        <f t="shared" si="36"/>
        <v>2492.2199999999998</v>
      </c>
    </row>
    <row r="2353" spans="1:14" x14ac:dyDescent="0.3">
      <c r="A2353" t="s">
        <v>3209</v>
      </c>
      <c r="B2353" s="2">
        <v>45822</v>
      </c>
      <c r="C2353" t="s">
        <v>516</v>
      </c>
      <c r="D2353" t="s">
        <v>715</v>
      </c>
      <c r="E2353" t="s">
        <v>846</v>
      </c>
      <c r="F2353">
        <v>2</v>
      </c>
      <c r="G2353">
        <v>0</v>
      </c>
      <c r="H2353" t="s">
        <v>865</v>
      </c>
      <c r="I2353" t="str">
        <f>VLOOKUP(C2353,Customers!A:C,2,FALSE)&amp;" "&amp;VLOOKUP(C2353,Customers!A:C,3,FALSE)</f>
        <v>Suzanne Fox</v>
      </c>
      <c r="J2353" t="str">
        <f>VLOOKUP(D2353,Products!A:C,2,FALSE)</f>
        <v>Audience Television</v>
      </c>
      <c r="K2353" t="str">
        <f>VLOOKUP(D2353,Products!A:C,3,FALSE)</f>
        <v>Electronics</v>
      </c>
      <c r="L2353" t="str">
        <f>VLOOKUP(E2353,Stores!A:B,2,FALSE)</f>
        <v>MegaMart Johnmouth</v>
      </c>
      <c r="M2353">
        <f>VLOOKUP(D2353,Products!A:E,5,FALSE)</f>
        <v>818.76</v>
      </c>
      <c r="N2353" s="5">
        <f t="shared" si="36"/>
        <v>1637.52</v>
      </c>
    </row>
    <row r="2354" spans="1:14" x14ac:dyDescent="0.3">
      <c r="A2354" t="s">
        <v>3210</v>
      </c>
      <c r="B2354" s="2">
        <v>45389</v>
      </c>
      <c r="C2354" t="s">
        <v>505</v>
      </c>
      <c r="D2354" t="s">
        <v>750</v>
      </c>
      <c r="E2354" t="s">
        <v>846</v>
      </c>
      <c r="F2354">
        <v>2</v>
      </c>
      <c r="G2354">
        <v>0</v>
      </c>
      <c r="H2354" t="s">
        <v>858</v>
      </c>
      <c r="I2354" t="str">
        <f>VLOOKUP(C2354,Customers!A:C,2,FALSE)&amp;" "&amp;VLOOKUP(C2354,Customers!A:C,3,FALSE)</f>
        <v>Alexander Mcfarland</v>
      </c>
      <c r="J2354" t="str">
        <f>VLOOKUP(D2354,Products!A:C,2,FALSE)</f>
        <v>Add Clothing</v>
      </c>
      <c r="K2354" t="str">
        <f>VLOOKUP(D2354,Products!A:C,3,FALSE)</f>
        <v>Fashion</v>
      </c>
      <c r="L2354" t="str">
        <f>VLOOKUP(E2354,Stores!A:B,2,FALSE)</f>
        <v>MegaMart Johnmouth</v>
      </c>
      <c r="M2354">
        <f>VLOOKUP(D2354,Products!A:E,5,FALSE)</f>
        <v>1342.75</v>
      </c>
      <c r="N2354" s="5">
        <f t="shared" si="36"/>
        <v>2685.5</v>
      </c>
    </row>
    <row r="2355" spans="1:14" x14ac:dyDescent="0.3">
      <c r="A2355" t="s">
        <v>3211</v>
      </c>
      <c r="B2355" s="2">
        <v>45648</v>
      </c>
      <c r="C2355" t="s">
        <v>32</v>
      </c>
      <c r="D2355" t="s">
        <v>804</v>
      </c>
      <c r="E2355" t="s">
        <v>839</v>
      </c>
      <c r="F2355">
        <v>2</v>
      </c>
      <c r="G2355">
        <v>0.1</v>
      </c>
      <c r="H2355" t="s">
        <v>858</v>
      </c>
      <c r="I2355" t="str">
        <f>VLOOKUP(C2355,Customers!A:C,2,FALSE)&amp;" "&amp;VLOOKUP(C2355,Customers!A:C,3,FALSE)</f>
        <v>Erin Walker</v>
      </c>
      <c r="J2355" t="str">
        <f>VLOOKUP(D2355,Products!A:C,2,FALSE)</f>
        <v>Church Clothing</v>
      </c>
      <c r="K2355" t="str">
        <f>VLOOKUP(D2355,Products!A:C,3,FALSE)</f>
        <v>Fashion</v>
      </c>
      <c r="L2355" t="str">
        <f>VLOOKUP(E2355,Stores!A:B,2,FALSE)</f>
        <v>MegaMart New Michele</v>
      </c>
      <c r="M2355">
        <f>VLOOKUP(D2355,Products!A:E,5,FALSE)</f>
        <v>540.94000000000005</v>
      </c>
      <c r="N2355" s="5">
        <f t="shared" si="36"/>
        <v>973.69200000000012</v>
      </c>
    </row>
    <row r="2356" spans="1:14" x14ac:dyDescent="0.3">
      <c r="A2356" t="s">
        <v>3212</v>
      </c>
      <c r="B2356" s="2">
        <v>45415</v>
      </c>
      <c r="C2356" t="s">
        <v>664</v>
      </c>
      <c r="D2356" t="s">
        <v>742</v>
      </c>
      <c r="E2356" t="s">
        <v>842</v>
      </c>
      <c r="F2356">
        <v>5</v>
      </c>
      <c r="G2356">
        <v>0.05</v>
      </c>
      <c r="H2356" t="s">
        <v>858</v>
      </c>
      <c r="I2356" t="str">
        <f>VLOOKUP(C2356,Customers!A:C,2,FALSE)&amp;" "&amp;VLOOKUP(C2356,Customers!A:C,3,FALSE)</f>
        <v>Ryan Flores</v>
      </c>
      <c r="J2356" t="str">
        <f>VLOOKUP(D2356,Products!A:C,2,FALSE)</f>
        <v>Either Headphones</v>
      </c>
      <c r="K2356" t="str">
        <f>VLOOKUP(D2356,Products!A:C,3,FALSE)</f>
        <v>Electronics</v>
      </c>
      <c r="L2356" t="str">
        <f>VLOOKUP(E2356,Stores!A:B,2,FALSE)</f>
        <v>MegaMart Brianahaven</v>
      </c>
      <c r="M2356">
        <f>VLOOKUP(D2356,Products!A:E,5,FALSE)</f>
        <v>248.57</v>
      </c>
      <c r="N2356" s="5">
        <f t="shared" si="36"/>
        <v>1180.7074999999998</v>
      </c>
    </row>
    <row r="2357" spans="1:14" x14ac:dyDescent="0.3">
      <c r="A2357" t="s">
        <v>3213</v>
      </c>
      <c r="B2357" s="2">
        <v>45285</v>
      </c>
      <c r="C2357" t="s">
        <v>287</v>
      </c>
      <c r="D2357" t="s">
        <v>742</v>
      </c>
      <c r="E2357" t="s">
        <v>831</v>
      </c>
      <c r="F2357">
        <v>1</v>
      </c>
      <c r="G2357">
        <v>0.15</v>
      </c>
      <c r="H2357" t="s">
        <v>858</v>
      </c>
      <c r="I2357" t="str">
        <f>VLOOKUP(C2357,Customers!A:C,2,FALSE)&amp;" "&amp;VLOOKUP(C2357,Customers!A:C,3,FALSE)</f>
        <v>Phyllis Durham</v>
      </c>
      <c r="J2357" t="str">
        <f>VLOOKUP(D2357,Products!A:C,2,FALSE)</f>
        <v>Either Headphones</v>
      </c>
      <c r="K2357" t="str">
        <f>VLOOKUP(D2357,Products!A:C,3,FALSE)</f>
        <v>Electronics</v>
      </c>
      <c r="L2357" t="str">
        <f>VLOOKUP(E2357,Stores!A:B,2,FALSE)</f>
        <v>MegaMart Jimenezborough</v>
      </c>
      <c r="M2357">
        <f>VLOOKUP(D2357,Products!A:E,5,FALSE)</f>
        <v>248.57</v>
      </c>
      <c r="N2357" s="5">
        <f t="shared" si="36"/>
        <v>211.28449999999998</v>
      </c>
    </row>
    <row r="2358" spans="1:14" x14ac:dyDescent="0.3">
      <c r="A2358" t="s">
        <v>3214</v>
      </c>
      <c r="B2358" s="2">
        <v>45280</v>
      </c>
      <c r="C2358" t="s">
        <v>467</v>
      </c>
      <c r="D2358" t="s">
        <v>792</v>
      </c>
      <c r="E2358" t="s">
        <v>839</v>
      </c>
      <c r="F2358">
        <v>1</v>
      </c>
      <c r="G2358">
        <v>0.05</v>
      </c>
      <c r="H2358" t="s">
        <v>855</v>
      </c>
      <c r="I2358" t="str">
        <f>VLOOKUP(C2358,Customers!A:C,2,FALSE)&amp;" "&amp;VLOOKUP(C2358,Customers!A:C,3,FALSE)</f>
        <v>John Allen</v>
      </c>
      <c r="J2358" t="str">
        <f>VLOOKUP(D2358,Products!A:C,2,FALSE)</f>
        <v>Beat Accessories</v>
      </c>
      <c r="K2358" t="str">
        <f>VLOOKUP(D2358,Products!A:C,3,FALSE)</f>
        <v>Fashion</v>
      </c>
      <c r="L2358" t="str">
        <f>VLOOKUP(E2358,Stores!A:B,2,FALSE)</f>
        <v>MegaMart New Michele</v>
      </c>
      <c r="M2358">
        <f>VLOOKUP(D2358,Products!A:E,5,FALSE)</f>
        <v>1798.97</v>
      </c>
      <c r="N2358" s="5">
        <f t="shared" si="36"/>
        <v>1709.0214999999998</v>
      </c>
    </row>
    <row r="2359" spans="1:14" x14ac:dyDescent="0.3">
      <c r="A2359" t="s">
        <v>3215</v>
      </c>
      <c r="B2359" s="2">
        <v>45860</v>
      </c>
      <c r="C2359" t="s">
        <v>664</v>
      </c>
      <c r="D2359" t="s">
        <v>798</v>
      </c>
      <c r="E2359" t="s">
        <v>831</v>
      </c>
      <c r="F2359">
        <v>3</v>
      </c>
      <c r="G2359">
        <v>0</v>
      </c>
      <c r="H2359" t="s">
        <v>861</v>
      </c>
      <c r="I2359" t="str">
        <f>VLOOKUP(C2359,Customers!A:C,2,FALSE)&amp;" "&amp;VLOOKUP(C2359,Customers!A:C,3,FALSE)</f>
        <v>Ryan Flores</v>
      </c>
      <c r="J2359" t="str">
        <f>VLOOKUP(D2359,Products!A:C,2,FALSE)</f>
        <v>New Watches</v>
      </c>
      <c r="K2359" t="str">
        <f>VLOOKUP(D2359,Products!A:C,3,FALSE)</f>
        <v>Fashion</v>
      </c>
      <c r="L2359" t="str">
        <f>VLOOKUP(E2359,Stores!A:B,2,FALSE)</f>
        <v>MegaMart Jimenezborough</v>
      </c>
      <c r="M2359">
        <f>VLOOKUP(D2359,Products!A:E,5,FALSE)</f>
        <v>1501.46</v>
      </c>
      <c r="N2359" s="5">
        <f t="shared" si="36"/>
        <v>4504.38</v>
      </c>
    </row>
    <row r="2360" spans="1:14" x14ac:dyDescent="0.3">
      <c r="A2360" t="s">
        <v>3216</v>
      </c>
      <c r="B2360" s="2">
        <v>45601</v>
      </c>
      <c r="C2360" t="s">
        <v>661</v>
      </c>
      <c r="D2360" t="s">
        <v>766</v>
      </c>
      <c r="E2360" t="s">
        <v>831</v>
      </c>
      <c r="F2360">
        <v>3</v>
      </c>
      <c r="G2360">
        <v>0.05</v>
      </c>
      <c r="H2360" t="s">
        <v>855</v>
      </c>
      <c r="I2360" t="str">
        <f>VLOOKUP(C2360,Customers!A:C,2,FALSE)&amp;" "&amp;VLOOKUP(C2360,Customers!A:C,3,FALSE)</f>
        <v>Cynthia Cherry</v>
      </c>
      <c r="J2360" t="str">
        <f>VLOOKUP(D2360,Products!A:C,2,FALSE)</f>
        <v>Firm Dairy</v>
      </c>
      <c r="K2360" t="str">
        <f>VLOOKUP(D2360,Products!A:C,3,FALSE)</f>
        <v>Groceries</v>
      </c>
      <c r="L2360" t="str">
        <f>VLOOKUP(E2360,Stores!A:B,2,FALSE)</f>
        <v>MegaMart Jimenezborough</v>
      </c>
      <c r="M2360">
        <f>VLOOKUP(D2360,Products!A:E,5,FALSE)</f>
        <v>1227.24</v>
      </c>
      <c r="N2360" s="5">
        <f t="shared" si="36"/>
        <v>3497.634</v>
      </c>
    </row>
    <row r="2361" spans="1:14" x14ac:dyDescent="0.3">
      <c r="A2361" t="s">
        <v>3217</v>
      </c>
      <c r="B2361" s="2">
        <v>45860</v>
      </c>
      <c r="C2361" t="s">
        <v>270</v>
      </c>
      <c r="D2361" t="s">
        <v>800</v>
      </c>
      <c r="E2361" t="s">
        <v>842</v>
      </c>
      <c r="F2361">
        <v>5</v>
      </c>
      <c r="G2361">
        <v>0</v>
      </c>
      <c r="H2361" t="s">
        <v>855</v>
      </c>
      <c r="I2361" t="str">
        <f>VLOOKUP(C2361,Customers!A:C,2,FALSE)&amp;" "&amp;VLOOKUP(C2361,Customers!A:C,3,FALSE)</f>
        <v>Denise Gutierrez</v>
      </c>
      <c r="J2361" t="str">
        <f>VLOOKUP(D2361,Products!A:C,2,FALSE)</f>
        <v>Book Television</v>
      </c>
      <c r="K2361" t="str">
        <f>VLOOKUP(D2361,Products!A:C,3,FALSE)</f>
        <v>Electronics</v>
      </c>
      <c r="L2361" t="str">
        <f>VLOOKUP(E2361,Stores!A:B,2,FALSE)</f>
        <v>MegaMart Brianahaven</v>
      </c>
      <c r="M2361">
        <f>VLOOKUP(D2361,Products!A:E,5,FALSE)</f>
        <v>1952.65</v>
      </c>
      <c r="N2361" s="5">
        <f t="shared" si="36"/>
        <v>9763.25</v>
      </c>
    </row>
    <row r="2362" spans="1:14" x14ac:dyDescent="0.3">
      <c r="A2362" t="s">
        <v>3218</v>
      </c>
      <c r="B2362" s="2">
        <v>45730</v>
      </c>
      <c r="C2362" t="s">
        <v>44</v>
      </c>
      <c r="D2362" t="s">
        <v>745</v>
      </c>
      <c r="E2362" t="s">
        <v>842</v>
      </c>
      <c r="F2362">
        <v>1</v>
      </c>
      <c r="G2362">
        <v>0.1</v>
      </c>
      <c r="H2362" t="s">
        <v>861</v>
      </c>
      <c r="I2362" t="str">
        <f>VLOOKUP(C2362,Customers!A:C,2,FALSE)&amp;" "&amp;VLOOKUP(C2362,Customers!A:C,3,FALSE)</f>
        <v>Catherine Rice</v>
      </c>
      <c r="J2362" t="str">
        <f>VLOOKUP(D2362,Products!A:C,2,FALSE)</f>
        <v>Above Camera</v>
      </c>
      <c r="K2362" t="str">
        <f>VLOOKUP(D2362,Products!A:C,3,FALSE)</f>
        <v>Electronics</v>
      </c>
      <c r="L2362" t="str">
        <f>VLOOKUP(E2362,Stores!A:B,2,FALSE)</f>
        <v>MegaMart Brianahaven</v>
      </c>
      <c r="M2362">
        <f>VLOOKUP(D2362,Products!A:E,5,FALSE)</f>
        <v>1193.0899999999999</v>
      </c>
      <c r="N2362" s="5">
        <f t="shared" si="36"/>
        <v>1073.7809999999999</v>
      </c>
    </row>
    <row r="2363" spans="1:14" x14ac:dyDescent="0.3">
      <c r="A2363" t="s">
        <v>3219</v>
      </c>
      <c r="B2363" s="2">
        <v>45554</v>
      </c>
      <c r="C2363" t="s">
        <v>520</v>
      </c>
      <c r="D2363" t="s">
        <v>792</v>
      </c>
      <c r="E2363" t="s">
        <v>831</v>
      </c>
      <c r="F2363">
        <v>1</v>
      </c>
      <c r="G2363">
        <v>0.05</v>
      </c>
      <c r="H2363" t="s">
        <v>861</v>
      </c>
      <c r="I2363" t="str">
        <f>VLOOKUP(C2363,Customers!A:C,2,FALSE)&amp;" "&amp;VLOOKUP(C2363,Customers!A:C,3,FALSE)</f>
        <v>Cynthia Carlson</v>
      </c>
      <c r="J2363" t="str">
        <f>VLOOKUP(D2363,Products!A:C,2,FALSE)</f>
        <v>Beat Accessories</v>
      </c>
      <c r="K2363" t="str">
        <f>VLOOKUP(D2363,Products!A:C,3,FALSE)</f>
        <v>Fashion</v>
      </c>
      <c r="L2363" t="str">
        <f>VLOOKUP(E2363,Stores!A:B,2,FALSE)</f>
        <v>MegaMart Jimenezborough</v>
      </c>
      <c r="M2363">
        <f>VLOOKUP(D2363,Products!A:E,5,FALSE)</f>
        <v>1798.97</v>
      </c>
      <c r="N2363" s="5">
        <f t="shared" si="36"/>
        <v>1709.0214999999998</v>
      </c>
    </row>
    <row r="2364" spans="1:14" x14ac:dyDescent="0.3">
      <c r="A2364" t="s">
        <v>3220</v>
      </c>
      <c r="B2364" s="2">
        <v>45393</v>
      </c>
      <c r="C2364" t="s">
        <v>545</v>
      </c>
      <c r="D2364" t="s">
        <v>808</v>
      </c>
      <c r="E2364" t="s">
        <v>842</v>
      </c>
      <c r="F2364">
        <v>2</v>
      </c>
      <c r="G2364">
        <v>0.05</v>
      </c>
      <c r="H2364" t="s">
        <v>855</v>
      </c>
      <c r="I2364" t="str">
        <f>VLOOKUP(C2364,Customers!A:C,2,FALSE)&amp;" "&amp;VLOOKUP(C2364,Customers!A:C,3,FALSE)</f>
        <v>Dawn Fletcher</v>
      </c>
      <c r="J2364" t="str">
        <f>VLOOKUP(D2364,Products!A:C,2,FALSE)</f>
        <v>Present Television</v>
      </c>
      <c r="K2364" t="str">
        <f>VLOOKUP(D2364,Products!A:C,3,FALSE)</f>
        <v>Electronics</v>
      </c>
      <c r="L2364" t="str">
        <f>VLOOKUP(E2364,Stores!A:B,2,FALSE)</f>
        <v>MegaMart Brianahaven</v>
      </c>
      <c r="M2364">
        <f>VLOOKUP(D2364,Products!A:E,5,FALSE)</f>
        <v>1635.01</v>
      </c>
      <c r="N2364" s="5">
        <f t="shared" si="36"/>
        <v>3106.5189999999998</v>
      </c>
    </row>
    <row r="2365" spans="1:14" x14ac:dyDescent="0.3">
      <c r="A2365" t="s">
        <v>3221</v>
      </c>
      <c r="B2365" s="2">
        <v>45448</v>
      </c>
      <c r="C2365" t="s">
        <v>449</v>
      </c>
      <c r="D2365" t="s">
        <v>739</v>
      </c>
      <c r="E2365" t="s">
        <v>835</v>
      </c>
      <c r="F2365">
        <v>4</v>
      </c>
      <c r="G2365">
        <v>0.05</v>
      </c>
      <c r="H2365" t="s">
        <v>858</v>
      </c>
      <c r="I2365" t="str">
        <f>VLOOKUP(C2365,Customers!A:C,2,FALSE)&amp;" "&amp;VLOOKUP(C2365,Customers!A:C,3,FALSE)</f>
        <v>John Bell</v>
      </c>
      <c r="J2365" t="str">
        <f>VLOOKUP(D2365,Products!A:C,2,FALSE)</f>
        <v>Step Smartphone</v>
      </c>
      <c r="K2365" t="str">
        <f>VLOOKUP(D2365,Products!A:C,3,FALSE)</f>
        <v>Electronics</v>
      </c>
      <c r="L2365" t="str">
        <f>VLOOKUP(E2365,Stores!A:B,2,FALSE)</f>
        <v>MegaMart Peckmouth</v>
      </c>
      <c r="M2365">
        <f>VLOOKUP(D2365,Products!A:E,5,FALSE)</f>
        <v>1194.1199999999999</v>
      </c>
      <c r="N2365" s="5">
        <f t="shared" si="36"/>
        <v>4537.655999999999</v>
      </c>
    </row>
    <row r="2366" spans="1:14" x14ac:dyDescent="0.3">
      <c r="A2366" t="s">
        <v>3222</v>
      </c>
      <c r="B2366" s="2">
        <v>45426</v>
      </c>
      <c r="C2366" t="s">
        <v>277</v>
      </c>
      <c r="D2366" t="s">
        <v>800</v>
      </c>
      <c r="E2366" t="s">
        <v>835</v>
      </c>
      <c r="F2366">
        <v>2</v>
      </c>
      <c r="G2366">
        <v>0</v>
      </c>
      <c r="H2366" t="s">
        <v>861</v>
      </c>
      <c r="I2366" t="str">
        <f>VLOOKUP(C2366,Customers!A:C,2,FALSE)&amp;" "&amp;VLOOKUP(C2366,Customers!A:C,3,FALSE)</f>
        <v>Carl Armstrong</v>
      </c>
      <c r="J2366" t="str">
        <f>VLOOKUP(D2366,Products!A:C,2,FALSE)</f>
        <v>Book Television</v>
      </c>
      <c r="K2366" t="str">
        <f>VLOOKUP(D2366,Products!A:C,3,FALSE)</f>
        <v>Electronics</v>
      </c>
      <c r="L2366" t="str">
        <f>VLOOKUP(E2366,Stores!A:B,2,FALSE)</f>
        <v>MegaMart Peckmouth</v>
      </c>
      <c r="M2366">
        <f>VLOOKUP(D2366,Products!A:E,5,FALSE)</f>
        <v>1952.65</v>
      </c>
      <c r="N2366" s="5">
        <f t="shared" si="36"/>
        <v>3905.3</v>
      </c>
    </row>
    <row r="2367" spans="1:14" x14ac:dyDescent="0.3">
      <c r="A2367" t="s">
        <v>3223</v>
      </c>
      <c r="B2367" s="2">
        <v>45434</v>
      </c>
      <c r="C2367" t="s">
        <v>7</v>
      </c>
      <c r="D2367" t="s">
        <v>761</v>
      </c>
      <c r="E2367" t="s">
        <v>842</v>
      </c>
      <c r="F2367">
        <v>1</v>
      </c>
      <c r="G2367">
        <v>0.15</v>
      </c>
      <c r="H2367" t="s">
        <v>861</v>
      </c>
      <c r="I2367" t="str">
        <f>VLOOKUP(C2367,Customers!A:C,2,FALSE)&amp;" "&amp;VLOOKUP(C2367,Customers!A:C,3,FALSE)</f>
        <v>Michael Davis</v>
      </c>
      <c r="J2367" t="str">
        <f>VLOOKUP(D2367,Products!A:C,2,FALSE)</f>
        <v>Traditional Laptop</v>
      </c>
      <c r="K2367" t="str">
        <f>VLOOKUP(D2367,Products!A:C,3,FALSE)</f>
        <v>Electronics</v>
      </c>
      <c r="L2367" t="str">
        <f>VLOOKUP(E2367,Stores!A:B,2,FALSE)</f>
        <v>MegaMart Brianahaven</v>
      </c>
      <c r="M2367">
        <f>VLOOKUP(D2367,Products!A:E,5,FALSE)</f>
        <v>1762.92</v>
      </c>
      <c r="N2367" s="5">
        <f t="shared" si="36"/>
        <v>1498.482</v>
      </c>
    </row>
    <row r="2368" spans="1:14" x14ac:dyDescent="0.3">
      <c r="A2368" t="s">
        <v>3224</v>
      </c>
      <c r="B2368" s="2">
        <v>45747</v>
      </c>
      <c r="C2368" t="s">
        <v>643</v>
      </c>
      <c r="D2368" t="s">
        <v>747</v>
      </c>
      <c r="E2368" t="s">
        <v>835</v>
      </c>
      <c r="F2368">
        <v>1</v>
      </c>
      <c r="G2368">
        <v>0.15</v>
      </c>
      <c r="H2368" t="s">
        <v>855</v>
      </c>
      <c r="I2368" t="str">
        <f>VLOOKUP(C2368,Customers!A:C,2,FALSE)&amp;" "&amp;VLOOKUP(C2368,Customers!A:C,3,FALSE)</f>
        <v>Meghan Wright</v>
      </c>
      <c r="J2368" t="str">
        <f>VLOOKUP(D2368,Products!A:C,2,FALSE)</f>
        <v>World Watches</v>
      </c>
      <c r="K2368" t="str">
        <f>VLOOKUP(D2368,Products!A:C,3,FALSE)</f>
        <v>Fashion</v>
      </c>
      <c r="L2368" t="str">
        <f>VLOOKUP(E2368,Stores!A:B,2,FALSE)</f>
        <v>MegaMart Peckmouth</v>
      </c>
      <c r="M2368">
        <f>VLOOKUP(D2368,Products!A:E,5,FALSE)</f>
        <v>1134.8</v>
      </c>
      <c r="N2368" s="5">
        <f t="shared" si="36"/>
        <v>964.57999999999993</v>
      </c>
    </row>
    <row r="2369" spans="1:14" x14ac:dyDescent="0.3">
      <c r="A2369" t="s">
        <v>3225</v>
      </c>
      <c r="B2369" s="2">
        <v>45329</v>
      </c>
      <c r="C2369" t="s">
        <v>567</v>
      </c>
      <c r="D2369" t="s">
        <v>822</v>
      </c>
      <c r="E2369" t="s">
        <v>842</v>
      </c>
      <c r="F2369">
        <v>5</v>
      </c>
      <c r="G2369">
        <v>0.05</v>
      </c>
      <c r="H2369" t="s">
        <v>855</v>
      </c>
      <c r="I2369" t="str">
        <f>VLOOKUP(C2369,Customers!A:C,2,FALSE)&amp;" "&amp;VLOOKUP(C2369,Customers!A:C,3,FALSE)</f>
        <v>Crystal Aguirre</v>
      </c>
      <c r="J2369" t="str">
        <f>VLOOKUP(D2369,Products!A:C,2,FALSE)</f>
        <v>Nor Bags</v>
      </c>
      <c r="K2369" t="str">
        <f>VLOOKUP(D2369,Products!A:C,3,FALSE)</f>
        <v>Fashion</v>
      </c>
      <c r="L2369" t="str">
        <f>VLOOKUP(E2369,Stores!A:B,2,FALSE)</f>
        <v>MegaMart Brianahaven</v>
      </c>
      <c r="M2369">
        <f>VLOOKUP(D2369,Products!A:E,5,FALSE)</f>
        <v>1216.3599999999999</v>
      </c>
      <c r="N2369" s="5">
        <f t="shared" si="36"/>
        <v>5777.7099999999991</v>
      </c>
    </row>
    <row r="2370" spans="1:14" x14ac:dyDescent="0.3">
      <c r="A2370" t="s">
        <v>3226</v>
      </c>
      <c r="B2370" s="2">
        <v>45193</v>
      </c>
      <c r="C2370" t="s">
        <v>458</v>
      </c>
      <c r="D2370" t="s">
        <v>766</v>
      </c>
      <c r="E2370" t="s">
        <v>846</v>
      </c>
      <c r="F2370">
        <v>2</v>
      </c>
      <c r="G2370">
        <v>0.1</v>
      </c>
      <c r="H2370" t="s">
        <v>861</v>
      </c>
      <c r="I2370" t="str">
        <f>VLOOKUP(C2370,Customers!A:C,2,FALSE)&amp;" "&amp;VLOOKUP(C2370,Customers!A:C,3,FALSE)</f>
        <v>Chad Roberts</v>
      </c>
      <c r="J2370" t="str">
        <f>VLOOKUP(D2370,Products!A:C,2,FALSE)</f>
        <v>Firm Dairy</v>
      </c>
      <c r="K2370" t="str">
        <f>VLOOKUP(D2370,Products!A:C,3,FALSE)</f>
        <v>Groceries</v>
      </c>
      <c r="L2370" t="str">
        <f>VLOOKUP(E2370,Stores!A:B,2,FALSE)</f>
        <v>MegaMart Johnmouth</v>
      </c>
      <c r="M2370">
        <f>VLOOKUP(D2370,Products!A:E,5,FALSE)</f>
        <v>1227.24</v>
      </c>
      <c r="N2370" s="5">
        <f t="shared" si="36"/>
        <v>2209.0320000000002</v>
      </c>
    </row>
    <row r="2371" spans="1:14" x14ac:dyDescent="0.3">
      <c r="A2371" t="s">
        <v>3227</v>
      </c>
      <c r="B2371" s="2">
        <v>45290</v>
      </c>
      <c r="C2371" t="s">
        <v>284</v>
      </c>
      <c r="D2371" t="s">
        <v>764</v>
      </c>
      <c r="E2371" t="s">
        <v>842</v>
      </c>
      <c r="F2371">
        <v>4</v>
      </c>
      <c r="G2371">
        <v>0.15</v>
      </c>
      <c r="H2371" t="s">
        <v>855</v>
      </c>
      <c r="I2371" t="str">
        <f>VLOOKUP(C2371,Customers!A:C,2,FALSE)&amp;" "&amp;VLOOKUP(C2371,Customers!A:C,3,FALSE)</f>
        <v>Seth Moore</v>
      </c>
      <c r="J2371" t="str">
        <f>VLOOKUP(D2371,Products!A:C,2,FALSE)</f>
        <v>Simple Accessories</v>
      </c>
      <c r="K2371" t="str">
        <f>VLOOKUP(D2371,Products!A:C,3,FALSE)</f>
        <v>Fashion</v>
      </c>
      <c r="L2371" t="str">
        <f>VLOOKUP(E2371,Stores!A:B,2,FALSE)</f>
        <v>MegaMart Brianahaven</v>
      </c>
      <c r="M2371">
        <f>VLOOKUP(D2371,Products!A:E,5,FALSE)</f>
        <v>323.92</v>
      </c>
      <c r="N2371" s="5">
        <f t="shared" ref="N2371:N2434" si="37">F2371*M2371*(1-G2371)</f>
        <v>1101.328</v>
      </c>
    </row>
    <row r="2372" spans="1:14" x14ac:dyDescent="0.3">
      <c r="A2372" t="s">
        <v>3228</v>
      </c>
      <c r="B2372" s="2">
        <v>45237</v>
      </c>
      <c r="C2372" t="s">
        <v>509</v>
      </c>
      <c r="D2372" t="s">
        <v>755</v>
      </c>
      <c r="E2372" t="s">
        <v>842</v>
      </c>
      <c r="F2372">
        <v>3</v>
      </c>
      <c r="G2372">
        <v>0</v>
      </c>
      <c r="H2372" t="s">
        <v>861</v>
      </c>
      <c r="I2372" t="str">
        <f>VLOOKUP(C2372,Customers!A:C,2,FALSE)&amp;" "&amp;VLOOKUP(C2372,Customers!A:C,3,FALSE)</f>
        <v>Stacy Williams</v>
      </c>
      <c r="J2372" t="str">
        <f>VLOOKUP(D2372,Products!A:C,2,FALSE)</f>
        <v>House Accessories</v>
      </c>
      <c r="K2372" t="str">
        <f>VLOOKUP(D2372,Products!A:C,3,FALSE)</f>
        <v>Fashion</v>
      </c>
      <c r="L2372" t="str">
        <f>VLOOKUP(E2372,Stores!A:B,2,FALSE)</f>
        <v>MegaMart Brianahaven</v>
      </c>
      <c r="M2372">
        <f>VLOOKUP(D2372,Products!A:E,5,FALSE)</f>
        <v>1858.75</v>
      </c>
      <c r="N2372" s="5">
        <f t="shared" si="37"/>
        <v>5576.25</v>
      </c>
    </row>
    <row r="2373" spans="1:14" x14ac:dyDescent="0.3">
      <c r="A2373" t="s">
        <v>3229</v>
      </c>
      <c r="B2373" s="2">
        <v>45336</v>
      </c>
      <c r="C2373" t="s">
        <v>115</v>
      </c>
      <c r="D2373" t="s">
        <v>772</v>
      </c>
      <c r="E2373" t="s">
        <v>839</v>
      </c>
      <c r="F2373">
        <v>4</v>
      </c>
      <c r="G2373">
        <v>0.15</v>
      </c>
      <c r="H2373" t="s">
        <v>855</v>
      </c>
      <c r="I2373" t="str">
        <f>VLOOKUP(C2373,Customers!A:C,2,FALSE)&amp;" "&amp;VLOOKUP(C2373,Customers!A:C,3,FALSE)</f>
        <v>Tyler Levine</v>
      </c>
      <c r="J2373" t="str">
        <f>VLOOKUP(D2373,Products!A:C,2,FALSE)</f>
        <v>And Footwear</v>
      </c>
      <c r="K2373" t="str">
        <f>VLOOKUP(D2373,Products!A:C,3,FALSE)</f>
        <v>Fashion</v>
      </c>
      <c r="L2373" t="str">
        <f>VLOOKUP(E2373,Stores!A:B,2,FALSE)</f>
        <v>MegaMart New Michele</v>
      </c>
      <c r="M2373">
        <f>VLOOKUP(D2373,Products!A:E,5,FALSE)</f>
        <v>1878.47</v>
      </c>
      <c r="N2373" s="5">
        <f t="shared" si="37"/>
        <v>6386.7979999999998</v>
      </c>
    </row>
    <row r="2374" spans="1:14" x14ac:dyDescent="0.3">
      <c r="A2374" t="s">
        <v>3230</v>
      </c>
      <c r="B2374" s="2">
        <v>45223</v>
      </c>
      <c r="C2374" t="s">
        <v>243</v>
      </c>
      <c r="D2374" t="s">
        <v>750</v>
      </c>
      <c r="E2374" t="s">
        <v>842</v>
      </c>
      <c r="F2374">
        <v>1</v>
      </c>
      <c r="G2374">
        <v>0.05</v>
      </c>
      <c r="H2374" t="s">
        <v>858</v>
      </c>
      <c r="I2374" t="str">
        <f>VLOOKUP(C2374,Customers!A:C,2,FALSE)&amp;" "&amp;VLOOKUP(C2374,Customers!A:C,3,FALSE)</f>
        <v>Amanda Hoover</v>
      </c>
      <c r="J2374" t="str">
        <f>VLOOKUP(D2374,Products!A:C,2,FALSE)</f>
        <v>Add Clothing</v>
      </c>
      <c r="K2374" t="str">
        <f>VLOOKUP(D2374,Products!A:C,3,FALSE)</f>
        <v>Fashion</v>
      </c>
      <c r="L2374" t="str">
        <f>VLOOKUP(E2374,Stores!A:B,2,FALSE)</f>
        <v>MegaMart Brianahaven</v>
      </c>
      <c r="M2374">
        <f>VLOOKUP(D2374,Products!A:E,5,FALSE)</f>
        <v>1342.75</v>
      </c>
      <c r="N2374" s="5">
        <f t="shared" si="37"/>
        <v>1275.6125</v>
      </c>
    </row>
    <row r="2375" spans="1:14" x14ac:dyDescent="0.3">
      <c r="A2375" t="s">
        <v>3231</v>
      </c>
      <c r="B2375" s="2">
        <v>45708</v>
      </c>
      <c r="C2375" t="s">
        <v>310</v>
      </c>
      <c r="D2375" t="s">
        <v>806</v>
      </c>
      <c r="E2375" t="s">
        <v>831</v>
      </c>
      <c r="F2375">
        <v>3</v>
      </c>
      <c r="G2375">
        <v>0.15</v>
      </c>
      <c r="H2375" t="s">
        <v>861</v>
      </c>
      <c r="I2375" t="str">
        <f>VLOOKUP(C2375,Customers!A:C,2,FALSE)&amp;" "&amp;VLOOKUP(C2375,Customers!A:C,3,FALSE)</f>
        <v>Amy Haley</v>
      </c>
      <c r="J2375" t="str">
        <f>VLOOKUP(D2375,Products!A:C,2,FALSE)</f>
        <v>Piece Headphones</v>
      </c>
      <c r="K2375" t="str">
        <f>VLOOKUP(D2375,Products!A:C,3,FALSE)</f>
        <v>Electronics</v>
      </c>
      <c r="L2375" t="str">
        <f>VLOOKUP(E2375,Stores!A:B,2,FALSE)</f>
        <v>MegaMart Jimenezborough</v>
      </c>
      <c r="M2375">
        <f>VLOOKUP(D2375,Products!A:E,5,FALSE)</f>
        <v>1745.61</v>
      </c>
      <c r="N2375" s="5">
        <f t="shared" si="37"/>
        <v>4451.3054999999995</v>
      </c>
    </row>
    <row r="2376" spans="1:14" x14ac:dyDescent="0.3">
      <c r="A2376" t="s">
        <v>3232</v>
      </c>
      <c r="B2376" s="2">
        <v>45855</v>
      </c>
      <c r="C2376" t="s">
        <v>700</v>
      </c>
      <c r="D2376" t="s">
        <v>718</v>
      </c>
      <c r="E2376" t="s">
        <v>842</v>
      </c>
      <c r="F2376">
        <v>4</v>
      </c>
      <c r="G2376">
        <v>0.15</v>
      </c>
      <c r="H2376" t="s">
        <v>861</v>
      </c>
      <c r="I2376" t="str">
        <f>VLOOKUP(C2376,Customers!A:C,2,FALSE)&amp;" "&amp;VLOOKUP(C2376,Customers!A:C,3,FALSE)</f>
        <v>Juan Johnson</v>
      </c>
      <c r="J2376" t="str">
        <f>VLOOKUP(D2376,Products!A:C,2,FALSE)</f>
        <v>Here Footwear</v>
      </c>
      <c r="K2376" t="str">
        <f>VLOOKUP(D2376,Products!A:C,3,FALSE)</f>
        <v>Fashion</v>
      </c>
      <c r="L2376" t="str">
        <f>VLOOKUP(E2376,Stores!A:B,2,FALSE)</f>
        <v>MegaMart Brianahaven</v>
      </c>
      <c r="M2376">
        <f>VLOOKUP(D2376,Products!A:E,5,FALSE)</f>
        <v>337.63</v>
      </c>
      <c r="N2376" s="5">
        <f t="shared" si="37"/>
        <v>1147.942</v>
      </c>
    </row>
    <row r="2377" spans="1:14" x14ac:dyDescent="0.3">
      <c r="A2377" t="s">
        <v>3233</v>
      </c>
      <c r="B2377" s="2">
        <v>45689</v>
      </c>
      <c r="C2377" t="s">
        <v>36</v>
      </c>
      <c r="D2377" t="s">
        <v>806</v>
      </c>
      <c r="E2377" t="s">
        <v>839</v>
      </c>
      <c r="F2377">
        <v>3</v>
      </c>
      <c r="G2377">
        <v>0.05</v>
      </c>
      <c r="H2377" t="s">
        <v>858</v>
      </c>
      <c r="I2377" t="str">
        <f>VLOOKUP(C2377,Customers!A:C,2,FALSE)&amp;" "&amp;VLOOKUP(C2377,Customers!A:C,3,FALSE)</f>
        <v>Isaiah Williams</v>
      </c>
      <c r="J2377" t="str">
        <f>VLOOKUP(D2377,Products!A:C,2,FALSE)</f>
        <v>Piece Headphones</v>
      </c>
      <c r="K2377" t="str">
        <f>VLOOKUP(D2377,Products!A:C,3,FALSE)</f>
        <v>Electronics</v>
      </c>
      <c r="L2377" t="str">
        <f>VLOOKUP(E2377,Stores!A:B,2,FALSE)</f>
        <v>MegaMart New Michele</v>
      </c>
      <c r="M2377">
        <f>VLOOKUP(D2377,Products!A:E,5,FALSE)</f>
        <v>1745.61</v>
      </c>
      <c r="N2377" s="5">
        <f t="shared" si="37"/>
        <v>4974.9884999999995</v>
      </c>
    </row>
    <row r="2378" spans="1:14" x14ac:dyDescent="0.3">
      <c r="A2378" t="s">
        <v>3234</v>
      </c>
      <c r="B2378" s="2">
        <v>45773</v>
      </c>
      <c r="C2378" t="s">
        <v>67</v>
      </c>
      <c r="D2378" t="s">
        <v>820</v>
      </c>
      <c r="E2378" t="s">
        <v>846</v>
      </c>
      <c r="F2378">
        <v>3</v>
      </c>
      <c r="G2378">
        <v>0.1</v>
      </c>
      <c r="H2378" t="s">
        <v>855</v>
      </c>
      <c r="I2378" t="str">
        <f>VLOOKUP(C2378,Customers!A:C,2,FALSE)&amp;" "&amp;VLOOKUP(C2378,Customers!A:C,3,FALSE)</f>
        <v>Miguel Johnson</v>
      </c>
      <c r="J2378" t="str">
        <f>VLOOKUP(D2378,Products!A:C,2,FALSE)</f>
        <v>Or Smartphone</v>
      </c>
      <c r="K2378" t="str">
        <f>VLOOKUP(D2378,Products!A:C,3,FALSE)</f>
        <v>Electronics</v>
      </c>
      <c r="L2378" t="str">
        <f>VLOOKUP(E2378,Stores!A:B,2,FALSE)</f>
        <v>MegaMart Johnmouth</v>
      </c>
      <c r="M2378">
        <f>VLOOKUP(D2378,Products!A:E,5,FALSE)</f>
        <v>1197.18</v>
      </c>
      <c r="N2378" s="5">
        <f t="shared" si="37"/>
        <v>3232.386</v>
      </c>
    </row>
    <row r="2379" spans="1:14" x14ac:dyDescent="0.3">
      <c r="A2379" t="s">
        <v>3235</v>
      </c>
      <c r="B2379" s="2">
        <v>45795</v>
      </c>
      <c r="C2379" t="s">
        <v>396</v>
      </c>
      <c r="D2379" t="s">
        <v>764</v>
      </c>
      <c r="E2379" t="s">
        <v>842</v>
      </c>
      <c r="F2379">
        <v>4</v>
      </c>
      <c r="G2379">
        <v>0.15</v>
      </c>
      <c r="H2379" t="s">
        <v>858</v>
      </c>
      <c r="I2379" t="str">
        <f>VLOOKUP(C2379,Customers!A:C,2,FALSE)&amp;" "&amp;VLOOKUP(C2379,Customers!A:C,3,FALSE)</f>
        <v>Kevin Flores</v>
      </c>
      <c r="J2379" t="str">
        <f>VLOOKUP(D2379,Products!A:C,2,FALSE)</f>
        <v>Simple Accessories</v>
      </c>
      <c r="K2379" t="str">
        <f>VLOOKUP(D2379,Products!A:C,3,FALSE)</f>
        <v>Fashion</v>
      </c>
      <c r="L2379" t="str">
        <f>VLOOKUP(E2379,Stores!A:B,2,FALSE)</f>
        <v>MegaMart Brianahaven</v>
      </c>
      <c r="M2379">
        <f>VLOOKUP(D2379,Products!A:E,5,FALSE)</f>
        <v>323.92</v>
      </c>
      <c r="N2379" s="5">
        <f t="shared" si="37"/>
        <v>1101.328</v>
      </c>
    </row>
    <row r="2380" spans="1:14" x14ac:dyDescent="0.3">
      <c r="A2380" t="s">
        <v>3236</v>
      </c>
      <c r="B2380" s="2">
        <v>45334</v>
      </c>
      <c r="C2380" t="s">
        <v>254</v>
      </c>
      <c r="D2380" t="s">
        <v>782</v>
      </c>
      <c r="E2380" t="s">
        <v>831</v>
      </c>
      <c r="F2380">
        <v>3</v>
      </c>
      <c r="G2380">
        <v>0.15</v>
      </c>
      <c r="H2380" t="s">
        <v>861</v>
      </c>
      <c r="I2380" t="str">
        <f>VLOOKUP(C2380,Customers!A:C,2,FALSE)&amp;" "&amp;VLOOKUP(C2380,Customers!A:C,3,FALSE)</f>
        <v>Daniel Maldonado</v>
      </c>
      <c r="J2380" t="str">
        <f>VLOOKUP(D2380,Products!A:C,2,FALSE)</f>
        <v>Deal Smartphone</v>
      </c>
      <c r="K2380" t="str">
        <f>VLOOKUP(D2380,Products!A:C,3,FALSE)</f>
        <v>Electronics</v>
      </c>
      <c r="L2380" t="str">
        <f>VLOOKUP(E2380,Stores!A:B,2,FALSE)</f>
        <v>MegaMart Jimenezborough</v>
      </c>
      <c r="M2380">
        <f>VLOOKUP(D2380,Products!A:E,5,FALSE)</f>
        <v>673.78</v>
      </c>
      <c r="N2380" s="5">
        <f t="shared" si="37"/>
        <v>1718.1389999999999</v>
      </c>
    </row>
    <row r="2381" spans="1:14" x14ac:dyDescent="0.3">
      <c r="A2381" t="s">
        <v>3237</v>
      </c>
      <c r="B2381" s="2">
        <v>45261</v>
      </c>
      <c r="C2381" t="s">
        <v>327</v>
      </c>
      <c r="D2381" t="s">
        <v>774</v>
      </c>
      <c r="E2381" t="s">
        <v>831</v>
      </c>
      <c r="F2381">
        <v>3</v>
      </c>
      <c r="G2381">
        <v>0.15</v>
      </c>
      <c r="H2381" t="s">
        <v>858</v>
      </c>
      <c r="I2381" t="str">
        <f>VLOOKUP(C2381,Customers!A:C,2,FALSE)&amp;" "&amp;VLOOKUP(C2381,Customers!A:C,3,FALSE)</f>
        <v>Laurie Mason</v>
      </c>
      <c r="J2381" t="str">
        <f>VLOOKUP(D2381,Products!A:C,2,FALSE)</f>
        <v>Him Smartphone</v>
      </c>
      <c r="K2381" t="str">
        <f>VLOOKUP(D2381,Products!A:C,3,FALSE)</f>
        <v>Electronics</v>
      </c>
      <c r="L2381" t="str">
        <f>VLOOKUP(E2381,Stores!A:B,2,FALSE)</f>
        <v>MegaMart Jimenezborough</v>
      </c>
      <c r="M2381">
        <f>VLOOKUP(D2381,Products!A:E,5,FALSE)</f>
        <v>1487.41</v>
      </c>
      <c r="N2381" s="5">
        <f t="shared" si="37"/>
        <v>3792.8955000000001</v>
      </c>
    </row>
    <row r="2382" spans="1:14" x14ac:dyDescent="0.3">
      <c r="A2382" t="s">
        <v>3238</v>
      </c>
      <c r="B2382" s="2">
        <v>45278</v>
      </c>
      <c r="C2382" t="s">
        <v>221</v>
      </c>
      <c r="D2382" t="s">
        <v>732</v>
      </c>
      <c r="E2382" t="s">
        <v>846</v>
      </c>
      <c r="F2382">
        <v>2</v>
      </c>
      <c r="G2382">
        <v>0.05</v>
      </c>
      <c r="H2382" t="s">
        <v>865</v>
      </c>
      <c r="I2382" t="str">
        <f>VLOOKUP(C2382,Customers!A:C,2,FALSE)&amp;" "&amp;VLOOKUP(C2382,Customers!A:C,3,FALSE)</f>
        <v>Julie Gibson</v>
      </c>
      <c r="J2382" t="str">
        <f>VLOOKUP(D2382,Products!A:C,2,FALSE)</f>
        <v>Understand Camera</v>
      </c>
      <c r="K2382" t="str">
        <f>VLOOKUP(D2382,Products!A:C,3,FALSE)</f>
        <v>Electronics</v>
      </c>
      <c r="L2382" t="str">
        <f>VLOOKUP(E2382,Stores!A:B,2,FALSE)</f>
        <v>MegaMart Johnmouth</v>
      </c>
      <c r="M2382">
        <f>VLOOKUP(D2382,Products!A:E,5,FALSE)</f>
        <v>1474.12</v>
      </c>
      <c r="N2382" s="5">
        <f t="shared" si="37"/>
        <v>2800.8279999999995</v>
      </c>
    </row>
    <row r="2383" spans="1:14" x14ac:dyDescent="0.3">
      <c r="A2383" t="s">
        <v>3239</v>
      </c>
      <c r="B2383" s="2">
        <v>45816</v>
      </c>
      <c r="C2383" t="s">
        <v>567</v>
      </c>
      <c r="D2383" t="s">
        <v>796</v>
      </c>
      <c r="E2383" t="s">
        <v>846</v>
      </c>
      <c r="F2383">
        <v>3</v>
      </c>
      <c r="G2383">
        <v>0.05</v>
      </c>
      <c r="H2383" t="s">
        <v>865</v>
      </c>
      <c r="I2383" t="str">
        <f>VLOOKUP(C2383,Customers!A:C,2,FALSE)&amp;" "&amp;VLOOKUP(C2383,Customers!A:C,3,FALSE)</f>
        <v>Crystal Aguirre</v>
      </c>
      <c r="J2383" t="str">
        <f>VLOOKUP(D2383,Products!A:C,2,FALSE)</f>
        <v>Chair Laptop</v>
      </c>
      <c r="K2383" t="str">
        <f>VLOOKUP(D2383,Products!A:C,3,FALSE)</f>
        <v>Electronics</v>
      </c>
      <c r="L2383" t="str">
        <f>VLOOKUP(E2383,Stores!A:B,2,FALSE)</f>
        <v>MegaMart Johnmouth</v>
      </c>
      <c r="M2383">
        <f>VLOOKUP(D2383,Products!A:E,5,FALSE)</f>
        <v>1562.43</v>
      </c>
      <c r="N2383" s="5">
        <f t="shared" si="37"/>
        <v>4452.9254999999994</v>
      </c>
    </row>
    <row r="2384" spans="1:14" x14ac:dyDescent="0.3">
      <c r="A2384" t="s">
        <v>3240</v>
      </c>
      <c r="B2384" s="2">
        <v>45618</v>
      </c>
      <c r="C2384" t="s">
        <v>653</v>
      </c>
      <c r="D2384" t="s">
        <v>794</v>
      </c>
      <c r="E2384" t="s">
        <v>831</v>
      </c>
      <c r="F2384">
        <v>4</v>
      </c>
      <c r="G2384">
        <v>0</v>
      </c>
      <c r="H2384" t="s">
        <v>855</v>
      </c>
      <c r="I2384" t="str">
        <f>VLOOKUP(C2384,Customers!A:C,2,FALSE)&amp;" "&amp;VLOOKUP(C2384,Customers!A:C,3,FALSE)</f>
        <v>Joe Vincent</v>
      </c>
      <c r="J2384" t="str">
        <f>VLOOKUP(D2384,Products!A:C,2,FALSE)</f>
        <v>Everything Laptop</v>
      </c>
      <c r="K2384" t="str">
        <f>VLOOKUP(D2384,Products!A:C,3,FALSE)</f>
        <v>Electronics</v>
      </c>
      <c r="L2384" t="str">
        <f>VLOOKUP(E2384,Stores!A:B,2,FALSE)</f>
        <v>MegaMart Jimenezborough</v>
      </c>
      <c r="M2384">
        <f>VLOOKUP(D2384,Products!A:E,5,FALSE)</f>
        <v>428.05</v>
      </c>
      <c r="N2384" s="5">
        <f t="shared" si="37"/>
        <v>1712.2</v>
      </c>
    </row>
    <row r="2385" spans="1:14" x14ac:dyDescent="0.3">
      <c r="A2385" t="s">
        <v>3241</v>
      </c>
      <c r="B2385" s="2">
        <v>45424</v>
      </c>
      <c r="C2385" t="s">
        <v>343</v>
      </c>
      <c r="D2385" t="s">
        <v>824</v>
      </c>
      <c r="E2385" t="s">
        <v>846</v>
      </c>
      <c r="F2385">
        <v>1</v>
      </c>
      <c r="G2385">
        <v>0</v>
      </c>
      <c r="H2385" t="s">
        <v>861</v>
      </c>
      <c r="I2385" t="str">
        <f>VLOOKUP(C2385,Customers!A:C,2,FALSE)&amp;" "&amp;VLOOKUP(C2385,Customers!A:C,3,FALSE)</f>
        <v>Brian Fowler</v>
      </c>
      <c r="J2385" t="str">
        <f>VLOOKUP(D2385,Products!A:C,2,FALSE)</f>
        <v>Possible Watches</v>
      </c>
      <c r="K2385" t="str">
        <f>VLOOKUP(D2385,Products!A:C,3,FALSE)</f>
        <v>Fashion</v>
      </c>
      <c r="L2385" t="str">
        <f>VLOOKUP(E2385,Stores!A:B,2,FALSE)</f>
        <v>MegaMart Johnmouth</v>
      </c>
      <c r="M2385">
        <f>VLOOKUP(D2385,Products!A:E,5,FALSE)</f>
        <v>388.26</v>
      </c>
      <c r="N2385" s="5">
        <f t="shared" si="37"/>
        <v>388.26</v>
      </c>
    </row>
    <row r="2386" spans="1:14" x14ac:dyDescent="0.3">
      <c r="A2386" t="s">
        <v>3242</v>
      </c>
      <c r="B2386" s="2">
        <v>45828</v>
      </c>
      <c r="C2386" t="s">
        <v>351</v>
      </c>
      <c r="D2386" t="s">
        <v>810</v>
      </c>
      <c r="E2386" t="s">
        <v>846</v>
      </c>
      <c r="F2386">
        <v>2</v>
      </c>
      <c r="G2386">
        <v>0.05</v>
      </c>
      <c r="H2386" t="s">
        <v>858</v>
      </c>
      <c r="I2386" t="str">
        <f>VLOOKUP(C2386,Customers!A:C,2,FALSE)&amp;" "&amp;VLOOKUP(C2386,Customers!A:C,3,FALSE)</f>
        <v>Stanley Brown</v>
      </c>
      <c r="J2386" t="str">
        <f>VLOOKUP(D2386,Products!A:C,2,FALSE)</f>
        <v>Maybe Clothing</v>
      </c>
      <c r="K2386" t="str">
        <f>VLOOKUP(D2386,Products!A:C,3,FALSE)</f>
        <v>Fashion</v>
      </c>
      <c r="L2386" t="str">
        <f>VLOOKUP(E2386,Stores!A:B,2,FALSE)</f>
        <v>MegaMart Johnmouth</v>
      </c>
      <c r="M2386">
        <f>VLOOKUP(D2386,Products!A:E,5,FALSE)</f>
        <v>453.62</v>
      </c>
      <c r="N2386" s="5">
        <f t="shared" si="37"/>
        <v>861.87799999999993</v>
      </c>
    </row>
    <row r="2387" spans="1:14" x14ac:dyDescent="0.3">
      <c r="A2387" t="s">
        <v>3243</v>
      </c>
      <c r="B2387" s="2">
        <v>45903</v>
      </c>
      <c r="C2387" t="s">
        <v>650</v>
      </c>
      <c r="D2387" t="s">
        <v>820</v>
      </c>
      <c r="E2387" t="s">
        <v>835</v>
      </c>
      <c r="F2387">
        <v>3</v>
      </c>
      <c r="G2387">
        <v>0.05</v>
      </c>
      <c r="H2387" t="s">
        <v>855</v>
      </c>
      <c r="I2387" t="str">
        <f>VLOOKUP(C2387,Customers!A:C,2,FALSE)&amp;" "&amp;VLOOKUP(C2387,Customers!A:C,3,FALSE)</f>
        <v>Daniel Mcintyre</v>
      </c>
      <c r="J2387" t="str">
        <f>VLOOKUP(D2387,Products!A:C,2,FALSE)</f>
        <v>Or Smartphone</v>
      </c>
      <c r="K2387" t="str">
        <f>VLOOKUP(D2387,Products!A:C,3,FALSE)</f>
        <v>Electronics</v>
      </c>
      <c r="L2387" t="str">
        <f>VLOOKUP(E2387,Stores!A:B,2,FALSE)</f>
        <v>MegaMart Peckmouth</v>
      </c>
      <c r="M2387">
        <f>VLOOKUP(D2387,Products!A:E,5,FALSE)</f>
        <v>1197.18</v>
      </c>
      <c r="N2387" s="5">
        <f t="shared" si="37"/>
        <v>3411.9629999999997</v>
      </c>
    </row>
    <row r="2388" spans="1:14" x14ac:dyDescent="0.3">
      <c r="A2388" t="s">
        <v>3244</v>
      </c>
      <c r="B2388" s="2">
        <v>45498</v>
      </c>
      <c r="C2388" t="s">
        <v>320</v>
      </c>
      <c r="D2388" t="s">
        <v>784</v>
      </c>
      <c r="E2388" t="s">
        <v>842</v>
      </c>
      <c r="F2388">
        <v>2</v>
      </c>
      <c r="G2388">
        <v>0.05</v>
      </c>
      <c r="H2388" t="s">
        <v>865</v>
      </c>
      <c r="I2388" t="str">
        <f>VLOOKUP(C2388,Customers!A:C,2,FALSE)&amp;" "&amp;VLOOKUP(C2388,Customers!A:C,3,FALSE)</f>
        <v>Juan Ramirez</v>
      </c>
      <c r="J2388" t="str">
        <f>VLOOKUP(D2388,Products!A:C,2,FALSE)</f>
        <v>Road Clothing</v>
      </c>
      <c r="K2388" t="str">
        <f>VLOOKUP(D2388,Products!A:C,3,FALSE)</f>
        <v>Fashion</v>
      </c>
      <c r="L2388" t="str">
        <f>VLOOKUP(E2388,Stores!A:B,2,FALSE)</f>
        <v>MegaMart Brianahaven</v>
      </c>
      <c r="M2388">
        <f>VLOOKUP(D2388,Products!A:E,5,FALSE)</f>
        <v>1485.05</v>
      </c>
      <c r="N2388" s="5">
        <f t="shared" si="37"/>
        <v>2821.5949999999998</v>
      </c>
    </row>
    <row r="2389" spans="1:14" x14ac:dyDescent="0.3">
      <c r="A2389" t="s">
        <v>3245</v>
      </c>
      <c r="B2389" s="2">
        <v>45204</v>
      </c>
      <c r="C2389" t="s">
        <v>44</v>
      </c>
      <c r="D2389" t="s">
        <v>826</v>
      </c>
      <c r="E2389" t="s">
        <v>831</v>
      </c>
      <c r="F2389">
        <v>5</v>
      </c>
      <c r="G2389">
        <v>0</v>
      </c>
      <c r="H2389" t="s">
        <v>858</v>
      </c>
      <c r="I2389" t="str">
        <f>VLOOKUP(C2389,Customers!A:C,2,FALSE)&amp;" "&amp;VLOOKUP(C2389,Customers!A:C,3,FALSE)</f>
        <v>Catherine Rice</v>
      </c>
      <c r="J2389" t="str">
        <f>VLOOKUP(D2389,Products!A:C,2,FALSE)</f>
        <v>Maybe Footwear</v>
      </c>
      <c r="K2389" t="str">
        <f>VLOOKUP(D2389,Products!A:C,3,FALSE)</f>
        <v>Fashion</v>
      </c>
      <c r="L2389" t="str">
        <f>VLOOKUP(E2389,Stores!A:B,2,FALSE)</f>
        <v>MegaMart Jimenezborough</v>
      </c>
      <c r="M2389">
        <f>VLOOKUP(D2389,Products!A:E,5,FALSE)</f>
        <v>1044.6400000000001</v>
      </c>
      <c r="N2389" s="5">
        <f t="shared" si="37"/>
        <v>5223.2000000000007</v>
      </c>
    </row>
    <row r="2390" spans="1:14" x14ac:dyDescent="0.3">
      <c r="A2390" t="s">
        <v>3246</v>
      </c>
      <c r="B2390" s="2">
        <v>45389</v>
      </c>
      <c r="C2390" t="s">
        <v>462</v>
      </c>
      <c r="D2390" t="s">
        <v>757</v>
      </c>
      <c r="E2390" t="s">
        <v>831</v>
      </c>
      <c r="F2390">
        <v>2</v>
      </c>
      <c r="G2390">
        <v>0.1</v>
      </c>
      <c r="H2390" t="s">
        <v>855</v>
      </c>
      <c r="I2390" t="str">
        <f>VLOOKUP(C2390,Customers!A:C,2,FALSE)&amp;" "&amp;VLOOKUP(C2390,Customers!A:C,3,FALSE)</f>
        <v>Kimberly Parker</v>
      </c>
      <c r="J2390" t="str">
        <f>VLOOKUP(D2390,Products!A:C,2,FALSE)</f>
        <v>Find Headphones</v>
      </c>
      <c r="K2390" t="str">
        <f>VLOOKUP(D2390,Products!A:C,3,FALSE)</f>
        <v>Electronics</v>
      </c>
      <c r="L2390" t="str">
        <f>VLOOKUP(E2390,Stores!A:B,2,FALSE)</f>
        <v>MegaMart Jimenezborough</v>
      </c>
      <c r="M2390">
        <f>VLOOKUP(D2390,Products!A:E,5,FALSE)</f>
        <v>1246.1099999999999</v>
      </c>
      <c r="N2390" s="5">
        <f t="shared" si="37"/>
        <v>2242.998</v>
      </c>
    </row>
    <row r="2391" spans="1:14" x14ac:dyDescent="0.3">
      <c r="A2391" t="s">
        <v>3247</v>
      </c>
      <c r="B2391" s="2">
        <v>45895</v>
      </c>
      <c r="C2391" t="s">
        <v>32</v>
      </c>
      <c r="D2391" t="s">
        <v>750</v>
      </c>
      <c r="E2391" t="s">
        <v>835</v>
      </c>
      <c r="F2391">
        <v>2</v>
      </c>
      <c r="G2391">
        <v>0</v>
      </c>
      <c r="H2391" t="s">
        <v>855</v>
      </c>
      <c r="I2391" t="str">
        <f>VLOOKUP(C2391,Customers!A:C,2,FALSE)&amp;" "&amp;VLOOKUP(C2391,Customers!A:C,3,FALSE)</f>
        <v>Erin Walker</v>
      </c>
      <c r="J2391" t="str">
        <f>VLOOKUP(D2391,Products!A:C,2,FALSE)</f>
        <v>Add Clothing</v>
      </c>
      <c r="K2391" t="str">
        <f>VLOOKUP(D2391,Products!A:C,3,FALSE)</f>
        <v>Fashion</v>
      </c>
      <c r="L2391" t="str">
        <f>VLOOKUP(E2391,Stores!A:B,2,FALSE)</f>
        <v>MegaMart Peckmouth</v>
      </c>
      <c r="M2391">
        <f>VLOOKUP(D2391,Products!A:E,5,FALSE)</f>
        <v>1342.75</v>
      </c>
      <c r="N2391" s="5">
        <f t="shared" si="37"/>
        <v>2685.5</v>
      </c>
    </row>
    <row r="2392" spans="1:14" x14ac:dyDescent="0.3">
      <c r="A2392" t="s">
        <v>3248</v>
      </c>
      <c r="B2392" s="2">
        <v>45626</v>
      </c>
      <c r="C2392" t="s">
        <v>677</v>
      </c>
      <c r="D2392" t="s">
        <v>757</v>
      </c>
      <c r="E2392" t="s">
        <v>831</v>
      </c>
      <c r="F2392">
        <v>4</v>
      </c>
      <c r="G2392">
        <v>0.15</v>
      </c>
      <c r="H2392" t="s">
        <v>861</v>
      </c>
      <c r="I2392" t="str">
        <f>VLOOKUP(C2392,Customers!A:C,2,FALSE)&amp;" "&amp;VLOOKUP(C2392,Customers!A:C,3,FALSE)</f>
        <v>James Wilson</v>
      </c>
      <c r="J2392" t="str">
        <f>VLOOKUP(D2392,Products!A:C,2,FALSE)</f>
        <v>Find Headphones</v>
      </c>
      <c r="K2392" t="str">
        <f>VLOOKUP(D2392,Products!A:C,3,FALSE)</f>
        <v>Electronics</v>
      </c>
      <c r="L2392" t="str">
        <f>VLOOKUP(E2392,Stores!A:B,2,FALSE)</f>
        <v>MegaMart Jimenezborough</v>
      </c>
      <c r="M2392">
        <f>VLOOKUP(D2392,Products!A:E,5,FALSE)</f>
        <v>1246.1099999999999</v>
      </c>
      <c r="N2392" s="5">
        <f t="shared" si="37"/>
        <v>4236.7739999999994</v>
      </c>
    </row>
    <row r="2393" spans="1:14" x14ac:dyDescent="0.3">
      <c r="A2393" t="s">
        <v>3249</v>
      </c>
      <c r="B2393" s="2">
        <v>45757</v>
      </c>
      <c r="C2393" t="s">
        <v>670</v>
      </c>
      <c r="D2393" t="s">
        <v>788</v>
      </c>
      <c r="E2393" t="s">
        <v>839</v>
      </c>
      <c r="F2393">
        <v>1</v>
      </c>
      <c r="G2393">
        <v>0</v>
      </c>
      <c r="H2393" t="s">
        <v>865</v>
      </c>
      <c r="I2393" t="str">
        <f>VLOOKUP(C2393,Customers!A:C,2,FALSE)&amp;" "&amp;VLOOKUP(C2393,Customers!A:C,3,FALSE)</f>
        <v>Daniel Lawson</v>
      </c>
      <c r="J2393" t="str">
        <f>VLOOKUP(D2393,Products!A:C,2,FALSE)</f>
        <v>Foot Snacks</v>
      </c>
      <c r="K2393" t="str">
        <f>VLOOKUP(D2393,Products!A:C,3,FALSE)</f>
        <v>Groceries</v>
      </c>
      <c r="L2393" t="str">
        <f>VLOOKUP(E2393,Stores!A:B,2,FALSE)</f>
        <v>MegaMart New Michele</v>
      </c>
      <c r="M2393">
        <f>VLOOKUP(D2393,Products!A:E,5,FALSE)</f>
        <v>1095.72</v>
      </c>
      <c r="N2393" s="5">
        <f t="shared" si="37"/>
        <v>1095.72</v>
      </c>
    </row>
    <row r="2394" spans="1:14" x14ac:dyDescent="0.3">
      <c r="A2394" t="s">
        <v>3250</v>
      </c>
      <c r="B2394" s="2">
        <v>45313</v>
      </c>
      <c r="C2394" t="s">
        <v>476</v>
      </c>
      <c r="D2394" t="s">
        <v>786</v>
      </c>
      <c r="E2394" t="s">
        <v>842</v>
      </c>
      <c r="F2394">
        <v>1</v>
      </c>
      <c r="G2394">
        <v>0</v>
      </c>
      <c r="H2394" t="s">
        <v>861</v>
      </c>
      <c r="I2394" t="str">
        <f>VLOOKUP(C2394,Customers!A:C,2,FALSE)&amp;" "&amp;VLOOKUP(C2394,Customers!A:C,3,FALSE)</f>
        <v>Aaron Bailey</v>
      </c>
      <c r="J2394" t="str">
        <f>VLOOKUP(D2394,Products!A:C,2,FALSE)</f>
        <v>National Watches</v>
      </c>
      <c r="K2394" t="str">
        <f>VLOOKUP(D2394,Products!A:C,3,FALSE)</f>
        <v>Fashion</v>
      </c>
      <c r="L2394" t="str">
        <f>VLOOKUP(E2394,Stores!A:B,2,FALSE)</f>
        <v>MegaMart Brianahaven</v>
      </c>
      <c r="M2394">
        <f>VLOOKUP(D2394,Products!A:E,5,FALSE)</f>
        <v>29.24</v>
      </c>
      <c r="N2394" s="5">
        <f t="shared" si="37"/>
        <v>29.24</v>
      </c>
    </row>
    <row r="2395" spans="1:14" x14ac:dyDescent="0.3">
      <c r="A2395" t="s">
        <v>3251</v>
      </c>
      <c r="B2395" s="2">
        <v>45477</v>
      </c>
      <c r="C2395" t="s">
        <v>101</v>
      </c>
      <c r="D2395" t="s">
        <v>794</v>
      </c>
      <c r="E2395" t="s">
        <v>846</v>
      </c>
      <c r="F2395">
        <v>4</v>
      </c>
      <c r="G2395">
        <v>0.05</v>
      </c>
      <c r="H2395" t="s">
        <v>855</v>
      </c>
      <c r="I2395" t="str">
        <f>VLOOKUP(C2395,Customers!A:C,2,FALSE)&amp;" "&amp;VLOOKUP(C2395,Customers!A:C,3,FALSE)</f>
        <v>Cheryl Gilbert</v>
      </c>
      <c r="J2395" t="str">
        <f>VLOOKUP(D2395,Products!A:C,2,FALSE)</f>
        <v>Everything Laptop</v>
      </c>
      <c r="K2395" t="str">
        <f>VLOOKUP(D2395,Products!A:C,3,FALSE)</f>
        <v>Electronics</v>
      </c>
      <c r="L2395" t="str">
        <f>VLOOKUP(E2395,Stores!A:B,2,FALSE)</f>
        <v>MegaMart Johnmouth</v>
      </c>
      <c r="M2395">
        <f>VLOOKUP(D2395,Products!A:E,5,FALSE)</f>
        <v>428.05</v>
      </c>
      <c r="N2395" s="5">
        <f t="shared" si="37"/>
        <v>1626.59</v>
      </c>
    </row>
    <row r="2396" spans="1:14" x14ac:dyDescent="0.3">
      <c r="A2396" t="s">
        <v>3252</v>
      </c>
      <c r="B2396" s="2">
        <v>45465</v>
      </c>
      <c r="C2396" t="s">
        <v>313</v>
      </c>
      <c r="D2396" t="s">
        <v>822</v>
      </c>
      <c r="E2396" t="s">
        <v>842</v>
      </c>
      <c r="F2396">
        <v>5</v>
      </c>
      <c r="G2396">
        <v>0</v>
      </c>
      <c r="H2396" t="s">
        <v>855</v>
      </c>
      <c r="I2396" t="str">
        <f>VLOOKUP(C2396,Customers!A:C,2,FALSE)&amp;" "&amp;VLOOKUP(C2396,Customers!A:C,3,FALSE)</f>
        <v>Jeremy Robles</v>
      </c>
      <c r="J2396" t="str">
        <f>VLOOKUP(D2396,Products!A:C,2,FALSE)</f>
        <v>Nor Bags</v>
      </c>
      <c r="K2396" t="str">
        <f>VLOOKUP(D2396,Products!A:C,3,FALSE)</f>
        <v>Fashion</v>
      </c>
      <c r="L2396" t="str">
        <f>VLOOKUP(E2396,Stores!A:B,2,FALSE)</f>
        <v>MegaMart Brianahaven</v>
      </c>
      <c r="M2396">
        <f>VLOOKUP(D2396,Products!A:E,5,FALSE)</f>
        <v>1216.3599999999999</v>
      </c>
      <c r="N2396" s="5">
        <f t="shared" si="37"/>
        <v>6081.7999999999993</v>
      </c>
    </row>
    <row r="2397" spans="1:14" x14ac:dyDescent="0.3">
      <c r="A2397" t="s">
        <v>3253</v>
      </c>
      <c r="B2397" s="2">
        <v>45766</v>
      </c>
      <c r="C2397" t="s">
        <v>270</v>
      </c>
      <c r="D2397" t="s">
        <v>753</v>
      </c>
      <c r="E2397" t="s">
        <v>842</v>
      </c>
      <c r="F2397">
        <v>2</v>
      </c>
      <c r="G2397">
        <v>0</v>
      </c>
      <c r="H2397" t="s">
        <v>855</v>
      </c>
      <c r="I2397" t="str">
        <f>VLOOKUP(C2397,Customers!A:C,2,FALSE)&amp;" "&amp;VLOOKUP(C2397,Customers!A:C,3,FALSE)</f>
        <v>Denise Gutierrez</v>
      </c>
      <c r="J2397" t="str">
        <f>VLOOKUP(D2397,Products!A:C,2,FALSE)</f>
        <v>Whether Bags</v>
      </c>
      <c r="K2397" t="str">
        <f>VLOOKUP(D2397,Products!A:C,3,FALSE)</f>
        <v>Fashion</v>
      </c>
      <c r="L2397" t="str">
        <f>VLOOKUP(E2397,Stores!A:B,2,FALSE)</f>
        <v>MegaMart Brianahaven</v>
      </c>
      <c r="M2397">
        <f>VLOOKUP(D2397,Products!A:E,5,FALSE)</f>
        <v>270.45</v>
      </c>
      <c r="N2397" s="5">
        <f t="shared" si="37"/>
        <v>540.9</v>
      </c>
    </row>
    <row r="2398" spans="1:14" x14ac:dyDescent="0.3">
      <c r="A2398" t="s">
        <v>3254</v>
      </c>
      <c r="B2398" s="2">
        <v>45860</v>
      </c>
      <c r="C2398" t="s">
        <v>599</v>
      </c>
      <c r="D2398" t="s">
        <v>804</v>
      </c>
      <c r="E2398" t="s">
        <v>846</v>
      </c>
      <c r="F2398">
        <v>4</v>
      </c>
      <c r="G2398">
        <v>0.15</v>
      </c>
      <c r="H2398" t="s">
        <v>855</v>
      </c>
      <c r="I2398" t="str">
        <f>VLOOKUP(C2398,Customers!A:C,2,FALSE)&amp;" "&amp;VLOOKUP(C2398,Customers!A:C,3,FALSE)</f>
        <v>Richard Jones</v>
      </c>
      <c r="J2398" t="str">
        <f>VLOOKUP(D2398,Products!A:C,2,FALSE)</f>
        <v>Church Clothing</v>
      </c>
      <c r="K2398" t="str">
        <f>VLOOKUP(D2398,Products!A:C,3,FALSE)</f>
        <v>Fashion</v>
      </c>
      <c r="L2398" t="str">
        <f>VLOOKUP(E2398,Stores!A:B,2,FALSE)</f>
        <v>MegaMart Johnmouth</v>
      </c>
      <c r="M2398">
        <f>VLOOKUP(D2398,Products!A:E,5,FALSE)</f>
        <v>540.94000000000005</v>
      </c>
      <c r="N2398" s="5">
        <f t="shared" si="37"/>
        <v>1839.1960000000001</v>
      </c>
    </row>
    <row r="2399" spans="1:14" x14ac:dyDescent="0.3">
      <c r="A2399" t="s">
        <v>3255</v>
      </c>
      <c r="B2399" s="2">
        <v>45442</v>
      </c>
      <c r="C2399" t="s">
        <v>411</v>
      </c>
      <c r="D2399" t="s">
        <v>766</v>
      </c>
      <c r="E2399" t="s">
        <v>831</v>
      </c>
      <c r="F2399">
        <v>2</v>
      </c>
      <c r="G2399">
        <v>0.15</v>
      </c>
      <c r="H2399" t="s">
        <v>855</v>
      </c>
      <c r="I2399" t="str">
        <f>VLOOKUP(C2399,Customers!A:C,2,FALSE)&amp;" "&amp;VLOOKUP(C2399,Customers!A:C,3,FALSE)</f>
        <v>Travis Peters</v>
      </c>
      <c r="J2399" t="str">
        <f>VLOOKUP(D2399,Products!A:C,2,FALSE)</f>
        <v>Firm Dairy</v>
      </c>
      <c r="K2399" t="str">
        <f>VLOOKUP(D2399,Products!A:C,3,FALSE)</f>
        <v>Groceries</v>
      </c>
      <c r="L2399" t="str">
        <f>VLOOKUP(E2399,Stores!A:B,2,FALSE)</f>
        <v>MegaMart Jimenezborough</v>
      </c>
      <c r="M2399">
        <f>VLOOKUP(D2399,Products!A:E,5,FALSE)</f>
        <v>1227.24</v>
      </c>
      <c r="N2399" s="5">
        <f t="shared" si="37"/>
        <v>2086.308</v>
      </c>
    </row>
    <row r="2400" spans="1:14" x14ac:dyDescent="0.3">
      <c r="A2400" t="s">
        <v>3256</v>
      </c>
      <c r="B2400" s="2">
        <v>45466</v>
      </c>
      <c r="C2400" t="s">
        <v>458</v>
      </c>
      <c r="D2400" t="s">
        <v>804</v>
      </c>
      <c r="E2400" t="s">
        <v>839</v>
      </c>
      <c r="F2400">
        <v>5</v>
      </c>
      <c r="G2400">
        <v>0.05</v>
      </c>
      <c r="H2400" t="s">
        <v>858</v>
      </c>
      <c r="I2400" t="str">
        <f>VLOOKUP(C2400,Customers!A:C,2,FALSE)&amp;" "&amp;VLOOKUP(C2400,Customers!A:C,3,FALSE)</f>
        <v>Chad Roberts</v>
      </c>
      <c r="J2400" t="str">
        <f>VLOOKUP(D2400,Products!A:C,2,FALSE)</f>
        <v>Church Clothing</v>
      </c>
      <c r="K2400" t="str">
        <f>VLOOKUP(D2400,Products!A:C,3,FALSE)</f>
        <v>Fashion</v>
      </c>
      <c r="L2400" t="str">
        <f>VLOOKUP(E2400,Stores!A:B,2,FALSE)</f>
        <v>MegaMart New Michele</v>
      </c>
      <c r="M2400">
        <f>VLOOKUP(D2400,Products!A:E,5,FALSE)</f>
        <v>540.94000000000005</v>
      </c>
      <c r="N2400" s="5">
        <f t="shared" si="37"/>
        <v>2569.4650000000001</v>
      </c>
    </row>
    <row r="2401" spans="1:14" x14ac:dyDescent="0.3">
      <c r="A2401" t="s">
        <v>3257</v>
      </c>
      <c r="B2401" s="2">
        <v>45724</v>
      </c>
      <c r="C2401" t="s">
        <v>24</v>
      </c>
      <c r="D2401" t="s">
        <v>802</v>
      </c>
      <c r="E2401" t="s">
        <v>842</v>
      </c>
      <c r="F2401">
        <v>4</v>
      </c>
      <c r="G2401">
        <v>0.1</v>
      </c>
      <c r="H2401" t="s">
        <v>865</v>
      </c>
      <c r="I2401" t="str">
        <f>VLOOKUP(C2401,Customers!A:C,2,FALSE)&amp;" "&amp;VLOOKUP(C2401,Customers!A:C,3,FALSE)</f>
        <v>Jamie Salinas</v>
      </c>
      <c r="J2401" t="str">
        <f>VLOOKUP(D2401,Products!A:C,2,FALSE)</f>
        <v>Stage Footwear</v>
      </c>
      <c r="K2401" t="str">
        <f>VLOOKUP(D2401,Products!A:C,3,FALSE)</f>
        <v>Fashion</v>
      </c>
      <c r="L2401" t="str">
        <f>VLOOKUP(E2401,Stores!A:B,2,FALSE)</f>
        <v>MegaMart Brianahaven</v>
      </c>
      <c r="M2401">
        <f>VLOOKUP(D2401,Products!A:E,5,FALSE)</f>
        <v>366.93</v>
      </c>
      <c r="N2401" s="5">
        <f t="shared" si="37"/>
        <v>1320.9480000000001</v>
      </c>
    </row>
    <row r="2402" spans="1:14" x14ac:dyDescent="0.3">
      <c r="A2402" t="s">
        <v>3258</v>
      </c>
      <c r="B2402" s="2">
        <v>45293</v>
      </c>
      <c r="C2402" t="s">
        <v>432</v>
      </c>
      <c r="D2402" t="s">
        <v>753</v>
      </c>
      <c r="E2402" t="s">
        <v>835</v>
      </c>
      <c r="F2402">
        <v>5</v>
      </c>
      <c r="G2402">
        <v>0</v>
      </c>
      <c r="H2402" t="s">
        <v>858</v>
      </c>
      <c r="I2402" t="str">
        <f>VLOOKUP(C2402,Customers!A:C,2,FALSE)&amp;" "&amp;VLOOKUP(C2402,Customers!A:C,3,FALSE)</f>
        <v>Jamie Webb</v>
      </c>
      <c r="J2402" t="str">
        <f>VLOOKUP(D2402,Products!A:C,2,FALSE)</f>
        <v>Whether Bags</v>
      </c>
      <c r="K2402" t="str">
        <f>VLOOKUP(D2402,Products!A:C,3,FALSE)</f>
        <v>Fashion</v>
      </c>
      <c r="L2402" t="str">
        <f>VLOOKUP(E2402,Stores!A:B,2,FALSE)</f>
        <v>MegaMart Peckmouth</v>
      </c>
      <c r="M2402">
        <f>VLOOKUP(D2402,Products!A:E,5,FALSE)</f>
        <v>270.45</v>
      </c>
      <c r="N2402" s="5">
        <f t="shared" si="37"/>
        <v>1352.25</v>
      </c>
    </row>
    <row r="2403" spans="1:14" x14ac:dyDescent="0.3">
      <c r="A2403" t="s">
        <v>3259</v>
      </c>
      <c r="B2403" s="2">
        <v>45684</v>
      </c>
      <c r="C2403" t="s">
        <v>696</v>
      </c>
      <c r="D2403" t="s">
        <v>790</v>
      </c>
      <c r="E2403" t="s">
        <v>835</v>
      </c>
      <c r="F2403">
        <v>4</v>
      </c>
      <c r="G2403">
        <v>0.1</v>
      </c>
      <c r="H2403" t="s">
        <v>858</v>
      </c>
      <c r="I2403" t="str">
        <f>VLOOKUP(C2403,Customers!A:C,2,FALSE)&amp;" "&amp;VLOOKUP(C2403,Customers!A:C,3,FALSE)</f>
        <v>Jessica Mullins</v>
      </c>
      <c r="J2403" t="str">
        <f>VLOOKUP(D2403,Products!A:C,2,FALSE)</f>
        <v>Difficult Vegetables</v>
      </c>
      <c r="K2403" t="str">
        <f>VLOOKUP(D2403,Products!A:C,3,FALSE)</f>
        <v>Groceries</v>
      </c>
      <c r="L2403" t="str">
        <f>VLOOKUP(E2403,Stores!A:B,2,FALSE)</f>
        <v>MegaMart Peckmouth</v>
      </c>
      <c r="M2403">
        <f>VLOOKUP(D2403,Products!A:E,5,FALSE)</f>
        <v>304.70999999999998</v>
      </c>
      <c r="N2403" s="5">
        <f t="shared" si="37"/>
        <v>1096.9559999999999</v>
      </c>
    </row>
    <row r="2404" spans="1:14" x14ac:dyDescent="0.3">
      <c r="A2404" t="s">
        <v>3260</v>
      </c>
      <c r="B2404" s="2">
        <v>45783</v>
      </c>
      <c r="C2404" t="s">
        <v>527</v>
      </c>
      <c r="D2404" t="s">
        <v>808</v>
      </c>
      <c r="E2404" t="s">
        <v>831</v>
      </c>
      <c r="F2404">
        <v>3</v>
      </c>
      <c r="G2404">
        <v>0.1</v>
      </c>
      <c r="H2404" t="s">
        <v>861</v>
      </c>
      <c r="I2404" t="str">
        <f>VLOOKUP(C2404,Customers!A:C,2,FALSE)&amp;" "&amp;VLOOKUP(C2404,Customers!A:C,3,FALSE)</f>
        <v>Paige Osborne</v>
      </c>
      <c r="J2404" t="str">
        <f>VLOOKUP(D2404,Products!A:C,2,FALSE)</f>
        <v>Present Television</v>
      </c>
      <c r="K2404" t="str">
        <f>VLOOKUP(D2404,Products!A:C,3,FALSE)</f>
        <v>Electronics</v>
      </c>
      <c r="L2404" t="str">
        <f>VLOOKUP(E2404,Stores!A:B,2,FALSE)</f>
        <v>MegaMart Jimenezborough</v>
      </c>
      <c r="M2404">
        <f>VLOOKUP(D2404,Products!A:E,5,FALSE)</f>
        <v>1635.01</v>
      </c>
      <c r="N2404" s="5">
        <f t="shared" si="37"/>
        <v>4414.527</v>
      </c>
    </row>
    <row r="2405" spans="1:14" x14ac:dyDescent="0.3">
      <c r="A2405" t="s">
        <v>3261</v>
      </c>
      <c r="B2405" s="2">
        <v>45432</v>
      </c>
      <c r="C2405" t="s">
        <v>579</v>
      </c>
      <c r="D2405" t="s">
        <v>750</v>
      </c>
      <c r="E2405" t="s">
        <v>831</v>
      </c>
      <c r="F2405">
        <v>1</v>
      </c>
      <c r="G2405">
        <v>0.05</v>
      </c>
      <c r="H2405" t="s">
        <v>861</v>
      </c>
      <c r="I2405" t="str">
        <f>VLOOKUP(C2405,Customers!A:C,2,FALSE)&amp;" "&amp;VLOOKUP(C2405,Customers!A:C,3,FALSE)</f>
        <v>Jill Roach</v>
      </c>
      <c r="J2405" t="str">
        <f>VLOOKUP(D2405,Products!A:C,2,FALSE)</f>
        <v>Add Clothing</v>
      </c>
      <c r="K2405" t="str">
        <f>VLOOKUP(D2405,Products!A:C,3,FALSE)</f>
        <v>Fashion</v>
      </c>
      <c r="L2405" t="str">
        <f>VLOOKUP(E2405,Stores!A:B,2,FALSE)</f>
        <v>MegaMart Jimenezborough</v>
      </c>
      <c r="M2405">
        <f>VLOOKUP(D2405,Products!A:E,5,FALSE)</f>
        <v>1342.75</v>
      </c>
      <c r="N2405" s="5">
        <f t="shared" si="37"/>
        <v>1275.6125</v>
      </c>
    </row>
    <row r="2406" spans="1:14" x14ac:dyDescent="0.3">
      <c r="A2406" t="s">
        <v>3262</v>
      </c>
      <c r="B2406" s="2">
        <v>45905</v>
      </c>
      <c r="C2406" t="s">
        <v>464</v>
      </c>
      <c r="D2406" t="s">
        <v>769</v>
      </c>
      <c r="E2406" t="s">
        <v>846</v>
      </c>
      <c r="F2406">
        <v>2</v>
      </c>
      <c r="G2406">
        <v>0</v>
      </c>
      <c r="H2406" t="s">
        <v>861</v>
      </c>
      <c r="I2406" t="str">
        <f>VLOOKUP(C2406,Customers!A:C,2,FALSE)&amp;" "&amp;VLOOKUP(C2406,Customers!A:C,3,FALSE)</f>
        <v>Monique Johnson</v>
      </c>
      <c r="J2406" t="str">
        <f>VLOOKUP(D2406,Products!A:C,2,FALSE)</f>
        <v>How Vegetables</v>
      </c>
      <c r="K2406" t="str">
        <f>VLOOKUP(D2406,Products!A:C,3,FALSE)</f>
        <v>Groceries</v>
      </c>
      <c r="L2406" t="str">
        <f>VLOOKUP(E2406,Stores!A:B,2,FALSE)</f>
        <v>MegaMart Johnmouth</v>
      </c>
      <c r="M2406">
        <f>VLOOKUP(D2406,Products!A:E,5,FALSE)</f>
        <v>25.57</v>
      </c>
      <c r="N2406" s="5">
        <f t="shared" si="37"/>
        <v>51.14</v>
      </c>
    </row>
    <row r="2407" spans="1:14" x14ac:dyDescent="0.3">
      <c r="A2407" t="s">
        <v>3263</v>
      </c>
      <c r="B2407" s="2">
        <v>45185</v>
      </c>
      <c r="C2407" t="s">
        <v>390</v>
      </c>
      <c r="D2407" t="s">
        <v>810</v>
      </c>
      <c r="E2407" t="s">
        <v>846</v>
      </c>
      <c r="F2407">
        <v>4</v>
      </c>
      <c r="G2407">
        <v>0.05</v>
      </c>
      <c r="H2407" t="s">
        <v>865</v>
      </c>
      <c r="I2407" t="str">
        <f>VLOOKUP(C2407,Customers!A:C,2,FALSE)&amp;" "&amp;VLOOKUP(C2407,Customers!A:C,3,FALSE)</f>
        <v>Brenda Dean</v>
      </c>
      <c r="J2407" t="str">
        <f>VLOOKUP(D2407,Products!A:C,2,FALSE)</f>
        <v>Maybe Clothing</v>
      </c>
      <c r="K2407" t="str">
        <f>VLOOKUP(D2407,Products!A:C,3,FALSE)</f>
        <v>Fashion</v>
      </c>
      <c r="L2407" t="str">
        <f>VLOOKUP(E2407,Stores!A:B,2,FALSE)</f>
        <v>MegaMart Johnmouth</v>
      </c>
      <c r="M2407">
        <f>VLOOKUP(D2407,Products!A:E,5,FALSE)</f>
        <v>453.62</v>
      </c>
      <c r="N2407" s="5">
        <f t="shared" si="37"/>
        <v>1723.7559999999999</v>
      </c>
    </row>
    <row r="2408" spans="1:14" x14ac:dyDescent="0.3">
      <c r="A2408" t="s">
        <v>3264</v>
      </c>
      <c r="B2408" s="2">
        <v>45585</v>
      </c>
      <c r="C2408" t="s">
        <v>693</v>
      </c>
      <c r="D2408" t="s">
        <v>745</v>
      </c>
      <c r="E2408" t="s">
        <v>842</v>
      </c>
      <c r="F2408">
        <v>3</v>
      </c>
      <c r="G2408">
        <v>0.15</v>
      </c>
      <c r="H2408" t="s">
        <v>855</v>
      </c>
      <c r="I2408" t="str">
        <f>VLOOKUP(C2408,Customers!A:C,2,FALSE)&amp;" "&amp;VLOOKUP(C2408,Customers!A:C,3,FALSE)</f>
        <v>Matthew Dixon</v>
      </c>
      <c r="J2408" t="str">
        <f>VLOOKUP(D2408,Products!A:C,2,FALSE)</f>
        <v>Above Camera</v>
      </c>
      <c r="K2408" t="str">
        <f>VLOOKUP(D2408,Products!A:C,3,FALSE)</f>
        <v>Electronics</v>
      </c>
      <c r="L2408" t="str">
        <f>VLOOKUP(E2408,Stores!A:B,2,FALSE)</f>
        <v>MegaMart Brianahaven</v>
      </c>
      <c r="M2408">
        <f>VLOOKUP(D2408,Products!A:E,5,FALSE)</f>
        <v>1193.0899999999999</v>
      </c>
      <c r="N2408" s="5">
        <f t="shared" si="37"/>
        <v>3042.3794999999996</v>
      </c>
    </row>
    <row r="2409" spans="1:14" x14ac:dyDescent="0.3">
      <c r="A2409" t="s">
        <v>3265</v>
      </c>
      <c r="B2409" s="2">
        <v>45747</v>
      </c>
      <c r="C2409" t="s">
        <v>670</v>
      </c>
      <c r="D2409" t="s">
        <v>826</v>
      </c>
      <c r="E2409" t="s">
        <v>839</v>
      </c>
      <c r="F2409">
        <v>2</v>
      </c>
      <c r="G2409">
        <v>0</v>
      </c>
      <c r="H2409" t="s">
        <v>855</v>
      </c>
      <c r="I2409" t="str">
        <f>VLOOKUP(C2409,Customers!A:C,2,FALSE)&amp;" "&amp;VLOOKUP(C2409,Customers!A:C,3,FALSE)</f>
        <v>Daniel Lawson</v>
      </c>
      <c r="J2409" t="str">
        <f>VLOOKUP(D2409,Products!A:C,2,FALSE)</f>
        <v>Maybe Footwear</v>
      </c>
      <c r="K2409" t="str">
        <f>VLOOKUP(D2409,Products!A:C,3,FALSE)</f>
        <v>Fashion</v>
      </c>
      <c r="L2409" t="str">
        <f>VLOOKUP(E2409,Stores!A:B,2,FALSE)</f>
        <v>MegaMart New Michele</v>
      </c>
      <c r="M2409">
        <f>VLOOKUP(D2409,Products!A:E,5,FALSE)</f>
        <v>1044.6400000000001</v>
      </c>
      <c r="N2409" s="5">
        <f t="shared" si="37"/>
        <v>2089.2800000000002</v>
      </c>
    </row>
    <row r="2410" spans="1:14" x14ac:dyDescent="0.3">
      <c r="A2410" t="s">
        <v>3266</v>
      </c>
      <c r="B2410" s="2">
        <v>45476</v>
      </c>
      <c r="C2410" t="s">
        <v>627</v>
      </c>
      <c r="D2410" t="s">
        <v>792</v>
      </c>
      <c r="E2410" t="s">
        <v>846</v>
      </c>
      <c r="F2410">
        <v>5</v>
      </c>
      <c r="G2410">
        <v>0.15</v>
      </c>
      <c r="H2410" t="s">
        <v>865</v>
      </c>
      <c r="I2410" t="str">
        <f>VLOOKUP(C2410,Customers!A:C,2,FALSE)&amp;" "&amp;VLOOKUP(C2410,Customers!A:C,3,FALSE)</f>
        <v>Anthony Gould</v>
      </c>
      <c r="J2410" t="str">
        <f>VLOOKUP(D2410,Products!A:C,2,FALSE)</f>
        <v>Beat Accessories</v>
      </c>
      <c r="K2410" t="str">
        <f>VLOOKUP(D2410,Products!A:C,3,FALSE)</f>
        <v>Fashion</v>
      </c>
      <c r="L2410" t="str">
        <f>VLOOKUP(E2410,Stores!A:B,2,FALSE)</f>
        <v>MegaMart Johnmouth</v>
      </c>
      <c r="M2410">
        <f>VLOOKUP(D2410,Products!A:E,5,FALSE)</f>
        <v>1798.97</v>
      </c>
      <c r="N2410" s="5">
        <f t="shared" si="37"/>
        <v>7645.6225000000004</v>
      </c>
    </row>
    <row r="2411" spans="1:14" x14ac:dyDescent="0.3">
      <c r="A2411" t="s">
        <v>3267</v>
      </c>
      <c r="B2411" s="2">
        <v>45666</v>
      </c>
      <c r="C2411" t="s">
        <v>262</v>
      </c>
      <c r="D2411" t="s">
        <v>715</v>
      </c>
      <c r="E2411" t="s">
        <v>835</v>
      </c>
      <c r="F2411">
        <v>5</v>
      </c>
      <c r="G2411">
        <v>0.15</v>
      </c>
      <c r="H2411" t="s">
        <v>858</v>
      </c>
      <c r="I2411" t="str">
        <f>VLOOKUP(C2411,Customers!A:C,2,FALSE)&amp;" "&amp;VLOOKUP(C2411,Customers!A:C,3,FALSE)</f>
        <v>Gabriel Daugherty</v>
      </c>
      <c r="J2411" t="str">
        <f>VLOOKUP(D2411,Products!A:C,2,FALSE)</f>
        <v>Audience Television</v>
      </c>
      <c r="K2411" t="str">
        <f>VLOOKUP(D2411,Products!A:C,3,FALSE)</f>
        <v>Electronics</v>
      </c>
      <c r="L2411" t="str">
        <f>VLOOKUP(E2411,Stores!A:B,2,FALSE)</f>
        <v>MegaMart Peckmouth</v>
      </c>
      <c r="M2411">
        <f>VLOOKUP(D2411,Products!A:E,5,FALSE)</f>
        <v>818.76</v>
      </c>
      <c r="N2411" s="5">
        <f t="shared" si="37"/>
        <v>3479.73</v>
      </c>
    </row>
    <row r="2412" spans="1:14" x14ac:dyDescent="0.3">
      <c r="A2412" t="s">
        <v>3268</v>
      </c>
      <c r="B2412" s="2">
        <v>45191</v>
      </c>
      <c r="C2412" t="s">
        <v>306</v>
      </c>
      <c r="D2412" t="s">
        <v>824</v>
      </c>
      <c r="E2412" t="s">
        <v>835</v>
      </c>
      <c r="F2412">
        <v>3</v>
      </c>
      <c r="G2412">
        <v>0.15</v>
      </c>
      <c r="H2412" t="s">
        <v>858</v>
      </c>
      <c r="I2412" t="str">
        <f>VLOOKUP(C2412,Customers!A:C,2,FALSE)&amp;" "&amp;VLOOKUP(C2412,Customers!A:C,3,FALSE)</f>
        <v>Sarah Reynolds</v>
      </c>
      <c r="J2412" t="str">
        <f>VLOOKUP(D2412,Products!A:C,2,FALSE)</f>
        <v>Possible Watches</v>
      </c>
      <c r="K2412" t="str">
        <f>VLOOKUP(D2412,Products!A:C,3,FALSE)</f>
        <v>Fashion</v>
      </c>
      <c r="L2412" t="str">
        <f>VLOOKUP(E2412,Stores!A:B,2,FALSE)</f>
        <v>MegaMart Peckmouth</v>
      </c>
      <c r="M2412">
        <f>VLOOKUP(D2412,Products!A:E,5,FALSE)</f>
        <v>388.26</v>
      </c>
      <c r="N2412" s="5">
        <f t="shared" si="37"/>
        <v>990.06299999999999</v>
      </c>
    </row>
    <row r="2413" spans="1:14" x14ac:dyDescent="0.3">
      <c r="A2413" t="s">
        <v>3269</v>
      </c>
      <c r="B2413" s="2">
        <v>45751</v>
      </c>
      <c r="C2413" t="s">
        <v>483</v>
      </c>
      <c r="D2413" t="s">
        <v>750</v>
      </c>
      <c r="E2413" t="s">
        <v>846</v>
      </c>
      <c r="F2413">
        <v>1</v>
      </c>
      <c r="G2413">
        <v>0</v>
      </c>
      <c r="H2413" t="s">
        <v>858</v>
      </c>
      <c r="I2413" t="str">
        <f>VLOOKUP(C2413,Customers!A:C,2,FALSE)&amp;" "&amp;VLOOKUP(C2413,Customers!A:C,3,FALSE)</f>
        <v>Jared Ochoa</v>
      </c>
      <c r="J2413" t="str">
        <f>VLOOKUP(D2413,Products!A:C,2,FALSE)</f>
        <v>Add Clothing</v>
      </c>
      <c r="K2413" t="str">
        <f>VLOOKUP(D2413,Products!A:C,3,FALSE)</f>
        <v>Fashion</v>
      </c>
      <c r="L2413" t="str">
        <f>VLOOKUP(E2413,Stores!A:B,2,FALSE)</f>
        <v>MegaMart Johnmouth</v>
      </c>
      <c r="M2413">
        <f>VLOOKUP(D2413,Products!A:E,5,FALSE)</f>
        <v>1342.75</v>
      </c>
      <c r="N2413" s="5">
        <f t="shared" si="37"/>
        <v>1342.75</v>
      </c>
    </row>
    <row r="2414" spans="1:14" x14ac:dyDescent="0.3">
      <c r="A2414" t="s">
        <v>3270</v>
      </c>
      <c r="B2414" s="2">
        <v>45765</v>
      </c>
      <c r="C2414" t="s">
        <v>636</v>
      </c>
      <c r="D2414" t="s">
        <v>780</v>
      </c>
      <c r="E2414" t="s">
        <v>831</v>
      </c>
      <c r="F2414">
        <v>4</v>
      </c>
      <c r="G2414">
        <v>0.05</v>
      </c>
      <c r="H2414" t="s">
        <v>865</v>
      </c>
      <c r="I2414" t="str">
        <f>VLOOKUP(C2414,Customers!A:C,2,FALSE)&amp;" "&amp;VLOOKUP(C2414,Customers!A:C,3,FALSE)</f>
        <v>Nichole Calhoun</v>
      </c>
      <c r="J2414" t="str">
        <f>VLOOKUP(D2414,Products!A:C,2,FALSE)</f>
        <v>Hospital Smartphone</v>
      </c>
      <c r="K2414" t="str">
        <f>VLOOKUP(D2414,Products!A:C,3,FALSE)</f>
        <v>Electronics</v>
      </c>
      <c r="L2414" t="str">
        <f>VLOOKUP(E2414,Stores!A:B,2,FALSE)</f>
        <v>MegaMart Jimenezborough</v>
      </c>
      <c r="M2414">
        <f>VLOOKUP(D2414,Products!A:E,5,FALSE)</f>
        <v>1272.23</v>
      </c>
      <c r="N2414" s="5">
        <f t="shared" si="37"/>
        <v>4834.4740000000002</v>
      </c>
    </row>
    <row r="2415" spans="1:14" x14ac:dyDescent="0.3">
      <c r="A2415" t="s">
        <v>3271</v>
      </c>
      <c r="B2415" s="2">
        <v>45734</v>
      </c>
      <c r="C2415" t="s">
        <v>163</v>
      </c>
      <c r="D2415" t="s">
        <v>747</v>
      </c>
      <c r="E2415" t="s">
        <v>846</v>
      </c>
      <c r="F2415">
        <v>1</v>
      </c>
      <c r="G2415">
        <v>0.05</v>
      </c>
      <c r="H2415" t="s">
        <v>861</v>
      </c>
      <c r="I2415" t="str">
        <f>VLOOKUP(C2415,Customers!A:C,2,FALSE)&amp;" "&amp;VLOOKUP(C2415,Customers!A:C,3,FALSE)</f>
        <v>Anna Andrews</v>
      </c>
      <c r="J2415" t="str">
        <f>VLOOKUP(D2415,Products!A:C,2,FALSE)</f>
        <v>World Watches</v>
      </c>
      <c r="K2415" t="str">
        <f>VLOOKUP(D2415,Products!A:C,3,FALSE)</f>
        <v>Fashion</v>
      </c>
      <c r="L2415" t="str">
        <f>VLOOKUP(E2415,Stores!A:B,2,FALSE)</f>
        <v>MegaMart Johnmouth</v>
      </c>
      <c r="M2415">
        <f>VLOOKUP(D2415,Products!A:E,5,FALSE)</f>
        <v>1134.8</v>
      </c>
      <c r="N2415" s="5">
        <f t="shared" si="37"/>
        <v>1078.06</v>
      </c>
    </row>
    <row r="2416" spans="1:14" x14ac:dyDescent="0.3">
      <c r="A2416" t="s">
        <v>3272</v>
      </c>
      <c r="B2416" s="2">
        <v>45885</v>
      </c>
      <c r="C2416" t="s">
        <v>422</v>
      </c>
      <c r="D2416" t="s">
        <v>816</v>
      </c>
      <c r="E2416" t="s">
        <v>831</v>
      </c>
      <c r="F2416">
        <v>1</v>
      </c>
      <c r="G2416">
        <v>0.15</v>
      </c>
      <c r="H2416" t="s">
        <v>858</v>
      </c>
      <c r="I2416" t="str">
        <f>VLOOKUP(C2416,Customers!A:C,2,FALSE)&amp;" "&amp;VLOOKUP(C2416,Customers!A:C,3,FALSE)</f>
        <v>Heidi Wilson</v>
      </c>
      <c r="J2416" t="str">
        <f>VLOOKUP(D2416,Products!A:C,2,FALSE)</f>
        <v>Set Dairy</v>
      </c>
      <c r="K2416" t="str">
        <f>VLOOKUP(D2416,Products!A:C,3,FALSE)</f>
        <v>Groceries</v>
      </c>
      <c r="L2416" t="str">
        <f>VLOOKUP(E2416,Stores!A:B,2,FALSE)</f>
        <v>MegaMart Jimenezborough</v>
      </c>
      <c r="M2416">
        <f>VLOOKUP(D2416,Products!A:E,5,FALSE)</f>
        <v>1879.08</v>
      </c>
      <c r="N2416" s="5">
        <f t="shared" si="37"/>
        <v>1597.2179999999998</v>
      </c>
    </row>
    <row r="2417" spans="1:14" x14ac:dyDescent="0.3">
      <c r="A2417" t="s">
        <v>3273</v>
      </c>
      <c r="B2417" s="2">
        <v>45545</v>
      </c>
      <c r="C2417" t="s">
        <v>171</v>
      </c>
      <c r="D2417" t="s">
        <v>766</v>
      </c>
      <c r="E2417" t="s">
        <v>846</v>
      </c>
      <c r="F2417">
        <v>4</v>
      </c>
      <c r="G2417">
        <v>0.05</v>
      </c>
      <c r="H2417" t="s">
        <v>858</v>
      </c>
      <c r="I2417" t="str">
        <f>VLOOKUP(C2417,Customers!A:C,2,FALSE)&amp;" "&amp;VLOOKUP(C2417,Customers!A:C,3,FALSE)</f>
        <v>Parker Sparks</v>
      </c>
      <c r="J2417" t="str">
        <f>VLOOKUP(D2417,Products!A:C,2,FALSE)</f>
        <v>Firm Dairy</v>
      </c>
      <c r="K2417" t="str">
        <f>VLOOKUP(D2417,Products!A:C,3,FALSE)</f>
        <v>Groceries</v>
      </c>
      <c r="L2417" t="str">
        <f>VLOOKUP(E2417,Stores!A:B,2,FALSE)</f>
        <v>MegaMart Johnmouth</v>
      </c>
      <c r="M2417">
        <f>VLOOKUP(D2417,Products!A:E,5,FALSE)</f>
        <v>1227.24</v>
      </c>
      <c r="N2417" s="5">
        <f t="shared" si="37"/>
        <v>4663.5119999999997</v>
      </c>
    </row>
    <row r="2418" spans="1:14" x14ac:dyDescent="0.3">
      <c r="A2418" t="s">
        <v>3274</v>
      </c>
      <c r="B2418" s="2">
        <v>45513</v>
      </c>
      <c r="C2418" t="s">
        <v>386</v>
      </c>
      <c r="D2418" t="s">
        <v>826</v>
      </c>
      <c r="E2418" t="s">
        <v>831</v>
      </c>
      <c r="F2418">
        <v>3</v>
      </c>
      <c r="G2418">
        <v>0</v>
      </c>
      <c r="H2418" t="s">
        <v>858</v>
      </c>
      <c r="I2418" t="str">
        <f>VLOOKUP(C2418,Customers!A:C,2,FALSE)&amp;" "&amp;VLOOKUP(C2418,Customers!A:C,3,FALSE)</f>
        <v>David Burns</v>
      </c>
      <c r="J2418" t="str">
        <f>VLOOKUP(D2418,Products!A:C,2,FALSE)</f>
        <v>Maybe Footwear</v>
      </c>
      <c r="K2418" t="str">
        <f>VLOOKUP(D2418,Products!A:C,3,FALSE)</f>
        <v>Fashion</v>
      </c>
      <c r="L2418" t="str">
        <f>VLOOKUP(E2418,Stores!A:B,2,FALSE)</f>
        <v>MegaMart Jimenezborough</v>
      </c>
      <c r="M2418">
        <f>VLOOKUP(D2418,Products!A:E,5,FALSE)</f>
        <v>1044.6400000000001</v>
      </c>
      <c r="N2418" s="5">
        <f t="shared" si="37"/>
        <v>3133.92</v>
      </c>
    </row>
    <row r="2419" spans="1:14" x14ac:dyDescent="0.3">
      <c r="A2419" t="s">
        <v>3275</v>
      </c>
      <c r="B2419" s="2">
        <v>45241</v>
      </c>
      <c r="C2419" t="s">
        <v>287</v>
      </c>
      <c r="D2419" t="s">
        <v>816</v>
      </c>
      <c r="E2419" t="s">
        <v>839</v>
      </c>
      <c r="F2419">
        <v>5</v>
      </c>
      <c r="G2419">
        <v>0.1</v>
      </c>
      <c r="H2419" t="s">
        <v>855</v>
      </c>
      <c r="I2419" t="str">
        <f>VLOOKUP(C2419,Customers!A:C,2,FALSE)&amp;" "&amp;VLOOKUP(C2419,Customers!A:C,3,FALSE)</f>
        <v>Phyllis Durham</v>
      </c>
      <c r="J2419" t="str">
        <f>VLOOKUP(D2419,Products!A:C,2,FALSE)</f>
        <v>Set Dairy</v>
      </c>
      <c r="K2419" t="str">
        <f>VLOOKUP(D2419,Products!A:C,3,FALSE)</f>
        <v>Groceries</v>
      </c>
      <c r="L2419" t="str">
        <f>VLOOKUP(E2419,Stores!A:B,2,FALSE)</f>
        <v>MegaMart New Michele</v>
      </c>
      <c r="M2419">
        <f>VLOOKUP(D2419,Products!A:E,5,FALSE)</f>
        <v>1879.08</v>
      </c>
      <c r="N2419" s="5">
        <f t="shared" si="37"/>
        <v>8455.86</v>
      </c>
    </row>
    <row r="2420" spans="1:14" x14ac:dyDescent="0.3">
      <c r="A2420" t="s">
        <v>3276</v>
      </c>
      <c r="B2420" s="2">
        <v>45893</v>
      </c>
      <c r="C2420" t="s">
        <v>527</v>
      </c>
      <c r="D2420" t="s">
        <v>800</v>
      </c>
      <c r="E2420" t="s">
        <v>835</v>
      </c>
      <c r="F2420">
        <v>2</v>
      </c>
      <c r="G2420">
        <v>0.1</v>
      </c>
      <c r="H2420" t="s">
        <v>861</v>
      </c>
      <c r="I2420" t="str">
        <f>VLOOKUP(C2420,Customers!A:C,2,FALSE)&amp;" "&amp;VLOOKUP(C2420,Customers!A:C,3,FALSE)</f>
        <v>Paige Osborne</v>
      </c>
      <c r="J2420" t="str">
        <f>VLOOKUP(D2420,Products!A:C,2,FALSE)</f>
        <v>Book Television</v>
      </c>
      <c r="K2420" t="str">
        <f>VLOOKUP(D2420,Products!A:C,3,FALSE)</f>
        <v>Electronics</v>
      </c>
      <c r="L2420" t="str">
        <f>VLOOKUP(E2420,Stores!A:B,2,FALSE)</f>
        <v>MegaMart Peckmouth</v>
      </c>
      <c r="M2420">
        <f>VLOOKUP(D2420,Products!A:E,5,FALSE)</f>
        <v>1952.65</v>
      </c>
      <c r="N2420" s="5">
        <f t="shared" si="37"/>
        <v>3514.7700000000004</v>
      </c>
    </row>
    <row r="2421" spans="1:14" x14ac:dyDescent="0.3">
      <c r="A2421" t="s">
        <v>3277</v>
      </c>
      <c r="B2421" s="2">
        <v>45324</v>
      </c>
      <c r="C2421" t="s">
        <v>567</v>
      </c>
      <c r="D2421" t="s">
        <v>742</v>
      </c>
      <c r="E2421" t="s">
        <v>839</v>
      </c>
      <c r="F2421">
        <v>5</v>
      </c>
      <c r="G2421">
        <v>0.1</v>
      </c>
      <c r="H2421" t="s">
        <v>858</v>
      </c>
      <c r="I2421" t="str">
        <f>VLOOKUP(C2421,Customers!A:C,2,FALSE)&amp;" "&amp;VLOOKUP(C2421,Customers!A:C,3,FALSE)</f>
        <v>Crystal Aguirre</v>
      </c>
      <c r="J2421" t="str">
        <f>VLOOKUP(D2421,Products!A:C,2,FALSE)</f>
        <v>Either Headphones</v>
      </c>
      <c r="K2421" t="str">
        <f>VLOOKUP(D2421,Products!A:C,3,FALSE)</f>
        <v>Electronics</v>
      </c>
      <c r="L2421" t="str">
        <f>VLOOKUP(E2421,Stores!A:B,2,FALSE)</f>
        <v>MegaMart New Michele</v>
      </c>
      <c r="M2421">
        <f>VLOOKUP(D2421,Products!A:E,5,FALSE)</f>
        <v>248.57</v>
      </c>
      <c r="N2421" s="5">
        <f t="shared" si="37"/>
        <v>1118.5650000000001</v>
      </c>
    </row>
    <row r="2422" spans="1:14" x14ac:dyDescent="0.3">
      <c r="A2422" t="s">
        <v>3278</v>
      </c>
      <c r="B2422" s="2">
        <v>45854</v>
      </c>
      <c r="C2422" t="s">
        <v>442</v>
      </c>
      <c r="D2422" t="s">
        <v>742</v>
      </c>
      <c r="E2422" t="s">
        <v>835</v>
      </c>
      <c r="F2422">
        <v>3</v>
      </c>
      <c r="G2422">
        <v>0.05</v>
      </c>
      <c r="H2422" t="s">
        <v>861</v>
      </c>
      <c r="I2422" t="str">
        <f>VLOOKUP(C2422,Customers!A:C,2,FALSE)&amp;" "&amp;VLOOKUP(C2422,Customers!A:C,3,FALSE)</f>
        <v>Jason Lloyd</v>
      </c>
      <c r="J2422" t="str">
        <f>VLOOKUP(D2422,Products!A:C,2,FALSE)</f>
        <v>Either Headphones</v>
      </c>
      <c r="K2422" t="str">
        <f>VLOOKUP(D2422,Products!A:C,3,FALSE)</f>
        <v>Electronics</v>
      </c>
      <c r="L2422" t="str">
        <f>VLOOKUP(E2422,Stores!A:B,2,FALSE)</f>
        <v>MegaMart Peckmouth</v>
      </c>
      <c r="M2422">
        <f>VLOOKUP(D2422,Products!A:E,5,FALSE)</f>
        <v>248.57</v>
      </c>
      <c r="N2422" s="5">
        <f t="shared" si="37"/>
        <v>708.42449999999997</v>
      </c>
    </row>
    <row r="2423" spans="1:14" x14ac:dyDescent="0.3">
      <c r="A2423" t="s">
        <v>3279</v>
      </c>
      <c r="B2423" s="2">
        <v>45835</v>
      </c>
      <c r="C2423" t="s">
        <v>494</v>
      </c>
      <c r="D2423" t="s">
        <v>728</v>
      </c>
      <c r="E2423" t="s">
        <v>842</v>
      </c>
      <c r="F2423">
        <v>1</v>
      </c>
      <c r="G2423">
        <v>0.1</v>
      </c>
      <c r="H2423" t="s">
        <v>858</v>
      </c>
      <c r="I2423" t="str">
        <f>VLOOKUP(C2423,Customers!A:C,2,FALSE)&amp;" "&amp;VLOOKUP(C2423,Customers!A:C,3,FALSE)</f>
        <v>Mario Cuevas</v>
      </c>
      <c r="J2423" t="str">
        <f>VLOOKUP(D2423,Products!A:C,2,FALSE)</f>
        <v>Company Fruits</v>
      </c>
      <c r="K2423" t="str">
        <f>VLOOKUP(D2423,Products!A:C,3,FALSE)</f>
        <v>Groceries</v>
      </c>
      <c r="L2423" t="str">
        <f>VLOOKUP(E2423,Stores!A:B,2,FALSE)</f>
        <v>MegaMart Brianahaven</v>
      </c>
      <c r="M2423">
        <f>VLOOKUP(D2423,Products!A:E,5,FALSE)</f>
        <v>318.05</v>
      </c>
      <c r="N2423" s="5">
        <f t="shared" si="37"/>
        <v>286.245</v>
      </c>
    </row>
    <row r="2424" spans="1:14" x14ac:dyDescent="0.3">
      <c r="A2424" t="s">
        <v>3280</v>
      </c>
      <c r="B2424" s="2">
        <v>45901</v>
      </c>
      <c r="C2424" t="s">
        <v>179</v>
      </c>
      <c r="D2424" t="s">
        <v>814</v>
      </c>
      <c r="E2424" t="s">
        <v>835</v>
      </c>
      <c r="F2424">
        <v>4</v>
      </c>
      <c r="G2424">
        <v>0</v>
      </c>
      <c r="H2424" t="s">
        <v>865</v>
      </c>
      <c r="I2424" t="str">
        <f>VLOOKUP(C2424,Customers!A:C,2,FALSE)&amp;" "&amp;VLOOKUP(C2424,Customers!A:C,3,FALSE)</f>
        <v>Dennis Poole</v>
      </c>
      <c r="J2424" t="str">
        <f>VLOOKUP(D2424,Products!A:C,2,FALSE)</f>
        <v>Least Accessories</v>
      </c>
      <c r="K2424" t="str">
        <f>VLOOKUP(D2424,Products!A:C,3,FALSE)</f>
        <v>Fashion</v>
      </c>
      <c r="L2424" t="str">
        <f>VLOOKUP(E2424,Stores!A:B,2,FALSE)</f>
        <v>MegaMart Peckmouth</v>
      </c>
      <c r="M2424">
        <f>VLOOKUP(D2424,Products!A:E,5,FALSE)</f>
        <v>1286.55</v>
      </c>
      <c r="N2424" s="5">
        <f t="shared" si="37"/>
        <v>5146.2</v>
      </c>
    </row>
    <row r="2425" spans="1:14" x14ac:dyDescent="0.3">
      <c r="A2425" t="s">
        <v>3281</v>
      </c>
      <c r="B2425" s="2">
        <v>45722</v>
      </c>
      <c r="C2425" t="s">
        <v>302</v>
      </c>
      <c r="D2425" t="s">
        <v>808</v>
      </c>
      <c r="E2425" t="s">
        <v>835</v>
      </c>
      <c r="F2425">
        <v>2</v>
      </c>
      <c r="G2425">
        <v>0</v>
      </c>
      <c r="H2425" t="s">
        <v>858</v>
      </c>
      <c r="I2425" t="str">
        <f>VLOOKUP(C2425,Customers!A:C,2,FALSE)&amp;" "&amp;VLOOKUP(C2425,Customers!A:C,3,FALSE)</f>
        <v>Grace Garcia</v>
      </c>
      <c r="J2425" t="str">
        <f>VLOOKUP(D2425,Products!A:C,2,FALSE)</f>
        <v>Present Television</v>
      </c>
      <c r="K2425" t="str">
        <f>VLOOKUP(D2425,Products!A:C,3,FALSE)</f>
        <v>Electronics</v>
      </c>
      <c r="L2425" t="str">
        <f>VLOOKUP(E2425,Stores!A:B,2,FALSE)</f>
        <v>MegaMart Peckmouth</v>
      </c>
      <c r="M2425">
        <f>VLOOKUP(D2425,Products!A:E,5,FALSE)</f>
        <v>1635.01</v>
      </c>
      <c r="N2425" s="5">
        <f t="shared" si="37"/>
        <v>3270.02</v>
      </c>
    </row>
    <row r="2426" spans="1:14" x14ac:dyDescent="0.3">
      <c r="A2426" t="s">
        <v>3282</v>
      </c>
      <c r="B2426" s="2">
        <v>45680</v>
      </c>
      <c r="C2426" t="s">
        <v>320</v>
      </c>
      <c r="D2426" t="s">
        <v>736</v>
      </c>
      <c r="E2426" t="s">
        <v>831</v>
      </c>
      <c r="F2426">
        <v>1</v>
      </c>
      <c r="G2426">
        <v>0.15</v>
      </c>
      <c r="H2426" t="s">
        <v>861</v>
      </c>
      <c r="I2426" t="str">
        <f>VLOOKUP(C2426,Customers!A:C,2,FALSE)&amp;" "&amp;VLOOKUP(C2426,Customers!A:C,3,FALSE)</f>
        <v>Juan Ramirez</v>
      </c>
      <c r="J2426" t="str">
        <f>VLOOKUP(D2426,Products!A:C,2,FALSE)</f>
        <v>Us Snacks</v>
      </c>
      <c r="K2426" t="str">
        <f>VLOOKUP(D2426,Products!A:C,3,FALSE)</f>
        <v>Groceries</v>
      </c>
      <c r="L2426" t="str">
        <f>VLOOKUP(E2426,Stores!A:B,2,FALSE)</f>
        <v>MegaMart Jimenezborough</v>
      </c>
      <c r="M2426">
        <f>VLOOKUP(D2426,Products!A:E,5,FALSE)</f>
        <v>123.19</v>
      </c>
      <c r="N2426" s="5">
        <f t="shared" si="37"/>
        <v>104.7115</v>
      </c>
    </row>
    <row r="2427" spans="1:14" x14ac:dyDescent="0.3">
      <c r="A2427" t="s">
        <v>3283</v>
      </c>
      <c r="B2427" s="2">
        <v>45501</v>
      </c>
      <c r="C2427" t="s">
        <v>74</v>
      </c>
      <c r="D2427" t="s">
        <v>826</v>
      </c>
      <c r="E2427" t="s">
        <v>839</v>
      </c>
      <c r="F2427">
        <v>5</v>
      </c>
      <c r="G2427">
        <v>0.05</v>
      </c>
      <c r="H2427" t="s">
        <v>855</v>
      </c>
      <c r="I2427" t="str">
        <f>VLOOKUP(C2427,Customers!A:C,2,FALSE)&amp;" "&amp;VLOOKUP(C2427,Customers!A:C,3,FALSE)</f>
        <v>Breanna Davis</v>
      </c>
      <c r="J2427" t="str">
        <f>VLOOKUP(D2427,Products!A:C,2,FALSE)</f>
        <v>Maybe Footwear</v>
      </c>
      <c r="K2427" t="str">
        <f>VLOOKUP(D2427,Products!A:C,3,FALSE)</f>
        <v>Fashion</v>
      </c>
      <c r="L2427" t="str">
        <f>VLOOKUP(E2427,Stores!A:B,2,FALSE)</f>
        <v>MegaMart New Michele</v>
      </c>
      <c r="M2427">
        <f>VLOOKUP(D2427,Products!A:E,5,FALSE)</f>
        <v>1044.6400000000001</v>
      </c>
      <c r="N2427" s="5">
        <f t="shared" si="37"/>
        <v>4962.0400000000009</v>
      </c>
    </row>
    <row r="2428" spans="1:14" x14ac:dyDescent="0.3">
      <c r="A2428" t="s">
        <v>3284</v>
      </c>
      <c r="B2428" s="2">
        <v>45787</v>
      </c>
      <c r="C2428" t="s">
        <v>577</v>
      </c>
      <c r="D2428" t="s">
        <v>742</v>
      </c>
      <c r="E2428" t="s">
        <v>831</v>
      </c>
      <c r="F2428">
        <v>2</v>
      </c>
      <c r="G2428">
        <v>0.1</v>
      </c>
      <c r="H2428" t="s">
        <v>855</v>
      </c>
      <c r="I2428" t="str">
        <f>VLOOKUP(C2428,Customers!A:C,2,FALSE)&amp;" "&amp;VLOOKUP(C2428,Customers!A:C,3,FALSE)</f>
        <v>Michael Perez</v>
      </c>
      <c r="J2428" t="str">
        <f>VLOOKUP(D2428,Products!A:C,2,FALSE)</f>
        <v>Either Headphones</v>
      </c>
      <c r="K2428" t="str">
        <f>VLOOKUP(D2428,Products!A:C,3,FALSE)</f>
        <v>Electronics</v>
      </c>
      <c r="L2428" t="str">
        <f>VLOOKUP(E2428,Stores!A:B,2,FALSE)</f>
        <v>MegaMart Jimenezborough</v>
      </c>
      <c r="M2428">
        <f>VLOOKUP(D2428,Products!A:E,5,FALSE)</f>
        <v>248.57</v>
      </c>
      <c r="N2428" s="5">
        <f t="shared" si="37"/>
        <v>447.42599999999999</v>
      </c>
    </row>
    <row r="2429" spans="1:14" x14ac:dyDescent="0.3">
      <c r="A2429" t="s">
        <v>3285</v>
      </c>
      <c r="B2429" s="2">
        <v>45771</v>
      </c>
      <c r="C2429" t="s">
        <v>411</v>
      </c>
      <c r="D2429" t="s">
        <v>790</v>
      </c>
      <c r="E2429" t="s">
        <v>846</v>
      </c>
      <c r="F2429">
        <v>3</v>
      </c>
      <c r="G2429">
        <v>0.1</v>
      </c>
      <c r="H2429" t="s">
        <v>858</v>
      </c>
      <c r="I2429" t="str">
        <f>VLOOKUP(C2429,Customers!A:C,2,FALSE)&amp;" "&amp;VLOOKUP(C2429,Customers!A:C,3,FALSE)</f>
        <v>Travis Peters</v>
      </c>
      <c r="J2429" t="str">
        <f>VLOOKUP(D2429,Products!A:C,2,FALSE)</f>
        <v>Difficult Vegetables</v>
      </c>
      <c r="K2429" t="str">
        <f>VLOOKUP(D2429,Products!A:C,3,FALSE)</f>
        <v>Groceries</v>
      </c>
      <c r="L2429" t="str">
        <f>VLOOKUP(E2429,Stores!A:B,2,FALSE)</f>
        <v>MegaMart Johnmouth</v>
      </c>
      <c r="M2429">
        <f>VLOOKUP(D2429,Products!A:E,5,FALSE)</f>
        <v>304.70999999999998</v>
      </c>
      <c r="N2429" s="5">
        <f t="shared" si="37"/>
        <v>822.71699999999987</v>
      </c>
    </row>
    <row r="2430" spans="1:14" x14ac:dyDescent="0.3">
      <c r="A2430" t="s">
        <v>3286</v>
      </c>
      <c r="B2430" s="2">
        <v>45179</v>
      </c>
      <c r="C2430" t="s">
        <v>250</v>
      </c>
      <c r="D2430" t="s">
        <v>745</v>
      </c>
      <c r="E2430" t="s">
        <v>846</v>
      </c>
      <c r="F2430">
        <v>5</v>
      </c>
      <c r="G2430">
        <v>0.05</v>
      </c>
      <c r="H2430" t="s">
        <v>865</v>
      </c>
      <c r="I2430" t="str">
        <f>VLOOKUP(C2430,Customers!A:C,2,FALSE)&amp;" "&amp;VLOOKUP(C2430,Customers!A:C,3,FALSE)</f>
        <v>Jason Jenkins</v>
      </c>
      <c r="J2430" t="str">
        <f>VLOOKUP(D2430,Products!A:C,2,FALSE)</f>
        <v>Above Camera</v>
      </c>
      <c r="K2430" t="str">
        <f>VLOOKUP(D2430,Products!A:C,3,FALSE)</f>
        <v>Electronics</v>
      </c>
      <c r="L2430" t="str">
        <f>VLOOKUP(E2430,Stores!A:B,2,FALSE)</f>
        <v>MegaMart Johnmouth</v>
      </c>
      <c r="M2430">
        <f>VLOOKUP(D2430,Products!A:E,5,FALSE)</f>
        <v>1193.0899999999999</v>
      </c>
      <c r="N2430" s="5">
        <f t="shared" si="37"/>
        <v>5667.1774999999998</v>
      </c>
    </row>
    <row r="2431" spans="1:14" x14ac:dyDescent="0.3">
      <c r="A2431" t="s">
        <v>3287</v>
      </c>
      <c r="B2431" s="2">
        <v>45239</v>
      </c>
      <c r="C2431" t="s">
        <v>549</v>
      </c>
      <c r="D2431" t="s">
        <v>792</v>
      </c>
      <c r="E2431" t="s">
        <v>835</v>
      </c>
      <c r="F2431">
        <v>1</v>
      </c>
      <c r="G2431">
        <v>0.05</v>
      </c>
      <c r="H2431" t="s">
        <v>855</v>
      </c>
      <c r="I2431" t="str">
        <f>VLOOKUP(C2431,Customers!A:C,2,FALSE)&amp;" "&amp;VLOOKUP(C2431,Customers!A:C,3,FALSE)</f>
        <v>Brittany Green</v>
      </c>
      <c r="J2431" t="str">
        <f>VLOOKUP(D2431,Products!A:C,2,FALSE)</f>
        <v>Beat Accessories</v>
      </c>
      <c r="K2431" t="str">
        <f>VLOOKUP(D2431,Products!A:C,3,FALSE)</f>
        <v>Fashion</v>
      </c>
      <c r="L2431" t="str">
        <f>VLOOKUP(E2431,Stores!A:B,2,FALSE)</f>
        <v>MegaMart Peckmouth</v>
      </c>
      <c r="M2431">
        <f>VLOOKUP(D2431,Products!A:E,5,FALSE)</f>
        <v>1798.97</v>
      </c>
      <c r="N2431" s="5">
        <f t="shared" si="37"/>
        <v>1709.0214999999998</v>
      </c>
    </row>
    <row r="2432" spans="1:14" x14ac:dyDescent="0.3">
      <c r="A2432" t="s">
        <v>3288</v>
      </c>
      <c r="B2432" s="2">
        <v>45372</v>
      </c>
      <c r="C2432" t="s">
        <v>179</v>
      </c>
      <c r="D2432" t="s">
        <v>782</v>
      </c>
      <c r="E2432" t="s">
        <v>839</v>
      </c>
      <c r="F2432">
        <v>5</v>
      </c>
      <c r="G2432">
        <v>0</v>
      </c>
      <c r="H2432" t="s">
        <v>861</v>
      </c>
      <c r="I2432" t="str">
        <f>VLOOKUP(C2432,Customers!A:C,2,FALSE)&amp;" "&amp;VLOOKUP(C2432,Customers!A:C,3,FALSE)</f>
        <v>Dennis Poole</v>
      </c>
      <c r="J2432" t="str">
        <f>VLOOKUP(D2432,Products!A:C,2,FALSE)</f>
        <v>Deal Smartphone</v>
      </c>
      <c r="K2432" t="str">
        <f>VLOOKUP(D2432,Products!A:C,3,FALSE)</f>
        <v>Electronics</v>
      </c>
      <c r="L2432" t="str">
        <f>VLOOKUP(E2432,Stores!A:B,2,FALSE)</f>
        <v>MegaMart New Michele</v>
      </c>
      <c r="M2432">
        <f>VLOOKUP(D2432,Products!A:E,5,FALSE)</f>
        <v>673.78</v>
      </c>
      <c r="N2432" s="5">
        <f t="shared" si="37"/>
        <v>3368.8999999999996</v>
      </c>
    </row>
    <row r="2433" spans="1:14" x14ac:dyDescent="0.3">
      <c r="A2433" t="s">
        <v>3289</v>
      </c>
      <c r="B2433" s="2">
        <v>45564</v>
      </c>
      <c r="C2433" t="s">
        <v>491</v>
      </c>
      <c r="D2433" t="s">
        <v>722</v>
      </c>
      <c r="E2433" t="s">
        <v>846</v>
      </c>
      <c r="F2433">
        <v>4</v>
      </c>
      <c r="G2433">
        <v>0.1</v>
      </c>
      <c r="H2433" t="s">
        <v>855</v>
      </c>
      <c r="I2433" t="str">
        <f>VLOOKUP(C2433,Customers!A:C,2,FALSE)&amp;" "&amp;VLOOKUP(C2433,Customers!A:C,3,FALSE)</f>
        <v>Emily Hart</v>
      </c>
      <c r="J2433" t="str">
        <f>VLOOKUP(D2433,Products!A:C,2,FALSE)</f>
        <v>Four Accessories</v>
      </c>
      <c r="K2433" t="str">
        <f>VLOOKUP(D2433,Products!A:C,3,FALSE)</f>
        <v>Fashion</v>
      </c>
      <c r="L2433" t="str">
        <f>VLOOKUP(E2433,Stores!A:B,2,FALSE)</f>
        <v>MegaMart Johnmouth</v>
      </c>
      <c r="M2433">
        <f>VLOOKUP(D2433,Products!A:E,5,FALSE)</f>
        <v>1853.77</v>
      </c>
      <c r="N2433" s="5">
        <f t="shared" si="37"/>
        <v>6673.5720000000001</v>
      </c>
    </row>
    <row r="2434" spans="1:14" x14ac:dyDescent="0.3">
      <c r="A2434" t="s">
        <v>3290</v>
      </c>
      <c r="B2434" s="2">
        <v>45365</v>
      </c>
      <c r="C2434" t="s">
        <v>666</v>
      </c>
      <c r="D2434" t="s">
        <v>757</v>
      </c>
      <c r="E2434" t="s">
        <v>846</v>
      </c>
      <c r="F2434">
        <v>4</v>
      </c>
      <c r="G2434">
        <v>0.05</v>
      </c>
      <c r="H2434" t="s">
        <v>861</v>
      </c>
      <c r="I2434" t="str">
        <f>VLOOKUP(C2434,Customers!A:C,2,FALSE)&amp;" "&amp;VLOOKUP(C2434,Customers!A:C,3,FALSE)</f>
        <v>Steve Flynn</v>
      </c>
      <c r="J2434" t="str">
        <f>VLOOKUP(D2434,Products!A:C,2,FALSE)</f>
        <v>Find Headphones</v>
      </c>
      <c r="K2434" t="str">
        <f>VLOOKUP(D2434,Products!A:C,3,FALSE)</f>
        <v>Electronics</v>
      </c>
      <c r="L2434" t="str">
        <f>VLOOKUP(E2434,Stores!A:B,2,FALSE)</f>
        <v>MegaMart Johnmouth</v>
      </c>
      <c r="M2434">
        <f>VLOOKUP(D2434,Products!A:E,5,FALSE)</f>
        <v>1246.1099999999999</v>
      </c>
      <c r="N2434" s="5">
        <f t="shared" si="37"/>
        <v>4735.2179999999998</v>
      </c>
    </row>
    <row r="2435" spans="1:14" x14ac:dyDescent="0.3">
      <c r="A2435" t="s">
        <v>3291</v>
      </c>
      <c r="B2435" s="2">
        <v>45604</v>
      </c>
      <c r="C2435" t="s">
        <v>7</v>
      </c>
      <c r="D2435" t="s">
        <v>759</v>
      </c>
      <c r="E2435" t="s">
        <v>835</v>
      </c>
      <c r="F2435">
        <v>2</v>
      </c>
      <c r="G2435">
        <v>0</v>
      </c>
      <c r="H2435" t="s">
        <v>861</v>
      </c>
      <c r="I2435" t="str">
        <f>VLOOKUP(C2435,Customers!A:C,2,FALSE)&amp;" "&amp;VLOOKUP(C2435,Customers!A:C,3,FALSE)</f>
        <v>Michael Davis</v>
      </c>
      <c r="J2435" t="str">
        <f>VLOOKUP(D2435,Products!A:C,2,FALSE)</f>
        <v>Democratic Smartphone</v>
      </c>
      <c r="K2435" t="str">
        <f>VLOOKUP(D2435,Products!A:C,3,FALSE)</f>
        <v>Electronics</v>
      </c>
      <c r="L2435" t="str">
        <f>VLOOKUP(E2435,Stores!A:B,2,FALSE)</f>
        <v>MegaMart Peckmouth</v>
      </c>
      <c r="M2435">
        <f>VLOOKUP(D2435,Products!A:E,5,FALSE)</f>
        <v>1079.8900000000001</v>
      </c>
      <c r="N2435" s="5">
        <f t="shared" ref="N2435:N2498" si="38">F2435*M2435*(1-G2435)</f>
        <v>2159.7800000000002</v>
      </c>
    </row>
    <row r="2436" spans="1:14" x14ac:dyDescent="0.3">
      <c r="A2436" t="s">
        <v>3292</v>
      </c>
      <c r="B2436" s="2">
        <v>45742</v>
      </c>
      <c r="C2436" t="s">
        <v>144</v>
      </c>
      <c r="D2436" t="s">
        <v>792</v>
      </c>
      <c r="E2436" t="s">
        <v>835</v>
      </c>
      <c r="F2436">
        <v>4</v>
      </c>
      <c r="G2436">
        <v>0</v>
      </c>
      <c r="H2436" t="s">
        <v>855</v>
      </c>
      <c r="I2436" t="str">
        <f>VLOOKUP(C2436,Customers!A:C,2,FALSE)&amp;" "&amp;VLOOKUP(C2436,Customers!A:C,3,FALSE)</f>
        <v>Miranda Nelson</v>
      </c>
      <c r="J2436" t="str">
        <f>VLOOKUP(D2436,Products!A:C,2,FALSE)</f>
        <v>Beat Accessories</v>
      </c>
      <c r="K2436" t="str">
        <f>VLOOKUP(D2436,Products!A:C,3,FALSE)</f>
        <v>Fashion</v>
      </c>
      <c r="L2436" t="str">
        <f>VLOOKUP(E2436,Stores!A:B,2,FALSE)</f>
        <v>MegaMart Peckmouth</v>
      </c>
      <c r="M2436">
        <f>VLOOKUP(D2436,Products!A:E,5,FALSE)</f>
        <v>1798.97</v>
      </c>
      <c r="N2436" s="5">
        <f t="shared" si="38"/>
        <v>7195.88</v>
      </c>
    </row>
    <row r="2437" spans="1:14" x14ac:dyDescent="0.3">
      <c r="A2437" t="s">
        <v>3293</v>
      </c>
      <c r="B2437" s="2">
        <v>45815</v>
      </c>
      <c r="C2437" t="s">
        <v>81</v>
      </c>
      <c r="D2437" t="s">
        <v>711</v>
      </c>
      <c r="E2437" t="s">
        <v>831</v>
      </c>
      <c r="F2437">
        <v>2</v>
      </c>
      <c r="G2437">
        <v>0.15</v>
      </c>
      <c r="H2437" t="s">
        <v>858</v>
      </c>
      <c r="I2437" t="str">
        <f>VLOOKUP(C2437,Customers!A:C,2,FALSE)&amp;" "&amp;VLOOKUP(C2437,Customers!A:C,3,FALSE)</f>
        <v>Ryan Cole</v>
      </c>
      <c r="J2437" t="str">
        <f>VLOOKUP(D2437,Products!A:C,2,FALSE)</f>
        <v>Like Camera</v>
      </c>
      <c r="K2437" t="str">
        <f>VLOOKUP(D2437,Products!A:C,3,FALSE)</f>
        <v>Electronics</v>
      </c>
      <c r="L2437" t="str">
        <f>VLOOKUP(E2437,Stores!A:B,2,FALSE)</f>
        <v>MegaMart Jimenezborough</v>
      </c>
      <c r="M2437">
        <f>VLOOKUP(D2437,Products!A:E,5,FALSE)</f>
        <v>1673.69</v>
      </c>
      <c r="N2437" s="5">
        <f t="shared" si="38"/>
        <v>2845.2730000000001</v>
      </c>
    </row>
    <row r="2438" spans="1:14" x14ac:dyDescent="0.3">
      <c r="A2438" t="s">
        <v>3294</v>
      </c>
      <c r="B2438" s="2">
        <v>45891</v>
      </c>
      <c r="C2438" t="s">
        <v>608</v>
      </c>
      <c r="D2438" t="s">
        <v>715</v>
      </c>
      <c r="E2438" t="s">
        <v>842</v>
      </c>
      <c r="F2438">
        <v>3</v>
      </c>
      <c r="G2438">
        <v>0.1</v>
      </c>
      <c r="H2438" t="s">
        <v>865</v>
      </c>
      <c r="I2438" t="str">
        <f>VLOOKUP(C2438,Customers!A:C,2,FALSE)&amp;" "&amp;VLOOKUP(C2438,Customers!A:C,3,FALSE)</f>
        <v>Christina Dominguez</v>
      </c>
      <c r="J2438" t="str">
        <f>VLOOKUP(D2438,Products!A:C,2,FALSE)</f>
        <v>Audience Television</v>
      </c>
      <c r="K2438" t="str">
        <f>VLOOKUP(D2438,Products!A:C,3,FALSE)</f>
        <v>Electronics</v>
      </c>
      <c r="L2438" t="str">
        <f>VLOOKUP(E2438,Stores!A:B,2,FALSE)</f>
        <v>MegaMart Brianahaven</v>
      </c>
      <c r="M2438">
        <f>VLOOKUP(D2438,Products!A:E,5,FALSE)</f>
        <v>818.76</v>
      </c>
      <c r="N2438" s="5">
        <f t="shared" si="38"/>
        <v>2210.652</v>
      </c>
    </row>
    <row r="2439" spans="1:14" x14ac:dyDescent="0.3">
      <c r="A2439" t="s">
        <v>3295</v>
      </c>
      <c r="B2439" s="2">
        <v>45835</v>
      </c>
      <c r="C2439" t="s">
        <v>238</v>
      </c>
      <c r="D2439" t="s">
        <v>788</v>
      </c>
      <c r="E2439" t="s">
        <v>846</v>
      </c>
      <c r="F2439">
        <v>4</v>
      </c>
      <c r="G2439">
        <v>0.15</v>
      </c>
      <c r="H2439" t="s">
        <v>858</v>
      </c>
      <c r="I2439" t="str">
        <f>VLOOKUP(C2439,Customers!A:C,2,FALSE)&amp;" "&amp;VLOOKUP(C2439,Customers!A:C,3,FALSE)</f>
        <v>Susan Salinas</v>
      </c>
      <c r="J2439" t="str">
        <f>VLOOKUP(D2439,Products!A:C,2,FALSE)</f>
        <v>Foot Snacks</v>
      </c>
      <c r="K2439" t="str">
        <f>VLOOKUP(D2439,Products!A:C,3,FALSE)</f>
        <v>Groceries</v>
      </c>
      <c r="L2439" t="str">
        <f>VLOOKUP(E2439,Stores!A:B,2,FALSE)</f>
        <v>MegaMart Johnmouth</v>
      </c>
      <c r="M2439">
        <f>VLOOKUP(D2439,Products!A:E,5,FALSE)</f>
        <v>1095.72</v>
      </c>
      <c r="N2439" s="5">
        <f t="shared" si="38"/>
        <v>3725.4479999999999</v>
      </c>
    </row>
    <row r="2440" spans="1:14" x14ac:dyDescent="0.3">
      <c r="A2440" t="s">
        <v>3296</v>
      </c>
      <c r="B2440" s="2">
        <v>45217</v>
      </c>
      <c r="C2440" t="s">
        <v>640</v>
      </c>
      <c r="D2440" t="s">
        <v>718</v>
      </c>
      <c r="E2440" t="s">
        <v>842</v>
      </c>
      <c r="F2440">
        <v>3</v>
      </c>
      <c r="G2440">
        <v>0.1</v>
      </c>
      <c r="H2440" t="s">
        <v>855</v>
      </c>
      <c r="I2440" t="str">
        <f>VLOOKUP(C2440,Customers!A:C,2,FALSE)&amp;" "&amp;VLOOKUP(C2440,Customers!A:C,3,FALSE)</f>
        <v>Brittany Oneal</v>
      </c>
      <c r="J2440" t="str">
        <f>VLOOKUP(D2440,Products!A:C,2,FALSE)</f>
        <v>Here Footwear</v>
      </c>
      <c r="K2440" t="str">
        <f>VLOOKUP(D2440,Products!A:C,3,FALSE)</f>
        <v>Fashion</v>
      </c>
      <c r="L2440" t="str">
        <f>VLOOKUP(E2440,Stores!A:B,2,FALSE)</f>
        <v>MegaMart Brianahaven</v>
      </c>
      <c r="M2440">
        <f>VLOOKUP(D2440,Products!A:E,5,FALSE)</f>
        <v>337.63</v>
      </c>
      <c r="N2440" s="5">
        <f t="shared" si="38"/>
        <v>911.601</v>
      </c>
    </row>
    <row r="2441" spans="1:14" x14ac:dyDescent="0.3">
      <c r="A2441" t="s">
        <v>3297</v>
      </c>
      <c r="B2441" s="2">
        <v>45727</v>
      </c>
      <c r="C2441" t="s">
        <v>498</v>
      </c>
      <c r="D2441" t="s">
        <v>816</v>
      </c>
      <c r="E2441" t="s">
        <v>831</v>
      </c>
      <c r="F2441">
        <v>5</v>
      </c>
      <c r="G2441">
        <v>0.05</v>
      </c>
      <c r="H2441" t="s">
        <v>861</v>
      </c>
      <c r="I2441" t="str">
        <f>VLOOKUP(C2441,Customers!A:C,2,FALSE)&amp;" "&amp;VLOOKUP(C2441,Customers!A:C,3,FALSE)</f>
        <v>Amanda Garcia</v>
      </c>
      <c r="J2441" t="str">
        <f>VLOOKUP(D2441,Products!A:C,2,FALSE)</f>
        <v>Set Dairy</v>
      </c>
      <c r="K2441" t="str">
        <f>VLOOKUP(D2441,Products!A:C,3,FALSE)</f>
        <v>Groceries</v>
      </c>
      <c r="L2441" t="str">
        <f>VLOOKUP(E2441,Stores!A:B,2,FALSE)</f>
        <v>MegaMart Jimenezborough</v>
      </c>
      <c r="M2441">
        <f>VLOOKUP(D2441,Products!A:E,5,FALSE)</f>
        <v>1879.08</v>
      </c>
      <c r="N2441" s="5">
        <f t="shared" si="38"/>
        <v>8925.6299999999992</v>
      </c>
    </row>
    <row r="2442" spans="1:14" x14ac:dyDescent="0.3">
      <c r="A2442" t="s">
        <v>3298</v>
      </c>
      <c r="B2442" s="2">
        <v>45902</v>
      </c>
      <c r="C2442" t="s">
        <v>582</v>
      </c>
      <c r="D2442" t="s">
        <v>820</v>
      </c>
      <c r="E2442" t="s">
        <v>839</v>
      </c>
      <c r="F2442">
        <v>2</v>
      </c>
      <c r="G2442">
        <v>0.15</v>
      </c>
      <c r="H2442" t="s">
        <v>858</v>
      </c>
      <c r="I2442" t="str">
        <f>VLOOKUP(C2442,Customers!A:C,2,FALSE)&amp;" "&amp;VLOOKUP(C2442,Customers!A:C,3,FALSE)</f>
        <v>Erin Rogers</v>
      </c>
      <c r="J2442" t="str">
        <f>VLOOKUP(D2442,Products!A:C,2,FALSE)</f>
        <v>Or Smartphone</v>
      </c>
      <c r="K2442" t="str">
        <f>VLOOKUP(D2442,Products!A:C,3,FALSE)</f>
        <v>Electronics</v>
      </c>
      <c r="L2442" t="str">
        <f>VLOOKUP(E2442,Stores!A:B,2,FALSE)</f>
        <v>MegaMart New Michele</v>
      </c>
      <c r="M2442">
        <f>VLOOKUP(D2442,Products!A:E,5,FALSE)</f>
        <v>1197.18</v>
      </c>
      <c r="N2442" s="5">
        <f t="shared" si="38"/>
        <v>2035.2060000000001</v>
      </c>
    </row>
    <row r="2443" spans="1:14" x14ac:dyDescent="0.3">
      <c r="A2443" t="s">
        <v>3299</v>
      </c>
      <c r="B2443" s="2">
        <v>45248</v>
      </c>
      <c r="C2443" t="s">
        <v>464</v>
      </c>
      <c r="D2443" t="s">
        <v>764</v>
      </c>
      <c r="E2443" t="s">
        <v>839</v>
      </c>
      <c r="F2443">
        <v>1</v>
      </c>
      <c r="G2443">
        <v>0.15</v>
      </c>
      <c r="H2443" t="s">
        <v>855</v>
      </c>
      <c r="I2443" t="str">
        <f>VLOOKUP(C2443,Customers!A:C,2,FALSE)&amp;" "&amp;VLOOKUP(C2443,Customers!A:C,3,FALSE)</f>
        <v>Monique Johnson</v>
      </c>
      <c r="J2443" t="str">
        <f>VLOOKUP(D2443,Products!A:C,2,FALSE)</f>
        <v>Simple Accessories</v>
      </c>
      <c r="K2443" t="str">
        <f>VLOOKUP(D2443,Products!A:C,3,FALSE)</f>
        <v>Fashion</v>
      </c>
      <c r="L2443" t="str">
        <f>VLOOKUP(E2443,Stores!A:B,2,FALSE)</f>
        <v>MegaMart New Michele</v>
      </c>
      <c r="M2443">
        <f>VLOOKUP(D2443,Products!A:E,5,FALSE)</f>
        <v>323.92</v>
      </c>
      <c r="N2443" s="5">
        <f t="shared" si="38"/>
        <v>275.33199999999999</v>
      </c>
    </row>
    <row r="2444" spans="1:14" x14ac:dyDescent="0.3">
      <c r="A2444" t="s">
        <v>3300</v>
      </c>
      <c r="B2444" s="2">
        <v>45337</v>
      </c>
      <c r="C2444" t="s">
        <v>179</v>
      </c>
      <c r="D2444" t="s">
        <v>782</v>
      </c>
      <c r="E2444" t="s">
        <v>831</v>
      </c>
      <c r="F2444">
        <v>3</v>
      </c>
      <c r="G2444">
        <v>0.15</v>
      </c>
      <c r="H2444" t="s">
        <v>855</v>
      </c>
      <c r="I2444" t="str">
        <f>VLOOKUP(C2444,Customers!A:C,2,FALSE)&amp;" "&amp;VLOOKUP(C2444,Customers!A:C,3,FALSE)</f>
        <v>Dennis Poole</v>
      </c>
      <c r="J2444" t="str">
        <f>VLOOKUP(D2444,Products!A:C,2,FALSE)</f>
        <v>Deal Smartphone</v>
      </c>
      <c r="K2444" t="str">
        <f>VLOOKUP(D2444,Products!A:C,3,FALSE)</f>
        <v>Electronics</v>
      </c>
      <c r="L2444" t="str">
        <f>VLOOKUP(E2444,Stores!A:B,2,FALSE)</f>
        <v>MegaMart Jimenezborough</v>
      </c>
      <c r="M2444">
        <f>VLOOKUP(D2444,Products!A:E,5,FALSE)</f>
        <v>673.78</v>
      </c>
      <c r="N2444" s="5">
        <f t="shared" si="38"/>
        <v>1718.1389999999999</v>
      </c>
    </row>
    <row r="2445" spans="1:14" x14ac:dyDescent="0.3">
      <c r="A2445" t="s">
        <v>3301</v>
      </c>
      <c r="B2445" s="2">
        <v>45768</v>
      </c>
      <c r="C2445" t="s">
        <v>661</v>
      </c>
      <c r="D2445" t="s">
        <v>786</v>
      </c>
      <c r="E2445" t="s">
        <v>842</v>
      </c>
      <c r="F2445">
        <v>2</v>
      </c>
      <c r="G2445">
        <v>0.05</v>
      </c>
      <c r="H2445" t="s">
        <v>858</v>
      </c>
      <c r="I2445" t="str">
        <f>VLOOKUP(C2445,Customers!A:C,2,FALSE)&amp;" "&amp;VLOOKUP(C2445,Customers!A:C,3,FALSE)</f>
        <v>Cynthia Cherry</v>
      </c>
      <c r="J2445" t="str">
        <f>VLOOKUP(D2445,Products!A:C,2,FALSE)</f>
        <v>National Watches</v>
      </c>
      <c r="K2445" t="str">
        <f>VLOOKUP(D2445,Products!A:C,3,FALSE)</f>
        <v>Fashion</v>
      </c>
      <c r="L2445" t="str">
        <f>VLOOKUP(E2445,Stores!A:B,2,FALSE)</f>
        <v>MegaMart Brianahaven</v>
      </c>
      <c r="M2445">
        <f>VLOOKUP(D2445,Products!A:E,5,FALSE)</f>
        <v>29.24</v>
      </c>
      <c r="N2445" s="5">
        <f t="shared" si="38"/>
        <v>55.555999999999997</v>
      </c>
    </row>
    <row r="2446" spans="1:14" x14ac:dyDescent="0.3">
      <c r="A2446" t="s">
        <v>3302</v>
      </c>
      <c r="B2446" s="2">
        <v>45331</v>
      </c>
      <c r="C2446" t="s">
        <v>362</v>
      </c>
      <c r="D2446" t="s">
        <v>824</v>
      </c>
      <c r="E2446" t="s">
        <v>835</v>
      </c>
      <c r="F2446">
        <v>1</v>
      </c>
      <c r="G2446">
        <v>0.05</v>
      </c>
      <c r="H2446" t="s">
        <v>858</v>
      </c>
      <c r="I2446" t="str">
        <f>VLOOKUP(C2446,Customers!A:C,2,FALSE)&amp;" "&amp;VLOOKUP(C2446,Customers!A:C,3,FALSE)</f>
        <v>Eric King</v>
      </c>
      <c r="J2446" t="str">
        <f>VLOOKUP(D2446,Products!A:C,2,FALSE)</f>
        <v>Possible Watches</v>
      </c>
      <c r="K2446" t="str">
        <f>VLOOKUP(D2446,Products!A:C,3,FALSE)</f>
        <v>Fashion</v>
      </c>
      <c r="L2446" t="str">
        <f>VLOOKUP(E2446,Stores!A:B,2,FALSE)</f>
        <v>MegaMart Peckmouth</v>
      </c>
      <c r="M2446">
        <f>VLOOKUP(D2446,Products!A:E,5,FALSE)</f>
        <v>388.26</v>
      </c>
      <c r="N2446" s="5">
        <f t="shared" si="38"/>
        <v>368.84699999999998</v>
      </c>
    </row>
    <row r="2447" spans="1:14" x14ac:dyDescent="0.3">
      <c r="A2447" t="s">
        <v>3303</v>
      </c>
      <c r="B2447" s="2">
        <v>45214</v>
      </c>
      <c r="C2447" t="s">
        <v>351</v>
      </c>
      <c r="D2447" t="s">
        <v>808</v>
      </c>
      <c r="E2447" t="s">
        <v>846</v>
      </c>
      <c r="F2447">
        <v>2</v>
      </c>
      <c r="G2447">
        <v>0</v>
      </c>
      <c r="H2447" t="s">
        <v>855</v>
      </c>
      <c r="I2447" t="str">
        <f>VLOOKUP(C2447,Customers!A:C,2,FALSE)&amp;" "&amp;VLOOKUP(C2447,Customers!A:C,3,FALSE)</f>
        <v>Stanley Brown</v>
      </c>
      <c r="J2447" t="str">
        <f>VLOOKUP(D2447,Products!A:C,2,FALSE)</f>
        <v>Present Television</v>
      </c>
      <c r="K2447" t="str">
        <f>VLOOKUP(D2447,Products!A:C,3,FALSE)</f>
        <v>Electronics</v>
      </c>
      <c r="L2447" t="str">
        <f>VLOOKUP(E2447,Stores!A:B,2,FALSE)</f>
        <v>MegaMart Johnmouth</v>
      </c>
      <c r="M2447">
        <f>VLOOKUP(D2447,Products!A:E,5,FALSE)</f>
        <v>1635.01</v>
      </c>
      <c r="N2447" s="5">
        <f t="shared" si="38"/>
        <v>3270.02</v>
      </c>
    </row>
    <row r="2448" spans="1:14" x14ac:dyDescent="0.3">
      <c r="A2448" t="s">
        <v>3304</v>
      </c>
      <c r="B2448" s="2">
        <v>45495</v>
      </c>
      <c r="C2448" t="s">
        <v>320</v>
      </c>
      <c r="D2448" t="s">
        <v>742</v>
      </c>
      <c r="E2448" t="s">
        <v>831</v>
      </c>
      <c r="F2448">
        <v>3</v>
      </c>
      <c r="G2448">
        <v>0.1</v>
      </c>
      <c r="H2448" t="s">
        <v>865</v>
      </c>
      <c r="I2448" t="str">
        <f>VLOOKUP(C2448,Customers!A:C,2,FALSE)&amp;" "&amp;VLOOKUP(C2448,Customers!A:C,3,FALSE)</f>
        <v>Juan Ramirez</v>
      </c>
      <c r="J2448" t="str">
        <f>VLOOKUP(D2448,Products!A:C,2,FALSE)</f>
        <v>Either Headphones</v>
      </c>
      <c r="K2448" t="str">
        <f>VLOOKUP(D2448,Products!A:C,3,FALSE)</f>
        <v>Electronics</v>
      </c>
      <c r="L2448" t="str">
        <f>VLOOKUP(E2448,Stores!A:B,2,FALSE)</f>
        <v>MegaMart Jimenezborough</v>
      </c>
      <c r="M2448">
        <f>VLOOKUP(D2448,Products!A:E,5,FALSE)</f>
        <v>248.57</v>
      </c>
      <c r="N2448" s="5">
        <f t="shared" si="38"/>
        <v>671.13900000000001</v>
      </c>
    </row>
    <row r="2449" spans="1:14" x14ac:dyDescent="0.3">
      <c r="A2449" t="s">
        <v>3305</v>
      </c>
      <c r="B2449" s="2">
        <v>45523</v>
      </c>
      <c r="C2449" t="s">
        <v>560</v>
      </c>
      <c r="D2449" t="s">
        <v>804</v>
      </c>
      <c r="E2449" t="s">
        <v>839</v>
      </c>
      <c r="F2449">
        <v>1</v>
      </c>
      <c r="G2449">
        <v>0.1</v>
      </c>
      <c r="H2449" t="s">
        <v>858</v>
      </c>
      <c r="I2449" t="str">
        <f>VLOOKUP(C2449,Customers!A:C,2,FALSE)&amp;" "&amp;VLOOKUP(C2449,Customers!A:C,3,FALSE)</f>
        <v>George Young</v>
      </c>
      <c r="J2449" t="str">
        <f>VLOOKUP(D2449,Products!A:C,2,FALSE)</f>
        <v>Church Clothing</v>
      </c>
      <c r="K2449" t="str">
        <f>VLOOKUP(D2449,Products!A:C,3,FALSE)</f>
        <v>Fashion</v>
      </c>
      <c r="L2449" t="str">
        <f>VLOOKUP(E2449,Stores!A:B,2,FALSE)</f>
        <v>MegaMart New Michele</v>
      </c>
      <c r="M2449">
        <f>VLOOKUP(D2449,Products!A:E,5,FALSE)</f>
        <v>540.94000000000005</v>
      </c>
      <c r="N2449" s="5">
        <f t="shared" si="38"/>
        <v>486.84600000000006</v>
      </c>
    </row>
    <row r="2450" spans="1:14" x14ac:dyDescent="0.3">
      <c r="A2450" t="s">
        <v>3306</v>
      </c>
      <c r="B2450" s="2">
        <v>45767</v>
      </c>
      <c r="C2450" t="s">
        <v>382</v>
      </c>
      <c r="D2450" t="s">
        <v>722</v>
      </c>
      <c r="E2450" t="s">
        <v>831</v>
      </c>
      <c r="F2450">
        <v>3</v>
      </c>
      <c r="G2450">
        <v>0.1</v>
      </c>
      <c r="H2450" t="s">
        <v>865</v>
      </c>
      <c r="I2450" t="str">
        <f>VLOOKUP(C2450,Customers!A:C,2,FALSE)&amp;" "&amp;VLOOKUP(C2450,Customers!A:C,3,FALSE)</f>
        <v>Carolyn Perez</v>
      </c>
      <c r="J2450" t="str">
        <f>VLOOKUP(D2450,Products!A:C,2,FALSE)</f>
        <v>Four Accessories</v>
      </c>
      <c r="K2450" t="str">
        <f>VLOOKUP(D2450,Products!A:C,3,FALSE)</f>
        <v>Fashion</v>
      </c>
      <c r="L2450" t="str">
        <f>VLOOKUP(E2450,Stores!A:B,2,FALSE)</f>
        <v>MegaMart Jimenezborough</v>
      </c>
      <c r="M2450">
        <f>VLOOKUP(D2450,Products!A:E,5,FALSE)</f>
        <v>1853.77</v>
      </c>
      <c r="N2450" s="5">
        <f t="shared" si="38"/>
        <v>5005.1790000000001</v>
      </c>
    </row>
    <row r="2451" spans="1:14" x14ac:dyDescent="0.3">
      <c r="A2451" t="s">
        <v>3307</v>
      </c>
      <c r="B2451" s="2">
        <v>45220</v>
      </c>
      <c r="C2451" t="s">
        <v>533</v>
      </c>
      <c r="D2451" t="s">
        <v>736</v>
      </c>
      <c r="E2451" t="s">
        <v>831</v>
      </c>
      <c r="F2451">
        <v>4</v>
      </c>
      <c r="G2451">
        <v>0.15</v>
      </c>
      <c r="H2451" t="s">
        <v>858</v>
      </c>
      <c r="I2451" t="str">
        <f>VLOOKUP(C2451,Customers!A:C,2,FALSE)&amp;" "&amp;VLOOKUP(C2451,Customers!A:C,3,FALSE)</f>
        <v>Crystal Garrison</v>
      </c>
      <c r="J2451" t="str">
        <f>VLOOKUP(D2451,Products!A:C,2,FALSE)</f>
        <v>Us Snacks</v>
      </c>
      <c r="K2451" t="str">
        <f>VLOOKUP(D2451,Products!A:C,3,FALSE)</f>
        <v>Groceries</v>
      </c>
      <c r="L2451" t="str">
        <f>VLOOKUP(E2451,Stores!A:B,2,FALSE)</f>
        <v>MegaMart Jimenezborough</v>
      </c>
      <c r="M2451">
        <f>VLOOKUP(D2451,Products!A:E,5,FALSE)</f>
        <v>123.19</v>
      </c>
      <c r="N2451" s="5">
        <f t="shared" si="38"/>
        <v>418.846</v>
      </c>
    </row>
    <row r="2452" spans="1:14" x14ac:dyDescent="0.3">
      <c r="A2452" t="s">
        <v>3308</v>
      </c>
      <c r="B2452" s="2">
        <v>45577</v>
      </c>
      <c r="C2452" t="s">
        <v>175</v>
      </c>
      <c r="D2452" t="s">
        <v>824</v>
      </c>
      <c r="E2452" t="s">
        <v>842</v>
      </c>
      <c r="F2452">
        <v>5</v>
      </c>
      <c r="G2452">
        <v>0</v>
      </c>
      <c r="H2452" t="s">
        <v>865</v>
      </c>
      <c r="I2452" t="str">
        <f>VLOOKUP(C2452,Customers!A:C,2,FALSE)&amp;" "&amp;VLOOKUP(C2452,Customers!A:C,3,FALSE)</f>
        <v>Kelly Shaw</v>
      </c>
      <c r="J2452" t="str">
        <f>VLOOKUP(D2452,Products!A:C,2,FALSE)</f>
        <v>Possible Watches</v>
      </c>
      <c r="K2452" t="str">
        <f>VLOOKUP(D2452,Products!A:C,3,FALSE)</f>
        <v>Fashion</v>
      </c>
      <c r="L2452" t="str">
        <f>VLOOKUP(E2452,Stores!A:B,2,FALSE)</f>
        <v>MegaMart Brianahaven</v>
      </c>
      <c r="M2452">
        <f>VLOOKUP(D2452,Products!A:E,5,FALSE)</f>
        <v>388.26</v>
      </c>
      <c r="N2452" s="5">
        <f t="shared" si="38"/>
        <v>1941.3</v>
      </c>
    </row>
    <row r="2453" spans="1:14" x14ac:dyDescent="0.3">
      <c r="A2453" t="s">
        <v>3309</v>
      </c>
      <c r="B2453" s="2">
        <v>45738</v>
      </c>
      <c r="C2453" t="s">
        <v>358</v>
      </c>
      <c r="D2453" t="s">
        <v>725</v>
      </c>
      <c r="E2453" t="s">
        <v>831</v>
      </c>
      <c r="F2453">
        <v>5</v>
      </c>
      <c r="G2453">
        <v>0.05</v>
      </c>
      <c r="H2453" t="s">
        <v>861</v>
      </c>
      <c r="I2453" t="str">
        <f>VLOOKUP(C2453,Customers!A:C,2,FALSE)&amp;" "&amp;VLOOKUP(C2453,Customers!A:C,3,FALSE)</f>
        <v>Kevin Snyder</v>
      </c>
      <c r="J2453" t="str">
        <f>VLOOKUP(D2453,Products!A:C,2,FALSE)</f>
        <v>Knowledge Bags</v>
      </c>
      <c r="K2453" t="str">
        <f>VLOOKUP(D2453,Products!A:C,3,FALSE)</f>
        <v>Fashion</v>
      </c>
      <c r="L2453" t="str">
        <f>VLOOKUP(E2453,Stores!A:B,2,FALSE)</f>
        <v>MegaMart Jimenezborough</v>
      </c>
      <c r="M2453">
        <f>VLOOKUP(D2453,Products!A:E,5,FALSE)</f>
        <v>1396.22</v>
      </c>
      <c r="N2453" s="5">
        <f t="shared" si="38"/>
        <v>6632.0450000000001</v>
      </c>
    </row>
    <row r="2454" spans="1:14" x14ac:dyDescent="0.3">
      <c r="A2454" t="s">
        <v>3310</v>
      </c>
      <c r="B2454" s="2">
        <v>45838</v>
      </c>
      <c r="C2454" t="s">
        <v>134</v>
      </c>
      <c r="D2454" t="s">
        <v>766</v>
      </c>
      <c r="E2454" t="s">
        <v>831</v>
      </c>
      <c r="F2454">
        <v>4</v>
      </c>
      <c r="G2454">
        <v>0</v>
      </c>
      <c r="H2454" t="s">
        <v>865</v>
      </c>
      <c r="I2454" t="str">
        <f>VLOOKUP(C2454,Customers!A:C,2,FALSE)&amp;" "&amp;VLOOKUP(C2454,Customers!A:C,3,FALSE)</f>
        <v>Kari Miller</v>
      </c>
      <c r="J2454" t="str">
        <f>VLOOKUP(D2454,Products!A:C,2,FALSE)</f>
        <v>Firm Dairy</v>
      </c>
      <c r="K2454" t="str">
        <f>VLOOKUP(D2454,Products!A:C,3,FALSE)</f>
        <v>Groceries</v>
      </c>
      <c r="L2454" t="str">
        <f>VLOOKUP(E2454,Stores!A:B,2,FALSE)</f>
        <v>MegaMart Jimenezborough</v>
      </c>
      <c r="M2454">
        <f>VLOOKUP(D2454,Products!A:E,5,FALSE)</f>
        <v>1227.24</v>
      </c>
      <c r="N2454" s="5">
        <f t="shared" si="38"/>
        <v>4908.96</v>
      </c>
    </row>
    <row r="2455" spans="1:14" x14ac:dyDescent="0.3">
      <c r="A2455" t="s">
        <v>3311</v>
      </c>
      <c r="B2455" s="2">
        <v>45764</v>
      </c>
      <c r="C2455" t="s">
        <v>426</v>
      </c>
      <c r="D2455" t="s">
        <v>778</v>
      </c>
      <c r="E2455" t="s">
        <v>831</v>
      </c>
      <c r="F2455">
        <v>3</v>
      </c>
      <c r="G2455">
        <v>0</v>
      </c>
      <c r="H2455" t="s">
        <v>855</v>
      </c>
      <c r="I2455" t="str">
        <f>VLOOKUP(C2455,Customers!A:C,2,FALSE)&amp;" "&amp;VLOOKUP(C2455,Customers!A:C,3,FALSE)</f>
        <v>Miranda Rodriguez</v>
      </c>
      <c r="J2455" t="str">
        <f>VLOOKUP(D2455,Products!A:C,2,FALSE)</f>
        <v>Behavior Dairy</v>
      </c>
      <c r="K2455" t="str">
        <f>VLOOKUP(D2455,Products!A:C,3,FALSE)</f>
        <v>Groceries</v>
      </c>
      <c r="L2455" t="str">
        <f>VLOOKUP(E2455,Stores!A:B,2,FALSE)</f>
        <v>MegaMart Jimenezborough</v>
      </c>
      <c r="M2455">
        <f>VLOOKUP(D2455,Products!A:E,5,FALSE)</f>
        <v>1015.76</v>
      </c>
      <c r="N2455" s="5">
        <f t="shared" si="38"/>
        <v>3047.2799999999997</v>
      </c>
    </row>
    <row r="2456" spans="1:14" x14ac:dyDescent="0.3">
      <c r="A2456" t="s">
        <v>3312</v>
      </c>
      <c r="B2456" s="2">
        <v>45478</v>
      </c>
      <c r="C2456" t="s">
        <v>195</v>
      </c>
      <c r="D2456" t="s">
        <v>822</v>
      </c>
      <c r="E2456" t="s">
        <v>846</v>
      </c>
      <c r="F2456">
        <v>1</v>
      </c>
      <c r="G2456">
        <v>0.1</v>
      </c>
      <c r="H2456" t="s">
        <v>855</v>
      </c>
      <c r="I2456" t="str">
        <f>VLOOKUP(C2456,Customers!A:C,2,FALSE)&amp;" "&amp;VLOOKUP(C2456,Customers!A:C,3,FALSE)</f>
        <v>Kelly Mcmillan</v>
      </c>
      <c r="J2456" t="str">
        <f>VLOOKUP(D2456,Products!A:C,2,FALSE)</f>
        <v>Nor Bags</v>
      </c>
      <c r="K2456" t="str">
        <f>VLOOKUP(D2456,Products!A:C,3,FALSE)</f>
        <v>Fashion</v>
      </c>
      <c r="L2456" t="str">
        <f>VLOOKUP(E2456,Stores!A:B,2,FALSE)</f>
        <v>MegaMart Johnmouth</v>
      </c>
      <c r="M2456">
        <f>VLOOKUP(D2456,Products!A:E,5,FALSE)</f>
        <v>1216.3599999999999</v>
      </c>
      <c r="N2456" s="5">
        <f t="shared" si="38"/>
        <v>1094.7239999999999</v>
      </c>
    </row>
    <row r="2457" spans="1:14" x14ac:dyDescent="0.3">
      <c r="A2457" t="s">
        <v>3313</v>
      </c>
      <c r="B2457" s="2">
        <v>45210</v>
      </c>
      <c r="C2457" t="s">
        <v>643</v>
      </c>
      <c r="D2457" t="s">
        <v>766</v>
      </c>
      <c r="E2457" t="s">
        <v>835</v>
      </c>
      <c r="F2457">
        <v>5</v>
      </c>
      <c r="G2457">
        <v>0.1</v>
      </c>
      <c r="H2457" t="s">
        <v>865</v>
      </c>
      <c r="I2457" t="str">
        <f>VLOOKUP(C2457,Customers!A:C,2,FALSE)&amp;" "&amp;VLOOKUP(C2457,Customers!A:C,3,FALSE)</f>
        <v>Meghan Wright</v>
      </c>
      <c r="J2457" t="str">
        <f>VLOOKUP(D2457,Products!A:C,2,FALSE)</f>
        <v>Firm Dairy</v>
      </c>
      <c r="K2457" t="str">
        <f>VLOOKUP(D2457,Products!A:C,3,FALSE)</f>
        <v>Groceries</v>
      </c>
      <c r="L2457" t="str">
        <f>VLOOKUP(E2457,Stores!A:B,2,FALSE)</f>
        <v>MegaMart Peckmouth</v>
      </c>
      <c r="M2457">
        <f>VLOOKUP(D2457,Products!A:E,5,FALSE)</f>
        <v>1227.24</v>
      </c>
      <c r="N2457" s="5">
        <f t="shared" si="38"/>
        <v>5522.58</v>
      </c>
    </row>
    <row r="2458" spans="1:14" x14ac:dyDescent="0.3">
      <c r="A2458" t="s">
        <v>3314</v>
      </c>
      <c r="B2458" s="2">
        <v>45484</v>
      </c>
      <c r="C2458" t="s">
        <v>608</v>
      </c>
      <c r="D2458" t="s">
        <v>784</v>
      </c>
      <c r="E2458" t="s">
        <v>842</v>
      </c>
      <c r="F2458">
        <v>4</v>
      </c>
      <c r="G2458">
        <v>0</v>
      </c>
      <c r="H2458" t="s">
        <v>865</v>
      </c>
      <c r="I2458" t="str">
        <f>VLOOKUP(C2458,Customers!A:C,2,FALSE)&amp;" "&amp;VLOOKUP(C2458,Customers!A:C,3,FALSE)</f>
        <v>Christina Dominguez</v>
      </c>
      <c r="J2458" t="str">
        <f>VLOOKUP(D2458,Products!A:C,2,FALSE)</f>
        <v>Road Clothing</v>
      </c>
      <c r="K2458" t="str">
        <f>VLOOKUP(D2458,Products!A:C,3,FALSE)</f>
        <v>Fashion</v>
      </c>
      <c r="L2458" t="str">
        <f>VLOOKUP(E2458,Stores!A:B,2,FALSE)</f>
        <v>MegaMart Brianahaven</v>
      </c>
      <c r="M2458">
        <f>VLOOKUP(D2458,Products!A:E,5,FALSE)</f>
        <v>1485.05</v>
      </c>
      <c r="N2458" s="5">
        <f t="shared" si="38"/>
        <v>5940.2</v>
      </c>
    </row>
    <row r="2459" spans="1:14" x14ac:dyDescent="0.3">
      <c r="A2459" t="s">
        <v>3315</v>
      </c>
      <c r="B2459" s="2">
        <v>45775</v>
      </c>
      <c r="C2459" t="s">
        <v>195</v>
      </c>
      <c r="D2459" t="s">
        <v>802</v>
      </c>
      <c r="E2459" t="s">
        <v>846</v>
      </c>
      <c r="F2459">
        <v>2</v>
      </c>
      <c r="G2459">
        <v>0.1</v>
      </c>
      <c r="H2459" t="s">
        <v>865</v>
      </c>
      <c r="I2459" t="str">
        <f>VLOOKUP(C2459,Customers!A:C,2,FALSE)&amp;" "&amp;VLOOKUP(C2459,Customers!A:C,3,FALSE)</f>
        <v>Kelly Mcmillan</v>
      </c>
      <c r="J2459" t="str">
        <f>VLOOKUP(D2459,Products!A:C,2,FALSE)</f>
        <v>Stage Footwear</v>
      </c>
      <c r="K2459" t="str">
        <f>VLOOKUP(D2459,Products!A:C,3,FALSE)</f>
        <v>Fashion</v>
      </c>
      <c r="L2459" t="str">
        <f>VLOOKUP(E2459,Stores!A:B,2,FALSE)</f>
        <v>MegaMart Johnmouth</v>
      </c>
      <c r="M2459">
        <f>VLOOKUP(D2459,Products!A:E,5,FALSE)</f>
        <v>366.93</v>
      </c>
      <c r="N2459" s="5">
        <f t="shared" si="38"/>
        <v>660.47400000000005</v>
      </c>
    </row>
    <row r="2460" spans="1:14" x14ac:dyDescent="0.3">
      <c r="A2460" t="s">
        <v>3316</v>
      </c>
      <c r="B2460" s="2">
        <v>45274</v>
      </c>
      <c r="C2460" t="s">
        <v>175</v>
      </c>
      <c r="D2460" t="s">
        <v>764</v>
      </c>
      <c r="E2460" t="s">
        <v>842</v>
      </c>
      <c r="F2460">
        <v>1</v>
      </c>
      <c r="G2460">
        <v>0.1</v>
      </c>
      <c r="H2460" t="s">
        <v>861</v>
      </c>
      <c r="I2460" t="str">
        <f>VLOOKUP(C2460,Customers!A:C,2,FALSE)&amp;" "&amp;VLOOKUP(C2460,Customers!A:C,3,FALSE)</f>
        <v>Kelly Shaw</v>
      </c>
      <c r="J2460" t="str">
        <f>VLOOKUP(D2460,Products!A:C,2,FALSE)</f>
        <v>Simple Accessories</v>
      </c>
      <c r="K2460" t="str">
        <f>VLOOKUP(D2460,Products!A:C,3,FALSE)</f>
        <v>Fashion</v>
      </c>
      <c r="L2460" t="str">
        <f>VLOOKUP(E2460,Stores!A:B,2,FALSE)</f>
        <v>MegaMart Brianahaven</v>
      </c>
      <c r="M2460">
        <f>VLOOKUP(D2460,Products!A:E,5,FALSE)</f>
        <v>323.92</v>
      </c>
      <c r="N2460" s="5">
        <f t="shared" si="38"/>
        <v>291.52800000000002</v>
      </c>
    </row>
    <row r="2461" spans="1:14" x14ac:dyDescent="0.3">
      <c r="A2461" t="s">
        <v>3317</v>
      </c>
      <c r="B2461" s="2">
        <v>45500</v>
      </c>
      <c r="C2461" t="s">
        <v>627</v>
      </c>
      <c r="D2461" t="s">
        <v>728</v>
      </c>
      <c r="E2461" t="s">
        <v>846</v>
      </c>
      <c r="F2461">
        <v>4</v>
      </c>
      <c r="G2461">
        <v>0.05</v>
      </c>
      <c r="H2461" t="s">
        <v>865</v>
      </c>
      <c r="I2461" t="str">
        <f>VLOOKUP(C2461,Customers!A:C,2,FALSE)&amp;" "&amp;VLOOKUP(C2461,Customers!A:C,3,FALSE)</f>
        <v>Anthony Gould</v>
      </c>
      <c r="J2461" t="str">
        <f>VLOOKUP(D2461,Products!A:C,2,FALSE)</f>
        <v>Company Fruits</v>
      </c>
      <c r="K2461" t="str">
        <f>VLOOKUP(D2461,Products!A:C,3,FALSE)</f>
        <v>Groceries</v>
      </c>
      <c r="L2461" t="str">
        <f>VLOOKUP(E2461,Stores!A:B,2,FALSE)</f>
        <v>MegaMart Johnmouth</v>
      </c>
      <c r="M2461">
        <f>VLOOKUP(D2461,Products!A:E,5,FALSE)</f>
        <v>318.05</v>
      </c>
      <c r="N2461" s="5">
        <f t="shared" si="38"/>
        <v>1208.5899999999999</v>
      </c>
    </row>
    <row r="2462" spans="1:14" x14ac:dyDescent="0.3">
      <c r="A2462" t="s">
        <v>3318</v>
      </c>
      <c r="B2462" s="2">
        <v>45477</v>
      </c>
      <c r="C2462" t="s">
        <v>302</v>
      </c>
      <c r="D2462" t="s">
        <v>782</v>
      </c>
      <c r="E2462" t="s">
        <v>839</v>
      </c>
      <c r="F2462">
        <v>5</v>
      </c>
      <c r="G2462">
        <v>0.1</v>
      </c>
      <c r="H2462" t="s">
        <v>865</v>
      </c>
      <c r="I2462" t="str">
        <f>VLOOKUP(C2462,Customers!A:C,2,FALSE)&amp;" "&amp;VLOOKUP(C2462,Customers!A:C,3,FALSE)</f>
        <v>Grace Garcia</v>
      </c>
      <c r="J2462" t="str">
        <f>VLOOKUP(D2462,Products!A:C,2,FALSE)</f>
        <v>Deal Smartphone</v>
      </c>
      <c r="K2462" t="str">
        <f>VLOOKUP(D2462,Products!A:C,3,FALSE)</f>
        <v>Electronics</v>
      </c>
      <c r="L2462" t="str">
        <f>VLOOKUP(E2462,Stores!A:B,2,FALSE)</f>
        <v>MegaMart New Michele</v>
      </c>
      <c r="M2462">
        <f>VLOOKUP(D2462,Products!A:E,5,FALSE)</f>
        <v>673.78</v>
      </c>
      <c r="N2462" s="5">
        <f t="shared" si="38"/>
        <v>3032.0099999999998</v>
      </c>
    </row>
    <row r="2463" spans="1:14" x14ac:dyDescent="0.3">
      <c r="A2463" t="s">
        <v>3319</v>
      </c>
      <c r="B2463" s="2">
        <v>45819</v>
      </c>
      <c r="C2463" t="s">
        <v>331</v>
      </c>
      <c r="D2463" t="s">
        <v>745</v>
      </c>
      <c r="E2463" t="s">
        <v>842</v>
      </c>
      <c r="F2463">
        <v>5</v>
      </c>
      <c r="G2463">
        <v>0</v>
      </c>
      <c r="H2463" t="s">
        <v>858</v>
      </c>
      <c r="I2463" t="str">
        <f>VLOOKUP(C2463,Customers!A:C,2,FALSE)&amp;" "&amp;VLOOKUP(C2463,Customers!A:C,3,FALSE)</f>
        <v>Brenda Costa</v>
      </c>
      <c r="J2463" t="str">
        <f>VLOOKUP(D2463,Products!A:C,2,FALSE)</f>
        <v>Above Camera</v>
      </c>
      <c r="K2463" t="str">
        <f>VLOOKUP(D2463,Products!A:C,3,FALSE)</f>
        <v>Electronics</v>
      </c>
      <c r="L2463" t="str">
        <f>VLOOKUP(E2463,Stores!A:B,2,FALSE)</f>
        <v>MegaMart Brianahaven</v>
      </c>
      <c r="M2463">
        <f>VLOOKUP(D2463,Products!A:E,5,FALSE)</f>
        <v>1193.0899999999999</v>
      </c>
      <c r="N2463" s="5">
        <f t="shared" si="38"/>
        <v>5965.45</v>
      </c>
    </row>
    <row r="2464" spans="1:14" x14ac:dyDescent="0.3">
      <c r="A2464" t="s">
        <v>3320</v>
      </c>
      <c r="B2464" s="2">
        <v>45269</v>
      </c>
      <c r="C2464" t="s">
        <v>93</v>
      </c>
      <c r="D2464" t="s">
        <v>784</v>
      </c>
      <c r="E2464" t="s">
        <v>831</v>
      </c>
      <c r="F2464">
        <v>1</v>
      </c>
      <c r="G2464">
        <v>0.05</v>
      </c>
      <c r="H2464" t="s">
        <v>865</v>
      </c>
      <c r="I2464" t="str">
        <f>VLOOKUP(C2464,Customers!A:C,2,FALSE)&amp;" "&amp;VLOOKUP(C2464,Customers!A:C,3,FALSE)</f>
        <v>Mark Martinez</v>
      </c>
      <c r="J2464" t="str">
        <f>VLOOKUP(D2464,Products!A:C,2,FALSE)</f>
        <v>Road Clothing</v>
      </c>
      <c r="K2464" t="str">
        <f>VLOOKUP(D2464,Products!A:C,3,FALSE)</f>
        <v>Fashion</v>
      </c>
      <c r="L2464" t="str">
        <f>VLOOKUP(E2464,Stores!A:B,2,FALSE)</f>
        <v>MegaMart Jimenezborough</v>
      </c>
      <c r="M2464">
        <f>VLOOKUP(D2464,Products!A:E,5,FALSE)</f>
        <v>1485.05</v>
      </c>
      <c r="N2464" s="5">
        <f t="shared" si="38"/>
        <v>1410.7974999999999</v>
      </c>
    </row>
    <row r="2465" spans="1:14" x14ac:dyDescent="0.3">
      <c r="A2465" t="s">
        <v>3321</v>
      </c>
      <c r="B2465" s="2">
        <v>45350</v>
      </c>
      <c r="C2465" t="s">
        <v>187</v>
      </c>
      <c r="D2465" t="s">
        <v>776</v>
      </c>
      <c r="E2465" t="s">
        <v>839</v>
      </c>
      <c r="F2465">
        <v>5</v>
      </c>
      <c r="G2465">
        <v>0</v>
      </c>
      <c r="H2465" t="s">
        <v>861</v>
      </c>
      <c r="I2465" t="str">
        <f>VLOOKUP(C2465,Customers!A:C,2,FALSE)&amp;" "&amp;VLOOKUP(C2465,Customers!A:C,3,FALSE)</f>
        <v>Alexis Crane</v>
      </c>
      <c r="J2465" t="str">
        <f>VLOOKUP(D2465,Products!A:C,2,FALSE)</f>
        <v>Little Watches</v>
      </c>
      <c r="K2465" t="str">
        <f>VLOOKUP(D2465,Products!A:C,3,FALSE)</f>
        <v>Fashion</v>
      </c>
      <c r="L2465" t="str">
        <f>VLOOKUP(E2465,Stores!A:B,2,FALSE)</f>
        <v>MegaMart New Michele</v>
      </c>
      <c r="M2465">
        <f>VLOOKUP(D2465,Products!A:E,5,FALSE)</f>
        <v>429.15</v>
      </c>
      <c r="N2465" s="5">
        <f t="shared" si="38"/>
        <v>2145.75</v>
      </c>
    </row>
    <row r="2466" spans="1:14" x14ac:dyDescent="0.3">
      <c r="A2466" t="s">
        <v>3322</v>
      </c>
      <c r="B2466" s="2">
        <v>45455</v>
      </c>
      <c r="C2466" t="s">
        <v>15</v>
      </c>
      <c r="D2466" t="s">
        <v>757</v>
      </c>
      <c r="E2466" t="s">
        <v>835</v>
      </c>
      <c r="F2466">
        <v>3</v>
      </c>
      <c r="G2466">
        <v>0.15</v>
      </c>
      <c r="H2466" t="s">
        <v>865</v>
      </c>
      <c r="I2466" t="str">
        <f>VLOOKUP(C2466,Customers!A:C,2,FALSE)&amp;" "&amp;VLOOKUP(C2466,Customers!A:C,3,FALSE)</f>
        <v>Carol Hays</v>
      </c>
      <c r="J2466" t="str">
        <f>VLOOKUP(D2466,Products!A:C,2,FALSE)</f>
        <v>Find Headphones</v>
      </c>
      <c r="K2466" t="str">
        <f>VLOOKUP(D2466,Products!A:C,3,FALSE)</f>
        <v>Electronics</v>
      </c>
      <c r="L2466" t="str">
        <f>VLOOKUP(E2466,Stores!A:B,2,FALSE)</f>
        <v>MegaMart Peckmouth</v>
      </c>
      <c r="M2466">
        <f>VLOOKUP(D2466,Products!A:E,5,FALSE)</f>
        <v>1246.1099999999999</v>
      </c>
      <c r="N2466" s="5">
        <f t="shared" si="38"/>
        <v>3177.5805</v>
      </c>
    </row>
    <row r="2467" spans="1:14" x14ac:dyDescent="0.3">
      <c r="A2467" t="s">
        <v>3323</v>
      </c>
      <c r="B2467" s="2">
        <v>45593</v>
      </c>
      <c r="C2467" t="s">
        <v>657</v>
      </c>
      <c r="D2467" t="s">
        <v>824</v>
      </c>
      <c r="E2467" t="s">
        <v>835</v>
      </c>
      <c r="F2467">
        <v>3</v>
      </c>
      <c r="G2467">
        <v>0.05</v>
      </c>
      <c r="H2467" t="s">
        <v>861</v>
      </c>
      <c r="I2467" t="str">
        <f>VLOOKUP(C2467,Customers!A:C,2,FALSE)&amp;" "&amp;VLOOKUP(C2467,Customers!A:C,3,FALSE)</f>
        <v>Vicki Guzman</v>
      </c>
      <c r="J2467" t="str">
        <f>VLOOKUP(D2467,Products!A:C,2,FALSE)</f>
        <v>Possible Watches</v>
      </c>
      <c r="K2467" t="str">
        <f>VLOOKUP(D2467,Products!A:C,3,FALSE)</f>
        <v>Fashion</v>
      </c>
      <c r="L2467" t="str">
        <f>VLOOKUP(E2467,Stores!A:B,2,FALSE)</f>
        <v>MegaMart Peckmouth</v>
      </c>
      <c r="M2467">
        <f>VLOOKUP(D2467,Products!A:E,5,FALSE)</f>
        <v>388.26</v>
      </c>
      <c r="N2467" s="5">
        <f t="shared" si="38"/>
        <v>1106.5409999999999</v>
      </c>
    </row>
    <row r="2468" spans="1:14" x14ac:dyDescent="0.3">
      <c r="A2468" t="s">
        <v>3324</v>
      </c>
      <c r="B2468" s="2">
        <v>45702</v>
      </c>
      <c r="C2468" t="s">
        <v>302</v>
      </c>
      <c r="D2468" t="s">
        <v>736</v>
      </c>
      <c r="E2468" t="s">
        <v>831</v>
      </c>
      <c r="F2468">
        <v>4</v>
      </c>
      <c r="G2468">
        <v>0.1</v>
      </c>
      <c r="H2468" t="s">
        <v>861</v>
      </c>
      <c r="I2468" t="str">
        <f>VLOOKUP(C2468,Customers!A:C,2,FALSE)&amp;" "&amp;VLOOKUP(C2468,Customers!A:C,3,FALSE)</f>
        <v>Grace Garcia</v>
      </c>
      <c r="J2468" t="str">
        <f>VLOOKUP(D2468,Products!A:C,2,FALSE)</f>
        <v>Us Snacks</v>
      </c>
      <c r="K2468" t="str">
        <f>VLOOKUP(D2468,Products!A:C,3,FALSE)</f>
        <v>Groceries</v>
      </c>
      <c r="L2468" t="str">
        <f>VLOOKUP(E2468,Stores!A:B,2,FALSE)</f>
        <v>MegaMart Jimenezborough</v>
      </c>
      <c r="M2468">
        <f>VLOOKUP(D2468,Products!A:E,5,FALSE)</f>
        <v>123.19</v>
      </c>
      <c r="N2468" s="5">
        <f t="shared" si="38"/>
        <v>443.48399999999998</v>
      </c>
    </row>
    <row r="2469" spans="1:14" x14ac:dyDescent="0.3">
      <c r="A2469" t="s">
        <v>3325</v>
      </c>
      <c r="B2469" s="2">
        <v>45383</v>
      </c>
      <c r="C2469" t="s">
        <v>274</v>
      </c>
      <c r="D2469" t="s">
        <v>824</v>
      </c>
      <c r="E2469" t="s">
        <v>835</v>
      </c>
      <c r="F2469">
        <v>5</v>
      </c>
      <c r="G2469">
        <v>0.1</v>
      </c>
      <c r="H2469" t="s">
        <v>858</v>
      </c>
      <c r="I2469" t="str">
        <f>VLOOKUP(C2469,Customers!A:C,2,FALSE)&amp;" "&amp;VLOOKUP(C2469,Customers!A:C,3,FALSE)</f>
        <v>Eric Watkins</v>
      </c>
      <c r="J2469" t="str">
        <f>VLOOKUP(D2469,Products!A:C,2,FALSE)</f>
        <v>Possible Watches</v>
      </c>
      <c r="K2469" t="str">
        <f>VLOOKUP(D2469,Products!A:C,3,FALSE)</f>
        <v>Fashion</v>
      </c>
      <c r="L2469" t="str">
        <f>VLOOKUP(E2469,Stores!A:B,2,FALSE)</f>
        <v>MegaMart Peckmouth</v>
      </c>
      <c r="M2469">
        <f>VLOOKUP(D2469,Products!A:E,5,FALSE)</f>
        <v>388.26</v>
      </c>
      <c r="N2469" s="5">
        <f t="shared" si="38"/>
        <v>1747.17</v>
      </c>
    </row>
    <row r="2470" spans="1:14" x14ac:dyDescent="0.3">
      <c r="A2470" t="s">
        <v>3326</v>
      </c>
      <c r="B2470" s="2">
        <v>45506</v>
      </c>
      <c r="C2470" t="s">
        <v>224</v>
      </c>
      <c r="D2470" t="s">
        <v>745</v>
      </c>
      <c r="E2470" t="s">
        <v>835</v>
      </c>
      <c r="F2470">
        <v>3</v>
      </c>
      <c r="G2470">
        <v>0.05</v>
      </c>
      <c r="H2470" t="s">
        <v>861</v>
      </c>
      <c r="I2470" t="str">
        <f>VLOOKUP(C2470,Customers!A:C,2,FALSE)&amp;" "&amp;VLOOKUP(C2470,Customers!A:C,3,FALSE)</f>
        <v>Lawrence Stewart</v>
      </c>
      <c r="J2470" t="str">
        <f>VLOOKUP(D2470,Products!A:C,2,FALSE)</f>
        <v>Above Camera</v>
      </c>
      <c r="K2470" t="str">
        <f>VLOOKUP(D2470,Products!A:C,3,FALSE)</f>
        <v>Electronics</v>
      </c>
      <c r="L2470" t="str">
        <f>VLOOKUP(E2470,Stores!A:B,2,FALSE)</f>
        <v>MegaMart Peckmouth</v>
      </c>
      <c r="M2470">
        <f>VLOOKUP(D2470,Products!A:E,5,FALSE)</f>
        <v>1193.0899999999999</v>
      </c>
      <c r="N2470" s="5">
        <f t="shared" si="38"/>
        <v>3400.3064999999992</v>
      </c>
    </row>
    <row r="2471" spans="1:14" x14ac:dyDescent="0.3">
      <c r="A2471" t="s">
        <v>3327</v>
      </c>
      <c r="B2471" s="2">
        <v>45611</v>
      </c>
      <c r="C2471" t="s">
        <v>287</v>
      </c>
      <c r="D2471" t="s">
        <v>810</v>
      </c>
      <c r="E2471" t="s">
        <v>839</v>
      </c>
      <c r="F2471">
        <v>4</v>
      </c>
      <c r="G2471">
        <v>0.1</v>
      </c>
      <c r="H2471" t="s">
        <v>865</v>
      </c>
      <c r="I2471" t="str">
        <f>VLOOKUP(C2471,Customers!A:C,2,FALSE)&amp;" "&amp;VLOOKUP(C2471,Customers!A:C,3,FALSE)</f>
        <v>Phyllis Durham</v>
      </c>
      <c r="J2471" t="str">
        <f>VLOOKUP(D2471,Products!A:C,2,FALSE)</f>
        <v>Maybe Clothing</v>
      </c>
      <c r="K2471" t="str">
        <f>VLOOKUP(D2471,Products!A:C,3,FALSE)</f>
        <v>Fashion</v>
      </c>
      <c r="L2471" t="str">
        <f>VLOOKUP(E2471,Stores!A:B,2,FALSE)</f>
        <v>MegaMart New Michele</v>
      </c>
      <c r="M2471">
        <f>VLOOKUP(D2471,Products!A:E,5,FALSE)</f>
        <v>453.62</v>
      </c>
      <c r="N2471" s="5">
        <f t="shared" si="38"/>
        <v>1633.0320000000002</v>
      </c>
    </row>
    <row r="2472" spans="1:14" x14ac:dyDescent="0.3">
      <c r="A2472" t="s">
        <v>3328</v>
      </c>
      <c r="B2472" s="2">
        <v>45225</v>
      </c>
      <c r="C2472" t="s">
        <v>464</v>
      </c>
      <c r="D2472" t="s">
        <v>711</v>
      </c>
      <c r="E2472" t="s">
        <v>839</v>
      </c>
      <c r="F2472">
        <v>5</v>
      </c>
      <c r="G2472">
        <v>0.1</v>
      </c>
      <c r="H2472" t="s">
        <v>855</v>
      </c>
      <c r="I2472" t="str">
        <f>VLOOKUP(C2472,Customers!A:C,2,FALSE)&amp;" "&amp;VLOOKUP(C2472,Customers!A:C,3,FALSE)</f>
        <v>Monique Johnson</v>
      </c>
      <c r="J2472" t="str">
        <f>VLOOKUP(D2472,Products!A:C,2,FALSE)</f>
        <v>Like Camera</v>
      </c>
      <c r="K2472" t="str">
        <f>VLOOKUP(D2472,Products!A:C,3,FALSE)</f>
        <v>Electronics</v>
      </c>
      <c r="L2472" t="str">
        <f>VLOOKUP(E2472,Stores!A:B,2,FALSE)</f>
        <v>MegaMart New Michele</v>
      </c>
      <c r="M2472">
        <f>VLOOKUP(D2472,Products!A:E,5,FALSE)</f>
        <v>1673.69</v>
      </c>
      <c r="N2472" s="5">
        <f t="shared" si="38"/>
        <v>7531.6050000000005</v>
      </c>
    </row>
    <row r="2473" spans="1:14" x14ac:dyDescent="0.3">
      <c r="A2473" t="s">
        <v>3329</v>
      </c>
      <c r="B2473" s="2">
        <v>45480</v>
      </c>
      <c r="C2473" t="s">
        <v>696</v>
      </c>
      <c r="D2473" t="s">
        <v>734</v>
      </c>
      <c r="E2473" t="s">
        <v>846</v>
      </c>
      <c r="F2473">
        <v>4</v>
      </c>
      <c r="G2473">
        <v>0.05</v>
      </c>
      <c r="H2473" t="s">
        <v>865</v>
      </c>
      <c r="I2473" t="str">
        <f>VLOOKUP(C2473,Customers!A:C,2,FALSE)&amp;" "&amp;VLOOKUP(C2473,Customers!A:C,3,FALSE)</f>
        <v>Jessica Mullins</v>
      </c>
      <c r="J2473" t="str">
        <f>VLOOKUP(D2473,Products!A:C,2,FALSE)</f>
        <v>Recognize Footwear</v>
      </c>
      <c r="K2473" t="str">
        <f>VLOOKUP(D2473,Products!A:C,3,FALSE)</f>
        <v>Fashion</v>
      </c>
      <c r="L2473" t="str">
        <f>VLOOKUP(E2473,Stores!A:B,2,FALSE)</f>
        <v>MegaMart Johnmouth</v>
      </c>
      <c r="M2473">
        <f>VLOOKUP(D2473,Products!A:E,5,FALSE)</f>
        <v>109.78</v>
      </c>
      <c r="N2473" s="5">
        <f t="shared" si="38"/>
        <v>417.16399999999999</v>
      </c>
    </row>
    <row r="2474" spans="1:14" x14ac:dyDescent="0.3">
      <c r="A2474" t="s">
        <v>3330</v>
      </c>
      <c r="B2474" s="2">
        <v>45542</v>
      </c>
      <c r="C2474" t="s">
        <v>542</v>
      </c>
      <c r="D2474" t="s">
        <v>766</v>
      </c>
      <c r="E2474" t="s">
        <v>842</v>
      </c>
      <c r="F2474">
        <v>2</v>
      </c>
      <c r="G2474">
        <v>0.05</v>
      </c>
      <c r="H2474" t="s">
        <v>858</v>
      </c>
      <c r="I2474" t="str">
        <f>VLOOKUP(C2474,Customers!A:C,2,FALSE)&amp;" "&amp;VLOOKUP(C2474,Customers!A:C,3,FALSE)</f>
        <v>Francis Hernandez</v>
      </c>
      <c r="J2474" t="str">
        <f>VLOOKUP(D2474,Products!A:C,2,FALSE)</f>
        <v>Firm Dairy</v>
      </c>
      <c r="K2474" t="str">
        <f>VLOOKUP(D2474,Products!A:C,3,FALSE)</f>
        <v>Groceries</v>
      </c>
      <c r="L2474" t="str">
        <f>VLOOKUP(E2474,Stores!A:B,2,FALSE)</f>
        <v>MegaMart Brianahaven</v>
      </c>
      <c r="M2474">
        <f>VLOOKUP(D2474,Products!A:E,5,FALSE)</f>
        <v>1227.24</v>
      </c>
      <c r="N2474" s="5">
        <f t="shared" si="38"/>
        <v>2331.7559999999999</v>
      </c>
    </row>
    <row r="2475" spans="1:14" x14ac:dyDescent="0.3">
      <c r="A2475" t="s">
        <v>3331</v>
      </c>
      <c r="B2475" s="2">
        <v>45447</v>
      </c>
      <c r="C2475" t="s">
        <v>335</v>
      </c>
      <c r="D2475" t="s">
        <v>804</v>
      </c>
      <c r="E2475" t="s">
        <v>839</v>
      </c>
      <c r="F2475">
        <v>2</v>
      </c>
      <c r="G2475">
        <v>0.1</v>
      </c>
      <c r="H2475" t="s">
        <v>855</v>
      </c>
      <c r="I2475" t="str">
        <f>VLOOKUP(C2475,Customers!A:C,2,FALSE)&amp;" "&amp;VLOOKUP(C2475,Customers!A:C,3,FALSE)</f>
        <v>William Warner</v>
      </c>
      <c r="J2475" t="str">
        <f>VLOOKUP(D2475,Products!A:C,2,FALSE)</f>
        <v>Church Clothing</v>
      </c>
      <c r="K2475" t="str">
        <f>VLOOKUP(D2475,Products!A:C,3,FALSE)</f>
        <v>Fashion</v>
      </c>
      <c r="L2475" t="str">
        <f>VLOOKUP(E2475,Stores!A:B,2,FALSE)</f>
        <v>MegaMart New Michele</v>
      </c>
      <c r="M2475">
        <f>VLOOKUP(D2475,Products!A:E,5,FALSE)</f>
        <v>540.94000000000005</v>
      </c>
      <c r="N2475" s="5">
        <f t="shared" si="38"/>
        <v>973.69200000000012</v>
      </c>
    </row>
    <row r="2476" spans="1:14" x14ac:dyDescent="0.3">
      <c r="A2476" t="s">
        <v>3332</v>
      </c>
      <c r="B2476" s="2">
        <v>45650</v>
      </c>
      <c r="C2476" t="s">
        <v>97</v>
      </c>
      <c r="D2476" t="s">
        <v>711</v>
      </c>
      <c r="E2476" t="s">
        <v>846</v>
      </c>
      <c r="F2476">
        <v>2</v>
      </c>
      <c r="G2476">
        <v>0.1</v>
      </c>
      <c r="H2476" t="s">
        <v>861</v>
      </c>
      <c r="I2476" t="str">
        <f>VLOOKUP(C2476,Customers!A:C,2,FALSE)&amp;" "&amp;VLOOKUP(C2476,Customers!A:C,3,FALSE)</f>
        <v>Molly Murray</v>
      </c>
      <c r="J2476" t="str">
        <f>VLOOKUP(D2476,Products!A:C,2,FALSE)</f>
        <v>Like Camera</v>
      </c>
      <c r="K2476" t="str">
        <f>VLOOKUP(D2476,Products!A:C,3,FALSE)</f>
        <v>Electronics</v>
      </c>
      <c r="L2476" t="str">
        <f>VLOOKUP(E2476,Stores!A:B,2,FALSE)</f>
        <v>MegaMart Johnmouth</v>
      </c>
      <c r="M2476">
        <f>VLOOKUP(D2476,Products!A:E,5,FALSE)</f>
        <v>1673.69</v>
      </c>
      <c r="N2476" s="5">
        <f t="shared" si="38"/>
        <v>3012.6420000000003</v>
      </c>
    </row>
    <row r="2477" spans="1:14" x14ac:dyDescent="0.3">
      <c r="A2477" t="s">
        <v>3333</v>
      </c>
      <c r="B2477" s="2">
        <v>45594</v>
      </c>
      <c r="C2477" t="s">
        <v>445</v>
      </c>
      <c r="D2477" t="s">
        <v>810</v>
      </c>
      <c r="E2477" t="s">
        <v>839</v>
      </c>
      <c r="F2477">
        <v>1</v>
      </c>
      <c r="G2477">
        <v>0</v>
      </c>
      <c r="H2477" t="s">
        <v>861</v>
      </c>
      <c r="I2477" t="str">
        <f>VLOOKUP(C2477,Customers!A:C,2,FALSE)&amp;" "&amp;VLOOKUP(C2477,Customers!A:C,3,FALSE)</f>
        <v>Curtis Faulkner</v>
      </c>
      <c r="J2477" t="str">
        <f>VLOOKUP(D2477,Products!A:C,2,FALSE)</f>
        <v>Maybe Clothing</v>
      </c>
      <c r="K2477" t="str">
        <f>VLOOKUP(D2477,Products!A:C,3,FALSE)</f>
        <v>Fashion</v>
      </c>
      <c r="L2477" t="str">
        <f>VLOOKUP(E2477,Stores!A:B,2,FALSE)</f>
        <v>MegaMart New Michele</v>
      </c>
      <c r="M2477">
        <f>VLOOKUP(D2477,Products!A:E,5,FALSE)</f>
        <v>453.62</v>
      </c>
      <c r="N2477" s="5">
        <f t="shared" si="38"/>
        <v>453.62</v>
      </c>
    </row>
    <row r="2478" spans="1:14" x14ac:dyDescent="0.3">
      <c r="A2478" t="s">
        <v>3334</v>
      </c>
      <c r="B2478" s="2">
        <v>45776</v>
      </c>
      <c r="C2478" t="s">
        <v>452</v>
      </c>
      <c r="D2478" t="s">
        <v>745</v>
      </c>
      <c r="E2478" t="s">
        <v>835</v>
      </c>
      <c r="F2478">
        <v>4</v>
      </c>
      <c r="G2478">
        <v>0.1</v>
      </c>
      <c r="H2478" t="s">
        <v>855</v>
      </c>
      <c r="I2478" t="str">
        <f>VLOOKUP(C2478,Customers!A:C,2,FALSE)&amp;" "&amp;VLOOKUP(C2478,Customers!A:C,3,FALSE)</f>
        <v>Amy Smith</v>
      </c>
      <c r="J2478" t="str">
        <f>VLOOKUP(D2478,Products!A:C,2,FALSE)</f>
        <v>Above Camera</v>
      </c>
      <c r="K2478" t="str">
        <f>VLOOKUP(D2478,Products!A:C,3,FALSE)</f>
        <v>Electronics</v>
      </c>
      <c r="L2478" t="str">
        <f>VLOOKUP(E2478,Stores!A:B,2,FALSE)</f>
        <v>MegaMart Peckmouth</v>
      </c>
      <c r="M2478">
        <f>VLOOKUP(D2478,Products!A:E,5,FALSE)</f>
        <v>1193.0899999999999</v>
      </c>
      <c r="N2478" s="5">
        <f t="shared" si="38"/>
        <v>4295.1239999999998</v>
      </c>
    </row>
    <row r="2479" spans="1:14" x14ac:dyDescent="0.3">
      <c r="A2479" t="s">
        <v>3335</v>
      </c>
      <c r="B2479" s="2">
        <v>45839</v>
      </c>
      <c r="C2479" t="s">
        <v>527</v>
      </c>
      <c r="D2479" t="s">
        <v>759</v>
      </c>
      <c r="E2479" t="s">
        <v>842</v>
      </c>
      <c r="F2479">
        <v>5</v>
      </c>
      <c r="G2479">
        <v>0</v>
      </c>
      <c r="H2479" t="s">
        <v>855</v>
      </c>
      <c r="I2479" t="str">
        <f>VLOOKUP(C2479,Customers!A:C,2,FALSE)&amp;" "&amp;VLOOKUP(C2479,Customers!A:C,3,FALSE)</f>
        <v>Paige Osborne</v>
      </c>
      <c r="J2479" t="str">
        <f>VLOOKUP(D2479,Products!A:C,2,FALSE)</f>
        <v>Democratic Smartphone</v>
      </c>
      <c r="K2479" t="str">
        <f>VLOOKUP(D2479,Products!A:C,3,FALSE)</f>
        <v>Electronics</v>
      </c>
      <c r="L2479" t="str">
        <f>VLOOKUP(E2479,Stores!A:B,2,FALSE)</f>
        <v>MegaMart Brianahaven</v>
      </c>
      <c r="M2479">
        <f>VLOOKUP(D2479,Products!A:E,5,FALSE)</f>
        <v>1079.8900000000001</v>
      </c>
      <c r="N2479" s="5">
        <f t="shared" si="38"/>
        <v>5399.4500000000007</v>
      </c>
    </row>
    <row r="2480" spans="1:14" x14ac:dyDescent="0.3">
      <c r="A2480" t="s">
        <v>3336</v>
      </c>
      <c r="B2480" s="2">
        <v>45183</v>
      </c>
      <c r="C2480" t="s">
        <v>636</v>
      </c>
      <c r="D2480" t="s">
        <v>764</v>
      </c>
      <c r="E2480" t="s">
        <v>831</v>
      </c>
      <c r="F2480">
        <v>3</v>
      </c>
      <c r="G2480">
        <v>0</v>
      </c>
      <c r="H2480" t="s">
        <v>861</v>
      </c>
      <c r="I2480" t="str">
        <f>VLOOKUP(C2480,Customers!A:C,2,FALSE)&amp;" "&amp;VLOOKUP(C2480,Customers!A:C,3,FALSE)</f>
        <v>Nichole Calhoun</v>
      </c>
      <c r="J2480" t="str">
        <f>VLOOKUP(D2480,Products!A:C,2,FALSE)</f>
        <v>Simple Accessories</v>
      </c>
      <c r="K2480" t="str">
        <f>VLOOKUP(D2480,Products!A:C,3,FALSE)</f>
        <v>Fashion</v>
      </c>
      <c r="L2480" t="str">
        <f>VLOOKUP(E2480,Stores!A:B,2,FALSE)</f>
        <v>MegaMart Jimenezborough</v>
      </c>
      <c r="M2480">
        <f>VLOOKUP(D2480,Products!A:E,5,FALSE)</f>
        <v>323.92</v>
      </c>
      <c r="N2480" s="5">
        <f t="shared" si="38"/>
        <v>971.76</v>
      </c>
    </row>
    <row r="2481" spans="1:14" x14ac:dyDescent="0.3">
      <c r="A2481" t="s">
        <v>3337</v>
      </c>
      <c r="B2481" s="2">
        <v>45582</v>
      </c>
      <c r="C2481" t="s">
        <v>403</v>
      </c>
      <c r="D2481" t="s">
        <v>782</v>
      </c>
      <c r="E2481" t="s">
        <v>842</v>
      </c>
      <c r="F2481">
        <v>3</v>
      </c>
      <c r="G2481">
        <v>0.1</v>
      </c>
      <c r="H2481" t="s">
        <v>865</v>
      </c>
      <c r="I2481" t="str">
        <f>VLOOKUP(C2481,Customers!A:C,2,FALSE)&amp;" "&amp;VLOOKUP(C2481,Customers!A:C,3,FALSE)</f>
        <v>Samantha Hill</v>
      </c>
      <c r="J2481" t="str">
        <f>VLOOKUP(D2481,Products!A:C,2,FALSE)</f>
        <v>Deal Smartphone</v>
      </c>
      <c r="K2481" t="str">
        <f>VLOOKUP(D2481,Products!A:C,3,FALSE)</f>
        <v>Electronics</v>
      </c>
      <c r="L2481" t="str">
        <f>VLOOKUP(E2481,Stores!A:B,2,FALSE)</f>
        <v>MegaMart Brianahaven</v>
      </c>
      <c r="M2481">
        <f>VLOOKUP(D2481,Products!A:E,5,FALSE)</f>
        <v>673.78</v>
      </c>
      <c r="N2481" s="5">
        <f t="shared" si="38"/>
        <v>1819.2059999999999</v>
      </c>
    </row>
    <row r="2482" spans="1:14" x14ac:dyDescent="0.3">
      <c r="A2482" t="s">
        <v>3338</v>
      </c>
      <c r="B2482" s="2">
        <v>45419</v>
      </c>
      <c r="C2482" t="s">
        <v>187</v>
      </c>
      <c r="D2482" t="s">
        <v>806</v>
      </c>
      <c r="E2482" t="s">
        <v>839</v>
      </c>
      <c r="F2482">
        <v>3</v>
      </c>
      <c r="G2482">
        <v>0.05</v>
      </c>
      <c r="H2482" t="s">
        <v>858</v>
      </c>
      <c r="I2482" t="str">
        <f>VLOOKUP(C2482,Customers!A:C,2,FALSE)&amp;" "&amp;VLOOKUP(C2482,Customers!A:C,3,FALSE)</f>
        <v>Alexis Crane</v>
      </c>
      <c r="J2482" t="str">
        <f>VLOOKUP(D2482,Products!A:C,2,FALSE)</f>
        <v>Piece Headphones</v>
      </c>
      <c r="K2482" t="str">
        <f>VLOOKUP(D2482,Products!A:C,3,FALSE)</f>
        <v>Electronics</v>
      </c>
      <c r="L2482" t="str">
        <f>VLOOKUP(E2482,Stores!A:B,2,FALSE)</f>
        <v>MegaMart New Michele</v>
      </c>
      <c r="M2482">
        <f>VLOOKUP(D2482,Products!A:E,5,FALSE)</f>
        <v>1745.61</v>
      </c>
      <c r="N2482" s="5">
        <f t="shared" si="38"/>
        <v>4974.9884999999995</v>
      </c>
    </row>
    <row r="2483" spans="1:14" x14ac:dyDescent="0.3">
      <c r="A2483" t="s">
        <v>3339</v>
      </c>
      <c r="B2483" s="2">
        <v>45892</v>
      </c>
      <c r="C2483" t="s">
        <v>509</v>
      </c>
      <c r="D2483" t="s">
        <v>747</v>
      </c>
      <c r="E2483" t="s">
        <v>835</v>
      </c>
      <c r="F2483">
        <v>1</v>
      </c>
      <c r="G2483">
        <v>0.15</v>
      </c>
      <c r="H2483" t="s">
        <v>858</v>
      </c>
      <c r="I2483" t="str">
        <f>VLOOKUP(C2483,Customers!A:C,2,FALSE)&amp;" "&amp;VLOOKUP(C2483,Customers!A:C,3,FALSE)</f>
        <v>Stacy Williams</v>
      </c>
      <c r="J2483" t="str">
        <f>VLOOKUP(D2483,Products!A:C,2,FALSE)</f>
        <v>World Watches</v>
      </c>
      <c r="K2483" t="str">
        <f>VLOOKUP(D2483,Products!A:C,3,FALSE)</f>
        <v>Fashion</v>
      </c>
      <c r="L2483" t="str">
        <f>VLOOKUP(E2483,Stores!A:B,2,FALSE)</f>
        <v>MegaMart Peckmouth</v>
      </c>
      <c r="M2483">
        <f>VLOOKUP(D2483,Products!A:E,5,FALSE)</f>
        <v>1134.8</v>
      </c>
      <c r="N2483" s="5">
        <f t="shared" si="38"/>
        <v>964.57999999999993</v>
      </c>
    </row>
    <row r="2484" spans="1:14" x14ac:dyDescent="0.3">
      <c r="A2484" t="s">
        <v>3340</v>
      </c>
      <c r="B2484" s="2">
        <v>45663</v>
      </c>
      <c r="C2484" t="s">
        <v>549</v>
      </c>
      <c r="D2484" t="s">
        <v>790</v>
      </c>
      <c r="E2484" t="s">
        <v>846</v>
      </c>
      <c r="F2484">
        <v>4</v>
      </c>
      <c r="G2484">
        <v>0.15</v>
      </c>
      <c r="H2484" t="s">
        <v>858</v>
      </c>
      <c r="I2484" t="str">
        <f>VLOOKUP(C2484,Customers!A:C,2,FALSE)&amp;" "&amp;VLOOKUP(C2484,Customers!A:C,3,FALSE)</f>
        <v>Brittany Green</v>
      </c>
      <c r="J2484" t="str">
        <f>VLOOKUP(D2484,Products!A:C,2,FALSE)</f>
        <v>Difficult Vegetables</v>
      </c>
      <c r="K2484" t="str">
        <f>VLOOKUP(D2484,Products!A:C,3,FALSE)</f>
        <v>Groceries</v>
      </c>
      <c r="L2484" t="str">
        <f>VLOOKUP(E2484,Stores!A:B,2,FALSE)</f>
        <v>MegaMart Johnmouth</v>
      </c>
      <c r="M2484">
        <f>VLOOKUP(D2484,Products!A:E,5,FALSE)</f>
        <v>304.70999999999998</v>
      </c>
      <c r="N2484" s="5">
        <f t="shared" si="38"/>
        <v>1036.0139999999999</v>
      </c>
    </row>
    <row r="2485" spans="1:14" x14ac:dyDescent="0.3">
      <c r="A2485" t="s">
        <v>3341</v>
      </c>
      <c r="B2485" s="2">
        <v>45230</v>
      </c>
      <c r="C2485" t="s">
        <v>241</v>
      </c>
      <c r="D2485" t="s">
        <v>769</v>
      </c>
      <c r="E2485" t="s">
        <v>839</v>
      </c>
      <c r="F2485">
        <v>3</v>
      </c>
      <c r="G2485">
        <v>0.1</v>
      </c>
      <c r="H2485" t="s">
        <v>858</v>
      </c>
      <c r="I2485" t="str">
        <f>VLOOKUP(C2485,Customers!A:C,2,FALSE)&amp;" "&amp;VLOOKUP(C2485,Customers!A:C,3,FALSE)</f>
        <v>Michael Johnson</v>
      </c>
      <c r="J2485" t="str">
        <f>VLOOKUP(D2485,Products!A:C,2,FALSE)</f>
        <v>How Vegetables</v>
      </c>
      <c r="K2485" t="str">
        <f>VLOOKUP(D2485,Products!A:C,3,FALSE)</f>
        <v>Groceries</v>
      </c>
      <c r="L2485" t="str">
        <f>VLOOKUP(E2485,Stores!A:B,2,FALSE)</f>
        <v>MegaMart New Michele</v>
      </c>
      <c r="M2485">
        <f>VLOOKUP(D2485,Products!A:E,5,FALSE)</f>
        <v>25.57</v>
      </c>
      <c r="N2485" s="5">
        <f t="shared" si="38"/>
        <v>69.039000000000016</v>
      </c>
    </row>
    <row r="2486" spans="1:14" x14ac:dyDescent="0.3">
      <c r="A2486" t="s">
        <v>3342</v>
      </c>
      <c r="B2486" s="2">
        <v>45770</v>
      </c>
      <c r="C2486" t="s">
        <v>618</v>
      </c>
      <c r="D2486" t="s">
        <v>822</v>
      </c>
      <c r="E2486" t="s">
        <v>842</v>
      </c>
      <c r="F2486">
        <v>3</v>
      </c>
      <c r="G2486">
        <v>0</v>
      </c>
      <c r="H2486" t="s">
        <v>861</v>
      </c>
      <c r="I2486" t="str">
        <f>VLOOKUP(C2486,Customers!A:C,2,FALSE)&amp;" "&amp;VLOOKUP(C2486,Customers!A:C,3,FALSE)</f>
        <v>Scott Howell</v>
      </c>
      <c r="J2486" t="str">
        <f>VLOOKUP(D2486,Products!A:C,2,FALSE)</f>
        <v>Nor Bags</v>
      </c>
      <c r="K2486" t="str">
        <f>VLOOKUP(D2486,Products!A:C,3,FALSE)</f>
        <v>Fashion</v>
      </c>
      <c r="L2486" t="str">
        <f>VLOOKUP(E2486,Stores!A:B,2,FALSE)</f>
        <v>MegaMart Brianahaven</v>
      </c>
      <c r="M2486">
        <f>VLOOKUP(D2486,Products!A:E,5,FALSE)</f>
        <v>1216.3599999999999</v>
      </c>
      <c r="N2486" s="5">
        <f t="shared" si="38"/>
        <v>3649.08</v>
      </c>
    </row>
    <row r="2487" spans="1:14" x14ac:dyDescent="0.3">
      <c r="A2487" t="s">
        <v>3343</v>
      </c>
      <c r="B2487" s="2">
        <v>45231</v>
      </c>
      <c r="C2487" t="s">
        <v>690</v>
      </c>
      <c r="D2487" t="s">
        <v>728</v>
      </c>
      <c r="E2487" t="s">
        <v>846</v>
      </c>
      <c r="F2487">
        <v>1</v>
      </c>
      <c r="G2487">
        <v>0.15</v>
      </c>
      <c r="H2487" t="s">
        <v>858</v>
      </c>
      <c r="I2487" t="str">
        <f>VLOOKUP(C2487,Customers!A:C,2,FALSE)&amp;" "&amp;VLOOKUP(C2487,Customers!A:C,3,FALSE)</f>
        <v>James Noble</v>
      </c>
      <c r="J2487" t="str">
        <f>VLOOKUP(D2487,Products!A:C,2,FALSE)</f>
        <v>Company Fruits</v>
      </c>
      <c r="K2487" t="str">
        <f>VLOOKUP(D2487,Products!A:C,3,FALSE)</f>
        <v>Groceries</v>
      </c>
      <c r="L2487" t="str">
        <f>VLOOKUP(E2487,Stores!A:B,2,FALSE)</f>
        <v>MegaMart Johnmouth</v>
      </c>
      <c r="M2487">
        <f>VLOOKUP(D2487,Products!A:E,5,FALSE)</f>
        <v>318.05</v>
      </c>
      <c r="N2487" s="5">
        <f t="shared" si="38"/>
        <v>270.34250000000003</v>
      </c>
    </row>
    <row r="2488" spans="1:14" x14ac:dyDescent="0.3">
      <c r="A2488" t="s">
        <v>3344</v>
      </c>
      <c r="B2488" s="2">
        <v>45586</v>
      </c>
      <c r="C2488" t="s">
        <v>700</v>
      </c>
      <c r="D2488" t="s">
        <v>759</v>
      </c>
      <c r="E2488" t="s">
        <v>839</v>
      </c>
      <c r="F2488">
        <v>5</v>
      </c>
      <c r="G2488">
        <v>0.15</v>
      </c>
      <c r="H2488" t="s">
        <v>865</v>
      </c>
      <c r="I2488" t="str">
        <f>VLOOKUP(C2488,Customers!A:C,2,FALSE)&amp;" "&amp;VLOOKUP(C2488,Customers!A:C,3,FALSE)</f>
        <v>Juan Johnson</v>
      </c>
      <c r="J2488" t="str">
        <f>VLOOKUP(D2488,Products!A:C,2,FALSE)</f>
        <v>Democratic Smartphone</v>
      </c>
      <c r="K2488" t="str">
        <f>VLOOKUP(D2488,Products!A:C,3,FALSE)</f>
        <v>Electronics</v>
      </c>
      <c r="L2488" t="str">
        <f>VLOOKUP(E2488,Stores!A:B,2,FALSE)</f>
        <v>MegaMart New Michele</v>
      </c>
      <c r="M2488">
        <f>VLOOKUP(D2488,Products!A:E,5,FALSE)</f>
        <v>1079.8900000000001</v>
      </c>
      <c r="N2488" s="5">
        <f t="shared" si="38"/>
        <v>4589.5325000000003</v>
      </c>
    </row>
    <row r="2489" spans="1:14" x14ac:dyDescent="0.3">
      <c r="A2489" t="s">
        <v>3345</v>
      </c>
      <c r="B2489" s="2">
        <v>45581</v>
      </c>
      <c r="C2489" t="s">
        <v>163</v>
      </c>
      <c r="D2489" t="s">
        <v>772</v>
      </c>
      <c r="E2489" t="s">
        <v>846</v>
      </c>
      <c r="F2489">
        <v>2</v>
      </c>
      <c r="G2489">
        <v>0.1</v>
      </c>
      <c r="H2489" t="s">
        <v>861</v>
      </c>
      <c r="I2489" t="str">
        <f>VLOOKUP(C2489,Customers!A:C,2,FALSE)&amp;" "&amp;VLOOKUP(C2489,Customers!A:C,3,FALSE)</f>
        <v>Anna Andrews</v>
      </c>
      <c r="J2489" t="str">
        <f>VLOOKUP(D2489,Products!A:C,2,FALSE)</f>
        <v>And Footwear</v>
      </c>
      <c r="K2489" t="str">
        <f>VLOOKUP(D2489,Products!A:C,3,FALSE)</f>
        <v>Fashion</v>
      </c>
      <c r="L2489" t="str">
        <f>VLOOKUP(E2489,Stores!A:B,2,FALSE)</f>
        <v>MegaMart Johnmouth</v>
      </c>
      <c r="M2489">
        <f>VLOOKUP(D2489,Products!A:E,5,FALSE)</f>
        <v>1878.47</v>
      </c>
      <c r="N2489" s="5">
        <f t="shared" si="38"/>
        <v>3381.2460000000001</v>
      </c>
    </row>
    <row r="2490" spans="1:14" x14ac:dyDescent="0.3">
      <c r="A2490" t="s">
        <v>3346</v>
      </c>
      <c r="B2490" s="2">
        <v>45353</v>
      </c>
      <c r="C2490" t="s">
        <v>531</v>
      </c>
      <c r="D2490" t="s">
        <v>772</v>
      </c>
      <c r="E2490" t="s">
        <v>835</v>
      </c>
      <c r="F2490">
        <v>2</v>
      </c>
      <c r="G2490">
        <v>0.1</v>
      </c>
      <c r="H2490" t="s">
        <v>865</v>
      </c>
      <c r="I2490" t="str">
        <f>VLOOKUP(C2490,Customers!A:C,2,FALSE)&amp;" "&amp;VLOOKUP(C2490,Customers!A:C,3,FALSE)</f>
        <v>John Johnson</v>
      </c>
      <c r="J2490" t="str">
        <f>VLOOKUP(D2490,Products!A:C,2,FALSE)</f>
        <v>And Footwear</v>
      </c>
      <c r="K2490" t="str">
        <f>VLOOKUP(D2490,Products!A:C,3,FALSE)</f>
        <v>Fashion</v>
      </c>
      <c r="L2490" t="str">
        <f>VLOOKUP(E2490,Stores!A:B,2,FALSE)</f>
        <v>MegaMart Peckmouth</v>
      </c>
      <c r="M2490">
        <f>VLOOKUP(D2490,Products!A:E,5,FALSE)</f>
        <v>1878.47</v>
      </c>
      <c r="N2490" s="5">
        <f t="shared" si="38"/>
        <v>3381.2460000000001</v>
      </c>
    </row>
    <row r="2491" spans="1:14" x14ac:dyDescent="0.3">
      <c r="A2491" t="s">
        <v>3347</v>
      </c>
      <c r="B2491" s="2">
        <v>45549</v>
      </c>
      <c r="C2491" t="s">
        <v>97</v>
      </c>
      <c r="D2491" t="s">
        <v>806</v>
      </c>
      <c r="E2491" t="s">
        <v>839</v>
      </c>
      <c r="F2491">
        <v>2</v>
      </c>
      <c r="G2491">
        <v>0.1</v>
      </c>
      <c r="H2491" t="s">
        <v>858</v>
      </c>
      <c r="I2491" t="str">
        <f>VLOOKUP(C2491,Customers!A:C,2,FALSE)&amp;" "&amp;VLOOKUP(C2491,Customers!A:C,3,FALSE)</f>
        <v>Molly Murray</v>
      </c>
      <c r="J2491" t="str">
        <f>VLOOKUP(D2491,Products!A:C,2,FALSE)</f>
        <v>Piece Headphones</v>
      </c>
      <c r="K2491" t="str">
        <f>VLOOKUP(D2491,Products!A:C,3,FALSE)</f>
        <v>Electronics</v>
      </c>
      <c r="L2491" t="str">
        <f>VLOOKUP(E2491,Stores!A:B,2,FALSE)</f>
        <v>MegaMart New Michele</v>
      </c>
      <c r="M2491">
        <f>VLOOKUP(D2491,Products!A:E,5,FALSE)</f>
        <v>1745.61</v>
      </c>
      <c r="N2491" s="5">
        <f t="shared" si="38"/>
        <v>3142.098</v>
      </c>
    </row>
    <row r="2492" spans="1:14" x14ac:dyDescent="0.3">
      <c r="A2492" t="s">
        <v>3348</v>
      </c>
      <c r="B2492" s="2">
        <v>45321</v>
      </c>
      <c r="C2492" t="s">
        <v>382</v>
      </c>
      <c r="D2492" t="s">
        <v>792</v>
      </c>
      <c r="E2492" t="s">
        <v>835</v>
      </c>
      <c r="F2492">
        <v>4</v>
      </c>
      <c r="G2492">
        <v>0</v>
      </c>
      <c r="H2492" t="s">
        <v>861</v>
      </c>
      <c r="I2492" t="str">
        <f>VLOOKUP(C2492,Customers!A:C,2,FALSE)&amp;" "&amp;VLOOKUP(C2492,Customers!A:C,3,FALSE)</f>
        <v>Carolyn Perez</v>
      </c>
      <c r="J2492" t="str">
        <f>VLOOKUP(D2492,Products!A:C,2,FALSE)</f>
        <v>Beat Accessories</v>
      </c>
      <c r="K2492" t="str">
        <f>VLOOKUP(D2492,Products!A:C,3,FALSE)</f>
        <v>Fashion</v>
      </c>
      <c r="L2492" t="str">
        <f>VLOOKUP(E2492,Stores!A:B,2,FALSE)</f>
        <v>MegaMart Peckmouth</v>
      </c>
      <c r="M2492">
        <f>VLOOKUP(D2492,Products!A:E,5,FALSE)</f>
        <v>1798.97</v>
      </c>
      <c r="N2492" s="5">
        <f t="shared" si="38"/>
        <v>7195.88</v>
      </c>
    </row>
    <row r="2493" spans="1:14" x14ac:dyDescent="0.3">
      <c r="A2493" t="s">
        <v>3349</v>
      </c>
      <c r="B2493" s="2">
        <v>45712</v>
      </c>
      <c r="C2493" t="s">
        <v>202</v>
      </c>
      <c r="D2493" t="s">
        <v>786</v>
      </c>
      <c r="E2493" t="s">
        <v>835</v>
      </c>
      <c r="F2493">
        <v>3</v>
      </c>
      <c r="G2493">
        <v>0.1</v>
      </c>
      <c r="H2493" t="s">
        <v>865</v>
      </c>
      <c r="I2493" t="str">
        <f>VLOOKUP(C2493,Customers!A:C,2,FALSE)&amp;" "&amp;VLOOKUP(C2493,Customers!A:C,3,FALSE)</f>
        <v>Billy Hernandez</v>
      </c>
      <c r="J2493" t="str">
        <f>VLOOKUP(D2493,Products!A:C,2,FALSE)</f>
        <v>National Watches</v>
      </c>
      <c r="K2493" t="str">
        <f>VLOOKUP(D2493,Products!A:C,3,FALSE)</f>
        <v>Fashion</v>
      </c>
      <c r="L2493" t="str">
        <f>VLOOKUP(E2493,Stores!A:B,2,FALSE)</f>
        <v>MegaMart Peckmouth</v>
      </c>
      <c r="M2493">
        <f>VLOOKUP(D2493,Products!A:E,5,FALSE)</f>
        <v>29.24</v>
      </c>
      <c r="N2493" s="5">
        <f t="shared" si="38"/>
        <v>78.948000000000008</v>
      </c>
    </row>
    <row r="2494" spans="1:14" x14ac:dyDescent="0.3">
      <c r="A2494" t="s">
        <v>3350</v>
      </c>
      <c r="B2494" s="2">
        <v>45418</v>
      </c>
      <c r="C2494" t="s">
        <v>187</v>
      </c>
      <c r="D2494" t="s">
        <v>769</v>
      </c>
      <c r="E2494" t="s">
        <v>835</v>
      </c>
      <c r="F2494">
        <v>2</v>
      </c>
      <c r="G2494">
        <v>0.15</v>
      </c>
      <c r="H2494" t="s">
        <v>865</v>
      </c>
      <c r="I2494" t="str">
        <f>VLOOKUP(C2494,Customers!A:C,2,FALSE)&amp;" "&amp;VLOOKUP(C2494,Customers!A:C,3,FALSE)</f>
        <v>Alexis Crane</v>
      </c>
      <c r="J2494" t="str">
        <f>VLOOKUP(D2494,Products!A:C,2,FALSE)</f>
        <v>How Vegetables</v>
      </c>
      <c r="K2494" t="str">
        <f>VLOOKUP(D2494,Products!A:C,3,FALSE)</f>
        <v>Groceries</v>
      </c>
      <c r="L2494" t="str">
        <f>VLOOKUP(E2494,Stores!A:B,2,FALSE)</f>
        <v>MegaMart Peckmouth</v>
      </c>
      <c r="M2494">
        <f>VLOOKUP(D2494,Products!A:E,5,FALSE)</f>
        <v>25.57</v>
      </c>
      <c r="N2494" s="5">
        <f t="shared" si="38"/>
        <v>43.469000000000001</v>
      </c>
    </row>
    <row r="2495" spans="1:14" x14ac:dyDescent="0.3">
      <c r="A2495" t="s">
        <v>3351</v>
      </c>
      <c r="B2495" s="2">
        <v>45340</v>
      </c>
      <c r="C2495" t="s">
        <v>657</v>
      </c>
      <c r="D2495" t="s">
        <v>824</v>
      </c>
      <c r="E2495" t="s">
        <v>835</v>
      </c>
      <c r="F2495">
        <v>2</v>
      </c>
      <c r="G2495">
        <v>0.1</v>
      </c>
      <c r="H2495" t="s">
        <v>865</v>
      </c>
      <c r="I2495" t="str">
        <f>VLOOKUP(C2495,Customers!A:C,2,FALSE)&amp;" "&amp;VLOOKUP(C2495,Customers!A:C,3,FALSE)</f>
        <v>Vicki Guzman</v>
      </c>
      <c r="J2495" t="str">
        <f>VLOOKUP(D2495,Products!A:C,2,FALSE)</f>
        <v>Possible Watches</v>
      </c>
      <c r="K2495" t="str">
        <f>VLOOKUP(D2495,Products!A:C,3,FALSE)</f>
        <v>Fashion</v>
      </c>
      <c r="L2495" t="str">
        <f>VLOOKUP(E2495,Stores!A:B,2,FALSE)</f>
        <v>MegaMart Peckmouth</v>
      </c>
      <c r="M2495">
        <f>VLOOKUP(D2495,Products!A:E,5,FALSE)</f>
        <v>388.26</v>
      </c>
      <c r="N2495" s="5">
        <f t="shared" si="38"/>
        <v>698.86800000000005</v>
      </c>
    </row>
    <row r="2496" spans="1:14" x14ac:dyDescent="0.3">
      <c r="A2496" t="s">
        <v>3352</v>
      </c>
      <c r="B2496" s="2">
        <v>45343</v>
      </c>
      <c r="C2496" t="s">
        <v>454</v>
      </c>
      <c r="D2496" t="s">
        <v>812</v>
      </c>
      <c r="E2496" t="s">
        <v>835</v>
      </c>
      <c r="F2496">
        <v>3</v>
      </c>
      <c r="G2496">
        <v>0</v>
      </c>
      <c r="H2496" t="s">
        <v>858</v>
      </c>
      <c r="I2496" t="str">
        <f>VLOOKUP(C2496,Customers!A:C,2,FALSE)&amp;" "&amp;VLOOKUP(C2496,Customers!A:C,3,FALSE)</f>
        <v>Peter Edwards</v>
      </c>
      <c r="J2496" t="str">
        <f>VLOOKUP(D2496,Products!A:C,2,FALSE)</f>
        <v>Soon Accessories</v>
      </c>
      <c r="K2496" t="str">
        <f>VLOOKUP(D2496,Products!A:C,3,FALSE)</f>
        <v>Fashion</v>
      </c>
      <c r="L2496" t="str">
        <f>VLOOKUP(E2496,Stores!A:B,2,FALSE)</f>
        <v>MegaMart Peckmouth</v>
      </c>
      <c r="M2496">
        <f>VLOOKUP(D2496,Products!A:E,5,FALSE)</f>
        <v>564.41999999999996</v>
      </c>
      <c r="N2496" s="5">
        <f t="shared" si="38"/>
        <v>1693.2599999999998</v>
      </c>
    </row>
    <row r="2497" spans="1:14" x14ac:dyDescent="0.3">
      <c r="A2497" t="s">
        <v>3353</v>
      </c>
      <c r="B2497" s="2">
        <v>45909</v>
      </c>
      <c r="C2497" t="s">
        <v>512</v>
      </c>
      <c r="D2497" t="s">
        <v>806</v>
      </c>
      <c r="E2497" t="s">
        <v>842</v>
      </c>
      <c r="F2497">
        <v>2</v>
      </c>
      <c r="G2497">
        <v>0.15</v>
      </c>
      <c r="H2497" t="s">
        <v>858</v>
      </c>
      <c r="I2497" t="str">
        <f>VLOOKUP(C2497,Customers!A:C,2,FALSE)&amp;" "&amp;VLOOKUP(C2497,Customers!A:C,3,FALSE)</f>
        <v>Adam Lucas</v>
      </c>
      <c r="J2497" t="str">
        <f>VLOOKUP(D2497,Products!A:C,2,FALSE)</f>
        <v>Piece Headphones</v>
      </c>
      <c r="K2497" t="str">
        <f>VLOOKUP(D2497,Products!A:C,3,FALSE)</f>
        <v>Electronics</v>
      </c>
      <c r="L2497" t="str">
        <f>VLOOKUP(E2497,Stores!A:B,2,FALSE)</f>
        <v>MegaMart Brianahaven</v>
      </c>
      <c r="M2497">
        <f>VLOOKUP(D2497,Products!A:E,5,FALSE)</f>
        <v>1745.61</v>
      </c>
      <c r="N2497" s="5">
        <f t="shared" si="38"/>
        <v>2967.5369999999998</v>
      </c>
    </row>
    <row r="2498" spans="1:14" x14ac:dyDescent="0.3">
      <c r="A2498" t="s">
        <v>3354</v>
      </c>
      <c r="B2498" s="2">
        <v>45435</v>
      </c>
      <c r="C2498" t="s">
        <v>442</v>
      </c>
      <c r="D2498" t="s">
        <v>759</v>
      </c>
      <c r="E2498" t="s">
        <v>835</v>
      </c>
      <c r="F2498">
        <v>1</v>
      </c>
      <c r="G2498">
        <v>0.15</v>
      </c>
      <c r="H2498" t="s">
        <v>861</v>
      </c>
      <c r="I2498" t="str">
        <f>VLOOKUP(C2498,Customers!A:C,2,FALSE)&amp;" "&amp;VLOOKUP(C2498,Customers!A:C,3,FALSE)</f>
        <v>Jason Lloyd</v>
      </c>
      <c r="J2498" t="str">
        <f>VLOOKUP(D2498,Products!A:C,2,FALSE)</f>
        <v>Democratic Smartphone</v>
      </c>
      <c r="K2498" t="str">
        <f>VLOOKUP(D2498,Products!A:C,3,FALSE)</f>
        <v>Electronics</v>
      </c>
      <c r="L2498" t="str">
        <f>VLOOKUP(E2498,Stores!A:B,2,FALSE)</f>
        <v>MegaMart Peckmouth</v>
      </c>
      <c r="M2498">
        <f>VLOOKUP(D2498,Products!A:E,5,FALSE)</f>
        <v>1079.8900000000001</v>
      </c>
      <c r="N2498" s="5">
        <f t="shared" si="38"/>
        <v>917.90650000000005</v>
      </c>
    </row>
    <row r="2499" spans="1:14" x14ac:dyDescent="0.3">
      <c r="A2499" t="s">
        <v>3355</v>
      </c>
      <c r="B2499" s="2">
        <v>45850</v>
      </c>
      <c r="C2499" t="s">
        <v>310</v>
      </c>
      <c r="D2499" t="s">
        <v>750</v>
      </c>
      <c r="E2499" t="s">
        <v>835</v>
      </c>
      <c r="F2499">
        <v>4</v>
      </c>
      <c r="G2499">
        <v>0.1</v>
      </c>
      <c r="H2499" t="s">
        <v>855</v>
      </c>
      <c r="I2499" t="str">
        <f>VLOOKUP(C2499,Customers!A:C,2,FALSE)&amp;" "&amp;VLOOKUP(C2499,Customers!A:C,3,FALSE)</f>
        <v>Amy Haley</v>
      </c>
      <c r="J2499" t="str">
        <f>VLOOKUP(D2499,Products!A:C,2,FALSE)</f>
        <v>Add Clothing</v>
      </c>
      <c r="K2499" t="str">
        <f>VLOOKUP(D2499,Products!A:C,3,FALSE)</f>
        <v>Fashion</v>
      </c>
      <c r="L2499" t="str">
        <f>VLOOKUP(E2499,Stores!A:B,2,FALSE)</f>
        <v>MegaMart Peckmouth</v>
      </c>
      <c r="M2499">
        <f>VLOOKUP(D2499,Products!A:E,5,FALSE)</f>
        <v>1342.75</v>
      </c>
      <c r="N2499" s="5">
        <f t="shared" ref="N2499:N2562" si="39">F2499*M2499*(1-G2499)</f>
        <v>4833.9000000000005</v>
      </c>
    </row>
    <row r="2500" spans="1:14" x14ac:dyDescent="0.3">
      <c r="A2500" t="s">
        <v>3356</v>
      </c>
      <c r="B2500" s="2">
        <v>45680</v>
      </c>
      <c r="C2500" t="s">
        <v>615</v>
      </c>
      <c r="D2500" t="s">
        <v>798</v>
      </c>
      <c r="E2500" t="s">
        <v>842</v>
      </c>
      <c r="F2500">
        <v>5</v>
      </c>
      <c r="G2500">
        <v>0.15</v>
      </c>
      <c r="H2500" t="s">
        <v>865</v>
      </c>
      <c r="I2500" t="str">
        <f>VLOOKUP(C2500,Customers!A:C,2,FALSE)&amp;" "&amp;VLOOKUP(C2500,Customers!A:C,3,FALSE)</f>
        <v>Lisa Ruiz</v>
      </c>
      <c r="J2500" t="str">
        <f>VLOOKUP(D2500,Products!A:C,2,FALSE)</f>
        <v>New Watches</v>
      </c>
      <c r="K2500" t="str">
        <f>VLOOKUP(D2500,Products!A:C,3,FALSE)</f>
        <v>Fashion</v>
      </c>
      <c r="L2500" t="str">
        <f>VLOOKUP(E2500,Stores!A:B,2,FALSE)</f>
        <v>MegaMart Brianahaven</v>
      </c>
      <c r="M2500">
        <f>VLOOKUP(D2500,Products!A:E,5,FALSE)</f>
        <v>1501.46</v>
      </c>
      <c r="N2500" s="5">
        <f t="shared" si="39"/>
        <v>6381.2049999999999</v>
      </c>
    </row>
    <row r="2501" spans="1:14" x14ac:dyDescent="0.3">
      <c r="A2501" t="s">
        <v>3357</v>
      </c>
      <c r="B2501" s="2">
        <v>45241</v>
      </c>
      <c r="C2501" t="s">
        <v>335</v>
      </c>
      <c r="D2501" t="s">
        <v>790</v>
      </c>
      <c r="E2501" t="s">
        <v>842</v>
      </c>
      <c r="F2501">
        <v>5</v>
      </c>
      <c r="G2501">
        <v>0</v>
      </c>
      <c r="H2501" t="s">
        <v>861</v>
      </c>
      <c r="I2501" t="str">
        <f>VLOOKUP(C2501,Customers!A:C,2,FALSE)&amp;" "&amp;VLOOKUP(C2501,Customers!A:C,3,FALSE)</f>
        <v>William Warner</v>
      </c>
      <c r="J2501" t="str">
        <f>VLOOKUP(D2501,Products!A:C,2,FALSE)</f>
        <v>Difficult Vegetables</v>
      </c>
      <c r="K2501" t="str">
        <f>VLOOKUP(D2501,Products!A:C,3,FALSE)</f>
        <v>Groceries</v>
      </c>
      <c r="L2501" t="str">
        <f>VLOOKUP(E2501,Stores!A:B,2,FALSE)</f>
        <v>MegaMart Brianahaven</v>
      </c>
      <c r="M2501">
        <f>VLOOKUP(D2501,Products!A:E,5,FALSE)</f>
        <v>304.70999999999998</v>
      </c>
      <c r="N2501" s="5">
        <f t="shared" si="39"/>
        <v>1523.55</v>
      </c>
    </row>
    <row r="2502" spans="1:14" x14ac:dyDescent="0.3">
      <c r="A2502" t="s">
        <v>3358</v>
      </c>
      <c r="B2502" s="2">
        <v>45723</v>
      </c>
      <c r="C2502" t="s">
        <v>560</v>
      </c>
      <c r="D2502" t="s">
        <v>739</v>
      </c>
      <c r="E2502" t="s">
        <v>835</v>
      </c>
      <c r="F2502">
        <v>2</v>
      </c>
      <c r="G2502">
        <v>0.1</v>
      </c>
      <c r="H2502" t="s">
        <v>855</v>
      </c>
      <c r="I2502" t="str">
        <f>VLOOKUP(C2502,Customers!A:C,2,FALSE)&amp;" "&amp;VLOOKUP(C2502,Customers!A:C,3,FALSE)</f>
        <v>George Young</v>
      </c>
      <c r="J2502" t="str">
        <f>VLOOKUP(D2502,Products!A:C,2,FALSE)</f>
        <v>Step Smartphone</v>
      </c>
      <c r="K2502" t="str">
        <f>VLOOKUP(D2502,Products!A:C,3,FALSE)</f>
        <v>Electronics</v>
      </c>
      <c r="L2502" t="str">
        <f>VLOOKUP(E2502,Stores!A:B,2,FALSE)</f>
        <v>MegaMart Peckmouth</v>
      </c>
      <c r="M2502">
        <f>VLOOKUP(D2502,Products!A:E,5,FALSE)</f>
        <v>1194.1199999999999</v>
      </c>
      <c r="N2502" s="5">
        <f t="shared" si="39"/>
        <v>2149.4159999999997</v>
      </c>
    </row>
    <row r="2503" spans="1:14" x14ac:dyDescent="0.3">
      <c r="A2503" t="s">
        <v>3359</v>
      </c>
      <c r="B2503" s="2">
        <v>45347</v>
      </c>
      <c r="C2503" t="s">
        <v>331</v>
      </c>
      <c r="D2503" t="s">
        <v>711</v>
      </c>
      <c r="E2503" t="s">
        <v>846</v>
      </c>
      <c r="F2503">
        <v>1</v>
      </c>
      <c r="G2503">
        <v>0.15</v>
      </c>
      <c r="H2503" t="s">
        <v>865</v>
      </c>
      <c r="I2503" t="str">
        <f>VLOOKUP(C2503,Customers!A:C,2,FALSE)&amp;" "&amp;VLOOKUP(C2503,Customers!A:C,3,FALSE)</f>
        <v>Brenda Costa</v>
      </c>
      <c r="J2503" t="str">
        <f>VLOOKUP(D2503,Products!A:C,2,FALSE)</f>
        <v>Like Camera</v>
      </c>
      <c r="K2503" t="str">
        <f>VLOOKUP(D2503,Products!A:C,3,FALSE)</f>
        <v>Electronics</v>
      </c>
      <c r="L2503" t="str">
        <f>VLOOKUP(E2503,Stores!A:B,2,FALSE)</f>
        <v>MegaMart Johnmouth</v>
      </c>
      <c r="M2503">
        <f>VLOOKUP(D2503,Products!A:E,5,FALSE)</f>
        <v>1673.69</v>
      </c>
      <c r="N2503" s="5">
        <f t="shared" si="39"/>
        <v>1422.6365000000001</v>
      </c>
    </row>
    <row r="2504" spans="1:14" x14ac:dyDescent="0.3">
      <c r="A2504" t="s">
        <v>3360</v>
      </c>
      <c r="B2504" s="2">
        <v>45670</v>
      </c>
      <c r="C2504" t="s">
        <v>593</v>
      </c>
      <c r="D2504" t="s">
        <v>820</v>
      </c>
      <c r="E2504" t="s">
        <v>835</v>
      </c>
      <c r="F2504">
        <v>2</v>
      </c>
      <c r="G2504">
        <v>0.15</v>
      </c>
      <c r="H2504" t="s">
        <v>861</v>
      </c>
      <c r="I2504" t="str">
        <f>VLOOKUP(C2504,Customers!A:C,2,FALSE)&amp;" "&amp;VLOOKUP(C2504,Customers!A:C,3,FALSE)</f>
        <v>Meagan Ali</v>
      </c>
      <c r="J2504" t="str">
        <f>VLOOKUP(D2504,Products!A:C,2,FALSE)</f>
        <v>Or Smartphone</v>
      </c>
      <c r="K2504" t="str">
        <f>VLOOKUP(D2504,Products!A:C,3,FALSE)</f>
        <v>Electronics</v>
      </c>
      <c r="L2504" t="str">
        <f>VLOOKUP(E2504,Stores!A:B,2,FALSE)</f>
        <v>MegaMart Peckmouth</v>
      </c>
      <c r="M2504">
        <f>VLOOKUP(D2504,Products!A:E,5,FALSE)</f>
        <v>1197.18</v>
      </c>
      <c r="N2504" s="5">
        <f t="shared" si="39"/>
        <v>2035.2060000000001</v>
      </c>
    </row>
    <row r="2505" spans="1:14" x14ac:dyDescent="0.3">
      <c r="A2505" t="s">
        <v>3361</v>
      </c>
      <c r="B2505" s="2">
        <v>45698</v>
      </c>
      <c r="C2505" t="s">
        <v>51</v>
      </c>
      <c r="D2505" t="s">
        <v>747</v>
      </c>
      <c r="E2505" t="s">
        <v>835</v>
      </c>
      <c r="F2505">
        <v>3</v>
      </c>
      <c r="G2505">
        <v>0.15</v>
      </c>
      <c r="H2505" t="s">
        <v>865</v>
      </c>
      <c r="I2505" t="str">
        <f>VLOOKUP(C2505,Customers!A:C,2,FALSE)&amp;" "&amp;VLOOKUP(C2505,Customers!A:C,3,FALSE)</f>
        <v>Dale Perry</v>
      </c>
      <c r="J2505" t="str">
        <f>VLOOKUP(D2505,Products!A:C,2,FALSE)</f>
        <v>World Watches</v>
      </c>
      <c r="K2505" t="str">
        <f>VLOOKUP(D2505,Products!A:C,3,FALSE)</f>
        <v>Fashion</v>
      </c>
      <c r="L2505" t="str">
        <f>VLOOKUP(E2505,Stores!A:B,2,FALSE)</f>
        <v>MegaMart Peckmouth</v>
      </c>
      <c r="M2505">
        <f>VLOOKUP(D2505,Products!A:E,5,FALSE)</f>
        <v>1134.8</v>
      </c>
      <c r="N2505" s="5">
        <f t="shared" si="39"/>
        <v>2893.74</v>
      </c>
    </row>
    <row r="2506" spans="1:14" x14ac:dyDescent="0.3">
      <c r="A2506" t="s">
        <v>3362</v>
      </c>
      <c r="B2506" s="2">
        <v>45308</v>
      </c>
      <c r="C2506" t="s">
        <v>327</v>
      </c>
      <c r="D2506" t="s">
        <v>784</v>
      </c>
      <c r="E2506" t="s">
        <v>842</v>
      </c>
      <c r="F2506">
        <v>2</v>
      </c>
      <c r="G2506">
        <v>0.15</v>
      </c>
      <c r="H2506" t="s">
        <v>861</v>
      </c>
      <c r="I2506" t="str">
        <f>VLOOKUP(C2506,Customers!A:C,2,FALSE)&amp;" "&amp;VLOOKUP(C2506,Customers!A:C,3,FALSE)</f>
        <v>Laurie Mason</v>
      </c>
      <c r="J2506" t="str">
        <f>VLOOKUP(D2506,Products!A:C,2,FALSE)</f>
        <v>Road Clothing</v>
      </c>
      <c r="K2506" t="str">
        <f>VLOOKUP(D2506,Products!A:C,3,FALSE)</f>
        <v>Fashion</v>
      </c>
      <c r="L2506" t="str">
        <f>VLOOKUP(E2506,Stores!A:B,2,FALSE)</f>
        <v>MegaMart Brianahaven</v>
      </c>
      <c r="M2506">
        <f>VLOOKUP(D2506,Products!A:E,5,FALSE)</f>
        <v>1485.05</v>
      </c>
      <c r="N2506" s="5">
        <f t="shared" si="39"/>
        <v>2524.585</v>
      </c>
    </row>
    <row r="2507" spans="1:14" x14ac:dyDescent="0.3">
      <c r="A2507" t="s">
        <v>3363</v>
      </c>
      <c r="B2507" s="2">
        <v>45723</v>
      </c>
      <c r="C2507" t="s">
        <v>277</v>
      </c>
      <c r="D2507" t="s">
        <v>774</v>
      </c>
      <c r="E2507" t="s">
        <v>839</v>
      </c>
      <c r="F2507">
        <v>4</v>
      </c>
      <c r="G2507">
        <v>0.15</v>
      </c>
      <c r="H2507" t="s">
        <v>865</v>
      </c>
      <c r="I2507" t="str">
        <f>VLOOKUP(C2507,Customers!A:C,2,FALSE)&amp;" "&amp;VLOOKUP(C2507,Customers!A:C,3,FALSE)</f>
        <v>Carl Armstrong</v>
      </c>
      <c r="J2507" t="str">
        <f>VLOOKUP(D2507,Products!A:C,2,FALSE)</f>
        <v>Him Smartphone</v>
      </c>
      <c r="K2507" t="str">
        <f>VLOOKUP(D2507,Products!A:C,3,FALSE)</f>
        <v>Electronics</v>
      </c>
      <c r="L2507" t="str">
        <f>VLOOKUP(E2507,Stores!A:B,2,FALSE)</f>
        <v>MegaMart New Michele</v>
      </c>
      <c r="M2507">
        <f>VLOOKUP(D2507,Products!A:E,5,FALSE)</f>
        <v>1487.41</v>
      </c>
      <c r="N2507" s="5">
        <f t="shared" si="39"/>
        <v>5057.1940000000004</v>
      </c>
    </row>
    <row r="2508" spans="1:14" x14ac:dyDescent="0.3">
      <c r="A2508" t="s">
        <v>3364</v>
      </c>
      <c r="B2508" s="2">
        <v>45733</v>
      </c>
      <c r="C2508" t="s">
        <v>254</v>
      </c>
      <c r="D2508" t="s">
        <v>761</v>
      </c>
      <c r="E2508" t="s">
        <v>842</v>
      </c>
      <c r="F2508">
        <v>2</v>
      </c>
      <c r="G2508">
        <v>0.05</v>
      </c>
      <c r="H2508" t="s">
        <v>858</v>
      </c>
      <c r="I2508" t="str">
        <f>VLOOKUP(C2508,Customers!A:C,2,FALSE)&amp;" "&amp;VLOOKUP(C2508,Customers!A:C,3,FALSE)</f>
        <v>Daniel Maldonado</v>
      </c>
      <c r="J2508" t="str">
        <f>VLOOKUP(D2508,Products!A:C,2,FALSE)</f>
        <v>Traditional Laptop</v>
      </c>
      <c r="K2508" t="str">
        <f>VLOOKUP(D2508,Products!A:C,3,FALSE)</f>
        <v>Electronics</v>
      </c>
      <c r="L2508" t="str">
        <f>VLOOKUP(E2508,Stores!A:B,2,FALSE)</f>
        <v>MegaMart Brianahaven</v>
      </c>
      <c r="M2508">
        <f>VLOOKUP(D2508,Products!A:E,5,FALSE)</f>
        <v>1762.92</v>
      </c>
      <c r="N2508" s="5">
        <f t="shared" si="39"/>
        <v>3349.5479999999998</v>
      </c>
    </row>
    <row r="2509" spans="1:14" x14ac:dyDescent="0.3">
      <c r="A2509" t="s">
        <v>3365</v>
      </c>
      <c r="B2509" s="2">
        <v>45368</v>
      </c>
      <c r="C2509" t="s">
        <v>621</v>
      </c>
      <c r="D2509" t="s">
        <v>728</v>
      </c>
      <c r="E2509" t="s">
        <v>846</v>
      </c>
      <c r="F2509">
        <v>1</v>
      </c>
      <c r="G2509">
        <v>0.15</v>
      </c>
      <c r="H2509" t="s">
        <v>865</v>
      </c>
      <c r="I2509" t="str">
        <f>VLOOKUP(C2509,Customers!A:C,2,FALSE)&amp;" "&amp;VLOOKUP(C2509,Customers!A:C,3,FALSE)</f>
        <v>Stacey Thompson</v>
      </c>
      <c r="J2509" t="str">
        <f>VLOOKUP(D2509,Products!A:C,2,FALSE)</f>
        <v>Company Fruits</v>
      </c>
      <c r="K2509" t="str">
        <f>VLOOKUP(D2509,Products!A:C,3,FALSE)</f>
        <v>Groceries</v>
      </c>
      <c r="L2509" t="str">
        <f>VLOOKUP(E2509,Stores!A:B,2,FALSE)</f>
        <v>MegaMart Johnmouth</v>
      </c>
      <c r="M2509">
        <f>VLOOKUP(D2509,Products!A:E,5,FALSE)</f>
        <v>318.05</v>
      </c>
      <c r="N2509" s="5">
        <f t="shared" si="39"/>
        <v>270.34250000000003</v>
      </c>
    </row>
    <row r="2510" spans="1:14" x14ac:dyDescent="0.3">
      <c r="A2510" t="s">
        <v>3366</v>
      </c>
      <c r="B2510" s="2">
        <v>45804</v>
      </c>
      <c r="C2510" t="s">
        <v>335</v>
      </c>
      <c r="D2510" t="s">
        <v>761</v>
      </c>
      <c r="E2510" t="s">
        <v>831</v>
      </c>
      <c r="F2510">
        <v>4</v>
      </c>
      <c r="G2510">
        <v>0</v>
      </c>
      <c r="H2510" t="s">
        <v>861</v>
      </c>
      <c r="I2510" t="str">
        <f>VLOOKUP(C2510,Customers!A:C,2,FALSE)&amp;" "&amp;VLOOKUP(C2510,Customers!A:C,3,FALSE)</f>
        <v>William Warner</v>
      </c>
      <c r="J2510" t="str">
        <f>VLOOKUP(D2510,Products!A:C,2,FALSE)</f>
        <v>Traditional Laptop</v>
      </c>
      <c r="K2510" t="str">
        <f>VLOOKUP(D2510,Products!A:C,3,FALSE)</f>
        <v>Electronics</v>
      </c>
      <c r="L2510" t="str">
        <f>VLOOKUP(E2510,Stores!A:B,2,FALSE)</f>
        <v>MegaMart Jimenezborough</v>
      </c>
      <c r="M2510">
        <f>VLOOKUP(D2510,Products!A:E,5,FALSE)</f>
        <v>1762.92</v>
      </c>
      <c r="N2510" s="5">
        <f t="shared" si="39"/>
        <v>7051.68</v>
      </c>
    </row>
    <row r="2511" spans="1:14" x14ac:dyDescent="0.3">
      <c r="A2511" t="s">
        <v>3367</v>
      </c>
      <c r="B2511" s="2">
        <v>45450</v>
      </c>
      <c r="C2511" t="s">
        <v>310</v>
      </c>
      <c r="D2511" t="s">
        <v>802</v>
      </c>
      <c r="E2511" t="s">
        <v>835</v>
      </c>
      <c r="F2511">
        <v>5</v>
      </c>
      <c r="G2511">
        <v>0.15</v>
      </c>
      <c r="H2511" t="s">
        <v>858</v>
      </c>
      <c r="I2511" t="str">
        <f>VLOOKUP(C2511,Customers!A:C,2,FALSE)&amp;" "&amp;VLOOKUP(C2511,Customers!A:C,3,FALSE)</f>
        <v>Amy Haley</v>
      </c>
      <c r="J2511" t="str">
        <f>VLOOKUP(D2511,Products!A:C,2,FALSE)</f>
        <v>Stage Footwear</v>
      </c>
      <c r="K2511" t="str">
        <f>VLOOKUP(D2511,Products!A:C,3,FALSE)</f>
        <v>Fashion</v>
      </c>
      <c r="L2511" t="str">
        <f>VLOOKUP(E2511,Stores!A:B,2,FALSE)</f>
        <v>MegaMart Peckmouth</v>
      </c>
      <c r="M2511">
        <f>VLOOKUP(D2511,Products!A:E,5,FALSE)</f>
        <v>366.93</v>
      </c>
      <c r="N2511" s="5">
        <f t="shared" si="39"/>
        <v>1559.4525000000001</v>
      </c>
    </row>
    <row r="2512" spans="1:14" x14ac:dyDescent="0.3">
      <c r="A2512" t="s">
        <v>3368</v>
      </c>
      <c r="B2512" s="2">
        <v>45183</v>
      </c>
      <c r="C2512" t="s">
        <v>15</v>
      </c>
      <c r="D2512" t="s">
        <v>794</v>
      </c>
      <c r="E2512" t="s">
        <v>842</v>
      </c>
      <c r="F2512">
        <v>4</v>
      </c>
      <c r="G2512">
        <v>0.15</v>
      </c>
      <c r="H2512" t="s">
        <v>865</v>
      </c>
      <c r="I2512" t="str">
        <f>VLOOKUP(C2512,Customers!A:C,2,FALSE)&amp;" "&amp;VLOOKUP(C2512,Customers!A:C,3,FALSE)</f>
        <v>Carol Hays</v>
      </c>
      <c r="J2512" t="str">
        <f>VLOOKUP(D2512,Products!A:C,2,FALSE)</f>
        <v>Everything Laptop</v>
      </c>
      <c r="K2512" t="str">
        <f>VLOOKUP(D2512,Products!A:C,3,FALSE)</f>
        <v>Electronics</v>
      </c>
      <c r="L2512" t="str">
        <f>VLOOKUP(E2512,Stores!A:B,2,FALSE)</f>
        <v>MegaMart Brianahaven</v>
      </c>
      <c r="M2512">
        <f>VLOOKUP(D2512,Products!A:E,5,FALSE)</f>
        <v>428.05</v>
      </c>
      <c r="N2512" s="5">
        <f t="shared" si="39"/>
        <v>1455.37</v>
      </c>
    </row>
    <row r="2513" spans="1:14" x14ac:dyDescent="0.3">
      <c r="A2513" t="s">
        <v>3369</v>
      </c>
      <c r="B2513" s="2">
        <v>45213</v>
      </c>
      <c r="C2513" t="s">
        <v>294</v>
      </c>
      <c r="D2513" t="s">
        <v>806</v>
      </c>
      <c r="E2513" t="s">
        <v>842</v>
      </c>
      <c r="F2513">
        <v>3</v>
      </c>
      <c r="G2513">
        <v>0</v>
      </c>
      <c r="H2513" t="s">
        <v>858</v>
      </c>
      <c r="I2513" t="str">
        <f>VLOOKUP(C2513,Customers!A:C,2,FALSE)&amp;" "&amp;VLOOKUP(C2513,Customers!A:C,3,FALSE)</f>
        <v>Jeanne Young</v>
      </c>
      <c r="J2513" t="str">
        <f>VLOOKUP(D2513,Products!A:C,2,FALSE)</f>
        <v>Piece Headphones</v>
      </c>
      <c r="K2513" t="str">
        <f>VLOOKUP(D2513,Products!A:C,3,FALSE)</f>
        <v>Electronics</v>
      </c>
      <c r="L2513" t="str">
        <f>VLOOKUP(E2513,Stores!A:B,2,FALSE)</f>
        <v>MegaMart Brianahaven</v>
      </c>
      <c r="M2513">
        <f>VLOOKUP(D2513,Products!A:E,5,FALSE)</f>
        <v>1745.61</v>
      </c>
      <c r="N2513" s="5">
        <f t="shared" si="39"/>
        <v>5236.83</v>
      </c>
    </row>
    <row r="2514" spans="1:14" x14ac:dyDescent="0.3">
      <c r="A2514" t="s">
        <v>3370</v>
      </c>
      <c r="B2514" s="2">
        <v>45568</v>
      </c>
      <c r="C2514" t="s">
        <v>472</v>
      </c>
      <c r="D2514" t="s">
        <v>776</v>
      </c>
      <c r="E2514" t="s">
        <v>839</v>
      </c>
      <c r="F2514">
        <v>4</v>
      </c>
      <c r="G2514">
        <v>0.1</v>
      </c>
      <c r="H2514" t="s">
        <v>855</v>
      </c>
      <c r="I2514" t="str">
        <f>VLOOKUP(C2514,Customers!A:C,2,FALSE)&amp;" "&amp;VLOOKUP(C2514,Customers!A:C,3,FALSE)</f>
        <v>Gary Taylor</v>
      </c>
      <c r="J2514" t="str">
        <f>VLOOKUP(D2514,Products!A:C,2,FALSE)</f>
        <v>Little Watches</v>
      </c>
      <c r="K2514" t="str">
        <f>VLOOKUP(D2514,Products!A:C,3,FALSE)</f>
        <v>Fashion</v>
      </c>
      <c r="L2514" t="str">
        <f>VLOOKUP(E2514,Stores!A:B,2,FALSE)</f>
        <v>MegaMart New Michele</v>
      </c>
      <c r="M2514">
        <f>VLOOKUP(D2514,Products!A:E,5,FALSE)</f>
        <v>429.15</v>
      </c>
      <c r="N2514" s="5">
        <f t="shared" si="39"/>
        <v>1544.94</v>
      </c>
    </row>
    <row r="2515" spans="1:14" x14ac:dyDescent="0.3">
      <c r="A2515" t="s">
        <v>3371</v>
      </c>
      <c r="B2515" s="2">
        <v>45542</v>
      </c>
      <c r="C2515" t="s">
        <v>115</v>
      </c>
      <c r="D2515" t="s">
        <v>802</v>
      </c>
      <c r="E2515" t="s">
        <v>835</v>
      </c>
      <c r="F2515">
        <v>4</v>
      </c>
      <c r="G2515">
        <v>0.15</v>
      </c>
      <c r="H2515" t="s">
        <v>865</v>
      </c>
      <c r="I2515" t="str">
        <f>VLOOKUP(C2515,Customers!A:C,2,FALSE)&amp;" "&amp;VLOOKUP(C2515,Customers!A:C,3,FALSE)</f>
        <v>Tyler Levine</v>
      </c>
      <c r="J2515" t="str">
        <f>VLOOKUP(D2515,Products!A:C,2,FALSE)</f>
        <v>Stage Footwear</v>
      </c>
      <c r="K2515" t="str">
        <f>VLOOKUP(D2515,Products!A:C,3,FALSE)</f>
        <v>Fashion</v>
      </c>
      <c r="L2515" t="str">
        <f>VLOOKUP(E2515,Stores!A:B,2,FALSE)</f>
        <v>MegaMart Peckmouth</v>
      </c>
      <c r="M2515">
        <f>VLOOKUP(D2515,Products!A:E,5,FALSE)</f>
        <v>366.93</v>
      </c>
      <c r="N2515" s="5">
        <f t="shared" si="39"/>
        <v>1247.5619999999999</v>
      </c>
    </row>
    <row r="2516" spans="1:14" x14ac:dyDescent="0.3">
      <c r="A2516" t="s">
        <v>3372</v>
      </c>
      <c r="B2516" s="2">
        <v>45507</v>
      </c>
      <c r="C2516" t="s">
        <v>151</v>
      </c>
      <c r="D2516" t="s">
        <v>796</v>
      </c>
      <c r="E2516" t="s">
        <v>831</v>
      </c>
      <c r="F2516">
        <v>3</v>
      </c>
      <c r="G2516">
        <v>0.1</v>
      </c>
      <c r="H2516" t="s">
        <v>861</v>
      </c>
      <c r="I2516" t="str">
        <f>VLOOKUP(C2516,Customers!A:C,2,FALSE)&amp;" "&amp;VLOOKUP(C2516,Customers!A:C,3,FALSE)</f>
        <v>Nancy Savage</v>
      </c>
      <c r="J2516" t="str">
        <f>VLOOKUP(D2516,Products!A:C,2,FALSE)</f>
        <v>Chair Laptop</v>
      </c>
      <c r="K2516" t="str">
        <f>VLOOKUP(D2516,Products!A:C,3,FALSE)</f>
        <v>Electronics</v>
      </c>
      <c r="L2516" t="str">
        <f>VLOOKUP(E2516,Stores!A:B,2,FALSE)</f>
        <v>MegaMart Jimenezborough</v>
      </c>
      <c r="M2516">
        <f>VLOOKUP(D2516,Products!A:E,5,FALSE)</f>
        <v>1562.43</v>
      </c>
      <c r="N2516" s="5">
        <f t="shared" si="39"/>
        <v>4218.5609999999997</v>
      </c>
    </row>
    <row r="2517" spans="1:14" x14ac:dyDescent="0.3">
      <c r="A2517" t="s">
        <v>3373</v>
      </c>
      <c r="B2517" s="2">
        <v>45231</v>
      </c>
      <c r="C2517" t="s">
        <v>483</v>
      </c>
      <c r="D2517" t="s">
        <v>814</v>
      </c>
      <c r="E2517" t="s">
        <v>846</v>
      </c>
      <c r="F2517">
        <v>4</v>
      </c>
      <c r="G2517">
        <v>0.15</v>
      </c>
      <c r="H2517" t="s">
        <v>865</v>
      </c>
      <c r="I2517" t="str">
        <f>VLOOKUP(C2517,Customers!A:C,2,FALSE)&amp;" "&amp;VLOOKUP(C2517,Customers!A:C,3,FALSE)</f>
        <v>Jared Ochoa</v>
      </c>
      <c r="J2517" t="str">
        <f>VLOOKUP(D2517,Products!A:C,2,FALSE)</f>
        <v>Least Accessories</v>
      </c>
      <c r="K2517" t="str">
        <f>VLOOKUP(D2517,Products!A:C,3,FALSE)</f>
        <v>Fashion</v>
      </c>
      <c r="L2517" t="str">
        <f>VLOOKUP(E2517,Stores!A:B,2,FALSE)</f>
        <v>MegaMart Johnmouth</v>
      </c>
      <c r="M2517">
        <f>VLOOKUP(D2517,Products!A:E,5,FALSE)</f>
        <v>1286.55</v>
      </c>
      <c r="N2517" s="5">
        <f t="shared" si="39"/>
        <v>4374.2699999999995</v>
      </c>
    </row>
    <row r="2518" spans="1:14" x14ac:dyDescent="0.3">
      <c r="A2518" t="s">
        <v>3374</v>
      </c>
      <c r="B2518" s="2">
        <v>45675</v>
      </c>
      <c r="C2518" t="s">
        <v>442</v>
      </c>
      <c r="D2518" t="s">
        <v>772</v>
      </c>
      <c r="E2518" t="s">
        <v>839</v>
      </c>
      <c r="F2518">
        <v>1</v>
      </c>
      <c r="G2518">
        <v>0</v>
      </c>
      <c r="H2518" t="s">
        <v>858</v>
      </c>
      <c r="I2518" t="str">
        <f>VLOOKUP(C2518,Customers!A:C,2,FALSE)&amp;" "&amp;VLOOKUP(C2518,Customers!A:C,3,FALSE)</f>
        <v>Jason Lloyd</v>
      </c>
      <c r="J2518" t="str">
        <f>VLOOKUP(D2518,Products!A:C,2,FALSE)</f>
        <v>And Footwear</v>
      </c>
      <c r="K2518" t="str">
        <f>VLOOKUP(D2518,Products!A:C,3,FALSE)</f>
        <v>Fashion</v>
      </c>
      <c r="L2518" t="str">
        <f>VLOOKUP(E2518,Stores!A:B,2,FALSE)</f>
        <v>MegaMart New Michele</v>
      </c>
      <c r="M2518">
        <f>VLOOKUP(D2518,Products!A:E,5,FALSE)</f>
        <v>1878.47</v>
      </c>
      <c r="N2518" s="5">
        <f t="shared" si="39"/>
        <v>1878.47</v>
      </c>
    </row>
    <row r="2519" spans="1:14" x14ac:dyDescent="0.3">
      <c r="A2519" t="s">
        <v>3375</v>
      </c>
      <c r="B2519" s="2">
        <v>45843</v>
      </c>
      <c r="C2519" t="s">
        <v>438</v>
      </c>
      <c r="D2519" t="s">
        <v>824</v>
      </c>
      <c r="E2519" t="s">
        <v>839</v>
      </c>
      <c r="F2519">
        <v>1</v>
      </c>
      <c r="G2519">
        <v>0.1</v>
      </c>
      <c r="H2519" t="s">
        <v>855</v>
      </c>
      <c r="I2519" t="str">
        <f>VLOOKUP(C2519,Customers!A:C,2,FALSE)&amp;" "&amp;VLOOKUP(C2519,Customers!A:C,3,FALSE)</f>
        <v>Gina Bradford</v>
      </c>
      <c r="J2519" t="str">
        <f>VLOOKUP(D2519,Products!A:C,2,FALSE)</f>
        <v>Possible Watches</v>
      </c>
      <c r="K2519" t="str">
        <f>VLOOKUP(D2519,Products!A:C,3,FALSE)</f>
        <v>Fashion</v>
      </c>
      <c r="L2519" t="str">
        <f>VLOOKUP(E2519,Stores!A:B,2,FALSE)</f>
        <v>MegaMart New Michele</v>
      </c>
      <c r="M2519">
        <f>VLOOKUP(D2519,Products!A:E,5,FALSE)</f>
        <v>388.26</v>
      </c>
      <c r="N2519" s="5">
        <f t="shared" si="39"/>
        <v>349.43400000000003</v>
      </c>
    </row>
    <row r="2520" spans="1:14" x14ac:dyDescent="0.3">
      <c r="A2520" t="s">
        <v>3376</v>
      </c>
      <c r="B2520" s="2">
        <v>45655</v>
      </c>
      <c r="C2520" t="s">
        <v>407</v>
      </c>
      <c r="D2520" t="s">
        <v>772</v>
      </c>
      <c r="E2520" t="s">
        <v>839</v>
      </c>
      <c r="F2520">
        <v>3</v>
      </c>
      <c r="G2520">
        <v>0</v>
      </c>
      <c r="H2520" t="s">
        <v>855</v>
      </c>
      <c r="I2520" t="str">
        <f>VLOOKUP(C2520,Customers!A:C,2,FALSE)&amp;" "&amp;VLOOKUP(C2520,Customers!A:C,3,FALSE)</f>
        <v>Austin Hogan</v>
      </c>
      <c r="J2520" t="str">
        <f>VLOOKUP(D2520,Products!A:C,2,FALSE)</f>
        <v>And Footwear</v>
      </c>
      <c r="K2520" t="str">
        <f>VLOOKUP(D2520,Products!A:C,3,FALSE)</f>
        <v>Fashion</v>
      </c>
      <c r="L2520" t="str">
        <f>VLOOKUP(E2520,Stores!A:B,2,FALSE)</f>
        <v>MegaMart New Michele</v>
      </c>
      <c r="M2520">
        <f>VLOOKUP(D2520,Products!A:E,5,FALSE)</f>
        <v>1878.47</v>
      </c>
      <c r="N2520" s="5">
        <f t="shared" si="39"/>
        <v>5635.41</v>
      </c>
    </row>
    <row r="2521" spans="1:14" x14ac:dyDescent="0.3">
      <c r="A2521" t="s">
        <v>3377</v>
      </c>
      <c r="B2521" s="2">
        <v>45813</v>
      </c>
      <c r="C2521" t="s">
        <v>179</v>
      </c>
      <c r="D2521" t="s">
        <v>728</v>
      </c>
      <c r="E2521" t="s">
        <v>839</v>
      </c>
      <c r="F2521">
        <v>3</v>
      </c>
      <c r="G2521">
        <v>0.15</v>
      </c>
      <c r="H2521" t="s">
        <v>865</v>
      </c>
      <c r="I2521" t="str">
        <f>VLOOKUP(C2521,Customers!A:C,2,FALSE)&amp;" "&amp;VLOOKUP(C2521,Customers!A:C,3,FALSE)</f>
        <v>Dennis Poole</v>
      </c>
      <c r="J2521" t="str">
        <f>VLOOKUP(D2521,Products!A:C,2,FALSE)</f>
        <v>Company Fruits</v>
      </c>
      <c r="K2521" t="str">
        <f>VLOOKUP(D2521,Products!A:C,3,FALSE)</f>
        <v>Groceries</v>
      </c>
      <c r="L2521" t="str">
        <f>VLOOKUP(E2521,Stores!A:B,2,FALSE)</f>
        <v>MegaMart New Michele</v>
      </c>
      <c r="M2521">
        <f>VLOOKUP(D2521,Products!A:E,5,FALSE)</f>
        <v>318.05</v>
      </c>
      <c r="N2521" s="5">
        <f t="shared" si="39"/>
        <v>811.02750000000003</v>
      </c>
    </row>
    <row r="2522" spans="1:14" x14ac:dyDescent="0.3">
      <c r="A2522" t="s">
        <v>3378</v>
      </c>
      <c r="B2522" s="2">
        <v>45550</v>
      </c>
      <c r="C2522" t="s">
        <v>429</v>
      </c>
      <c r="D2522" t="s">
        <v>778</v>
      </c>
      <c r="E2522" t="s">
        <v>839</v>
      </c>
      <c r="F2522">
        <v>3</v>
      </c>
      <c r="G2522">
        <v>0</v>
      </c>
      <c r="H2522" t="s">
        <v>865</v>
      </c>
      <c r="I2522" t="str">
        <f>VLOOKUP(C2522,Customers!A:C,2,FALSE)&amp;" "&amp;VLOOKUP(C2522,Customers!A:C,3,FALSE)</f>
        <v>Jose Smith</v>
      </c>
      <c r="J2522" t="str">
        <f>VLOOKUP(D2522,Products!A:C,2,FALSE)</f>
        <v>Behavior Dairy</v>
      </c>
      <c r="K2522" t="str">
        <f>VLOOKUP(D2522,Products!A:C,3,FALSE)</f>
        <v>Groceries</v>
      </c>
      <c r="L2522" t="str">
        <f>VLOOKUP(E2522,Stores!A:B,2,FALSE)</f>
        <v>MegaMart New Michele</v>
      </c>
      <c r="M2522">
        <f>VLOOKUP(D2522,Products!A:E,5,FALSE)</f>
        <v>1015.76</v>
      </c>
      <c r="N2522" s="5">
        <f t="shared" si="39"/>
        <v>3047.2799999999997</v>
      </c>
    </row>
    <row r="2523" spans="1:14" x14ac:dyDescent="0.3">
      <c r="A2523" t="s">
        <v>3379</v>
      </c>
      <c r="B2523" s="2">
        <v>45220</v>
      </c>
      <c r="C2523" t="s">
        <v>347</v>
      </c>
      <c r="D2523" t="s">
        <v>774</v>
      </c>
      <c r="E2523" t="s">
        <v>831</v>
      </c>
      <c r="F2523">
        <v>5</v>
      </c>
      <c r="G2523">
        <v>0.15</v>
      </c>
      <c r="H2523" t="s">
        <v>861</v>
      </c>
      <c r="I2523" t="str">
        <f>VLOOKUP(C2523,Customers!A:C,2,FALSE)&amp;" "&amp;VLOOKUP(C2523,Customers!A:C,3,FALSE)</f>
        <v>Lindsey Holder</v>
      </c>
      <c r="J2523" t="str">
        <f>VLOOKUP(D2523,Products!A:C,2,FALSE)</f>
        <v>Him Smartphone</v>
      </c>
      <c r="K2523" t="str">
        <f>VLOOKUP(D2523,Products!A:C,3,FALSE)</f>
        <v>Electronics</v>
      </c>
      <c r="L2523" t="str">
        <f>VLOOKUP(E2523,Stores!A:B,2,FALSE)</f>
        <v>MegaMart Jimenezborough</v>
      </c>
      <c r="M2523">
        <f>VLOOKUP(D2523,Products!A:E,5,FALSE)</f>
        <v>1487.41</v>
      </c>
      <c r="N2523" s="5">
        <f t="shared" si="39"/>
        <v>6321.4925000000003</v>
      </c>
    </row>
    <row r="2524" spans="1:14" x14ac:dyDescent="0.3">
      <c r="A2524" t="s">
        <v>3380</v>
      </c>
      <c r="B2524" s="2">
        <v>45787</v>
      </c>
      <c r="C2524" t="s">
        <v>175</v>
      </c>
      <c r="D2524" t="s">
        <v>790</v>
      </c>
      <c r="E2524" t="s">
        <v>831</v>
      </c>
      <c r="F2524">
        <v>5</v>
      </c>
      <c r="G2524">
        <v>0</v>
      </c>
      <c r="H2524" t="s">
        <v>861</v>
      </c>
      <c r="I2524" t="str">
        <f>VLOOKUP(C2524,Customers!A:C,2,FALSE)&amp;" "&amp;VLOOKUP(C2524,Customers!A:C,3,FALSE)</f>
        <v>Kelly Shaw</v>
      </c>
      <c r="J2524" t="str">
        <f>VLOOKUP(D2524,Products!A:C,2,FALSE)</f>
        <v>Difficult Vegetables</v>
      </c>
      <c r="K2524" t="str">
        <f>VLOOKUP(D2524,Products!A:C,3,FALSE)</f>
        <v>Groceries</v>
      </c>
      <c r="L2524" t="str">
        <f>VLOOKUP(E2524,Stores!A:B,2,FALSE)</f>
        <v>MegaMart Jimenezborough</v>
      </c>
      <c r="M2524">
        <f>VLOOKUP(D2524,Products!A:E,5,FALSE)</f>
        <v>304.70999999999998</v>
      </c>
      <c r="N2524" s="5">
        <f t="shared" si="39"/>
        <v>1523.55</v>
      </c>
    </row>
    <row r="2525" spans="1:14" x14ac:dyDescent="0.3">
      <c r="A2525" t="s">
        <v>3381</v>
      </c>
      <c r="B2525" s="2">
        <v>45736</v>
      </c>
      <c r="C2525" t="s">
        <v>661</v>
      </c>
      <c r="D2525" t="s">
        <v>739</v>
      </c>
      <c r="E2525" t="s">
        <v>835</v>
      </c>
      <c r="F2525">
        <v>4</v>
      </c>
      <c r="G2525">
        <v>0.15</v>
      </c>
      <c r="H2525" t="s">
        <v>855</v>
      </c>
      <c r="I2525" t="str">
        <f>VLOOKUP(C2525,Customers!A:C,2,FALSE)&amp;" "&amp;VLOOKUP(C2525,Customers!A:C,3,FALSE)</f>
        <v>Cynthia Cherry</v>
      </c>
      <c r="J2525" t="str">
        <f>VLOOKUP(D2525,Products!A:C,2,FALSE)</f>
        <v>Step Smartphone</v>
      </c>
      <c r="K2525" t="str">
        <f>VLOOKUP(D2525,Products!A:C,3,FALSE)</f>
        <v>Electronics</v>
      </c>
      <c r="L2525" t="str">
        <f>VLOOKUP(E2525,Stores!A:B,2,FALSE)</f>
        <v>MegaMart Peckmouth</v>
      </c>
      <c r="M2525">
        <f>VLOOKUP(D2525,Products!A:E,5,FALSE)</f>
        <v>1194.1199999999999</v>
      </c>
      <c r="N2525" s="5">
        <f t="shared" si="39"/>
        <v>4060.0079999999994</v>
      </c>
    </row>
    <row r="2526" spans="1:14" x14ac:dyDescent="0.3">
      <c r="A2526" t="s">
        <v>3382</v>
      </c>
      <c r="B2526" s="2">
        <v>45895</v>
      </c>
      <c r="C2526" t="s">
        <v>335</v>
      </c>
      <c r="D2526" t="s">
        <v>718</v>
      </c>
      <c r="E2526" t="s">
        <v>842</v>
      </c>
      <c r="F2526">
        <v>5</v>
      </c>
      <c r="G2526">
        <v>0.05</v>
      </c>
      <c r="H2526" t="s">
        <v>858</v>
      </c>
      <c r="I2526" t="str">
        <f>VLOOKUP(C2526,Customers!A:C,2,FALSE)&amp;" "&amp;VLOOKUP(C2526,Customers!A:C,3,FALSE)</f>
        <v>William Warner</v>
      </c>
      <c r="J2526" t="str">
        <f>VLOOKUP(D2526,Products!A:C,2,FALSE)</f>
        <v>Here Footwear</v>
      </c>
      <c r="K2526" t="str">
        <f>VLOOKUP(D2526,Products!A:C,3,FALSE)</f>
        <v>Fashion</v>
      </c>
      <c r="L2526" t="str">
        <f>VLOOKUP(E2526,Stores!A:B,2,FALSE)</f>
        <v>MegaMart Brianahaven</v>
      </c>
      <c r="M2526">
        <f>VLOOKUP(D2526,Products!A:E,5,FALSE)</f>
        <v>337.63</v>
      </c>
      <c r="N2526" s="5">
        <f t="shared" si="39"/>
        <v>1603.7425000000001</v>
      </c>
    </row>
    <row r="2527" spans="1:14" x14ac:dyDescent="0.3">
      <c r="A2527" t="s">
        <v>3383</v>
      </c>
      <c r="B2527" s="2">
        <v>45388</v>
      </c>
      <c r="C2527" t="s">
        <v>48</v>
      </c>
      <c r="D2527" t="s">
        <v>761</v>
      </c>
      <c r="E2527" t="s">
        <v>831</v>
      </c>
      <c r="F2527">
        <v>3</v>
      </c>
      <c r="G2527">
        <v>0.1</v>
      </c>
      <c r="H2527" t="s">
        <v>865</v>
      </c>
      <c r="I2527" t="str">
        <f>VLOOKUP(C2527,Customers!A:C,2,FALSE)&amp;" "&amp;VLOOKUP(C2527,Customers!A:C,3,FALSE)</f>
        <v>Haley Williams</v>
      </c>
      <c r="J2527" t="str">
        <f>VLOOKUP(D2527,Products!A:C,2,FALSE)</f>
        <v>Traditional Laptop</v>
      </c>
      <c r="K2527" t="str">
        <f>VLOOKUP(D2527,Products!A:C,3,FALSE)</f>
        <v>Electronics</v>
      </c>
      <c r="L2527" t="str">
        <f>VLOOKUP(E2527,Stores!A:B,2,FALSE)</f>
        <v>MegaMart Jimenezborough</v>
      </c>
      <c r="M2527">
        <f>VLOOKUP(D2527,Products!A:E,5,FALSE)</f>
        <v>1762.92</v>
      </c>
      <c r="N2527" s="5">
        <f t="shared" si="39"/>
        <v>4759.884</v>
      </c>
    </row>
    <row r="2528" spans="1:14" x14ac:dyDescent="0.3">
      <c r="A2528" t="s">
        <v>3384</v>
      </c>
      <c r="B2528" s="2">
        <v>45794</v>
      </c>
      <c r="C2528" t="s">
        <v>148</v>
      </c>
      <c r="D2528" t="s">
        <v>818</v>
      </c>
      <c r="E2528" t="s">
        <v>846</v>
      </c>
      <c r="F2528">
        <v>1</v>
      </c>
      <c r="G2528">
        <v>0.15</v>
      </c>
      <c r="H2528" t="s">
        <v>865</v>
      </c>
      <c r="I2528" t="str">
        <f>VLOOKUP(C2528,Customers!A:C,2,FALSE)&amp;" "&amp;VLOOKUP(C2528,Customers!A:C,3,FALSE)</f>
        <v>Tracey Davis</v>
      </c>
      <c r="J2528" t="str">
        <f>VLOOKUP(D2528,Products!A:C,2,FALSE)</f>
        <v>Nature Clothing</v>
      </c>
      <c r="K2528" t="str">
        <f>VLOOKUP(D2528,Products!A:C,3,FALSE)</f>
        <v>Fashion</v>
      </c>
      <c r="L2528" t="str">
        <f>VLOOKUP(E2528,Stores!A:B,2,FALSE)</f>
        <v>MegaMart Johnmouth</v>
      </c>
      <c r="M2528">
        <f>VLOOKUP(D2528,Products!A:E,5,FALSE)</f>
        <v>1165.3699999999999</v>
      </c>
      <c r="N2528" s="5">
        <f t="shared" si="39"/>
        <v>990.56449999999984</v>
      </c>
    </row>
    <row r="2529" spans="1:14" x14ac:dyDescent="0.3">
      <c r="A2529" t="s">
        <v>3385</v>
      </c>
      <c r="B2529" s="2">
        <v>45764</v>
      </c>
      <c r="C2529" t="s">
        <v>327</v>
      </c>
      <c r="D2529" t="s">
        <v>722</v>
      </c>
      <c r="E2529" t="s">
        <v>839</v>
      </c>
      <c r="F2529">
        <v>4</v>
      </c>
      <c r="G2529">
        <v>0.15</v>
      </c>
      <c r="H2529" t="s">
        <v>865</v>
      </c>
      <c r="I2529" t="str">
        <f>VLOOKUP(C2529,Customers!A:C,2,FALSE)&amp;" "&amp;VLOOKUP(C2529,Customers!A:C,3,FALSE)</f>
        <v>Laurie Mason</v>
      </c>
      <c r="J2529" t="str">
        <f>VLOOKUP(D2529,Products!A:C,2,FALSE)</f>
        <v>Four Accessories</v>
      </c>
      <c r="K2529" t="str">
        <f>VLOOKUP(D2529,Products!A:C,3,FALSE)</f>
        <v>Fashion</v>
      </c>
      <c r="L2529" t="str">
        <f>VLOOKUP(E2529,Stores!A:B,2,FALSE)</f>
        <v>MegaMart New Michele</v>
      </c>
      <c r="M2529">
        <f>VLOOKUP(D2529,Products!A:E,5,FALSE)</f>
        <v>1853.77</v>
      </c>
      <c r="N2529" s="5">
        <f t="shared" si="39"/>
        <v>6302.8180000000002</v>
      </c>
    </row>
    <row r="2530" spans="1:14" x14ac:dyDescent="0.3">
      <c r="A2530" t="s">
        <v>3386</v>
      </c>
      <c r="B2530" s="2">
        <v>45303</v>
      </c>
      <c r="C2530" t="s">
        <v>187</v>
      </c>
      <c r="D2530" t="s">
        <v>794</v>
      </c>
      <c r="E2530" t="s">
        <v>839</v>
      </c>
      <c r="F2530">
        <v>1</v>
      </c>
      <c r="G2530">
        <v>0.15</v>
      </c>
      <c r="H2530" t="s">
        <v>865</v>
      </c>
      <c r="I2530" t="str">
        <f>VLOOKUP(C2530,Customers!A:C,2,FALSE)&amp;" "&amp;VLOOKUP(C2530,Customers!A:C,3,FALSE)</f>
        <v>Alexis Crane</v>
      </c>
      <c r="J2530" t="str">
        <f>VLOOKUP(D2530,Products!A:C,2,FALSE)</f>
        <v>Everything Laptop</v>
      </c>
      <c r="K2530" t="str">
        <f>VLOOKUP(D2530,Products!A:C,3,FALSE)</f>
        <v>Electronics</v>
      </c>
      <c r="L2530" t="str">
        <f>VLOOKUP(E2530,Stores!A:B,2,FALSE)</f>
        <v>MegaMart New Michele</v>
      </c>
      <c r="M2530">
        <f>VLOOKUP(D2530,Products!A:E,5,FALSE)</f>
        <v>428.05</v>
      </c>
      <c r="N2530" s="5">
        <f t="shared" si="39"/>
        <v>363.84249999999997</v>
      </c>
    </row>
    <row r="2531" spans="1:14" x14ac:dyDescent="0.3">
      <c r="A2531" t="s">
        <v>3387</v>
      </c>
      <c r="B2531" s="2">
        <v>45801</v>
      </c>
      <c r="C2531" t="s">
        <v>195</v>
      </c>
      <c r="D2531" t="s">
        <v>802</v>
      </c>
      <c r="E2531" t="s">
        <v>846</v>
      </c>
      <c r="F2531">
        <v>3</v>
      </c>
      <c r="G2531">
        <v>0.1</v>
      </c>
      <c r="H2531" t="s">
        <v>861</v>
      </c>
      <c r="I2531" t="str">
        <f>VLOOKUP(C2531,Customers!A:C,2,FALSE)&amp;" "&amp;VLOOKUP(C2531,Customers!A:C,3,FALSE)</f>
        <v>Kelly Mcmillan</v>
      </c>
      <c r="J2531" t="str">
        <f>VLOOKUP(D2531,Products!A:C,2,FALSE)</f>
        <v>Stage Footwear</v>
      </c>
      <c r="K2531" t="str">
        <f>VLOOKUP(D2531,Products!A:C,3,FALSE)</f>
        <v>Fashion</v>
      </c>
      <c r="L2531" t="str">
        <f>VLOOKUP(E2531,Stores!A:B,2,FALSE)</f>
        <v>MegaMart Johnmouth</v>
      </c>
      <c r="M2531">
        <f>VLOOKUP(D2531,Products!A:E,5,FALSE)</f>
        <v>366.93</v>
      </c>
      <c r="N2531" s="5">
        <f t="shared" si="39"/>
        <v>990.71100000000001</v>
      </c>
    </row>
    <row r="2532" spans="1:14" x14ac:dyDescent="0.3">
      <c r="A2532" t="s">
        <v>3388</v>
      </c>
      <c r="B2532" s="2">
        <v>45830</v>
      </c>
      <c r="C2532" t="s">
        <v>630</v>
      </c>
      <c r="D2532" t="s">
        <v>711</v>
      </c>
      <c r="E2532" t="s">
        <v>831</v>
      </c>
      <c r="F2532">
        <v>3</v>
      </c>
      <c r="G2532">
        <v>0.15</v>
      </c>
      <c r="H2532" t="s">
        <v>861</v>
      </c>
      <c r="I2532" t="str">
        <f>VLOOKUP(C2532,Customers!A:C,2,FALSE)&amp;" "&amp;VLOOKUP(C2532,Customers!A:C,3,FALSE)</f>
        <v>Mark Mcdonald</v>
      </c>
      <c r="J2532" t="str">
        <f>VLOOKUP(D2532,Products!A:C,2,FALSE)</f>
        <v>Like Camera</v>
      </c>
      <c r="K2532" t="str">
        <f>VLOOKUP(D2532,Products!A:C,3,FALSE)</f>
        <v>Electronics</v>
      </c>
      <c r="L2532" t="str">
        <f>VLOOKUP(E2532,Stores!A:B,2,FALSE)</f>
        <v>MegaMart Jimenezborough</v>
      </c>
      <c r="M2532">
        <f>VLOOKUP(D2532,Products!A:E,5,FALSE)</f>
        <v>1673.69</v>
      </c>
      <c r="N2532" s="5">
        <f t="shared" si="39"/>
        <v>4267.9094999999998</v>
      </c>
    </row>
    <row r="2533" spans="1:14" x14ac:dyDescent="0.3">
      <c r="A2533" t="s">
        <v>3389</v>
      </c>
      <c r="B2533" s="2">
        <v>45455</v>
      </c>
      <c r="C2533" t="s">
        <v>687</v>
      </c>
      <c r="D2533" t="s">
        <v>822</v>
      </c>
      <c r="E2533" t="s">
        <v>842</v>
      </c>
      <c r="F2533">
        <v>3</v>
      </c>
      <c r="G2533">
        <v>0.05</v>
      </c>
      <c r="H2533" t="s">
        <v>855</v>
      </c>
      <c r="I2533" t="str">
        <f>VLOOKUP(C2533,Customers!A:C,2,FALSE)&amp;" "&amp;VLOOKUP(C2533,Customers!A:C,3,FALSE)</f>
        <v>James Mitchell</v>
      </c>
      <c r="J2533" t="str">
        <f>VLOOKUP(D2533,Products!A:C,2,FALSE)</f>
        <v>Nor Bags</v>
      </c>
      <c r="K2533" t="str">
        <f>VLOOKUP(D2533,Products!A:C,3,FALSE)</f>
        <v>Fashion</v>
      </c>
      <c r="L2533" t="str">
        <f>VLOOKUP(E2533,Stores!A:B,2,FALSE)</f>
        <v>MegaMart Brianahaven</v>
      </c>
      <c r="M2533">
        <f>VLOOKUP(D2533,Products!A:E,5,FALSE)</f>
        <v>1216.3599999999999</v>
      </c>
      <c r="N2533" s="5">
        <f t="shared" si="39"/>
        <v>3466.6259999999997</v>
      </c>
    </row>
    <row r="2534" spans="1:14" x14ac:dyDescent="0.3">
      <c r="A2534" t="s">
        <v>3390</v>
      </c>
      <c r="B2534" s="2">
        <v>45397</v>
      </c>
      <c r="C2534" t="s">
        <v>472</v>
      </c>
      <c r="D2534" t="s">
        <v>800</v>
      </c>
      <c r="E2534" t="s">
        <v>831</v>
      </c>
      <c r="F2534">
        <v>5</v>
      </c>
      <c r="G2534">
        <v>0.15</v>
      </c>
      <c r="H2534" t="s">
        <v>861</v>
      </c>
      <c r="I2534" t="str">
        <f>VLOOKUP(C2534,Customers!A:C,2,FALSE)&amp;" "&amp;VLOOKUP(C2534,Customers!A:C,3,FALSE)</f>
        <v>Gary Taylor</v>
      </c>
      <c r="J2534" t="str">
        <f>VLOOKUP(D2534,Products!A:C,2,FALSE)</f>
        <v>Book Television</v>
      </c>
      <c r="K2534" t="str">
        <f>VLOOKUP(D2534,Products!A:C,3,FALSE)</f>
        <v>Electronics</v>
      </c>
      <c r="L2534" t="str">
        <f>VLOOKUP(E2534,Stores!A:B,2,FALSE)</f>
        <v>MegaMart Jimenezborough</v>
      </c>
      <c r="M2534">
        <f>VLOOKUP(D2534,Products!A:E,5,FALSE)</f>
        <v>1952.65</v>
      </c>
      <c r="N2534" s="5">
        <f t="shared" si="39"/>
        <v>8298.7624999999989</v>
      </c>
    </row>
    <row r="2535" spans="1:14" x14ac:dyDescent="0.3">
      <c r="A2535" t="s">
        <v>3391</v>
      </c>
      <c r="B2535" s="2">
        <v>45778</v>
      </c>
      <c r="C2535" t="s">
        <v>618</v>
      </c>
      <c r="D2535" t="s">
        <v>782</v>
      </c>
      <c r="E2535" t="s">
        <v>839</v>
      </c>
      <c r="F2535">
        <v>3</v>
      </c>
      <c r="G2535">
        <v>0</v>
      </c>
      <c r="H2535" t="s">
        <v>858</v>
      </c>
      <c r="I2535" t="str">
        <f>VLOOKUP(C2535,Customers!A:C,2,FALSE)&amp;" "&amp;VLOOKUP(C2535,Customers!A:C,3,FALSE)</f>
        <v>Scott Howell</v>
      </c>
      <c r="J2535" t="str">
        <f>VLOOKUP(D2535,Products!A:C,2,FALSE)</f>
        <v>Deal Smartphone</v>
      </c>
      <c r="K2535" t="str">
        <f>VLOOKUP(D2535,Products!A:C,3,FALSE)</f>
        <v>Electronics</v>
      </c>
      <c r="L2535" t="str">
        <f>VLOOKUP(E2535,Stores!A:B,2,FALSE)</f>
        <v>MegaMart New Michele</v>
      </c>
      <c r="M2535">
        <f>VLOOKUP(D2535,Products!A:E,5,FALSE)</f>
        <v>673.78</v>
      </c>
      <c r="N2535" s="5">
        <f t="shared" si="39"/>
        <v>2021.34</v>
      </c>
    </row>
    <row r="2536" spans="1:14" x14ac:dyDescent="0.3">
      <c r="A2536" t="s">
        <v>3392</v>
      </c>
      <c r="B2536" s="2">
        <v>45892</v>
      </c>
      <c r="C2536" t="s">
        <v>210</v>
      </c>
      <c r="D2536" t="s">
        <v>745</v>
      </c>
      <c r="E2536" t="s">
        <v>831</v>
      </c>
      <c r="F2536">
        <v>4</v>
      </c>
      <c r="G2536">
        <v>0.05</v>
      </c>
      <c r="H2536" t="s">
        <v>855</v>
      </c>
      <c r="I2536" t="str">
        <f>VLOOKUP(C2536,Customers!A:C,2,FALSE)&amp;" "&amp;VLOOKUP(C2536,Customers!A:C,3,FALSE)</f>
        <v>Crystal Johnson</v>
      </c>
      <c r="J2536" t="str">
        <f>VLOOKUP(D2536,Products!A:C,2,FALSE)</f>
        <v>Above Camera</v>
      </c>
      <c r="K2536" t="str">
        <f>VLOOKUP(D2536,Products!A:C,3,FALSE)</f>
        <v>Electronics</v>
      </c>
      <c r="L2536" t="str">
        <f>VLOOKUP(E2536,Stores!A:B,2,FALSE)</f>
        <v>MegaMart Jimenezborough</v>
      </c>
      <c r="M2536">
        <f>VLOOKUP(D2536,Products!A:E,5,FALSE)</f>
        <v>1193.0899999999999</v>
      </c>
      <c r="N2536" s="5">
        <f t="shared" si="39"/>
        <v>4533.7419999999993</v>
      </c>
    </row>
    <row r="2537" spans="1:14" x14ac:dyDescent="0.3">
      <c r="A2537" t="s">
        <v>3393</v>
      </c>
      <c r="B2537" s="2">
        <v>45425</v>
      </c>
      <c r="C2537" t="s">
        <v>262</v>
      </c>
      <c r="D2537" t="s">
        <v>802</v>
      </c>
      <c r="E2537" t="s">
        <v>842</v>
      </c>
      <c r="F2537">
        <v>5</v>
      </c>
      <c r="G2537">
        <v>0.1</v>
      </c>
      <c r="H2537" t="s">
        <v>865</v>
      </c>
      <c r="I2537" t="str">
        <f>VLOOKUP(C2537,Customers!A:C,2,FALSE)&amp;" "&amp;VLOOKUP(C2537,Customers!A:C,3,FALSE)</f>
        <v>Gabriel Daugherty</v>
      </c>
      <c r="J2537" t="str">
        <f>VLOOKUP(D2537,Products!A:C,2,FALSE)</f>
        <v>Stage Footwear</v>
      </c>
      <c r="K2537" t="str">
        <f>VLOOKUP(D2537,Products!A:C,3,FALSE)</f>
        <v>Fashion</v>
      </c>
      <c r="L2537" t="str">
        <f>VLOOKUP(E2537,Stores!A:B,2,FALSE)</f>
        <v>MegaMart Brianahaven</v>
      </c>
      <c r="M2537">
        <f>VLOOKUP(D2537,Products!A:E,5,FALSE)</f>
        <v>366.93</v>
      </c>
      <c r="N2537" s="5">
        <f t="shared" si="39"/>
        <v>1651.1850000000002</v>
      </c>
    </row>
    <row r="2538" spans="1:14" x14ac:dyDescent="0.3">
      <c r="A2538" t="s">
        <v>3394</v>
      </c>
      <c r="B2538" s="2">
        <v>45838</v>
      </c>
      <c r="C2538" t="s">
        <v>221</v>
      </c>
      <c r="D2538" t="s">
        <v>728</v>
      </c>
      <c r="E2538" t="s">
        <v>835</v>
      </c>
      <c r="F2538">
        <v>1</v>
      </c>
      <c r="G2538">
        <v>0.1</v>
      </c>
      <c r="H2538" t="s">
        <v>861</v>
      </c>
      <c r="I2538" t="str">
        <f>VLOOKUP(C2538,Customers!A:C,2,FALSE)&amp;" "&amp;VLOOKUP(C2538,Customers!A:C,3,FALSE)</f>
        <v>Julie Gibson</v>
      </c>
      <c r="J2538" t="str">
        <f>VLOOKUP(D2538,Products!A:C,2,FALSE)</f>
        <v>Company Fruits</v>
      </c>
      <c r="K2538" t="str">
        <f>VLOOKUP(D2538,Products!A:C,3,FALSE)</f>
        <v>Groceries</v>
      </c>
      <c r="L2538" t="str">
        <f>VLOOKUP(E2538,Stores!A:B,2,FALSE)</f>
        <v>MegaMart Peckmouth</v>
      </c>
      <c r="M2538">
        <f>VLOOKUP(D2538,Products!A:E,5,FALSE)</f>
        <v>318.05</v>
      </c>
      <c r="N2538" s="5">
        <f t="shared" si="39"/>
        <v>286.245</v>
      </c>
    </row>
    <row r="2539" spans="1:14" x14ac:dyDescent="0.3">
      <c r="A2539" t="s">
        <v>3395</v>
      </c>
      <c r="B2539" s="2">
        <v>45564</v>
      </c>
      <c r="C2539" t="s">
        <v>71</v>
      </c>
      <c r="D2539" t="s">
        <v>755</v>
      </c>
      <c r="E2539" t="s">
        <v>846</v>
      </c>
      <c r="F2539">
        <v>3</v>
      </c>
      <c r="G2539">
        <v>0.15</v>
      </c>
      <c r="H2539" t="s">
        <v>858</v>
      </c>
      <c r="I2539" t="str">
        <f>VLOOKUP(C2539,Customers!A:C,2,FALSE)&amp;" "&amp;VLOOKUP(C2539,Customers!A:C,3,FALSE)</f>
        <v>Vanessa Anderson</v>
      </c>
      <c r="J2539" t="str">
        <f>VLOOKUP(D2539,Products!A:C,2,FALSE)</f>
        <v>House Accessories</v>
      </c>
      <c r="K2539" t="str">
        <f>VLOOKUP(D2539,Products!A:C,3,FALSE)</f>
        <v>Fashion</v>
      </c>
      <c r="L2539" t="str">
        <f>VLOOKUP(E2539,Stores!A:B,2,FALSE)</f>
        <v>MegaMart Johnmouth</v>
      </c>
      <c r="M2539">
        <f>VLOOKUP(D2539,Products!A:E,5,FALSE)</f>
        <v>1858.75</v>
      </c>
      <c r="N2539" s="5">
        <f t="shared" si="39"/>
        <v>4739.8125</v>
      </c>
    </row>
    <row r="2540" spans="1:14" x14ac:dyDescent="0.3">
      <c r="A2540" t="s">
        <v>3396</v>
      </c>
      <c r="B2540" s="2">
        <v>45891</v>
      </c>
      <c r="C2540" t="s">
        <v>582</v>
      </c>
      <c r="D2540" t="s">
        <v>769</v>
      </c>
      <c r="E2540" t="s">
        <v>846</v>
      </c>
      <c r="F2540">
        <v>3</v>
      </c>
      <c r="G2540">
        <v>0.15</v>
      </c>
      <c r="H2540" t="s">
        <v>858</v>
      </c>
      <c r="I2540" t="str">
        <f>VLOOKUP(C2540,Customers!A:C,2,FALSE)&amp;" "&amp;VLOOKUP(C2540,Customers!A:C,3,FALSE)</f>
        <v>Erin Rogers</v>
      </c>
      <c r="J2540" t="str">
        <f>VLOOKUP(D2540,Products!A:C,2,FALSE)</f>
        <v>How Vegetables</v>
      </c>
      <c r="K2540" t="str">
        <f>VLOOKUP(D2540,Products!A:C,3,FALSE)</f>
        <v>Groceries</v>
      </c>
      <c r="L2540" t="str">
        <f>VLOOKUP(E2540,Stores!A:B,2,FALSE)</f>
        <v>MegaMart Johnmouth</v>
      </c>
      <c r="M2540">
        <f>VLOOKUP(D2540,Products!A:E,5,FALSE)</f>
        <v>25.57</v>
      </c>
      <c r="N2540" s="5">
        <f t="shared" si="39"/>
        <v>65.203500000000005</v>
      </c>
    </row>
    <row r="2541" spans="1:14" x14ac:dyDescent="0.3">
      <c r="A2541" t="s">
        <v>3397</v>
      </c>
      <c r="B2541" s="2">
        <v>45903</v>
      </c>
      <c r="C2541" t="s">
        <v>520</v>
      </c>
      <c r="D2541" t="s">
        <v>780</v>
      </c>
      <c r="E2541" t="s">
        <v>831</v>
      </c>
      <c r="F2541">
        <v>3</v>
      </c>
      <c r="G2541">
        <v>0.1</v>
      </c>
      <c r="H2541" t="s">
        <v>855</v>
      </c>
      <c r="I2541" t="str">
        <f>VLOOKUP(C2541,Customers!A:C,2,FALSE)&amp;" "&amp;VLOOKUP(C2541,Customers!A:C,3,FALSE)</f>
        <v>Cynthia Carlson</v>
      </c>
      <c r="J2541" t="str">
        <f>VLOOKUP(D2541,Products!A:C,2,FALSE)</f>
        <v>Hospital Smartphone</v>
      </c>
      <c r="K2541" t="str">
        <f>VLOOKUP(D2541,Products!A:C,3,FALSE)</f>
        <v>Electronics</v>
      </c>
      <c r="L2541" t="str">
        <f>VLOOKUP(E2541,Stores!A:B,2,FALSE)</f>
        <v>MegaMart Jimenezborough</v>
      </c>
      <c r="M2541">
        <f>VLOOKUP(D2541,Products!A:E,5,FALSE)</f>
        <v>1272.23</v>
      </c>
      <c r="N2541" s="5">
        <f t="shared" si="39"/>
        <v>3435.0210000000002</v>
      </c>
    </row>
    <row r="2542" spans="1:14" x14ac:dyDescent="0.3">
      <c r="A2542" t="s">
        <v>3398</v>
      </c>
      <c r="B2542" s="2">
        <v>45538</v>
      </c>
      <c r="C2542" t="s">
        <v>335</v>
      </c>
      <c r="D2542" t="s">
        <v>808</v>
      </c>
      <c r="E2542" t="s">
        <v>842</v>
      </c>
      <c r="F2542">
        <v>2</v>
      </c>
      <c r="G2542">
        <v>0.15</v>
      </c>
      <c r="H2542" t="s">
        <v>858</v>
      </c>
      <c r="I2542" t="str">
        <f>VLOOKUP(C2542,Customers!A:C,2,FALSE)&amp;" "&amp;VLOOKUP(C2542,Customers!A:C,3,FALSE)</f>
        <v>William Warner</v>
      </c>
      <c r="J2542" t="str">
        <f>VLOOKUP(D2542,Products!A:C,2,FALSE)</f>
        <v>Present Television</v>
      </c>
      <c r="K2542" t="str">
        <f>VLOOKUP(D2542,Products!A:C,3,FALSE)</f>
        <v>Electronics</v>
      </c>
      <c r="L2542" t="str">
        <f>VLOOKUP(E2542,Stores!A:B,2,FALSE)</f>
        <v>MegaMart Brianahaven</v>
      </c>
      <c r="M2542">
        <f>VLOOKUP(D2542,Products!A:E,5,FALSE)</f>
        <v>1635.01</v>
      </c>
      <c r="N2542" s="5">
        <f t="shared" si="39"/>
        <v>2779.5169999999998</v>
      </c>
    </row>
    <row r="2543" spans="1:14" x14ac:dyDescent="0.3">
      <c r="A2543" t="s">
        <v>3399</v>
      </c>
      <c r="B2543" s="2">
        <v>45598</v>
      </c>
      <c r="C2543" t="s">
        <v>210</v>
      </c>
      <c r="D2543" t="s">
        <v>755</v>
      </c>
      <c r="E2543" t="s">
        <v>846</v>
      </c>
      <c r="F2543">
        <v>2</v>
      </c>
      <c r="G2543">
        <v>0.15</v>
      </c>
      <c r="H2543" t="s">
        <v>855</v>
      </c>
      <c r="I2543" t="str">
        <f>VLOOKUP(C2543,Customers!A:C,2,FALSE)&amp;" "&amp;VLOOKUP(C2543,Customers!A:C,3,FALSE)</f>
        <v>Crystal Johnson</v>
      </c>
      <c r="J2543" t="str">
        <f>VLOOKUP(D2543,Products!A:C,2,FALSE)</f>
        <v>House Accessories</v>
      </c>
      <c r="K2543" t="str">
        <f>VLOOKUP(D2543,Products!A:C,3,FALSE)</f>
        <v>Fashion</v>
      </c>
      <c r="L2543" t="str">
        <f>VLOOKUP(E2543,Stores!A:B,2,FALSE)</f>
        <v>MegaMart Johnmouth</v>
      </c>
      <c r="M2543">
        <f>VLOOKUP(D2543,Products!A:E,5,FALSE)</f>
        <v>1858.75</v>
      </c>
      <c r="N2543" s="5">
        <f t="shared" si="39"/>
        <v>3159.875</v>
      </c>
    </row>
    <row r="2544" spans="1:14" x14ac:dyDescent="0.3">
      <c r="A2544" t="s">
        <v>3400</v>
      </c>
      <c r="B2544" s="2">
        <v>45225</v>
      </c>
      <c r="C2544" t="s">
        <v>390</v>
      </c>
      <c r="D2544" t="s">
        <v>761</v>
      </c>
      <c r="E2544" t="s">
        <v>831</v>
      </c>
      <c r="F2544">
        <v>5</v>
      </c>
      <c r="G2544">
        <v>0</v>
      </c>
      <c r="H2544" t="s">
        <v>858</v>
      </c>
      <c r="I2544" t="str">
        <f>VLOOKUP(C2544,Customers!A:C,2,FALSE)&amp;" "&amp;VLOOKUP(C2544,Customers!A:C,3,FALSE)</f>
        <v>Brenda Dean</v>
      </c>
      <c r="J2544" t="str">
        <f>VLOOKUP(D2544,Products!A:C,2,FALSE)</f>
        <v>Traditional Laptop</v>
      </c>
      <c r="K2544" t="str">
        <f>VLOOKUP(D2544,Products!A:C,3,FALSE)</f>
        <v>Electronics</v>
      </c>
      <c r="L2544" t="str">
        <f>VLOOKUP(E2544,Stores!A:B,2,FALSE)</f>
        <v>MegaMart Jimenezborough</v>
      </c>
      <c r="M2544">
        <f>VLOOKUP(D2544,Products!A:E,5,FALSE)</f>
        <v>1762.92</v>
      </c>
      <c r="N2544" s="5">
        <f t="shared" si="39"/>
        <v>8814.6</v>
      </c>
    </row>
    <row r="2545" spans="1:14" x14ac:dyDescent="0.3">
      <c r="A2545" t="s">
        <v>3401</v>
      </c>
      <c r="B2545" s="2">
        <v>45673</v>
      </c>
      <c r="C2545" t="s">
        <v>524</v>
      </c>
      <c r="D2545" t="s">
        <v>722</v>
      </c>
      <c r="E2545" t="s">
        <v>839</v>
      </c>
      <c r="F2545">
        <v>1</v>
      </c>
      <c r="G2545">
        <v>0.05</v>
      </c>
      <c r="H2545" t="s">
        <v>855</v>
      </c>
      <c r="I2545" t="str">
        <f>VLOOKUP(C2545,Customers!A:C,2,FALSE)&amp;" "&amp;VLOOKUP(C2545,Customers!A:C,3,FALSE)</f>
        <v>Betty Johnson</v>
      </c>
      <c r="J2545" t="str">
        <f>VLOOKUP(D2545,Products!A:C,2,FALSE)</f>
        <v>Four Accessories</v>
      </c>
      <c r="K2545" t="str">
        <f>VLOOKUP(D2545,Products!A:C,3,FALSE)</f>
        <v>Fashion</v>
      </c>
      <c r="L2545" t="str">
        <f>VLOOKUP(E2545,Stores!A:B,2,FALSE)</f>
        <v>MegaMart New Michele</v>
      </c>
      <c r="M2545">
        <f>VLOOKUP(D2545,Products!A:E,5,FALSE)</f>
        <v>1853.77</v>
      </c>
      <c r="N2545" s="5">
        <f t="shared" si="39"/>
        <v>1761.0815</v>
      </c>
    </row>
    <row r="2546" spans="1:14" x14ac:dyDescent="0.3">
      <c r="A2546" t="s">
        <v>3402</v>
      </c>
      <c r="B2546" s="2">
        <v>45639</v>
      </c>
      <c r="C2546" t="s">
        <v>294</v>
      </c>
      <c r="D2546" t="s">
        <v>778</v>
      </c>
      <c r="E2546" t="s">
        <v>839</v>
      </c>
      <c r="F2546">
        <v>3</v>
      </c>
      <c r="G2546">
        <v>0.15</v>
      </c>
      <c r="H2546" t="s">
        <v>858</v>
      </c>
      <c r="I2546" t="str">
        <f>VLOOKUP(C2546,Customers!A:C,2,FALSE)&amp;" "&amp;VLOOKUP(C2546,Customers!A:C,3,FALSE)</f>
        <v>Jeanne Young</v>
      </c>
      <c r="J2546" t="str">
        <f>VLOOKUP(D2546,Products!A:C,2,FALSE)</f>
        <v>Behavior Dairy</v>
      </c>
      <c r="K2546" t="str">
        <f>VLOOKUP(D2546,Products!A:C,3,FALSE)</f>
        <v>Groceries</v>
      </c>
      <c r="L2546" t="str">
        <f>VLOOKUP(E2546,Stores!A:B,2,FALSE)</f>
        <v>MegaMart New Michele</v>
      </c>
      <c r="M2546">
        <f>VLOOKUP(D2546,Products!A:E,5,FALSE)</f>
        <v>1015.76</v>
      </c>
      <c r="N2546" s="5">
        <f t="shared" si="39"/>
        <v>2590.1879999999996</v>
      </c>
    </row>
    <row r="2547" spans="1:14" x14ac:dyDescent="0.3">
      <c r="A2547" t="s">
        <v>3403</v>
      </c>
      <c r="B2547" s="2">
        <v>45499</v>
      </c>
      <c r="C2547" t="s">
        <v>36</v>
      </c>
      <c r="D2547" t="s">
        <v>806</v>
      </c>
      <c r="E2547" t="s">
        <v>835</v>
      </c>
      <c r="F2547">
        <v>5</v>
      </c>
      <c r="G2547">
        <v>0.05</v>
      </c>
      <c r="H2547" t="s">
        <v>855</v>
      </c>
      <c r="I2547" t="str">
        <f>VLOOKUP(C2547,Customers!A:C,2,FALSE)&amp;" "&amp;VLOOKUP(C2547,Customers!A:C,3,FALSE)</f>
        <v>Isaiah Williams</v>
      </c>
      <c r="J2547" t="str">
        <f>VLOOKUP(D2547,Products!A:C,2,FALSE)</f>
        <v>Piece Headphones</v>
      </c>
      <c r="K2547" t="str">
        <f>VLOOKUP(D2547,Products!A:C,3,FALSE)</f>
        <v>Electronics</v>
      </c>
      <c r="L2547" t="str">
        <f>VLOOKUP(E2547,Stores!A:B,2,FALSE)</f>
        <v>MegaMart Peckmouth</v>
      </c>
      <c r="M2547">
        <f>VLOOKUP(D2547,Products!A:E,5,FALSE)</f>
        <v>1745.61</v>
      </c>
      <c r="N2547" s="5">
        <f t="shared" si="39"/>
        <v>8291.6474999999991</v>
      </c>
    </row>
    <row r="2548" spans="1:14" x14ac:dyDescent="0.3">
      <c r="A2548" t="s">
        <v>3404</v>
      </c>
      <c r="B2548" s="2">
        <v>45609</v>
      </c>
      <c r="C2548" t="s">
        <v>527</v>
      </c>
      <c r="D2548" t="s">
        <v>786</v>
      </c>
      <c r="E2548" t="s">
        <v>842</v>
      </c>
      <c r="F2548">
        <v>4</v>
      </c>
      <c r="G2548">
        <v>0</v>
      </c>
      <c r="H2548" t="s">
        <v>855</v>
      </c>
      <c r="I2548" t="str">
        <f>VLOOKUP(C2548,Customers!A:C,2,FALSE)&amp;" "&amp;VLOOKUP(C2548,Customers!A:C,3,FALSE)</f>
        <v>Paige Osborne</v>
      </c>
      <c r="J2548" t="str">
        <f>VLOOKUP(D2548,Products!A:C,2,FALSE)</f>
        <v>National Watches</v>
      </c>
      <c r="K2548" t="str">
        <f>VLOOKUP(D2548,Products!A:C,3,FALSE)</f>
        <v>Fashion</v>
      </c>
      <c r="L2548" t="str">
        <f>VLOOKUP(E2548,Stores!A:B,2,FALSE)</f>
        <v>MegaMart Brianahaven</v>
      </c>
      <c r="M2548">
        <f>VLOOKUP(D2548,Products!A:E,5,FALSE)</f>
        <v>29.24</v>
      </c>
      <c r="N2548" s="5">
        <f t="shared" si="39"/>
        <v>116.96</v>
      </c>
    </row>
    <row r="2549" spans="1:14" x14ac:dyDescent="0.3">
      <c r="A2549" t="s">
        <v>3405</v>
      </c>
      <c r="B2549" s="2">
        <v>45583</v>
      </c>
      <c r="C2549" t="s">
        <v>520</v>
      </c>
      <c r="D2549" t="s">
        <v>804</v>
      </c>
      <c r="E2549" t="s">
        <v>842</v>
      </c>
      <c r="F2549">
        <v>2</v>
      </c>
      <c r="G2549">
        <v>0.15</v>
      </c>
      <c r="H2549" t="s">
        <v>861</v>
      </c>
      <c r="I2549" t="str">
        <f>VLOOKUP(C2549,Customers!A:C,2,FALSE)&amp;" "&amp;VLOOKUP(C2549,Customers!A:C,3,FALSE)</f>
        <v>Cynthia Carlson</v>
      </c>
      <c r="J2549" t="str">
        <f>VLOOKUP(D2549,Products!A:C,2,FALSE)</f>
        <v>Church Clothing</v>
      </c>
      <c r="K2549" t="str">
        <f>VLOOKUP(D2549,Products!A:C,3,FALSE)</f>
        <v>Fashion</v>
      </c>
      <c r="L2549" t="str">
        <f>VLOOKUP(E2549,Stores!A:B,2,FALSE)</f>
        <v>MegaMart Brianahaven</v>
      </c>
      <c r="M2549">
        <f>VLOOKUP(D2549,Products!A:E,5,FALSE)</f>
        <v>540.94000000000005</v>
      </c>
      <c r="N2549" s="5">
        <f t="shared" si="39"/>
        <v>919.59800000000007</v>
      </c>
    </row>
    <row r="2550" spans="1:14" x14ac:dyDescent="0.3">
      <c r="A2550" t="s">
        <v>3406</v>
      </c>
      <c r="B2550" s="2">
        <v>45802</v>
      </c>
      <c r="C2550" t="s">
        <v>364</v>
      </c>
      <c r="D2550" t="s">
        <v>824</v>
      </c>
      <c r="E2550" t="s">
        <v>846</v>
      </c>
      <c r="F2550">
        <v>1</v>
      </c>
      <c r="G2550">
        <v>0</v>
      </c>
      <c r="H2550" t="s">
        <v>858</v>
      </c>
      <c r="I2550" t="str">
        <f>VLOOKUP(C2550,Customers!A:C,2,FALSE)&amp;" "&amp;VLOOKUP(C2550,Customers!A:C,3,FALSE)</f>
        <v>Evelyn Gray</v>
      </c>
      <c r="J2550" t="str">
        <f>VLOOKUP(D2550,Products!A:C,2,FALSE)</f>
        <v>Possible Watches</v>
      </c>
      <c r="K2550" t="str">
        <f>VLOOKUP(D2550,Products!A:C,3,FALSE)</f>
        <v>Fashion</v>
      </c>
      <c r="L2550" t="str">
        <f>VLOOKUP(E2550,Stores!A:B,2,FALSE)</f>
        <v>MegaMart Johnmouth</v>
      </c>
      <c r="M2550">
        <f>VLOOKUP(D2550,Products!A:E,5,FALSE)</f>
        <v>388.26</v>
      </c>
      <c r="N2550" s="5">
        <f t="shared" si="39"/>
        <v>388.26</v>
      </c>
    </row>
    <row r="2551" spans="1:14" x14ac:dyDescent="0.3">
      <c r="A2551" t="s">
        <v>3407</v>
      </c>
      <c r="B2551" s="2">
        <v>45203</v>
      </c>
      <c r="C2551" t="s">
        <v>217</v>
      </c>
      <c r="D2551" t="s">
        <v>750</v>
      </c>
      <c r="E2551" t="s">
        <v>835</v>
      </c>
      <c r="F2551">
        <v>1</v>
      </c>
      <c r="G2551">
        <v>0.1</v>
      </c>
      <c r="H2551" t="s">
        <v>861</v>
      </c>
      <c r="I2551" t="str">
        <f>VLOOKUP(C2551,Customers!A:C,2,FALSE)&amp;" "&amp;VLOOKUP(C2551,Customers!A:C,3,FALSE)</f>
        <v>Carl Wyatt</v>
      </c>
      <c r="J2551" t="str">
        <f>VLOOKUP(D2551,Products!A:C,2,FALSE)</f>
        <v>Add Clothing</v>
      </c>
      <c r="K2551" t="str">
        <f>VLOOKUP(D2551,Products!A:C,3,FALSE)</f>
        <v>Fashion</v>
      </c>
      <c r="L2551" t="str">
        <f>VLOOKUP(E2551,Stores!A:B,2,FALSE)</f>
        <v>MegaMart Peckmouth</v>
      </c>
      <c r="M2551">
        <f>VLOOKUP(D2551,Products!A:E,5,FALSE)</f>
        <v>1342.75</v>
      </c>
      <c r="N2551" s="5">
        <f t="shared" si="39"/>
        <v>1208.4750000000001</v>
      </c>
    </row>
    <row r="2552" spans="1:14" x14ac:dyDescent="0.3">
      <c r="A2552" t="s">
        <v>3408</v>
      </c>
      <c r="B2552" s="2">
        <v>45452</v>
      </c>
      <c r="C2552" t="s">
        <v>159</v>
      </c>
      <c r="D2552" t="s">
        <v>816</v>
      </c>
      <c r="E2552" t="s">
        <v>842</v>
      </c>
      <c r="F2552">
        <v>5</v>
      </c>
      <c r="G2552">
        <v>0.15</v>
      </c>
      <c r="H2552" t="s">
        <v>855</v>
      </c>
      <c r="I2552" t="str">
        <f>VLOOKUP(C2552,Customers!A:C,2,FALSE)&amp;" "&amp;VLOOKUP(C2552,Customers!A:C,3,FALSE)</f>
        <v>Melissa Rodgers</v>
      </c>
      <c r="J2552" t="str">
        <f>VLOOKUP(D2552,Products!A:C,2,FALSE)</f>
        <v>Set Dairy</v>
      </c>
      <c r="K2552" t="str">
        <f>VLOOKUP(D2552,Products!A:C,3,FALSE)</f>
        <v>Groceries</v>
      </c>
      <c r="L2552" t="str">
        <f>VLOOKUP(E2552,Stores!A:B,2,FALSE)</f>
        <v>MegaMart Brianahaven</v>
      </c>
      <c r="M2552">
        <f>VLOOKUP(D2552,Products!A:E,5,FALSE)</f>
        <v>1879.08</v>
      </c>
      <c r="N2552" s="5">
        <f t="shared" si="39"/>
        <v>7986.0899999999992</v>
      </c>
    </row>
    <row r="2553" spans="1:14" x14ac:dyDescent="0.3">
      <c r="A2553" t="s">
        <v>3409</v>
      </c>
      <c r="B2553" s="2">
        <v>45546</v>
      </c>
      <c r="C2553" t="s">
        <v>680</v>
      </c>
      <c r="D2553" t="s">
        <v>824</v>
      </c>
      <c r="E2553" t="s">
        <v>835</v>
      </c>
      <c r="F2553">
        <v>4</v>
      </c>
      <c r="G2553">
        <v>0.1</v>
      </c>
      <c r="H2553" t="s">
        <v>855</v>
      </c>
      <c r="I2553" t="str">
        <f>VLOOKUP(C2553,Customers!A:C,2,FALSE)&amp;" "&amp;VLOOKUP(C2553,Customers!A:C,3,FALSE)</f>
        <v>Donald Meza</v>
      </c>
      <c r="J2553" t="str">
        <f>VLOOKUP(D2553,Products!A:C,2,FALSE)</f>
        <v>Possible Watches</v>
      </c>
      <c r="K2553" t="str">
        <f>VLOOKUP(D2553,Products!A:C,3,FALSE)</f>
        <v>Fashion</v>
      </c>
      <c r="L2553" t="str">
        <f>VLOOKUP(E2553,Stores!A:B,2,FALSE)</f>
        <v>MegaMart Peckmouth</v>
      </c>
      <c r="M2553">
        <f>VLOOKUP(D2553,Products!A:E,5,FALSE)</f>
        <v>388.26</v>
      </c>
      <c r="N2553" s="5">
        <f t="shared" si="39"/>
        <v>1397.7360000000001</v>
      </c>
    </row>
    <row r="2554" spans="1:14" x14ac:dyDescent="0.3">
      <c r="A2554" t="s">
        <v>3410</v>
      </c>
      <c r="B2554" s="2">
        <v>45480</v>
      </c>
      <c r="C2554" t="s">
        <v>696</v>
      </c>
      <c r="D2554" t="s">
        <v>794</v>
      </c>
      <c r="E2554" t="s">
        <v>839</v>
      </c>
      <c r="F2554">
        <v>1</v>
      </c>
      <c r="G2554">
        <v>0.1</v>
      </c>
      <c r="H2554" t="s">
        <v>858</v>
      </c>
      <c r="I2554" t="str">
        <f>VLOOKUP(C2554,Customers!A:C,2,FALSE)&amp;" "&amp;VLOOKUP(C2554,Customers!A:C,3,FALSE)</f>
        <v>Jessica Mullins</v>
      </c>
      <c r="J2554" t="str">
        <f>VLOOKUP(D2554,Products!A:C,2,FALSE)</f>
        <v>Everything Laptop</v>
      </c>
      <c r="K2554" t="str">
        <f>VLOOKUP(D2554,Products!A:C,3,FALSE)</f>
        <v>Electronics</v>
      </c>
      <c r="L2554" t="str">
        <f>VLOOKUP(E2554,Stores!A:B,2,FALSE)</f>
        <v>MegaMart New Michele</v>
      </c>
      <c r="M2554">
        <f>VLOOKUP(D2554,Products!A:E,5,FALSE)</f>
        <v>428.05</v>
      </c>
      <c r="N2554" s="5">
        <f t="shared" si="39"/>
        <v>385.245</v>
      </c>
    </row>
    <row r="2555" spans="1:14" x14ac:dyDescent="0.3">
      <c r="A2555" t="s">
        <v>3411</v>
      </c>
      <c r="B2555" s="2">
        <v>45491</v>
      </c>
      <c r="C2555" t="s">
        <v>224</v>
      </c>
      <c r="D2555" t="s">
        <v>722</v>
      </c>
      <c r="E2555" t="s">
        <v>842</v>
      </c>
      <c r="F2555">
        <v>4</v>
      </c>
      <c r="G2555">
        <v>0.15</v>
      </c>
      <c r="H2555" t="s">
        <v>855</v>
      </c>
      <c r="I2555" t="str">
        <f>VLOOKUP(C2555,Customers!A:C,2,FALSE)&amp;" "&amp;VLOOKUP(C2555,Customers!A:C,3,FALSE)</f>
        <v>Lawrence Stewart</v>
      </c>
      <c r="J2555" t="str">
        <f>VLOOKUP(D2555,Products!A:C,2,FALSE)</f>
        <v>Four Accessories</v>
      </c>
      <c r="K2555" t="str">
        <f>VLOOKUP(D2555,Products!A:C,3,FALSE)</f>
        <v>Fashion</v>
      </c>
      <c r="L2555" t="str">
        <f>VLOOKUP(E2555,Stores!A:B,2,FALSE)</f>
        <v>MegaMart Brianahaven</v>
      </c>
      <c r="M2555">
        <f>VLOOKUP(D2555,Products!A:E,5,FALSE)</f>
        <v>1853.77</v>
      </c>
      <c r="N2555" s="5">
        <f t="shared" si="39"/>
        <v>6302.8180000000002</v>
      </c>
    </row>
    <row r="2556" spans="1:14" x14ac:dyDescent="0.3">
      <c r="A2556" t="s">
        <v>3412</v>
      </c>
      <c r="B2556" s="2">
        <v>45248</v>
      </c>
      <c r="C2556" t="s">
        <v>432</v>
      </c>
      <c r="D2556" t="s">
        <v>725</v>
      </c>
      <c r="E2556" t="s">
        <v>835</v>
      </c>
      <c r="F2556">
        <v>2</v>
      </c>
      <c r="G2556">
        <v>0.15</v>
      </c>
      <c r="H2556" t="s">
        <v>855</v>
      </c>
      <c r="I2556" t="str">
        <f>VLOOKUP(C2556,Customers!A:C,2,FALSE)&amp;" "&amp;VLOOKUP(C2556,Customers!A:C,3,FALSE)</f>
        <v>Jamie Webb</v>
      </c>
      <c r="J2556" t="str">
        <f>VLOOKUP(D2556,Products!A:C,2,FALSE)</f>
        <v>Knowledge Bags</v>
      </c>
      <c r="K2556" t="str">
        <f>VLOOKUP(D2556,Products!A:C,3,FALSE)</f>
        <v>Fashion</v>
      </c>
      <c r="L2556" t="str">
        <f>VLOOKUP(E2556,Stores!A:B,2,FALSE)</f>
        <v>MegaMart Peckmouth</v>
      </c>
      <c r="M2556">
        <f>VLOOKUP(D2556,Products!A:E,5,FALSE)</f>
        <v>1396.22</v>
      </c>
      <c r="N2556" s="5">
        <f t="shared" si="39"/>
        <v>2373.5740000000001</v>
      </c>
    </row>
    <row r="2557" spans="1:14" x14ac:dyDescent="0.3">
      <c r="A2557" t="s">
        <v>3413</v>
      </c>
      <c r="B2557" s="2">
        <v>45499</v>
      </c>
      <c r="C2557" t="s">
        <v>7</v>
      </c>
      <c r="D2557" t="s">
        <v>788</v>
      </c>
      <c r="E2557" t="s">
        <v>846</v>
      </c>
      <c r="F2557">
        <v>3</v>
      </c>
      <c r="G2557">
        <v>0.15</v>
      </c>
      <c r="H2557" t="s">
        <v>861</v>
      </c>
      <c r="I2557" t="str">
        <f>VLOOKUP(C2557,Customers!A:C,2,FALSE)&amp;" "&amp;VLOOKUP(C2557,Customers!A:C,3,FALSE)</f>
        <v>Michael Davis</v>
      </c>
      <c r="J2557" t="str">
        <f>VLOOKUP(D2557,Products!A:C,2,FALSE)</f>
        <v>Foot Snacks</v>
      </c>
      <c r="K2557" t="str">
        <f>VLOOKUP(D2557,Products!A:C,3,FALSE)</f>
        <v>Groceries</v>
      </c>
      <c r="L2557" t="str">
        <f>VLOOKUP(E2557,Stores!A:B,2,FALSE)</f>
        <v>MegaMart Johnmouth</v>
      </c>
      <c r="M2557">
        <f>VLOOKUP(D2557,Products!A:E,5,FALSE)</f>
        <v>1095.72</v>
      </c>
      <c r="N2557" s="5">
        <f t="shared" si="39"/>
        <v>2794.0859999999998</v>
      </c>
    </row>
    <row r="2558" spans="1:14" x14ac:dyDescent="0.3">
      <c r="A2558" t="s">
        <v>3414</v>
      </c>
      <c r="B2558" s="2">
        <v>45772</v>
      </c>
      <c r="C2558" t="s">
        <v>621</v>
      </c>
      <c r="D2558" t="s">
        <v>715</v>
      </c>
      <c r="E2558" t="s">
        <v>831</v>
      </c>
      <c r="F2558">
        <v>4</v>
      </c>
      <c r="G2558">
        <v>0.15</v>
      </c>
      <c r="H2558" t="s">
        <v>858</v>
      </c>
      <c r="I2558" t="str">
        <f>VLOOKUP(C2558,Customers!A:C,2,FALSE)&amp;" "&amp;VLOOKUP(C2558,Customers!A:C,3,FALSE)</f>
        <v>Stacey Thompson</v>
      </c>
      <c r="J2558" t="str">
        <f>VLOOKUP(D2558,Products!A:C,2,FALSE)</f>
        <v>Audience Television</v>
      </c>
      <c r="K2558" t="str">
        <f>VLOOKUP(D2558,Products!A:C,3,FALSE)</f>
        <v>Electronics</v>
      </c>
      <c r="L2558" t="str">
        <f>VLOOKUP(E2558,Stores!A:B,2,FALSE)</f>
        <v>MegaMart Jimenezborough</v>
      </c>
      <c r="M2558">
        <f>VLOOKUP(D2558,Products!A:E,5,FALSE)</f>
        <v>818.76</v>
      </c>
      <c r="N2558" s="5">
        <f t="shared" si="39"/>
        <v>2783.7840000000001</v>
      </c>
    </row>
    <row r="2559" spans="1:14" x14ac:dyDescent="0.3">
      <c r="A2559" t="s">
        <v>3415</v>
      </c>
      <c r="B2559" s="2">
        <v>45758</v>
      </c>
      <c r="C2559" t="s">
        <v>396</v>
      </c>
      <c r="D2559" t="s">
        <v>816</v>
      </c>
      <c r="E2559" t="s">
        <v>835</v>
      </c>
      <c r="F2559">
        <v>1</v>
      </c>
      <c r="G2559">
        <v>0.05</v>
      </c>
      <c r="H2559" t="s">
        <v>861</v>
      </c>
      <c r="I2559" t="str">
        <f>VLOOKUP(C2559,Customers!A:C,2,FALSE)&amp;" "&amp;VLOOKUP(C2559,Customers!A:C,3,FALSE)</f>
        <v>Kevin Flores</v>
      </c>
      <c r="J2559" t="str">
        <f>VLOOKUP(D2559,Products!A:C,2,FALSE)</f>
        <v>Set Dairy</v>
      </c>
      <c r="K2559" t="str">
        <f>VLOOKUP(D2559,Products!A:C,3,FALSE)</f>
        <v>Groceries</v>
      </c>
      <c r="L2559" t="str">
        <f>VLOOKUP(E2559,Stores!A:B,2,FALSE)</f>
        <v>MegaMart Peckmouth</v>
      </c>
      <c r="M2559">
        <f>VLOOKUP(D2559,Products!A:E,5,FALSE)</f>
        <v>1879.08</v>
      </c>
      <c r="N2559" s="5">
        <f t="shared" si="39"/>
        <v>1785.1259999999997</v>
      </c>
    </row>
    <row r="2560" spans="1:14" x14ac:dyDescent="0.3">
      <c r="A2560" t="s">
        <v>3416</v>
      </c>
      <c r="B2560" s="2">
        <v>45387</v>
      </c>
      <c r="C2560" t="s">
        <v>563</v>
      </c>
      <c r="D2560" t="s">
        <v>820</v>
      </c>
      <c r="E2560" t="s">
        <v>846</v>
      </c>
      <c r="F2560">
        <v>5</v>
      </c>
      <c r="G2560">
        <v>0</v>
      </c>
      <c r="H2560" t="s">
        <v>858</v>
      </c>
      <c r="I2560" t="str">
        <f>VLOOKUP(C2560,Customers!A:C,2,FALSE)&amp;" "&amp;VLOOKUP(C2560,Customers!A:C,3,FALSE)</f>
        <v>Connie Terry</v>
      </c>
      <c r="J2560" t="str">
        <f>VLOOKUP(D2560,Products!A:C,2,FALSE)</f>
        <v>Or Smartphone</v>
      </c>
      <c r="K2560" t="str">
        <f>VLOOKUP(D2560,Products!A:C,3,FALSE)</f>
        <v>Electronics</v>
      </c>
      <c r="L2560" t="str">
        <f>VLOOKUP(E2560,Stores!A:B,2,FALSE)</f>
        <v>MegaMart Johnmouth</v>
      </c>
      <c r="M2560">
        <f>VLOOKUP(D2560,Products!A:E,5,FALSE)</f>
        <v>1197.18</v>
      </c>
      <c r="N2560" s="5">
        <f t="shared" si="39"/>
        <v>5985.9000000000005</v>
      </c>
    </row>
    <row r="2561" spans="1:14" x14ac:dyDescent="0.3">
      <c r="A2561" t="s">
        <v>3417</v>
      </c>
      <c r="B2561" s="2">
        <v>45887</v>
      </c>
      <c r="C2561" t="s">
        <v>28</v>
      </c>
      <c r="D2561" t="s">
        <v>816</v>
      </c>
      <c r="E2561" t="s">
        <v>839</v>
      </c>
      <c r="F2561">
        <v>5</v>
      </c>
      <c r="G2561">
        <v>0.05</v>
      </c>
      <c r="H2561" t="s">
        <v>861</v>
      </c>
      <c r="I2561" t="str">
        <f>VLOOKUP(C2561,Customers!A:C,2,FALSE)&amp;" "&amp;VLOOKUP(C2561,Customers!A:C,3,FALSE)</f>
        <v>Danny Moore</v>
      </c>
      <c r="J2561" t="str">
        <f>VLOOKUP(D2561,Products!A:C,2,FALSE)</f>
        <v>Set Dairy</v>
      </c>
      <c r="K2561" t="str">
        <f>VLOOKUP(D2561,Products!A:C,3,FALSE)</f>
        <v>Groceries</v>
      </c>
      <c r="L2561" t="str">
        <f>VLOOKUP(E2561,Stores!A:B,2,FALSE)</f>
        <v>MegaMart New Michele</v>
      </c>
      <c r="M2561">
        <f>VLOOKUP(D2561,Products!A:E,5,FALSE)</f>
        <v>1879.08</v>
      </c>
      <c r="N2561" s="5">
        <f t="shared" si="39"/>
        <v>8925.6299999999992</v>
      </c>
    </row>
    <row r="2562" spans="1:14" x14ac:dyDescent="0.3">
      <c r="A2562" t="s">
        <v>3418</v>
      </c>
      <c r="B2562" s="2">
        <v>45701</v>
      </c>
      <c r="C2562" t="s">
        <v>531</v>
      </c>
      <c r="D2562" t="s">
        <v>790</v>
      </c>
      <c r="E2562" t="s">
        <v>842</v>
      </c>
      <c r="F2562">
        <v>1</v>
      </c>
      <c r="G2562">
        <v>0.1</v>
      </c>
      <c r="H2562" t="s">
        <v>865</v>
      </c>
      <c r="I2562" t="str">
        <f>VLOOKUP(C2562,Customers!A:C,2,FALSE)&amp;" "&amp;VLOOKUP(C2562,Customers!A:C,3,FALSE)</f>
        <v>John Johnson</v>
      </c>
      <c r="J2562" t="str">
        <f>VLOOKUP(D2562,Products!A:C,2,FALSE)</f>
        <v>Difficult Vegetables</v>
      </c>
      <c r="K2562" t="str">
        <f>VLOOKUP(D2562,Products!A:C,3,FALSE)</f>
        <v>Groceries</v>
      </c>
      <c r="L2562" t="str">
        <f>VLOOKUP(E2562,Stores!A:B,2,FALSE)</f>
        <v>MegaMart Brianahaven</v>
      </c>
      <c r="M2562">
        <f>VLOOKUP(D2562,Products!A:E,5,FALSE)</f>
        <v>304.70999999999998</v>
      </c>
      <c r="N2562" s="5">
        <f t="shared" si="39"/>
        <v>274.23899999999998</v>
      </c>
    </row>
    <row r="2563" spans="1:14" x14ac:dyDescent="0.3">
      <c r="A2563" t="s">
        <v>3419</v>
      </c>
      <c r="B2563" s="2">
        <v>45271</v>
      </c>
      <c r="C2563" t="s">
        <v>673</v>
      </c>
      <c r="D2563" t="s">
        <v>711</v>
      </c>
      <c r="E2563" t="s">
        <v>846</v>
      </c>
      <c r="F2563">
        <v>4</v>
      </c>
      <c r="G2563">
        <v>0.05</v>
      </c>
      <c r="H2563" t="s">
        <v>861</v>
      </c>
      <c r="I2563" t="str">
        <f>VLOOKUP(C2563,Customers!A:C,2,FALSE)&amp;" "&amp;VLOOKUP(C2563,Customers!A:C,3,FALSE)</f>
        <v>Karen Quinn</v>
      </c>
      <c r="J2563" t="str">
        <f>VLOOKUP(D2563,Products!A:C,2,FALSE)</f>
        <v>Like Camera</v>
      </c>
      <c r="K2563" t="str">
        <f>VLOOKUP(D2563,Products!A:C,3,FALSE)</f>
        <v>Electronics</v>
      </c>
      <c r="L2563" t="str">
        <f>VLOOKUP(E2563,Stores!A:B,2,FALSE)</f>
        <v>MegaMart Johnmouth</v>
      </c>
      <c r="M2563">
        <f>VLOOKUP(D2563,Products!A:E,5,FALSE)</f>
        <v>1673.69</v>
      </c>
      <c r="N2563" s="5">
        <f t="shared" ref="N2563:N2626" si="40">F2563*M2563*(1-G2563)</f>
        <v>6360.0219999999999</v>
      </c>
    </row>
    <row r="2564" spans="1:14" x14ac:dyDescent="0.3">
      <c r="A2564" t="s">
        <v>3420</v>
      </c>
      <c r="B2564" s="2">
        <v>45867</v>
      </c>
      <c r="C2564" t="s">
        <v>438</v>
      </c>
      <c r="D2564" t="s">
        <v>802</v>
      </c>
      <c r="E2564" t="s">
        <v>839</v>
      </c>
      <c r="F2564">
        <v>2</v>
      </c>
      <c r="G2564">
        <v>0.05</v>
      </c>
      <c r="H2564" t="s">
        <v>858</v>
      </c>
      <c r="I2564" t="str">
        <f>VLOOKUP(C2564,Customers!A:C,2,FALSE)&amp;" "&amp;VLOOKUP(C2564,Customers!A:C,3,FALSE)</f>
        <v>Gina Bradford</v>
      </c>
      <c r="J2564" t="str">
        <f>VLOOKUP(D2564,Products!A:C,2,FALSE)</f>
        <v>Stage Footwear</v>
      </c>
      <c r="K2564" t="str">
        <f>VLOOKUP(D2564,Products!A:C,3,FALSE)</f>
        <v>Fashion</v>
      </c>
      <c r="L2564" t="str">
        <f>VLOOKUP(E2564,Stores!A:B,2,FALSE)</f>
        <v>MegaMart New Michele</v>
      </c>
      <c r="M2564">
        <f>VLOOKUP(D2564,Products!A:E,5,FALSE)</f>
        <v>366.93</v>
      </c>
      <c r="N2564" s="5">
        <f t="shared" si="40"/>
        <v>697.16700000000003</v>
      </c>
    </row>
    <row r="2565" spans="1:14" x14ac:dyDescent="0.3">
      <c r="A2565" t="s">
        <v>3421</v>
      </c>
      <c r="B2565" s="2">
        <v>45382</v>
      </c>
      <c r="C2565" t="s">
        <v>647</v>
      </c>
      <c r="D2565" t="s">
        <v>725</v>
      </c>
      <c r="E2565" t="s">
        <v>835</v>
      </c>
      <c r="F2565">
        <v>3</v>
      </c>
      <c r="G2565">
        <v>0.05</v>
      </c>
      <c r="H2565" t="s">
        <v>855</v>
      </c>
      <c r="I2565" t="str">
        <f>VLOOKUP(C2565,Customers!A:C,2,FALSE)&amp;" "&amp;VLOOKUP(C2565,Customers!A:C,3,FALSE)</f>
        <v>Mary Dawson</v>
      </c>
      <c r="J2565" t="str">
        <f>VLOOKUP(D2565,Products!A:C,2,FALSE)</f>
        <v>Knowledge Bags</v>
      </c>
      <c r="K2565" t="str">
        <f>VLOOKUP(D2565,Products!A:C,3,FALSE)</f>
        <v>Fashion</v>
      </c>
      <c r="L2565" t="str">
        <f>VLOOKUP(E2565,Stores!A:B,2,FALSE)</f>
        <v>MegaMart Peckmouth</v>
      </c>
      <c r="M2565">
        <f>VLOOKUP(D2565,Products!A:E,5,FALSE)</f>
        <v>1396.22</v>
      </c>
      <c r="N2565" s="5">
        <f t="shared" si="40"/>
        <v>3979.2269999999999</v>
      </c>
    </row>
    <row r="2566" spans="1:14" x14ac:dyDescent="0.3">
      <c r="A2566" t="s">
        <v>3422</v>
      </c>
      <c r="B2566" s="2">
        <v>45900</v>
      </c>
      <c r="C2566" t="s">
        <v>71</v>
      </c>
      <c r="D2566" t="s">
        <v>728</v>
      </c>
      <c r="E2566" t="s">
        <v>831</v>
      </c>
      <c r="F2566">
        <v>2</v>
      </c>
      <c r="G2566">
        <v>0.15</v>
      </c>
      <c r="H2566" t="s">
        <v>858</v>
      </c>
      <c r="I2566" t="str">
        <f>VLOOKUP(C2566,Customers!A:C,2,FALSE)&amp;" "&amp;VLOOKUP(C2566,Customers!A:C,3,FALSE)</f>
        <v>Vanessa Anderson</v>
      </c>
      <c r="J2566" t="str">
        <f>VLOOKUP(D2566,Products!A:C,2,FALSE)</f>
        <v>Company Fruits</v>
      </c>
      <c r="K2566" t="str">
        <f>VLOOKUP(D2566,Products!A:C,3,FALSE)</f>
        <v>Groceries</v>
      </c>
      <c r="L2566" t="str">
        <f>VLOOKUP(E2566,Stores!A:B,2,FALSE)</f>
        <v>MegaMart Jimenezborough</v>
      </c>
      <c r="M2566">
        <f>VLOOKUP(D2566,Products!A:E,5,FALSE)</f>
        <v>318.05</v>
      </c>
      <c r="N2566" s="5">
        <f t="shared" si="40"/>
        <v>540.68500000000006</v>
      </c>
    </row>
    <row r="2567" spans="1:14" x14ac:dyDescent="0.3">
      <c r="A2567" t="s">
        <v>3423</v>
      </c>
      <c r="B2567" s="2">
        <v>45191</v>
      </c>
      <c r="C2567" t="s">
        <v>241</v>
      </c>
      <c r="D2567" t="s">
        <v>766</v>
      </c>
      <c r="E2567" t="s">
        <v>846</v>
      </c>
      <c r="F2567">
        <v>4</v>
      </c>
      <c r="G2567">
        <v>0.05</v>
      </c>
      <c r="H2567" t="s">
        <v>861</v>
      </c>
      <c r="I2567" t="str">
        <f>VLOOKUP(C2567,Customers!A:C,2,FALSE)&amp;" "&amp;VLOOKUP(C2567,Customers!A:C,3,FALSE)</f>
        <v>Michael Johnson</v>
      </c>
      <c r="J2567" t="str">
        <f>VLOOKUP(D2567,Products!A:C,2,FALSE)</f>
        <v>Firm Dairy</v>
      </c>
      <c r="K2567" t="str">
        <f>VLOOKUP(D2567,Products!A:C,3,FALSE)</f>
        <v>Groceries</v>
      </c>
      <c r="L2567" t="str">
        <f>VLOOKUP(E2567,Stores!A:B,2,FALSE)</f>
        <v>MegaMart Johnmouth</v>
      </c>
      <c r="M2567">
        <f>VLOOKUP(D2567,Products!A:E,5,FALSE)</f>
        <v>1227.24</v>
      </c>
      <c r="N2567" s="5">
        <f t="shared" si="40"/>
        <v>4663.5119999999997</v>
      </c>
    </row>
    <row r="2568" spans="1:14" x14ac:dyDescent="0.3">
      <c r="A2568" t="s">
        <v>3424</v>
      </c>
      <c r="B2568" s="2">
        <v>45808</v>
      </c>
      <c r="C2568" t="s">
        <v>442</v>
      </c>
      <c r="D2568" t="s">
        <v>782</v>
      </c>
      <c r="E2568" t="s">
        <v>846</v>
      </c>
      <c r="F2568">
        <v>1</v>
      </c>
      <c r="G2568">
        <v>0.1</v>
      </c>
      <c r="H2568" t="s">
        <v>861</v>
      </c>
      <c r="I2568" t="str">
        <f>VLOOKUP(C2568,Customers!A:C,2,FALSE)&amp;" "&amp;VLOOKUP(C2568,Customers!A:C,3,FALSE)</f>
        <v>Jason Lloyd</v>
      </c>
      <c r="J2568" t="str">
        <f>VLOOKUP(D2568,Products!A:C,2,FALSE)</f>
        <v>Deal Smartphone</v>
      </c>
      <c r="K2568" t="str">
        <f>VLOOKUP(D2568,Products!A:C,3,FALSE)</f>
        <v>Electronics</v>
      </c>
      <c r="L2568" t="str">
        <f>VLOOKUP(E2568,Stores!A:B,2,FALSE)</f>
        <v>MegaMart Johnmouth</v>
      </c>
      <c r="M2568">
        <f>VLOOKUP(D2568,Products!A:E,5,FALSE)</f>
        <v>673.78</v>
      </c>
      <c r="N2568" s="5">
        <f t="shared" si="40"/>
        <v>606.40200000000004</v>
      </c>
    </row>
    <row r="2569" spans="1:14" x14ac:dyDescent="0.3">
      <c r="A2569" t="s">
        <v>3425</v>
      </c>
      <c r="B2569" s="2">
        <v>45762</v>
      </c>
      <c r="C2569" t="s">
        <v>241</v>
      </c>
      <c r="D2569" t="s">
        <v>826</v>
      </c>
      <c r="E2569" t="s">
        <v>842</v>
      </c>
      <c r="F2569">
        <v>1</v>
      </c>
      <c r="G2569">
        <v>0</v>
      </c>
      <c r="H2569" t="s">
        <v>865</v>
      </c>
      <c r="I2569" t="str">
        <f>VLOOKUP(C2569,Customers!A:C,2,FALSE)&amp;" "&amp;VLOOKUP(C2569,Customers!A:C,3,FALSE)</f>
        <v>Michael Johnson</v>
      </c>
      <c r="J2569" t="str">
        <f>VLOOKUP(D2569,Products!A:C,2,FALSE)</f>
        <v>Maybe Footwear</v>
      </c>
      <c r="K2569" t="str">
        <f>VLOOKUP(D2569,Products!A:C,3,FALSE)</f>
        <v>Fashion</v>
      </c>
      <c r="L2569" t="str">
        <f>VLOOKUP(E2569,Stores!A:B,2,FALSE)</f>
        <v>MegaMart Brianahaven</v>
      </c>
      <c r="M2569">
        <f>VLOOKUP(D2569,Products!A:E,5,FALSE)</f>
        <v>1044.6400000000001</v>
      </c>
      <c r="N2569" s="5">
        <f t="shared" si="40"/>
        <v>1044.6400000000001</v>
      </c>
    </row>
    <row r="2570" spans="1:14" x14ac:dyDescent="0.3">
      <c r="A2570" t="s">
        <v>3426</v>
      </c>
      <c r="B2570" s="2">
        <v>45860</v>
      </c>
      <c r="C2570" t="s">
        <v>621</v>
      </c>
      <c r="D2570" t="s">
        <v>774</v>
      </c>
      <c r="E2570" t="s">
        <v>842</v>
      </c>
      <c r="F2570">
        <v>5</v>
      </c>
      <c r="G2570">
        <v>0.15</v>
      </c>
      <c r="H2570" t="s">
        <v>858</v>
      </c>
      <c r="I2570" t="str">
        <f>VLOOKUP(C2570,Customers!A:C,2,FALSE)&amp;" "&amp;VLOOKUP(C2570,Customers!A:C,3,FALSE)</f>
        <v>Stacey Thompson</v>
      </c>
      <c r="J2570" t="str">
        <f>VLOOKUP(D2570,Products!A:C,2,FALSE)</f>
        <v>Him Smartphone</v>
      </c>
      <c r="K2570" t="str">
        <f>VLOOKUP(D2570,Products!A:C,3,FALSE)</f>
        <v>Electronics</v>
      </c>
      <c r="L2570" t="str">
        <f>VLOOKUP(E2570,Stores!A:B,2,FALSE)</f>
        <v>MegaMart Brianahaven</v>
      </c>
      <c r="M2570">
        <f>VLOOKUP(D2570,Products!A:E,5,FALSE)</f>
        <v>1487.41</v>
      </c>
      <c r="N2570" s="5">
        <f t="shared" si="40"/>
        <v>6321.4925000000003</v>
      </c>
    </row>
    <row r="2571" spans="1:14" x14ac:dyDescent="0.3">
      <c r="A2571" t="s">
        <v>3427</v>
      </c>
      <c r="B2571" s="2">
        <v>45457</v>
      </c>
      <c r="C2571" t="s">
        <v>77</v>
      </c>
      <c r="D2571" t="s">
        <v>750</v>
      </c>
      <c r="E2571" t="s">
        <v>842</v>
      </c>
      <c r="F2571">
        <v>3</v>
      </c>
      <c r="G2571">
        <v>0</v>
      </c>
      <c r="H2571" t="s">
        <v>865</v>
      </c>
      <c r="I2571" t="str">
        <f>VLOOKUP(C2571,Customers!A:C,2,FALSE)&amp;" "&amp;VLOOKUP(C2571,Customers!A:C,3,FALSE)</f>
        <v>John Smith</v>
      </c>
      <c r="J2571" t="str">
        <f>VLOOKUP(D2571,Products!A:C,2,FALSE)</f>
        <v>Add Clothing</v>
      </c>
      <c r="K2571" t="str">
        <f>VLOOKUP(D2571,Products!A:C,3,FALSE)</f>
        <v>Fashion</v>
      </c>
      <c r="L2571" t="str">
        <f>VLOOKUP(E2571,Stores!A:B,2,FALSE)</f>
        <v>MegaMart Brianahaven</v>
      </c>
      <c r="M2571">
        <f>VLOOKUP(D2571,Products!A:E,5,FALSE)</f>
        <v>1342.75</v>
      </c>
      <c r="N2571" s="5">
        <f t="shared" si="40"/>
        <v>4028.25</v>
      </c>
    </row>
    <row r="2572" spans="1:14" x14ac:dyDescent="0.3">
      <c r="A2572" t="s">
        <v>3428</v>
      </c>
      <c r="B2572" s="2">
        <v>45508</v>
      </c>
      <c r="C2572" t="s">
        <v>422</v>
      </c>
      <c r="D2572" t="s">
        <v>816</v>
      </c>
      <c r="E2572" t="s">
        <v>842</v>
      </c>
      <c r="F2572">
        <v>1</v>
      </c>
      <c r="G2572">
        <v>0.1</v>
      </c>
      <c r="H2572" t="s">
        <v>858</v>
      </c>
      <c r="I2572" t="str">
        <f>VLOOKUP(C2572,Customers!A:C,2,FALSE)&amp;" "&amp;VLOOKUP(C2572,Customers!A:C,3,FALSE)</f>
        <v>Heidi Wilson</v>
      </c>
      <c r="J2572" t="str">
        <f>VLOOKUP(D2572,Products!A:C,2,FALSE)</f>
        <v>Set Dairy</v>
      </c>
      <c r="K2572" t="str">
        <f>VLOOKUP(D2572,Products!A:C,3,FALSE)</f>
        <v>Groceries</v>
      </c>
      <c r="L2572" t="str">
        <f>VLOOKUP(E2572,Stores!A:B,2,FALSE)</f>
        <v>MegaMart Brianahaven</v>
      </c>
      <c r="M2572">
        <f>VLOOKUP(D2572,Products!A:E,5,FALSE)</f>
        <v>1879.08</v>
      </c>
      <c r="N2572" s="5">
        <f t="shared" si="40"/>
        <v>1691.172</v>
      </c>
    </row>
    <row r="2573" spans="1:14" x14ac:dyDescent="0.3">
      <c r="A2573" t="s">
        <v>3429</v>
      </c>
      <c r="B2573" s="2">
        <v>45341</v>
      </c>
      <c r="C2573" t="s">
        <v>657</v>
      </c>
      <c r="D2573" t="s">
        <v>736</v>
      </c>
      <c r="E2573" t="s">
        <v>831</v>
      </c>
      <c r="F2573">
        <v>3</v>
      </c>
      <c r="G2573">
        <v>0.15</v>
      </c>
      <c r="H2573" t="s">
        <v>858</v>
      </c>
      <c r="I2573" t="str">
        <f>VLOOKUP(C2573,Customers!A:C,2,FALSE)&amp;" "&amp;VLOOKUP(C2573,Customers!A:C,3,FALSE)</f>
        <v>Vicki Guzman</v>
      </c>
      <c r="J2573" t="str">
        <f>VLOOKUP(D2573,Products!A:C,2,FALSE)</f>
        <v>Us Snacks</v>
      </c>
      <c r="K2573" t="str">
        <f>VLOOKUP(D2573,Products!A:C,3,FALSE)</f>
        <v>Groceries</v>
      </c>
      <c r="L2573" t="str">
        <f>VLOOKUP(E2573,Stores!A:B,2,FALSE)</f>
        <v>MegaMart Jimenezborough</v>
      </c>
      <c r="M2573">
        <f>VLOOKUP(D2573,Products!A:E,5,FALSE)</f>
        <v>123.19</v>
      </c>
      <c r="N2573" s="5">
        <f t="shared" si="40"/>
        <v>314.1345</v>
      </c>
    </row>
    <row r="2574" spans="1:14" x14ac:dyDescent="0.3">
      <c r="A2574" t="s">
        <v>3430</v>
      </c>
      <c r="B2574" s="2">
        <v>45661</v>
      </c>
      <c r="C2574" t="s">
        <v>411</v>
      </c>
      <c r="D2574" t="s">
        <v>736</v>
      </c>
      <c r="E2574" t="s">
        <v>831</v>
      </c>
      <c r="F2574">
        <v>1</v>
      </c>
      <c r="G2574">
        <v>0.05</v>
      </c>
      <c r="H2574" t="s">
        <v>855</v>
      </c>
      <c r="I2574" t="str">
        <f>VLOOKUP(C2574,Customers!A:C,2,FALSE)&amp;" "&amp;VLOOKUP(C2574,Customers!A:C,3,FALSE)</f>
        <v>Travis Peters</v>
      </c>
      <c r="J2574" t="str">
        <f>VLOOKUP(D2574,Products!A:C,2,FALSE)</f>
        <v>Us Snacks</v>
      </c>
      <c r="K2574" t="str">
        <f>VLOOKUP(D2574,Products!A:C,3,FALSE)</f>
        <v>Groceries</v>
      </c>
      <c r="L2574" t="str">
        <f>VLOOKUP(E2574,Stores!A:B,2,FALSE)</f>
        <v>MegaMart Jimenezborough</v>
      </c>
      <c r="M2574">
        <f>VLOOKUP(D2574,Products!A:E,5,FALSE)</f>
        <v>123.19</v>
      </c>
      <c r="N2574" s="5">
        <f t="shared" si="40"/>
        <v>117.03049999999999</v>
      </c>
    </row>
    <row r="2575" spans="1:14" x14ac:dyDescent="0.3">
      <c r="A2575" t="s">
        <v>3431</v>
      </c>
      <c r="B2575" s="2">
        <v>45730</v>
      </c>
      <c r="C2575" t="s">
        <v>687</v>
      </c>
      <c r="D2575" t="s">
        <v>722</v>
      </c>
      <c r="E2575" t="s">
        <v>846</v>
      </c>
      <c r="F2575">
        <v>1</v>
      </c>
      <c r="G2575">
        <v>0.05</v>
      </c>
      <c r="H2575" t="s">
        <v>855</v>
      </c>
      <c r="I2575" t="str">
        <f>VLOOKUP(C2575,Customers!A:C,2,FALSE)&amp;" "&amp;VLOOKUP(C2575,Customers!A:C,3,FALSE)</f>
        <v>James Mitchell</v>
      </c>
      <c r="J2575" t="str">
        <f>VLOOKUP(D2575,Products!A:C,2,FALSE)</f>
        <v>Four Accessories</v>
      </c>
      <c r="K2575" t="str">
        <f>VLOOKUP(D2575,Products!A:C,3,FALSE)</f>
        <v>Fashion</v>
      </c>
      <c r="L2575" t="str">
        <f>VLOOKUP(E2575,Stores!A:B,2,FALSE)</f>
        <v>MegaMart Johnmouth</v>
      </c>
      <c r="M2575">
        <f>VLOOKUP(D2575,Products!A:E,5,FALSE)</f>
        <v>1853.77</v>
      </c>
      <c r="N2575" s="5">
        <f t="shared" si="40"/>
        <v>1761.0815</v>
      </c>
    </row>
    <row r="2576" spans="1:14" x14ac:dyDescent="0.3">
      <c r="A2576" t="s">
        <v>3432</v>
      </c>
      <c r="B2576" s="2">
        <v>45818</v>
      </c>
      <c r="C2576" t="s">
        <v>396</v>
      </c>
      <c r="D2576" t="s">
        <v>747</v>
      </c>
      <c r="E2576" t="s">
        <v>839</v>
      </c>
      <c r="F2576">
        <v>2</v>
      </c>
      <c r="G2576">
        <v>0.05</v>
      </c>
      <c r="H2576" t="s">
        <v>858</v>
      </c>
      <c r="I2576" t="str">
        <f>VLOOKUP(C2576,Customers!A:C,2,FALSE)&amp;" "&amp;VLOOKUP(C2576,Customers!A:C,3,FALSE)</f>
        <v>Kevin Flores</v>
      </c>
      <c r="J2576" t="str">
        <f>VLOOKUP(D2576,Products!A:C,2,FALSE)</f>
        <v>World Watches</v>
      </c>
      <c r="K2576" t="str">
        <f>VLOOKUP(D2576,Products!A:C,3,FALSE)</f>
        <v>Fashion</v>
      </c>
      <c r="L2576" t="str">
        <f>VLOOKUP(E2576,Stores!A:B,2,FALSE)</f>
        <v>MegaMart New Michele</v>
      </c>
      <c r="M2576">
        <f>VLOOKUP(D2576,Products!A:E,5,FALSE)</f>
        <v>1134.8</v>
      </c>
      <c r="N2576" s="5">
        <f t="shared" si="40"/>
        <v>2156.12</v>
      </c>
    </row>
    <row r="2577" spans="1:14" x14ac:dyDescent="0.3">
      <c r="A2577" t="s">
        <v>3433</v>
      </c>
      <c r="B2577" s="2">
        <v>45887</v>
      </c>
      <c r="C2577" t="s">
        <v>210</v>
      </c>
      <c r="D2577" t="s">
        <v>798</v>
      </c>
      <c r="E2577" t="s">
        <v>839</v>
      </c>
      <c r="F2577">
        <v>1</v>
      </c>
      <c r="G2577">
        <v>0.1</v>
      </c>
      <c r="H2577" t="s">
        <v>865</v>
      </c>
      <c r="I2577" t="str">
        <f>VLOOKUP(C2577,Customers!A:C,2,FALSE)&amp;" "&amp;VLOOKUP(C2577,Customers!A:C,3,FALSE)</f>
        <v>Crystal Johnson</v>
      </c>
      <c r="J2577" t="str">
        <f>VLOOKUP(D2577,Products!A:C,2,FALSE)</f>
        <v>New Watches</v>
      </c>
      <c r="K2577" t="str">
        <f>VLOOKUP(D2577,Products!A:C,3,FALSE)</f>
        <v>Fashion</v>
      </c>
      <c r="L2577" t="str">
        <f>VLOOKUP(E2577,Stores!A:B,2,FALSE)</f>
        <v>MegaMart New Michele</v>
      </c>
      <c r="M2577">
        <f>VLOOKUP(D2577,Products!A:E,5,FALSE)</f>
        <v>1501.46</v>
      </c>
      <c r="N2577" s="5">
        <f t="shared" si="40"/>
        <v>1351.3140000000001</v>
      </c>
    </row>
    <row r="2578" spans="1:14" x14ac:dyDescent="0.3">
      <c r="A2578" t="s">
        <v>3434</v>
      </c>
      <c r="B2578" s="2">
        <v>45478</v>
      </c>
      <c r="C2578" t="s">
        <v>438</v>
      </c>
      <c r="D2578" t="s">
        <v>784</v>
      </c>
      <c r="E2578" t="s">
        <v>842</v>
      </c>
      <c r="F2578">
        <v>2</v>
      </c>
      <c r="G2578">
        <v>0.1</v>
      </c>
      <c r="H2578" t="s">
        <v>855</v>
      </c>
      <c r="I2578" t="str">
        <f>VLOOKUP(C2578,Customers!A:C,2,FALSE)&amp;" "&amp;VLOOKUP(C2578,Customers!A:C,3,FALSE)</f>
        <v>Gina Bradford</v>
      </c>
      <c r="J2578" t="str">
        <f>VLOOKUP(D2578,Products!A:C,2,FALSE)</f>
        <v>Road Clothing</v>
      </c>
      <c r="K2578" t="str">
        <f>VLOOKUP(D2578,Products!A:C,3,FALSE)</f>
        <v>Fashion</v>
      </c>
      <c r="L2578" t="str">
        <f>VLOOKUP(E2578,Stores!A:B,2,FALSE)</f>
        <v>MegaMart Brianahaven</v>
      </c>
      <c r="M2578">
        <f>VLOOKUP(D2578,Products!A:E,5,FALSE)</f>
        <v>1485.05</v>
      </c>
      <c r="N2578" s="5">
        <f t="shared" si="40"/>
        <v>2673.09</v>
      </c>
    </row>
    <row r="2579" spans="1:14" x14ac:dyDescent="0.3">
      <c r="A2579" t="s">
        <v>3435</v>
      </c>
      <c r="B2579" s="2">
        <v>45376</v>
      </c>
      <c r="C2579" t="s">
        <v>287</v>
      </c>
      <c r="D2579" t="s">
        <v>782</v>
      </c>
      <c r="E2579" t="s">
        <v>842</v>
      </c>
      <c r="F2579">
        <v>3</v>
      </c>
      <c r="G2579">
        <v>0.15</v>
      </c>
      <c r="H2579" t="s">
        <v>855</v>
      </c>
      <c r="I2579" t="str">
        <f>VLOOKUP(C2579,Customers!A:C,2,FALSE)&amp;" "&amp;VLOOKUP(C2579,Customers!A:C,3,FALSE)</f>
        <v>Phyllis Durham</v>
      </c>
      <c r="J2579" t="str">
        <f>VLOOKUP(D2579,Products!A:C,2,FALSE)</f>
        <v>Deal Smartphone</v>
      </c>
      <c r="K2579" t="str">
        <f>VLOOKUP(D2579,Products!A:C,3,FALSE)</f>
        <v>Electronics</v>
      </c>
      <c r="L2579" t="str">
        <f>VLOOKUP(E2579,Stores!A:B,2,FALSE)</f>
        <v>MegaMart Brianahaven</v>
      </c>
      <c r="M2579">
        <f>VLOOKUP(D2579,Products!A:E,5,FALSE)</f>
        <v>673.78</v>
      </c>
      <c r="N2579" s="5">
        <f t="shared" si="40"/>
        <v>1718.1389999999999</v>
      </c>
    </row>
    <row r="2580" spans="1:14" x14ac:dyDescent="0.3">
      <c r="A2580" t="s">
        <v>3436</v>
      </c>
      <c r="B2580" s="2">
        <v>45578</v>
      </c>
      <c r="C2580" t="s">
        <v>531</v>
      </c>
      <c r="D2580" t="s">
        <v>715</v>
      </c>
      <c r="E2580" t="s">
        <v>839</v>
      </c>
      <c r="F2580">
        <v>5</v>
      </c>
      <c r="G2580">
        <v>0</v>
      </c>
      <c r="H2580" t="s">
        <v>861</v>
      </c>
      <c r="I2580" t="str">
        <f>VLOOKUP(C2580,Customers!A:C,2,FALSE)&amp;" "&amp;VLOOKUP(C2580,Customers!A:C,3,FALSE)</f>
        <v>John Johnson</v>
      </c>
      <c r="J2580" t="str">
        <f>VLOOKUP(D2580,Products!A:C,2,FALSE)</f>
        <v>Audience Television</v>
      </c>
      <c r="K2580" t="str">
        <f>VLOOKUP(D2580,Products!A:C,3,FALSE)</f>
        <v>Electronics</v>
      </c>
      <c r="L2580" t="str">
        <f>VLOOKUP(E2580,Stores!A:B,2,FALSE)</f>
        <v>MegaMart New Michele</v>
      </c>
      <c r="M2580">
        <f>VLOOKUP(D2580,Products!A:E,5,FALSE)</f>
        <v>818.76</v>
      </c>
      <c r="N2580" s="5">
        <f t="shared" si="40"/>
        <v>4093.8</v>
      </c>
    </row>
    <row r="2581" spans="1:14" x14ac:dyDescent="0.3">
      <c r="A2581" t="s">
        <v>3437</v>
      </c>
      <c r="B2581" s="2">
        <v>45630</v>
      </c>
      <c r="C2581" t="s">
        <v>148</v>
      </c>
      <c r="D2581" t="s">
        <v>711</v>
      </c>
      <c r="E2581" t="s">
        <v>846</v>
      </c>
      <c r="F2581">
        <v>3</v>
      </c>
      <c r="G2581">
        <v>0</v>
      </c>
      <c r="H2581" t="s">
        <v>861</v>
      </c>
      <c r="I2581" t="str">
        <f>VLOOKUP(C2581,Customers!A:C,2,FALSE)&amp;" "&amp;VLOOKUP(C2581,Customers!A:C,3,FALSE)</f>
        <v>Tracey Davis</v>
      </c>
      <c r="J2581" t="str">
        <f>VLOOKUP(D2581,Products!A:C,2,FALSE)</f>
        <v>Like Camera</v>
      </c>
      <c r="K2581" t="str">
        <f>VLOOKUP(D2581,Products!A:C,3,FALSE)</f>
        <v>Electronics</v>
      </c>
      <c r="L2581" t="str">
        <f>VLOOKUP(E2581,Stores!A:B,2,FALSE)</f>
        <v>MegaMart Johnmouth</v>
      </c>
      <c r="M2581">
        <f>VLOOKUP(D2581,Products!A:E,5,FALSE)</f>
        <v>1673.69</v>
      </c>
      <c r="N2581" s="5">
        <f t="shared" si="40"/>
        <v>5021.07</v>
      </c>
    </row>
    <row r="2582" spans="1:14" x14ac:dyDescent="0.3">
      <c r="A2582" t="s">
        <v>3438</v>
      </c>
      <c r="B2582" s="2">
        <v>45702</v>
      </c>
      <c r="C2582" t="s">
        <v>358</v>
      </c>
      <c r="D2582" t="s">
        <v>798</v>
      </c>
      <c r="E2582" t="s">
        <v>846</v>
      </c>
      <c r="F2582">
        <v>3</v>
      </c>
      <c r="G2582">
        <v>0.1</v>
      </c>
      <c r="H2582" t="s">
        <v>855</v>
      </c>
      <c r="I2582" t="str">
        <f>VLOOKUP(C2582,Customers!A:C,2,FALSE)&amp;" "&amp;VLOOKUP(C2582,Customers!A:C,3,FALSE)</f>
        <v>Kevin Snyder</v>
      </c>
      <c r="J2582" t="str">
        <f>VLOOKUP(D2582,Products!A:C,2,FALSE)</f>
        <v>New Watches</v>
      </c>
      <c r="K2582" t="str">
        <f>VLOOKUP(D2582,Products!A:C,3,FALSE)</f>
        <v>Fashion</v>
      </c>
      <c r="L2582" t="str">
        <f>VLOOKUP(E2582,Stores!A:B,2,FALSE)</f>
        <v>MegaMart Johnmouth</v>
      </c>
      <c r="M2582">
        <f>VLOOKUP(D2582,Products!A:E,5,FALSE)</f>
        <v>1501.46</v>
      </c>
      <c r="N2582" s="5">
        <f t="shared" si="40"/>
        <v>4053.942</v>
      </c>
    </row>
    <row r="2583" spans="1:14" x14ac:dyDescent="0.3">
      <c r="A2583" t="s">
        <v>3439</v>
      </c>
      <c r="B2583" s="2">
        <v>45477</v>
      </c>
      <c r="C2583" t="s">
        <v>650</v>
      </c>
      <c r="D2583" t="s">
        <v>786</v>
      </c>
      <c r="E2583" t="s">
        <v>835</v>
      </c>
      <c r="F2583">
        <v>5</v>
      </c>
      <c r="G2583">
        <v>0.1</v>
      </c>
      <c r="H2583" t="s">
        <v>858</v>
      </c>
      <c r="I2583" t="str">
        <f>VLOOKUP(C2583,Customers!A:C,2,FALSE)&amp;" "&amp;VLOOKUP(C2583,Customers!A:C,3,FALSE)</f>
        <v>Daniel Mcintyre</v>
      </c>
      <c r="J2583" t="str">
        <f>VLOOKUP(D2583,Products!A:C,2,FALSE)</f>
        <v>National Watches</v>
      </c>
      <c r="K2583" t="str">
        <f>VLOOKUP(D2583,Products!A:C,3,FALSE)</f>
        <v>Fashion</v>
      </c>
      <c r="L2583" t="str">
        <f>VLOOKUP(E2583,Stores!A:B,2,FALSE)</f>
        <v>MegaMart Peckmouth</v>
      </c>
      <c r="M2583">
        <f>VLOOKUP(D2583,Products!A:E,5,FALSE)</f>
        <v>29.24</v>
      </c>
      <c r="N2583" s="5">
        <f t="shared" si="40"/>
        <v>131.57999999999998</v>
      </c>
    </row>
    <row r="2584" spans="1:14" x14ac:dyDescent="0.3">
      <c r="A2584" t="s">
        <v>3440</v>
      </c>
      <c r="B2584" s="2">
        <v>45882</v>
      </c>
      <c r="C2584" t="s">
        <v>647</v>
      </c>
      <c r="D2584" t="s">
        <v>715</v>
      </c>
      <c r="E2584" t="s">
        <v>842</v>
      </c>
      <c r="F2584">
        <v>3</v>
      </c>
      <c r="G2584">
        <v>0.05</v>
      </c>
      <c r="H2584" t="s">
        <v>861</v>
      </c>
      <c r="I2584" t="str">
        <f>VLOOKUP(C2584,Customers!A:C,2,FALSE)&amp;" "&amp;VLOOKUP(C2584,Customers!A:C,3,FALSE)</f>
        <v>Mary Dawson</v>
      </c>
      <c r="J2584" t="str">
        <f>VLOOKUP(D2584,Products!A:C,2,FALSE)</f>
        <v>Audience Television</v>
      </c>
      <c r="K2584" t="str">
        <f>VLOOKUP(D2584,Products!A:C,3,FALSE)</f>
        <v>Electronics</v>
      </c>
      <c r="L2584" t="str">
        <f>VLOOKUP(E2584,Stores!A:B,2,FALSE)</f>
        <v>MegaMart Brianahaven</v>
      </c>
      <c r="M2584">
        <f>VLOOKUP(D2584,Products!A:E,5,FALSE)</f>
        <v>818.76</v>
      </c>
      <c r="N2584" s="5">
        <f t="shared" si="40"/>
        <v>2333.4659999999994</v>
      </c>
    </row>
    <row r="2585" spans="1:14" x14ac:dyDescent="0.3">
      <c r="A2585" t="s">
        <v>3441</v>
      </c>
      <c r="B2585" s="2">
        <v>45569</v>
      </c>
      <c r="C2585" t="s">
        <v>148</v>
      </c>
      <c r="D2585" t="s">
        <v>782</v>
      </c>
      <c r="E2585" t="s">
        <v>846</v>
      </c>
      <c r="F2585">
        <v>3</v>
      </c>
      <c r="G2585">
        <v>0.15</v>
      </c>
      <c r="H2585" t="s">
        <v>855</v>
      </c>
      <c r="I2585" t="str">
        <f>VLOOKUP(C2585,Customers!A:C,2,FALSE)&amp;" "&amp;VLOOKUP(C2585,Customers!A:C,3,FALSE)</f>
        <v>Tracey Davis</v>
      </c>
      <c r="J2585" t="str">
        <f>VLOOKUP(D2585,Products!A:C,2,FALSE)</f>
        <v>Deal Smartphone</v>
      </c>
      <c r="K2585" t="str">
        <f>VLOOKUP(D2585,Products!A:C,3,FALSE)</f>
        <v>Electronics</v>
      </c>
      <c r="L2585" t="str">
        <f>VLOOKUP(E2585,Stores!A:B,2,FALSE)</f>
        <v>MegaMart Johnmouth</v>
      </c>
      <c r="M2585">
        <f>VLOOKUP(D2585,Products!A:E,5,FALSE)</f>
        <v>673.78</v>
      </c>
      <c r="N2585" s="5">
        <f t="shared" si="40"/>
        <v>1718.1389999999999</v>
      </c>
    </row>
    <row r="2586" spans="1:14" x14ac:dyDescent="0.3">
      <c r="A2586" t="s">
        <v>3442</v>
      </c>
      <c r="B2586" s="2">
        <v>45543</v>
      </c>
      <c r="C2586" t="s">
        <v>585</v>
      </c>
      <c r="D2586" t="s">
        <v>798</v>
      </c>
      <c r="E2586" t="s">
        <v>835</v>
      </c>
      <c r="F2586">
        <v>1</v>
      </c>
      <c r="G2586">
        <v>0.05</v>
      </c>
      <c r="H2586" t="s">
        <v>855</v>
      </c>
      <c r="I2586" t="str">
        <f>VLOOKUP(C2586,Customers!A:C,2,FALSE)&amp;" "&amp;VLOOKUP(C2586,Customers!A:C,3,FALSE)</f>
        <v>Linda Vasquez</v>
      </c>
      <c r="J2586" t="str">
        <f>VLOOKUP(D2586,Products!A:C,2,FALSE)</f>
        <v>New Watches</v>
      </c>
      <c r="K2586" t="str">
        <f>VLOOKUP(D2586,Products!A:C,3,FALSE)</f>
        <v>Fashion</v>
      </c>
      <c r="L2586" t="str">
        <f>VLOOKUP(E2586,Stores!A:B,2,FALSE)</f>
        <v>MegaMart Peckmouth</v>
      </c>
      <c r="M2586">
        <f>VLOOKUP(D2586,Products!A:E,5,FALSE)</f>
        <v>1501.46</v>
      </c>
      <c r="N2586" s="5">
        <f t="shared" si="40"/>
        <v>1426.3869999999999</v>
      </c>
    </row>
    <row r="2587" spans="1:14" x14ac:dyDescent="0.3">
      <c r="A2587" t="s">
        <v>3443</v>
      </c>
      <c r="B2587" s="2">
        <v>45244</v>
      </c>
      <c r="C2587" t="s">
        <v>148</v>
      </c>
      <c r="D2587" t="s">
        <v>814</v>
      </c>
      <c r="E2587" t="s">
        <v>846</v>
      </c>
      <c r="F2587">
        <v>1</v>
      </c>
      <c r="G2587">
        <v>0.1</v>
      </c>
      <c r="H2587" t="s">
        <v>855</v>
      </c>
      <c r="I2587" t="str">
        <f>VLOOKUP(C2587,Customers!A:C,2,FALSE)&amp;" "&amp;VLOOKUP(C2587,Customers!A:C,3,FALSE)</f>
        <v>Tracey Davis</v>
      </c>
      <c r="J2587" t="str">
        <f>VLOOKUP(D2587,Products!A:C,2,FALSE)</f>
        <v>Least Accessories</v>
      </c>
      <c r="K2587" t="str">
        <f>VLOOKUP(D2587,Products!A:C,3,FALSE)</f>
        <v>Fashion</v>
      </c>
      <c r="L2587" t="str">
        <f>VLOOKUP(E2587,Stores!A:B,2,FALSE)</f>
        <v>MegaMart Johnmouth</v>
      </c>
      <c r="M2587">
        <f>VLOOKUP(D2587,Products!A:E,5,FALSE)</f>
        <v>1286.55</v>
      </c>
      <c r="N2587" s="5">
        <f t="shared" si="40"/>
        <v>1157.895</v>
      </c>
    </row>
    <row r="2588" spans="1:14" x14ac:dyDescent="0.3">
      <c r="A2588" t="s">
        <v>3444</v>
      </c>
      <c r="B2588" s="2">
        <v>45866</v>
      </c>
      <c r="C2588" t="s">
        <v>653</v>
      </c>
      <c r="D2588" t="s">
        <v>814</v>
      </c>
      <c r="E2588" t="s">
        <v>846</v>
      </c>
      <c r="F2588">
        <v>5</v>
      </c>
      <c r="G2588">
        <v>0.15</v>
      </c>
      <c r="H2588" t="s">
        <v>858</v>
      </c>
      <c r="I2588" t="str">
        <f>VLOOKUP(C2588,Customers!A:C,2,FALSE)&amp;" "&amp;VLOOKUP(C2588,Customers!A:C,3,FALSE)</f>
        <v>Joe Vincent</v>
      </c>
      <c r="J2588" t="str">
        <f>VLOOKUP(D2588,Products!A:C,2,FALSE)</f>
        <v>Least Accessories</v>
      </c>
      <c r="K2588" t="str">
        <f>VLOOKUP(D2588,Products!A:C,3,FALSE)</f>
        <v>Fashion</v>
      </c>
      <c r="L2588" t="str">
        <f>VLOOKUP(E2588,Stores!A:B,2,FALSE)</f>
        <v>MegaMart Johnmouth</v>
      </c>
      <c r="M2588">
        <f>VLOOKUP(D2588,Products!A:E,5,FALSE)</f>
        <v>1286.55</v>
      </c>
      <c r="N2588" s="5">
        <f t="shared" si="40"/>
        <v>5467.8374999999996</v>
      </c>
    </row>
    <row r="2589" spans="1:14" x14ac:dyDescent="0.3">
      <c r="A2589" t="s">
        <v>3445</v>
      </c>
      <c r="B2589" s="2">
        <v>45288</v>
      </c>
      <c r="C2589" t="s">
        <v>570</v>
      </c>
      <c r="D2589" t="s">
        <v>774</v>
      </c>
      <c r="E2589" t="s">
        <v>835</v>
      </c>
      <c r="F2589">
        <v>3</v>
      </c>
      <c r="G2589">
        <v>0.05</v>
      </c>
      <c r="H2589" t="s">
        <v>855</v>
      </c>
      <c r="I2589" t="str">
        <f>VLOOKUP(C2589,Customers!A:C,2,FALSE)&amp;" "&amp;VLOOKUP(C2589,Customers!A:C,3,FALSE)</f>
        <v>Thomas Chung</v>
      </c>
      <c r="J2589" t="str">
        <f>VLOOKUP(D2589,Products!A:C,2,FALSE)</f>
        <v>Him Smartphone</v>
      </c>
      <c r="K2589" t="str">
        <f>VLOOKUP(D2589,Products!A:C,3,FALSE)</f>
        <v>Electronics</v>
      </c>
      <c r="L2589" t="str">
        <f>VLOOKUP(E2589,Stores!A:B,2,FALSE)</f>
        <v>MegaMart Peckmouth</v>
      </c>
      <c r="M2589">
        <f>VLOOKUP(D2589,Products!A:E,5,FALSE)</f>
        <v>1487.41</v>
      </c>
      <c r="N2589" s="5">
        <f t="shared" si="40"/>
        <v>4239.1185000000005</v>
      </c>
    </row>
    <row r="2590" spans="1:14" x14ac:dyDescent="0.3">
      <c r="A2590" t="s">
        <v>3446</v>
      </c>
      <c r="B2590" s="2">
        <v>45837</v>
      </c>
      <c r="C2590" t="s">
        <v>491</v>
      </c>
      <c r="D2590" t="s">
        <v>757</v>
      </c>
      <c r="E2590" t="s">
        <v>839</v>
      </c>
      <c r="F2590">
        <v>4</v>
      </c>
      <c r="G2590">
        <v>0.15</v>
      </c>
      <c r="H2590" t="s">
        <v>861</v>
      </c>
      <c r="I2590" t="str">
        <f>VLOOKUP(C2590,Customers!A:C,2,FALSE)&amp;" "&amp;VLOOKUP(C2590,Customers!A:C,3,FALSE)</f>
        <v>Emily Hart</v>
      </c>
      <c r="J2590" t="str">
        <f>VLOOKUP(D2590,Products!A:C,2,FALSE)</f>
        <v>Find Headphones</v>
      </c>
      <c r="K2590" t="str">
        <f>VLOOKUP(D2590,Products!A:C,3,FALSE)</f>
        <v>Electronics</v>
      </c>
      <c r="L2590" t="str">
        <f>VLOOKUP(E2590,Stores!A:B,2,FALSE)</f>
        <v>MegaMart New Michele</v>
      </c>
      <c r="M2590">
        <f>VLOOKUP(D2590,Products!A:E,5,FALSE)</f>
        <v>1246.1099999999999</v>
      </c>
      <c r="N2590" s="5">
        <f t="shared" si="40"/>
        <v>4236.7739999999994</v>
      </c>
    </row>
    <row r="2591" spans="1:14" x14ac:dyDescent="0.3">
      <c r="A2591" t="s">
        <v>3447</v>
      </c>
      <c r="B2591" s="2">
        <v>45243</v>
      </c>
      <c r="C2591" t="s">
        <v>494</v>
      </c>
      <c r="D2591" t="s">
        <v>826</v>
      </c>
      <c r="E2591" t="s">
        <v>842</v>
      </c>
      <c r="F2591">
        <v>2</v>
      </c>
      <c r="G2591">
        <v>0.15</v>
      </c>
      <c r="H2591" t="s">
        <v>858</v>
      </c>
      <c r="I2591" t="str">
        <f>VLOOKUP(C2591,Customers!A:C,2,FALSE)&amp;" "&amp;VLOOKUP(C2591,Customers!A:C,3,FALSE)</f>
        <v>Mario Cuevas</v>
      </c>
      <c r="J2591" t="str">
        <f>VLOOKUP(D2591,Products!A:C,2,FALSE)</f>
        <v>Maybe Footwear</v>
      </c>
      <c r="K2591" t="str">
        <f>VLOOKUP(D2591,Products!A:C,3,FALSE)</f>
        <v>Fashion</v>
      </c>
      <c r="L2591" t="str">
        <f>VLOOKUP(E2591,Stores!A:B,2,FALSE)</f>
        <v>MegaMart Brianahaven</v>
      </c>
      <c r="M2591">
        <f>VLOOKUP(D2591,Products!A:E,5,FALSE)</f>
        <v>1044.6400000000001</v>
      </c>
      <c r="N2591" s="5">
        <f t="shared" si="40"/>
        <v>1775.8880000000001</v>
      </c>
    </row>
    <row r="2592" spans="1:14" x14ac:dyDescent="0.3">
      <c r="A2592" t="s">
        <v>3448</v>
      </c>
      <c r="B2592" s="2">
        <v>45786</v>
      </c>
      <c r="C2592" t="s">
        <v>20</v>
      </c>
      <c r="D2592" t="s">
        <v>804</v>
      </c>
      <c r="E2592" t="s">
        <v>831</v>
      </c>
      <c r="F2592">
        <v>3</v>
      </c>
      <c r="G2592">
        <v>0.05</v>
      </c>
      <c r="H2592" t="s">
        <v>855</v>
      </c>
      <c r="I2592" t="str">
        <f>VLOOKUP(C2592,Customers!A:C,2,FALSE)&amp;" "&amp;VLOOKUP(C2592,Customers!A:C,3,FALSE)</f>
        <v>Joseph Ward</v>
      </c>
      <c r="J2592" t="str">
        <f>VLOOKUP(D2592,Products!A:C,2,FALSE)</f>
        <v>Church Clothing</v>
      </c>
      <c r="K2592" t="str">
        <f>VLOOKUP(D2592,Products!A:C,3,FALSE)</f>
        <v>Fashion</v>
      </c>
      <c r="L2592" t="str">
        <f>VLOOKUP(E2592,Stores!A:B,2,FALSE)</f>
        <v>MegaMart Jimenezborough</v>
      </c>
      <c r="M2592">
        <f>VLOOKUP(D2592,Products!A:E,5,FALSE)</f>
        <v>540.94000000000005</v>
      </c>
      <c r="N2592" s="5">
        <f t="shared" si="40"/>
        <v>1541.6790000000001</v>
      </c>
    </row>
    <row r="2593" spans="1:14" x14ac:dyDescent="0.3">
      <c r="A2593" t="s">
        <v>3449</v>
      </c>
      <c r="B2593" s="2">
        <v>45333</v>
      </c>
      <c r="C2593" t="s">
        <v>206</v>
      </c>
      <c r="D2593" t="s">
        <v>728</v>
      </c>
      <c r="E2593" t="s">
        <v>835</v>
      </c>
      <c r="F2593">
        <v>2</v>
      </c>
      <c r="G2593">
        <v>0.1</v>
      </c>
      <c r="H2593" t="s">
        <v>865</v>
      </c>
      <c r="I2593" t="str">
        <f>VLOOKUP(C2593,Customers!A:C,2,FALSE)&amp;" "&amp;VLOOKUP(C2593,Customers!A:C,3,FALSE)</f>
        <v>Felicia Morgan</v>
      </c>
      <c r="J2593" t="str">
        <f>VLOOKUP(D2593,Products!A:C,2,FALSE)</f>
        <v>Company Fruits</v>
      </c>
      <c r="K2593" t="str">
        <f>VLOOKUP(D2593,Products!A:C,3,FALSE)</f>
        <v>Groceries</v>
      </c>
      <c r="L2593" t="str">
        <f>VLOOKUP(E2593,Stores!A:B,2,FALSE)</f>
        <v>MegaMart Peckmouth</v>
      </c>
      <c r="M2593">
        <f>VLOOKUP(D2593,Products!A:E,5,FALSE)</f>
        <v>318.05</v>
      </c>
      <c r="N2593" s="5">
        <f t="shared" si="40"/>
        <v>572.49</v>
      </c>
    </row>
    <row r="2594" spans="1:14" x14ac:dyDescent="0.3">
      <c r="A2594" t="s">
        <v>3450</v>
      </c>
      <c r="B2594" s="2">
        <v>45524</v>
      </c>
      <c r="C2594" t="s">
        <v>596</v>
      </c>
      <c r="D2594" t="s">
        <v>796</v>
      </c>
      <c r="E2594" t="s">
        <v>835</v>
      </c>
      <c r="F2594">
        <v>3</v>
      </c>
      <c r="G2594">
        <v>0.15</v>
      </c>
      <c r="H2594" t="s">
        <v>858</v>
      </c>
      <c r="I2594" t="str">
        <f>VLOOKUP(C2594,Customers!A:C,2,FALSE)&amp;" "&amp;VLOOKUP(C2594,Customers!A:C,3,FALSE)</f>
        <v>Kimberly Lin</v>
      </c>
      <c r="J2594" t="str">
        <f>VLOOKUP(D2594,Products!A:C,2,FALSE)</f>
        <v>Chair Laptop</v>
      </c>
      <c r="K2594" t="str">
        <f>VLOOKUP(D2594,Products!A:C,3,FALSE)</f>
        <v>Electronics</v>
      </c>
      <c r="L2594" t="str">
        <f>VLOOKUP(E2594,Stores!A:B,2,FALSE)</f>
        <v>MegaMart Peckmouth</v>
      </c>
      <c r="M2594">
        <f>VLOOKUP(D2594,Products!A:E,5,FALSE)</f>
        <v>1562.43</v>
      </c>
      <c r="N2594" s="5">
        <f t="shared" si="40"/>
        <v>3984.1965</v>
      </c>
    </row>
    <row r="2595" spans="1:14" x14ac:dyDescent="0.3">
      <c r="A2595" t="s">
        <v>3451</v>
      </c>
      <c r="B2595" s="2">
        <v>45438</v>
      </c>
      <c r="C2595" t="s">
        <v>531</v>
      </c>
      <c r="D2595" t="s">
        <v>745</v>
      </c>
      <c r="E2595" t="s">
        <v>831</v>
      </c>
      <c r="F2595">
        <v>5</v>
      </c>
      <c r="G2595">
        <v>0.05</v>
      </c>
      <c r="H2595" t="s">
        <v>861</v>
      </c>
      <c r="I2595" t="str">
        <f>VLOOKUP(C2595,Customers!A:C,2,FALSE)&amp;" "&amp;VLOOKUP(C2595,Customers!A:C,3,FALSE)</f>
        <v>John Johnson</v>
      </c>
      <c r="J2595" t="str">
        <f>VLOOKUP(D2595,Products!A:C,2,FALSE)</f>
        <v>Above Camera</v>
      </c>
      <c r="K2595" t="str">
        <f>VLOOKUP(D2595,Products!A:C,3,FALSE)</f>
        <v>Electronics</v>
      </c>
      <c r="L2595" t="str">
        <f>VLOOKUP(E2595,Stores!A:B,2,FALSE)</f>
        <v>MegaMart Jimenezborough</v>
      </c>
      <c r="M2595">
        <f>VLOOKUP(D2595,Products!A:E,5,FALSE)</f>
        <v>1193.0899999999999</v>
      </c>
      <c r="N2595" s="5">
        <f t="shared" si="40"/>
        <v>5667.1774999999998</v>
      </c>
    </row>
    <row r="2596" spans="1:14" x14ac:dyDescent="0.3">
      <c r="A2596" t="s">
        <v>3452</v>
      </c>
      <c r="B2596" s="2">
        <v>45740</v>
      </c>
      <c r="C2596" t="s">
        <v>355</v>
      </c>
      <c r="D2596" t="s">
        <v>786</v>
      </c>
      <c r="E2596" t="s">
        <v>831</v>
      </c>
      <c r="F2596">
        <v>4</v>
      </c>
      <c r="G2596">
        <v>0</v>
      </c>
      <c r="H2596" t="s">
        <v>855</v>
      </c>
      <c r="I2596" t="str">
        <f>VLOOKUP(C2596,Customers!A:C,2,FALSE)&amp;" "&amp;VLOOKUP(C2596,Customers!A:C,3,FALSE)</f>
        <v>Kimberly Stokes</v>
      </c>
      <c r="J2596" t="str">
        <f>VLOOKUP(D2596,Products!A:C,2,FALSE)</f>
        <v>National Watches</v>
      </c>
      <c r="K2596" t="str">
        <f>VLOOKUP(D2596,Products!A:C,3,FALSE)</f>
        <v>Fashion</v>
      </c>
      <c r="L2596" t="str">
        <f>VLOOKUP(E2596,Stores!A:B,2,FALSE)</f>
        <v>MegaMart Jimenezborough</v>
      </c>
      <c r="M2596">
        <f>VLOOKUP(D2596,Products!A:E,5,FALSE)</f>
        <v>29.24</v>
      </c>
      <c r="N2596" s="5">
        <f t="shared" si="40"/>
        <v>116.96</v>
      </c>
    </row>
    <row r="2597" spans="1:14" x14ac:dyDescent="0.3">
      <c r="A2597" t="s">
        <v>3453</v>
      </c>
      <c r="B2597" s="2">
        <v>45362</v>
      </c>
      <c r="C2597" t="s">
        <v>476</v>
      </c>
      <c r="D2597" t="s">
        <v>784</v>
      </c>
      <c r="E2597" t="s">
        <v>831</v>
      </c>
      <c r="F2597">
        <v>3</v>
      </c>
      <c r="G2597">
        <v>0</v>
      </c>
      <c r="H2597" t="s">
        <v>865</v>
      </c>
      <c r="I2597" t="str">
        <f>VLOOKUP(C2597,Customers!A:C,2,FALSE)&amp;" "&amp;VLOOKUP(C2597,Customers!A:C,3,FALSE)</f>
        <v>Aaron Bailey</v>
      </c>
      <c r="J2597" t="str">
        <f>VLOOKUP(D2597,Products!A:C,2,FALSE)</f>
        <v>Road Clothing</v>
      </c>
      <c r="K2597" t="str">
        <f>VLOOKUP(D2597,Products!A:C,3,FALSE)</f>
        <v>Fashion</v>
      </c>
      <c r="L2597" t="str">
        <f>VLOOKUP(E2597,Stores!A:B,2,FALSE)</f>
        <v>MegaMart Jimenezborough</v>
      </c>
      <c r="M2597">
        <f>VLOOKUP(D2597,Products!A:E,5,FALSE)</f>
        <v>1485.05</v>
      </c>
      <c r="N2597" s="5">
        <f t="shared" si="40"/>
        <v>4455.1499999999996</v>
      </c>
    </row>
    <row r="2598" spans="1:14" x14ac:dyDescent="0.3">
      <c r="A2598" t="s">
        <v>3454</v>
      </c>
      <c r="B2598" s="2">
        <v>45882</v>
      </c>
      <c r="C2598" t="s">
        <v>429</v>
      </c>
      <c r="D2598" t="s">
        <v>728</v>
      </c>
      <c r="E2598" t="s">
        <v>846</v>
      </c>
      <c r="F2598">
        <v>5</v>
      </c>
      <c r="G2598">
        <v>0.05</v>
      </c>
      <c r="H2598" t="s">
        <v>861</v>
      </c>
      <c r="I2598" t="str">
        <f>VLOOKUP(C2598,Customers!A:C,2,FALSE)&amp;" "&amp;VLOOKUP(C2598,Customers!A:C,3,FALSE)</f>
        <v>Jose Smith</v>
      </c>
      <c r="J2598" t="str">
        <f>VLOOKUP(D2598,Products!A:C,2,FALSE)</f>
        <v>Company Fruits</v>
      </c>
      <c r="K2598" t="str">
        <f>VLOOKUP(D2598,Products!A:C,3,FALSE)</f>
        <v>Groceries</v>
      </c>
      <c r="L2598" t="str">
        <f>VLOOKUP(E2598,Stores!A:B,2,FALSE)</f>
        <v>MegaMart Johnmouth</v>
      </c>
      <c r="M2598">
        <f>VLOOKUP(D2598,Products!A:E,5,FALSE)</f>
        <v>318.05</v>
      </c>
      <c r="N2598" s="5">
        <f t="shared" si="40"/>
        <v>1510.7375</v>
      </c>
    </row>
    <row r="2599" spans="1:14" x14ac:dyDescent="0.3">
      <c r="A2599" t="s">
        <v>3455</v>
      </c>
      <c r="B2599" s="2">
        <v>45894</v>
      </c>
      <c r="C2599" t="s">
        <v>250</v>
      </c>
      <c r="D2599" t="s">
        <v>786</v>
      </c>
      <c r="E2599" t="s">
        <v>835</v>
      </c>
      <c r="F2599">
        <v>2</v>
      </c>
      <c r="G2599">
        <v>0.05</v>
      </c>
      <c r="H2599" t="s">
        <v>858</v>
      </c>
      <c r="I2599" t="str">
        <f>VLOOKUP(C2599,Customers!A:C,2,FALSE)&amp;" "&amp;VLOOKUP(C2599,Customers!A:C,3,FALSE)</f>
        <v>Jason Jenkins</v>
      </c>
      <c r="J2599" t="str">
        <f>VLOOKUP(D2599,Products!A:C,2,FALSE)</f>
        <v>National Watches</v>
      </c>
      <c r="K2599" t="str">
        <f>VLOOKUP(D2599,Products!A:C,3,FALSE)</f>
        <v>Fashion</v>
      </c>
      <c r="L2599" t="str">
        <f>VLOOKUP(E2599,Stores!A:B,2,FALSE)</f>
        <v>MegaMart Peckmouth</v>
      </c>
      <c r="M2599">
        <f>VLOOKUP(D2599,Products!A:E,5,FALSE)</f>
        <v>29.24</v>
      </c>
      <c r="N2599" s="5">
        <f t="shared" si="40"/>
        <v>55.555999999999997</v>
      </c>
    </row>
    <row r="2600" spans="1:14" x14ac:dyDescent="0.3">
      <c r="A2600" t="s">
        <v>3456</v>
      </c>
      <c r="B2600" s="2">
        <v>45794</v>
      </c>
      <c r="C2600" t="s">
        <v>179</v>
      </c>
      <c r="D2600" t="s">
        <v>794</v>
      </c>
      <c r="E2600" t="s">
        <v>831</v>
      </c>
      <c r="F2600">
        <v>5</v>
      </c>
      <c r="G2600">
        <v>0.1</v>
      </c>
      <c r="H2600" t="s">
        <v>855</v>
      </c>
      <c r="I2600" t="str">
        <f>VLOOKUP(C2600,Customers!A:C,2,FALSE)&amp;" "&amp;VLOOKUP(C2600,Customers!A:C,3,FALSE)</f>
        <v>Dennis Poole</v>
      </c>
      <c r="J2600" t="str">
        <f>VLOOKUP(D2600,Products!A:C,2,FALSE)</f>
        <v>Everything Laptop</v>
      </c>
      <c r="K2600" t="str">
        <f>VLOOKUP(D2600,Products!A:C,3,FALSE)</f>
        <v>Electronics</v>
      </c>
      <c r="L2600" t="str">
        <f>VLOOKUP(E2600,Stores!A:B,2,FALSE)</f>
        <v>MegaMart Jimenezborough</v>
      </c>
      <c r="M2600">
        <f>VLOOKUP(D2600,Products!A:E,5,FALSE)</f>
        <v>428.05</v>
      </c>
      <c r="N2600" s="5">
        <f t="shared" si="40"/>
        <v>1926.2250000000001</v>
      </c>
    </row>
    <row r="2601" spans="1:14" x14ac:dyDescent="0.3">
      <c r="A2601" t="s">
        <v>3457</v>
      </c>
      <c r="B2601" s="2">
        <v>45333</v>
      </c>
      <c r="C2601" t="s">
        <v>97</v>
      </c>
      <c r="D2601" t="s">
        <v>796</v>
      </c>
      <c r="E2601" t="s">
        <v>835</v>
      </c>
      <c r="F2601">
        <v>1</v>
      </c>
      <c r="G2601">
        <v>0.05</v>
      </c>
      <c r="H2601" t="s">
        <v>855</v>
      </c>
      <c r="I2601" t="str">
        <f>VLOOKUP(C2601,Customers!A:C,2,FALSE)&amp;" "&amp;VLOOKUP(C2601,Customers!A:C,3,FALSE)</f>
        <v>Molly Murray</v>
      </c>
      <c r="J2601" t="str">
        <f>VLOOKUP(D2601,Products!A:C,2,FALSE)</f>
        <v>Chair Laptop</v>
      </c>
      <c r="K2601" t="str">
        <f>VLOOKUP(D2601,Products!A:C,3,FALSE)</f>
        <v>Electronics</v>
      </c>
      <c r="L2601" t="str">
        <f>VLOOKUP(E2601,Stores!A:B,2,FALSE)</f>
        <v>MegaMart Peckmouth</v>
      </c>
      <c r="M2601">
        <f>VLOOKUP(D2601,Products!A:E,5,FALSE)</f>
        <v>1562.43</v>
      </c>
      <c r="N2601" s="5">
        <f t="shared" si="40"/>
        <v>1484.3085000000001</v>
      </c>
    </row>
    <row r="2602" spans="1:14" x14ac:dyDescent="0.3">
      <c r="A2602" t="s">
        <v>3458</v>
      </c>
      <c r="B2602" s="2">
        <v>45851</v>
      </c>
      <c r="C2602" t="s">
        <v>67</v>
      </c>
      <c r="D2602" t="s">
        <v>782</v>
      </c>
      <c r="E2602" t="s">
        <v>835</v>
      </c>
      <c r="F2602">
        <v>2</v>
      </c>
      <c r="G2602">
        <v>0.05</v>
      </c>
      <c r="H2602" t="s">
        <v>858</v>
      </c>
      <c r="I2602" t="str">
        <f>VLOOKUP(C2602,Customers!A:C,2,FALSE)&amp;" "&amp;VLOOKUP(C2602,Customers!A:C,3,FALSE)</f>
        <v>Miguel Johnson</v>
      </c>
      <c r="J2602" t="str">
        <f>VLOOKUP(D2602,Products!A:C,2,FALSE)</f>
        <v>Deal Smartphone</v>
      </c>
      <c r="K2602" t="str">
        <f>VLOOKUP(D2602,Products!A:C,3,FALSE)</f>
        <v>Electronics</v>
      </c>
      <c r="L2602" t="str">
        <f>VLOOKUP(E2602,Stores!A:B,2,FALSE)</f>
        <v>MegaMart Peckmouth</v>
      </c>
      <c r="M2602">
        <f>VLOOKUP(D2602,Products!A:E,5,FALSE)</f>
        <v>673.78</v>
      </c>
      <c r="N2602" s="5">
        <f t="shared" si="40"/>
        <v>1280.1819999999998</v>
      </c>
    </row>
    <row r="2603" spans="1:14" x14ac:dyDescent="0.3">
      <c r="A2603" t="s">
        <v>3459</v>
      </c>
      <c r="B2603" s="2">
        <v>45201</v>
      </c>
      <c r="C2603" t="s">
        <v>442</v>
      </c>
      <c r="D2603" t="s">
        <v>812</v>
      </c>
      <c r="E2603" t="s">
        <v>831</v>
      </c>
      <c r="F2603">
        <v>5</v>
      </c>
      <c r="G2603">
        <v>0</v>
      </c>
      <c r="H2603" t="s">
        <v>855</v>
      </c>
      <c r="I2603" t="str">
        <f>VLOOKUP(C2603,Customers!A:C,2,FALSE)&amp;" "&amp;VLOOKUP(C2603,Customers!A:C,3,FALSE)</f>
        <v>Jason Lloyd</v>
      </c>
      <c r="J2603" t="str">
        <f>VLOOKUP(D2603,Products!A:C,2,FALSE)</f>
        <v>Soon Accessories</v>
      </c>
      <c r="K2603" t="str">
        <f>VLOOKUP(D2603,Products!A:C,3,FALSE)</f>
        <v>Fashion</v>
      </c>
      <c r="L2603" t="str">
        <f>VLOOKUP(E2603,Stores!A:B,2,FALSE)</f>
        <v>MegaMart Jimenezborough</v>
      </c>
      <c r="M2603">
        <f>VLOOKUP(D2603,Products!A:E,5,FALSE)</f>
        <v>564.41999999999996</v>
      </c>
      <c r="N2603" s="5">
        <f t="shared" si="40"/>
        <v>2822.1</v>
      </c>
    </row>
    <row r="2604" spans="1:14" x14ac:dyDescent="0.3">
      <c r="A2604" t="s">
        <v>3460</v>
      </c>
      <c r="B2604" s="2">
        <v>45739</v>
      </c>
      <c r="C2604" t="s">
        <v>582</v>
      </c>
      <c r="D2604" t="s">
        <v>790</v>
      </c>
      <c r="E2604" t="s">
        <v>831</v>
      </c>
      <c r="F2604">
        <v>2</v>
      </c>
      <c r="G2604">
        <v>0.15</v>
      </c>
      <c r="H2604" t="s">
        <v>865</v>
      </c>
      <c r="I2604" t="str">
        <f>VLOOKUP(C2604,Customers!A:C,2,FALSE)&amp;" "&amp;VLOOKUP(C2604,Customers!A:C,3,FALSE)</f>
        <v>Erin Rogers</v>
      </c>
      <c r="J2604" t="str">
        <f>VLOOKUP(D2604,Products!A:C,2,FALSE)</f>
        <v>Difficult Vegetables</v>
      </c>
      <c r="K2604" t="str">
        <f>VLOOKUP(D2604,Products!A:C,3,FALSE)</f>
        <v>Groceries</v>
      </c>
      <c r="L2604" t="str">
        <f>VLOOKUP(E2604,Stores!A:B,2,FALSE)</f>
        <v>MegaMart Jimenezborough</v>
      </c>
      <c r="M2604">
        <f>VLOOKUP(D2604,Products!A:E,5,FALSE)</f>
        <v>304.70999999999998</v>
      </c>
      <c r="N2604" s="5">
        <f t="shared" si="40"/>
        <v>518.00699999999995</v>
      </c>
    </row>
    <row r="2605" spans="1:14" x14ac:dyDescent="0.3">
      <c r="A2605" t="s">
        <v>3461</v>
      </c>
      <c r="B2605" s="2">
        <v>45306</v>
      </c>
      <c r="C2605" t="s">
        <v>426</v>
      </c>
      <c r="D2605" t="s">
        <v>725</v>
      </c>
      <c r="E2605" t="s">
        <v>831</v>
      </c>
      <c r="F2605">
        <v>4</v>
      </c>
      <c r="G2605">
        <v>0.05</v>
      </c>
      <c r="H2605" t="s">
        <v>865</v>
      </c>
      <c r="I2605" t="str">
        <f>VLOOKUP(C2605,Customers!A:C,2,FALSE)&amp;" "&amp;VLOOKUP(C2605,Customers!A:C,3,FALSE)</f>
        <v>Miranda Rodriguez</v>
      </c>
      <c r="J2605" t="str">
        <f>VLOOKUP(D2605,Products!A:C,2,FALSE)</f>
        <v>Knowledge Bags</v>
      </c>
      <c r="K2605" t="str">
        <f>VLOOKUP(D2605,Products!A:C,3,FALSE)</f>
        <v>Fashion</v>
      </c>
      <c r="L2605" t="str">
        <f>VLOOKUP(E2605,Stores!A:B,2,FALSE)</f>
        <v>MegaMart Jimenezborough</v>
      </c>
      <c r="M2605">
        <f>VLOOKUP(D2605,Products!A:E,5,FALSE)</f>
        <v>1396.22</v>
      </c>
      <c r="N2605" s="5">
        <f t="shared" si="40"/>
        <v>5305.6359999999995</v>
      </c>
    </row>
    <row r="2606" spans="1:14" x14ac:dyDescent="0.3">
      <c r="A2606" t="s">
        <v>3462</v>
      </c>
      <c r="B2606" s="2">
        <v>45577</v>
      </c>
      <c r="C2606" t="s">
        <v>505</v>
      </c>
      <c r="D2606" t="s">
        <v>761</v>
      </c>
      <c r="E2606" t="s">
        <v>846</v>
      </c>
      <c r="F2606">
        <v>2</v>
      </c>
      <c r="G2606">
        <v>0.15</v>
      </c>
      <c r="H2606" t="s">
        <v>855</v>
      </c>
      <c r="I2606" t="str">
        <f>VLOOKUP(C2606,Customers!A:C,2,FALSE)&amp;" "&amp;VLOOKUP(C2606,Customers!A:C,3,FALSE)</f>
        <v>Alexander Mcfarland</v>
      </c>
      <c r="J2606" t="str">
        <f>VLOOKUP(D2606,Products!A:C,2,FALSE)</f>
        <v>Traditional Laptop</v>
      </c>
      <c r="K2606" t="str">
        <f>VLOOKUP(D2606,Products!A:C,3,FALSE)</f>
        <v>Electronics</v>
      </c>
      <c r="L2606" t="str">
        <f>VLOOKUP(E2606,Stores!A:B,2,FALSE)</f>
        <v>MegaMart Johnmouth</v>
      </c>
      <c r="M2606">
        <f>VLOOKUP(D2606,Products!A:E,5,FALSE)</f>
        <v>1762.92</v>
      </c>
      <c r="N2606" s="5">
        <f t="shared" si="40"/>
        <v>2996.9639999999999</v>
      </c>
    </row>
    <row r="2607" spans="1:14" x14ac:dyDescent="0.3">
      <c r="A2607" t="s">
        <v>3463</v>
      </c>
      <c r="B2607" s="2">
        <v>45487</v>
      </c>
      <c r="C2607" t="s">
        <v>531</v>
      </c>
      <c r="D2607" t="s">
        <v>806</v>
      </c>
      <c r="E2607" t="s">
        <v>831</v>
      </c>
      <c r="F2607">
        <v>5</v>
      </c>
      <c r="G2607">
        <v>0.15</v>
      </c>
      <c r="H2607" t="s">
        <v>865</v>
      </c>
      <c r="I2607" t="str">
        <f>VLOOKUP(C2607,Customers!A:C,2,FALSE)&amp;" "&amp;VLOOKUP(C2607,Customers!A:C,3,FALSE)</f>
        <v>John Johnson</v>
      </c>
      <c r="J2607" t="str">
        <f>VLOOKUP(D2607,Products!A:C,2,FALSE)</f>
        <v>Piece Headphones</v>
      </c>
      <c r="K2607" t="str">
        <f>VLOOKUP(D2607,Products!A:C,3,FALSE)</f>
        <v>Electronics</v>
      </c>
      <c r="L2607" t="str">
        <f>VLOOKUP(E2607,Stores!A:B,2,FALSE)</f>
        <v>MegaMart Jimenezborough</v>
      </c>
      <c r="M2607">
        <f>VLOOKUP(D2607,Products!A:E,5,FALSE)</f>
        <v>1745.61</v>
      </c>
      <c r="N2607" s="5">
        <f t="shared" si="40"/>
        <v>7418.8424999999988</v>
      </c>
    </row>
    <row r="2608" spans="1:14" x14ac:dyDescent="0.3">
      <c r="A2608" t="s">
        <v>3464</v>
      </c>
      <c r="B2608" s="2">
        <v>45627</v>
      </c>
      <c r="C2608" t="s">
        <v>653</v>
      </c>
      <c r="D2608" t="s">
        <v>794</v>
      </c>
      <c r="E2608" t="s">
        <v>842</v>
      </c>
      <c r="F2608">
        <v>2</v>
      </c>
      <c r="G2608">
        <v>0.15</v>
      </c>
      <c r="H2608" t="s">
        <v>865</v>
      </c>
      <c r="I2608" t="str">
        <f>VLOOKUP(C2608,Customers!A:C,2,FALSE)&amp;" "&amp;VLOOKUP(C2608,Customers!A:C,3,FALSE)</f>
        <v>Joe Vincent</v>
      </c>
      <c r="J2608" t="str">
        <f>VLOOKUP(D2608,Products!A:C,2,FALSE)</f>
        <v>Everything Laptop</v>
      </c>
      <c r="K2608" t="str">
        <f>VLOOKUP(D2608,Products!A:C,3,FALSE)</f>
        <v>Electronics</v>
      </c>
      <c r="L2608" t="str">
        <f>VLOOKUP(E2608,Stores!A:B,2,FALSE)</f>
        <v>MegaMart Brianahaven</v>
      </c>
      <c r="M2608">
        <f>VLOOKUP(D2608,Products!A:E,5,FALSE)</f>
        <v>428.05</v>
      </c>
      <c r="N2608" s="5">
        <f t="shared" si="40"/>
        <v>727.68499999999995</v>
      </c>
    </row>
    <row r="2609" spans="1:14" x14ac:dyDescent="0.3">
      <c r="A2609" t="s">
        <v>3465</v>
      </c>
      <c r="B2609" s="2">
        <v>45600</v>
      </c>
      <c r="C2609" t="s">
        <v>247</v>
      </c>
      <c r="D2609" t="s">
        <v>800</v>
      </c>
      <c r="E2609" t="s">
        <v>842</v>
      </c>
      <c r="F2609">
        <v>5</v>
      </c>
      <c r="G2609">
        <v>0.1</v>
      </c>
      <c r="H2609" t="s">
        <v>858</v>
      </c>
      <c r="I2609" t="str">
        <f>VLOOKUP(C2609,Customers!A:C,2,FALSE)&amp;" "&amp;VLOOKUP(C2609,Customers!A:C,3,FALSE)</f>
        <v>Scott Duke</v>
      </c>
      <c r="J2609" t="str">
        <f>VLOOKUP(D2609,Products!A:C,2,FALSE)</f>
        <v>Book Television</v>
      </c>
      <c r="K2609" t="str">
        <f>VLOOKUP(D2609,Products!A:C,3,FALSE)</f>
        <v>Electronics</v>
      </c>
      <c r="L2609" t="str">
        <f>VLOOKUP(E2609,Stores!A:B,2,FALSE)</f>
        <v>MegaMart Brianahaven</v>
      </c>
      <c r="M2609">
        <f>VLOOKUP(D2609,Products!A:E,5,FALSE)</f>
        <v>1952.65</v>
      </c>
      <c r="N2609" s="5">
        <f t="shared" si="40"/>
        <v>8786.9250000000011</v>
      </c>
    </row>
    <row r="2610" spans="1:14" x14ac:dyDescent="0.3">
      <c r="A2610" t="s">
        <v>3466</v>
      </c>
      <c r="B2610" s="2">
        <v>45273</v>
      </c>
      <c r="C2610" t="s">
        <v>579</v>
      </c>
      <c r="D2610" t="s">
        <v>824</v>
      </c>
      <c r="E2610" t="s">
        <v>835</v>
      </c>
      <c r="F2610">
        <v>3</v>
      </c>
      <c r="G2610">
        <v>0.15</v>
      </c>
      <c r="H2610" t="s">
        <v>855</v>
      </c>
      <c r="I2610" t="str">
        <f>VLOOKUP(C2610,Customers!A:C,2,FALSE)&amp;" "&amp;VLOOKUP(C2610,Customers!A:C,3,FALSE)</f>
        <v>Jill Roach</v>
      </c>
      <c r="J2610" t="str">
        <f>VLOOKUP(D2610,Products!A:C,2,FALSE)</f>
        <v>Possible Watches</v>
      </c>
      <c r="K2610" t="str">
        <f>VLOOKUP(D2610,Products!A:C,3,FALSE)</f>
        <v>Fashion</v>
      </c>
      <c r="L2610" t="str">
        <f>VLOOKUP(E2610,Stores!A:B,2,FALSE)</f>
        <v>MegaMart Peckmouth</v>
      </c>
      <c r="M2610">
        <f>VLOOKUP(D2610,Products!A:E,5,FALSE)</f>
        <v>388.26</v>
      </c>
      <c r="N2610" s="5">
        <f t="shared" si="40"/>
        <v>990.06299999999999</v>
      </c>
    </row>
    <row r="2611" spans="1:14" x14ac:dyDescent="0.3">
      <c r="A2611" t="s">
        <v>3467</v>
      </c>
      <c r="B2611" s="2">
        <v>45696</v>
      </c>
      <c r="C2611" t="s">
        <v>593</v>
      </c>
      <c r="D2611" t="s">
        <v>790</v>
      </c>
      <c r="E2611" t="s">
        <v>839</v>
      </c>
      <c r="F2611">
        <v>3</v>
      </c>
      <c r="G2611">
        <v>0.05</v>
      </c>
      <c r="H2611" t="s">
        <v>855</v>
      </c>
      <c r="I2611" t="str">
        <f>VLOOKUP(C2611,Customers!A:C,2,FALSE)&amp;" "&amp;VLOOKUP(C2611,Customers!A:C,3,FALSE)</f>
        <v>Meagan Ali</v>
      </c>
      <c r="J2611" t="str">
        <f>VLOOKUP(D2611,Products!A:C,2,FALSE)</f>
        <v>Difficult Vegetables</v>
      </c>
      <c r="K2611" t="str">
        <f>VLOOKUP(D2611,Products!A:C,3,FALSE)</f>
        <v>Groceries</v>
      </c>
      <c r="L2611" t="str">
        <f>VLOOKUP(E2611,Stores!A:B,2,FALSE)</f>
        <v>MegaMart New Michele</v>
      </c>
      <c r="M2611">
        <f>VLOOKUP(D2611,Products!A:E,5,FALSE)</f>
        <v>304.70999999999998</v>
      </c>
      <c r="N2611" s="5">
        <f t="shared" si="40"/>
        <v>868.42349999999988</v>
      </c>
    </row>
    <row r="2612" spans="1:14" x14ac:dyDescent="0.3">
      <c r="A2612" t="s">
        <v>3468</v>
      </c>
      <c r="B2612" s="2">
        <v>45297</v>
      </c>
      <c r="C2612" t="s">
        <v>270</v>
      </c>
      <c r="D2612" t="s">
        <v>804</v>
      </c>
      <c r="E2612" t="s">
        <v>846</v>
      </c>
      <c r="F2612">
        <v>5</v>
      </c>
      <c r="G2612">
        <v>0.1</v>
      </c>
      <c r="H2612" t="s">
        <v>858</v>
      </c>
      <c r="I2612" t="str">
        <f>VLOOKUP(C2612,Customers!A:C,2,FALSE)&amp;" "&amp;VLOOKUP(C2612,Customers!A:C,3,FALSE)</f>
        <v>Denise Gutierrez</v>
      </c>
      <c r="J2612" t="str">
        <f>VLOOKUP(D2612,Products!A:C,2,FALSE)</f>
        <v>Church Clothing</v>
      </c>
      <c r="K2612" t="str">
        <f>VLOOKUP(D2612,Products!A:C,3,FALSE)</f>
        <v>Fashion</v>
      </c>
      <c r="L2612" t="str">
        <f>VLOOKUP(E2612,Stores!A:B,2,FALSE)</f>
        <v>MegaMart Johnmouth</v>
      </c>
      <c r="M2612">
        <f>VLOOKUP(D2612,Products!A:E,5,FALSE)</f>
        <v>540.94000000000005</v>
      </c>
      <c r="N2612" s="5">
        <f t="shared" si="40"/>
        <v>2434.2300000000005</v>
      </c>
    </row>
    <row r="2613" spans="1:14" x14ac:dyDescent="0.3">
      <c r="A2613" t="s">
        <v>3469</v>
      </c>
      <c r="B2613" s="2">
        <v>45714</v>
      </c>
      <c r="C2613" t="s">
        <v>115</v>
      </c>
      <c r="D2613" t="s">
        <v>794</v>
      </c>
      <c r="E2613" t="s">
        <v>835</v>
      </c>
      <c r="F2613">
        <v>4</v>
      </c>
      <c r="G2613">
        <v>0</v>
      </c>
      <c r="H2613" t="s">
        <v>855</v>
      </c>
      <c r="I2613" t="str">
        <f>VLOOKUP(C2613,Customers!A:C,2,FALSE)&amp;" "&amp;VLOOKUP(C2613,Customers!A:C,3,FALSE)</f>
        <v>Tyler Levine</v>
      </c>
      <c r="J2613" t="str">
        <f>VLOOKUP(D2613,Products!A:C,2,FALSE)</f>
        <v>Everything Laptop</v>
      </c>
      <c r="K2613" t="str">
        <f>VLOOKUP(D2613,Products!A:C,3,FALSE)</f>
        <v>Electronics</v>
      </c>
      <c r="L2613" t="str">
        <f>VLOOKUP(E2613,Stores!A:B,2,FALSE)</f>
        <v>MegaMart Peckmouth</v>
      </c>
      <c r="M2613">
        <f>VLOOKUP(D2613,Products!A:E,5,FALSE)</f>
        <v>428.05</v>
      </c>
      <c r="N2613" s="5">
        <f t="shared" si="40"/>
        <v>1712.2</v>
      </c>
    </row>
    <row r="2614" spans="1:14" x14ac:dyDescent="0.3">
      <c r="A2614" t="s">
        <v>3470</v>
      </c>
      <c r="B2614" s="2">
        <v>45417</v>
      </c>
      <c r="C2614" t="s">
        <v>480</v>
      </c>
      <c r="D2614" t="s">
        <v>715</v>
      </c>
      <c r="E2614" t="s">
        <v>842</v>
      </c>
      <c r="F2614">
        <v>4</v>
      </c>
      <c r="G2614">
        <v>0.05</v>
      </c>
      <c r="H2614" t="s">
        <v>861</v>
      </c>
      <c r="I2614" t="str">
        <f>VLOOKUP(C2614,Customers!A:C,2,FALSE)&amp;" "&amp;VLOOKUP(C2614,Customers!A:C,3,FALSE)</f>
        <v>Denise Jackson</v>
      </c>
      <c r="J2614" t="str">
        <f>VLOOKUP(D2614,Products!A:C,2,FALSE)</f>
        <v>Audience Television</v>
      </c>
      <c r="K2614" t="str">
        <f>VLOOKUP(D2614,Products!A:C,3,FALSE)</f>
        <v>Electronics</v>
      </c>
      <c r="L2614" t="str">
        <f>VLOOKUP(E2614,Stores!A:B,2,FALSE)</f>
        <v>MegaMart Brianahaven</v>
      </c>
      <c r="M2614">
        <f>VLOOKUP(D2614,Products!A:E,5,FALSE)</f>
        <v>818.76</v>
      </c>
      <c r="N2614" s="5">
        <f t="shared" si="40"/>
        <v>3111.288</v>
      </c>
    </row>
    <row r="2615" spans="1:14" x14ac:dyDescent="0.3">
      <c r="A2615" t="s">
        <v>3471</v>
      </c>
      <c r="B2615" s="2">
        <v>45419</v>
      </c>
      <c r="C2615" t="s">
        <v>71</v>
      </c>
      <c r="D2615" t="s">
        <v>812</v>
      </c>
      <c r="E2615" t="s">
        <v>842</v>
      </c>
      <c r="F2615">
        <v>3</v>
      </c>
      <c r="G2615">
        <v>0</v>
      </c>
      <c r="H2615" t="s">
        <v>858</v>
      </c>
      <c r="I2615" t="str">
        <f>VLOOKUP(C2615,Customers!A:C,2,FALSE)&amp;" "&amp;VLOOKUP(C2615,Customers!A:C,3,FALSE)</f>
        <v>Vanessa Anderson</v>
      </c>
      <c r="J2615" t="str">
        <f>VLOOKUP(D2615,Products!A:C,2,FALSE)</f>
        <v>Soon Accessories</v>
      </c>
      <c r="K2615" t="str">
        <f>VLOOKUP(D2615,Products!A:C,3,FALSE)</f>
        <v>Fashion</v>
      </c>
      <c r="L2615" t="str">
        <f>VLOOKUP(E2615,Stores!A:B,2,FALSE)</f>
        <v>MegaMart Brianahaven</v>
      </c>
      <c r="M2615">
        <f>VLOOKUP(D2615,Products!A:E,5,FALSE)</f>
        <v>564.41999999999996</v>
      </c>
      <c r="N2615" s="5">
        <f t="shared" si="40"/>
        <v>1693.2599999999998</v>
      </c>
    </row>
    <row r="2616" spans="1:14" x14ac:dyDescent="0.3">
      <c r="A2616" t="s">
        <v>3472</v>
      </c>
      <c r="B2616" s="2">
        <v>45519</v>
      </c>
      <c r="C2616" t="s">
        <v>331</v>
      </c>
      <c r="D2616" t="s">
        <v>742</v>
      </c>
      <c r="E2616" t="s">
        <v>846</v>
      </c>
      <c r="F2616">
        <v>2</v>
      </c>
      <c r="G2616">
        <v>0.05</v>
      </c>
      <c r="H2616" t="s">
        <v>865</v>
      </c>
      <c r="I2616" t="str">
        <f>VLOOKUP(C2616,Customers!A:C,2,FALSE)&amp;" "&amp;VLOOKUP(C2616,Customers!A:C,3,FALSE)</f>
        <v>Brenda Costa</v>
      </c>
      <c r="J2616" t="str">
        <f>VLOOKUP(D2616,Products!A:C,2,FALSE)</f>
        <v>Either Headphones</v>
      </c>
      <c r="K2616" t="str">
        <f>VLOOKUP(D2616,Products!A:C,3,FALSE)</f>
        <v>Electronics</v>
      </c>
      <c r="L2616" t="str">
        <f>VLOOKUP(E2616,Stores!A:B,2,FALSE)</f>
        <v>MegaMart Johnmouth</v>
      </c>
      <c r="M2616">
        <f>VLOOKUP(D2616,Products!A:E,5,FALSE)</f>
        <v>248.57</v>
      </c>
      <c r="N2616" s="5">
        <f t="shared" si="40"/>
        <v>472.28299999999996</v>
      </c>
    </row>
    <row r="2617" spans="1:14" x14ac:dyDescent="0.3">
      <c r="A2617" t="s">
        <v>3473</v>
      </c>
      <c r="B2617" s="2">
        <v>45648</v>
      </c>
      <c r="C2617" t="s">
        <v>690</v>
      </c>
      <c r="D2617" t="s">
        <v>826</v>
      </c>
      <c r="E2617" t="s">
        <v>835</v>
      </c>
      <c r="F2617">
        <v>2</v>
      </c>
      <c r="G2617">
        <v>0.1</v>
      </c>
      <c r="H2617" t="s">
        <v>855</v>
      </c>
      <c r="I2617" t="str">
        <f>VLOOKUP(C2617,Customers!A:C,2,FALSE)&amp;" "&amp;VLOOKUP(C2617,Customers!A:C,3,FALSE)</f>
        <v>James Noble</v>
      </c>
      <c r="J2617" t="str">
        <f>VLOOKUP(D2617,Products!A:C,2,FALSE)</f>
        <v>Maybe Footwear</v>
      </c>
      <c r="K2617" t="str">
        <f>VLOOKUP(D2617,Products!A:C,3,FALSE)</f>
        <v>Fashion</v>
      </c>
      <c r="L2617" t="str">
        <f>VLOOKUP(E2617,Stores!A:B,2,FALSE)</f>
        <v>MegaMart Peckmouth</v>
      </c>
      <c r="M2617">
        <f>VLOOKUP(D2617,Products!A:E,5,FALSE)</f>
        <v>1044.6400000000001</v>
      </c>
      <c r="N2617" s="5">
        <f t="shared" si="40"/>
        <v>1880.3520000000003</v>
      </c>
    </row>
    <row r="2618" spans="1:14" x14ac:dyDescent="0.3">
      <c r="A2618" t="s">
        <v>3474</v>
      </c>
      <c r="B2618" s="2">
        <v>45811</v>
      </c>
      <c r="C2618" t="s">
        <v>310</v>
      </c>
      <c r="D2618" t="s">
        <v>769</v>
      </c>
      <c r="E2618" t="s">
        <v>846</v>
      </c>
      <c r="F2618">
        <v>4</v>
      </c>
      <c r="G2618">
        <v>0</v>
      </c>
      <c r="H2618" t="s">
        <v>855</v>
      </c>
      <c r="I2618" t="str">
        <f>VLOOKUP(C2618,Customers!A:C,2,FALSE)&amp;" "&amp;VLOOKUP(C2618,Customers!A:C,3,FALSE)</f>
        <v>Amy Haley</v>
      </c>
      <c r="J2618" t="str">
        <f>VLOOKUP(D2618,Products!A:C,2,FALSE)</f>
        <v>How Vegetables</v>
      </c>
      <c r="K2618" t="str">
        <f>VLOOKUP(D2618,Products!A:C,3,FALSE)</f>
        <v>Groceries</v>
      </c>
      <c r="L2618" t="str">
        <f>VLOOKUP(E2618,Stores!A:B,2,FALSE)</f>
        <v>MegaMart Johnmouth</v>
      </c>
      <c r="M2618">
        <f>VLOOKUP(D2618,Products!A:E,5,FALSE)</f>
        <v>25.57</v>
      </c>
      <c r="N2618" s="5">
        <f t="shared" si="40"/>
        <v>102.28</v>
      </c>
    </row>
    <row r="2619" spans="1:14" x14ac:dyDescent="0.3">
      <c r="A2619" t="s">
        <v>3475</v>
      </c>
      <c r="B2619" s="2">
        <v>45655</v>
      </c>
      <c r="C2619" t="s">
        <v>563</v>
      </c>
      <c r="D2619" t="s">
        <v>722</v>
      </c>
      <c r="E2619" t="s">
        <v>835</v>
      </c>
      <c r="F2619">
        <v>5</v>
      </c>
      <c r="G2619">
        <v>0.05</v>
      </c>
      <c r="H2619" t="s">
        <v>855</v>
      </c>
      <c r="I2619" t="str">
        <f>VLOOKUP(C2619,Customers!A:C,2,FALSE)&amp;" "&amp;VLOOKUP(C2619,Customers!A:C,3,FALSE)</f>
        <v>Connie Terry</v>
      </c>
      <c r="J2619" t="str">
        <f>VLOOKUP(D2619,Products!A:C,2,FALSE)</f>
        <v>Four Accessories</v>
      </c>
      <c r="K2619" t="str">
        <f>VLOOKUP(D2619,Products!A:C,3,FALSE)</f>
        <v>Fashion</v>
      </c>
      <c r="L2619" t="str">
        <f>VLOOKUP(E2619,Stores!A:B,2,FALSE)</f>
        <v>MegaMart Peckmouth</v>
      </c>
      <c r="M2619">
        <f>VLOOKUP(D2619,Products!A:E,5,FALSE)</f>
        <v>1853.77</v>
      </c>
      <c r="N2619" s="5">
        <f t="shared" si="40"/>
        <v>8805.4074999999993</v>
      </c>
    </row>
    <row r="2620" spans="1:14" x14ac:dyDescent="0.3">
      <c r="A2620" t="s">
        <v>3476</v>
      </c>
      <c r="B2620" s="2">
        <v>45191</v>
      </c>
      <c r="C2620" t="s">
        <v>159</v>
      </c>
      <c r="D2620" t="s">
        <v>750</v>
      </c>
      <c r="E2620" t="s">
        <v>835</v>
      </c>
      <c r="F2620">
        <v>4</v>
      </c>
      <c r="G2620">
        <v>0.05</v>
      </c>
      <c r="H2620" t="s">
        <v>861</v>
      </c>
      <c r="I2620" t="str">
        <f>VLOOKUP(C2620,Customers!A:C,2,FALSE)&amp;" "&amp;VLOOKUP(C2620,Customers!A:C,3,FALSE)</f>
        <v>Melissa Rodgers</v>
      </c>
      <c r="J2620" t="str">
        <f>VLOOKUP(D2620,Products!A:C,2,FALSE)</f>
        <v>Add Clothing</v>
      </c>
      <c r="K2620" t="str">
        <f>VLOOKUP(D2620,Products!A:C,3,FALSE)</f>
        <v>Fashion</v>
      </c>
      <c r="L2620" t="str">
        <f>VLOOKUP(E2620,Stores!A:B,2,FALSE)</f>
        <v>MegaMart Peckmouth</v>
      </c>
      <c r="M2620">
        <f>VLOOKUP(D2620,Products!A:E,5,FALSE)</f>
        <v>1342.75</v>
      </c>
      <c r="N2620" s="5">
        <f t="shared" si="40"/>
        <v>5102.45</v>
      </c>
    </row>
    <row r="2621" spans="1:14" x14ac:dyDescent="0.3">
      <c r="A2621" t="s">
        <v>3477</v>
      </c>
      <c r="B2621" s="2">
        <v>45503</v>
      </c>
      <c r="C2621" t="s">
        <v>563</v>
      </c>
      <c r="D2621" t="s">
        <v>818</v>
      </c>
      <c r="E2621" t="s">
        <v>835</v>
      </c>
      <c r="F2621">
        <v>3</v>
      </c>
      <c r="G2621">
        <v>0.15</v>
      </c>
      <c r="H2621" t="s">
        <v>858</v>
      </c>
      <c r="I2621" t="str">
        <f>VLOOKUP(C2621,Customers!A:C,2,FALSE)&amp;" "&amp;VLOOKUP(C2621,Customers!A:C,3,FALSE)</f>
        <v>Connie Terry</v>
      </c>
      <c r="J2621" t="str">
        <f>VLOOKUP(D2621,Products!A:C,2,FALSE)</f>
        <v>Nature Clothing</v>
      </c>
      <c r="K2621" t="str">
        <f>VLOOKUP(D2621,Products!A:C,3,FALSE)</f>
        <v>Fashion</v>
      </c>
      <c r="L2621" t="str">
        <f>VLOOKUP(E2621,Stores!A:B,2,FALSE)</f>
        <v>MegaMart Peckmouth</v>
      </c>
      <c r="M2621">
        <f>VLOOKUP(D2621,Products!A:E,5,FALSE)</f>
        <v>1165.3699999999999</v>
      </c>
      <c r="N2621" s="5">
        <f t="shared" si="40"/>
        <v>2971.6934999999999</v>
      </c>
    </row>
    <row r="2622" spans="1:14" x14ac:dyDescent="0.3">
      <c r="A2622" t="s">
        <v>3478</v>
      </c>
      <c r="B2622" s="2">
        <v>45906</v>
      </c>
      <c r="C2622" t="s">
        <v>702</v>
      </c>
      <c r="D2622" t="s">
        <v>816</v>
      </c>
      <c r="E2622" t="s">
        <v>839</v>
      </c>
      <c r="F2622">
        <v>2</v>
      </c>
      <c r="G2622">
        <v>0.1</v>
      </c>
      <c r="H2622" t="s">
        <v>858</v>
      </c>
      <c r="I2622" t="str">
        <f>VLOOKUP(C2622,Customers!A:C,2,FALSE)&amp;" "&amp;VLOOKUP(C2622,Customers!A:C,3,FALSE)</f>
        <v>Ronald Haley</v>
      </c>
      <c r="J2622" t="str">
        <f>VLOOKUP(D2622,Products!A:C,2,FALSE)</f>
        <v>Set Dairy</v>
      </c>
      <c r="K2622" t="str">
        <f>VLOOKUP(D2622,Products!A:C,3,FALSE)</f>
        <v>Groceries</v>
      </c>
      <c r="L2622" t="str">
        <f>VLOOKUP(E2622,Stores!A:B,2,FALSE)</f>
        <v>MegaMart New Michele</v>
      </c>
      <c r="M2622">
        <f>VLOOKUP(D2622,Products!A:E,5,FALSE)</f>
        <v>1879.08</v>
      </c>
      <c r="N2622" s="5">
        <f t="shared" si="40"/>
        <v>3382.3440000000001</v>
      </c>
    </row>
    <row r="2623" spans="1:14" x14ac:dyDescent="0.3">
      <c r="A2623" t="s">
        <v>3479</v>
      </c>
      <c r="B2623" s="2">
        <v>45559</v>
      </c>
      <c r="C2623" t="s">
        <v>294</v>
      </c>
      <c r="D2623" t="s">
        <v>734</v>
      </c>
      <c r="E2623" t="s">
        <v>839</v>
      </c>
      <c r="F2623">
        <v>2</v>
      </c>
      <c r="G2623">
        <v>0.1</v>
      </c>
      <c r="H2623" t="s">
        <v>855</v>
      </c>
      <c r="I2623" t="str">
        <f>VLOOKUP(C2623,Customers!A:C,2,FALSE)&amp;" "&amp;VLOOKUP(C2623,Customers!A:C,3,FALSE)</f>
        <v>Jeanne Young</v>
      </c>
      <c r="J2623" t="str">
        <f>VLOOKUP(D2623,Products!A:C,2,FALSE)</f>
        <v>Recognize Footwear</v>
      </c>
      <c r="K2623" t="str">
        <f>VLOOKUP(D2623,Products!A:C,3,FALSE)</f>
        <v>Fashion</v>
      </c>
      <c r="L2623" t="str">
        <f>VLOOKUP(E2623,Stores!A:B,2,FALSE)</f>
        <v>MegaMart New Michele</v>
      </c>
      <c r="M2623">
        <f>VLOOKUP(D2623,Products!A:E,5,FALSE)</f>
        <v>109.78</v>
      </c>
      <c r="N2623" s="5">
        <f t="shared" si="40"/>
        <v>197.60400000000001</v>
      </c>
    </row>
    <row r="2624" spans="1:14" x14ac:dyDescent="0.3">
      <c r="A2624" t="s">
        <v>3480</v>
      </c>
      <c r="B2624" s="2">
        <v>45839</v>
      </c>
      <c r="C2624" t="s">
        <v>661</v>
      </c>
      <c r="D2624" t="s">
        <v>747</v>
      </c>
      <c r="E2624" t="s">
        <v>839</v>
      </c>
      <c r="F2624">
        <v>3</v>
      </c>
      <c r="G2624">
        <v>0.15</v>
      </c>
      <c r="H2624" t="s">
        <v>855</v>
      </c>
      <c r="I2624" t="str">
        <f>VLOOKUP(C2624,Customers!A:C,2,FALSE)&amp;" "&amp;VLOOKUP(C2624,Customers!A:C,3,FALSE)</f>
        <v>Cynthia Cherry</v>
      </c>
      <c r="J2624" t="str">
        <f>VLOOKUP(D2624,Products!A:C,2,FALSE)</f>
        <v>World Watches</v>
      </c>
      <c r="K2624" t="str">
        <f>VLOOKUP(D2624,Products!A:C,3,FALSE)</f>
        <v>Fashion</v>
      </c>
      <c r="L2624" t="str">
        <f>VLOOKUP(E2624,Stores!A:B,2,FALSE)</f>
        <v>MegaMart New Michele</v>
      </c>
      <c r="M2624">
        <f>VLOOKUP(D2624,Products!A:E,5,FALSE)</f>
        <v>1134.8</v>
      </c>
      <c r="N2624" s="5">
        <f t="shared" si="40"/>
        <v>2893.74</v>
      </c>
    </row>
    <row r="2625" spans="1:14" x14ac:dyDescent="0.3">
      <c r="A2625" t="s">
        <v>3481</v>
      </c>
      <c r="B2625" s="2">
        <v>45884</v>
      </c>
      <c r="C2625" t="s">
        <v>407</v>
      </c>
      <c r="D2625" t="s">
        <v>786</v>
      </c>
      <c r="E2625" t="s">
        <v>846</v>
      </c>
      <c r="F2625">
        <v>4</v>
      </c>
      <c r="G2625">
        <v>0.15</v>
      </c>
      <c r="H2625" t="s">
        <v>865</v>
      </c>
      <c r="I2625" t="str">
        <f>VLOOKUP(C2625,Customers!A:C,2,FALSE)&amp;" "&amp;VLOOKUP(C2625,Customers!A:C,3,FALSE)</f>
        <v>Austin Hogan</v>
      </c>
      <c r="J2625" t="str">
        <f>VLOOKUP(D2625,Products!A:C,2,FALSE)</f>
        <v>National Watches</v>
      </c>
      <c r="K2625" t="str">
        <f>VLOOKUP(D2625,Products!A:C,3,FALSE)</f>
        <v>Fashion</v>
      </c>
      <c r="L2625" t="str">
        <f>VLOOKUP(E2625,Stores!A:B,2,FALSE)</f>
        <v>MegaMart Johnmouth</v>
      </c>
      <c r="M2625">
        <f>VLOOKUP(D2625,Products!A:E,5,FALSE)</f>
        <v>29.24</v>
      </c>
      <c r="N2625" s="5">
        <f t="shared" si="40"/>
        <v>99.415999999999997</v>
      </c>
    </row>
    <row r="2626" spans="1:14" x14ac:dyDescent="0.3">
      <c r="A2626" t="s">
        <v>3482</v>
      </c>
      <c r="B2626" s="2">
        <v>45440</v>
      </c>
      <c r="C2626" t="s">
        <v>690</v>
      </c>
      <c r="D2626" t="s">
        <v>725</v>
      </c>
      <c r="E2626" t="s">
        <v>842</v>
      </c>
      <c r="F2626">
        <v>1</v>
      </c>
      <c r="G2626">
        <v>0.15</v>
      </c>
      <c r="H2626" t="s">
        <v>855</v>
      </c>
      <c r="I2626" t="str">
        <f>VLOOKUP(C2626,Customers!A:C,2,FALSE)&amp;" "&amp;VLOOKUP(C2626,Customers!A:C,3,FALSE)</f>
        <v>James Noble</v>
      </c>
      <c r="J2626" t="str">
        <f>VLOOKUP(D2626,Products!A:C,2,FALSE)</f>
        <v>Knowledge Bags</v>
      </c>
      <c r="K2626" t="str">
        <f>VLOOKUP(D2626,Products!A:C,3,FALSE)</f>
        <v>Fashion</v>
      </c>
      <c r="L2626" t="str">
        <f>VLOOKUP(E2626,Stores!A:B,2,FALSE)</f>
        <v>MegaMart Brianahaven</v>
      </c>
      <c r="M2626">
        <f>VLOOKUP(D2626,Products!A:E,5,FALSE)</f>
        <v>1396.22</v>
      </c>
      <c r="N2626" s="5">
        <f t="shared" si="40"/>
        <v>1186.787</v>
      </c>
    </row>
    <row r="2627" spans="1:14" x14ac:dyDescent="0.3">
      <c r="A2627" t="s">
        <v>3483</v>
      </c>
      <c r="B2627" s="2">
        <v>45781</v>
      </c>
      <c r="C2627" t="s">
        <v>593</v>
      </c>
      <c r="D2627" t="s">
        <v>794</v>
      </c>
      <c r="E2627" t="s">
        <v>835</v>
      </c>
      <c r="F2627">
        <v>4</v>
      </c>
      <c r="G2627">
        <v>0.1</v>
      </c>
      <c r="H2627" t="s">
        <v>865</v>
      </c>
      <c r="I2627" t="str">
        <f>VLOOKUP(C2627,Customers!A:C,2,FALSE)&amp;" "&amp;VLOOKUP(C2627,Customers!A:C,3,FALSE)</f>
        <v>Meagan Ali</v>
      </c>
      <c r="J2627" t="str">
        <f>VLOOKUP(D2627,Products!A:C,2,FALSE)</f>
        <v>Everything Laptop</v>
      </c>
      <c r="K2627" t="str">
        <f>VLOOKUP(D2627,Products!A:C,3,FALSE)</f>
        <v>Electronics</v>
      </c>
      <c r="L2627" t="str">
        <f>VLOOKUP(E2627,Stores!A:B,2,FALSE)</f>
        <v>MegaMart Peckmouth</v>
      </c>
      <c r="M2627">
        <f>VLOOKUP(D2627,Products!A:E,5,FALSE)</f>
        <v>428.05</v>
      </c>
      <c r="N2627" s="5">
        <f t="shared" ref="N2627:N2690" si="41">F2627*M2627*(1-G2627)</f>
        <v>1540.98</v>
      </c>
    </row>
    <row r="2628" spans="1:14" x14ac:dyDescent="0.3">
      <c r="A2628" t="s">
        <v>3484</v>
      </c>
      <c r="B2628" s="2">
        <v>45535</v>
      </c>
      <c r="C2628" t="s">
        <v>640</v>
      </c>
      <c r="D2628" t="s">
        <v>818</v>
      </c>
      <c r="E2628" t="s">
        <v>835</v>
      </c>
      <c r="F2628">
        <v>2</v>
      </c>
      <c r="G2628">
        <v>0.1</v>
      </c>
      <c r="H2628" t="s">
        <v>855</v>
      </c>
      <c r="I2628" t="str">
        <f>VLOOKUP(C2628,Customers!A:C,2,FALSE)&amp;" "&amp;VLOOKUP(C2628,Customers!A:C,3,FALSE)</f>
        <v>Brittany Oneal</v>
      </c>
      <c r="J2628" t="str">
        <f>VLOOKUP(D2628,Products!A:C,2,FALSE)</f>
        <v>Nature Clothing</v>
      </c>
      <c r="K2628" t="str">
        <f>VLOOKUP(D2628,Products!A:C,3,FALSE)</f>
        <v>Fashion</v>
      </c>
      <c r="L2628" t="str">
        <f>VLOOKUP(E2628,Stores!A:B,2,FALSE)</f>
        <v>MegaMart Peckmouth</v>
      </c>
      <c r="M2628">
        <f>VLOOKUP(D2628,Products!A:E,5,FALSE)</f>
        <v>1165.3699999999999</v>
      </c>
      <c r="N2628" s="5">
        <f t="shared" si="41"/>
        <v>2097.6659999999997</v>
      </c>
    </row>
    <row r="2629" spans="1:14" x14ac:dyDescent="0.3">
      <c r="A2629" t="s">
        <v>3485</v>
      </c>
      <c r="B2629" s="2">
        <v>45446</v>
      </c>
      <c r="C2629" t="s">
        <v>362</v>
      </c>
      <c r="D2629" t="s">
        <v>786</v>
      </c>
      <c r="E2629" t="s">
        <v>831</v>
      </c>
      <c r="F2629">
        <v>3</v>
      </c>
      <c r="G2629">
        <v>0.15</v>
      </c>
      <c r="H2629" t="s">
        <v>858</v>
      </c>
      <c r="I2629" t="str">
        <f>VLOOKUP(C2629,Customers!A:C,2,FALSE)&amp;" "&amp;VLOOKUP(C2629,Customers!A:C,3,FALSE)</f>
        <v>Eric King</v>
      </c>
      <c r="J2629" t="str">
        <f>VLOOKUP(D2629,Products!A:C,2,FALSE)</f>
        <v>National Watches</v>
      </c>
      <c r="K2629" t="str">
        <f>VLOOKUP(D2629,Products!A:C,3,FALSE)</f>
        <v>Fashion</v>
      </c>
      <c r="L2629" t="str">
        <f>VLOOKUP(E2629,Stores!A:B,2,FALSE)</f>
        <v>MegaMart Jimenezborough</v>
      </c>
      <c r="M2629">
        <f>VLOOKUP(D2629,Products!A:E,5,FALSE)</f>
        <v>29.24</v>
      </c>
      <c r="N2629" s="5">
        <f t="shared" si="41"/>
        <v>74.561999999999998</v>
      </c>
    </row>
    <row r="2630" spans="1:14" x14ac:dyDescent="0.3">
      <c r="A2630" t="s">
        <v>3486</v>
      </c>
      <c r="B2630" s="2">
        <v>45464</v>
      </c>
      <c r="C2630" t="s">
        <v>317</v>
      </c>
      <c r="D2630" t="s">
        <v>778</v>
      </c>
      <c r="E2630" t="s">
        <v>846</v>
      </c>
      <c r="F2630">
        <v>5</v>
      </c>
      <c r="G2630">
        <v>0.05</v>
      </c>
      <c r="H2630" t="s">
        <v>861</v>
      </c>
      <c r="I2630" t="str">
        <f>VLOOKUP(C2630,Customers!A:C,2,FALSE)&amp;" "&amp;VLOOKUP(C2630,Customers!A:C,3,FALSE)</f>
        <v>Amanda Lee</v>
      </c>
      <c r="J2630" t="str">
        <f>VLOOKUP(D2630,Products!A:C,2,FALSE)</f>
        <v>Behavior Dairy</v>
      </c>
      <c r="K2630" t="str">
        <f>VLOOKUP(D2630,Products!A:C,3,FALSE)</f>
        <v>Groceries</v>
      </c>
      <c r="L2630" t="str">
        <f>VLOOKUP(E2630,Stores!A:B,2,FALSE)</f>
        <v>MegaMart Johnmouth</v>
      </c>
      <c r="M2630">
        <f>VLOOKUP(D2630,Products!A:E,5,FALSE)</f>
        <v>1015.76</v>
      </c>
      <c r="N2630" s="5">
        <f t="shared" si="41"/>
        <v>4824.8599999999997</v>
      </c>
    </row>
    <row r="2631" spans="1:14" x14ac:dyDescent="0.3">
      <c r="A2631" t="s">
        <v>3487</v>
      </c>
      <c r="B2631" s="2">
        <v>45707</v>
      </c>
      <c r="C2631" t="s">
        <v>570</v>
      </c>
      <c r="D2631" t="s">
        <v>800</v>
      </c>
      <c r="E2631" t="s">
        <v>846</v>
      </c>
      <c r="F2631">
        <v>4</v>
      </c>
      <c r="G2631">
        <v>0.1</v>
      </c>
      <c r="H2631" t="s">
        <v>865</v>
      </c>
      <c r="I2631" t="str">
        <f>VLOOKUP(C2631,Customers!A:C,2,FALSE)&amp;" "&amp;VLOOKUP(C2631,Customers!A:C,3,FALSE)</f>
        <v>Thomas Chung</v>
      </c>
      <c r="J2631" t="str">
        <f>VLOOKUP(D2631,Products!A:C,2,FALSE)</f>
        <v>Book Television</v>
      </c>
      <c r="K2631" t="str">
        <f>VLOOKUP(D2631,Products!A:C,3,FALSE)</f>
        <v>Electronics</v>
      </c>
      <c r="L2631" t="str">
        <f>VLOOKUP(E2631,Stores!A:B,2,FALSE)</f>
        <v>MegaMart Johnmouth</v>
      </c>
      <c r="M2631">
        <f>VLOOKUP(D2631,Products!A:E,5,FALSE)</f>
        <v>1952.65</v>
      </c>
      <c r="N2631" s="5">
        <f t="shared" si="41"/>
        <v>7029.5400000000009</v>
      </c>
    </row>
    <row r="2632" spans="1:14" x14ac:dyDescent="0.3">
      <c r="A2632" t="s">
        <v>3488</v>
      </c>
      <c r="B2632" s="2">
        <v>45430</v>
      </c>
      <c r="C2632" t="s">
        <v>81</v>
      </c>
      <c r="D2632" t="s">
        <v>728</v>
      </c>
      <c r="E2632" t="s">
        <v>835</v>
      </c>
      <c r="F2632">
        <v>2</v>
      </c>
      <c r="G2632">
        <v>0.1</v>
      </c>
      <c r="H2632" t="s">
        <v>858</v>
      </c>
      <c r="I2632" t="str">
        <f>VLOOKUP(C2632,Customers!A:C,2,FALSE)&amp;" "&amp;VLOOKUP(C2632,Customers!A:C,3,FALSE)</f>
        <v>Ryan Cole</v>
      </c>
      <c r="J2632" t="str">
        <f>VLOOKUP(D2632,Products!A:C,2,FALSE)</f>
        <v>Company Fruits</v>
      </c>
      <c r="K2632" t="str">
        <f>VLOOKUP(D2632,Products!A:C,3,FALSE)</f>
        <v>Groceries</v>
      </c>
      <c r="L2632" t="str">
        <f>VLOOKUP(E2632,Stores!A:B,2,FALSE)</f>
        <v>MegaMart Peckmouth</v>
      </c>
      <c r="M2632">
        <f>VLOOKUP(D2632,Products!A:E,5,FALSE)</f>
        <v>318.05</v>
      </c>
      <c r="N2632" s="5">
        <f t="shared" si="41"/>
        <v>572.49</v>
      </c>
    </row>
    <row r="2633" spans="1:14" x14ac:dyDescent="0.3">
      <c r="A2633" t="s">
        <v>3489</v>
      </c>
      <c r="B2633" s="2">
        <v>45614</v>
      </c>
      <c r="C2633" t="s">
        <v>653</v>
      </c>
      <c r="D2633" t="s">
        <v>732</v>
      </c>
      <c r="E2633" t="s">
        <v>846</v>
      </c>
      <c r="F2633">
        <v>4</v>
      </c>
      <c r="G2633">
        <v>0</v>
      </c>
      <c r="H2633" t="s">
        <v>858</v>
      </c>
      <c r="I2633" t="str">
        <f>VLOOKUP(C2633,Customers!A:C,2,FALSE)&amp;" "&amp;VLOOKUP(C2633,Customers!A:C,3,FALSE)</f>
        <v>Joe Vincent</v>
      </c>
      <c r="J2633" t="str">
        <f>VLOOKUP(D2633,Products!A:C,2,FALSE)</f>
        <v>Understand Camera</v>
      </c>
      <c r="K2633" t="str">
        <f>VLOOKUP(D2633,Products!A:C,3,FALSE)</f>
        <v>Electronics</v>
      </c>
      <c r="L2633" t="str">
        <f>VLOOKUP(E2633,Stores!A:B,2,FALSE)</f>
        <v>MegaMart Johnmouth</v>
      </c>
      <c r="M2633">
        <f>VLOOKUP(D2633,Products!A:E,5,FALSE)</f>
        <v>1474.12</v>
      </c>
      <c r="N2633" s="5">
        <f t="shared" si="41"/>
        <v>5896.48</v>
      </c>
    </row>
    <row r="2634" spans="1:14" x14ac:dyDescent="0.3">
      <c r="A2634" t="s">
        <v>3490</v>
      </c>
      <c r="B2634" s="2">
        <v>45581</v>
      </c>
      <c r="C2634" t="s">
        <v>627</v>
      </c>
      <c r="D2634" t="s">
        <v>736</v>
      </c>
      <c r="E2634" t="s">
        <v>842</v>
      </c>
      <c r="F2634">
        <v>2</v>
      </c>
      <c r="G2634">
        <v>0.1</v>
      </c>
      <c r="H2634" t="s">
        <v>858</v>
      </c>
      <c r="I2634" t="str">
        <f>VLOOKUP(C2634,Customers!A:C,2,FALSE)&amp;" "&amp;VLOOKUP(C2634,Customers!A:C,3,FALSE)</f>
        <v>Anthony Gould</v>
      </c>
      <c r="J2634" t="str">
        <f>VLOOKUP(D2634,Products!A:C,2,FALSE)</f>
        <v>Us Snacks</v>
      </c>
      <c r="K2634" t="str">
        <f>VLOOKUP(D2634,Products!A:C,3,FALSE)</f>
        <v>Groceries</v>
      </c>
      <c r="L2634" t="str">
        <f>VLOOKUP(E2634,Stores!A:B,2,FALSE)</f>
        <v>MegaMart Brianahaven</v>
      </c>
      <c r="M2634">
        <f>VLOOKUP(D2634,Products!A:E,5,FALSE)</f>
        <v>123.19</v>
      </c>
      <c r="N2634" s="5">
        <f t="shared" si="41"/>
        <v>221.74199999999999</v>
      </c>
    </row>
    <row r="2635" spans="1:14" x14ac:dyDescent="0.3">
      <c r="A2635" t="s">
        <v>3491</v>
      </c>
      <c r="B2635" s="2">
        <v>45255</v>
      </c>
      <c r="C2635" t="s">
        <v>67</v>
      </c>
      <c r="D2635" t="s">
        <v>780</v>
      </c>
      <c r="E2635" t="s">
        <v>831</v>
      </c>
      <c r="F2635">
        <v>1</v>
      </c>
      <c r="G2635">
        <v>0.1</v>
      </c>
      <c r="H2635" t="s">
        <v>855</v>
      </c>
      <c r="I2635" t="str">
        <f>VLOOKUP(C2635,Customers!A:C,2,FALSE)&amp;" "&amp;VLOOKUP(C2635,Customers!A:C,3,FALSE)</f>
        <v>Miguel Johnson</v>
      </c>
      <c r="J2635" t="str">
        <f>VLOOKUP(D2635,Products!A:C,2,FALSE)</f>
        <v>Hospital Smartphone</v>
      </c>
      <c r="K2635" t="str">
        <f>VLOOKUP(D2635,Products!A:C,3,FALSE)</f>
        <v>Electronics</v>
      </c>
      <c r="L2635" t="str">
        <f>VLOOKUP(E2635,Stores!A:B,2,FALSE)</f>
        <v>MegaMart Jimenezborough</v>
      </c>
      <c r="M2635">
        <f>VLOOKUP(D2635,Products!A:E,5,FALSE)</f>
        <v>1272.23</v>
      </c>
      <c r="N2635" s="5">
        <f t="shared" si="41"/>
        <v>1145.0070000000001</v>
      </c>
    </row>
    <row r="2636" spans="1:14" x14ac:dyDescent="0.3">
      <c r="A2636" t="s">
        <v>3492</v>
      </c>
      <c r="B2636" s="2">
        <v>45455</v>
      </c>
      <c r="C2636" t="s">
        <v>503</v>
      </c>
      <c r="D2636" t="s">
        <v>794</v>
      </c>
      <c r="E2636" t="s">
        <v>839</v>
      </c>
      <c r="F2636">
        <v>4</v>
      </c>
      <c r="G2636">
        <v>0.1</v>
      </c>
      <c r="H2636" t="s">
        <v>865</v>
      </c>
      <c r="I2636" t="str">
        <f>VLOOKUP(C2636,Customers!A:C,2,FALSE)&amp;" "&amp;VLOOKUP(C2636,Customers!A:C,3,FALSE)</f>
        <v>Breanna Moore</v>
      </c>
      <c r="J2636" t="str">
        <f>VLOOKUP(D2636,Products!A:C,2,FALSE)</f>
        <v>Everything Laptop</v>
      </c>
      <c r="K2636" t="str">
        <f>VLOOKUP(D2636,Products!A:C,3,FALSE)</f>
        <v>Electronics</v>
      </c>
      <c r="L2636" t="str">
        <f>VLOOKUP(E2636,Stores!A:B,2,FALSE)</f>
        <v>MegaMart New Michele</v>
      </c>
      <c r="M2636">
        <f>VLOOKUP(D2636,Products!A:E,5,FALSE)</f>
        <v>428.05</v>
      </c>
      <c r="N2636" s="5">
        <f t="shared" si="41"/>
        <v>1540.98</v>
      </c>
    </row>
    <row r="2637" spans="1:14" x14ac:dyDescent="0.3">
      <c r="A2637" t="s">
        <v>3493</v>
      </c>
      <c r="B2637" s="2">
        <v>45204</v>
      </c>
      <c r="C2637" t="s">
        <v>449</v>
      </c>
      <c r="D2637" t="s">
        <v>794</v>
      </c>
      <c r="E2637" t="s">
        <v>835</v>
      </c>
      <c r="F2637">
        <v>1</v>
      </c>
      <c r="G2637">
        <v>0.1</v>
      </c>
      <c r="H2637" t="s">
        <v>858</v>
      </c>
      <c r="I2637" t="str">
        <f>VLOOKUP(C2637,Customers!A:C,2,FALSE)&amp;" "&amp;VLOOKUP(C2637,Customers!A:C,3,FALSE)</f>
        <v>John Bell</v>
      </c>
      <c r="J2637" t="str">
        <f>VLOOKUP(D2637,Products!A:C,2,FALSE)</f>
        <v>Everything Laptop</v>
      </c>
      <c r="K2637" t="str">
        <f>VLOOKUP(D2637,Products!A:C,3,FALSE)</f>
        <v>Electronics</v>
      </c>
      <c r="L2637" t="str">
        <f>VLOOKUP(E2637,Stores!A:B,2,FALSE)</f>
        <v>MegaMart Peckmouth</v>
      </c>
      <c r="M2637">
        <f>VLOOKUP(D2637,Products!A:E,5,FALSE)</f>
        <v>428.05</v>
      </c>
      <c r="N2637" s="5">
        <f t="shared" si="41"/>
        <v>385.245</v>
      </c>
    </row>
    <row r="2638" spans="1:14" x14ac:dyDescent="0.3">
      <c r="A2638" t="s">
        <v>3494</v>
      </c>
      <c r="B2638" s="2">
        <v>45390</v>
      </c>
      <c r="C2638" t="s">
        <v>151</v>
      </c>
      <c r="D2638" t="s">
        <v>780</v>
      </c>
      <c r="E2638" t="s">
        <v>835</v>
      </c>
      <c r="F2638">
        <v>5</v>
      </c>
      <c r="G2638">
        <v>0.1</v>
      </c>
      <c r="H2638" t="s">
        <v>861</v>
      </c>
      <c r="I2638" t="str">
        <f>VLOOKUP(C2638,Customers!A:C,2,FALSE)&amp;" "&amp;VLOOKUP(C2638,Customers!A:C,3,FALSE)</f>
        <v>Nancy Savage</v>
      </c>
      <c r="J2638" t="str">
        <f>VLOOKUP(D2638,Products!A:C,2,FALSE)</f>
        <v>Hospital Smartphone</v>
      </c>
      <c r="K2638" t="str">
        <f>VLOOKUP(D2638,Products!A:C,3,FALSE)</f>
        <v>Electronics</v>
      </c>
      <c r="L2638" t="str">
        <f>VLOOKUP(E2638,Stores!A:B,2,FALSE)</f>
        <v>MegaMart Peckmouth</v>
      </c>
      <c r="M2638">
        <f>VLOOKUP(D2638,Products!A:E,5,FALSE)</f>
        <v>1272.23</v>
      </c>
      <c r="N2638" s="5">
        <f t="shared" si="41"/>
        <v>5725.0349999999999</v>
      </c>
    </row>
    <row r="2639" spans="1:14" x14ac:dyDescent="0.3">
      <c r="A2639" t="s">
        <v>3495</v>
      </c>
      <c r="B2639" s="2">
        <v>45893</v>
      </c>
      <c r="C2639" t="s">
        <v>524</v>
      </c>
      <c r="D2639" t="s">
        <v>826</v>
      </c>
      <c r="E2639" t="s">
        <v>831</v>
      </c>
      <c r="F2639">
        <v>4</v>
      </c>
      <c r="G2639">
        <v>0.05</v>
      </c>
      <c r="H2639" t="s">
        <v>855</v>
      </c>
      <c r="I2639" t="str">
        <f>VLOOKUP(C2639,Customers!A:C,2,FALSE)&amp;" "&amp;VLOOKUP(C2639,Customers!A:C,3,FALSE)</f>
        <v>Betty Johnson</v>
      </c>
      <c r="J2639" t="str">
        <f>VLOOKUP(D2639,Products!A:C,2,FALSE)</f>
        <v>Maybe Footwear</v>
      </c>
      <c r="K2639" t="str">
        <f>VLOOKUP(D2639,Products!A:C,3,FALSE)</f>
        <v>Fashion</v>
      </c>
      <c r="L2639" t="str">
        <f>VLOOKUP(E2639,Stores!A:B,2,FALSE)</f>
        <v>MegaMart Jimenezborough</v>
      </c>
      <c r="M2639">
        <f>VLOOKUP(D2639,Products!A:E,5,FALSE)</f>
        <v>1044.6400000000001</v>
      </c>
      <c r="N2639" s="5">
        <f t="shared" si="41"/>
        <v>3969.6320000000001</v>
      </c>
    </row>
    <row r="2640" spans="1:14" x14ac:dyDescent="0.3">
      <c r="A2640" t="s">
        <v>3496</v>
      </c>
      <c r="B2640" s="2">
        <v>45574</v>
      </c>
      <c r="C2640" t="s">
        <v>533</v>
      </c>
      <c r="D2640" t="s">
        <v>750</v>
      </c>
      <c r="E2640" t="s">
        <v>846</v>
      </c>
      <c r="F2640">
        <v>3</v>
      </c>
      <c r="G2640">
        <v>0.1</v>
      </c>
      <c r="H2640" t="s">
        <v>865</v>
      </c>
      <c r="I2640" t="str">
        <f>VLOOKUP(C2640,Customers!A:C,2,FALSE)&amp;" "&amp;VLOOKUP(C2640,Customers!A:C,3,FALSE)</f>
        <v>Crystal Garrison</v>
      </c>
      <c r="J2640" t="str">
        <f>VLOOKUP(D2640,Products!A:C,2,FALSE)</f>
        <v>Add Clothing</v>
      </c>
      <c r="K2640" t="str">
        <f>VLOOKUP(D2640,Products!A:C,3,FALSE)</f>
        <v>Fashion</v>
      </c>
      <c r="L2640" t="str">
        <f>VLOOKUP(E2640,Stores!A:B,2,FALSE)</f>
        <v>MegaMart Johnmouth</v>
      </c>
      <c r="M2640">
        <f>VLOOKUP(D2640,Products!A:E,5,FALSE)</f>
        <v>1342.75</v>
      </c>
      <c r="N2640" s="5">
        <f t="shared" si="41"/>
        <v>3625.4250000000002</v>
      </c>
    </row>
    <row r="2641" spans="1:14" x14ac:dyDescent="0.3">
      <c r="A2641" t="s">
        <v>3497</v>
      </c>
      <c r="B2641" s="2">
        <v>45185</v>
      </c>
      <c r="C2641" t="s">
        <v>141</v>
      </c>
      <c r="D2641" t="s">
        <v>774</v>
      </c>
      <c r="E2641" t="s">
        <v>831</v>
      </c>
      <c r="F2641">
        <v>3</v>
      </c>
      <c r="G2641">
        <v>0.1</v>
      </c>
      <c r="H2641" t="s">
        <v>858</v>
      </c>
      <c r="I2641" t="str">
        <f>VLOOKUP(C2641,Customers!A:C,2,FALSE)&amp;" "&amp;VLOOKUP(C2641,Customers!A:C,3,FALSE)</f>
        <v>Michael Cervantes</v>
      </c>
      <c r="J2641" t="str">
        <f>VLOOKUP(D2641,Products!A:C,2,FALSE)</f>
        <v>Him Smartphone</v>
      </c>
      <c r="K2641" t="str">
        <f>VLOOKUP(D2641,Products!A:C,3,FALSE)</f>
        <v>Electronics</v>
      </c>
      <c r="L2641" t="str">
        <f>VLOOKUP(E2641,Stores!A:B,2,FALSE)</f>
        <v>MegaMart Jimenezborough</v>
      </c>
      <c r="M2641">
        <f>VLOOKUP(D2641,Products!A:E,5,FALSE)</f>
        <v>1487.41</v>
      </c>
      <c r="N2641" s="5">
        <f t="shared" si="41"/>
        <v>4016.0070000000005</v>
      </c>
    </row>
    <row r="2642" spans="1:14" x14ac:dyDescent="0.3">
      <c r="A2642" t="s">
        <v>3498</v>
      </c>
      <c r="B2642" s="2">
        <v>45731</v>
      </c>
      <c r="C2642" t="s">
        <v>677</v>
      </c>
      <c r="D2642" t="s">
        <v>734</v>
      </c>
      <c r="E2642" t="s">
        <v>835</v>
      </c>
      <c r="F2642">
        <v>2</v>
      </c>
      <c r="G2642">
        <v>0.1</v>
      </c>
      <c r="H2642" t="s">
        <v>858</v>
      </c>
      <c r="I2642" t="str">
        <f>VLOOKUP(C2642,Customers!A:C,2,FALSE)&amp;" "&amp;VLOOKUP(C2642,Customers!A:C,3,FALSE)</f>
        <v>James Wilson</v>
      </c>
      <c r="J2642" t="str">
        <f>VLOOKUP(D2642,Products!A:C,2,FALSE)</f>
        <v>Recognize Footwear</v>
      </c>
      <c r="K2642" t="str">
        <f>VLOOKUP(D2642,Products!A:C,3,FALSE)</f>
        <v>Fashion</v>
      </c>
      <c r="L2642" t="str">
        <f>VLOOKUP(E2642,Stores!A:B,2,FALSE)</f>
        <v>MegaMart Peckmouth</v>
      </c>
      <c r="M2642">
        <f>VLOOKUP(D2642,Products!A:E,5,FALSE)</f>
        <v>109.78</v>
      </c>
      <c r="N2642" s="5">
        <f t="shared" si="41"/>
        <v>197.60400000000001</v>
      </c>
    </row>
    <row r="2643" spans="1:14" x14ac:dyDescent="0.3">
      <c r="A2643" t="s">
        <v>3499</v>
      </c>
      <c r="B2643" s="2">
        <v>45622</v>
      </c>
      <c r="C2643" t="s">
        <v>228</v>
      </c>
      <c r="D2643" t="s">
        <v>759</v>
      </c>
      <c r="E2643" t="s">
        <v>842</v>
      </c>
      <c r="F2643">
        <v>3</v>
      </c>
      <c r="G2643">
        <v>0.1</v>
      </c>
      <c r="H2643" t="s">
        <v>861</v>
      </c>
      <c r="I2643" t="str">
        <f>VLOOKUP(C2643,Customers!A:C,2,FALSE)&amp;" "&amp;VLOOKUP(C2643,Customers!A:C,3,FALSE)</f>
        <v>Scott Wyatt</v>
      </c>
      <c r="J2643" t="str">
        <f>VLOOKUP(D2643,Products!A:C,2,FALSE)</f>
        <v>Democratic Smartphone</v>
      </c>
      <c r="K2643" t="str">
        <f>VLOOKUP(D2643,Products!A:C,3,FALSE)</f>
        <v>Electronics</v>
      </c>
      <c r="L2643" t="str">
        <f>VLOOKUP(E2643,Stores!A:B,2,FALSE)</f>
        <v>MegaMart Brianahaven</v>
      </c>
      <c r="M2643">
        <f>VLOOKUP(D2643,Products!A:E,5,FALSE)</f>
        <v>1079.8900000000001</v>
      </c>
      <c r="N2643" s="5">
        <f t="shared" si="41"/>
        <v>2915.703</v>
      </c>
    </row>
    <row r="2644" spans="1:14" x14ac:dyDescent="0.3">
      <c r="A2644" t="s">
        <v>3500</v>
      </c>
      <c r="B2644" s="2">
        <v>45622</v>
      </c>
      <c r="C2644" t="s">
        <v>618</v>
      </c>
      <c r="D2644" t="s">
        <v>788</v>
      </c>
      <c r="E2644" t="s">
        <v>839</v>
      </c>
      <c r="F2644">
        <v>3</v>
      </c>
      <c r="G2644">
        <v>0</v>
      </c>
      <c r="H2644" t="s">
        <v>861</v>
      </c>
      <c r="I2644" t="str">
        <f>VLOOKUP(C2644,Customers!A:C,2,FALSE)&amp;" "&amp;VLOOKUP(C2644,Customers!A:C,3,FALSE)</f>
        <v>Scott Howell</v>
      </c>
      <c r="J2644" t="str">
        <f>VLOOKUP(D2644,Products!A:C,2,FALSE)</f>
        <v>Foot Snacks</v>
      </c>
      <c r="K2644" t="str">
        <f>VLOOKUP(D2644,Products!A:C,3,FALSE)</f>
        <v>Groceries</v>
      </c>
      <c r="L2644" t="str">
        <f>VLOOKUP(E2644,Stores!A:B,2,FALSE)</f>
        <v>MegaMart New Michele</v>
      </c>
      <c r="M2644">
        <f>VLOOKUP(D2644,Products!A:E,5,FALSE)</f>
        <v>1095.72</v>
      </c>
      <c r="N2644" s="5">
        <f t="shared" si="41"/>
        <v>3287.16</v>
      </c>
    </row>
    <row r="2645" spans="1:14" x14ac:dyDescent="0.3">
      <c r="A2645" t="s">
        <v>3501</v>
      </c>
      <c r="B2645" s="2">
        <v>45408</v>
      </c>
      <c r="C2645" t="s">
        <v>123</v>
      </c>
      <c r="D2645" t="s">
        <v>820</v>
      </c>
      <c r="E2645" t="s">
        <v>842</v>
      </c>
      <c r="F2645">
        <v>4</v>
      </c>
      <c r="G2645">
        <v>0.15</v>
      </c>
      <c r="H2645" t="s">
        <v>858</v>
      </c>
      <c r="I2645" t="str">
        <f>VLOOKUP(C2645,Customers!A:C,2,FALSE)&amp;" "&amp;VLOOKUP(C2645,Customers!A:C,3,FALSE)</f>
        <v>Ashley Gibson</v>
      </c>
      <c r="J2645" t="str">
        <f>VLOOKUP(D2645,Products!A:C,2,FALSE)</f>
        <v>Or Smartphone</v>
      </c>
      <c r="K2645" t="str">
        <f>VLOOKUP(D2645,Products!A:C,3,FALSE)</f>
        <v>Electronics</v>
      </c>
      <c r="L2645" t="str">
        <f>VLOOKUP(E2645,Stores!A:B,2,FALSE)</f>
        <v>MegaMart Brianahaven</v>
      </c>
      <c r="M2645">
        <f>VLOOKUP(D2645,Products!A:E,5,FALSE)</f>
        <v>1197.18</v>
      </c>
      <c r="N2645" s="5">
        <f t="shared" si="41"/>
        <v>4070.4120000000003</v>
      </c>
    </row>
    <row r="2646" spans="1:14" x14ac:dyDescent="0.3">
      <c r="A2646" t="s">
        <v>3502</v>
      </c>
      <c r="B2646" s="2">
        <v>45359</v>
      </c>
      <c r="C2646" t="s">
        <v>55</v>
      </c>
      <c r="D2646" t="s">
        <v>814</v>
      </c>
      <c r="E2646" t="s">
        <v>846</v>
      </c>
      <c r="F2646">
        <v>1</v>
      </c>
      <c r="G2646">
        <v>0.1</v>
      </c>
      <c r="H2646" t="s">
        <v>865</v>
      </c>
      <c r="I2646" t="str">
        <f>VLOOKUP(C2646,Customers!A:C,2,FALSE)&amp;" "&amp;VLOOKUP(C2646,Customers!A:C,3,FALSE)</f>
        <v>Robert Anderson</v>
      </c>
      <c r="J2646" t="str">
        <f>VLOOKUP(D2646,Products!A:C,2,FALSE)</f>
        <v>Least Accessories</v>
      </c>
      <c r="K2646" t="str">
        <f>VLOOKUP(D2646,Products!A:C,3,FALSE)</f>
        <v>Fashion</v>
      </c>
      <c r="L2646" t="str">
        <f>VLOOKUP(E2646,Stores!A:B,2,FALSE)</f>
        <v>MegaMart Johnmouth</v>
      </c>
      <c r="M2646">
        <f>VLOOKUP(D2646,Products!A:E,5,FALSE)</f>
        <v>1286.55</v>
      </c>
      <c r="N2646" s="5">
        <f t="shared" si="41"/>
        <v>1157.895</v>
      </c>
    </row>
    <row r="2647" spans="1:14" x14ac:dyDescent="0.3">
      <c r="A2647" t="s">
        <v>3503</v>
      </c>
      <c r="B2647" s="2">
        <v>45301</v>
      </c>
      <c r="C2647" t="s">
        <v>527</v>
      </c>
      <c r="D2647" t="s">
        <v>810</v>
      </c>
      <c r="E2647" t="s">
        <v>842</v>
      </c>
      <c r="F2647">
        <v>1</v>
      </c>
      <c r="G2647">
        <v>0.1</v>
      </c>
      <c r="H2647" t="s">
        <v>858</v>
      </c>
      <c r="I2647" t="str">
        <f>VLOOKUP(C2647,Customers!A:C,2,FALSE)&amp;" "&amp;VLOOKUP(C2647,Customers!A:C,3,FALSE)</f>
        <v>Paige Osborne</v>
      </c>
      <c r="J2647" t="str">
        <f>VLOOKUP(D2647,Products!A:C,2,FALSE)</f>
        <v>Maybe Clothing</v>
      </c>
      <c r="K2647" t="str">
        <f>VLOOKUP(D2647,Products!A:C,3,FALSE)</f>
        <v>Fashion</v>
      </c>
      <c r="L2647" t="str">
        <f>VLOOKUP(E2647,Stores!A:B,2,FALSE)</f>
        <v>MegaMart Brianahaven</v>
      </c>
      <c r="M2647">
        <f>VLOOKUP(D2647,Products!A:E,5,FALSE)</f>
        <v>453.62</v>
      </c>
      <c r="N2647" s="5">
        <f t="shared" si="41"/>
        <v>408.25800000000004</v>
      </c>
    </row>
    <row r="2648" spans="1:14" x14ac:dyDescent="0.3">
      <c r="A2648" t="s">
        <v>3504</v>
      </c>
      <c r="B2648" s="2">
        <v>45841</v>
      </c>
      <c r="C2648" t="s">
        <v>277</v>
      </c>
      <c r="D2648" t="s">
        <v>784</v>
      </c>
      <c r="E2648" t="s">
        <v>846</v>
      </c>
      <c r="F2648">
        <v>3</v>
      </c>
      <c r="G2648">
        <v>0</v>
      </c>
      <c r="H2648" t="s">
        <v>865</v>
      </c>
      <c r="I2648" t="str">
        <f>VLOOKUP(C2648,Customers!A:C,2,FALSE)&amp;" "&amp;VLOOKUP(C2648,Customers!A:C,3,FALSE)</f>
        <v>Carl Armstrong</v>
      </c>
      <c r="J2648" t="str">
        <f>VLOOKUP(D2648,Products!A:C,2,FALSE)</f>
        <v>Road Clothing</v>
      </c>
      <c r="K2648" t="str">
        <f>VLOOKUP(D2648,Products!A:C,3,FALSE)</f>
        <v>Fashion</v>
      </c>
      <c r="L2648" t="str">
        <f>VLOOKUP(E2648,Stores!A:B,2,FALSE)</f>
        <v>MegaMart Johnmouth</v>
      </c>
      <c r="M2648">
        <f>VLOOKUP(D2648,Products!A:E,5,FALSE)</f>
        <v>1485.05</v>
      </c>
      <c r="N2648" s="5">
        <f t="shared" si="41"/>
        <v>4455.1499999999996</v>
      </c>
    </row>
    <row r="2649" spans="1:14" x14ac:dyDescent="0.3">
      <c r="A2649" t="s">
        <v>3505</v>
      </c>
      <c r="B2649" s="2">
        <v>45867</v>
      </c>
      <c r="C2649" t="s">
        <v>527</v>
      </c>
      <c r="D2649" t="s">
        <v>772</v>
      </c>
      <c r="E2649" t="s">
        <v>831</v>
      </c>
      <c r="F2649">
        <v>5</v>
      </c>
      <c r="G2649">
        <v>0</v>
      </c>
      <c r="H2649" t="s">
        <v>861</v>
      </c>
      <c r="I2649" t="str">
        <f>VLOOKUP(C2649,Customers!A:C,2,FALSE)&amp;" "&amp;VLOOKUP(C2649,Customers!A:C,3,FALSE)</f>
        <v>Paige Osborne</v>
      </c>
      <c r="J2649" t="str">
        <f>VLOOKUP(D2649,Products!A:C,2,FALSE)</f>
        <v>And Footwear</v>
      </c>
      <c r="K2649" t="str">
        <f>VLOOKUP(D2649,Products!A:C,3,FALSE)</f>
        <v>Fashion</v>
      </c>
      <c r="L2649" t="str">
        <f>VLOOKUP(E2649,Stores!A:B,2,FALSE)</f>
        <v>MegaMart Jimenezborough</v>
      </c>
      <c r="M2649">
        <f>VLOOKUP(D2649,Products!A:E,5,FALSE)</f>
        <v>1878.47</v>
      </c>
      <c r="N2649" s="5">
        <f t="shared" si="41"/>
        <v>9392.35</v>
      </c>
    </row>
    <row r="2650" spans="1:14" x14ac:dyDescent="0.3">
      <c r="A2650" t="s">
        <v>3506</v>
      </c>
      <c r="B2650" s="2">
        <v>45735</v>
      </c>
      <c r="C2650" t="s">
        <v>483</v>
      </c>
      <c r="D2650" t="s">
        <v>745</v>
      </c>
      <c r="E2650" t="s">
        <v>831</v>
      </c>
      <c r="F2650">
        <v>5</v>
      </c>
      <c r="G2650">
        <v>0.15</v>
      </c>
      <c r="H2650" t="s">
        <v>861</v>
      </c>
      <c r="I2650" t="str">
        <f>VLOOKUP(C2650,Customers!A:C,2,FALSE)&amp;" "&amp;VLOOKUP(C2650,Customers!A:C,3,FALSE)</f>
        <v>Jared Ochoa</v>
      </c>
      <c r="J2650" t="str">
        <f>VLOOKUP(D2650,Products!A:C,2,FALSE)</f>
        <v>Above Camera</v>
      </c>
      <c r="K2650" t="str">
        <f>VLOOKUP(D2650,Products!A:C,3,FALSE)</f>
        <v>Electronics</v>
      </c>
      <c r="L2650" t="str">
        <f>VLOOKUP(E2650,Stores!A:B,2,FALSE)</f>
        <v>MegaMart Jimenezborough</v>
      </c>
      <c r="M2650">
        <f>VLOOKUP(D2650,Products!A:E,5,FALSE)</f>
        <v>1193.0899999999999</v>
      </c>
      <c r="N2650" s="5">
        <f t="shared" si="41"/>
        <v>5070.6324999999997</v>
      </c>
    </row>
    <row r="2651" spans="1:14" x14ac:dyDescent="0.3">
      <c r="A2651" t="s">
        <v>3507</v>
      </c>
      <c r="B2651" s="2">
        <v>45209</v>
      </c>
      <c r="C2651" t="s">
        <v>680</v>
      </c>
      <c r="D2651" t="s">
        <v>796</v>
      </c>
      <c r="E2651" t="s">
        <v>831</v>
      </c>
      <c r="F2651">
        <v>4</v>
      </c>
      <c r="G2651">
        <v>0.1</v>
      </c>
      <c r="H2651" t="s">
        <v>858</v>
      </c>
      <c r="I2651" t="str">
        <f>VLOOKUP(C2651,Customers!A:C,2,FALSE)&amp;" "&amp;VLOOKUP(C2651,Customers!A:C,3,FALSE)</f>
        <v>Donald Meza</v>
      </c>
      <c r="J2651" t="str">
        <f>VLOOKUP(D2651,Products!A:C,2,FALSE)</f>
        <v>Chair Laptop</v>
      </c>
      <c r="K2651" t="str">
        <f>VLOOKUP(D2651,Products!A:C,3,FALSE)</f>
        <v>Electronics</v>
      </c>
      <c r="L2651" t="str">
        <f>VLOOKUP(E2651,Stores!A:B,2,FALSE)</f>
        <v>MegaMart Jimenezborough</v>
      </c>
      <c r="M2651">
        <f>VLOOKUP(D2651,Products!A:E,5,FALSE)</f>
        <v>1562.43</v>
      </c>
      <c r="N2651" s="5">
        <f t="shared" si="41"/>
        <v>5624.7480000000005</v>
      </c>
    </row>
    <row r="2652" spans="1:14" x14ac:dyDescent="0.3">
      <c r="A2652" t="s">
        <v>3508</v>
      </c>
      <c r="B2652" s="2">
        <v>45826</v>
      </c>
      <c r="C2652" t="s">
        <v>432</v>
      </c>
      <c r="D2652" t="s">
        <v>800</v>
      </c>
      <c r="E2652" t="s">
        <v>835</v>
      </c>
      <c r="F2652">
        <v>3</v>
      </c>
      <c r="G2652">
        <v>0</v>
      </c>
      <c r="H2652" t="s">
        <v>861</v>
      </c>
      <c r="I2652" t="str">
        <f>VLOOKUP(C2652,Customers!A:C,2,FALSE)&amp;" "&amp;VLOOKUP(C2652,Customers!A:C,3,FALSE)</f>
        <v>Jamie Webb</v>
      </c>
      <c r="J2652" t="str">
        <f>VLOOKUP(D2652,Products!A:C,2,FALSE)</f>
        <v>Book Television</v>
      </c>
      <c r="K2652" t="str">
        <f>VLOOKUP(D2652,Products!A:C,3,FALSE)</f>
        <v>Electronics</v>
      </c>
      <c r="L2652" t="str">
        <f>VLOOKUP(E2652,Stores!A:B,2,FALSE)</f>
        <v>MegaMart Peckmouth</v>
      </c>
      <c r="M2652">
        <f>VLOOKUP(D2652,Products!A:E,5,FALSE)</f>
        <v>1952.65</v>
      </c>
      <c r="N2652" s="5">
        <f t="shared" si="41"/>
        <v>5857.9500000000007</v>
      </c>
    </row>
    <row r="2653" spans="1:14" x14ac:dyDescent="0.3">
      <c r="A2653" t="s">
        <v>3509</v>
      </c>
      <c r="B2653" s="2">
        <v>45427</v>
      </c>
      <c r="C2653" t="s">
        <v>593</v>
      </c>
      <c r="D2653" t="s">
        <v>816</v>
      </c>
      <c r="E2653" t="s">
        <v>846</v>
      </c>
      <c r="F2653">
        <v>3</v>
      </c>
      <c r="G2653">
        <v>0.15</v>
      </c>
      <c r="H2653" t="s">
        <v>858</v>
      </c>
      <c r="I2653" t="str">
        <f>VLOOKUP(C2653,Customers!A:C,2,FALSE)&amp;" "&amp;VLOOKUP(C2653,Customers!A:C,3,FALSE)</f>
        <v>Meagan Ali</v>
      </c>
      <c r="J2653" t="str">
        <f>VLOOKUP(D2653,Products!A:C,2,FALSE)</f>
        <v>Set Dairy</v>
      </c>
      <c r="K2653" t="str">
        <f>VLOOKUP(D2653,Products!A:C,3,FALSE)</f>
        <v>Groceries</v>
      </c>
      <c r="L2653" t="str">
        <f>VLOOKUP(E2653,Stores!A:B,2,FALSE)</f>
        <v>MegaMart Johnmouth</v>
      </c>
      <c r="M2653">
        <f>VLOOKUP(D2653,Products!A:E,5,FALSE)</f>
        <v>1879.08</v>
      </c>
      <c r="N2653" s="5">
        <f t="shared" si="41"/>
        <v>4791.6539999999995</v>
      </c>
    </row>
    <row r="2654" spans="1:14" x14ac:dyDescent="0.3">
      <c r="A2654" t="s">
        <v>3510</v>
      </c>
      <c r="B2654" s="2">
        <v>45285</v>
      </c>
      <c r="C2654" t="s">
        <v>28</v>
      </c>
      <c r="D2654" t="s">
        <v>766</v>
      </c>
      <c r="E2654" t="s">
        <v>842</v>
      </c>
      <c r="F2654">
        <v>5</v>
      </c>
      <c r="G2654">
        <v>0.1</v>
      </c>
      <c r="H2654" t="s">
        <v>865</v>
      </c>
      <c r="I2654" t="str">
        <f>VLOOKUP(C2654,Customers!A:C,2,FALSE)&amp;" "&amp;VLOOKUP(C2654,Customers!A:C,3,FALSE)</f>
        <v>Danny Moore</v>
      </c>
      <c r="J2654" t="str">
        <f>VLOOKUP(D2654,Products!A:C,2,FALSE)</f>
        <v>Firm Dairy</v>
      </c>
      <c r="K2654" t="str">
        <f>VLOOKUP(D2654,Products!A:C,3,FALSE)</f>
        <v>Groceries</v>
      </c>
      <c r="L2654" t="str">
        <f>VLOOKUP(E2654,Stores!A:B,2,FALSE)</f>
        <v>MegaMart Brianahaven</v>
      </c>
      <c r="M2654">
        <f>VLOOKUP(D2654,Products!A:E,5,FALSE)</f>
        <v>1227.24</v>
      </c>
      <c r="N2654" s="5">
        <f t="shared" si="41"/>
        <v>5522.58</v>
      </c>
    </row>
    <row r="2655" spans="1:14" x14ac:dyDescent="0.3">
      <c r="A2655" t="s">
        <v>3511</v>
      </c>
      <c r="B2655" s="2">
        <v>45434</v>
      </c>
      <c r="C2655" t="s">
        <v>574</v>
      </c>
      <c r="D2655" t="s">
        <v>808</v>
      </c>
      <c r="E2655" t="s">
        <v>842</v>
      </c>
      <c r="F2655">
        <v>1</v>
      </c>
      <c r="G2655">
        <v>0</v>
      </c>
      <c r="H2655" t="s">
        <v>861</v>
      </c>
      <c r="I2655" t="str">
        <f>VLOOKUP(C2655,Customers!A:C,2,FALSE)&amp;" "&amp;VLOOKUP(C2655,Customers!A:C,3,FALSE)</f>
        <v>Meagan Macdonald</v>
      </c>
      <c r="J2655" t="str">
        <f>VLOOKUP(D2655,Products!A:C,2,FALSE)</f>
        <v>Present Television</v>
      </c>
      <c r="K2655" t="str">
        <f>VLOOKUP(D2655,Products!A:C,3,FALSE)</f>
        <v>Electronics</v>
      </c>
      <c r="L2655" t="str">
        <f>VLOOKUP(E2655,Stores!A:B,2,FALSE)</f>
        <v>MegaMart Brianahaven</v>
      </c>
      <c r="M2655">
        <f>VLOOKUP(D2655,Products!A:E,5,FALSE)</f>
        <v>1635.01</v>
      </c>
      <c r="N2655" s="5">
        <f t="shared" si="41"/>
        <v>1635.01</v>
      </c>
    </row>
    <row r="2656" spans="1:14" x14ac:dyDescent="0.3">
      <c r="A2656" t="s">
        <v>3512</v>
      </c>
      <c r="B2656" s="2">
        <v>45656</v>
      </c>
      <c r="C2656" t="s">
        <v>313</v>
      </c>
      <c r="D2656" t="s">
        <v>728</v>
      </c>
      <c r="E2656" t="s">
        <v>842</v>
      </c>
      <c r="F2656">
        <v>2</v>
      </c>
      <c r="G2656">
        <v>0.1</v>
      </c>
      <c r="H2656" t="s">
        <v>861</v>
      </c>
      <c r="I2656" t="str">
        <f>VLOOKUP(C2656,Customers!A:C,2,FALSE)&amp;" "&amp;VLOOKUP(C2656,Customers!A:C,3,FALSE)</f>
        <v>Jeremy Robles</v>
      </c>
      <c r="J2656" t="str">
        <f>VLOOKUP(D2656,Products!A:C,2,FALSE)</f>
        <v>Company Fruits</v>
      </c>
      <c r="K2656" t="str">
        <f>VLOOKUP(D2656,Products!A:C,3,FALSE)</f>
        <v>Groceries</v>
      </c>
      <c r="L2656" t="str">
        <f>VLOOKUP(E2656,Stores!A:B,2,FALSE)</f>
        <v>MegaMart Brianahaven</v>
      </c>
      <c r="M2656">
        <f>VLOOKUP(D2656,Products!A:E,5,FALSE)</f>
        <v>318.05</v>
      </c>
      <c r="N2656" s="5">
        <f t="shared" si="41"/>
        <v>572.49</v>
      </c>
    </row>
    <row r="2657" spans="1:14" x14ac:dyDescent="0.3">
      <c r="A2657" t="s">
        <v>3513</v>
      </c>
      <c r="B2657" s="2">
        <v>45872</v>
      </c>
      <c r="C2657" t="s">
        <v>542</v>
      </c>
      <c r="D2657" t="s">
        <v>790</v>
      </c>
      <c r="E2657" t="s">
        <v>839</v>
      </c>
      <c r="F2657">
        <v>5</v>
      </c>
      <c r="G2657">
        <v>0.15</v>
      </c>
      <c r="H2657" t="s">
        <v>861</v>
      </c>
      <c r="I2657" t="str">
        <f>VLOOKUP(C2657,Customers!A:C,2,FALSE)&amp;" "&amp;VLOOKUP(C2657,Customers!A:C,3,FALSE)</f>
        <v>Francis Hernandez</v>
      </c>
      <c r="J2657" t="str">
        <f>VLOOKUP(D2657,Products!A:C,2,FALSE)</f>
        <v>Difficult Vegetables</v>
      </c>
      <c r="K2657" t="str">
        <f>VLOOKUP(D2657,Products!A:C,3,FALSE)</f>
        <v>Groceries</v>
      </c>
      <c r="L2657" t="str">
        <f>VLOOKUP(E2657,Stores!A:B,2,FALSE)</f>
        <v>MegaMart New Michele</v>
      </c>
      <c r="M2657">
        <f>VLOOKUP(D2657,Products!A:E,5,FALSE)</f>
        <v>304.70999999999998</v>
      </c>
      <c r="N2657" s="5">
        <f t="shared" si="41"/>
        <v>1295.0174999999999</v>
      </c>
    </row>
    <row r="2658" spans="1:14" x14ac:dyDescent="0.3">
      <c r="A2658" t="s">
        <v>3514</v>
      </c>
      <c r="B2658" s="2">
        <v>45730</v>
      </c>
      <c r="C2658" t="s">
        <v>696</v>
      </c>
      <c r="D2658" t="s">
        <v>747</v>
      </c>
      <c r="E2658" t="s">
        <v>846</v>
      </c>
      <c r="F2658">
        <v>3</v>
      </c>
      <c r="G2658">
        <v>0.05</v>
      </c>
      <c r="H2658" t="s">
        <v>861</v>
      </c>
      <c r="I2658" t="str">
        <f>VLOOKUP(C2658,Customers!A:C,2,FALSE)&amp;" "&amp;VLOOKUP(C2658,Customers!A:C,3,FALSE)</f>
        <v>Jessica Mullins</v>
      </c>
      <c r="J2658" t="str">
        <f>VLOOKUP(D2658,Products!A:C,2,FALSE)</f>
        <v>World Watches</v>
      </c>
      <c r="K2658" t="str">
        <f>VLOOKUP(D2658,Products!A:C,3,FALSE)</f>
        <v>Fashion</v>
      </c>
      <c r="L2658" t="str">
        <f>VLOOKUP(E2658,Stores!A:B,2,FALSE)</f>
        <v>MegaMart Johnmouth</v>
      </c>
      <c r="M2658">
        <f>VLOOKUP(D2658,Products!A:E,5,FALSE)</f>
        <v>1134.8</v>
      </c>
      <c r="N2658" s="5">
        <f t="shared" si="41"/>
        <v>3234.1799999999994</v>
      </c>
    </row>
    <row r="2659" spans="1:14" x14ac:dyDescent="0.3">
      <c r="A2659" t="s">
        <v>3515</v>
      </c>
      <c r="B2659" s="2">
        <v>45826</v>
      </c>
      <c r="C2659" t="s">
        <v>696</v>
      </c>
      <c r="D2659" t="s">
        <v>822</v>
      </c>
      <c r="E2659" t="s">
        <v>835</v>
      </c>
      <c r="F2659">
        <v>2</v>
      </c>
      <c r="G2659">
        <v>0.1</v>
      </c>
      <c r="H2659" t="s">
        <v>861</v>
      </c>
      <c r="I2659" t="str">
        <f>VLOOKUP(C2659,Customers!A:C,2,FALSE)&amp;" "&amp;VLOOKUP(C2659,Customers!A:C,3,FALSE)</f>
        <v>Jessica Mullins</v>
      </c>
      <c r="J2659" t="str">
        <f>VLOOKUP(D2659,Products!A:C,2,FALSE)</f>
        <v>Nor Bags</v>
      </c>
      <c r="K2659" t="str">
        <f>VLOOKUP(D2659,Products!A:C,3,FALSE)</f>
        <v>Fashion</v>
      </c>
      <c r="L2659" t="str">
        <f>VLOOKUP(E2659,Stores!A:B,2,FALSE)</f>
        <v>MegaMart Peckmouth</v>
      </c>
      <c r="M2659">
        <f>VLOOKUP(D2659,Products!A:E,5,FALSE)</f>
        <v>1216.3599999999999</v>
      </c>
      <c r="N2659" s="5">
        <f t="shared" si="41"/>
        <v>2189.4479999999999</v>
      </c>
    </row>
    <row r="2660" spans="1:14" x14ac:dyDescent="0.3">
      <c r="A2660" t="s">
        <v>3516</v>
      </c>
      <c r="B2660" s="2">
        <v>45401</v>
      </c>
      <c r="C2660" t="s">
        <v>105</v>
      </c>
      <c r="D2660" t="s">
        <v>800</v>
      </c>
      <c r="E2660" t="s">
        <v>831</v>
      </c>
      <c r="F2660">
        <v>5</v>
      </c>
      <c r="G2660">
        <v>0</v>
      </c>
      <c r="H2660" t="s">
        <v>861</v>
      </c>
      <c r="I2660" t="str">
        <f>VLOOKUP(C2660,Customers!A:C,2,FALSE)&amp;" "&amp;VLOOKUP(C2660,Customers!A:C,3,FALSE)</f>
        <v>Justin Macdonald</v>
      </c>
      <c r="J2660" t="str">
        <f>VLOOKUP(D2660,Products!A:C,2,FALSE)</f>
        <v>Book Television</v>
      </c>
      <c r="K2660" t="str">
        <f>VLOOKUP(D2660,Products!A:C,3,FALSE)</f>
        <v>Electronics</v>
      </c>
      <c r="L2660" t="str">
        <f>VLOOKUP(E2660,Stores!A:B,2,FALSE)</f>
        <v>MegaMart Jimenezborough</v>
      </c>
      <c r="M2660">
        <f>VLOOKUP(D2660,Products!A:E,5,FALSE)</f>
        <v>1952.65</v>
      </c>
      <c r="N2660" s="5">
        <f t="shared" si="41"/>
        <v>9763.25</v>
      </c>
    </row>
    <row r="2661" spans="1:14" x14ac:dyDescent="0.3">
      <c r="A2661" t="s">
        <v>3517</v>
      </c>
      <c r="B2661" s="2">
        <v>45770</v>
      </c>
      <c r="C2661" t="s">
        <v>505</v>
      </c>
      <c r="D2661" t="s">
        <v>761</v>
      </c>
      <c r="E2661" t="s">
        <v>839</v>
      </c>
      <c r="F2661">
        <v>1</v>
      </c>
      <c r="G2661">
        <v>0.1</v>
      </c>
      <c r="H2661" t="s">
        <v>855</v>
      </c>
      <c r="I2661" t="str">
        <f>VLOOKUP(C2661,Customers!A:C,2,FALSE)&amp;" "&amp;VLOOKUP(C2661,Customers!A:C,3,FALSE)</f>
        <v>Alexander Mcfarland</v>
      </c>
      <c r="J2661" t="str">
        <f>VLOOKUP(D2661,Products!A:C,2,FALSE)</f>
        <v>Traditional Laptop</v>
      </c>
      <c r="K2661" t="str">
        <f>VLOOKUP(D2661,Products!A:C,3,FALSE)</f>
        <v>Electronics</v>
      </c>
      <c r="L2661" t="str">
        <f>VLOOKUP(E2661,Stores!A:B,2,FALSE)</f>
        <v>MegaMart New Michele</v>
      </c>
      <c r="M2661">
        <f>VLOOKUP(D2661,Products!A:E,5,FALSE)</f>
        <v>1762.92</v>
      </c>
      <c r="N2661" s="5">
        <f t="shared" si="41"/>
        <v>1586.6280000000002</v>
      </c>
    </row>
    <row r="2662" spans="1:14" x14ac:dyDescent="0.3">
      <c r="A2662" t="s">
        <v>3518</v>
      </c>
      <c r="B2662" s="2">
        <v>45410</v>
      </c>
      <c r="C2662" t="s">
        <v>228</v>
      </c>
      <c r="D2662" t="s">
        <v>742</v>
      </c>
      <c r="E2662" t="s">
        <v>835</v>
      </c>
      <c r="F2662">
        <v>2</v>
      </c>
      <c r="G2662">
        <v>0.1</v>
      </c>
      <c r="H2662" t="s">
        <v>861</v>
      </c>
      <c r="I2662" t="str">
        <f>VLOOKUP(C2662,Customers!A:C,2,FALSE)&amp;" "&amp;VLOOKUP(C2662,Customers!A:C,3,FALSE)</f>
        <v>Scott Wyatt</v>
      </c>
      <c r="J2662" t="str">
        <f>VLOOKUP(D2662,Products!A:C,2,FALSE)</f>
        <v>Either Headphones</v>
      </c>
      <c r="K2662" t="str">
        <f>VLOOKUP(D2662,Products!A:C,3,FALSE)</f>
        <v>Electronics</v>
      </c>
      <c r="L2662" t="str">
        <f>VLOOKUP(E2662,Stores!A:B,2,FALSE)</f>
        <v>MegaMart Peckmouth</v>
      </c>
      <c r="M2662">
        <f>VLOOKUP(D2662,Products!A:E,5,FALSE)</f>
        <v>248.57</v>
      </c>
      <c r="N2662" s="5">
        <f t="shared" si="41"/>
        <v>447.42599999999999</v>
      </c>
    </row>
    <row r="2663" spans="1:14" x14ac:dyDescent="0.3">
      <c r="A2663" t="s">
        <v>3519</v>
      </c>
      <c r="B2663" s="2">
        <v>45294</v>
      </c>
      <c r="C2663" t="s">
        <v>407</v>
      </c>
      <c r="D2663" t="s">
        <v>800</v>
      </c>
      <c r="E2663" t="s">
        <v>839</v>
      </c>
      <c r="F2663">
        <v>2</v>
      </c>
      <c r="G2663">
        <v>0.05</v>
      </c>
      <c r="H2663" t="s">
        <v>855</v>
      </c>
      <c r="I2663" t="str">
        <f>VLOOKUP(C2663,Customers!A:C,2,FALSE)&amp;" "&amp;VLOOKUP(C2663,Customers!A:C,3,FALSE)</f>
        <v>Austin Hogan</v>
      </c>
      <c r="J2663" t="str">
        <f>VLOOKUP(D2663,Products!A:C,2,FALSE)</f>
        <v>Book Television</v>
      </c>
      <c r="K2663" t="str">
        <f>VLOOKUP(D2663,Products!A:C,3,FALSE)</f>
        <v>Electronics</v>
      </c>
      <c r="L2663" t="str">
        <f>VLOOKUP(E2663,Stores!A:B,2,FALSE)</f>
        <v>MegaMart New Michele</v>
      </c>
      <c r="M2663">
        <f>VLOOKUP(D2663,Products!A:E,5,FALSE)</f>
        <v>1952.65</v>
      </c>
      <c r="N2663" s="5">
        <f t="shared" si="41"/>
        <v>3710.0349999999999</v>
      </c>
    </row>
    <row r="2664" spans="1:14" x14ac:dyDescent="0.3">
      <c r="A2664" t="s">
        <v>3520</v>
      </c>
      <c r="B2664" s="2">
        <v>45825</v>
      </c>
      <c r="C2664" t="s">
        <v>32</v>
      </c>
      <c r="D2664" t="s">
        <v>818</v>
      </c>
      <c r="E2664" t="s">
        <v>835</v>
      </c>
      <c r="F2664">
        <v>4</v>
      </c>
      <c r="G2664">
        <v>0</v>
      </c>
      <c r="H2664" t="s">
        <v>858</v>
      </c>
      <c r="I2664" t="str">
        <f>VLOOKUP(C2664,Customers!A:C,2,FALSE)&amp;" "&amp;VLOOKUP(C2664,Customers!A:C,3,FALSE)</f>
        <v>Erin Walker</v>
      </c>
      <c r="J2664" t="str">
        <f>VLOOKUP(D2664,Products!A:C,2,FALSE)</f>
        <v>Nature Clothing</v>
      </c>
      <c r="K2664" t="str">
        <f>VLOOKUP(D2664,Products!A:C,3,FALSE)</f>
        <v>Fashion</v>
      </c>
      <c r="L2664" t="str">
        <f>VLOOKUP(E2664,Stores!A:B,2,FALSE)</f>
        <v>MegaMart Peckmouth</v>
      </c>
      <c r="M2664">
        <f>VLOOKUP(D2664,Products!A:E,5,FALSE)</f>
        <v>1165.3699999999999</v>
      </c>
      <c r="N2664" s="5">
        <f t="shared" si="41"/>
        <v>4661.4799999999996</v>
      </c>
    </row>
    <row r="2665" spans="1:14" x14ac:dyDescent="0.3">
      <c r="A2665" t="s">
        <v>3521</v>
      </c>
      <c r="B2665" s="2">
        <v>45611</v>
      </c>
      <c r="C2665" t="s">
        <v>32</v>
      </c>
      <c r="D2665" t="s">
        <v>818</v>
      </c>
      <c r="E2665" t="s">
        <v>842</v>
      </c>
      <c r="F2665">
        <v>2</v>
      </c>
      <c r="G2665">
        <v>0.15</v>
      </c>
      <c r="H2665" t="s">
        <v>865</v>
      </c>
      <c r="I2665" t="str">
        <f>VLOOKUP(C2665,Customers!A:C,2,FALSE)&amp;" "&amp;VLOOKUP(C2665,Customers!A:C,3,FALSE)</f>
        <v>Erin Walker</v>
      </c>
      <c r="J2665" t="str">
        <f>VLOOKUP(D2665,Products!A:C,2,FALSE)</f>
        <v>Nature Clothing</v>
      </c>
      <c r="K2665" t="str">
        <f>VLOOKUP(D2665,Products!A:C,3,FALSE)</f>
        <v>Fashion</v>
      </c>
      <c r="L2665" t="str">
        <f>VLOOKUP(E2665,Stores!A:B,2,FALSE)</f>
        <v>MegaMart Brianahaven</v>
      </c>
      <c r="M2665">
        <f>VLOOKUP(D2665,Products!A:E,5,FALSE)</f>
        <v>1165.3699999999999</v>
      </c>
      <c r="N2665" s="5">
        <f t="shared" si="41"/>
        <v>1981.1289999999997</v>
      </c>
    </row>
    <row r="2666" spans="1:14" x14ac:dyDescent="0.3">
      <c r="A2666" t="s">
        <v>3522</v>
      </c>
      <c r="B2666" s="2">
        <v>45792</v>
      </c>
      <c r="C2666" t="s">
        <v>429</v>
      </c>
      <c r="D2666" t="s">
        <v>734</v>
      </c>
      <c r="E2666" t="s">
        <v>842</v>
      </c>
      <c r="F2666">
        <v>4</v>
      </c>
      <c r="G2666">
        <v>0.05</v>
      </c>
      <c r="H2666" t="s">
        <v>861</v>
      </c>
      <c r="I2666" t="str">
        <f>VLOOKUP(C2666,Customers!A:C,2,FALSE)&amp;" "&amp;VLOOKUP(C2666,Customers!A:C,3,FALSE)</f>
        <v>Jose Smith</v>
      </c>
      <c r="J2666" t="str">
        <f>VLOOKUP(D2666,Products!A:C,2,FALSE)</f>
        <v>Recognize Footwear</v>
      </c>
      <c r="K2666" t="str">
        <f>VLOOKUP(D2666,Products!A:C,3,FALSE)</f>
        <v>Fashion</v>
      </c>
      <c r="L2666" t="str">
        <f>VLOOKUP(E2666,Stores!A:B,2,FALSE)</f>
        <v>MegaMart Brianahaven</v>
      </c>
      <c r="M2666">
        <f>VLOOKUP(D2666,Products!A:E,5,FALSE)</f>
        <v>109.78</v>
      </c>
      <c r="N2666" s="5">
        <f t="shared" si="41"/>
        <v>417.16399999999999</v>
      </c>
    </row>
    <row r="2667" spans="1:14" x14ac:dyDescent="0.3">
      <c r="A2667" t="s">
        <v>3523</v>
      </c>
      <c r="B2667" s="2">
        <v>45320</v>
      </c>
      <c r="C2667" t="s">
        <v>696</v>
      </c>
      <c r="D2667" t="s">
        <v>824</v>
      </c>
      <c r="E2667" t="s">
        <v>842</v>
      </c>
      <c r="F2667">
        <v>5</v>
      </c>
      <c r="G2667">
        <v>0</v>
      </c>
      <c r="H2667" t="s">
        <v>865</v>
      </c>
      <c r="I2667" t="str">
        <f>VLOOKUP(C2667,Customers!A:C,2,FALSE)&amp;" "&amp;VLOOKUP(C2667,Customers!A:C,3,FALSE)</f>
        <v>Jessica Mullins</v>
      </c>
      <c r="J2667" t="str">
        <f>VLOOKUP(D2667,Products!A:C,2,FALSE)</f>
        <v>Possible Watches</v>
      </c>
      <c r="K2667" t="str">
        <f>VLOOKUP(D2667,Products!A:C,3,FALSE)</f>
        <v>Fashion</v>
      </c>
      <c r="L2667" t="str">
        <f>VLOOKUP(E2667,Stores!A:B,2,FALSE)</f>
        <v>MegaMart Brianahaven</v>
      </c>
      <c r="M2667">
        <f>VLOOKUP(D2667,Products!A:E,5,FALSE)</f>
        <v>388.26</v>
      </c>
      <c r="N2667" s="5">
        <f t="shared" si="41"/>
        <v>1941.3</v>
      </c>
    </row>
    <row r="2668" spans="1:14" x14ac:dyDescent="0.3">
      <c r="A2668" t="s">
        <v>3524</v>
      </c>
      <c r="B2668" s="2">
        <v>45288</v>
      </c>
      <c r="C2668" t="s">
        <v>175</v>
      </c>
      <c r="D2668" t="s">
        <v>800</v>
      </c>
      <c r="E2668" t="s">
        <v>846</v>
      </c>
      <c r="F2668">
        <v>5</v>
      </c>
      <c r="G2668">
        <v>0</v>
      </c>
      <c r="H2668" t="s">
        <v>861</v>
      </c>
      <c r="I2668" t="str">
        <f>VLOOKUP(C2668,Customers!A:C,2,FALSE)&amp;" "&amp;VLOOKUP(C2668,Customers!A:C,3,FALSE)</f>
        <v>Kelly Shaw</v>
      </c>
      <c r="J2668" t="str">
        <f>VLOOKUP(D2668,Products!A:C,2,FALSE)</f>
        <v>Book Television</v>
      </c>
      <c r="K2668" t="str">
        <f>VLOOKUP(D2668,Products!A:C,3,FALSE)</f>
        <v>Electronics</v>
      </c>
      <c r="L2668" t="str">
        <f>VLOOKUP(E2668,Stores!A:B,2,FALSE)</f>
        <v>MegaMart Johnmouth</v>
      </c>
      <c r="M2668">
        <f>VLOOKUP(D2668,Products!A:E,5,FALSE)</f>
        <v>1952.65</v>
      </c>
      <c r="N2668" s="5">
        <f t="shared" si="41"/>
        <v>9763.25</v>
      </c>
    </row>
    <row r="2669" spans="1:14" x14ac:dyDescent="0.3">
      <c r="A2669" t="s">
        <v>3525</v>
      </c>
      <c r="B2669" s="2">
        <v>45432</v>
      </c>
      <c r="C2669" t="s">
        <v>683</v>
      </c>
      <c r="D2669" t="s">
        <v>753</v>
      </c>
      <c r="E2669" t="s">
        <v>835</v>
      </c>
      <c r="F2669">
        <v>1</v>
      </c>
      <c r="G2669">
        <v>0.15</v>
      </c>
      <c r="H2669" t="s">
        <v>855</v>
      </c>
      <c r="I2669" t="str">
        <f>VLOOKUP(C2669,Customers!A:C,2,FALSE)&amp;" "&amp;VLOOKUP(C2669,Customers!A:C,3,FALSE)</f>
        <v>Ann West</v>
      </c>
      <c r="J2669" t="str">
        <f>VLOOKUP(D2669,Products!A:C,2,FALSE)</f>
        <v>Whether Bags</v>
      </c>
      <c r="K2669" t="str">
        <f>VLOOKUP(D2669,Products!A:C,3,FALSE)</f>
        <v>Fashion</v>
      </c>
      <c r="L2669" t="str">
        <f>VLOOKUP(E2669,Stores!A:B,2,FALSE)</f>
        <v>MegaMart Peckmouth</v>
      </c>
      <c r="M2669">
        <f>VLOOKUP(D2669,Products!A:E,5,FALSE)</f>
        <v>270.45</v>
      </c>
      <c r="N2669" s="5">
        <f t="shared" si="41"/>
        <v>229.88249999999999</v>
      </c>
    </row>
    <row r="2670" spans="1:14" x14ac:dyDescent="0.3">
      <c r="A2670" t="s">
        <v>3526</v>
      </c>
      <c r="B2670" s="2">
        <v>45451</v>
      </c>
      <c r="C2670" t="s">
        <v>677</v>
      </c>
      <c r="D2670" t="s">
        <v>820</v>
      </c>
      <c r="E2670" t="s">
        <v>839</v>
      </c>
      <c r="F2670">
        <v>4</v>
      </c>
      <c r="G2670">
        <v>0.05</v>
      </c>
      <c r="H2670" t="s">
        <v>861</v>
      </c>
      <c r="I2670" t="str">
        <f>VLOOKUP(C2670,Customers!A:C,2,FALSE)&amp;" "&amp;VLOOKUP(C2670,Customers!A:C,3,FALSE)</f>
        <v>James Wilson</v>
      </c>
      <c r="J2670" t="str">
        <f>VLOOKUP(D2670,Products!A:C,2,FALSE)</f>
        <v>Or Smartphone</v>
      </c>
      <c r="K2670" t="str">
        <f>VLOOKUP(D2670,Products!A:C,3,FALSE)</f>
        <v>Electronics</v>
      </c>
      <c r="L2670" t="str">
        <f>VLOOKUP(E2670,Stores!A:B,2,FALSE)</f>
        <v>MegaMart New Michele</v>
      </c>
      <c r="M2670">
        <f>VLOOKUP(D2670,Products!A:E,5,FALSE)</f>
        <v>1197.18</v>
      </c>
      <c r="N2670" s="5">
        <f t="shared" si="41"/>
        <v>4549.2839999999997</v>
      </c>
    </row>
    <row r="2671" spans="1:14" x14ac:dyDescent="0.3">
      <c r="A2671" t="s">
        <v>3527</v>
      </c>
      <c r="B2671" s="2">
        <v>45277</v>
      </c>
      <c r="C2671" t="s">
        <v>97</v>
      </c>
      <c r="D2671" t="s">
        <v>711</v>
      </c>
      <c r="E2671" t="s">
        <v>846</v>
      </c>
      <c r="F2671">
        <v>3</v>
      </c>
      <c r="G2671">
        <v>0.15</v>
      </c>
      <c r="H2671" t="s">
        <v>855</v>
      </c>
      <c r="I2671" t="str">
        <f>VLOOKUP(C2671,Customers!A:C,2,FALSE)&amp;" "&amp;VLOOKUP(C2671,Customers!A:C,3,FALSE)</f>
        <v>Molly Murray</v>
      </c>
      <c r="J2671" t="str">
        <f>VLOOKUP(D2671,Products!A:C,2,FALSE)</f>
        <v>Like Camera</v>
      </c>
      <c r="K2671" t="str">
        <f>VLOOKUP(D2671,Products!A:C,3,FALSE)</f>
        <v>Electronics</v>
      </c>
      <c r="L2671" t="str">
        <f>VLOOKUP(E2671,Stores!A:B,2,FALSE)</f>
        <v>MegaMart Johnmouth</v>
      </c>
      <c r="M2671">
        <f>VLOOKUP(D2671,Products!A:E,5,FALSE)</f>
        <v>1673.69</v>
      </c>
      <c r="N2671" s="5">
        <f t="shared" si="41"/>
        <v>4267.9094999999998</v>
      </c>
    </row>
    <row r="2672" spans="1:14" x14ac:dyDescent="0.3">
      <c r="A2672" t="s">
        <v>3528</v>
      </c>
      <c r="B2672" s="2">
        <v>45228</v>
      </c>
      <c r="C2672" t="s">
        <v>480</v>
      </c>
      <c r="D2672" t="s">
        <v>732</v>
      </c>
      <c r="E2672" t="s">
        <v>831</v>
      </c>
      <c r="F2672">
        <v>4</v>
      </c>
      <c r="G2672">
        <v>0</v>
      </c>
      <c r="H2672" t="s">
        <v>865</v>
      </c>
      <c r="I2672" t="str">
        <f>VLOOKUP(C2672,Customers!A:C,2,FALSE)&amp;" "&amp;VLOOKUP(C2672,Customers!A:C,3,FALSE)</f>
        <v>Denise Jackson</v>
      </c>
      <c r="J2672" t="str">
        <f>VLOOKUP(D2672,Products!A:C,2,FALSE)</f>
        <v>Understand Camera</v>
      </c>
      <c r="K2672" t="str">
        <f>VLOOKUP(D2672,Products!A:C,3,FALSE)</f>
        <v>Electronics</v>
      </c>
      <c r="L2672" t="str">
        <f>VLOOKUP(E2672,Stores!A:B,2,FALSE)</f>
        <v>MegaMart Jimenezborough</v>
      </c>
      <c r="M2672">
        <f>VLOOKUP(D2672,Products!A:E,5,FALSE)</f>
        <v>1474.12</v>
      </c>
      <c r="N2672" s="5">
        <f t="shared" si="41"/>
        <v>5896.48</v>
      </c>
    </row>
    <row r="2673" spans="1:14" x14ac:dyDescent="0.3">
      <c r="A2673" t="s">
        <v>3529</v>
      </c>
      <c r="B2673" s="2">
        <v>45694</v>
      </c>
      <c r="C2673" t="s">
        <v>368</v>
      </c>
      <c r="D2673" t="s">
        <v>750</v>
      </c>
      <c r="E2673" t="s">
        <v>842</v>
      </c>
      <c r="F2673">
        <v>4</v>
      </c>
      <c r="G2673">
        <v>0</v>
      </c>
      <c r="H2673" t="s">
        <v>855</v>
      </c>
      <c r="I2673" t="str">
        <f>VLOOKUP(C2673,Customers!A:C,2,FALSE)&amp;" "&amp;VLOOKUP(C2673,Customers!A:C,3,FALSE)</f>
        <v>Lisa Vega</v>
      </c>
      <c r="J2673" t="str">
        <f>VLOOKUP(D2673,Products!A:C,2,FALSE)</f>
        <v>Add Clothing</v>
      </c>
      <c r="K2673" t="str">
        <f>VLOOKUP(D2673,Products!A:C,3,FALSE)</f>
        <v>Fashion</v>
      </c>
      <c r="L2673" t="str">
        <f>VLOOKUP(E2673,Stores!A:B,2,FALSE)</f>
        <v>MegaMart Brianahaven</v>
      </c>
      <c r="M2673">
        <f>VLOOKUP(D2673,Products!A:E,5,FALSE)</f>
        <v>1342.75</v>
      </c>
      <c r="N2673" s="5">
        <f t="shared" si="41"/>
        <v>5371</v>
      </c>
    </row>
    <row r="2674" spans="1:14" x14ac:dyDescent="0.3">
      <c r="A2674" t="s">
        <v>3530</v>
      </c>
      <c r="B2674" s="2">
        <v>45856</v>
      </c>
      <c r="C2674" t="s">
        <v>351</v>
      </c>
      <c r="D2674" t="s">
        <v>798</v>
      </c>
      <c r="E2674" t="s">
        <v>839</v>
      </c>
      <c r="F2674">
        <v>1</v>
      </c>
      <c r="G2674">
        <v>0.15</v>
      </c>
      <c r="H2674" t="s">
        <v>855</v>
      </c>
      <c r="I2674" t="str">
        <f>VLOOKUP(C2674,Customers!A:C,2,FALSE)&amp;" "&amp;VLOOKUP(C2674,Customers!A:C,3,FALSE)</f>
        <v>Stanley Brown</v>
      </c>
      <c r="J2674" t="str">
        <f>VLOOKUP(D2674,Products!A:C,2,FALSE)</f>
        <v>New Watches</v>
      </c>
      <c r="K2674" t="str">
        <f>VLOOKUP(D2674,Products!A:C,3,FALSE)</f>
        <v>Fashion</v>
      </c>
      <c r="L2674" t="str">
        <f>VLOOKUP(E2674,Stores!A:B,2,FALSE)</f>
        <v>MegaMart New Michele</v>
      </c>
      <c r="M2674">
        <f>VLOOKUP(D2674,Products!A:E,5,FALSE)</f>
        <v>1501.46</v>
      </c>
      <c r="N2674" s="5">
        <f t="shared" si="41"/>
        <v>1276.241</v>
      </c>
    </row>
    <row r="2675" spans="1:14" x14ac:dyDescent="0.3">
      <c r="A2675" t="s">
        <v>3531</v>
      </c>
      <c r="B2675" s="2">
        <v>45820</v>
      </c>
      <c r="C2675" t="s">
        <v>228</v>
      </c>
      <c r="D2675" t="s">
        <v>736</v>
      </c>
      <c r="E2675" t="s">
        <v>831</v>
      </c>
      <c r="F2675">
        <v>4</v>
      </c>
      <c r="G2675">
        <v>0.15</v>
      </c>
      <c r="H2675" t="s">
        <v>865</v>
      </c>
      <c r="I2675" t="str">
        <f>VLOOKUP(C2675,Customers!A:C,2,FALSE)&amp;" "&amp;VLOOKUP(C2675,Customers!A:C,3,FALSE)</f>
        <v>Scott Wyatt</v>
      </c>
      <c r="J2675" t="str">
        <f>VLOOKUP(D2675,Products!A:C,2,FALSE)</f>
        <v>Us Snacks</v>
      </c>
      <c r="K2675" t="str">
        <f>VLOOKUP(D2675,Products!A:C,3,FALSE)</f>
        <v>Groceries</v>
      </c>
      <c r="L2675" t="str">
        <f>VLOOKUP(E2675,Stores!A:B,2,FALSE)</f>
        <v>MegaMart Jimenezborough</v>
      </c>
      <c r="M2675">
        <f>VLOOKUP(D2675,Products!A:E,5,FALSE)</f>
        <v>123.19</v>
      </c>
      <c r="N2675" s="5">
        <f t="shared" si="41"/>
        <v>418.846</v>
      </c>
    </row>
    <row r="2676" spans="1:14" x14ac:dyDescent="0.3">
      <c r="A2676" t="s">
        <v>3532</v>
      </c>
      <c r="B2676" s="2">
        <v>45609</v>
      </c>
      <c r="C2676" t="s">
        <v>270</v>
      </c>
      <c r="D2676" t="s">
        <v>718</v>
      </c>
      <c r="E2676" t="s">
        <v>839</v>
      </c>
      <c r="F2676">
        <v>1</v>
      </c>
      <c r="G2676">
        <v>0.05</v>
      </c>
      <c r="H2676" t="s">
        <v>861</v>
      </c>
      <c r="I2676" t="str">
        <f>VLOOKUP(C2676,Customers!A:C,2,FALSE)&amp;" "&amp;VLOOKUP(C2676,Customers!A:C,3,FALSE)</f>
        <v>Denise Gutierrez</v>
      </c>
      <c r="J2676" t="str">
        <f>VLOOKUP(D2676,Products!A:C,2,FALSE)</f>
        <v>Here Footwear</v>
      </c>
      <c r="K2676" t="str">
        <f>VLOOKUP(D2676,Products!A:C,3,FALSE)</f>
        <v>Fashion</v>
      </c>
      <c r="L2676" t="str">
        <f>VLOOKUP(E2676,Stores!A:B,2,FALSE)</f>
        <v>MegaMart New Michele</v>
      </c>
      <c r="M2676">
        <f>VLOOKUP(D2676,Products!A:E,5,FALSE)</f>
        <v>337.63</v>
      </c>
      <c r="N2676" s="5">
        <f t="shared" si="41"/>
        <v>320.74849999999998</v>
      </c>
    </row>
    <row r="2677" spans="1:14" x14ac:dyDescent="0.3">
      <c r="A2677" t="s">
        <v>3533</v>
      </c>
      <c r="B2677" s="2">
        <v>45323</v>
      </c>
      <c r="C2677" t="s">
        <v>179</v>
      </c>
      <c r="D2677" t="s">
        <v>725</v>
      </c>
      <c r="E2677" t="s">
        <v>846</v>
      </c>
      <c r="F2677">
        <v>1</v>
      </c>
      <c r="G2677">
        <v>0.05</v>
      </c>
      <c r="H2677" t="s">
        <v>861</v>
      </c>
      <c r="I2677" t="str">
        <f>VLOOKUP(C2677,Customers!A:C,2,FALSE)&amp;" "&amp;VLOOKUP(C2677,Customers!A:C,3,FALSE)</f>
        <v>Dennis Poole</v>
      </c>
      <c r="J2677" t="str">
        <f>VLOOKUP(D2677,Products!A:C,2,FALSE)</f>
        <v>Knowledge Bags</v>
      </c>
      <c r="K2677" t="str">
        <f>VLOOKUP(D2677,Products!A:C,3,FALSE)</f>
        <v>Fashion</v>
      </c>
      <c r="L2677" t="str">
        <f>VLOOKUP(E2677,Stores!A:B,2,FALSE)</f>
        <v>MegaMart Johnmouth</v>
      </c>
      <c r="M2677">
        <f>VLOOKUP(D2677,Products!A:E,5,FALSE)</f>
        <v>1396.22</v>
      </c>
      <c r="N2677" s="5">
        <f t="shared" si="41"/>
        <v>1326.4089999999999</v>
      </c>
    </row>
    <row r="2678" spans="1:14" x14ac:dyDescent="0.3">
      <c r="A2678" t="s">
        <v>3534</v>
      </c>
      <c r="B2678" s="2">
        <v>45840</v>
      </c>
      <c r="C2678" t="s">
        <v>141</v>
      </c>
      <c r="D2678" t="s">
        <v>759</v>
      </c>
      <c r="E2678" t="s">
        <v>842</v>
      </c>
      <c r="F2678">
        <v>1</v>
      </c>
      <c r="G2678">
        <v>0</v>
      </c>
      <c r="H2678" t="s">
        <v>861</v>
      </c>
      <c r="I2678" t="str">
        <f>VLOOKUP(C2678,Customers!A:C,2,FALSE)&amp;" "&amp;VLOOKUP(C2678,Customers!A:C,3,FALSE)</f>
        <v>Michael Cervantes</v>
      </c>
      <c r="J2678" t="str">
        <f>VLOOKUP(D2678,Products!A:C,2,FALSE)</f>
        <v>Democratic Smartphone</v>
      </c>
      <c r="K2678" t="str">
        <f>VLOOKUP(D2678,Products!A:C,3,FALSE)</f>
        <v>Electronics</v>
      </c>
      <c r="L2678" t="str">
        <f>VLOOKUP(E2678,Stores!A:B,2,FALSE)</f>
        <v>MegaMart Brianahaven</v>
      </c>
      <c r="M2678">
        <f>VLOOKUP(D2678,Products!A:E,5,FALSE)</f>
        <v>1079.8900000000001</v>
      </c>
      <c r="N2678" s="5">
        <f t="shared" si="41"/>
        <v>1079.8900000000001</v>
      </c>
    </row>
    <row r="2679" spans="1:14" x14ac:dyDescent="0.3">
      <c r="A2679" t="s">
        <v>3535</v>
      </c>
      <c r="B2679" s="2">
        <v>45183</v>
      </c>
      <c r="C2679" t="s">
        <v>670</v>
      </c>
      <c r="D2679" t="s">
        <v>718</v>
      </c>
      <c r="E2679" t="s">
        <v>839</v>
      </c>
      <c r="F2679">
        <v>3</v>
      </c>
      <c r="G2679">
        <v>0.15</v>
      </c>
      <c r="H2679" t="s">
        <v>861</v>
      </c>
      <c r="I2679" t="str">
        <f>VLOOKUP(C2679,Customers!A:C,2,FALSE)&amp;" "&amp;VLOOKUP(C2679,Customers!A:C,3,FALSE)</f>
        <v>Daniel Lawson</v>
      </c>
      <c r="J2679" t="str">
        <f>VLOOKUP(D2679,Products!A:C,2,FALSE)</f>
        <v>Here Footwear</v>
      </c>
      <c r="K2679" t="str">
        <f>VLOOKUP(D2679,Products!A:C,3,FALSE)</f>
        <v>Fashion</v>
      </c>
      <c r="L2679" t="str">
        <f>VLOOKUP(E2679,Stores!A:B,2,FALSE)</f>
        <v>MegaMart New Michele</v>
      </c>
      <c r="M2679">
        <f>VLOOKUP(D2679,Products!A:E,5,FALSE)</f>
        <v>337.63</v>
      </c>
      <c r="N2679" s="5">
        <f t="shared" si="41"/>
        <v>860.95650000000001</v>
      </c>
    </row>
    <row r="2680" spans="1:14" x14ac:dyDescent="0.3">
      <c r="A2680" t="s">
        <v>3536</v>
      </c>
      <c r="B2680" s="2">
        <v>45428</v>
      </c>
      <c r="C2680" t="s">
        <v>403</v>
      </c>
      <c r="D2680" t="s">
        <v>800</v>
      </c>
      <c r="E2680" t="s">
        <v>835</v>
      </c>
      <c r="F2680">
        <v>2</v>
      </c>
      <c r="G2680">
        <v>0.05</v>
      </c>
      <c r="H2680" t="s">
        <v>861</v>
      </c>
      <c r="I2680" t="str">
        <f>VLOOKUP(C2680,Customers!A:C,2,FALSE)&amp;" "&amp;VLOOKUP(C2680,Customers!A:C,3,FALSE)</f>
        <v>Samantha Hill</v>
      </c>
      <c r="J2680" t="str">
        <f>VLOOKUP(D2680,Products!A:C,2,FALSE)</f>
        <v>Book Television</v>
      </c>
      <c r="K2680" t="str">
        <f>VLOOKUP(D2680,Products!A:C,3,FALSE)</f>
        <v>Electronics</v>
      </c>
      <c r="L2680" t="str">
        <f>VLOOKUP(E2680,Stores!A:B,2,FALSE)</f>
        <v>MegaMart Peckmouth</v>
      </c>
      <c r="M2680">
        <f>VLOOKUP(D2680,Products!A:E,5,FALSE)</f>
        <v>1952.65</v>
      </c>
      <c r="N2680" s="5">
        <f t="shared" si="41"/>
        <v>3710.0349999999999</v>
      </c>
    </row>
    <row r="2681" spans="1:14" x14ac:dyDescent="0.3">
      <c r="A2681" t="s">
        <v>3537</v>
      </c>
      <c r="B2681" s="2">
        <v>45476</v>
      </c>
      <c r="C2681" t="s">
        <v>355</v>
      </c>
      <c r="D2681" t="s">
        <v>810</v>
      </c>
      <c r="E2681" t="s">
        <v>831</v>
      </c>
      <c r="F2681">
        <v>2</v>
      </c>
      <c r="G2681">
        <v>0</v>
      </c>
      <c r="H2681" t="s">
        <v>858</v>
      </c>
      <c r="I2681" t="str">
        <f>VLOOKUP(C2681,Customers!A:C,2,FALSE)&amp;" "&amp;VLOOKUP(C2681,Customers!A:C,3,FALSE)</f>
        <v>Kimberly Stokes</v>
      </c>
      <c r="J2681" t="str">
        <f>VLOOKUP(D2681,Products!A:C,2,FALSE)</f>
        <v>Maybe Clothing</v>
      </c>
      <c r="K2681" t="str">
        <f>VLOOKUP(D2681,Products!A:C,3,FALSE)</f>
        <v>Fashion</v>
      </c>
      <c r="L2681" t="str">
        <f>VLOOKUP(E2681,Stores!A:B,2,FALSE)</f>
        <v>MegaMart Jimenezborough</v>
      </c>
      <c r="M2681">
        <f>VLOOKUP(D2681,Products!A:E,5,FALSE)</f>
        <v>453.62</v>
      </c>
      <c r="N2681" s="5">
        <f t="shared" si="41"/>
        <v>907.24</v>
      </c>
    </row>
    <row r="2682" spans="1:14" x14ac:dyDescent="0.3">
      <c r="A2682" t="s">
        <v>3538</v>
      </c>
      <c r="B2682" s="2">
        <v>45618</v>
      </c>
      <c r="C2682" t="s">
        <v>206</v>
      </c>
      <c r="D2682" t="s">
        <v>728</v>
      </c>
      <c r="E2682" t="s">
        <v>839</v>
      </c>
      <c r="F2682">
        <v>4</v>
      </c>
      <c r="G2682">
        <v>0.1</v>
      </c>
      <c r="H2682" t="s">
        <v>855</v>
      </c>
      <c r="I2682" t="str">
        <f>VLOOKUP(C2682,Customers!A:C,2,FALSE)&amp;" "&amp;VLOOKUP(C2682,Customers!A:C,3,FALSE)</f>
        <v>Felicia Morgan</v>
      </c>
      <c r="J2682" t="str">
        <f>VLOOKUP(D2682,Products!A:C,2,FALSE)</f>
        <v>Company Fruits</v>
      </c>
      <c r="K2682" t="str">
        <f>VLOOKUP(D2682,Products!A:C,3,FALSE)</f>
        <v>Groceries</v>
      </c>
      <c r="L2682" t="str">
        <f>VLOOKUP(E2682,Stores!A:B,2,FALSE)</f>
        <v>MegaMart New Michele</v>
      </c>
      <c r="M2682">
        <f>VLOOKUP(D2682,Products!A:E,5,FALSE)</f>
        <v>318.05</v>
      </c>
      <c r="N2682" s="5">
        <f t="shared" si="41"/>
        <v>1144.98</v>
      </c>
    </row>
    <row r="2683" spans="1:14" x14ac:dyDescent="0.3">
      <c r="A2683" t="s">
        <v>3539</v>
      </c>
      <c r="B2683" s="2">
        <v>45471</v>
      </c>
      <c r="C2683" t="s">
        <v>574</v>
      </c>
      <c r="D2683" t="s">
        <v>711</v>
      </c>
      <c r="E2683" t="s">
        <v>839</v>
      </c>
      <c r="F2683">
        <v>1</v>
      </c>
      <c r="G2683">
        <v>0</v>
      </c>
      <c r="H2683" t="s">
        <v>855</v>
      </c>
      <c r="I2683" t="str">
        <f>VLOOKUP(C2683,Customers!A:C,2,FALSE)&amp;" "&amp;VLOOKUP(C2683,Customers!A:C,3,FALSE)</f>
        <v>Meagan Macdonald</v>
      </c>
      <c r="J2683" t="str">
        <f>VLOOKUP(D2683,Products!A:C,2,FALSE)</f>
        <v>Like Camera</v>
      </c>
      <c r="K2683" t="str">
        <f>VLOOKUP(D2683,Products!A:C,3,FALSE)</f>
        <v>Electronics</v>
      </c>
      <c r="L2683" t="str">
        <f>VLOOKUP(E2683,Stores!A:B,2,FALSE)</f>
        <v>MegaMart New Michele</v>
      </c>
      <c r="M2683">
        <f>VLOOKUP(D2683,Products!A:E,5,FALSE)</f>
        <v>1673.69</v>
      </c>
      <c r="N2683" s="5">
        <f t="shared" si="41"/>
        <v>1673.69</v>
      </c>
    </row>
    <row r="2684" spans="1:14" x14ac:dyDescent="0.3">
      <c r="A2684" t="s">
        <v>3540</v>
      </c>
      <c r="B2684" s="2">
        <v>45622</v>
      </c>
      <c r="C2684" t="s">
        <v>36</v>
      </c>
      <c r="D2684" t="s">
        <v>718</v>
      </c>
      <c r="E2684" t="s">
        <v>842</v>
      </c>
      <c r="F2684">
        <v>1</v>
      </c>
      <c r="G2684">
        <v>0.05</v>
      </c>
      <c r="H2684" t="s">
        <v>858</v>
      </c>
      <c r="I2684" t="str">
        <f>VLOOKUP(C2684,Customers!A:C,2,FALSE)&amp;" "&amp;VLOOKUP(C2684,Customers!A:C,3,FALSE)</f>
        <v>Isaiah Williams</v>
      </c>
      <c r="J2684" t="str">
        <f>VLOOKUP(D2684,Products!A:C,2,FALSE)</f>
        <v>Here Footwear</v>
      </c>
      <c r="K2684" t="str">
        <f>VLOOKUP(D2684,Products!A:C,3,FALSE)</f>
        <v>Fashion</v>
      </c>
      <c r="L2684" t="str">
        <f>VLOOKUP(E2684,Stores!A:B,2,FALSE)</f>
        <v>MegaMart Brianahaven</v>
      </c>
      <c r="M2684">
        <f>VLOOKUP(D2684,Products!A:E,5,FALSE)</f>
        <v>337.63</v>
      </c>
      <c r="N2684" s="5">
        <f t="shared" si="41"/>
        <v>320.74849999999998</v>
      </c>
    </row>
    <row r="2685" spans="1:14" x14ac:dyDescent="0.3">
      <c r="A2685" t="s">
        <v>3541</v>
      </c>
      <c r="B2685" s="2">
        <v>45294</v>
      </c>
      <c r="C2685" t="s">
        <v>51</v>
      </c>
      <c r="D2685" t="s">
        <v>747</v>
      </c>
      <c r="E2685" t="s">
        <v>846</v>
      </c>
      <c r="F2685">
        <v>4</v>
      </c>
      <c r="G2685">
        <v>0.05</v>
      </c>
      <c r="H2685" t="s">
        <v>861</v>
      </c>
      <c r="I2685" t="str">
        <f>VLOOKUP(C2685,Customers!A:C,2,FALSE)&amp;" "&amp;VLOOKUP(C2685,Customers!A:C,3,FALSE)</f>
        <v>Dale Perry</v>
      </c>
      <c r="J2685" t="str">
        <f>VLOOKUP(D2685,Products!A:C,2,FALSE)</f>
        <v>World Watches</v>
      </c>
      <c r="K2685" t="str">
        <f>VLOOKUP(D2685,Products!A:C,3,FALSE)</f>
        <v>Fashion</v>
      </c>
      <c r="L2685" t="str">
        <f>VLOOKUP(E2685,Stores!A:B,2,FALSE)</f>
        <v>MegaMart Johnmouth</v>
      </c>
      <c r="M2685">
        <f>VLOOKUP(D2685,Products!A:E,5,FALSE)</f>
        <v>1134.8</v>
      </c>
      <c r="N2685" s="5">
        <f t="shared" si="41"/>
        <v>4312.24</v>
      </c>
    </row>
    <row r="2686" spans="1:14" x14ac:dyDescent="0.3">
      <c r="A2686" t="s">
        <v>3542</v>
      </c>
      <c r="B2686" s="2">
        <v>45526</v>
      </c>
      <c r="C2686" t="s">
        <v>105</v>
      </c>
      <c r="D2686" t="s">
        <v>814</v>
      </c>
      <c r="E2686" t="s">
        <v>831</v>
      </c>
      <c r="F2686">
        <v>3</v>
      </c>
      <c r="G2686">
        <v>0.05</v>
      </c>
      <c r="H2686" t="s">
        <v>865</v>
      </c>
      <c r="I2686" t="str">
        <f>VLOOKUP(C2686,Customers!A:C,2,FALSE)&amp;" "&amp;VLOOKUP(C2686,Customers!A:C,3,FALSE)</f>
        <v>Justin Macdonald</v>
      </c>
      <c r="J2686" t="str">
        <f>VLOOKUP(D2686,Products!A:C,2,FALSE)</f>
        <v>Least Accessories</v>
      </c>
      <c r="K2686" t="str">
        <f>VLOOKUP(D2686,Products!A:C,3,FALSE)</f>
        <v>Fashion</v>
      </c>
      <c r="L2686" t="str">
        <f>VLOOKUP(E2686,Stores!A:B,2,FALSE)</f>
        <v>MegaMart Jimenezborough</v>
      </c>
      <c r="M2686">
        <f>VLOOKUP(D2686,Products!A:E,5,FALSE)</f>
        <v>1286.55</v>
      </c>
      <c r="N2686" s="5">
        <f t="shared" si="41"/>
        <v>3666.6674999999996</v>
      </c>
    </row>
    <row r="2687" spans="1:14" x14ac:dyDescent="0.3">
      <c r="A2687" t="s">
        <v>3543</v>
      </c>
      <c r="B2687" s="2">
        <v>45778</v>
      </c>
      <c r="C2687" t="s">
        <v>403</v>
      </c>
      <c r="D2687" t="s">
        <v>802</v>
      </c>
      <c r="E2687" t="s">
        <v>831</v>
      </c>
      <c r="F2687">
        <v>1</v>
      </c>
      <c r="G2687">
        <v>0.15</v>
      </c>
      <c r="H2687" t="s">
        <v>858</v>
      </c>
      <c r="I2687" t="str">
        <f>VLOOKUP(C2687,Customers!A:C,2,FALSE)&amp;" "&amp;VLOOKUP(C2687,Customers!A:C,3,FALSE)</f>
        <v>Samantha Hill</v>
      </c>
      <c r="J2687" t="str">
        <f>VLOOKUP(D2687,Products!A:C,2,FALSE)</f>
        <v>Stage Footwear</v>
      </c>
      <c r="K2687" t="str">
        <f>VLOOKUP(D2687,Products!A:C,3,FALSE)</f>
        <v>Fashion</v>
      </c>
      <c r="L2687" t="str">
        <f>VLOOKUP(E2687,Stores!A:B,2,FALSE)</f>
        <v>MegaMart Jimenezborough</v>
      </c>
      <c r="M2687">
        <f>VLOOKUP(D2687,Products!A:E,5,FALSE)</f>
        <v>366.93</v>
      </c>
      <c r="N2687" s="5">
        <f t="shared" si="41"/>
        <v>311.89049999999997</v>
      </c>
    </row>
    <row r="2688" spans="1:14" x14ac:dyDescent="0.3">
      <c r="A2688" t="s">
        <v>3544</v>
      </c>
      <c r="B2688" s="2">
        <v>45332</v>
      </c>
      <c r="C2688" t="s">
        <v>399</v>
      </c>
      <c r="D2688" t="s">
        <v>786</v>
      </c>
      <c r="E2688" t="s">
        <v>846</v>
      </c>
      <c r="F2688">
        <v>4</v>
      </c>
      <c r="G2688">
        <v>0.05</v>
      </c>
      <c r="H2688" t="s">
        <v>865</v>
      </c>
      <c r="I2688" t="str">
        <f>VLOOKUP(C2688,Customers!A:C,2,FALSE)&amp;" "&amp;VLOOKUP(C2688,Customers!A:C,3,FALSE)</f>
        <v>Victoria Hansen</v>
      </c>
      <c r="J2688" t="str">
        <f>VLOOKUP(D2688,Products!A:C,2,FALSE)</f>
        <v>National Watches</v>
      </c>
      <c r="K2688" t="str">
        <f>VLOOKUP(D2688,Products!A:C,3,FALSE)</f>
        <v>Fashion</v>
      </c>
      <c r="L2688" t="str">
        <f>VLOOKUP(E2688,Stores!A:B,2,FALSE)</f>
        <v>MegaMart Johnmouth</v>
      </c>
      <c r="M2688">
        <f>VLOOKUP(D2688,Products!A:E,5,FALSE)</f>
        <v>29.24</v>
      </c>
      <c r="N2688" s="5">
        <f t="shared" si="41"/>
        <v>111.11199999999999</v>
      </c>
    </row>
    <row r="2689" spans="1:14" x14ac:dyDescent="0.3">
      <c r="A2689" t="s">
        <v>3545</v>
      </c>
      <c r="B2689" s="2">
        <v>45455</v>
      </c>
      <c r="C2689" t="s">
        <v>302</v>
      </c>
      <c r="D2689" t="s">
        <v>736</v>
      </c>
      <c r="E2689" t="s">
        <v>842</v>
      </c>
      <c r="F2689">
        <v>4</v>
      </c>
      <c r="G2689">
        <v>0.1</v>
      </c>
      <c r="H2689" t="s">
        <v>861</v>
      </c>
      <c r="I2689" t="str">
        <f>VLOOKUP(C2689,Customers!A:C,2,FALSE)&amp;" "&amp;VLOOKUP(C2689,Customers!A:C,3,FALSE)</f>
        <v>Grace Garcia</v>
      </c>
      <c r="J2689" t="str">
        <f>VLOOKUP(D2689,Products!A:C,2,FALSE)</f>
        <v>Us Snacks</v>
      </c>
      <c r="K2689" t="str">
        <f>VLOOKUP(D2689,Products!A:C,3,FALSE)</f>
        <v>Groceries</v>
      </c>
      <c r="L2689" t="str">
        <f>VLOOKUP(E2689,Stores!A:B,2,FALSE)</f>
        <v>MegaMart Brianahaven</v>
      </c>
      <c r="M2689">
        <f>VLOOKUP(D2689,Products!A:E,5,FALSE)</f>
        <v>123.19</v>
      </c>
      <c r="N2689" s="5">
        <f t="shared" si="41"/>
        <v>443.48399999999998</v>
      </c>
    </row>
    <row r="2690" spans="1:14" x14ac:dyDescent="0.3">
      <c r="A2690" t="s">
        <v>3546</v>
      </c>
      <c r="B2690" s="2">
        <v>45865</v>
      </c>
      <c r="C2690" t="s">
        <v>313</v>
      </c>
      <c r="D2690" t="s">
        <v>722</v>
      </c>
      <c r="E2690" t="s">
        <v>846</v>
      </c>
      <c r="F2690">
        <v>3</v>
      </c>
      <c r="G2690">
        <v>0</v>
      </c>
      <c r="H2690" t="s">
        <v>858</v>
      </c>
      <c r="I2690" t="str">
        <f>VLOOKUP(C2690,Customers!A:C,2,FALSE)&amp;" "&amp;VLOOKUP(C2690,Customers!A:C,3,FALSE)</f>
        <v>Jeremy Robles</v>
      </c>
      <c r="J2690" t="str">
        <f>VLOOKUP(D2690,Products!A:C,2,FALSE)</f>
        <v>Four Accessories</v>
      </c>
      <c r="K2690" t="str">
        <f>VLOOKUP(D2690,Products!A:C,3,FALSE)</f>
        <v>Fashion</v>
      </c>
      <c r="L2690" t="str">
        <f>VLOOKUP(E2690,Stores!A:B,2,FALSE)</f>
        <v>MegaMart Johnmouth</v>
      </c>
      <c r="M2690">
        <f>VLOOKUP(D2690,Products!A:E,5,FALSE)</f>
        <v>1853.77</v>
      </c>
      <c r="N2690" s="5">
        <f t="shared" si="41"/>
        <v>5561.3099999999995</v>
      </c>
    </row>
    <row r="2691" spans="1:14" x14ac:dyDescent="0.3">
      <c r="A2691" t="s">
        <v>3547</v>
      </c>
      <c r="B2691" s="2">
        <v>45794</v>
      </c>
      <c r="C2691" t="s">
        <v>467</v>
      </c>
      <c r="D2691" t="s">
        <v>739</v>
      </c>
      <c r="E2691" t="s">
        <v>846</v>
      </c>
      <c r="F2691">
        <v>2</v>
      </c>
      <c r="G2691">
        <v>0.05</v>
      </c>
      <c r="H2691" t="s">
        <v>861</v>
      </c>
      <c r="I2691" t="str">
        <f>VLOOKUP(C2691,Customers!A:C,2,FALSE)&amp;" "&amp;VLOOKUP(C2691,Customers!A:C,3,FALSE)</f>
        <v>John Allen</v>
      </c>
      <c r="J2691" t="str">
        <f>VLOOKUP(D2691,Products!A:C,2,FALSE)</f>
        <v>Step Smartphone</v>
      </c>
      <c r="K2691" t="str">
        <f>VLOOKUP(D2691,Products!A:C,3,FALSE)</f>
        <v>Electronics</v>
      </c>
      <c r="L2691" t="str">
        <f>VLOOKUP(E2691,Stores!A:B,2,FALSE)</f>
        <v>MegaMart Johnmouth</v>
      </c>
      <c r="M2691">
        <f>VLOOKUP(D2691,Products!A:E,5,FALSE)</f>
        <v>1194.1199999999999</v>
      </c>
      <c r="N2691" s="5">
        <f t="shared" ref="N2691:N2754" si="42">F2691*M2691*(1-G2691)</f>
        <v>2268.8279999999995</v>
      </c>
    </row>
    <row r="2692" spans="1:14" x14ac:dyDescent="0.3">
      <c r="A2692" t="s">
        <v>3548</v>
      </c>
      <c r="B2692" s="2">
        <v>45846</v>
      </c>
      <c r="C2692" t="s">
        <v>483</v>
      </c>
      <c r="D2692" t="s">
        <v>772</v>
      </c>
      <c r="E2692" t="s">
        <v>835</v>
      </c>
      <c r="F2692">
        <v>2</v>
      </c>
      <c r="G2692">
        <v>0.05</v>
      </c>
      <c r="H2692" t="s">
        <v>865</v>
      </c>
      <c r="I2692" t="str">
        <f>VLOOKUP(C2692,Customers!A:C,2,FALSE)&amp;" "&amp;VLOOKUP(C2692,Customers!A:C,3,FALSE)</f>
        <v>Jared Ochoa</v>
      </c>
      <c r="J2692" t="str">
        <f>VLOOKUP(D2692,Products!A:C,2,FALSE)</f>
        <v>And Footwear</v>
      </c>
      <c r="K2692" t="str">
        <f>VLOOKUP(D2692,Products!A:C,3,FALSE)</f>
        <v>Fashion</v>
      </c>
      <c r="L2692" t="str">
        <f>VLOOKUP(E2692,Stores!A:B,2,FALSE)</f>
        <v>MegaMart Peckmouth</v>
      </c>
      <c r="M2692">
        <f>VLOOKUP(D2692,Products!A:E,5,FALSE)</f>
        <v>1878.47</v>
      </c>
      <c r="N2692" s="5">
        <f t="shared" si="42"/>
        <v>3569.0929999999998</v>
      </c>
    </row>
    <row r="2693" spans="1:14" x14ac:dyDescent="0.3">
      <c r="A2693" t="s">
        <v>3549</v>
      </c>
      <c r="B2693" s="2">
        <v>45658</v>
      </c>
      <c r="C2693" t="s">
        <v>673</v>
      </c>
      <c r="D2693" t="s">
        <v>814</v>
      </c>
      <c r="E2693" t="s">
        <v>831</v>
      </c>
      <c r="F2693">
        <v>4</v>
      </c>
      <c r="G2693">
        <v>0.1</v>
      </c>
      <c r="H2693" t="s">
        <v>865</v>
      </c>
      <c r="I2693" t="str">
        <f>VLOOKUP(C2693,Customers!A:C,2,FALSE)&amp;" "&amp;VLOOKUP(C2693,Customers!A:C,3,FALSE)</f>
        <v>Karen Quinn</v>
      </c>
      <c r="J2693" t="str">
        <f>VLOOKUP(D2693,Products!A:C,2,FALSE)</f>
        <v>Least Accessories</v>
      </c>
      <c r="K2693" t="str">
        <f>VLOOKUP(D2693,Products!A:C,3,FALSE)</f>
        <v>Fashion</v>
      </c>
      <c r="L2693" t="str">
        <f>VLOOKUP(E2693,Stores!A:B,2,FALSE)</f>
        <v>MegaMart Jimenezborough</v>
      </c>
      <c r="M2693">
        <f>VLOOKUP(D2693,Products!A:E,5,FALSE)</f>
        <v>1286.55</v>
      </c>
      <c r="N2693" s="5">
        <f t="shared" si="42"/>
        <v>4631.58</v>
      </c>
    </row>
    <row r="2694" spans="1:14" x14ac:dyDescent="0.3">
      <c r="A2694" t="s">
        <v>3550</v>
      </c>
      <c r="B2694" s="2">
        <v>45297</v>
      </c>
      <c r="C2694" t="s">
        <v>243</v>
      </c>
      <c r="D2694" t="s">
        <v>826</v>
      </c>
      <c r="E2694" t="s">
        <v>835</v>
      </c>
      <c r="F2694">
        <v>3</v>
      </c>
      <c r="G2694">
        <v>0.05</v>
      </c>
      <c r="H2694" t="s">
        <v>855</v>
      </c>
      <c r="I2694" t="str">
        <f>VLOOKUP(C2694,Customers!A:C,2,FALSE)&amp;" "&amp;VLOOKUP(C2694,Customers!A:C,3,FALSE)</f>
        <v>Amanda Hoover</v>
      </c>
      <c r="J2694" t="str">
        <f>VLOOKUP(D2694,Products!A:C,2,FALSE)</f>
        <v>Maybe Footwear</v>
      </c>
      <c r="K2694" t="str">
        <f>VLOOKUP(D2694,Products!A:C,3,FALSE)</f>
        <v>Fashion</v>
      </c>
      <c r="L2694" t="str">
        <f>VLOOKUP(E2694,Stores!A:B,2,FALSE)</f>
        <v>MegaMart Peckmouth</v>
      </c>
      <c r="M2694">
        <f>VLOOKUP(D2694,Products!A:E,5,FALSE)</f>
        <v>1044.6400000000001</v>
      </c>
      <c r="N2694" s="5">
        <f t="shared" si="42"/>
        <v>2977.2239999999997</v>
      </c>
    </row>
    <row r="2695" spans="1:14" x14ac:dyDescent="0.3">
      <c r="A2695" t="s">
        <v>3551</v>
      </c>
      <c r="B2695" s="2">
        <v>45192</v>
      </c>
      <c r="C2695" t="s">
        <v>320</v>
      </c>
      <c r="D2695" t="s">
        <v>814</v>
      </c>
      <c r="E2695" t="s">
        <v>842</v>
      </c>
      <c r="F2695">
        <v>5</v>
      </c>
      <c r="G2695">
        <v>0.1</v>
      </c>
      <c r="H2695" t="s">
        <v>861</v>
      </c>
      <c r="I2695" t="str">
        <f>VLOOKUP(C2695,Customers!A:C,2,FALSE)&amp;" "&amp;VLOOKUP(C2695,Customers!A:C,3,FALSE)</f>
        <v>Juan Ramirez</v>
      </c>
      <c r="J2695" t="str">
        <f>VLOOKUP(D2695,Products!A:C,2,FALSE)</f>
        <v>Least Accessories</v>
      </c>
      <c r="K2695" t="str">
        <f>VLOOKUP(D2695,Products!A:C,3,FALSE)</f>
        <v>Fashion</v>
      </c>
      <c r="L2695" t="str">
        <f>VLOOKUP(E2695,Stores!A:B,2,FALSE)</f>
        <v>MegaMart Brianahaven</v>
      </c>
      <c r="M2695">
        <f>VLOOKUP(D2695,Products!A:E,5,FALSE)</f>
        <v>1286.55</v>
      </c>
      <c r="N2695" s="5">
        <f t="shared" si="42"/>
        <v>5789.4750000000004</v>
      </c>
    </row>
    <row r="2696" spans="1:14" x14ac:dyDescent="0.3">
      <c r="A2696" t="s">
        <v>3552</v>
      </c>
      <c r="B2696" s="2">
        <v>45790</v>
      </c>
      <c r="C2696" t="s">
        <v>317</v>
      </c>
      <c r="D2696" t="s">
        <v>782</v>
      </c>
      <c r="E2696" t="s">
        <v>842</v>
      </c>
      <c r="F2696">
        <v>3</v>
      </c>
      <c r="G2696">
        <v>0.05</v>
      </c>
      <c r="H2696" t="s">
        <v>865</v>
      </c>
      <c r="I2696" t="str">
        <f>VLOOKUP(C2696,Customers!A:C,2,FALSE)&amp;" "&amp;VLOOKUP(C2696,Customers!A:C,3,FALSE)</f>
        <v>Amanda Lee</v>
      </c>
      <c r="J2696" t="str">
        <f>VLOOKUP(D2696,Products!A:C,2,FALSE)</f>
        <v>Deal Smartphone</v>
      </c>
      <c r="K2696" t="str">
        <f>VLOOKUP(D2696,Products!A:C,3,FALSE)</f>
        <v>Electronics</v>
      </c>
      <c r="L2696" t="str">
        <f>VLOOKUP(E2696,Stores!A:B,2,FALSE)</f>
        <v>MegaMart Brianahaven</v>
      </c>
      <c r="M2696">
        <f>VLOOKUP(D2696,Products!A:E,5,FALSE)</f>
        <v>673.78</v>
      </c>
      <c r="N2696" s="5">
        <f t="shared" si="42"/>
        <v>1920.2729999999999</v>
      </c>
    </row>
    <row r="2697" spans="1:14" x14ac:dyDescent="0.3">
      <c r="A2697" t="s">
        <v>3553</v>
      </c>
      <c r="B2697" s="2">
        <v>45464</v>
      </c>
      <c r="C2697" t="s">
        <v>677</v>
      </c>
      <c r="D2697" t="s">
        <v>810</v>
      </c>
      <c r="E2697" t="s">
        <v>842</v>
      </c>
      <c r="F2697">
        <v>1</v>
      </c>
      <c r="G2697">
        <v>0.05</v>
      </c>
      <c r="H2697" t="s">
        <v>861</v>
      </c>
      <c r="I2697" t="str">
        <f>VLOOKUP(C2697,Customers!A:C,2,FALSE)&amp;" "&amp;VLOOKUP(C2697,Customers!A:C,3,FALSE)</f>
        <v>James Wilson</v>
      </c>
      <c r="J2697" t="str">
        <f>VLOOKUP(D2697,Products!A:C,2,FALSE)</f>
        <v>Maybe Clothing</v>
      </c>
      <c r="K2697" t="str">
        <f>VLOOKUP(D2697,Products!A:C,3,FALSE)</f>
        <v>Fashion</v>
      </c>
      <c r="L2697" t="str">
        <f>VLOOKUP(E2697,Stores!A:B,2,FALSE)</f>
        <v>MegaMart Brianahaven</v>
      </c>
      <c r="M2697">
        <f>VLOOKUP(D2697,Products!A:E,5,FALSE)</f>
        <v>453.62</v>
      </c>
      <c r="N2697" s="5">
        <f t="shared" si="42"/>
        <v>430.93899999999996</v>
      </c>
    </row>
    <row r="2698" spans="1:14" x14ac:dyDescent="0.3">
      <c r="A2698" t="s">
        <v>3554</v>
      </c>
      <c r="B2698" s="2">
        <v>45355</v>
      </c>
      <c r="C2698" t="s">
        <v>20</v>
      </c>
      <c r="D2698" t="s">
        <v>747</v>
      </c>
      <c r="E2698" t="s">
        <v>835</v>
      </c>
      <c r="F2698">
        <v>1</v>
      </c>
      <c r="G2698">
        <v>0.05</v>
      </c>
      <c r="H2698" t="s">
        <v>861</v>
      </c>
      <c r="I2698" t="str">
        <f>VLOOKUP(C2698,Customers!A:C,2,FALSE)&amp;" "&amp;VLOOKUP(C2698,Customers!A:C,3,FALSE)</f>
        <v>Joseph Ward</v>
      </c>
      <c r="J2698" t="str">
        <f>VLOOKUP(D2698,Products!A:C,2,FALSE)</f>
        <v>World Watches</v>
      </c>
      <c r="K2698" t="str">
        <f>VLOOKUP(D2698,Products!A:C,3,FALSE)</f>
        <v>Fashion</v>
      </c>
      <c r="L2698" t="str">
        <f>VLOOKUP(E2698,Stores!A:B,2,FALSE)</f>
        <v>MegaMart Peckmouth</v>
      </c>
      <c r="M2698">
        <f>VLOOKUP(D2698,Products!A:E,5,FALSE)</f>
        <v>1134.8</v>
      </c>
      <c r="N2698" s="5">
        <f t="shared" si="42"/>
        <v>1078.06</v>
      </c>
    </row>
    <row r="2699" spans="1:14" x14ac:dyDescent="0.3">
      <c r="A2699" t="s">
        <v>3555</v>
      </c>
      <c r="B2699" s="2">
        <v>45738</v>
      </c>
      <c r="C2699" t="s">
        <v>382</v>
      </c>
      <c r="D2699" t="s">
        <v>810</v>
      </c>
      <c r="E2699" t="s">
        <v>839</v>
      </c>
      <c r="F2699">
        <v>1</v>
      </c>
      <c r="G2699">
        <v>0.15</v>
      </c>
      <c r="H2699" t="s">
        <v>858</v>
      </c>
      <c r="I2699" t="str">
        <f>VLOOKUP(C2699,Customers!A:C,2,FALSE)&amp;" "&amp;VLOOKUP(C2699,Customers!A:C,3,FALSE)</f>
        <v>Carolyn Perez</v>
      </c>
      <c r="J2699" t="str">
        <f>VLOOKUP(D2699,Products!A:C,2,FALSE)</f>
        <v>Maybe Clothing</v>
      </c>
      <c r="K2699" t="str">
        <f>VLOOKUP(D2699,Products!A:C,3,FALSE)</f>
        <v>Fashion</v>
      </c>
      <c r="L2699" t="str">
        <f>VLOOKUP(E2699,Stores!A:B,2,FALSE)</f>
        <v>MegaMart New Michele</v>
      </c>
      <c r="M2699">
        <f>VLOOKUP(D2699,Products!A:E,5,FALSE)</f>
        <v>453.62</v>
      </c>
      <c r="N2699" s="5">
        <f t="shared" si="42"/>
        <v>385.577</v>
      </c>
    </row>
    <row r="2700" spans="1:14" x14ac:dyDescent="0.3">
      <c r="A2700" t="s">
        <v>3556</v>
      </c>
      <c r="B2700" s="2">
        <v>45704</v>
      </c>
      <c r="C2700" t="s">
        <v>335</v>
      </c>
      <c r="D2700" t="s">
        <v>734</v>
      </c>
      <c r="E2700" t="s">
        <v>835</v>
      </c>
      <c r="F2700">
        <v>5</v>
      </c>
      <c r="G2700">
        <v>0.15</v>
      </c>
      <c r="H2700" t="s">
        <v>858</v>
      </c>
      <c r="I2700" t="str">
        <f>VLOOKUP(C2700,Customers!A:C,2,FALSE)&amp;" "&amp;VLOOKUP(C2700,Customers!A:C,3,FALSE)</f>
        <v>William Warner</v>
      </c>
      <c r="J2700" t="str">
        <f>VLOOKUP(D2700,Products!A:C,2,FALSE)</f>
        <v>Recognize Footwear</v>
      </c>
      <c r="K2700" t="str">
        <f>VLOOKUP(D2700,Products!A:C,3,FALSE)</f>
        <v>Fashion</v>
      </c>
      <c r="L2700" t="str">
        <f>VLOOKUP(E2700,Stores!A:B,2,FALSE)</f>
        <v>MegaMart Peckmouth</v>
      </c>
      <c r="M2700">
        <f>VLOOKUP(D2700,Products!A:E,5,FALSE)</f>
        <v>109.78</v>
      </c>
      <c r="N2700" s="5">
        <f t="shared" si="42"/>
        <v>466.56499999999994</v>
      </c>
    </row>
    <row r="2701" spans="1:14" x14ac:dyDescent="0.3">
      <c r="A2701" t="s">
        <v>3557</v>
      </c>
      <c r="B2701" s="2">
        <v>45222</v>
      </c>
      <c r="C2701" t="s">
        <v>213</v>
      </c>
      <c r="D2701" t="s">
        <v>790</v>
      </c>
      <c r="E2701" t="s">
        <v>842</v>
      </c>
      <c r="F2701">
        <v>5</v>
      </c>
      <c r="G2701">
        <v>0.1</v>
      </c>
      <c r="H2701" t="s">
        <v>858</v>
      </c>
      <c r="I2701" t="str">
        <f>VLOOKUP(C2701,Customers!A:C,2,FALSE)&amp;" "&amp;VLOOKUP(C2701,Customers!A:C,3,FALSE)</f>
        <v>Deborah Moody</v>
      </c>
      <c r="J2701" t="str">
        <f>VLOOKUP(D2701,Products!A:C,2,FALSE)</f>
        <v>Difficult Vegetables</v>
      </c>
      <c r="K2701" t="str">
        <f>VLOOKUP(D2701,Products!A:C,3,FALSE)</f>
        <v>Groceries</v>
      </c>
      <c r="L2701" t="str">
        <f>VLOOKUP(E2701,Stores!A:B,2,FALSE)</f>
        <v>MegaMart Brianahaven</v>
      </c>
      <c r="M2701">
        <f>VLOOKUP(D2701,Products!A:E,5,FALSE)</f>
        <v>304.70999999999998</v>
      </c>
      <c r="N2701" s="5">
        <f t="shared" si="42"/>
        <v>1371.1949999999999</v>
      </c>
    </row>
    <row r="2702" spans="1:14" x14ac:dyDescent="0.3">
      <c r="A2702" t="s">
        <v>3558</v>
      </c>
      <c r="B2702" s="2">
        <v>45298</v>
      </c>
      <c r="C2702" t="s">
        <v>123</v>
      </c>
      <c r="D2702" t="s">
        <v>755</v>
      </c>
      <c r="E2702" t="s">
        <v>839</v>
      </c>
      <c r="F2702">
        <v>5</v>
      </c>
      <c r="G2702">
        <v>0.1</v>
      </c>
      <c r="H2702" t="s">
        <v>855</v>
      </c>
      <c r="I2702" t="str">
        <f>VLOOKUP(C2702,Customers!A:C,2,FALSE)&amp;" "&amp;VLOOKUP(C2702,Customers!A:C,3,FALSE)</f>
        <v>Ashley Gibson</v>
      </c>
      <c r="J2702" t="str">
        <f>VLOOKUP(D2702,Products!A:C,2,FALSE)</f>
        <v>House Accessories</v>
      </c>
      <c r="K2702" t="str">
        <f>VLOOKUP(D2702,Products!A:C,3,FALSE)</f>
        <v>Fashion</v>
      </c>
      <c r="L2702" t="str">
        <f>VLOOKUP(E2702,Stores!A:B,2,FALSE)</f>
        <v>MegaMart New Michele</v>
      </c>
      <c r="M2702">
        <f>VLOOKUP(D2702,Products!A:E,5,FALSE)</f>
        <v>1858.75</v>
      </c>
      <c r="N2702" s="5">
        <f t="shared" si="42"/>
        <v>8364.375</v>
      </c>
    </row>
    <row r="2703" spans="1:14" x14ac:dyDescent="0.3">
      <c r="A2703" t="s">
        <v>3559</v>
      </c>
      <c r="B2703" s="2">
        <v>45569</v>
      </c>
      <c r="C2703" t="s">
        <v>187</v>
      </c>
      <c r="D2703" t="s">
        <v>826</v>
      </c>
      <c r="E2703" t="s">
        <v>839</v>
      </c>
      <c r="F2703">
        <v>3</v>
      </c>
      <c r="G2703">
        <v>0.15</v>
      </c>
      <c r="H2703" t="s">
        <v>858</v>
      </c>
      <c r="I2703" t="str">
        <f>VLOOKUP(C2703,Customers!A:C,2,FALSE)&amp;" "&amp;VLOOKUP(C2703,Customers!A:C,3,FALSE)</f>
        <v>Alexis Crane</v>
      </c>
      <c r="J2703" t="str">
        <f>VLOOKUP(D2703,Products!A:C,2,FALSE)</f>
        <v>Maybe Footwear</v>
      </c>
      <c r="K2703" t="str">
        <f>VLOOKUP(D2703,Products!A:C,3,FALSE)</f>
        <v>Fashion</v>
      </c>
      <c r="L2703" t="str">
        <f>VLOOKUP(E2703,Stores!A:B,2,FALSE)</f>
        <v>MegaMart New Michele</v>
      </c>
      <c r="M2703">
        <f>VLOOKUP(D2703,Products!A:E,5,FALSE)</f>
        <v>1044.6400000000001</v>
      </c>
      <c r="N2703" s="5">
        <f t="shared" si="42"/>
        <v>2663.8319999999999</v>
      </c>
    </row>
    <row r="2704" spans="1:14" x14ac:dyDescent="0.3">
      <c r="A2704" t="s">
        <v>3560</v>
      </c>
      <c r="B2704" s="2">
        <v>45763</v>
      </c>
      <c r="C2704" t="s">
        <v>604</v>
      </c>
      <c r="D2704" t="s">
        <v>766</v>
      </c>
      <c r="E2704" t="s">
        <v>831</v>
      </c>
      <c r="F2704">
        <v>3</v>
      </c>
      <c r="G2704">
        <v>0.1</v>
      </c>
      <c r="H2704" t="s">
        <v>865</v>
      </c>
      <c r="I2704" t="str">
        <f>VLOOKUP(C2704,Customers!A:C,2,FALSE)&amp;" "&amp;VLOOKUP(C2704,Customers!A:C,3,FALSE)</f>
        <v>Amber Graham</v>
      </c>
      <c r="J2704" t="str">
        <f>VLOOKUP(D2704,Products!A:C,2,FALSE)</f>
        <v>Firm Dairy</v>
      </c>
      <c r="K2704" t="str">
        <f>VLOOKUP(D2704,Products!A:C,3,FALSE)</f>
        <v>Groceries</v>
      </c>
      <c r="L2704" t="str">
        <f>VLOOKUP(E2704,Stores!A:B,2,FALSE)</f>
        <v>MegaMart Jimenezborough</v>
      </c>
      <c r="M2704">
        <f>VLOOKUP(D2704,Products!A:E,5,FALSE)</f>
        <v>1227.24</v>
      </c>
      <c r="N2704" s="5">
        <f t="shared" si="42"/>
        <v>3313.5480000000002</v>
      </c>
    </row>
    <row r="2705" spans="1:14" x14ac:dyDescent="0.3">
      <c r="A2705" t="s">
        <v>3561</v>
      </c>
      <c r="B2705" s="2">
        <v>45385</v>
      </c>
      <c r="C2705" t="s">
        <v>355</v>
      </c>
      <c r="D2705" t="s">
        <v>804</v>
      </c>
      <c r="E2705" t="s">
        <v>842</v>
      </c>
      <c r="F2705">
        <v>1</v>
      </c>
      <c r="G2705">
        <v>0.05</v>
      </c>
      <c r="H2705" t="s">
        <v>865</v>
      </c>
      <c r="I2705" t="str">
        <f>VLOOKUP(C2705,Customers!A:C,2,FALSE)&amp;" "&amp;VLOOKUP(C2705,Customers!A:C,3,FALSE)</f>
        <v>Kimberly Stokes</v>
      </c>
      <c r="J2705" t="str">
        <f>VLOOKUP(D2705,Products!A:C,2,FALSE)</f>
        <v>Church Clothing</v>
      </c>
      <c r="K2705" t="str">
        <f>VLOOKUP(D2705,Products!A:C,3,FALSE)</f>
        <v>Fashion</v>
      </c>
      <c r="L2705" t="str">
        <f>VLOOKUP(E2705,Stores!A:B,2,FALSE)</f>
        <v>MegaMart Brianahaven</v>
      </c>
      <c r="M2705">
        <f>VLOOKUP(D2705,Products!A:E,5,FALSE)</f>
        <v>540.94000000000005</v>
      </c>
      <c r="N2705" s="5">
        <f t="shared" si="42"/>
        <v>513.89300000000003</v>
      </c>
    </row>
    <row r="2706" spans="1:14" x14ac:dyDescent="0.3">
      <c r="A2706" t="s">
        <v>3562</v>
      </c>
      <c r="B2706" s="2">
        <v>45182</v>
      </c>
      <c r="C2706" t="s">
        <v>228</v>
      </c>
      <c r="D2706" t="s">
        <v>739</v>
      </c>
      <c r="E2706" t="s">
        <v>842</v>
      </c>
      <c r="F2706">
        <v>1</v>
      </c>
      <c r="G2706">
        <v>0</v>
      </c>
      <c r="H2706" t="s">
        <v>855</v>
      </c>
      <c r="I2706" t="str">
        <f>VLOOKUP(C2706,Customers!A:C,2,FALSE)&amp;" "&amp;VLOOKUP(C2706,Customers!A:C,3,FALSE)</f>
        <v>Scott Wyatt</v>
      </c>
      <c r="J2706" t="str">
        <f>VLOOKUP(D2706,Products!A:C,2,FALSE)</f>
        <v>Step Smartphone</v>
      </c>
      <c r="K2706" t="str">
        <f>VLOOKUP(D2706,Products!A:C,3,FALSE)</f>
        <v>Electronics</v>
      </c>
      <c r="L2706" t="str">
        <f>VLOOKUP(E2706,Stores!A:B,2,FALSE)</f>
        <v>MegaMart Brianahaven</v>
      </c>
      <c r="M2706">
        <f>VLOOKUP(D2706,Products!A:E,5,FALSE)</f>
        <v>1194.1199999999999</v>
      </c>
      <c r="N2706" s="5">
        <f t="shared" si="42"/>
        <v>1194.1199999999999</v>
      </c>
    </row>
    <row r="2707" spans="1:14" x14ac:dyDescent="0.3">
      <c r="A2707" t="s">
        <v>3563</v>
      </c>
      <c r="B2707" s="2">
        <v>45774</v>
      </c>
      <c r="C2707" t="s">
        <v>130</v>
      </c>
      <c r="D2707" t="s">
        <v>786</v>
      </c>
      <c r="E2707" t="s">
        <v>839</v>
      </c>
      <c r="F2707">
        <v>3</v>
      </c>
      <c r="G2707">
        <v>0.15</v>
      </c>
      <c r="H2707" t="s">
        <v>858</v>
      </c>
      <c r="I2707" t="str">
        <f>VLOOKUP(C2707,Customers!A:C,2,FALSE)&amp;" "&amp;VLOOKUP(C2707,Customers!A:C,3,FALSE)</f>
        <v>Jenny Beck</v>
      </c>
      <c r="J2707" t="str">
        <f>VLOOKUP(D2707,Products!A:C,2,FALSE)</f>
        <v>National Watches</v>
      </c>
      <c r="K2707" t="str">
        <f>VLOOKUP(D2707,Products!A:C,3,FALSE)</f>
        <v>Fashion</v>
      </c>
      <c r="L2707" t="str">
        <f>VLOOKUP(E2707,Stores!A:B,2,FALSE)</f>
        <v>MegaMart New Michele</v>
      </c>
      <c r="M2707">
        <f>VLOOKUP(D2707,Products!A:E,5,FALSE)</f>
        <v>29.24</v>
      </c>
      <c r="N2707" s="5">
        <f t="shared" si="42"/>
        <v>74.561999999999998</v>
      </c>
    </row>
    <row r="2708" spans="1:14" x14ac:dyDescent="0.3">
      <c r="A2708" t="s">
        <v>3564</v>
      </c>
      <c r="B2708" s="2">
        <v>45520</v>
      </c>
      <c r="C2708" t="s">
        <v>516</v>
      </c>
      <c r="D2708" t="s">
        <v>725</v>
      </c>
      <c r="E2708" t="s">
        <v>831</v>
      </c>
      <c r="F2708">
        <v>5</v>
      </c>
      <c r="G2708">
        <v>0.05</v>
      </c>
      <c r="H2708" t="s">
        <v>858</v>
      </c>
      <c r="I2708" t="str">
        <f>VLOOKUP(C2708,Customers!A:C,2,FALSE)&amp;" "&amp;VLOOKUP(C2708,Customers!A:C,3,FALSE)</f>
        <v>Suzanne Fox</v>
      </c>
      <c r="J2708" t="str">
        <f>VLOOKUP(D2708,Products!A:C,2,FALSE)</f>
        <v>Knowledge Bags</v>
      </c>
      <c r="K2708" t="str">
        <f>VLOOKUP(D2708,Products!A:C,3,FALSE)</f>
        <v>Fashion</v>
      </c>
      <c r="L2708" t="str">
        <f>VLOOKUP(E2708,Stores!A:B,2,FALSE)</f>
        <v>MegaMart Jimenezborough</v>
      </c>
      <c r="M2708">
        <f>VLOOKUP(D2708,Products!A:E,5,FALSE)</f>
        <v>1396.22</v>
      </c>
      <c r="N2708" s="5">
        <f t="shared" si="42"/>
        <v>6632.0450000000001</v>
      </c>
    </row>
    <row r="2709" spans="1:14" x14ac:dyDescent="0.3">
      <c r="A2709" t="s">
        <v>3565</v>
      </c>
      <c r="B2709" s="2">
        <v>45801</v>
      </c>
      <c r="C2709" t="s">
        <v>480</v>
      </c>
      <c r="D2709" t="s">
        <v>806</v>
      </c>
      <c r="E2709" t="s">
        <v>835</v>
      </c>
      <c r="F2709">
        <v>2</v>
      </c>
      <c r="G2709">
        <v>0.05</v>
      </c>
      <c r="H2709" t="s">
        <v>865</v>
      </c>
      <c r="I2709" t="str">
        <f>VLOOKUP(C2709,Customers!A:C,2,FALSE)&amp;" "&amp;VLOOKUP(C2709,Customers!A:C,3,FALSE)</f>
        <v>Denise Jackson</v>
      </c>
      <c r="J2709" t="str">
        <f>VLOOKUP(D2709,Products!A:C,2,FALSE)</f>
        <v>Piece Headphones</v>
      </c>
      <c r="K2709" t="str">
        <f>VLOOKUP(D2709,Products!A:C,3,FALSE)</f>
        <v>Electronics</v>
      </c>
      <c r="L2709" t="str">
        <f>VLOOKUP(E2709,Stores!A:B,2,FALSE)</f>
        <v>MegaMart Peckmouth</v>
      </c>
      <c r="M2709">
        <f>VLOOKUP(D2709,Products!A:E,5,FALSE)</f>
        <v>1745.61</v>
      </c>
      <c r="N2709" s="5">
        <f t="shared" si="42"/>
        <v>3316.6589999999997</v>
      </c>
    </row>
    <row r="2710" spans="1:14" x14ac:dyDescent="0.3">
      <c r="A2710" t="s">
        <v>3566</v>
      </c>
      <c r="B2710" s="2">
        <v>45271</v>
      </c>
      <c r="C2710" t="s">
        <v>198</v>
      </c>
      <c r="D2710" t="s">
        <v>742</v>
      </c>
      <c r="E2710" t="s">
        <v>839</v>
      </c>
      <c r="F2710">
        <v>5</v>
      </c>
      <c r="G2710">
        <v>0.05</v>
      </c>
      <c r="H2710" t="s">
        <v>865</v>
      </c>
      <c r="I2710" t="str">
        <f>VLOOKUP(C2710,Customers!A:C,2,FALSE)&amp;" "&amp;VLOOKUP(C2710,Customers!A:C,3,FALSE)</f>
        <v>Madison Sellers</v>
      </c>
      <c r="J2710" t="str">
        <f>VLOOKUP(D2710,Products!A:C,2,FALSE)</f>
        <v>Either Headphones</v>
      </c>
      <c r="K2710" t="str">
        <f>VLOOKUP(D2710,Products!A:C,3,FALSE)</f>
        <v>Electronics</v>
      </c>
      <c r="L2710" t="str">
        <f>VLOOKUP(E2710,Stores!A:B,2,FALSE)</f>
        <v>MegaMart New Michele</v>
      </c>
      <c r="M2710">
        <f>VLOOKUP(D2710,Products!A:E,5,FALSE)</f>
        <v>248.57</v>
      </c>
      <c r="N2710" s="5">
        <f t="shared" si="42"/>
        <v>1180.7074999999998</v>
      </c>
    </row>
    <row r="2711" spans="1:14" x14ac:dyDescent="0.3">
      <c r="A2711" t="s">
        <v>3567</v>
      </c>
      <c r="B2711" s="2">
        <v>45734</v>
      </c>
      <c r="C2711" t="s">
        <v>500</v>
      </c>
      <c r="D2711" t="s">
        <v>788</v>
      </c>
      <c r="E2711" t="s">
        <v>839</v>
      </c>
      <c r="F2711">
        <v>5</v>
      </c>
      <c r="G2711">
        <v>0.05</v>
      </c>
      <c r="H2711" t="s">
        <v>861</v>
      </c>
      <c r="I2711" t="str">
        <f>VLOOKUP(C2711,Customers!A:C,2,FALSE)&amp;" "&amp;VLOOKUP(C2711,Customers!A:C,3,FALSE)</f>
        <v>Gary Lopez</v>
      </c>
      <c r="J2711" t="str">
        <f>VLOOKUP(D2711,Products!A:C,2,FALSE)</f>
        <v>Foot Snacks</v>
      </c>
      <c r="K2711" t="str">
        <f>VLOOKUP(D2711,Products!A:C,3,FALSE)</f>
        <v>Groceries</v>
      </c>
      <c r="L2711" t="str">
        <f>VLOOKUP(E2711,Stores!A:B,2,FALSE)</f>
        <v>MegaMart New Michele</v>
      </c>
      <c r="M2711">
        <f>VLOOKUP(D2711,Products!A:E,5,FALSE)</f>
        <v>1095.72</v>
      </c>
      <c r="N2711" s="5">
        <f t="shared" si="42"/>
        <v>5204.67</v>
      </c>
    </row>
    <row r="2712" spans="1:14" x14ac:dyDescent="0.3">
      <c r="A2712" t="s">
        <v>3568</v>
      </c>
      <c r="B2712" s="2">
        <v>45211</v>
      </c>
      <c r="C2712" t="s">
        <v>362</v>
      </c>
      <c r="D2712" t="s">
        <v>759</v>
      </c>
      <c r="E2712" t="s">
        <v>835</v>
      </c>
      <c r="F2712">
        <v>1</v>
      </c>
      <c r="G2712">
        <v>0.05</v>
      </c>
      <c r="H2712" t="s">
        <v>861</v>
      </c>
      <c r="I2712" t="str">
        <f>VLOOKUP(C2712,Customers!A:C,2,FALSE)&amp;" "&amp;VLOOKUP(C2712,Customers!A:C,3,FALSE)</f>
        <v>Eric King</v>
      </c>
      <c r="J2712" t="str">
        <f>VLOOKUP(D2712,Products!A:C,2,FALSE)</f>
        <v>Democratic Smartphone</v>
      </c>
      <c r="K2712" t="str">
        <f>VLOOKUP(D2712,Products!A:C,3,FALSE)</f>
        <v>Electronics</v>
      </c>
      <c r="L2712" t="str">
        <f>VLOOKUP(E2712,Stores!A:B,2,FALSE)</f>
        <v>MegaMart Peckmouth</v>
      </c>
      <c r="M2712">
        <f>VLOOKUP(D2712,Products!A:E,5,FALSE)</f>
        <v>1079.8900000000001</v>
      </c>
      <c r="N2712" s="5">
        <f t="shared" si="42"/>
        <v>1025.8955000000001</v>
      </c>
    </row>
    <row r="2713" spans="1:14" x14ac:dyDescent="0.3">
      <c r="A2713" t="s">
        <v>3569</v>
      </c>
      <c r="B2713" s="2">
        <v>45877</v>
      </c>
      <c r="C2713" t="s">
        <v>680</v>
      </c>
      <c r="D2713" t="s">
        <v>826</v>
      </c>
      <c r="E2713" t="s">
        <v>835</v>
      </c>
      <c r="F2713">
        <v>5</v>
      </c>
      <c r="G2713">
        <v>0.15</v>
      </c>
      <c r="H2713" t="s">
        <v>861</v>
      </c>
      <c r="I2713" t="str">
        <f>VLOOKUP(C2713,Customers!A:C,2,FALSE)&amp;" "&amp;VLOOKUP(C2713,Customers!A:C,3,FALSE)</f>
        <v>Donald Meza</v>
      </c>
      <c r="J2713" t="str">
        <f>VLOOKUP(D2713,Products!A:C,2,FALSE)</f>
        <v>Maybe Footwear</v>
      </c>
      <c r="K2713" t="str">
        <f>VLOOKUP(D2713,Products!A:C,3,FALSE)</f>
        <v>Fashion</v>
      </c>
      <c r="L2713" t="str">
        <f>VLOOKUP(E2713,Stores!A:B,2,FALSE)</f>
        <v>MegaMart Peckmouth</v>
      </c>
      <c r="M2713">
        <f>VLOOKUP(D2713,Products!A:E,5,FALSE)</f>
        <v>1044.6400000000001</v>
      </c>
      <c r="N2713" s="5">
        <f t="shared" si="42"/>
        <v>4439.72</v>
      </c>
    </row>
    <row r="2714" spans="1:14" x14ac:dyDescent="0.3">
      <c r="A2714" t="s">
        <v>3570</v>
      </c>
      <c r="B2714" s="2">
        <v>45358</v>
      </c>
      <c r="C2714" t="s">
        <v>274</v>
      </c>
      <c r="D2714" t="s">
        <v>782</v>
      </c>
      <c r="E2714" t="s">
        <v>831</v>
      </c>
      <c r="F2714">
        <v>4</v>
      </c>
      <c r="G2714">
        <v>0.1</v>
      </c>
      <c r="H2714" t="s">
        <v>858</v>
      </c>
      <c r="I2714" t="str">
        <f>VLOOKUP(C2714,Customers!A:C,2,FALSE)&amp;" "&amp;VLOOKUP(C2714,Customers!A:C,3,FALSE)</f>
        <v>Eric Watkins</v>
      </c>
      <c r="J2714" t="str">
        <f>VLOOKUP(D2714,Products!A:C,2,FALSE)</f>
        <v>Deal Smartphone</v>
      </c>
      <c r="K2714" t="str">
        <f>VLOOKUP(D2714,Products!A:C,3,FALSE)</f>
        <v>Electronics</v>
      </c>
      <c r="L2714" t="str">
        <f>VLOOKUP(E2714,Stores!A:B,2,FALSE)</f>
        <v>MegaMart Jimenezborough</v>
      </c>
      <c r="M2714">
        <f>VLOOKUP(D2714,Products!A:E,5,FALSE)</f>
        <v>673.78</v>
      </c>
      <c r="N2714" s="5">
        <f t="shared" si="42"/>
        <v>2425.6080000000002</v>
      </c>
    </row>
    <row r="2715" spans="1:14" x14ac:dyDescent="0.3">
      <c r="A2715" t="s">
        <v>3571</v>
      </c>
      <c r="B2715" s="2">
        <v>45202</v>
      </c>
      <c r="C2715" t="s">
        <v>491</v>
      </c>
      <c r="D2715" t="s">
        <v>736</v>
      </c>
      <c r="E2715" t="s">
        <v>842</v>
      </c>
      <c r="F2715">
        <v>4</v>
      </c>
      <c r="G2715">
        <v>0.15</v>
      </c>
      <c r="H2715" t="s">
        <v>855</v>
      </c>
      <c r="I2715" t="str">
        <f>VLOOKUP(C2715,Customers!A:C,2,FALSE)&amp;" "&amp;VLOOKUP(C2715,Customers!A:C,3,FALSE)</f>
        <v>Emily Hart</v>
      </c>
      <c r="J2715" t="str">
        <f>VLOOKUP(D2715,Products!A:C,2,FALSE)</f>
        <v>Us Snacks</v>
      </c>
      <c r="K2715" t="str">
        <f>VLOOKUP(D2715,Products!A:C,3,FALSE)</f>
        <v>Groceries</v>
      </c>
      <c r="L2715" t="str">
        <f>VLOOKUP(E2715,Stores!A:B,2,FALSE)</f>
        <v>MegaMart Brianahaven</v>
      </c>
      <c r="M2715">
        <f>VLOOKUP(D2715,Products!A:E,5,FALSE)</f>
        <v>123.19</v>
      </c>
      <c r="N2715" s="5">
        <f t="shared" si="42"/>
        <v>418.846</v>
      </c>
    </row>
    <row r="2716" spans="1:14" x14ac:dyDescent="0.3">
      <c r="A2716" t="s">
        <v>3572</v>
      </c>
      <c r="B2716" s="2">
        <v>45570</v>
      </c>
      <c r="C2716" t="s">
        <v>137</v>
      </c>
      <c r="D2716" t="s">
        <v>786</v>
      </c>
      <c r="E2716" t="s">
        <v>839</v>
      </c>
      <c r="F2716">
        <v>1</v>
      </c>
      <c r="G2716">
        <v>0</v>
      </c>
      <c r="H2716" t="s">
        <v>855</v>
      </c>
      <c r="I2716" t="str">
        <f>VLOOKUP(C2716,Customers!A:C,2,FALSE)&amp;" "&amp;VLOOKUP(C2716,Customers!A:C,3,FALSE)</f>
        <v>Kimberly King</v>
      </c>
      <c r="J2716" t="str">
        <f>VLOOKUP(D2716,Products!A:C,2,FALSE)</f>
        <v>National Watches</v>
      </c>
      <c r="K2716" t="str">
        <f>VLOOKUP(D2716,Products!A:C,3,FALSE)</f>
        <v>Fashion</v>
      </c>
      <c r="L2716" t="str">
        <f>VLOOKUP(E2716,Stores!A:B,2,FALSE)</f>
        <v>MegaMart New Michele</v>
      </c>
      <c r="M2716">
        <f>VLOOKUP(D2716,Products!A:E,5,FALSE)</f>
        <v>29.24</v>
      </c>
      <c r="N2716" s="5">
        <f t="shared" si="42"/>
        <v>29.24</v>
      </c>
    </row>
    <row r="2717" spans="1:14" x14ac:dyDescent="0.3">
      <c r="A2717" t="s">
        <v>3573</v>
      </c>
      <c r="B2717" s="2">
        <v>45296</v>
      </c>
      <c r="C2717" t="s">
        <v>643</v>
      </c>
      <c r="D2717" t="s">
        <v>715</v>
      </c>
      <c r="E2717" t="s">
        <v>846</v>
      </c>
      <c r="F2717">
        <v>3</v>
      </c>
      <c r="G2717">
        <v>0.05</v>
      </c>
      <c r="H2717" t="s">
        <v>865</v>
      </c>
      <c r="I2717" t="str">
        <f>VLOOKUP(C2717,Customers!A:C,2,FALSE)&amp;" "&amp;VLOOKUP(C2717,Customers!A:C,3,FALSE)</f>
        <v>Meghan Wright</v>
      </c>
      <c r="J2717" t="str">
        <f>VLOOKUP(D2717,Products!A:C,2,FALSE)</f>
        <v>Audience Television</v>
      </c>
      <c r="K2717" t="str">
        <f>VLOOKUP(D2717,Products!A:C,3,FALSE)</f>
        <v>Electronics</v>
      </c>
      <c r="L2717" t="str">
        <f>VLOOKUP(E2717,Stores!A:B,2,FALSE)</f>
        <v>MegaMart Johnmouth</v>
      </c>
      <c r="M2717">
        <f>VLOOKUP(D2717,Products!A:E,5,FALSE)</f>
        <v>818.76</v>
      </c>
      <c r="N2717" s="5">
        <f t="shared" si="42"/>
        <v>2333.4659999999994</v>
      </c>
    </row>
    <row r="2718" spans="1:14" x14ac:dyDescent="0.3">
      <c r="A2718" t="s">
        <v>3574</v>
      </c>
      <c r="B2718" s="2">
        <v>45414</v>
      </c>
      <c r="C2718" t="s">
        <v>67</v>
      </c>
      <c r="D2718" t="s">
        <v>816</v>
      </c>
      <c r="E2718" t="s">
        <v>842</v>
      </c>
      <c r="F2718">
        <v>2</v>
      </c>
      <c r="G2718">
        <v>0.05</v>
      </c>
      <c r="H2718" t="s">
        <v>858</v>
      </c>
      <c r="I2718" t="str">
        <f>VLOOKUP(C2718,Customers!A:C,2,FALSE)&amp;" "&amp;VLOOKUP(C2718,Customers!A:C,3,FALSE)</f>
        <v>Miguel Johnson</v>
      </c>
      <c r="J2718" t="str">
        <f>VLOOKUP(D2718,Products!A:C,2,FALSE)</f>
        <v>Set Dairy</v>
      </c>
      <c r="K2718" t="str">
        <f>VLOOKUP(D2718,Products!A:C,3,FALSE)</f>
        <v>Groceries</v>
      </c>
      <c r="L2718" t="str">
        <f>VLOOKUP(E2718,Stores!A:B,2,FALSE)</f>
        <v>MegaMart Brianahaven</v>
      </c>
      <c r="M2718">
        <f>VLOOKUP(D2718,Products!A:E,5,FALSE)</f>
        <v>1879.08</v>
      </c>
      <c r="N2718" s="5">
        <f t="shared" si="42"/>
        <v>3570.2519999999995</v>
      </c>
    </row>
    <row r="2719" spans="1:14" x14ac:dyDescent="0.3">
      <c r="A2719" t="s">
        <v>3575</v>
      </c>
      <c r="B2719" s="2">
        <v>45775</v>
      </c>
      <c r="C2719" t="s">
        <v>163</v>
      </c>
      <c r="D2719" t="s">
        <v>774</v>
      </c>
      <c r="E2719" t="s">
        <v>835</v>
      </c>
      <c r="F2719">
        <v>4</v>
      </c>
      <c r="G2719">
        <v>0.05</v>
      </c>
      <c r="H2719" t="s">
        <v>858</v>
      </c>
      <c r="I2719" t="str">
        <f>VLOOKUP(C2719,Customers!A:C,2,FALSE)&amp;" "&amp;VLOOKUP(C2719,Customers!A:C,3,FALSE)</f>
        <v>Anna Andrews</v>
      </c>
      <c r="J2719" t="str">
        <f>VLOOKUP(D2719,Products!A:C,2,FALSE)</f>
        <v>Him Smartphone</v>
      </c>
      <c r="K2719" t="str">
        <f>VLOOKUP(D2719,Products!A:C,3,FALSE)</f>
        <v>Electronics</v>
      </c>
      <c r="L2719" t="str">
        <f>VLOOKUP(E2719,Stores!A:B,2,FALSE)</f>
        <v>MegaMart Peckmouth</v>
      </c>
      <c r="M2719">
        <f>VLOOKUP(D2719,Products!A:E,5,FALSE)</f>
        <v>1487.41</v>
      </c>
      <c r="N2719" s="5">
        <f t="shared" si="42"/>
        <v>5652.1580000000004</v>
      </c>
    </row>
    <row r="2720" spans="1:14" x14ac:dyDescent="0.3">
      <c r="A2720" t="s">
        <v>3576</v>
      </c>
      <c r="B2720" s="2">
        <v>45865</v>
      </c>
      <c r="C2720" t="s">
        <v>379</v>
      </c>
      <c r="D2720" t="s">
        <v>776</v>
      </c>
      <c r="E2720" t="s">
        <v>846</v>
      </c>
      <c r="F2720">
        <v>2</v>
      </c>
      <c r="G2720">
        <v>0.05</v>
      </c>
      <c r="H2720" t="s">
        <v>855</v>
      </c>
      <c r="I2720" t="str">
        <f>VLOOKUP(C2720,Customers!A:C,2,FALSE)&amp;" "&amp;VLOOKUP(C2720,Customers!A:C,3,FALSE)</f>
        <v>William Pope</v>
      </c>
      <c r="J2720" t="str">
        <f>VLOOKUP(D2720,Products!A:C,2,FALSE)</f>
        <v>Little Watches</v>
      </c>
      <c r="K2720" t="str">
        <f>VLOOKUP(D2720,Products!A:C,3,FALSE)</f>
        <v>Fashion</v>
      </c>
      <c r="L2720" t="str">
        <f>VLOOKUP(E2720,Stores!A:B,2,FALSE)</f>
        <v>MegaMart Johnmouth</v>
      </c>
      <c r="M2720">
        <f>VLOOKUP(D2720,Products!A:E,5,FALSE)</f>
        <v>429.15</v>
      </c>
      <c r="N2720" s="5">
        <f t="shared" si="42"/>
        <v>815.38499999999988</v>
      </c>
    </row>
    <row r="2721" spans="1:14" x14ac:dyDescent="0.3">
      <c r="A2721" t="s">
        <v>3577</v>
      </c>
      <c r="B2721" s="2">
        <v>45868</v>
      </c>
      <c r="C2721" t="s">
        <v>77</v>
      </c>
      <c r="D2721" t="s">
        <v>788</v>
      </c>
      <c r="E2721" t="s">
        <v>835</v>
      </c>
      <c r="F2721">
        <v>3</v>
      </c>
      <c r="G2721">
        <v>0.05</v>
      </c>
      <c r="H2721" t="s">
        <v>858</v>
      </c>
      <c r="I2721" t="str">
        <f>VLOOKUP(C2721,Customers!A:C,2,FALSE)&amp;" "&amp;VLOOKUP(C2721,Customers!A:C,3,FALSE)</f>
        <v>John Smith</v>
      </c>
      <c r="J2721" t="str">
        <f>VLOOKUP(D2721,Products!A:C,2,FALSE)</f>
        <v>Foot Snacks</v>
      </c>
      <c r="K2721" t="str">
        <f>VLOOKUP(D2721,Products!A:C,3,FALSE)</f>
        <v>Groceries</v>
      </c>
      <c r="L2721" t="str">
        <f>VLOOKUP(E2721,Stores!A:B,2,FALSE)</f>
        <v>MegaMart Peckmouth</v>
      </c>
      <c r="M2721">
        <f>VLOOKUP(D2721,Products!A:E,5,FALSE)</f>
        <v>1095.72</v>
      </c>
      <c r="N2721" s="5">
        <f t="shared" si="42"/>
        <v>3122.8019999999997</v>
      </c>
    </row>
    <row r="2722" spans="1:14" x14ac:dyDescent="0.3">
      <c r="A2722" t="s">
        <v>3578</v>
      </c>
      <c r="B2722" s="2">
        <v>45561</v>
      </c>
      <c r="C2722" t="s">
        <v>127</v>
      </c>
      <c r="D2722" t="s">
        <v>812</v>
      </c>
      <c r="E2722" t="s">
        <v>846</v>
      </c>
      <c r="F2722">
        <v>2</v>
      </c>
      <c r="G2722">
        <v>0.05</v>
      </c>
      <c r="H2722" t="s">
        <v>858</v>
      </c>
      <c r="I2722" t="str">
        <f>VLOOKUP(C2722,Customers!A:C,2,FALSE)&amp;" "&amp;VLOOKUP(C2722,Customers!A:C,3,FALSE)</f>
        <v>Valerie Macdonald</v>
      </c>
      <c r="J2722" t="str">
        <f>VLOOKUP(D2722,Products!A:C,2,FALSE)</f>
        <v>Soon Accessories</v>
      </c>
      <c r="K2722" t="str">
        <f>VLOOKUP(D2722,Products!A:C,3,FALSE)</f>
        <v>Fashion</v>
      </c>
      <c r="L2722" t="str">
        <f>VLOOKUP(E2722,Stores!A:B,2,FALSE)</f>
        <v>MegaMart Johnmouth</v>
      </c>
      <c r="M2722">
        <f>VLOOKUP(D2722,Products!A:E,5,FALSE)</f>
        <v>564.41999999999996</v>
      </c>
      <c r="N2722" s="5">
        <f t="shared" si="42"/>
        <v>1072.3979999999999</v>
      </c>
    </row>
    <row r="2723" spans="1:14" x14ac:dyDescent="0.3">
      <c r="A2723" t="s">
        <v>3579</v>
      </c>
      <c r="B2723" s="2">
        <v>45596</v>
      </c>
      <c r="C2723" t="s">
        <v>144</v>
      </c>
      <c r="D2723" t="s">
        <v>725</v>
      </c>
      <c r="E2723" t="s">
        <v>839</v>
      </c>
      <c r="F2723">
        <v>3</v>
      </c>
      <c r="G2723">
        <v>0</v>
      </c>
      <c r="H2723" t="s">
        <v>865</v>
      </c>
      <c r="I2723" t="str">
        <f>VLOOKUP(C2723,Customers!A:C,2,FALSE)&amp;" "&amp;VLOOKUP(C2723,Customers!A:C,3,FALSE)</f>
        <v>Miranda Nelson</v>
      </c>
      <c r="J2723" t="str">
        <f>VLOOKUP(D2723,Products!A:C,2,FALSE)</f>
        <v>Knowledge Bags</v>
      </c>
      <c r="K2723" t="str">
        <f>VLOOKUP(D2723,Products!A:C,3,FALSE)</f>
        <v>Fashion</v>
      </c>
      <c r="L2723" t="str">
        <f>VLOOKUP(E2723,Stores!A:B,2,FALSE)</f>
        <v>MegaMart New Michele</v>
      </c>
      <c r="M2723">
        <f>VLOOKUP(D2723,Products!A:E,5,FALSE)</f>
        <v>1396.22</v>
      </c>
      <c r="N2723" s="5">
        <f t="shared" si="42"/>
        <v>4188.66</v>
      </c>
    </row>
    <row r="2724" spans="1:14" x14ac:dyDescent="0.3">
      <c r="A2724" t="s">
        <v>3580</v>
      </c>
      <c r="B2724" s="2">
        <v>45896</v>
      </c>
      <c r="C2724" t="s">
        <v>491</v>
      </c>
      <c r="D2724" t="s">
        <v>728</v>
      </c>
      <c r="E2724" t="s">
        <v>839</v>
      </c>
      <c r="F2724">
        <v>5</v>
      </c>
      <c r="G2724">
        <v>0</v>
      </c>
      <c r="H2724" t="s">
        <v>858</v>
      </c>
      <c r="I2724" t="str">
        <f>VLOOKUP(C2724,Customers!A:C,2,FALSE)&amp;" "&amp;VLOOKUP(C2724,Customers!A:C,3,FALSE)</f>
        <v>Emily Hart</v>
      </c>
      <c r="J2724" t="str">
        <f>VLOOKUP(D2724,Products!A:C,2,FALSE)</f>
        <v>Company Fruits</v>
      </c>
      <c r="K2724" t="str">
        <f>VLOOKUP(D2724,Products!A:C,3,FALSE)</f>
        <v>Groceries</v>
      </c>
      <c r="L2724" t="str">
        <f>VLOOKUP(E2724,Stores!A:B,2,FALSE)</f>
        <v>MegaMart New Michele</v>
      </c>
      <c r="M2724">
        <f>VLOOKUP(D2724,Products!A:E,5,FALSE)</f>
        <v>318.05</v>
      </c>
      <c r="N2724" s="5">
        <f t="shared" si="42"/>
        <v>1590.25</v>
      </c>
    </row>
    <row r="2725" spans="1:14" x14ac:dyDescent="0.3">
      <c r="A2725" t="s">
        <v>3581</v>
      </c>
      <c r="B2725" s="2">
        <v>45907</v>
      </c>
      <c r="C2725" t="s">
        <v>230</v>
      </c>
      <c r="D2725" t="s">
        <v>725</v>
      </c>
      <c r="E2725" t="s">
        <v>842</v>
      </c>
      <c r="F2725">
        <v>3</v>
      </c>
      <c r="G2725">
        <v>0</v>
      </c>
      <c r="H2725" t="s">
        <v>858</v>
      </c>
      <c r="I2725" t="str">
        <f>VLOOKUP(C2725,Customers!A:C,2,FALSE)&amp;" "&amp;VLOOKUP(C2725,Customers!A:C,3,FALSE)</f>
        <v>Anthony Conway</v>
      </c>
      <c r="J2725" t="str">
        <f>VLOOKUP(D2725,Products!A:C,2,FALSE)</f>
        <v>Knowledge Bags</v>
      </c>
      <c r="K2725" t="str">
        <f>VLOOKUP(D2725,Products!A:C,3,FALSE)</f>
        <v>Fashion</v>
      </c>
      <c r="L2725" t="str">
        <f>VLOOKUP(E2725,Stores!A:B,2,FALSE)</f>
        <v>MegaMart Brianahaven</v>
      </c>
      <c r="M2725">
        <f>VLOOKUP(D2725,Products!A:E,5,FALSE)</f>
        <v>1396.22</v>
      </c>
      <c r="N2725" s="5">
        <f t="shared" si="42"/>
        <v>4188.66</v>
      </c>
    </row>
    <row r="2726" spans="1:14" x14ac:dyDescent="0.3">
      <c r="A2726" t="s">
        <v>3582</v>
      </c>
      <c r="B2726" s="2">
        <v>45511</v>
      </c>
      <c r="C2726" t="s">
        <v>155</v>
      </c>
      <c r="D2726" t="s">
        <v>802</v>
      </c>
      <c r="E2726" t="s">
        <v>831</v>
      </c>
      <c r="F2726">
        <v>3</v>
      </c>
      <c r="G2726">
        <v>0.1</v>
      </c>
      <c r="H2726" t="s">
        <v>865</v>
      </c>
      <c r="I2726" t="str">
        <f>VLOOKUP(C2726,Customers!A:C,2,FALSE)&amp;" "&amp;VLOOKUP(C2726,Customers!A:C,3,FALSE)</f>
        <v>Scott Powell</v>
      </c>
      <c r="J2726" t="str">
        <f>VLOOKUP(D2726,Products!A:C,2,FALSE)</f>
        <v>Stage Footwear</v>
      </c>
      <c r="K2726" t="str">
        <f>VLOOKUP(D2726,Products!A:C,3,FALSE)</f>
        <v>Fashion</v>
      </c>
      <c r="L2726" t="str">
        <f>VLOOKUP(E2726,Stores!A:B,2,FALSE)</f>
        <v>MegaMart Jimenezborough</v>
      </c>
      <c r="M2726">
        <f>VLOOKUP(D2726,Products!A:E,5,FALSE)</f>
        <v>366.93</v>
      </c>
      <c r="N2726" s="5">
        <f t="shared" si="42"/>
        <v>990.71100000000001</v>
      </c>
    </row>
    <row r="2727" spans="1:14" x14ac:dyDescent="0.3">
      <c r="A2727" t="s">
        <v>3583</v>
      </c>
      <c r="B2727" s="2">
        <v>45774</v>
      </c>
      <c r="C2727" t="s">
        <v>368</v>
      </c>
      <c r="D2727" t="s">
        <v>798</v>
      </c>
      <c r="E2727" t="s">
        <v>839</v>
      </c>
      <c r="F2727">
        <v>1</v>
      </c>
      <c r="G2727">
        <v>0.15</v>
      </c>
      <c r="H2727" t="s">
        <v>858</v>
      </c>
      <c r="I2727" t="str">
        <f>VLOOKUP(C2727,Customers!A:C,2,FALSE)&amp;" "&amp;VLOOKUP(C2727,Customers!A:C,3,FALSE)</f>
        <v>Lisa Vega</v>
      </c>
      <c r="J2727" t="str">
        <f>VLOOKUP(D2727,Products!A:C,2,FALSE)</f>
        <v>New Watches</v>
      </c>
      <c r="K2727" t="str">
        <f>VLOOKUP(D2727,Products!A:C,3,FALSE)</f>
        <v>Fashion</v>
      </c>
      <c r="L2727" t="str">
        <f>VLOOKUP(E2727,Stores!A:B,2,FALSE)</f>
        <v>MegaMart New Michele</v>
      </c>
      <c r="M2727">
        <f>VLOOKUP(D2727,Products!A:E,5,FALSE)</f>
        <v>1501.46</v>
      </c>
      <c r="N2727" s="5">
        <f t="shared" si="42"/>
        <v>1276.241</v>
      </c>
    </row>
    <row r="2728" spans="1:14" x14ac:dyDescent="0.3">
      <c r="A2728" t="s">
        <v>3584</v>
      </c>
      <c r="B2728" s="2">
        <v>45465</v>
      </c>
      <c r="C2728" t="s">
        <v>542</v>
      </c>
      <c r="D2728" t="s">
        <v>782</v>
      </c>
      <c r="E2728" t="s">
        <v>835</v>
      </c>
      <c r="F2728">
        <v>4</v>
      </c>
      <c r="G2728">
        <v>0.1</v>
      </c>
      <c r="H2728" t="s">
        <v>861</v>
      </c>
      <c r="I2728" t="str">
        <f>VLOOKUP(C2728,Customers!A:C,2,FALSE)&amp;" "&amp;VLOOKUP(C2728,Customers!A:C,3,FALSE)</f>
        <v>Francis Hernandez</v>
      </c>
      <c r="J2728" t="str">
        <f>VLOOKUP(D2728,Products!A:C,2,FALSE)</f>
        <v>Deal Smartphone</v>
      </c>
      <c r="K2728" t="str">
        <f>VLOOKUP(D2728,Products!A:C,3,FALSE)</f>
        <v>Electronics</v>
      </c>
      <c r="L2728" t="str">
        <f>VLOOKUP(E2728,Stores!A:B,2,FALSE)</f>
        <v>MegaMart Peckmouth</v>
      </c>
      <c r="M2728">
        <f>VLOOKUP(D2728,Products!A:E,5,FALSE)</f>
        <v>673.78</v>
      </c>
      <c r="N2728" s="5">
        <f t="shared" si="42"/>
        <v>2425.6080000000002</v>
      </c>
    </row>
    <row r="2729" spans="1:14" x14ac:dyDescent="0.3">
      <c r="A2729" t="s">
        <v>3585</v>
      </c>
      <c r="B2729" s="2">
        <v>45690</v>
      </c>
      <c r="C2729" t="s">
        <v>491</v>
      </c>
      <c r="D2729" t="s">
        <v>790</v>
      </c>
      <c r="E2729" t="s">
        <v>831</v>
      </c>
      <c r="F2729">
        <v>1</v>
      </c>
      <c r="G2729">
        <v>0.1</v>
      </c>
      <c r="H2729" t="s">
        <v>861</v>
      </c>
      <c r="I2729" t="str">
        <f>VLOOKUP(C2729,Customers!A:C,2,FALSE)&amp;" "&amp;VLOOKUP(C2729,Customers!A:C,3,FALSE)</f>
        <v>Emily Hart</v>
      </c>
      <c r="J2729" t="str">
        <f>VLOOKUP(D2729,Products!A:C,2,FALSE)</f>
        <v>Difficult Vegetables</v>
      </c>
      <c r="K2729" t="str">
        <f>VLOOKUP(D2729,Products!A:C,3,FALSE)</f>
        <v>Groceries</v>
      </c>
      <c r="L2729" t="str">
        <f>VLOOKUP(E2729,Stores!A:B,2,FALSE)</f>
        <v>MegaMart Jimenezborough</v>
      </c>
      <c r="M2729">
        <f>VLOOKUP(D2729,Products!A:E,5,FALSE)</f>
        <v>304.70999999999998</v>
      </c>
      <c r="N2729" s="5">
        <f t="shared" si="42"/>
        <v>274.23899999999998</v>
      </c>
    </row>
    <row r="2730" spans="1:14" x14ac:dyDescent="0.3">
      <c r="A2730" t="s">
        <v>3586</v>
      </c>
      <c r="B2730" s="2">
        <v>45889</v>
      </c>
      <c r="C2730" t="s">
        <v>608</v>
      </c>
      <c r="D2730" t="s">
        <v>745</v>
      </c>
      <c r="E2730" t="s">
        <v>842</v>
      </c>
      <c r="F2730">
        <v>4</v>
      </c>
      <c r="G2730">
        <v>0.15</v>
      </c>
      <c r="H2730" t="s">
        <v>865</v>
      </c>
      <c r="I2730" t="str">
        <f>VLOOKUP(C2730,Customers!A:C,2,FALSE)&amp;" "&amp;VLOOKUP(C2730,Customers!A:C,3,FALSE)</f>
        <v>Christina Dominguez</v>
      </c>
      <c r="J2730" t="str">
        <f>VLOOKUP(D2730,Products!A:C,2,FALSE)</f>
        <v>Above Camera</v>
      </c>
      <c r="K2730" t="str">
        <f>VLOOKUP(D2730,Products!A:C,3,FALSE)</f>
        <v>Electronics</v>
      </c>
      <c r="L2730" t="str">
        <f>VLOOKUP(E2730,Stores!A:B,2,FALSE)</f>
        <v>MegaMart Brianahaven</v>
      </c>
      <c r="M2730">
        <f>VLOOKUP(D2730,Products!A:E,5,FALSE)</f>
        <v>1193.0899999999999</v>
      </c>
      <c r="N2730" s="5">
        <f t="shared" si="42"/>
        <v>4056.5059999999994</v>
      </c>
    </row>
    <row r="2731" spans="1:14" x14ac:dyDescent="0.3">
      <c r="A2731" t="s">
        <v>3587</v>
      </c>
      <c r="B2731" s="2">
        <v>45691</v>
      </c>
      <c r="C2731" t="s">
        <v>585</v>
      </c>
      <c r="D2731" t="s">
        <v>802</v>
      </c>
      <c r="E2731" t="s">
        <v>831</v>
      </c>
      <c r="F2731">
        <v>3</v>
      </c>
      <c r="G2731">
        <v>0.1</v>
      </c>
      <c r="H2731" t="s">
        <v>855</v>
      </c>
      <c r="I2731" t="str">
        <f>VLOOKUP(C2731,Customers!A:C,2,FALSE)&amp;" "&amp;VLOOKUP(C2731,Customers!A:C,3,FALSE)</f>
        <v>Linda Vasquez</v>
      </c>
      <c r="J2731" t="str">
        <f>VLOOKUP(D2731,Products!A:C,2,FALSE)</f>
        <v>Stage Footwear</v>
      </c>
      <c r="K2731" t="str">
        <f>VLOOKUP(D2731,Products!A:C,3,FALSE)</f>
        <v>Fashion</v>
      </c>
      <c r="L2731" t="str">
        <f>VLOOKUP(E2731,Stores!A:B,2,FALSE)</f>
        <v>MegaMart Jimenezborough</v>
      </c>
      <c r="M2731">
        <f>VLOOKUP(D2731,Products!A:E,5,FALSE)</f>
        <v>366.93</v>
      </c>
      <c r="N2731" s="5">
        <f t="shared" si="42"/>
        <v>990.71100000000001</v>
      </c>
    </row>
    <row r="2732" spans="1:14" x14ac:dyDescent="0.3">
      <c r="A2732" t="s">
        <v>3588</v>
      </c>
      <c r="B2732" s="2">
        <v>45544</v>
      </c>
      <c r="C2732" t="s">
        <v>585</v>
      </c>
      <c r="D2732" t="s">
        <v>732</v>
      </c>
      <c r="E2732" t="s">
        <v>846</v>
      </c>
      <c r="F2732">
        <v>3</v>
      </c>
      <c r="G2732">
        <v>0.15</v>
      </c>
      <c r="H2732" t="s">
        <v>855</v>
      </c>
      <c r="I2732" t="str">
        <f>VLOOKUP(C2732,Customers!A:C,2,FALSE)&amp;" "&amp;VLOOKUP(C2732,Customers!A:C,3,FALSE)</f>
        <v>Linda Vasquez</v>
      </c>
      <c r="J2732" t="str">
        <f>VLOOKUP(D2732,Products!A:C,2,FALSE)</f>
        <v>Understand Camera</v>
      </c>
      <c r="K2732" t="str">
        <f>VLOOKUP(D2732,Products!A:C,3,FALSE)</f>
        <v>Electronics</v>
      </c>
      <c r="L2732" t="str">
        <f>VLOOKUP(E2732,Stores!A:B,2,FALSE)</f>
        <v>MegaMart Johnmouth</v>
      </c>
      <c r="M2732">
        <f>VLOOKUP(D2732,Products!A:E,5,FALSE)</f>
        <v>1474.12</v>
      </c>
      <c r="N2732" s="5">
        <f t="shared" si="42"/>
        <v>3759.0059999999994</v>
      </c>
    </row>
    <row r="2733" spans="1:14" x14ac:dyDescent="0.3">
      <c r="A2733" t="s">
        <v>3589</v>
      </c>
      <c r="B2733" s="2">
        <v>45444</v>
      </c>
      <c r="C2733" t="s">
        <v>347</v>
      </c>
      <c r="D2733" t="s">
        <v>732</v>
      </c>
      <c r="E2733" t="s">
        <v>831</v>
      </c>
      <c r="F2733">
        <v>1</v>
      </c>
      <c r="G2733">
        <v>0</v>
      </c>
      <c r="H2733" t="s">
        <v>858</v>
      </c>
      <c r="I2733" t="str">
        <f>VLOOKUP(C2733,Customers!A:C,2,FALSE)&amp;" "&amp;VLOOKUP(C2733,Customers!A:C,3,FALSE)</f>
        <v>Lindsey Holder</v>
      </c>
      <c r="J2733" t="str">
        <f>VLOOKUP(D2733,Products!A:C,2,FALSE)</f>
        <v>Understand Camera</v>
      </c>
      <c r="K2733" t="str">
        <f>VLOOKUP(D2733,Products!A:C,3,FALSE)</f>
        <v>Electronics</v>
      </c>
      <c r="L2733" t="str">
        <f>VLOOKUP(E2733,Stores!A:B,2,FALSE)</f>
        <v>MegaMart Jimenezborough</v>
      </c>
      <c r="M2733">
        <f>VLOOKUP(D2733,Products!A:E,5,FALSE)</f>
        <v>1474.12</v>
      </c>
      <c r="N2733" s="5">
        <f t="shared" si="42"/>
        <v>1474.12</v>
      </c>
    </row>
    <row r="2734" spans="1:14" x14ac:dyDescent="0.3">
      <c r="A2734" t="s">
        <v>3590</v>
      </c>
      <c r="B2734" s="2">
        <v>45444</v>
      </c>
      <c r="C2734" t="s">
        <v>241</v>
      </c>
      <c r="D2734" t="s">
        <v>745</v>
      </c>
      <c r="E2734" t="s">
        <v>846</v>
      </c>
      <c r="F2734">
        <v>4</v>
      </c>
      <c r="G2734">
        <v>0.05</v>
      </c>
      <c r="H2734" t="s">
        <v>858</v>
      </c>
      <c r="I2734" t="str">
        <f>VLOOKUP(C2734,Customers!A:C,2,FALSE)&amp;" "&amp;VLOOKUP(C2734,Customers!A:C,3,FALSE)</f>
        <v>Michael Johnson</v>
      </c>
      <c r="J2734" t="str">
        <f>VLOOKUP(D2734,Products!A:C,2,FALSE)</f>
        <v>Above Camera</v>
      </c>
      <c r="K2734" t="str">
        <f>VLOOKUP(D2734,Products!A:C,3,FALSE)</f>
        <v>Electronics</v>
      </c>
      <c r="L2734" t="str">
        <f>VLOOKUP(E2734,Stores!A:B,2,FALSE)</f>
        <v>MegaMart Johnmouth</v>
      </c>
      <c r="M2734">
        <f>VLOOKUP(D2734,Products!A:E,5,FALSE)</f>
        <v>1193.0899999999999</v>
      </c>
      <c r="N2734" s="5">
        <f t="shared" si="42"/>
        <v>4533.7419999999993</v>
      </c>
    </row>
    <row r="2735" spans="1:14" x14ac:dyDescent="0.3">
      <c r="A2735" t="s">
        <v>3591</v>
      </c>
      <c r="B2735" s="2">
        <v>45741</v>
      </c>
      <c r="C2735" t="s">
        <v>608</v>
      </c>
      <c r="D2735" t="s">
        <v>816</v>
      </c>
      <c r="E2735" t="s">
        <v>839</v>
      </c>
      <c r="F2735">
        <v>1</v>
      </c>
      <c r="G2735">
        <v>0.15</v>
      </c>
      <c r="H2735" t="s">
        <v>858</v>
      </c>
      <c r="I2735" t="str">
        <f>VLOOKUP(C2735,Customers!A:C,2,FALSE)&amp;" "&amp;VLOOKUP(C2735,Customers!A:C,3,FALSE)</f>
        <v>Christina Dominguez</v>
      </c>
      <c r="J2735" t="str">
        <f>VLOOKUP(D2735,Products!A:C,2,FALSE)</f>
        <v>Set Dairy</v>
      </c>
      <c r="K2735" t="str">
        <f>VLOOKUP(D2735,Products!A:C,3,FALSE)</f>
        <v>Groceries</v>
      </c>
      <c r="L2735" t="str">
        <f>VLOOKUP(E2735,Stores!A:B,2,FALSE)</f>
        <v>MegaMart New Michele</v>
      </c>
      <c r="M2735">
        <f>VLOOKUP(D2735,Products!A:E,5,FALSE)</f>
        <v>1879.08</v>
      </c>
      <c r="N2735" s="5">
        <f t="shared" si="42"/>
        <v>1597.2179999999998</v>
      </c>
    </row>
    <row r="2736" spans="1:14" x14ac:dyDescent="0.3">
      <c r="A2736" t="s">
        <v>3592</v>
      </c>
      <c r="B2736" s="2">
        <v>45483</v>
      </c>
      <c r="C2736" t="s">
        <v>560</v>
      </c>
      <c r="D2736" t="s">
        <v>788</v>
      </c>
      <c r="E2736" t="s">
        <v>846</v>
      </c>
      <c r="F2736">
        <v>4</v>
      </c>
      <c r="G2736">
        <v>0</v>
      </c>
      <c r="H2736" t="s">
        <v>865</v>
      </c>
      <c r="I2736" t="str">
        <f>VLOOKUP(C2736,Customers!A:C,2,FALSE)&amp;" "&amp;VLOOKUP(C2736,Customers!A:C,3,FALSE)</f>
        <v>George Young</v>
      </c>
      <c r="J2736" t="str">
        <f>VLOOKUP(D2736,Products!A:C,2,FALSE)</f>
        <v>Foot Snacks</v>
      </c>
      <c r="K2736" t="str">
        <f>VLOOKUP(D2736,Products!A:C,3,FALSE)</f>
        <v>Groceries</v>
      </c>
      <c r="L2736" t="str">
        <f>VLOOKUP(E2736,Stores!A:B,2,FALSE)</f>
        <v>MegaMart Johnmouth</v>
      </c>
      <c r="M2736">
        <f>VLOOKUP(D2736,Products!A:E,5,FALSE)</f>
        <v>1095.72</v>
      </c>
      <c r="N2736" s="5">
        <f t="shared" si="42"/>
        <v>4382.88</v>
      </c>
    </row>
    <row r="2737" spans="1:14" x14ac:dyDescent="0.3">
      <c r="A2737" t="s">
        <v>3593</v>
      </c>
      <c r="B2737" s="2">
        <v>45183</v>
      </c>
      <c r="C2737" t="s">
        <v>549</v>
      </c>
      <c r="D2737" t="s">
        <v>739</v>
      </c>
      <c r="E2737" t="s">
        <v>831</v>
      </c>
      <c r="F2737">
        <v>5</v>
      </c>
      <c r="G2737">
        <v>0</v>
      </c>
      <c r="H2737" t="s">
        <v>865</v>
      </c>
      <c r="I2737" t="str">
        <f>VLOOKUP(C2737,Customers!A:C,2,FALSE)&amp;" "&amp;VLOOKUP(C2737,Customers!A:C,3,FALSE)</f>
        <v>Brittany Green</v>
      </c>
      <c r="J2737" t="str">
        <f>VLOOKUP(D2737,Products!A:C,2,FALSE)</f>
        <v>Step Smartphone</v>
      </c>
      <c r="K2737" t="str">
        <f>VLOOKUP(D2737,Products!A:C,3,FALSE)</f>
        <v>Electronics</v>
      </c>
      <c r="L2737" t="str">
        <f>VLOOKUP(E2737,Stores!A:B,2,FALSE)</f>
        <v>MegaMart Jimenezborough</v>
      </c>
      <c r="M2737">
        <f>VLOOKUP(D2737,Products!A:E,5,FALSE)</f>
        <v>1194.1199999999999</v>
      </c>
      <c r="N2737" s="5">
        <f t="shared" si="42"/>
        <v>5970.5999999999995</v>
      </c>
    </row>
    <row r="2738" spans="1:14" x14ac:dyDescent="0.3">
      <c r="A2738" t="s">
        <v>3594</v>
      </c>
      <c r="B2738" s="2">
        <v>45324</v>
      </c>
      <c r="C2738" t="s">
        <v>690</v>
      </c>
      <c r="D2738" t="s">
        <v>780</v>
      </c>
      <c r="E2738" t="s">
        <v>835</v>
      </c>
      <c r="F2738">
        <v>3</v>
      </c>
      <c r="G2738">
        <v>0.15</v>
      </c>
      <c r="H2738" t="s">
        <v>858</v>
      </c>
      <c r="I2738" t="str">
        <f>VLOOKUP(C2738,Customers!A:C,2,FALSE)&amp;" "&amp;VLOOKUP(C2738,Customers!A:C,3,FALSE)</f>
        <v>James Noble</v>
      </c>
      <c r="J2738" t="str">
        <f>VLOOKUP(D2738,Products!A:C,2,FALSE)</f>
        <v>Hospital Smartphone</v>
      </c>
      <c r="K2738" t="str">
        <f>VLOOKUP(D2738,Products!A:C,3,FALSE)</f>
        <v>Electronics</v>
      </c>
      <c r="L2738" t="str">
        <f>VLOOKUP(E2738,Stores!A:B,2,FALSE)</f>
        <v>MegaMart Peckmouth</v>
      </c>
      <c r="M2738">
        <f>VLOOKUP(D2738,Products!A:E,5,FALSE)</f>
        <v>1272.23</v>
      </c>
      <c r="N2738" s="5">
        <f t="shared" si="42"/>
        <v>3244.1864999999998</v>
      </c>
    </row>
    <row r="2739" spans="1:14" x14ac:dyDescent="0.3">
      <c r="A2739" t="s">
        <v>3595</v>
      </c>
      <c r="B2739" s="2">
        <v>45383</v>
      </c>
      <c r="C2739" t="s">
        <v>650</v>
      </c>
      <c r="D2739" t="s">
        <v>820</v>
      </c>
      <c r="E2739" t="s">
        <v>831</v>
      </c>
      <c r="F2739">
        <v>3</v>
      </c>
      <c r="G2739">
        <v>0.15</v>
      </c>
      <c r="H2739" t="s">
        <v>858</v>
      </c>
      <c r="I2739" t="str">
        <f>VLOOKUP(C2739,Customers!A:C,2,FALSE)&amp;" "&amp;VLOOKUP(C2739,Customers!A:C,3,FALSE)</f>
        <v>Daniel Mcintyre</v>
      </c>
      <c r="J2739" t="str">
        <f>VLOOKUP(D2739,Products!A:C,2,FALSE)</f>
        <v>Or Smartphone</v>
      </c>
      <c r="K2739" t="str">
        <f>VLOOKUP(D2739,Products!A:C,3,FALSE)</f>
        <v>Electronics</v>
      </c>
      <c r="L2739" t="str">
        <f>VLOOKUP(E2739,Stores!A:B,2,FALSE)</f>
        <v>MegaMart Jimenezborough</v>
      </c>
      <c r="M2739">
        <f>VLOOKUP(D2739,Products!A:E,5,FALSE)</f>
        <v>1197.18</v>
      </c>
      <c r="N2739" s="5">
        <f t="shared" si="42"/>
        <v>3052.8089999999997</v>
      </c>
    </row>
    <row r="2740" spans="1:14" x14ac:dyDescent="0.3">
      <c r="A2740" t="s">
        <v>3596</v>
      </c>
      <c r="B2740" s="2">
        <v>45264</v>
      </c>
      <c r="C2740" t="s">
        <v>533</v>
      </c>
      <c r="D2740" t="s">
        <v>794</v>
      </c>
      <c r="E2740" t="s">
        <v>846</v>
      </c>
      <c r="F2740">
        <v>1</v>
      </c>
      <c r="G2740">
        <v>0.15</v>
      </c>
      <c r="H2740" t="s">
        <v>858</v>
      </c>
      <c r="I2740" t="str">
        <f>VLOOKUP(C2740,Customers!A:C,2,FALSE)&amp;" "&amp;VLOOKUP(C2740,Customers!A:C,3,FALSE)</f>
        <v>Crystal Garrison</v>
      </c>
      <c r="J2740" t="str">
        <f>VLOOKUP(D2740,Products!A:C,2,FALSE)</f>
        <v>Everything Laptop</v>
      </c>
      <c r="K2740" t="str">
        <f>VLOOKUP(D2740,Products!A:C,3,FALSE)</f>
        <v>Electronics</v>
      </c>
      <c r="L2740" t="str">
        <f>VLOOKUP(E2740,Stores!A:B,2,FALSE)</f>
        <v>MegaMart Johnmouth</v>
      </c>
      <c r="M2740">
        <f>VLOOKUP(D2740,Products!A:E,5,FALSE)</f>
        <v>428.05</v>
      </c>
      <c r="N2740" s="5">
        <f t="shared" si="42"/>
        <v>363.84249999999997</v>
      </c>
    </row>
    <row r="2741" spans="1:14" x14ac:dyDescent="0.3">
      <c r="A2741" t="s">
        <v>3597</v>
      </c>
      <c r="B2741" s="2">
        <v>45342</v>
      </c>
      <c r="C2741" t="s">
        <v>612</v>
      </c>
      <c r="D2741" t="s">
        <v>739</v>
      </c>
      <c r="E2741" t="s">
        <v>831</v>
      </c>
      <c r="F2741">
        <v>2</v>
      </c>
      <c r="G2741">
        <v>0.05</v>
      </c>
      <c r="H2741" t="s">
        <v>865</v>
      </c>
      <c r="I2741" t="str">
        <f>VLOOKUP(C2741,Customers!A:C,2,FALSE)&amp;" "&amp;VLOOKUP(C2741,Customers!A:C,3,FALSE)</f>
        <v>Michelle Smith</v>
      </c>
      <c r="J2741" t="str">
        <f>VLOOKUP(D2741,Products!A:C,2,FALSE)</f>
        <v>Step Smartphone</v>
      </c>
      <c r="K2741" t="str">
        <f>VLOOKUP(D2741,Products!A:C,3,FALSE)</f>
        <v>Electronics</v>
      </c>
      <c r="L2741" t="str">
        <f>VLOOKUP(E2741,Stores!A:B,2,FALSE)</f>
        <v>MegaMart Jimenezborough</v>
      </c>
      <c r="M2741">
        <f>VLOOKUP(D2741,Products!A:E,5,FALSE)</f>
        <v>1194.1199999999999</v>
      </c>
      <c r="N2741" s="5">
        <f t="shared" si="42"/>
        <v>2268.8279999999995</v>
      </c>
    </row>
    <row r="2742" spans="1:14" x14ac:dyDescent="0.3">
      <c r="A2742" t="s">
        <v>3598</v>
      </c>
      <c r="B2742" s="2">
        <v>45533</v>
      </c>
      <c r="C2742" t="s">
        <v>579</v>
      </c>
      <c r="D2742" t="s">
        <v>816</v>
      </c>
      <c r="E2742" t="s">
        <v>839</v>
      </c>
      <c r="F2742">
        <v>1</v>
      </c>
      <c r="G2742">
        <v>0.1</v>
      </c>
      <c r="H2742" t="s">
        <v>858</v>
      </c>
      <c r="I2742" t="str">
        <f>VLOOKUP(C2742,Customers!A:C,2,FALSE)&amp;" "&amp;VLOOKUP(C2742,Customers!A:C,3,FALSE)</f>
        <v>Jill Roach</v>
      </c>
      <c r="J2742" t="str">
        <f>VLOOKUP(D2742,Products!A:C,2,FALSE)</f>
        <v>Set Dairy</v>
      </c>
      <c r="K2742" t="str">
        <f>VLOOKUP(D2742,Products!A:C,3,FALSE)</f>
        <v>Groceries</v>
      </c>
      <c r="L2742" t="str">
        <f>VLOOKUP(E2742,Stores!A:B,2,FALSE)</f>
        <v>MegaMart New Michele</v>
      </c>
      <c r="M2742">
        <f>VLOOKUP(D2742,Products!A:E,5,FALSE)</f>
        <v>1879.08</v>
      </c>
      <c r="N2742" s="5">
        <f t="shared" si="42"/>
        <v>1691.172</v>
      </c>
    </row>
    <row r="2743" spans="1:14" x14ac:dyDescent="0.3">
      <c r="A2743" t="s">
        <v>3599</v>
      </c>
      <c r="B2743" s="2">
        <v>45812</v>
      </c>
      <c r="C2743" t="s">
        <v>36</v>
      </c>
      <c r="D2743" t="s">
        <v>776</v>
      </c>
      <c r="E2743" t="s">
        <v>842</v>
      </c>
      <c r="F2743">
        <v>3</v>
      </c>
      <c r="G2743">
        <v>0.1</v>
      </c>
      <c r="H2743" t="s">
        <v>855</v>
      </c>
      <c r="I2743" t="str">
        <f>VLOOKUP(C2743,Customers!A:C,2,FALSE)&amp;" "&amp;VLOOKUP(C2743,Customers!A:C,3,FALSE)</f>
        <v>Isaiah Williams</v>
      </c>
      <c r="J2743" t="str">
        <f>VLOOKUP(D2743,Products!A:C,2,FALSE)</f>
        <v>Little Watches</v>
      </c>
      <c r="K2743" t="str">
        <f>VLOOKUP(D2743,Products!A:C,3,FALSE)</f>
        <v>Fashion</v>
      </c>
      <c r="L2743" t="str">
        <f>VLOOKUP(E2743,Stores!A:B,2,FALSE)</f>
        <v>MegaMart Brianahaven</v>
      </c>
      <c r="M2743">
        <f>VLOOKUP(D2743,Products!A:E,5,FALSE)</f>
        <v>429.15</v>
      </c>
      <c r="N2743" s="5">
        <f t="shared" si="42"/>
        <v>1158.7049999999999</v>
      </c>
    </row>
    <row r="2744" spans="1:14" x14ac:dyDescent="0.3">
      <c r="A2744" t="s">
        <v>3600</v>
      </c>
      <c r="B2744" s="2">
        <v>45654</v>
      </c>
      <c r="C2744" t="s">
        <v>343</v>
      </c>
      <c r="D2744" t="s">
        <v>769</v>
      </c>
      <c r="E2744" t="s">
        <v>835</v>
      </c>
      <c r="F2744">
        <v>3</v>
      </c>
      <c r="G2744">
        <v>0.15</v>
      </c>
      <c r="H2744" t="s">
        <v>865</v>
      </c>
      <c r="I2744" t="str">
        <f>VLOOKUP(C2744,Customers!A:C,2,FALSE)&amp;" "&amp;VLOOKUP(C2744,Customers!A:C,3,FALSE)</f>
        <v>Brian Fowler</v>
      </c>
      <c r="J2744" t="str">
        <f>VLOOKUP(D2744,Products!A:C,2,FALSE)</f>
        <v>How Vegetables</v>
      </c>
      <c r="K2744" t="str">
        <f>VLOOKUP(D2744,Products!A:C,3,FALSE)</f>
        <v>Groceries</v>
      </c>
      <c r="L2744" t="str">
        <f>VLOOKUP(E2744,Stores!A:B,2,FALSE)</f>
        <v>MegaMart Peckmouth</v>
      </c>
      <c r="M2744">
        <f>VLOOKUP(D2744,Products!A:E,5,FALSE)</f>
        <v>25.57</v>
      </c>
      <c r="N2744" s="5">
        <f t="shared" si="42"/>
        <v>65.203500000000005</v>
      </c>
    </row>
    <row r="2745" spans="1:14" x14ac:dyDescent="0.3">
      <c r="A2745" t="s">
        <v>3601</v>
      </c>
      <c r="B2745" s="2">
        <v>45344</v>
      </c>
      <c r="C2745" t="s">
        <v>317</v>
      </c>
      <c r="D2745" t="s">
        <v>757</v>
      </c>
      <c r="E2745" t="s">
        <v>842</v>
      </c>
      <c r="F2745">
        <v>3</v>
      </c>
      <c r="G2745">
        <v>0.05</v>
      </c>
      <c r="H2745" t="s">
        <v>861</v>
      </c>
      <c r="I2745" t="str">
        <f>VLOOKUP(C2745,Customers!A:C,2,FALSE)&amp;" "&amp;VLOOKUP(C2745,Customers!A:C,3,FALSE)</f>
        <v>Amanda Lee</v>
      </c>
      <c r="J2745" t="str">
        <f>VLOOKUP(D2745,Products!A:C,2,FALSE)</f>
        <v>Find Headphones</v>
      </c>
      <c r="K2745" t="str">
        <f>VLOOKUP(D2745,Products!A:C,3,FALSE)</f>
        <v>Electronics</v>
      </c>
      <c r="L2745" t="str">
        <f>VLOOKUP(E2745,Stores!A:B,2,FALSE)</f>
        <v>MegaMart Brianahaven</v>
      </c>
      <c r="M2745">
        <f>VLOOKUP(D2745,Products!A:E,5,FALSE)</f>
        <v>1246.1099999999999</v>
      </c>
      <c r="N2745" s="5">
        <f t="shared" si="42"/>
        <v>3551.4134999999997</v>
      </c>
    </row>
    <row r="2746" spans="1:14" x14ac:dyDescent="0.3">
      <c r="A2746" t="s">
        <v>3602</v>
      </c>
      <c r="B2746" s="2">
        <v>45868</v>
      </c>
      <c r="C2746" t="s">
        <v>520</v>
      </c>
      <c r="D2746" t="s">
        <v>711</v>
      </c>
      <c r="E2746" t="s">
        <v>846</v>
      </c>
      <c r="F2746">
        <v>3</v>
      </c>
      <c r="G2746">
        <v>0.15</v>
      </c>
      <c r="H2746" t="s">
        <v>855</v>
      </c>
      <c r="I2746" t="str">
        <f>VLOOKUP(C2746,Customers!A:C,2,FALSE)&amp;" "&amp;VLOOKUP(C2746,Customers!A:C,3,FALSE)</f>
        <v>Cynthia Carlson</v>
      </c>
      <c r="J2746" t="str">
        <f>VLOOKUP(D2746,Products!A:C,2,FALSE)</f>
        <v>Like Camera</v>
      </c>
      <c r="K2746" t="str">
        <f>VLOOKUP(D2746,Products!A:C,3,FALSE)</f>
        <v>Electronics</v>
      </c>
      <c r="L2746" t="str">
        <f>VLOOKUP(E2746,Stores!A:B,2,FALSE)</f>
        <v>MegaMart Johnmouth</v>
      </c>
      <c r="M2746">
        <f>VLOOKUP(D2746,Products!A:E,5,FALSE)</f>
        <v>1673.69</v>
      </c>
      <c r="N2746" s="5">
        <f t="shared" si="42"/>
        <v>4267.9094999999998</v>
      </c>
    </row>
    <row r="2747" spans="1:14" x14ac:dyDescent="0.3">
      <c r="A2747" t="s">
        <v>3603</v>
      </c>
      <c r="B2747" s="2">
        <v>45568</v>
      </c>
      <c r="C2747" t="s">
        <v>702</v>
      </c>
      <c r="D2747" t="s">
        <v>711</v>
      </c>
      <c r="E2747" t="s">
        <v>835</v>
      </c>
      <c r="F2747">
        <v>4</v>
      </c>
      <c r="G2747">
        <v>0</v>
      </c>
      <c r="H2747" t="s">
        <v>855</v>
      </c>
      <c r="I2747" t="str">
        <f>VLOOKUP(C2747,Customers!A:C,2,FALSE)&amp;" "&amp;VLOOKUP(C2747,Customers!A:C,3,FALSE)</f>
        <v>Ronald Haley</v>
      </c>
      <c r="J2747" t="str">
        <f>VLOOKUP(D2747,Products!A:C,2,FALSE)</f>
        <v>Like Camera</v>
      </c>
      <c r="K2747" t="str">
        <f>VLOOKUP(D2747,Products!A:C,3,FALSE)</f>
        <v>Electronics</v>
      </c>
      <c r="L2747" t="str">
        <f>VLOOKUP(E2747,Stores!A:B,2,FALSE)</f>
        <v>MegaMart Peckmouth</v>
      </c>
      <c r="M2747">
        <f>VLOOKUP(D2747,Products!A:E,5,FALSE)</f>
        <v>1673.69</v>
      </c>
      <c r="N2747" s="5">
        <f t="shared" si="42"/>
        <v>6694.76</v>
      </c>
    </row>
    <row r="2748" spans="1:14" x14ac:dyDescent="0.3">
      <c r="A2748" t="s">
        <v>3604</v>
      </c>
      <c r="B2748" s="2">
        <v>45313</v>
      </c>
      <c r="C2748" t="s">
        <v>343</v>
      </c>
      <c r="D2748" t="s">
        <v>800</v>
      </c>
      <c r="E2748" t="s">
        <v>846</v>
      </c>
      <c r="F2748">
        <v>5</v>
      </c>
      <c r="G2748">
        <v>0.05</v>
      </c>
      <c r="H2748" t="s">
        <v>855</v>
      </c>
      <c r="I2748" t="str">
        <f>VLOOKUP(C2748,Customers!A:C,2,FALSE)&amp;" "&amp;VLOOKUP(C2748,Customers!A:C,3,FALSE)</f>
        <v>Brian Fowler</v>
      </c>
      <c r="J2748" t="str">
        <f>VLOOKUP(D2748,Products!A:C,2,FALSE)</f>
        <v>Book Television</v>
      </c>
      <c r="K2748" t="str">
        <f>VLOOKUP(D2748,Products!A:C,3,FALSE)</f>
        <v>Electronics</v>
      </c>
      <c r="L2748" t="str">
        <f>VLOOKUP(E2748,Stores!A:B,2,FALSE)</f>
        <v>MegaMart Johnmouth</v>
      </c>
      <c r="M2748">
        <f>VLOOKUP(D2748,Products!A:E,5,FALSE)</f>
        <v>1952.65</v>
      </c>
      <c r="N2748" s="5">
        <f t="shared" si="42"/>
        <v>9275.0874999999996</v>
      </c>
    </row>
    <row r="2749" spans="1:14" x14ac:dyDescent="0.3">
      <c r="A2749" t="s">
        <v>3605</v>
      </c>
      <c r="B2749" s="2">
        <v>45697</v>
      </c>
      <c r="C2749" t="s">
        <v>298</v>
      </c>
      <c r="D2749" t="s">
        <v>772</v>
      </c>
      <c r="E2749" t="s">
        <v>831</v>
      </c>
      <c r="F2749">
        <v>1</v>
      </c>
      <c r="G2749">
        <v>0.15</v>
      </c>
      <c r="H2749" t="s">
        <v>855</v>
      </c>
      <c r="I2749" t="str">
        <f>VLOOKUP(C2749,Customers!A:C,2,FALSE)&amp;" "&amp;VLOOKUP(C2749,Customers!A:C,3,FALSE)</f>
        <v>Donald Marsh</v>
      </c>
      <c r="J2749" t="str">
        <f>VLOOKUP(D2749,Products!A:C,2,FALSE)</f>
        <v>And Footwear</v>
      </c>
      <c r="K2749" t="str">
        <f>VLOOKUP(D2749,Products!A:C,3,FALSE)</f>
        <v>Fashion</v>
      </c>
      <c r="L2749" t="str">
        <f>VLOOKUP(E2749,Stores!A:B,2,FALSE)</f>
        <v>MegaMart Jimenezborough</v>
      </c>
      <c r="M2749">
        <f>VLOOKUP(D2749,Products!A:E,5,FALSE)</f>
        <v>1878.47</v>
      </c>
      <c r="N2749" s="5">
        <f t="shared" si="42"/>
        <v>1596.6994999999999</v>
      </c>
    </row>
    <row r="2750" spans="1:14" x14ac:dyDescent="0.3">
      <c r="A2750" t="s">
        <v>3606</v>
      </c>
      <c r="B2750" s="2">
        <v>45531</v>
      </c>
      <c r="C2750" t="s">
        <v>574</v>
      </c>
      <c r="D2750" t="s">
        <v>782</v>
      </c>
      <c r="E2750" t="s">
        <v>842</v>
      </c>
      <c r="F2750">
        <v>2</v>
      </c>
      <c r="G2750">
        <v>0.15</v>
      </c>
      <c r="H2750" t="s">
        <v>861</v>
      </c>
      <c r="I2750" t="str">
        <f>VLOOKUP(C2750,Customers!A:C,2,FALSE)&amp;" "&amp;VLOOKUP(C2750,Customers!A:C,3,FALSE)</f>
        <v>Meagan Macdonald</v>
      </c>
      <c r="J2750" t="str">
        <f>VLOOKUP(D2750,Products!A:C,2,FALSE)</f>
        <v>Deal Smartphone</v>
      </c>
      <c r="K2750" t="str">
        <f>VLOOKUP(D2750,Products!A:C,3,FALSE)</f>
        <v>Electronics</v>
      </c>
      <c r="L2750" t="str">
        <f>VLOOKUP(E2750,Stores!A:B,2,FALSE)</f>
        <v>MegaMart Brianahaven</v>
      </c>
      <c r="M2750">
        <f>VLOOKUP(D2750,Products!A:E,5,FALSE)</f>
        <v>673.78</v>
      </c>
      <c r="N2750" s="5">
        <f t="shared" si="42"/>
        <v>1145.4259999999999</v>
      </c>
    </row>
    <row r="2751" spans="1:14" x14ac:dyDescent="0.3">
      <c r="A2751" t="s">
        <v>3607</v>
      </c>
      <c r="B2751" s="2">
        <v>45305</v>
      </c>
      <c r="C2751" t="s">
        <v>258</v>
      </c>
      <c r="D2751" t="s">
        <v>808</v>
      </c>
      <c r="E2751" t="s">
        <v>842</v>
      </c>
      <c r="F2751">
        <v>3</v>
      </c>
      <c r="G2751">
        <v>0.1</v>
      </c>
      <c r="H2751" t="s">
        <v>858</v>
      </c>
      <c r="I2751" t="str">
        <f>VLOOKUP(C2751,Customers!A:C,2,FALSE)&amp;" "&amp;VLOOKUP(C2751,Customers!A:C,3,FALSE)</f>
        <v>Alexandra Montoya</v>
      </c>
      <c r="J2751" t="str">
        <f>VLOOKUP(D2751,Products!A:C,2,FALSE)</f>
        <v>Present Television</v>
      </c>
      <c r="K2751" t="str">
        <f>VLOOKUP(D2751,Products!A:C,3,FALSE)</f>
        <v>Electronics</v>
      </c>
      <c r="L2751" t="str">
        <f>VLOOKUP(E2751,Stores!A:B,2,FALSE)</f>
        <v>MegaMart Brianahaven</v>
      </c>
      <c r="M2751">
        <f>VLOOKUP(D2751,Products!A:E,5,FALSE)</f>
        <v>1635.01</v>
      </c>
      <c r="N2751" s="5">
        <f t="shared" si="42"/>
        <v>4414.527</v>
      </c>
    </row>
    <row r="2752" spans="1:14" x14ac:dyDescent="0.3">
      <c r="A2752" t="s">
        <v>3608</v>
      </c>
      <c r="B2752" s="2">
        <v>45479</v>
      </c>
      <c r="C2752" t="s">
        <v>351</v>
      </c>
      <c r="D2752" t="s">
        <v>810</v>
      </c>
      <c r="E2752" t="s">
        <v>835</v>
      </c>
      <c r="F2752">
        <v>2</v>
      </c>
      <c r="G2752">
        <v>0.1</v>
      </c>
      <c r="H2752" t="s">
        <v>865</v>
      </c>
      <c r="I2752" t="str">
        <f>VLOOKUP(C2752,Customers!A:C,2,FALSE)&amp;" "&amp;VLOOKUP(C2752,Customers!A:C,3,FALSE)</f>
        <v>Stanley Brown</v>
      </c>
      <c r="J2752" t="str">
        <f>VLOOKUP(D2752,Products!A:C,2,FALSE)</f>
        <v>Maybe Clothing</v>
      </c>
      <c r="K2752" t="str">
        <f>VLOOKUP(D2752,Products!A:C,3,FALSE)</f>
        <v>Fashion</v>
      </c>
      <c r="L2752" t="str">
        <f>VLOOKUP(E2752,Stores!A:B,2,FALSE)</f>
        <v>MegaMart Peckmouth</v>
      </c>
      <c r="M2752">
        <f>VLOOKUP(D2752,Products!A:E,5,FALSE)</f>
        <v>453.62</v>
      </c>
      <c r="N2752" s="5">
        <f t="shared" si="42"/>
        <v>816.51600000000008</v>
      </c>
    </row>
    <row r="2753" spans="1:14" x14ac:dyDescent="0.3">
      <c r="A2753" t="s">
        <v>3609</v>
      </c>
      <c r="B2753" s="2">
        <v>45641</v>
      </c>
      <c r="C2753" t="s">
        <v>115</v>
      </c>
      <c r="D2753" t="s">
        <v>711</v>
      </c>
      <c r="E2753" t="s">
        <v>835</v>
      </c>
      <c r="F2753">
        <v>5</v>
      </c>
      <c r="G2753">
        <v>0.1</v>
      </c>
      <c r="H2753" t="s">
        <v>855</v>
      </c>
      <c r="I2753" t="str">
        <f>VLOOKUP(C2753,Customers!A:C,2,FALSE)&amp;" "&amp;VLOOKUP(C2753,Customers!A:C,3,FALSE)</f>
        <v>Tyler Levine</v>
      </c>
      <c r="J2753" t="str">
        <f>VLOOKUP(D2753,Products!A:C,2,FALSE)</f>
        <v>Like Camera</v>
      </c>
      <c r="K2753" t="str">
        <f>VLOOKUP(D2753,Products!A:C,3,FALSE)</f>
        <v>Electronics</v>
      </c>
      <c r="L2753" t="str">
        <f>VLOOKUP(E2753,Stores!A:B,2,FALSE)</f>
        <v>MegaMart Peckmouth</v>
      </c>
      <c r="M2753">
        <f>VLOOKUP(D2753,Products!A:E,5,FALSE)</f>
        <v>1673.69</v>
      </c>
      <c r="N2753" s="5">
        <f t="shared" si="42"/>
        <v>7531.6050000000005</v>
      </c>
    </row>
    <row r="2754" spans="1:14" x14ac:dyDescent="0.3">
      <c r="A2754" t="s">
        <v>3610</v>
      </c>
      <c r="B2754" s="2">
        <v>45617</v>
      </c>
      <c r="C2754" t="s">
        <v>683</v>
      </c>
      <c r="D2754" t="s">
        <v>806</v>
      </c>
      <c r="E2754" t="s">
        <v>846</v>
      </c>
      <c r="F2754">
        <v>5</v>
      </c>
      <c r="G2754">
        <v>0.05</v>
      </c>
      <c r="H2754" t="s">
        <v>858</v>
      </c>
      <c r="I2754" t="str">
        <f>VLOOKUP(C2754,Customers!A:C,2,FALSE)&amp;" "&amp;VLOOKUP(C2754,Customers!A:C,3,FALSE)</f>
        <v>Ann West</v>
      </c>
      <c r="J2754" t="str">
        <f>VLOOKUP(D2754,Products!A:C,2,FALSE)</f>
        <v>Piece Headphones</v>
      </c>
      <c r="K2754" t="str">
        <f>VLOOKUP(D2754,Products!A:C,3,FALSE)</f>
        <v>Electronics</v>
      </c>
      <c r="L2754" t="str">
        <f>VLOOKUP(E2754,Stores!A:B,2,FALSE)</f>
        <v>MegaMart Johnmouth</v>
      </c>
      <c r="M2754">
        <f>VLOOKUP(D2754,Products!A:E,5,FALSE)</f>
        <v>1745.61</v>
      </c>
      <c r="N2754" s="5">
        <f t="shared" si="42"/>
        <v>8291.6474999999991</v>
      </c>
    </row>
    <row r="2755" spans="1:14" x14ac:dyDescent="0.3">
      <c r="A2755" t="s">
        <v>3611</v>
      </c>
      <c r="B2755" s="2">
        <v>45383</v>
      </c>
      <c r="C2755" t="s">
        <v>570</v>
      </c>
      <c r="D2755" t="s">
        <v>812</v>
      </c>
      <c r="E2755" t="s">
        <v>831</v>
      </c>
      <c r="F2755">
        <v>2</v>
      </c>
      <c r="G2755">
        <v>0</v>
      </c>
      <c r="H2755" t="s">
        <v>865</v>
      </c>
      <c r="I2755" t="str">
        <f>VLOOKUP(C2755,Customers!A:C,2,FALSE)&amp;" "&amp;VLOOKUP(C2755,Customers!A:C,3,FALSE)</f>
        <v>Thomas Chung</v>
      </c>
      <c r="J2755" t="str">
        <f>VLOOKUP(D2755,Products!A:C,2,FALSE)</f>
        <v>Soon Accessories</v>
      </c>
      <c r="K2755" t="str">
        <f>VLOOKUP(D2755,Products!A:C,3,FALSE)</f>
        <v>Fashion</v>
      </c>
      <c r="L2755" t="str">
        <f>VLOOKUP(E2755,Stores!A:B,2,FALSE)</f>
        <v>MegaMart Jimenezborough</v>
      </c>
      <c r="M2755">
        <f>VLOOKUP(D2755,Products!A:E,5,FALSE)</f>
        <v>564.41999999999996</v>
      </c>
      <c r="N2755" s="5">
        <f t="shared" ref="N2755:N2818" si="43">F2755*M2755*(1-G2755)</f>
        <v>1128.8399999999999</v>
      </c>
    </row>
    <row r="2756" spans="1:14" x14ac:dyDescent="0.3">
      <c r="A2756" t="s">
        <v>3612</v>
      </c>
      <c r="B2756" s="2">
        <v>45667</v>
      </c>
      <c r="C2756" t="s">
        <v>647</v>
      </c>
      <c r="D2756" t="s">
        <v>739</v>
      </c>
      <c r="E2756" t="s">
        <v>846</v>
      </c>
      <c r="F2756">
        <v>4</v>
      </c>
      <c r="G2756">
        <v>0.1</v>
      </c>
      <c r="H2756" t="s">
        <v>861</v>
      </c>
      <c r="I2756" t="str">
        <f>VLOOKUP(C2756,Customers!A:C,2,FALSE)&amp;" "&amp;VLOOKUP(C2756,Customers!A:C,3,FALSE)</f>
        <v>Mary Dawson</v>
      </c>
      <c r="J2756" t="str">
        <f>VLOOKUP(D2756,Products!A:C,2,FALSE)</f>
        <v>Step Smartphone</v>
      </c>
      <c r="K2756" t="str">
        <f>VLOOKUP(D2756,Products!A:C,3,FALSE)</f>
        <v>Electronics</v>
      </c>
      <c r="L2756" t="str">
        <f>VLOOKUP(E2756,Stores!A:B,2,FALSE)</f>
        <v>MegaMart Johnmouth</v>
      </c>
      <c r="M2756">
        <f>VLOOKUP(D2756,Products!A:E,5,FALSE)</f>
        <v>1194.1199999999999</v>
      </c>
      <c r="N2756" s="5">
        <f t="shared" si="43"/>
        <v>4298.8319999999994</v>
      </c>
    </row>
    <row r="2757" spans="1:14" x14ac:dyDescent="0.3">
      <c r="A2757" t="s">
        <v>3613</v>
      </c>
      <c r="B2757" s="2">
        <v>45686</v>
      </c>
      <c r="C2757" t="s">
        <v>650</v>
      </c>
      <c r="D2757" t="s">
        <v>739</v>
      </c>
      <c r="E2757" t="s">
        <v>839</v>
      </c>
      <c r="F2757">
        <v>5</v>
      </c>
      <c r="G2757">
        <v>0.1</v>
      </c>
      <c r="H2757" t="s">
        <v>858</v>
      </c>
      <c r="I2757" t="str">
        <f>VLOOKUP(C2757,Customers!A:C,2,FALSE)&amp;" "&amp;VLOOKUP(C2757,Customers!A:C,3,FALSE)</f>
        <v>Daniel Mcintyre</v>
      </c>
      <c r="J2757" t="str">
        <f>VLOOKUP(D2757,Products!A:C,2,FALSE)</f>
        <v>Step Smartphone</v>
      </c>
      <c r="K2757" t="str">
        <f>VLOOKUP(D2757,Products!A:C,3,FALSE)</f>
        <v>Electronics</v>
      </c>
      <c r="L2757" t="str">
        <f>VLOOKUP(E2757,Stores!A:B,2,FALSE)</f>
        <v>MegaMart New Michele</v>
      </c>
      <c r="M2757">
        <f>VLOOKUP(D2757,Products!A:E,5,FALSE)</f>
        <v>1194.1199999999999</v>
      </c>
      <c r="N2757" s="5">
        <f t="shared" si="43"/>
        <v>5373.54</v>
      </c>
    </row>
    <row r="2758" spans="1:14" x14ac:dyDescent="0.3">
      <c r="A2758" t="s">
        <v>3614</v>
      </c>
      <c r="B2758" s="2">
        <v>45498</v>
      </c>
      <c r="C2758" t="s">
        <v>137</v>
      </c>
      <c r="D2758" t="s">
        <v>786</v>
      </c>
      <c r="E2758" t="s">
        <v>842</v>
      </c>
      <c r="F2758">
        <v>1</v>
      </c>
      <c r="G2758">
        <v>0.1</v>
      </c>
      <c r="H2758" t="s">
        <v>865</v>
      </c>
      <c r="I2758" t="str">
        <f>VLOOKUP(C2758,Customers!A:C,2,FALSE)&amp;" "&amp;VLOOKUP(C2758,Customers!A:C,3,FALSE)</f>
        <v>Kimberly King</v>
      </c>
      <c r="J2758" t="str">
        <f>VLOOKUP(D2758,Products!A:C,2,FALSE)</f>
        <v>National Watches</v>
      </c>
      <c r="K2758" t="str">
        <f>VLOOKUP(D2758,Products!A:C,3,FALSE)</f>
        <v>Fashion</v>
      </c>
      <c r="L2758" t="str">
        <f>VLOOKUP(E2758,Stores!A:B,2,FALSE)</f>
        <v>MegaMart Brianahaven</v>
      </c>
      <c r="M2758">
        <f>VLOOKUP(D2758,Products!A:E,5,FALSE)</f>
        <v>29.24</v>
      </c>
      <c r="N2758" s="5">
        <f t="shared" si="43"/>
        <v>26.315999999999999</v>
      </c>
    </row>
    <row r="2759" spans="1:14" x14ac:dyDescent="0.3">
      <c r="A2759" t="s">
        <v>3615</v>
      </c>
      <c r="B2759" s="2">
        <v>45231</v>
      </c>
      <c r="C2759" t="s">
        <v>313</v>
      </c>
      <c r="D2759" t="s">
        <v>742</v>
      </c>
      <c r="E2759" t="s">
        <v>835</v>
      </c>
      <c r="F2759">
        <v>4</v>
      </c>
      <c r="G2759">
        <v>0</v>
      </c>
      <c r="H2759" t="s">
        <v>861</v>
      </c>
      <c r="I2759" t="str">
        <f>VLOOKUP(C2759,Customers!A:C,2,FALSE)&amp;" "&amp;VLOOKUP(C2759,Customers!A:C,3,FALSE)</f>
        <v>Jeremy Robles</v>
      </c>
      <c r="J2759" t="str">
        <f>VLOOKUP(D2759,Products!A:C,2,FALSE)</f>
        <v>Either Headphones</v>
      </c>
      <c r="K2759" t="str">
        <f>VLOOKUP(D2759,Products!A:C,3,FALSE)</f>
        <v>Electronics</v>
      </c>
      <c r="L2759" t="str">
        <f>VLOOKUP(E2759,Stores!A:B,2,FALSE)</f>
        <v>MegaMart Peckmouth</v>
      </c>
      <c r="M2759">
        <f>VLOOKUP(D2759,Products!A:E,5,FALSE)</f>
        <v>248.57</v>
      </c>
      <c r="N2759" s="5">
        <f t="shared" si="43"/>
        <v>994.28</v>
      </c>
    </row>
    <row r="2760" spans="1:14" x14ac:dyDescent="0.3">
      <c r="A2760" t="s">
        <v>3616</v>
      </c>
      <c r="B2760" s="2">
        <v>45834</v>
      </c>
      <c r="C2760" t="s">
        <v>512</v>
      </c>
      <c r="D2760" t="s">
        <v>757</v>
      </c>
      <c r="E2760" t="s">
        <v>835</v>
      </c>
      <c r="F2760">
        <v>3</v>
      </c>
      <c r="G2760">
        <v>0</v>
      </c>
      <c r="H2760" t="s">
        <v>858</v>
      </c>
      <c r="I2760" t="str">
        <f>VLOOKUP(C2760,Customers!A:C,2,FALSE)&amp;" "&amp;VLOOKUP(C2760,Customers!A:C,3,FALSE)</f>
        <v>Adam Lucas</v>
      </c>
      <c r="J2760" t="str">
        <f>VLOOKUP(D2760,Products!A:C,2,FALSE)</f>
        <v>Find Headphones</v>
      </c>
      <c r="K2760" t="str">
        <f>VLOOKUP(D2760,Products!A:C,3,FALSE)</f>
        <v>Electronics</v>
      </c>
      <c r="L2760" t="str">
        <f>VLOOKUP(E2760,Stores!A:B,2,FALSE)</f>
        <v>MegaMart Peckmouth</v>
      </c>
      <c r="M2760">
        <f>VLOOKUP(D2760,Products!A:E,5,FALSE)</f>
        <v>1246.1099999999999</v>
      </c>
      <c r="N2760" s="5">
        <f t="shared" si="43"/>
        <v>3738.33</v>
      </c>
    </row>
    <row r="2761" spans="1:14" x14ac:dyDescent="0.3">
      <c r="A2761" t="s">
        <v>3617</v>
      </c>
      <c r="B2761" s="2">
        <v>45512</v>
      </c>
      <c r="C2761" t="s">
        <v>224</v>
      </c>
      <c r="D2761" t="s">
        <v>820</v>
      </c>
      <c r="E2761" t="s">
        <v>835</v>
      </c>
      <c r="F2761">
        <v>2</v>
      </c>
      <c r="G2761">
        <v>0.05</v>
      </c>
      <c r="H2761" t="s">
        <v>858</v>
      </c>
      <c r="I2761" t="str">
        <f>VLOOKUP(C2761,Customers!A:C,2,FALSE)&amp;" "&amp;VLOOKUP(C2761,Customers!A:C,3,FALSE)</f>
        <v>Lawrence Stewart</v>
      </c>
      <c r="J2761" t="str">
        <f>VLOOKUP(D2761,Products!A:C,2,FALSE)</f>
        <v>Or Smartphone</v>
      </c>
      <c r="K2761" t="str">
        <f>VLOOKUP(D2761,Products!A:C,3,FALSE)</f>
        <v>Electronics</v>
      </c>
      <c r="L2761" t="str">
        <f>VLOOKUP(E2761,Stores!A:B,2,FALSE)</f>
        <v>MegaMart Peckmouth</v>
      </c>
      <c r="M2761">
        <f>VLOOKUP(D2761,Products!A:E,5,FALSE)</f>
        <v>1197.18</v>
      </c>
      <c r="N2761" s="5">
        <f t="shared" si="43"/>
        <v>2274.6419999999998</v>
      </c>
    </row>
    <row r="2762" spans="1:14" x14ac:dyDescent="0.3">
      <c r="A2762" t="s">
        <v>3618</v>
      </c>
      <c r="B2762" s="2">
        <v>45290</v>
      </c>
      <c r="C2762" t="s">
        <v>593</v>
      </c>
      <c r="D2762" t="s">
        <v>739</v>
      </c>
      <c r="E2762" t="s">
        <v>835</v>
      </c>
      <c r="F2762">
        <v>2</v>
      </c>
      <c r="G2762">
        <v>0</v>
      </c>
      <c r="H2762" t="s">
        <v>855</v>
      </c>
      <c r="I2762" t="str">
        <f>VLOOKUP(C2762,Customers!A:C,2,FALSE)&amp;" "&amp;VLOOKUP(C2762,Customers!A:C,3,FALSE)</f>
        <v>Meagan Ali</v>
      </c>
      <c r="J2762" t="str">
        <f>VLOOKUP(D2762,Products!A:C,2,FALSE)</f>
        <v>Step Smartphone</v>
      </c>
      <c r="K2762" t="str">
        <f>VLOOKUP(D2762,Products!A:C,3,FALSE)</f>
        <v>Electronics</v>
      </c>
      <c r="L2762" t="str">
        <f>VLOOKUP(E2762,Stores!A:B,2,FALSE)</f>
        <v>MegaMart Peckmouth</v>
      </c>
      <c r="M2762">
        <f>VLOOKUP(D2762,Products!A:E,5,FALSE)</f>
        <v>1194.1199999999999</v>
      </c>
      <c r="N2762" s="5">
        <f t="shared" si="43"/>
        <v>2388.2399999999998</v>
      </c>
    </row>
    <row r="2763" spans="1:14" x14ac:dyDescent="0.3">
      <c r="A2763" t="s">
        <v>3619</v>
      </c>
      <c r="B2763" s="2">
        <v>45558</v>
      </c>
      <c r="C2763" t="s">
        <v>241</v>
      </c>
      <c r="D2763" t="s">
        <v>753</v>
      </c>
      <c r="E2763" t="s">
        <v>831</v>
      </c>
      <c r="F2763">
        <v>5</v>
      </c>
      <c r="G2763">
        <v>0.15</v>
      </c>
      <c r="H2763" t="s">
        <v>858</v>
      </c>
      <c r="I2763" t="str">
        <f>VLOOKUP(C2763,Customers!A:C,2,FALSE)&amp;" "&amp;VLOOKUP(C2763,Customers!A:C,3,FALSE)</f>
        <v>Michael Johnson</v>
      </c>
      <c r="J2763" t="str">
        <f>VLOOKUP(D2763,Products!A:C,2,FALSE)</f>
        <v>Whether Bags</v>
      </c>
      <c r="K2763" t="str">
        <f>VLOOKUP(D2763,Products!A:C,3,FALSE)</f>
        <v>Fashion</v>
      </c>
      <c r="L2763" t="str">
        <f>VLOOKUP(E2763,Stores!A:B,2,FALSE)</f>
        <v>MegaMart Jimenezborough</v>
      </c>
      <c r="M2763">
        <f>VLOOKUP(D2763,Products!A:E,5,FALSE)</f>
        <v>270.45</v>
      </c>
      <c r="N2763" s="5">
        <f t="shared" si="43"/>
        <v>1149.4124999999999</v>
      </c>
    </row>
    <row r="2764" spans="1:14" x14ac:dyDescent="0.3">
      <c r="A2764" t="s">
        <v>3620</v>
      </c>
      <c r="B2764" s="2">
        <v>45681</v>
      </c>
      <c r="C2764" t="s">
        <v>399</v>
      </c>
      <c r="D2764" t="s">
        <v>715</v>
      </c>
      <c r="E2764" t="s">
        <v>846</v>
      </c>
      <c r="F2764">
        <v>5</v>
      </c>
      <c r="G2764">
        <v>0.05</v>
      </c>
      <c r="H2764" t="s">
        <v>858</v>
      </c>
      <c r="I2764" t="str">
        <f>VLOOKUP(C2764,Customers!A:C,2,FALSE)&amp;" "&amp;VLOOKUP(C2764,Customers!A:C,3,FALSE)</f>
        <v>Victoria Hansen</v>
      </c>
      <c r="J2764" t="str">
        <f>VLOOKUP(D2764,Products!A:C,2,FALSE)</f>
        <v>Audience Television</v>
      </c>
      <c r="K2764" t="str">
        <f>VLOOKUP(D2764,Products!A:C,3,FALSE)</f>
        <v>Electronics</v>
      </c>
      <c r="L2764" t="str">
        <f>VLOOKUP(E2764,Stores!A:B,2,FALSE)</f>
        <v>MegaMart Johnmouth</v>
      </c>
      <c r="M2764">
        <f>VLOOKUP(D2764,Products!A:E,5,FALSE)</f>
        <v>818.76</v>
      </c>
      <c r="N2764" s="5">
        <f t="shared" si="43"/>
        <v>3889.11</v>
      </c>
    </row>
    <row r="2765" spans="1:14" x14ac:dyDescent="0.3">
      <c r="A2765" t="s">
        <v>3621</v>
      </c>
      <c r="B2765" s="2">
        <v>45240</v>
      </c>
      <c r="C2765" t="s">
        <v>187</v>
      </c>
      <c r="D2765" t="s">
        <v>816</v>
      </c>
      <c r="E2765" t="s">
        <v>846</v>
      </c>
      <c r="F2765">
        <v>5</v>
      </c>
      <c r="G2765">
        <v>0.15</v>
      </c>
      <c r="H2765" t="s">
        <v>858</v>
      </c>
      <c r="I2765" t="str">
        <f>VLOOKUP(C2765,Customers!A:C,2,FALSE)&amp;" "&amp;VLOOKUP(C2765,Customers!A:C,3,FALSE)</f>
        <v>Alexis Crane</v>
      </c>
      <c r="J2765" t="str">
        <f>VLOOKUP(D2765,Products!A:C,2,FALSE)</f>
        <v>Set Dairy</v>
      </c>
      <c r="K2765" t="str">
        <f>VLOOKUP(D2765,Products!A:C,3,FALSE)</f>
        <v>Groceries</v>
      </c>
      <c r="L2765" t="str">
        <f>VLOOKUP(E2765,Stores!A:B,2,FALSE)</f>
        <v>MegaMart Johnmouth</v>
      </c>
      <c r="M2765">
        <f>VLOOKUP(D2765,Products!A:E,5,FALSE)</f>
        <v>1879.08</v>
      </c>
      <c r="N2765" s="5">
        <f t="shared" si="43"/>
        <v>7986.0899999999992</v>
      </c>
    </row>
    <row r="2766" spans="1:14" x14ac:dyDescent="0.3">
      <c r="A2766" t="s">
        <v>3622</v>
      </c>
      <c r="B2766" s="2">
        <v>45470</v>
      </c>
      <c r="C2766" t="s">
        <v>677</v>
      </c>
      <c r="D2766" t="s">
        <v>826</v>
      </c>
      <c r="E2766" t="s">
        <v>839</v>
      </c>
      <c r="F2766">
        <v>3</v>
      </c>
      <c r="G2766">
        <v>0.1</v>
      </c>
      <c r="H2766" t="s">
        <v>858</v>
      </c>
      <c r="I2766" t="str">
        <f>VLOOKUP(C2766,Customers!A:C,2,FALSE)&amp;" "&amp;VLOOKUP(C2766,Customers!A:C,3,FALSE)</f>
        <v>James Wilson</v>
      </c>
      <c r="J2766" t="str">
        <f>VLOOKUP(D2766,Products!A:C,2,FALSE)</f>
        <v>Maybe Footwear</v>
      </c>
      <c r="K2766" t="str">
        <f>VLOOKUP(D2766,Products!A:C,3,FALSE)</f>
        <v>Fashion</v>
      </c>
      <c r="L2766" t="str">
        <f>VLOOKUP(E2766,Stores!A:B,2,FALSE)</f>
        <v>MegaMart New Michele</v>
      </c>
      <c r="M2766">
        <f>VLOOKUP(D2766,Products!A:E,5,FALSE)</f>
        <v>1044.6400000000001</v>
      </c>
      <c r="N2766" s="5">
        <f t="shared" si="43"/>
        <v>2820.5280000000002</v>
      </c>
    </row>
    <row r="2767" spans="1:14" x14ac:dyDescent="0.3">
      <c r="A2767" t="s">
        <v>3623</v>
      </c>
      <c r="B2767" s="2">
        <v>45807</v>
      </c>
      <c r="C2767" t="s">
        <v>358</v>
      </c>
      <c r="D2767" t="s">
        <v>826</v>
      </c>
      <c r="E2767" t="s">
        <v>839</v>
      </c>
      <c r="F2767">
        <v>2</v>
      </c>
      <c r="G2767">
        <v>0.1</v>
      </c>
      <c r="H2767" t="s">
        <v>855</v>
      </c>
      <c r="I2767" t="str">
        <f>VLOOKUP(C2767,Customers!A:C,2,FALSE)&amp;" "&amp;VLOOKUP(C2767,Customers!A:C,3,FALSE)</f>
        <v>Kevin Snyder</v>
      </c>
      <c r="J2767" t="str">
        <f>VLOOKUP(D2767,Products!A:C,2,FALSE)</f>
        <v>Maybe Footwear</v>
      </c>
      <c r="K2767" t="str">
        <f>VLOOKUP(D2767,Products!A:C,3,FALSE)</f>
        <v>Fashion</v>
      </c>
      <c r="L2767" t="str">
        <f>VLOOKUP(E2767,Stores!A:B,2,FALSE)</f>
        <v>MegaMart New Michele</v>
      </c>
      <c r="M2767">
        <f>VLOOKUP(D2767,Products!A:E,5,FALSE)</f>
        <v>1044.6400000000001</v>
      </c>
      <c r="N2767" s="5">
        <f t="shared" si="43"/>
        <v>1880.3520000000003</v>
      </c>
    </row>
    <row r="2768" spans="1:14" x14ac:dyDescent="0.3">
      <c r="A2768" t="s">
        <v>3624</v>
      </c>
      <c r="B2768" s="2">
        <v>45830</v>
      </c>
      <c r="C2768" t="s">
        <v>81</v>
      </c>
      <c r="D2768" t="s">
        <v>818</v>
      </c>
      <c r="E2768" t="s">
        <v>835</v>
      </c>
      <c r="F2768">
        <v>3</v>
      </c>
      <c r="G2768">
        <v>0.05</v>
      </c>
      <c r="H2768" t="s">
        <v>861</v>
      </c>
      <c r="I2768" t="str">
        <f>VLOOKUP(C2768,Customers!A:C,2,FALSE)&amp;" "&amp;VLOOKUP(C2768,Customers!A:C,3,FALSE)</f>
        <v>Ryan Cole</v>
      </c>
      <c r="J2768" t="str">
        <f>VLOOKUP(D2768,Products!A:C,2,FALSE)</f>
        <v>Nature Clothing</v>
      </c>
      <c r="K2768" t="str">
        <f>VLOOKUP(D2768,Products!A:C,3,FALSE)</f>
        <v>Fashion</v>
      </c>
      <c r="L2768" t="str">
        <f>VLOOKUP(E2768,Stores!A:B,2,FALSE)</f>
        <v>MegaMart Peckmouth</v>
      </c>
      <c r="M2768">
        <f>VLOOKUP(D2768,Products!A:E,5,FALSE)</f>
        <v>1165.3699999999999</v>
      </c>
      <c r="N2768" s="5">
        <f t="shared" si="43"/>
        <v>3321.3044999999997</v>
      </c>
    </row>
    <row r="2769" spans="1:14" x14ac:dyDescent="0.3">
      <c r="A2769" t="s">
        <v>3625</v>
      </c>
      <c r="B2769" s="2">
        <v>45858</v>
      </c>
      <c r="C2769" t="s">
        <v>101</v>
      </c>
      <c r="D2769" t="s">
        <v>742</v>
      </c>
      <c r="E2769" t="s">
        <v>846</v>
      </c>
      <c r="F2769">
        <v>4</v>
      </c>
      <c r="G2769">
        <v>0.1</v>
      </c>
      <c r="H2769" t="s">
        <v>865</v>
      </c>
      <c r="I2769" t="str">
        <f>VLOOKUP(C2769,Customers!A:C,2,FALSE)&amp;" "&amp;VLOOKUP(C2769,Customers!A:C,3,FALSE)</f>
        <v>Cheryl Gilbert</v>
      </c>
      <c r="J2769" t="str">
        <f>VLOOKUP(D2769,Products!A:C,2,FALSE)</f>
        <v>Either Headphones</v>
      </c>
      <c r="K2769" t="str">
        <f>VLOOKUP(D2769,Products!A:C,3,FALSE)</f>
        <v>Electronics</v>
      </c>
      <c r="L2769" t="str">
        <f>VLOOKUP(E2769,Stores!A:B,2,FALSE)</f>
        <v>MegaMart Johnmouth</v>
      </c>
      <c r="M2769">
        <f>VLOOKUP(D2769,Products!A:E,5,FALSE)</f>
        <v>248.57</v>
      </c>
      <c r="N2769" s="5">
        <f t="shared" si="43"/>
        <v>894.85199999999998</v>
      </c>
    </row>
    <row r="2770" spans="1:14" x14ac:dyDescent="0.3">
      <c r="A2770" t="s">
        <v>3626</v>
      </c>
      <c r="B2770" s="2">
        <v>45721</v>
      </c>
      <c r="C2770" t="s">
        <v>556</v>
      </c>
      <c r="D2770" t="s">
        <v>794</v>
      </c>
      <c r="E2770" t="s">
        <v>835</v>
      </c>
      <c r="F2770">
        <v>3</v>
      </c>
      <c r="G2770">
        <v>0.05</v>
      </c>
      <c r="H2770" t="s">
        <v>858</v>
      </c>
      <c r="I2770" t="str">
        <f>VLOOKUP(C2770,Customers!A:C,2,FALSE)&amp;" "&amp;VLOOKUP(C2770,Customers!A:C,3,FALSE)</f>
        <v>Jill Mcconnell</v>
      </c>
      <c r="J2770" t="str">
        <f>VLOOKUP(D2770,Products!A:C,2,FALSE)</f>
        <v>Everything Laptop</v>
      </c>
      <c r="K2770" t="str">
        <f>VLOOKUP(D2770,Products!A:C,3,FALSE)</f>
        <v>Electronics</v>
      </c>
      <c r="L2770" t="str">
        <f>VLOOKUP(E2770,Stores!A:B,2,FALSE)</f>
        <v>MegaMart Peckmouth</v>
      </c>
      <c r="M2770">
        <f>VLOOKUP(D2770,Products!A:E,5,FALSE)</f>
        <v>428.05</v>
      </c>
      <c r="N2770" s="5">
        <f t="shared" si="43"/>
        <v>1219.9425000000001</v>
      </c>
    </row>
    <row r="2771" spans="1:14" x14ac:dyDescent="0.3">
      <c r="A2771" t="s">
        <v>3627</v>
      </c>
      <c r="B2771" s="2">
        <v>45784</v>
      </c>
      <c r="C2771" t="s">
        <v>262</v>
      </c>
      <c r="D2771" t="s">
        <v>778</v>
      </c>
      <c r="E2771" t="s">
        <v>846</v>
      </c>
      <c r="F2771">
        <v>1</v>
      </c>
      <c r="G2771">
        <v>0.15</v>
      </c>
      <c r="H2771" t="s">
        <v>858</v>
      </c>
      <c r="I2771" t="str">
        <f>VLOOKUP(C2771,Customers!A:C,2,FALSE)&amp;" "&amp;VLOOKUP(C2771,Customers!A:C,3,FALSE)</f>
        <v>Gabriel Daugherty</v>
      </c>
      <c r="J2771" t="str">
        <f>VLOOKUP(D2771,Products!A:C,2,FALSE)</f>
        <v>Behavior Dairy</v>
      </c>
      <c r="K2771" t="str">
        <f>VLOOKUP(D2771,Products!A:C,3,FALSE)</f>
        <v>Groceries</v>
      </c>
      <c r="L2771" t="str">
        <f>VLOOKUP(E2771,Stores!A:B,2,FALSE)</f>
        <v>MegaMart Johnmouth</v>
      </c>
      <c r="M2771">
        <f>VLOOKUP(D2771,Products!A:E,5,FALSE)</f>
        <v>1015.76</v>
      </c>
      <c r="N2771" s="5">
        <f t="shared" si="43"/>
        <v>863.39599999999996</v>
      </c>
    </row>
    <row r="2772" spans="1:14" x14ac:dyDescent="0.3">
      <c r="A2772" t="s">
        <v>3628</v>
      </c>
      <c r="B2772" s="2">
        <v>45272</v>
      </c>
      <c r="C2772" t="s">
        <v>469</v>
      </c>
      <c r="D2772" t="s">
        <v>816</v>
      </c>
      <c r="E2772" t="s">
        <v>846</v>
      </c>
      <c r="F2772">
        <v>4</v>
      </c>
      <c r="G2772">
        <v>0</v>
      </c>
      <c r="H2772" t="s">
        <v>861</v>
      </c>
      <c r="I2772" t="str">
        <f>VLOOKUP(C2772,Customers!A:C,2,FALSE)&amp;" "&amp;VLOOKUP(C2772,Customers!A:C,3,FALSE)</f>
        <v>Robert Collins</v>
      </c>
      <c r="J2772" t="str">
        <f>VLOOKUP(D2772,Products!A:C,2,FALSE)</f>
        <v>Set Dairy</v>
      </c>
      <c r="K2772" t="str">
        <f>VLOOKUP(D2772,Products!A:C,3,FALSE)</f>
        <v>Groceries</v>
      </c>
      <c r="L2772" t="str">
        <f>VLOOKUP(E2772,Stores!A:B,2,FALSE)</f>
        <v>MegaMart Johnmouth</v>
      </c>
      <c r="M2772">
        <f>VLOOKUP(D2772,Products!A:E,5,FALSE)</f>
        <v>1879.08</v>
      </c>
      <c r="N2772" s="5">
        <f t="shared" si="43"/>
        <v>7516.32</v>
      </c>
    </row>
    <row r="2773" spans="1:14" x14ac:dyDescent="0.3">
      <c r="A2773" t="s">
        <v>3629</v>
      </c>
      <c r="B2773" s="2">
        <v>45442</v>
      </c>
      <c r="C2773" t="s">
        <v>28</v>
      </c>
      <c r="D2773" t="s">
        <v>786</v>
      </c>
      <c r="E2773" t="s">
        <v>846</v>
      </c>
      <c r="F2773">
        <v>4</v>
      </c>
      <c r="G2773">
        <v>0</v>
      </c>
      <c r="H2773" t="s">
        <v>855</v>
      </c>
      <c r="I2773" t="str">
        <f>VLOOKUP(C2773,Customers!A:C,2,FALSE)&amp;" "&amp;VLOOKUP(C2773,Customers!A:C,3,FALSE)</f>
        <v>Danny Moore</v>
      </c>
      <c r="J2773" t="str">
        <f>VLOOKUP(D2773,Products!A:C,2,FALSE)</f>
        <v>National Watches</v>
      </c>
      <c r="K2773" t="str">
        <f>VLOOKUP(D2773,Products!A:C,3,FALSE)</f>
        <v>Fashion</v>
      </c>
      <c r="L2773" t="str">
        <f>VLOOKUP(E2773,Stores!A:B,2,FALSE)</f>
        <v>MegaMart Johnmouth</v>
      </c>
      <c r="M2773">
        <f>VLOOKUP(D2773,Products!A:E,5,FALSE)</f>
        <v>29.24</v>
      </c>
      <c r="N2773" s="5">
        <f t="shared" si="43"/>
        <v>116.96</v>
      </c>
    </row>
    <row r="2774" spans="1:14" x14ac:dyDescent="0.3">
      <c r="A2774" t="s">
        <v>3630</v>
      </c>
      <c r="B2774" s="2">
        <v>45232</v>
      </c>
      <c r="C2774" t="s">
        <v>454</v>
      </c>
      <c r="D2774" t="s">
        <v>798</v>
      </c>
      <c r="E2774" t="s">
        <v>835</v>
      </c>
      <c r="F2774">
        <v>1</v>
      </c>
      <c r="G2774">
        <v>0.1</v>
      </c>
      <c r="H2774" t="s">
        <v>865</v>
      </c>
      <c r="I2774" t="str">
        <f>VLOOKUP(C2774,Customers!A:C,2,FALSE)&amp;" "&amp;VLOOKUP(C2774,Customers!A:C,3,FALSE)</f>
        <v>Peter Edwards</v>
      </c>
      <c r="J2774" t="str">
        <f>VLOOKUP(D2774,Products!A:C,2,FALSE)</f>
        <v>New Watches</v>
      </c>
      <c r="K2774" t="str">
        <f>VLOOKUP(D2774,Products!A:C,3,FALSE)</f>
        <v>Fashion</v>
      </c>
      <c r="L2774" t="str">
        <f>VLOOKUP(E2774,Stores!A:B,2,FALSE)</f>
        <v>MegaMart Peckmouth</v>
      </c>
      <c r="M2774">
        <f>VLOOKUP(D2774,Products!A:E,5,FALSE)</f>
        <v>1501.46</v>
      </c>
      <c r="N2774" s="5">
        <f t="shared" si="43"/>
        <v>1351.3140000000001</v>
      </c>
    </row>
    <row r="2775" spans="1:14" x14ac:dyDescent="0.3">
      <c r="A2775" t="s">
        <v>3631</v>
      </c>
      <c r="B2775" s="2">
        <v>45313</v>
      </c>
      <c r="C2775" t="s">
        <v>653</v>
      </c>
      <c r="D2775" t="s">
        <v>718</v>
      </c>
      <c r="E2775" t="s">
        <v>839</v>
      </c>
      <c r="F2775">
        <v>5</v>
      </c>
      <c r="G2775">
        <v>0.1</v>
      </c>
      <c r="H2775" t="s">
        <v>865</v>
      </c>
      <c r="I2775" t="str">
        <f>VLOOKUP(C2775,Customers!A:C,2,FALSE)&amp;" "&amp;VLOOKUP(C2775,Customers!A:C,3,FALSE)</f>
        <v>Joe Vincent</v>
      </c>
      <c r="J2775" t="str">
        <f>VLOOKUP(D2775,Products!A:C,2,FALSE)</f>
        <v>Here Footwear</v>
      </c>
      <c r="K2775" t="str">
        <f>VLOOKUP(D2775,Products!A:C,3,FALSE)</f>
        <v>Fashion</v>
      </c>
      <c r="L2775" t="str">
        <f>VLOOKUP(E2775,Stores!A:B,2,FALSE)</f>
        <v>MegaMart New Michele</v>
      </c>
      <c r="M2775">
        <f>VLOOKUP(D2775,Products!A:E,5,FALSE)</f>
        <v>337.63</v>
      </c>
      <c r="N2775" s="5">
        <f t="shared" si="43"/>
        <v>1519.335</v>
      </c>
    </row>
    <row r="2776" spans="1:14" x14ac:dyDescent="0.3">
      <c r="A2776" t="s">
        <v>3632</v>
      </c>
      <c r="B2776" s="2">
        <v>45839</v>
      </c>
      <c r="C2776" t="s">
        <v>647</v>
      </c>
      <c r="D2776" t="s">
        <v>804</v>
      </c>
      <c r="E2776" t="s">
        <v>846</v>
      </c>
      <c r="F2776">
        <v>4</v>
      </c>
      <c r="G2776">
        <v>0.15</v>
      </c>
      <c r="H2776" t="s">
        <v>861</v>
      </c>
      <c r="I2776" t="str">
        <f>VLOOKUP(C2776,Customers!A:C,2,FALSE)&amp;" "&amp;VLOOKUP(C2776,Customers!A:C,3,FALSE)</f>
        <v>Mary Dawson</v>
      </c>
      <c r="J2776" t="str">
        <f>VLOOKUP(D2776,Products!A:C,2,FALSE)</f>
        <v>Church Clothing</v>
      </c>
      <c r="K2776" t="str">
        <f>VLOOKUP(D2776,Products!A:C,3,FALSE)</f>
        <v>Fashion</v>
      </c>
      <c r="L2776" t="str">
        <f>VLOOKUP(E2776,Stores!A:B,2,FALSE)</f>
        <v>MegaMart Johnmouth</v>
      </c>
      <c r="M2776">
        <f>VLOOKUP(D2776,Products!A:E,5,FALSE)</f>
        <v>540.94000000000005</v>
      </c>
      <c r="N2776" s="5">
        <f t="shared" si="43"/>
        <v>1839.1960000000001</v>
      </c>
    </row>
    <row r="2777" spans="1:14" x14ac:dyDescent="0.3">
      <c r="A2777" t="s">
        <v>3633</v>
      </c>
      <c r="B2777" s="2">
        <v>45527</v>
      </c>
      <c r="C2777" t="s">
        <v>382</v>
      </c>
      <c r="D2777" t="s">
        <v>806</v>
      </c>
      <c r="E2777" t="s">
        <v>835</v>
      </c>
      <c r="F2777">
        <v>4</v>
      </c>
      <c r="G2777">
        <v>0.1</v>
      </c>
      <c r="H2777" t="s">
        <v>855</v>
      </c>
      <c r="I2777" t="str">
        <f>VLOOKUP(C2777,Customers!A:C,2,FALSE)&amp;" "&amp;VLOOKUP(C2777,Customers!A:C,3,FALSE)</f>
        <v>Carolyn Perez</v>
      </c>
      <c r="J2777" t="str">
        <f>VLOOKUP(D2777,Products!A:C,2,FALSE)</f>
        <v>Piece Headphones</v>
      </c>
      <c r="K2777" t="str">
        <f>VLOOKUP(D2777,Products!A:C,3,FALSE)</f>
        <v>Electronics</v>
      </c>
      <c r="L2777" t="str">
        <f>VLOOKUP(E2777,Stores!A:B,2,FALSE)</f>
        <v>MegaMart Peckmouth</v>
      </c>
      <c r="M2777">
        <f>VLOOKUP(D2777,Products!A:E,5,FALSE)</f>
        <v>1745.61</v>
      </c>
      <c r="N2777" s="5">
        <f t="shared" si="43"/>
        <v>6284.1959999999999</v>
      </c>
    </row>
    <row r="2778" spans="1:14" x14ac:dyDescent="0.3">
      <c r="A2778" t="s">
        <v>3634</v>
      </c>
      <c r="B2778" s="2">
        <v>45517</v>
      </c>
      <c r="C2778" t="s">
        <v>320</v>
      </c>
      <c r="D2778" t="s">
        <v>812</v>
      </c>
      <c r="E2778" t="s">
        <v>835</v>
      </c>
      <c r="F2778">
        <v>5</v>
      </c>
      <c r="G2778">
        <v>0.15</v>
      </c>
      <c r="H2778" t="s">
        <v>861</v>
      </c>
      <c r="I2778" t="str">
        <f>VLOOKUP(C2778,Customers!A:C,2,FALSE)&amp;" "&amp;VLOOKUP(C2778,Customers!A:C,3,FALSE)</f>
        <v>Juan Ramirez</v>
      </c>
      <c r="J2778" t="str">
        <f>VLOOKUP(D2778,Products!A:C,2,FALSE)</f>
        <v>Soon Accessories</v>
      </c>
      <c r="K2778" t="str">
        <f>VLOOKUP(D2778,Products!A:C,3,FALSE)</f>
        <v>Fashion</v>
      </c>
      <c r="L2778" t="str">
        <f>VLOOKUP(E2778,Stores!A:B,2,FALSE)</f>
        <v>MegaMart Peckmouth</v>
      </c>
      <c r="M2778">
        <f>VLOOKUP(D2778,Products!A:E,5,FALSE)</f>
        <v>564.41999999999996</v>
      </c>
      <c r="N2778" s="5">
        <f t="shared" si="43"/>
        <v>2398.7849999999999</v>
      </c>
    </row>
    <row r="2779" spans="1:14" x14ac:dyDescent="0.3">
      <c r="A2779" t="s">
        <v>3635</v>
      </c>
      <c r="B2779" s="2">
        <v>45536</v>
      </c>
      <c r="C2779" t="s">
        <v>693</v>
      </c>
      <c r="D2779" t="s">
        <v>766</v>
      </c>
      <c r="E2779" t="s">
        <v>846</v>
      </c>
      <c r="F2779">
        <v>5</v>
      </c>
      <c r="G2779">
        <v>0.1</v>
      </c>
      <c r="H2779" t="s">
        <v>865</v>
      </c>
      <c r="I2779" t="str">
        <f>VLOOKUP(C2779,Customers!A:C,2,FALSE)&amp;" "&amp;VLOOKUP(C2779,Customers!A:C,3,FALSE)</f>
        <v>Matthew Dixon</v>
      </c>
      <c r="J2779" t="str">
        <f>VLOOKUP(D2779,Products!A:C,2,FALSE)</f>
        <v>Firm Dairy</v>
      </c>
      <c r="K2779" t="str">
        <f>VLOOKUP(D2779,Products!A:C,3,FALSE)</f>
        <v>Groceries</v>
      </c>
      <c r="L2779" t="str">
        <f>VLOOKUP(E2779,Stores!A:B,2,FALSE)</f>
        <v>MegaMart Johnmouth</v>
      </c>
      <c r="M2779">
        <f>VLOOKUP(D2779,Products!A:E,5,FALSE)</f>
        <v>1227.24</v>
      </c>
      <c r="N2779" s="5">
        <f t="shared" si="43"/>
        <v>5522.58</v>
      </c>
    </row>
    <row r="2780" spans="1:14" x14ac:dyDescent="0.3">
      <c r="A2780" t="s">
        <v>3636</v>
      </c>
      <c r="B2780" s="2">
        <v>45358</v>
      </c>
      <c r="C2780" t="s">
        <v>563</v>
      </c>
      <c r="D2780" t="s">
        <v>747</v>
      </c>
      <c r="E2780" t="s">
        <v>831</v>
      </c>
      <c r="F2780">
        <v>3</v>
      </c>
      <c r="G2780">
        <v>0</v>
      </c>
      <c r="H2780" t="s">
        <v>865</v>
      </c>
      <c r="I2780" t="str">
        <f>VLOOKUP(C2780,Customers!A:C,2,FALSE)&amp;" "&amp;VLOOKUP(C2780,Customers!A:C,3,FALSE)</f>
        <v>Connie Terry</v>
      </c>
      <c r="J2780" t="str">
        <f>VLOOKUP(D2780,Products!A:C,2,FALSE)</f>
        <v>World Watches</v>
      </c>
      <c r="K2780" t="str">
        <f>VLOOKUP(D2780,Products!A:C,3,FALSE)</f>
        <v>Fashion</v>
      </c>
      <c r="L2780" t="str">
        <f>VLOOKUP(E2780,Stores!A:B,2,FALSE)</f>
        <v>MegaMart Jimenezborough</v>
      </c>
      <c r="M2780">
        <f>VLOOKUP(D2780,Products!A:E,5,FALSE)</f>
        <v>1134.8</v>
      </c>
      <c r="N2780" s="5">
        <f t="shared" si="43"/>
        <v>3404.3999999999996</v>
      </c>
    </row>
    <row r="2781" spans="1:14" x14ac:dyDescent="0.3">
      <c r="A2781" t="s">
        <v>3637</v>
      </c>
      <c r="B2781" s="2">
        <v>45513</v>
      </c>
      <c r="C2781" t="s">
        <v>567</v>
      </c>
      <c r="D2781" t="s">
        <v>808</v>
      </c>
      <c r="E2781" t="s">
        <v>831</v>
      </c>
      <c r="F2781">
        <v>5</v>
      </c>
      <c r="G2781">
        <v>0.15</v>
      </c>
      <c r="H2781" t="s">
        <v>861</v>
      </c>
      <c r="I2781" t="str">
        <f>VLOOKUP(C2781,Customers!A:C,2,FALSE)&amp;" "&amp;VLOOKUP(C2781,Customers!A:C,3,FALSE)</f>
        <v>Crystal Aguirre</v>
      </c>
      <c r="J2781" t="str">
        <f>VLOOKUP(D2781,Products!A:C,2,FALSE)</f>
        <v>Present Television</v>
      </c>
      <c r="K2781" t="str">
        <f>VLOOKUP(D2781,Products!A:C,3,FALSE)</f>
        <v>Electronics</v>
      </c>
      <c r="L2781" t="str">
        <f>VLOOKUP(E2781,Stores!A:B,2,FALSE)</f>
        <v>MegaMart Jimenezborough</v>
      </c>
      <c r="M2781">
        <f>VLOOKUP(D2781,Products!A:E,5,FALSE)</f>
        <v>1635.01</v>
      </c>
      <c r="N2781" s="5">
        <f t="shared" si="43"/>
        <v>6948.7924999999996</v>
      </c>
    </row>
    <row r="2782" spans="1:14" x14ac:dyDescent="0.3">
      <c r="A2782" t="s">
        <v>3638</v>
      </c>
      <c r="B2782" s="2">
        <v>45902</v>
      </c>
      <c r="C2782" t="s">
        <v>664</v>
      </c>
      <c r="D2782" t="s">
        <v>772</v>
      </c>
      <c r="E2782" t="s">
        <v>835</v>
      </c>
      <c r="F2782">
        <v>2</v>
      </c>
      <c r="G2782">
        <v>0.05</v>
      </c>
      <c r="H2782" t="s">
        <v>861</v>
      </c>
      <c r="I2782" t="str">
        <f>VLOOKUP(C2782,Customers!A:C,2,FALSE)&amp;" "&amp;VLOOKUP(C2782,Customers!A:C,3,FALSE)</f>
        <v>Ryan Flores</v>
      </c>
      <c r="J2782" t="str">
        <f>VLOOKUP(D2782,Products!A:C,2,FALSE)</f>
        <v>And Footwear</v>
      </c>
      <c r="K2782" t="str">
        <f>VLOOKUP(D2782,Products!A:C,3,FALSE)</f>
        <v>Fashion</v>
      </c>
      <c r="L2782" t="str">
        <f>VLOOKUP(E2782,Stores!A:B,2,FALSE)</f>
        <v>MegaMart Peckmouth</v>
      </c>
      <c r="M2782">
        <f>VLOOKUP(D2782,Products!A:E,5,FALSE)</f>
        <v>1878.47</v>
      </c>
      <c r="N2782" s="5">
        <f t="shared" si="43"/>
        <v>3569.0929999999998</v>
      </c>
    </row>
    <row r="2783" spans="1:14" x14ac:dyDescent="0.3">
      <c r="A2783" t="s">
        <v>3639</v>
      </c>
      <c r="B2783" s="2">
        <v>45826</v>
      </c>
      <c r="C2783" t="s">
        <v>36</v>
      </c>
      <c r="D2783" t="s">
        <v>816</v>
      </c>
      <c r="E2783" t="s">
        <v>842</v>
      </c>
      <c r="F2783">
        <v>1</v>
      </c>
      <c r="G2783">
        <v>0.1</v>
      </c>
      <c r="H2783" t="s">
        <v>865</v>
      </c>
      <c r="I2783" t="str">
        <f>VLOOKUP(C2783,Customers!A:C,2,FALSE)&amp;" "&amp;VLOOKUP(C2783,Customers!A:C,3,FALSE)</f>
        <v>Isaiah Williams</v>
      </c>
      <c r="J2783" t="str">
        <f>VLOOKUP(D2783,Products!A:C,2,FALSE)</f>
        <v>Set Dairy</v>
      </c>
      <c r="K2783" t="str">
        <f>VLOOKUP(D2783,Products!A:C,3,FALSE)</f>
        <v>Groceries</v>
      </c>
      <c r="L2783" t="str">
        <f>VLOOKUP(E2783,Stores!A:B,2,FALSE)</f>
        <v>MegaMart Brianahaven</v>
      </c>
      <c r="M2783">
        <f>VLOOKUP(D2783,Products!A:E,5,FALSE)</f>
        <v>1879.08</v>
      </c>
      <c r="N2783" s="5">
        <f t="shared" si="43"/>
        <v>1691.172</v>
      </c>
    </row>
    <row r="2784" spans="1:14" x14ac:dyDescent="0.3">
      <c r="A2784" t="s">
        <v>3640</v>
      </c>
      <c r="B2784" s="2">
        <v>45305</v>
      </c>
      <c r="C2784" t="s">
        <v>101</v>
      </c>
      <c r="D2784" t="s">
        <v>778</v>
      </c>
      <c r="E2784" t="s">
        <v>842</v>
      </c>
      <c r="F2784">
        <v>5</v>
      </c>
      <c r="G2784">
        <v>0.15</v>
      </c>
      <c r="H2784" t="s">
        <v>858</v>
      </c>
      <c r="I2784" t="str">
        <f>VLOOKUP(C2784,Customers!A:C,2,FALSE)&amp;" "&amp;VLOOKUP(C2784,Customers!A:C,3,FALSE)</f>
        <v>Cheryl Gilbert</v>
      </c>
      <c r="J2784" t="str">
        <f>VLOOKUP(D2784,Products!A:C,2,FALSE)</f>
        <v>Behavior Dairy</v>
      </c>
      <c r="K2784" t="str">
        <f>VLOOKUP(D2784,Products!A:C,3,FALSE)</f>
        <v>Groceries</v>
      </c>
      <c r="L2784" t="str">
        <f>VLOOKUP(E2784,Stores!A:B,2,FALSE)</f>
        <v>MegaMart Brianahaven</v>
      </c>
      <c r="M2784">
        <f>VLOOKUP(D2784,Products!A:E,5,FALSE)</f>
        <v>1015.76</v>
      </c>
      <c r="N2784" s="5">
        <f t="shared" si="43"/>
        <v>4316.9800000000005</v>
      </c>
    </row>
    <row r="2785" spans="1:14" x14ac:dyDescent="0.3">
      <c r="A2785" t="s">
        <v>3641</v>
      </c>
      <c r="B2785" s="2">
        <v>45681</v>
      </c>
      <c r="C2785" t="s">
        <v>368</v>
      </c>
      <c r="D2785" t="s">
        <v>736</v>
      </c>
      <c r="E2785" t="s">
        <v>842</v>
      </c>
      <c r="F2785">
        <v>2</v>
      </c>
      <c r="G2785">
        <v>0.1</v>
      </c>
      <c r="H2785" t="s">
        <v>861</v>
      </c>
      <c r="I2785" t="str">
        <f>VLOOKUP(C2785,Customers!A:C,2,FALSE)&amp;" "&amp;VLOOKUP(C2785,Customers!A:C,3,FALSE)</f>
        <v>Lisa Vega</v>
      </c>
      <c r="J2785" t="str">
        <f>VLOOKUP(D2785,Products!A:C,2,FALSE)</f>
        <v>Us Snacks</v>
      </c>
      <c r="K2785" t="str">
        <f>VLOOKUP(D2785,Products!A:C,3,FALSE)</f>
        <v>Groceries</v>
      </c>
      <c r="L2785" t="str">
        <f>VLOOKUP(E2785,Stores!A:B,2,FALSE)</f>
        <v>MegaMart Brianahaven</v>
      </c>
      <c r="M2785">
        <f>VLOOKUP(D2785,Products!A:E,5,FALSE)</f>
        <v>123.19</v>
      </c>
      <c r="N2785" s="5">
        <f t="shared" si="43"/>
        <v>221.74199999999999</v>
      </c>
    </row>
    <row r="2786" spans="1:14" x14ac:dyDescent="0.3">
      <c r="A2786" t="s">
        <v>3642</v>
      </c>
      <c r="B2786" s="2">
        <v>45337</v>
      </c>
      <c r="C2786" t="s">
        <v>101</v>
      </c>
      <c r="D2786" t="s">
        <v>739</v>
      </c>
      <c r="E2786" t="s">
        <v>839</v>
      </c>
      <c r="F2786">
        <v>3</v>
      </c>
      <c r="G2786">
        <v>0.05</v>
      </c>
      <c r="H2786" t="s">
        <v>858</v>
      </c>
      <c r="I2786" t="str">
        <f>VLOOKUP(C2786,Customers!A:C,2,FALSE)&amp;" "&amp;VLOOKUP(C2786,Customers!A:C,3,FALSE)</f>
        <v>Cheryl Gilbert</v>
      </c>
      <c r="J2786" t="str">
        <f>VLOOKUP(D2786,Products!A:C,2,FALSE)</f>
        <v>Step Smartphone</v>
      </c>
      <c r="K2786" t="str">
        <f>VLOOKUP(D2786,Products!A:C,3,FALSE)</f>
        <v>Electronics</v>
      </c>
      <c r="L2786" t="str">
        <f>VLOOKUP(E2786,Stores!A:B,2,FALSE)</f>
        <v>MegaMart New Michele</v>
      </c>
      <c r="M2786">
        <f>VLOOKUP(D2786,Products!A:E,5,FALSE)</f>
        <v>1194.1199999999999</v>
      </c>
      <c r="N2786" s="5">
        <f t="shared" si="43"/>
        <v>3403.2419999999997</v>
      </c>
    </row>
    <row r="2787" spans="1:14" x14ac:dyDescent="0.3">
      <c r="A2787" t="s">
        <v>3643</v>
      </c>
      <c r="B2787" s="2">
        <v>45568</v>
      </c>
      <c r="C2787" t="s">
        <v>247</v>
      </c>
      <c r="D2787" t="s">
        <v>816</v>
      </c>
      <c r="E2787" t="s">
        <v>842</v>
      </c>
      <c r="F2787">
        <v>1</v>
      </c>
      <c r="G2787">
        <v>0.05</v>
      </c>
      <c r="H2787" t="s">
        <v>855</v>
      </c>
      <c r="I2787" t="str">
        <f>VLOOKUP(C2787,Customers!A:C,2,FALSE)&amp;" "&amp;VLOOKUP(C2787,Customers!A:C,3,FALSE)</f>
        <v>Scott Duke</v>
      </c>
      <c r="J2787" t="str">
        <f>VLOOKUP(D2787,Products!A:C,2,FALSE)</f>
        <v>Set Dairy</v>
      </c>
      <c r="K2787" t="str">
        <f>VLOOKUP(D2787,Products!A:C,3,FALSE)</f>
        <v>Groceries</v>
      </c>
      <c r="L2787" t="str">
        <f>VLOOKUP(E2787,Stores!A:B,2,FALSE)</f>
        <v>MegaMart Brianahaven</v>
      </c>
      <c r="M2787">
        <f>VLOOKUP(D2787,Products!A:E,5,FALSE)</f>
        <v>1879.08</v>
      </c>
      <c r="N2787" s="5">
        <f t="shared" si="43"/>
        <v>1785.1259999999997</v>
      </c>
    </row>
    <row r="2788" spans="1:14" x14ac:dyDescent="0.3">
      <c r="A2788" t="s">
        <v>3644</v>
      </c>
      <c r="B2788" s="2">
        <v>45792</v>
      </c>
      <c r="C2788" t="s">
        <v>386</v>
      </c>
      <c r="D2788" t="s">
        <v>766</v>
      </c>
      <c r="E2788" t="s">
        <v>835</v>
      </c>
      <c r="F2788">
        <v>2</v>
      </c>
      <c r="G2788">
        <v>0.1</v>
      </c>
      <c r="H2788" t="s">
        <v>865</v>
      </c>
      <c r="I2788" t="str">
        <f>VLOOKUP(C2788,Customers!A:C,2,FALSE)&amp;" "&amp;VLOOKUP(C2788,Customers!A:C,3,FALSE)</f>
        <v>David Burns</v>
      </c>
      <c r="J2788" t="str">
        <f>VLOOKUP(D2788,Products!A:C,2,FALSE)</f>
        <v>Firm Dairy</v>
      </c>
      <c r="K2788" t="str">
        <f>VLOOKUP(D2788,Products!A:C,3,FALSE)</f>
        <v>Groceries</v>
      </c>
      <c r="L2788" t="str">
        <f>VLOOKUP(E2788,Stores!A:B,2,FALSE)</f>
        <v>MegaMart Peckmouth</v>
      </c>
      <c r="M2788">
        <f>VLOOKUP(D2788,Products!A:E,5,FALSE)</f>
        <v>1227.24</v>
      </c>
      <c r="N2788" s="5">
        <f t="shared" si="43"/>
        <v>2209.0320000000002</v>
      </c>
    </row>
    <row r="2789" spans="1:14" x14ac:dyDescent="0.3">
      <c r="A2789" t="s">
        <v>3645</v>
      </c>
      <c r="B2789" s="2">
        <v>45466</v>
      </c>
      <c r="C2789" t="s">
        <v>327</v>
      </c>
      <c r="D2789" t="s">
        <v>802</v>
      </c>
      <c r="E2789" t="s">
        <v>842</v>
      </c>
      <c r="F2789">
        <v>1</v>
      </c>
      <c r="G2789">
        <v>0.1</v>
      </c>
      <c r="H2789" t="s">
        <v>865</v>
      </c>
      <c r="I2789" t="str">
        <f>VLOOKUP(C2789,Customers!A:C,2,FALSE)&amp;" "&amp;VLOOKUP(C2789,Customers!A:C,3,FALSE)</f>
        <v>Laurie Mason</v>
      </c>
      <c r="J2789" t="str">
        <f>VLOOKUP(D2789,Products!A:C,2,FALSE)</f>
        <v>Stage Footwear</v>
      </c>
      <c r="K2789" t="str">
        <f>VLOOKUP(D2789,Products!A:C,3,FALSE)</f>
        <v>Fashion</v>
      </c>
      <c r="L2789" t="str">
        <f>VLOOKUP(E2789,Stores!A:B,2,FALSE)</f>
        <v>MegaMart Brianahaven</v>
      </c>
      <c r="M2789">
        <f>VLOOKUP(D2789,Products!A:E,5,FALSE)</f>
        <v>366.93</v>
      </c>
      <c r="N2789" s="5">
        <f t="shared" si="43"/>
        <v>330.23700000000002</v>
      </c>
    </row>
    <row r="2790" spans="1:14" x14ac:dyDescent="0.3">
      <c r="A2790" t="s">
        <v>3646</v>
      </c>
      <c r="B2790" s="2">
        <v>45733</v>
      </c>
      <c r="C2790" t="s">
        <v>560</v>
      </c>
      <c r="D2790" t="s">
        <v>814</v>
      </c>
      <c r="E2790" t="s">
        <v>831</v>
      </c>
      <c r="F2790">
        <v>5</v>
      </c>
      <c r="G2790">
        <v>0</v>
      </c>
      <c r="H2790" t="s">
        <v>855</v>
      </c>
      <c r="I2790" t="str">
        <f>VLOOKUP(C2790,Customers!A:C,2,FALSE)&amp;" "&amp;VLOOKUP(C2790,Customers!A:C,3,FALSE)</f>
        <v>George Young</v>
      </c>
      <c r="J2790" t="str">
        <f>VLOOKUP(D2790,Products!A:C,2,FALSE)</f>
        <v>Least Accessories</v>
      </c>
      <c r="K2790" t="str">
        <f>VLOOKUP(D2790,Products!A:C,3,FALSE)</f>
        <v>Fashion</v>
      </c>
      <c r="L2790" t="str">
        <f>VLOOKUP(E2790,Stores!A:B,2,FALSE)</f>
        <v>MegaMart Jimenezborough</v>
      </c>
      <c r="M2790">
        <f>VLOOKUP(D2790,Products!A:E,5,FALSE)</f>
        <v>1286.55</v>
      </c>
      <c r="N2790" s="5">
        <f t="shared" si="43"/>
        <v>6432.75</v>
      </c>
    </row>
    <row r="2791" spans="1:14" x14ac:dyDescent="0.3">
      <c r="A2791" t="s">
        <v>3647</v>
      </c>
      <c r="B2791" s="2">
        <v>45233</v>
      </c>
      <c r="C2791" t="s">
        <v>101</v>
      </c>
      <c r="D2791" t="s">
        <v>772</v>
      </c>
      <c r="E2791" t="s">
        <v>835</v>
      </c>
      <c r="F2791">
        <v>1</v>
      </c>
      <c r="G2791">
        <v>0</v>
      </c>
      <c r="H2791" t="s">
        <v>865</v>
      </c>
      <c r="I2791" t="str">
        <f>VLOOKUP(C2791,Customers!A:C,2,FALSE)&amp;" "&amp;VLOOKUP(C2791,Customers!A:C,3,FALSE)</f>
        <v>Cheryl Gilbert</v>
      </c>
      <c r="J2791" t="str">
        <f>VLOOKUP(D2791,Products!A:C,2,FALSE)</f>
        <v>And Footwear</v>
      </c>
      <c r="K2791" t="str">
        <f>VLOOKUP(D2791,Products!A:C,3,FALSE)</f>
        <v>Fashion</v>
      </c>
      <c r="L2791" t="str">
        <f>VLOOKUP(E2791,Stores!A:B,2,FALSE)</f>
        <v>MegaMart Peckmouth</v>
      </c>
      <c r="M2791">
        <f>VLOOKUP(D2791,Products!A:E,5,FALSE)</f>
        <v>1878.47</v>
      </c>
      <c r="N2791" s="5">
        <f t="shared" si="43"/>
        <v>1878.47</v>
      </c>
    </row>
    <row r="2792" spans="1:14" x14ac:dyDescent="0.3">
      <c r="A2792" t="s">
        <v>3648</v>
      </c>
      <c r="B2792" s="2">
        <v>45857</v>
      </c>
      <c r="C2792" t="s">
        <v>317</v>
      </c>
      <c r="D2792" t="s">
        <v>780</v>
      </c>
      <c r="E2792" t="s">
        <v>842</v>
      </c>
      <c r="F2792">
        <v>3</v>
      </c>
      <c r="G2792">
        <v>0</v>
      </c>
      <c r="H2792" t="s">
        <v>855</v>
      </c>
      <c r="I2792" t="str">
        <f>VLOOKUP(C2792,Customers!A:C,2,FALSE)&amp;" "&amp;VLOOKUP(C2792,Customers!A:C,3,FALSE)</f>
        <v>Amanda Lee</v>
      </c>
      <c r="J2792" t="str">
        <f>VLOOKUP(D2792,Products!A:C,2,FALSE)</f>
        <v>Hospital Smartphone</v>
      </c>
      <c r="K2792" t="str">
        <f>VLOOKUP(D2792,Products!A:C,3,FALSE)</f>
        <v>Electronics</v>
      </c>
      <c r="L2792" t="str">
        <f>VLOOKUP(E2792,Stores!A:B,2,FALSE)</f>
        <v>MegaMart Brianahaven</v>
      </c>
      <c r="M2792">
        <f>VLOOKUP(D2792,Products!A:E,5,FALSE)</f>
        <v>1272.23</v>
      </c>
      <c r="N2792" s="5">
        <f t="shared" si="43"/>
        <v>3816.69</v>
      </c>
    </row>
    <row r="2793" spans="1:14" x14ac:dyDescent="0.3">
      <c r="A2793" t="s">
        <v>3649</v>
      </c>
      <c r="B2793" s="2">
        <v>45564</v>
      </c>
      <c r="C2793" t="s">
        <v>74</v>
      </c>
      <c r="D2793" t="s">
        <v>792</v>
      </c>
      <c r="E2793" t="s">
        <v>835</v>
      </c>
      <c r="F2793">
        <v>2</v>
      </c>
      <c r="G2793">
        <v>0.15</v>
      </c>
      <c r="H2793" t="s">
        <v>861</v>
      </c>
      <c r="I2793" t="str">
        <f>VLOOKUP(C2793,Customers!A:C,2,FALSE)&amp;" "&amp;VLOOKUP(C2793,Customers!A:C,3,FALSE)</f>
        <v>Breanna Davis</v>
      </c>
      <c r="J2793" t="str">
        <f>VLOOKUP(D2793,Products!A:C,2,FALSE)</f>
        <v>Beat Accessories</v>
      </c>
      <c r="K2793" t="str">
        <f>VLOOKUP(D2793,Products!A:C,3,FALSE)</f>
        <v>Fashion</v>
      </c>
      <c r="L2793" t="str">
        <f>VLOOKUP(E2793,Stores!A:B,2,FALSE)</f>
        <v>MegaMart Peckmouth</v>
      </c>
      <c r="M2793">
        <f>VLOOKUP(D2793,Products!A:E,5,FALSE)</f>
        <v>1798.97</v>
      </c>
      <c r="N2793" s="5">
        <f t="shared" si="43"/>
        <v>3058.2489999999998</v>
      </c>
    </row>
    <row r="2794" spans="1:14" x14ac:dyDescent="0.3">
      <c r="A2794" t="s">
        <v>3650</v>
      </c>
      <c r="B2794" s="2">
        <v>45529</v>
      </c>
      <c r="C2794" t="s">
        <v>503</v>
      </c>
      <c r="D2794" t="s">
        <v>800</v>
      </c>
      <c r="E2794" t="s">
        <v>835</v>
      </c>
      <c r="F2794">
        <v>3</v>
      </c>
      <c r="G2794">
        <v>0</v>
      </c>
      <c r="H2794" t="s">
        <v>861</v>
      </c>
      <c r="I2794" t="str">
        <f>VLOOKUP(C2794,Customers!A:C,2,FALSE)&amp;" "&amp;VLOOKUP(C2794,Customers!A:C,3,FALSE)</f>
        <v>Breanna Moore</v>
      </c>
      <c r="J2794" t="str">
        <f>VLOOKUP(D2794,Products!A:C,2,FALSE)</f>
        <v>Book Television</v>
      </c>
      <c r="K2794" t="str">
        <f>VLOOKUP(D2794,Products!A:C,3,FALSE)</f>
        <v>Electronics</v>
      </c>
      <c r="L2794" t="str">
        <f>VLOOKUP(E2794,Stores!A:B,2,FALSE)</f>
        <v>MegaMart Peckmouth</v>
      </c>
      <c r="M2794">
        <f>VLOOKUP(D2794,Products!A:E,5,FALSE)</f>
        <v>1952.65</v>
      </c>
      <c r="N2794" s="5">
        <f t="shared" si="43"/>
        <v>5857.9500000000007</v>
      </c>
    </row>
    <row r="2795" spans="1:14" x14ac:dyDescent="0.3">
      <c r="A2795" t="s">
        <v>3651</v>
      </c>
      <c r="B2795" s="2">
        <v>45386</v>
      </c>
      <c r="C2795" t="s">
        <v>554</v>
      </c>
      <c r="D2795" t="s">
        <v>715</v>
      </c>
      <c r="E2795" t="s">
        <v>839</v>
      </c>
      <c r="F2795">
        <v>5</v>
      </c>
      <c r="G2795">
        <v>0.05</v>
      </c>
      <c r="H2795" t="s">
        <v>858</v>
      </c>
      <c r="I2795" t="str">
        <f>VLOOKUP(C2795,Customers!A:C,2,FALSE)&amp;" "&amp;VLOOKUP(C2795,Customers!A:C,3,FALSE)</f>
        <v>Lisa Martinez</v>
      </c>
      <c r="J2795" t="str">
        <f>VLOOKUP(D2795,Products!A:C,2,FALSE)</f>
        <v>Audience Television</v>
      </c>
      <c r="K2795" t="str">
        <f>VLOOKUP(D2795,Products!A:C,3,FALSE)</f>
        <v>Electronics</v>
      </c>
      <c r="L2795" t="str">
        <f>VLOOKUP(E2795,Stores!A:B,2,FALSE)</f>
        <v>MegaMart New Michele</v>
      </c>
      <c r="M2795">
        <f>VLOOKUP(D2795,Products!A:E,5,FALSE)</f>
        <v>818.76</v>
      </c>
      <c r="N2795" s="5">
        <f t="shared" si="43"/>
        <v>3889.11</v>
      </c>
    </row>
    <row r="2796" spans="1:14" x14ac:dyDescent="0.3">
      <c r="A2796" t="s">
        <v>3652</v>
      </c>
      <c r="B2796" s="2">
        <v>45348</v>
      </c>
      <c r="C2796" t="s">
        <v>640</v>
      </c>
      <c r="D2796" t="s">
        <v>806</v>
      </c>
      <c r="E2796" t="s">
        <v>835</v>
      </c>
      <c r="F2796">
        <v>5</v>
      </c>
      <c r="G2796">
        <v>0.05</v>
      </c>
      <c r="H2796" t="s">
        <v>858</v>
      </c>
      <c r="I2796" t="str">
        <f>VLOOKUP(C2796,Customers!A:C,2,FALSE)&amp;" "&amp;VLOOKUP(C2796,Customers!A:C,3,FALSE)</f>
        <v>Brittany Oneal</v>
      </c>
      <c r="J2796" t="str">
        <f>VLOOKUP(D2796,Products!A:C,2,FALSE)</f>
        <v>Piece Headphones</v>
      </c>
      <c r="K2796" t="str">
        <f>VLOOKUP(D2796,Products!A:C,3,FALSE)</f>
        <v>Electronics</v>
      </c>
      <c r="L2796" t="str">
        <f>VLOOKUP(E2796,Stores!A:B,2,FALSE)</f>
        <v>MegaMart Peckmouth</v>
      </c>
      <c r="M2796">
        <f>VLOOKUP(D2796,Products!A:E,5,FALSE)</f>
        <v>1745.61</v>
      </c>
      <c r="N2796" s="5">
        <f t="shared" si="43"/>
        <v>8291.6474999999991</v>
      </c>
    </row>
    <row r="2797" spans="1:14" x14ac:dyDescent="0.3">
      <c r="A2797" t="s">
        <v>3653</v>
      </c>
      <c r="B2797" s="2">
        <v>45245</v>
      </c>
      <c r="C2797" t="s">
        <v>36</v>
      </c>
      <c r="D2797" t="s">
        <v>745</v>
      </c>
      <c r="E2797" t="s">
        <v>846</v>
      </c>
      <c r="F2797">
        <v>1</v>
      </c>
      <c r="G2797">
        <v>0</v>
      </c>
      <c r="H2797" t="s">
        <v>855</v>
      </c>
      <c r="I2797" t="str">
        <f>VLOOKUP(C2797,Customers!A:C,2,FALSE)&amp;" "&amp;VLOOKUP(C2797,Customers!A:C,3,FALSE)</f>
        <v>Isaiah Williams</v>
      </c>
      <c r="J2797" t="str">
        <f>VLOOKUP(D2797,Products!A:C,2,FALSE)</f>
        <v>Above Camera</v>
      </c>
      <c r="K2797" t="str">
        <f>VLOOKUP(D2797,Products!A:C,3,FALSE)</f>
        <v>Electronics</v>
      </c>
      <c r="L2797" t="str">
        <f>VLOOKUP(E2797,Stores!A:B,2,FALSE)</f>
        <v>MegaMart Johnmouth</v>
      </c>
      <c r="M2797">
        <f>VLOOKUP(D2797,Products!A:E,5,FALSE)</f>
        <v>1193.0899999999999</v>
      </c>
      <c r="N2797" s="5">
        <f t="shared" si="43"/>
        <v>1193.0899999999999</v>
      </c>
    </row>
    <row r="2798" spans="1:14" x14ac:dyDescent="0.3">
      <c r="A2798" t="s">
        <v>3654</v>
      </c>
      <c r="B2798" s="2">
        <v>45236</v>
      </c>
      <c r="C2798" t="s">
        <v>284</v>
      </c>
      <c r="D2798" t="s">
        <v>774</v>
      </c>
      <c r="E2798" t="s">
        <v>831</v>
      </c>
      <c r="F2798">
        <v>3</v>
      </c>
      <c r="G2798">
        <v>0.05</v>
      </c>
      <c r="H2798" t="s">
        <v>861</v>
      </c>
      <c r="I2798" t="str">
        <f>VLOOKUP(C2798,Customers!A:C,2,FALSE)&amp;" "&amp;VLOOKUP(C2798,Customers!A:C,3,FALSE)</f>
        <v>Seth Moore</v>
      </c>
      <c r="J2798" t="str">
        <f>VLOOKUP(D2798,Products!A:C,2,FALSE)</f>
        <v>Him Smartphone</v>
      </c>
      <c r="K2798" t="str">
        <f>VLOOKUP(D2798,Products!A:C,3,FALSE)</f>
        <v>Electronics</v>
      </c>
      <c r="L2798" t="str">
        <f>VLOOKUP(E2798,Stores!A:B,2,FALSE)</f>
        <v>MegaMart Jimenezborough</v>
      </c>
      <c r="M2798">
        <f>VLOOKUP(D2798,Products!A:E,5,FALSE)</f>
        <v>1487.41</v>
      </c>
      <c r="N2798" s="5">
        <f t="shared" si="43"/>
        <v>4239.1185000000005</v>
      </c>
    </row>
    <row r="2799" spans="1:14" x14ac:dyDescent="0.3">
      <c r="A2799" t="s">
        <v>3655</v>
      </c>
      <c r="B2799" s="2">
        <v>45270</v>
      </c>
      <c r="C2799" t="s">
        <v>105</v>
      </c>
      <c r="D2799" t="s">
        <v>782</v>
      </c>
      <c r="E2799" t="s">
        <v>842</v>
      </c>
      <c r="F2799">
        <v>2</v>
      </c>
      <c r="G2799">
        <v>0.05</v>
      </c>
      <c r="H2799" t="s">
        <v>855</v>
      </c>
      <c r="I2799" t="str">
        <f>VLOOKUP(C2799,Customers!A:C,2,FALSE)&amp;" "&amp;VLOOKUP(C2799,Customers!A:C,3,FALSE)</f>
        <v>Justin Macdonald</v>
      </c>
      <c r="J2799" t="str">
        <f>VLOOKUP(D2799,Products!A:C,2,FALSE)</f>
        <v>Deal Smartphone</v>
      </c>
      <c r="K2799" t="str">
        <f>VLOOKUP(D2799,Products!A:C,3,FALSE)</f>
        <v>Electronics</v>
      </c>
      <c r="L2799" t="str">
        <f>VLOOKUP(E2799,Stores!A:B,2,FALSE)</f>
        <v>MegaMart Brianahaven</v>
      </c>
      <c r="M2799">
        <f>VLOOKUP(D2799,Products!A:E,5,FALSE)</f>
        <v>673.78</v>
      </c>
      <c r="N2799" s="5">
        <f t="shared" si="43"/>
        <v>1280.1819999999998</v>
      </c>
    </row>
    <row r="2800" spans="1:14" x14ac:dyDescent="0.3">
      <c r="A2800" t="s">
        <v>3656</v>
      </c>
      <c r="B2800" s="2">
        <v>45473</v>
      </c>
      <c r="C2800" t="s">
        <v>435</v>
      </c>
      <c r="D2800" t="s">
        <v>792</v>
      </c>
      <c r="E2800" t="s">
        <v>846</v>
      </c>
      <c r="F2800">
        <v>4</v>
      </c>
      <c r="G2800">
        <v>0.15</v>
      </c>
      <c r="H2800" t="s">
        <v>865</v>
      </c>
      <c r="I2800" t="str">
        <f>VLOOKUP(C2800,Customers!A:C,2,FALSE)&amp;" "&amp;VLOOKUP(C2800,Customers!A:C,3,FALSE)</f>
        <v>Timothy Beck</v>
      </c>
      <c r="J2800" t="str">
        <f>VLOOKUP(D2800,Products!A:C,2,FALSE)</f>
        <v>Beat Accessories</v>
      </c>
      <c r="K2800" t="str">
        <f>VLOOKUP(D2800,Products!A:C,3,FALSE)</f>
        <v>Fashion</v>
      </c>
      <c r="L2800" t="str">
        <f>VLOOKUP(E2800,Stores!A:B,2,FALSE)</f>
        <v>MegaMart Johnmouth</v>
      </c>
      <c r="M2800">
        <f>VLOOKUP(D2800,Products!A:E,5,FALSE)</f>
        <v>1798.97</v>
      </c>
      <c r="N2800" s="5">
        <f t="shared" si="43"/>
        <v>6116.4979999999996</v>
      </c>
    </row>
    <row r="2801" spans="1:14" x14ac:dyDescent="0.3">
      <c r="A2801" t="s">
        <v>3657</v>
      </c>
      <c r="B2801" s="2">
        <v>45491</v>
      </c>
      <c r="C2801" t="s">
        <v>612</v>
      </c>
      <c r="D2801" t="s">
        <v>734</v>
      </c>
      <c r="E2801" t="s">
        <v>846</v>
      </c>
      <c r="F2801">
        <v>1</v>
      </c>
      <c r="G2801">
        <v>0.1</v>
      </c>
      <c r="H2801" t="s">
        <v>861</v>
      </c>
      <c r="I2801" t="str">
        <f>VLOOKUP(C2801,Customers!A:C,2,FALSE)&amp;" "&amp;VLOOKUP(C2801,Customers!A:C,3,FALSE)</f>
        <v>Michelle Smith</v>
      </c>
      <c r="J2801" t="str">
        <f>VLOOKUP(D2801,Products!A:C,2,FALSE)</f>
        <v>Recognize Footwear</v>
      </c>
      <c r="K2801" t="str">
        <f>VLOOKUP(D2801,Products!A:C,3,FALSE)</f>
        <v>Fashion</v>
      </c>
      <c r="L2801" t="str">
        <f>VLOOKUP(E2801,Stores!A:B,2,FALSE)</f>
        <v>MegaMart Johnmouth</v>
      </c>
      <c r="M2801">
        <f>VLOOKUP(D2801,Products!A:E,5,FALSE)</f>
        <v>109.78</v>
      </c>
      <c r="N2801" s="5">
        <f t="shared" si="43"/>
        <v>98.802000000000007</v>
      </c>
    </row>
    <row r="2802" spans="1:14" x14ac:dyDescent="0.3">
      <c r="A2802" t="s">
        <v>3658</v>
      </c>
      <c r="B2802" s="2">
        <v>45328</v>
      </c>
      <c r="C2802" t="s">
        <v>355</v>
      </c>
      <c r="D2802" t="s">
        <v>818</v>
      </c>
      <c r="E2802" t="s">
        <v>835</v>
      </c>
      <c r="F2802">
        <v>2</v>
      </c>
      <c r="G2802">
        <v>0.15</v>
      </c>
      <c r="H2802" t="s">
        <v>861</v>
      </c>
      <c r="I2802" t="str">
        <f>VLOOKUP(C2802,Customers!A:C,2,FALSE)&amp;" "&amp;VLOOKUP(C2802,Customers!A:C,3,FALSE)</f>
        <v>Kimberly Stokes</v>
      </c>
      <c r="J2802" t="str">
        <f>VLOOKUP(D2802,Products!A:C,2,FALSE)</f>
        <v>Nature Clothing</v>
      </c>
      <c r="K2802" t="str">
        <f>VLOOKUP(D2802,Products!A:C,3,FALSE)</f>
        <v>Fashion</v>
      </c>
      <c r="L2802" t="str">
        <f>VLOOKUP(E2802,Stores!A:B,2,FALSE)</f>
        <v>MegaMart Peckmouth</v>
      </c>
      <c r="M2802">
        <f>VLOOKUP(D2802,Products!A:E,5,FALSE)</f>
        <v>1165.3699999999999</v>
      </c>
      <c r="N2802" s="5">
        <f t="shared" si="43"/>
        <v>1981.1289999999997</v>
      </c>
    </row>
    <row r="2803" spans="1:14" x14ac:dyDescent="0.3">
      <c r="A2803" t="s">
        <v>3659</v>
      </c>
      <c r="B2803" s="2">
        <v>45739</v>
      </c>
      <c r="C2803" t="s">
        <v>390</v>
      </c>
      <c r="D2803" t="s">
        <v>715</v>
      </c>
      <c r="E2803" t="s">
        <v>831</v>
      </c>
      <c r="F2803">
        <v>3</v>
      </c>
      <c r="G2803">
        <v>0</v>
      </c>
      <c r="H2803" t="s">
        <v>858</v>
      </c>
      <c r="I2803" t="str">
        <f>VLOOKUP(C2803,Customers!A:C,2,FALSE)&amp;" "&amp;VLOOKUP(C2803,Customers!A:C,3,FALSE)</f>
        <v>Brenda Dean</v>
      </c>
      <c r="J2803" t="str">
        <f>VLOOKUP(D2803,Products!A:C,2,FALSE)</f>
        <v>Audience Television</v>
      </c>
      <c r="K2803" t="str">
        <f>VLOOKUP(D2803,Products!A:C,3,FALSE)</f>
        <v>Electronics</v>
      </c>
      <c r="L2803" t="str">
        <f>VLOOKUP(E2803,Stores!A:B,2,FALSE)</f>
        <v>MegaMart Jimenezborough</v>
      </c>
      <c r="M2803">
        <f>VLOOKUP(D2803,Products!A:E,5,FALSE)</f>
        <v>818.76</v>
      </c>
      <c r="N2803" s="5">
        <f t="shared" si="43"/>
        <v>2456.2799999999997</v>
      </c>
    </row>
    <row r="2804" spans="1:14" x14ac:dyDescent="0.3">
      <c r="A2804" t="s">
        <v>3660</v>
      </c>
      <c r="B2804" s="2">
        <v>45293</v>
      </c>
      <c r="C2804" t="s">
        <v>601</v>
      </c>
      <c r="D2804" t="s">
        <v>782</v>
      </c>
      <c r="E2804" t="s">
        <v>846</v>
      </c>
      <c r="F2804">
        <v>1</v>
      </c>
      <c r="G2804">
        <v>0</v>
      </c>
      <c r="H2804" t="s">
        <v>855</v>
      </c>
      <c r="I2804" t="str">
        <f>VLOOKUP(C2804,Customers!A:C,2,FALSE)&amp;" "&amp;VLOOKUP(C2804,Customers!A:C,3,FALSE)</f>
        <v>Travis Watson</v>
      </c>
      <c r="J2804" t="str">
        <f>VLOOKUP(D2804,Products!A:C,2,FALSE)</f>
        <v>Deal Smartphone</v>
      </c>
      <c r="K2804" t="str">
        <f>VLOOKUP(D2804,Products!A:C,3,FALSE)</f>
        <v>Electronics</v>
      </c>
      <c r="L2804" t="str">
        <f>VLOOKUP(E2804,Stores!A:B,2,FALSE)</f>
        <v>MegaMart Johnmouth</v>
      </c>
      <c r="M2804">
        <f>VLOOKUP(D2804,Products!A:E,5,FALSE)</f>
        <v>673.78</v>
      </c>
      <c r="N2804" s="5">
        <f t="shared" si="43"/>
        <v>673.78</v>
      </c>
    </row>
    <row r="2805" spans="1:14" x14ac:dyDescent="0.3">
      <c r="A2805" t="s">
        <v>3661</v>
      </c>
      <c r="B2805" s="2">
        <v>45339</v>
      </c>
      <c r="C2805" t="s">
        <v>494</v>
      </c>
      <c r="D2805" t="s">
        <v>814</v>
      </c>
      <c r="E2805" t="s">
        <v>846</v>
      </c>
      <c r="F2805">
        <v>5</v>
      </c>
      <c r="G2805">
        <v>0.15</v>
      </c>
      <c r="H2805" t="s">
        <v>861</v>
      </c>
      <c r="I2805" t="str">
        <f>VLOOKUP(C2805,Customers!A:C,2,FALSE)&amp;" "&amp;VLOOKUP(C2805,Customers!A:C,3,FALSE)</f>
        <v>Mario Cuevas</v>
      </c>
      <c r="J2805" t="str">
        <f>VLOOKUP(D2805,Products!A:C,2,FALSE)</f>
        <v>Least Accessories</v>
      </c>
      <c r="K2805" t="str">
        <f>VLOOKUP(D2805,Products!A:C,3,FALSE)</f>
        <v>Fashion</v>
      </c>
      <c r="L2805" t="str">
        <f>VLOOKUP(E2805,Stores!A:B,2,FALSE)</f>
        <v>MegaMart Johnmouth</v>
      </c>
      <c r="M2805">
        <f>VLOOKUP(D2805,Products!A:E,5,FALSE)</f>
        <v>1286.55</v>
      </c>
      <c r="N2805" s="5">
        <f t="shared" si="43"/>
        <v>5467.8374999999996</v>
      </c>
    </row>
    <row r="2806" spans="1:14" x14ac:dyDescent="0.3">
      <c r="A2806" t="s">
        <v>3662</v>
      </c>
      <c r="B2806" s="2">
        <v>45680</v>
      </c>
      <c r="C2806" t="s">
        <v>277</v>
      </c>
      <c r="D2806" t="s">
        <v>794</v>
      </c>
      <c r="E2806" t="s">
        <v>839</v>
      </c>
      <c r="F2806">
        <v>2</v>
      </c>
      <c r="G2806">
        <v>0.15</v>
      </c>
      <c r="H2806" t="s">
        <v>861</v>
      </c>
      <c r="I2806" t="str">
        <f>VLOOKUP(C2806,Customers!A:C,2,FALSE)&amp;" "&amp;VLOOKUP(C2806,Customers!A:C,3,FALSE)</f>
        <v>Carl Armstrong</v>
      </c>
      <c r="J2806" t="str">
        <f>VLOOKUP(D2806,Products!A:C,2,FALSE)</f>
        <v>Everything Laptop</v>
      </c>
      <c r="K2806" t="str">
        <f>VLOOKUP(D2806,Products!A:C,3,FALSE)</f>
        <v>Electronics</v>
      </c>
      <c r="L2806" t="str">
        <f>VLOOKUP(E2806,Stores!A:B,2,FALSE)</f>
        <v>MegaMart New Michele</v>
      </c>
      <c r="M2806">
        <f>VLOOKUP(D2806,Products!A:E,5,FALSE)</f>
        <v>428.05</v>
      </c>
      <c r="N2806" s="5">
        <f t="shared" si="43"/>
        <v>727.68499999999995</v>
      </c>
    </row>
    <row r="2807" spans="1:14" x14ac:dyDescent="0.3">
      <c r="A2807" t="s">
        <v>3663</v>
      </c>
      <c r="B2807" s="2">
        <v>45471</v>
      </c>
      <c r="C2807" t="s">
        <v>284</v>
      </c>
      <c r="D2807" t="s">
        <v>766</v>
      </c>
      <c r="E2807" t="s">
        <v>842</v>
      </c>
      <c r="F2807">
        <v>4</v>
      </c>
      <c r="G2807">
        <v>0.15</v>
      </c>
      <c r="H2807" t="s">
        <v>858</v>
      </c>
      <c r="I2807" t="str">
        <f>VLOOKUP(C2807,Customers!A:C,2,FALSE)&amp;" "&amp;VLOOKUP(C2807,Customers!A:C,3,FALSE)</f>
        <v>Seth Moore</v>
      </c>
      <c r="J2807" t="str">
        <f>VLOOKUP(D2807,Products!A:C,2,FALSE)</f>
        <v>Firm Dairy</v>
      </c>
      <c r="K2807" t="str">
        <f>VLOOKUP(D2807,Products!A:C,3,FALSE)</f>
        <v>Groceries</v>
      </c>
      <c r="L2807" t="str">
        <f>VLOOKUP(E2807,Stores!A:B,2,FALSE)</f>
        <v>MegaMart Brianahaven</v>
      </c>
      <c r="M2807">
        <f>VLOOKUP(D2807,Products!A:E,5,FALSE)</f>
        <v>1227.24</v>
      </c>
      <c r="N2807" s="5">
        <f t="shared" si="43"/>
        <v>4172.616</v>
      </c>
    </row>
    <row r="2808" spans="1:14" x14ac:dyDescent="0.3">
      <c r="A2808" t="s">
        <v>3664</v>
      </c>
      <c r="B2808" s="2">
        <v>45462</v>
      </c>
      <c r="C2808" t="s">
        <v>89</v>
      </c>
      <c r="D2808" t="s">
        <v>764</v>
      </c>
      <c r="E2808" t="s">
        <v>842</v>
      </c>
      <c r="F2808">
        <v>1</v>
      </c>
      <c r="G2808">
        <v>0.15</v>
      </c>
      <c r="H2808" t="s">
        <v>865</v>
      </c>
      <c r="I2808" t="str">
        <f>VLOOKUP(C2808,Customers!A:C,2,FALSE)&amp;" "&amp;VLOOKUP(C2808,Customers!A:C,3,FALSE)</f>
        <v>Megan Velasquez</v>
      </c>
      <c r="J2808" t="str">
        <f>VLOOKUP(D2808,Products!A:C,2,FALSE)</f>
        <v>Simple Accessories</v>
      </c>
      <c r="K2808" t="str">
        <f>VLOOKUP(D2808,Products!A:C,3,FALSE)</f>
        <v>Fashion</v>
      </c>
      <c r="L2808" t="str">
        <f>VLOOKUP(E2808,Stores!A:B,2,FALSE)</f>
        <v>MegaMart Brianahaven</v>
      </c>
      <c r="M2808">
        <f>VLOOKUP(D2808,Products!A:E,5,FALSE)</f>
        <v>323.92</v>
      </c>
      <c r="N2808" s="5">
        <f t="shared" si="43"/>
        <v>275.33199999999999</v>
      </c>
    </row>
    <row r="2809" spans="1:14" x14ac:dyDescent="0.3">
      <c r="A2809" t="s">
        <v>3665</v>
      </c>
      <c r="B2809" s="2">
        <v>45320</v>
      </c>
      <c r="C2809" t="s">
        <v>313</v>
      </c>
      <c r="D2809" t="s">
        <v>778</v>
      </c>
      <c r="E2809" t="s">
        <v>846</v>
      </c>
      <c r="F2809">
        <v>4</v>
      </c>
      <c r="G2809">
        <v>0.15</v>
      </c>
      <c r="H2809" t="s">
        <v>855</v>
      </c>
      <c r="I2809" t="str">
        <f>VLOOKUP(C2809,Customers!A:C,2,FALSE)&amp;" "&amp;VLOOKUP(C2809,Customers!A:C,3,FALSE)</f>
        <v>Jeremy Robles</v>
      </c>
      <c r="J2809" t="str">
        <f>VLOOKUP(D2809,Products!A:C,2,FALSE)</f>
        <v>Behavior Dairy</v>
      </c>
      <c r="K2809" t="str">
        <f>VLOOKUP(D2809,Products!A:C,3,FALSE)</f>
        <v>Groceries</v>
      </c>
      <c r="L2809" t="str">
        <f>VLOOKUP(E2809,Stores!A:B,2,FALSE)</f>
        <v>MegaMart Johnmouth</v>
      </c>
      <c r="M2809">
        <f>VLOOKUP(D2809,Products!A:E,5,FALSE)</f>
        <v>1015.76</v>
      </c>
      <c r="N2809" s="5">
        <f t="shared" si="43"/>
        <v>3453.5839999999998</v>
      </c>
    </row>
    <row r="2810" spans="1:14" x14ac:dyDescent="0.3">
      <c r="A2810" t="s">
        <v>3666</v>
      </c>
      <c r="B2810" s="2">
        <v>45874</v>
      </c>
      <c r="C2810" t="s">
        <v>469</v>
      </c>
      <c r="D2810" t="s">
        <v>778</v>
      </c>
      <c r="E2810" t="s">
        <v>839</v>
      </c>
      <c r="F2810">
        <v>1</v>
      </c>
      <c r="G2810">
        <v>0</v>
      </c>
      <c r="H2810" t="s">
        <v>861</v>
      </c>
      <c r="I2810" t="str">
        <f>VLOOKUP(C2810,Customers!A:C,2,FALSE)&amp;" "&amp;VLOOKUP(C2810,Customers!A:C,3,FALSE)</f>
        <v>Robert Collins</v>
      </c>
      <c r="J2810" t="str">
        <f>VLOOKUP(D2810,Products!A:C,2,FALSE)</f>
        <v>Behavior Dairy</v>
      </c>
      <c r="K2810" t="str">
        <f>VLOOKUP(D2810,Products!A:C,3,FALSE)</f>
        <v>Groceries</v>
      </c>
      <c r="L2810" t="str">
        <f>VLOOKUP(E2810,Stores!A:B,2,FALSE)</f>
        <v>MegaMart New Michele</v>
      </c>
      <c r="M2810">
        <f>VLOOKUP(D2810,Products!A:E,5,FALSE)</f>
        <v>1015.76</v>
      </c>
      <c r="N2810" s="5">
        <f t="shared" si="43"/>
        <v>1015.76</v>
      </c>
    </row>
    <row r="2811" spans="1:14" x14ac:dyDescent="0.3">
      <c r="A2811" t="s">
        <v>3667</v>
      </c>
      <c r="B2811" s="2">
        <v>45818</v>
      </c>
      <c r="C2811" t="s">
        <v>93</v>
      </c>
      <c r="D2811" t="s">
        <v>800</v>
      </c>
      <c r="E2811" t="s">
        <v>839</v>
      </c>
      <c r="F2811">
        <v>5</v>
      </c>
      <c r="G2811">
        <v>0.05</v>
      </c>
      <c r="H2811" t="s">
        <v>855</v>
      </c>
      <c r="I2811" t="str">
        <f>VLOOKUP(C2811,Customers!A:C,2,FALSE)&amp;" "&amp;VLOOKUP(C2811,Customers!A:C,3,FALSE)</f>
        <v>Mark Martinez</v>
      </c>
      <c r="J2811" t="str">
        <f>VLOOKUP(D2811,Products!A:C,2,FALSE)</f>
        <v>Book Television</v>
      </c>
      <c r="K2811" t="str">
        <f>VLOOKUP(D2811,Products!A:C,3,FALSE)</f>
        <v>Electronics</v>
      </c>
      <c r="L2811" t="str">
        <f>VLOOKUP(E2811,Stores!A:B,2,FALSE)</f>
        <v>MegaMart New Michele</v>
      </c>
      <c r="M2811">
        <f>VLOOKUP(D2811,Products!A:E,5,FALSE)</f>
        <v>1952.65</v>
      </c>
      <c r="N2811" s="5">
        <f t="shared" si="43"/>
        <v>9275.0874999999996</v>
      </c>
    </row>
    <row r="2812" spans="1:14" x14ac:dyDescent="0.3">
      <c r="A2812" t="s">
        <v>3668</v>
      </c>
      <c r="B2812" s="2">
        <v>45706</v>
      </c>
      <c r="C2812" t="s">
        <v>670</v>
      </c>
      <c r="D2812" t="s">
        <v>778</v>
      </c>
      <c r="E2812" t="s">
        <v>831</v>
      </c>
      <c r="F2812">
        <v>5</v>
      </c>
      <c r="G2812">
        <v>0</v>
      </c>
      <c r="H2812" t="s">
        <v>865</v>
      </c>
      <c r="I2812" t="str">
        <f>VLOOKUP(C2812,Customers!A:C,2,FALSE)&amp;" "&amp;VLOOKUP(C2812,Customers!A:C,3,FALSE)</f>
        <v>Daniel Lawson</v>
      </c>
      <c r="J2812" t="str">
        <f>VLOOKUP(D2812,Products!A:C,2,FALSE)</f>
        <v>Behavior Dairy</v>
      </c>
      <c r="K2812" t="str">
        <f>VLOOKUP(D2812,Products!A:C,3,FALSE)</f>
        <v>Groceries</v>
      </c>
      <c r="L2812" t="str">
        <f>VLOOKUP(E2812,Stores!A:B,2,FALSE)</f>
        <v>MegaMart Jimenezborough</v>
      </c>
      <c r="M2812">
        <f>VLOOKUP(D2812,Products!A:E,5,FALSE)</f>
        <v>1015.76</v>
      </c>
      <c r="N2812" s="5">
        <f t="shared" si="43"/>
        <v>5078.8</v>
      </c>
    </row>
    <row r="2813" spans="1:14" x14ac:dyDescent="0.3">
      <c r="A2813" t="s">
        <v>3669</v>
      </c>
      <c r="B2813" s="2">
        <v>45469</v>
      </c>
      <c r="C2813" t="s">
        <v>294</v>
      </c>
      <c r="D2813" t="s">
        <v>810</v>
      </c>
      <c r="E2813" t="s">
        <v>842</v>
      </c>
      <c r="F2813">
        <v>2</v>
      </c>
      <c r="G2813">
        <v>0.1</v>
      </c>
      <c r="H2813" t="s">
        <v>865</v>
      </c>
      <c r="I2813" t="str">
        <f>VLOOKUP(C2813,Customers!A:C,2,FALSE)&amp;" "&amp;VLOOKUP(C2813,Customers!A:C,3,FALSE)</f>
        <v>Jeanne Young</v>
      </c>
      <c r="J2813" t="str">
        <f>VLOOKUP(D2813,Products!A:C,2,FALSE)</f>
        <v>Maybe Clothing</v>
      </c>
      <c r="K2813" t="str">
        <f>VLOOKUP(D2813,Products!A:C,3,FALSE)</f>
        <v>Fashion</v>
      </c>
      <c r="L2813" t="str">
        <f>VLOOKUP(E2813,Stores!A:B,2,FALSE)</f>
        <v>MegaMart Brianahaven</v>
      </c>
      <c r="M2813">
        <f>VLOOKUP(D2813,Products!A:E,5,FALSE)</f>
        <v>453.62</v>
      </c>
      <c r="N2813" s="5">
        <f t="shared" si="43"/>
        <v>816.51600000000008</v>
      </c>
    </row>
    <row r="2814" spans="1:14" x14ac:dyDescent="0.3">
      <c r="A2814" t="s">
        <v>3670</v>
      </c>
      <c r="B2814" s="2">
        <v>45696</v>
      </c>
      <c r="C2814" t="s">
        <v>625</v>
      </c>
      <c r="D2814" t="s">
        <v>764</v>
      </c>
      <c r="E2814" t="s">
        <v>842</v>
      </c>
      <c r="F2814">
        <v>5</v>
      </c>
      <c r="G2814">
        <v>0.05</v>
      </c>
      <c r="H2814" t="s">
        <v>855</v>
      </c>
      <c r="I2814" t="str">
        <f>VLOOKUP(C2814,Customers!A:C,2,FALSE)&amp;" "&amp;VLOOKUP(C2814,Customers!A:C,3,FALSE)</f>
        <v>Peter Garcia</v>
      </c>
      <c r="J2814" t="str">
        <f>VLOOKUP(D2814,Products!A:C,2,FALSE)</f>
        <v>Simple Accessories</v>
      </c>
      <c r="K2814" t="str">
        <f>VLOOKUP(D2814,Products!A:C,3,FALSE)</f>
        <v>Fashion</v>
      </c>
      <c r="L2814" t="str">
        <f>VLOOKUP(E2814,Stores!A:B,2,FALSE)</f>
        <v>MegaMart Brianahaven</v>
      </c>
      <c r="M2814">
        <f>VLOOKUP(D2814,Products!A:E,5,FALSE)</f>
        <v>323.92</v>
      </c>
      <c r="N2814" s="5">
        <f t="shared" si="43"/>
        <v>1538.6200000000001</v>
      </c>
    </row>
    <row r="2815" spans="1:14" x14ac:dyDescent="0.3">
      <c r="A2815" t="s">
        <v>3671</v>
      </c>
      <c r="B2815" s="2">
        <v>45522</v>
      </c>
      <c r="C2815" t="s">
        <v>621</v>
      </c>
      <c r="D2815" t="s">
        <v>759</v>
      </c>
      <c r="E2815" t="s">
        <v>831</v>
      </c>
      <c r="F2815">
        <v>2</v>
      </c>
      <c r="G2815">
        <v>0</v>
      </c>
      <c r="H2815" t="s">
        <v>858</v>
      </c>
      <c r="I2815" t="str">
        <f>VLOOKUP(C2815,Customers!A:C,2,FALSE)&amp;" "&amp;VLOOKUP(C2815,Customers!A:C,3,FALSE)</f>
        <v>Stacey Thompson</v>
      </c>
      <c r="J2815" t="str">
        <f>VLOOKUP(D2815,Products!A:C,2,FALSE)</f>
        <v>Democratic Smartphone</v>
      </c>
      <c r="K2815" t="str">
        <f>VLOOKUP(D2815,Products!A:C,3,FALSE)</f>
        <v>Electronics</v>
      </c>
      <c r="L2815" t="str">
        <f>VLOOKUP(E2815,Stores!A:B,2,FALSE)</f>
        <v>MegaMart Jimenezborough</v>
      </c>
      <c r="M2815">
        <f>VLOOKUP(D2815,Products!A:E,5,FALSE)</f>
        <v>1079.8900000000001</v>
      </c>
      <c r="N2815" s="5">
        <f t="shared" si="43"/>
        <v>2159.7800000000002</v>
      </c>
    </row>
    <row r="2816" spans="1:14" x14ac:dyDescent="0.3">
      <c r="A2816" t="s">
        <v>3672</v>
      </c>
      <c r="B2816" s="2">
        <v>45652</v>
      </c>
      <c r="C2816" t="s">
        <v>187</v>
      </c>
      <c r="D2816" t="s">
        <v>808</v>
      </c>
      <c r="E2816" t="s">
        <v>835</v>
      </c>
      <c r="F2816">
        <v>3</v>
      </c>
      <c r="G2816">
        <v>0</v>
      </c>
      <c r="H2816" t="s">
        <v>861</v>
      </c>
      <c r="I2816" t="str">
        <f>VLOOKUP(C2816,Customers!A:C,2,FALSE)&amp;" "&amp;VLOOKUP(C2816,Customers!A:C,3,FALSE)</f>
        <v>Alexis Crane</v>
      </c>
      <c r="J2816" t="str">
        <f>VLOOKUP(D2816,Products!A:C,2,FALSE)</f>
        <v>Present Television</v>
      </c>
      <c r="K2816" t="str">
        <f>VLOOKUP(D2816,Products!A:C,3,FALSE)</f>
        <v>Electronics</v>
      </c>
      <c r="L2816" t="str">
        <f>VLOOKUP(E2816,Stores!A:B,2,FALSE)</f>
        <v>MegaMart Peckmouth</v>
      </c>
      <c r="M2816">
        <f>VLOOKUP(D2816,Products!A:E,5,FALSE)</f>
        <v>1635.01</v>
      </c>
      <c r="N2816" s="5">
        <f t="shared" si="43"/>
        <v>4905.03</v>
      </c>
    </row>
    <row r="2817" spans="1:14" x14ac:dyDescent="0.3">
      <c r="A2817" t="s">
        <v>3673</v>
      </c>
      <c r="B2817" s="2">
        <v>45585</v>
      </c>
      <c r="C2817" t="s">
        <v>467</v>
      </c>
      <c r="D2817" t="s">
        <v>711</v>
      </c>
      <c r="E2817" t="s">
        <v>835</v>
      </c>
      <c r="F2817">
        <v>5</v>
      </c>
      <c r="G2817">
        <v>0</v>
      </c>
      <c r="H2817" t="s">
        <v>865</v>
      </c>
      <c r="I2817" t="str">
        <f>VLOOKUP(C2817,Customers!A:C,2,FALSE)&amp;" "&amp;VLOOKUP(C2817,Customers!A:C,3,FALSE)</f>
        <v>John Allen</v>
      </c>
      <c r="J2817" t="str">
        <f>VLOOKUP(D2817,Products!A:C,2,FALSE)</f>
        <v>Like Camera</v>
      </c>
      <c r="K2817" t="str">
        <f>VLOOKUP(D2817,Products!A:C,3,FALSE)</f>
        <v>Electronics</v>
      </c>
      <c r="L2817" t="str">
        <f>VLOOKUP(E2817,Stores!A:B,2,FALSE)</f>
        <v>MegaMart Peckmouth</v>
      </c>
      <c r="M2817">
        <f>VLOOKUP(D2817,Products!A:E,5,FALSE)</f>
        <v>1673.69</v>
      </c>
      <c r="N2817" s="5">
        <f t="shared" si="43"/>
        <v>8368.4500000000007</v>
      </c>
    </row>
    <row r="2818" spans="1:14" x14ac:dyDescent="0.3">
      <c r="A2818" t="s">
        <v>3674</v>
      </c>
      <c r="B2818" s="2">
        <v>45647</v>
      </c>
      <c r="C2818" t="s">
        <v>368</v>
      </c>
      <c r="D2818" t="s">
        <v>812</v>
      </c>
      <c r="E2818" t="s">
        <v>835</v>
      </c>
      <c r="F2818">
        <v>1</v>
      </c>
      <c r="G2818">
        <v>0.1</v>
      </c>
      <c r="H2818" t="s">
        <v>865</v>
      </c>
      <c r="I2818" t="str">
        <f>VLOOKUP(C2818,Customers!A:C,2,FALSE)&amp;" "&amp;VLOOKUP(C2818,Customers!A:C,3,FALSE)</f>
        <v>Lisa Vega</v>
      </c>
      <c r="J2818" t="str">
        <f>VLOOKUP(D2818,Products!A:C,2,FALSE)</f>
        <v>Soon Accessories</v>
      </c>
      <c r="K2818" t="str">
        <f>VLOOKUP(D2818,Products!A:C,3,FALSE)</f>
        <v>Fashion</v>
      </c>
      <c r="L2818" t="str">
        <f>VLOOKUP(E2818,Stores!A:B,2,FALSE)</f>
        <v>MegaMart Peckmouth</v>
      </c>
      <c r="M2818">
        <f>VLOOKUP(D2818,Products!A:E,5,FALSE)</f>
        <v>564.41999999999996</v>
      </c>
      <c r="N2818" s="5">
        <f t="shared" si="43"/>
        <v>507.97799999999995</v>
      </c>
    </row>
    <row r="2819" spans="1:14" x14ac:dyDescent="0.3">
      <c r="A2819" t="s">
        <v>3675</v>
      </c>
      <c r="B2819" s="2">
        <v>45422</v>
      </c>
      <c r="C2819" t="s">
        <v>238</v>
      </c>
      <c r="D2819" t="s">
        <v>715</v>
      </c>
      <c r="E2819" t="s">
        <v>839</v>
      </c>
      <c r="F2819">
        <v>2</v>
      </c>
      <c r="G2819">
        <v>0.15</v>
      </c>
      <c r="H2819" t="s">
        <v>861</v>
      </c>
      <c r="I2819" t="str">
        <f>VLOOKUP(C2819,Customers!A:C,2,FALSE)&amp;" "&amp;VLOOKUP(C2819,Customers!A:C,3,FALSE)</f>
        <v>Susan Salinas</v>
      </c>
      <c r="J2819" t="str">
        <f>VLOOKUP(D2819,Products!A:C,2,FALSE)</f>
        <v>Audience Television</v>
      </c>
      <c r="K2819" t="str">
        <f>VLOOKUP(D2819,Products!A:C,3,FALSE)</f>
        <v>Electronics</v>
      </c>
      <c r="L2819" t="str">
        <f>VLOOKUP(E2819,Stores!A:B,2,FALSE)</f>
        <v>MegaMart New Michele</v>
      </c>
      <c r="M2819">
        <f>VLOOKUP(D2819,Products!A:E,5,FALSE)</f>
        <v>818.76</v>
      </c>
      <c r="N2819" s="5">
        <f t="shared" ref="N2819:N2882" si="44">F2819*M2819*(1-G2819)</f>
        <v>1391.8920000000001</v>
      </c>
    </row>
    <row r="2820" spans="1:14" x14ac:dyDescent="0.3">
      <c r="A2820" t="s">
        <v>3676</v>
      </c>
      <c r="B2820" s="2">
        <v>45616</v>
      </c>
      <c r="C2820" t="s">
        <v>362</v>
      </c>
      <c r="D2820" t="s">
        <v>772</v>
      </c>
      <c r="E2820" t="s">
        <v>842</v>
      </c>
      <c r="F2820">
        <v>1</v>
      </c>
      <c r="G2820">
        <v>0.05</v>
      </c>
      <c r="H2820" t="s">
        <v>861</v>
      </c>
      <c r="I2820" t="str">
        <f>VLOOKUP(C2820,Customers!A:C,2,FALSE)&amp;" "&amp;VLOOKUP(C2820,Customers!A:C,3,FALSE)</f>
        <v>Eric King</v>
      </c>
      <c r="J2820" t="str">
        <f>VLOOKUP(D2820,Products!A:C,2,FALSE)</f>
        <v>And Footwear</v>
      </c>
      <c r="K2820" t="str">
        <f>VLOOKUP(D2820,Products!A:C,3,FALSE)</f>
        <v>Fashion</v>
      </c>
      <c r="L2820" t="str">
        <f>VLOOKUP(E2820,Stores!A:B,2,FALSE)</f>
        <v>MegaMart Brianahaven</v>
      </c>
      <c r="M2820">
        <f>VLOOKUP(D2820,Products!A:E,5,FALSE)</f>
        <v>1878.47</v>
      </c>
      <c r="N2820" s="5">
        <f t="shared" si="44"/>
        <v>1784.5464999999999</v>
      </c>
    </row>
    <row r="2821" spans="1:14" x14ac:dyDescent="0.3">
      <c r="A2821" t="s">
        <v>3677</v>
      </c>
      <c r="B2821" s="2">
        <v>45761</v>
      </c>
      <c r="C2821" t="s">
        <v>554</v>
      </c>
      <c r="D2821" t="s">
        <v>812</v>
      </c>
      <c r="E2821" t="s">
        <v>835</v>
      </c>
      <c r="F2821">
        <v>5</v>
      </c>
      <c r="G2821">
        <v>0.1</v>
      </c>
      <c r="H2821" t="s">
        <v>858</v>
      </c>
      <c r="I2821" t="str">
        <f>VLOOKUP(C2821,Customers!A:C,2,FALSE)&amp;" "&amp;VLOOKUP(C2821,Customers!A:C,3,FALSE)</f>
        <v>Lisa Martinez</v>
      </c>
      <c r="J2821" t="str">
        <f>VLOOKUP(D2821,Products!A:C,2,FALSE)</f>
        <v>Soon Accessories</v>
      </c>
      <c r="K2821" t="str">
        <f>VLOOKUP(D2821,Products!A:C,3,FALSE)</f>
        <v>Fashion</v>
      </c>
      <c r="L2821" t="str">
        <f>VLOOKUP(E2821,Stores!A:B,2,FALSE)</f>
        <v>MegaMart Peckmouth</v>
      </c>
      <c r="M2821">
        <f>VLOOKUP(D2821,Products!A:E,5,FALSE)</f>
        <v>564.41999999999996</v>
      </c>
      <c r="N2821" s="5">
        <f t="shared" si="44"/>
        <v>2539.89</v>
      </c>
    </row>
    <row r="2822" spans="1:14" x14ac:dyDescent="0.3">
      <c r="A2822" t="s">
        <v>3678</v>
      </c>
      <c r="B2822" s="2">
        <v>45696</v>
      </c>
      <c r="C2822" t="s">
        <v>621</v>
      </c>
      <c r="D2822" t="s">
        <v>776</v>
      </c>
      <c r="E2822" t="s">
        <v>846</v>
      </c>
      <c r="F2822">
        <v>3</v>
      </c>
      <c r="G2822">
        <v>0.05</v>
      </c>
      <c r="H2822" t="s">
        <v>855</v>
      </c>
      <c r="I2822" t="str">
        <f>VLOOKUP(C2822,Customers!A:C,2,FALSE)&amp;" "&amp;VLOOKUP(C2822,Customers!A:C,3,FALSE)</f>
        <v>Stacey Thompson</v>
      </c>
      <c r="J2822" t="str">
        <f>VLOOKUP(D2822,Products!A:C,2,FALSE)</f>
        <v>Little Watches</v>
      </c>
      <c r="K2822" t="str">
        <f>VLOOKUP(D2822,Products!A:C,3,FALSE)</f>
        <v>Fashion</v>
      </c>
      <c r="L2822" t="str">
        <f>VLOOKUP(E2822,Stores!A:B,2,FALSE)</f>
        <v>MegaMart Johnmouth</v>
      </c>
      <c r="M2822">
        <f>VLOOKUP(D2822,Products!A:E,5,FALSE)</f>
        <v>429.15</v>
      </c>
      <c r="N2822" s="5">
        <f t="shared" si="44"/>
        <v>1223.0774999999999</v>
      </c>
    </row>
    <row r="2823" spans="1:14" x14ac:dyDescent="0.3">
      <c r="A2823" t="s">
        <v>3679</v>
      </c>
      <c r="B2823" s="2">
        <v>45294</v>
      </c>
      <c r="C2823" t="s">
        <v>393</v>
      </c>
      <c r="D2823" t="s">
        <v>732</v>
      </c>
      <c r="E2823" t="s">
        <v>831</v>
      </c>
      <c r="F2823">
        <v>4</v>
      </c>
      <c r="G2823">
        <v>0.15</v>
      </c>
      <c r="H2823" t="s">
        <v>858</v>
      </c>
      <c r="I2823" t="str">
        <f>VLOOKUP(C2823,Customers!A:C,2,FALSE)&amp;" "&amp;VLOOKUP(C2823,Customers!A:C,3,FALSE)</f>
        <v>Kenneth Berg</v>
      </c>
      <c r="J2823" t="str">
        <f>VLOOKUP(D2823,Products!A:C,2,FALSE)</f>
        <v>Understand Camera</v>
      </c>
      <c r="K2823" t="str">
        <f>VLOOKUP(D2823,Products!A:C,3,FALSE)</f>
        <v>Electronics</v>
      </c>
      <c r="L2823" t="str">
        <f>VLOOKUP(E2823,Stores!A:B,2,FALSE)</f>
        <v>MegaMart Jimenezborough</v>
      </c>
      <c r="M2823">
        <f>VLOOKUP(D2823,Products!A:E,5,FALSE)</f>
        <v>1474.12</v>
      </c>
      <c r="N2823" s="5">
        <f t="shared" si="44"/>
        <v>5012.0079999999998</v>
      </c>
    </row>
    <row r="2824" spans="1:14" x14ac:dyDescent="0.3">
      <c r="A2824" t="s">
        <v>3680</v>
      </c>
      <c r="B2824" s="2">
        <v>45423</v>
      </c>
      <c r="C2824" t="s">
        <v>274</v>
      </c>
      <c r="D2824" t="s">
        <v>764</v>
      </c>
      <c r="E2824" t="s">
        <v>835</v>
      </c>
      <c r="F2824">
        <v>4</v>
      </c>
      <c r="G2824">
        <v>0.1</v>
      </c>
      <c r="H2824" t="s">
        <v>865</v>
      </c>
      <c r="I2824" t="str">
        <f>VLOOKUP(C2824,Customers!A:C,2,FALSE)&amp;" "&amp;VLOOKUP(C2824,Customers!A:C,3,FALSE)</f>
        <v>Eric Watkins</v>
      </c>
      <c r="J2824" t="str">
        <f>VLOOKUP(D2824,Products!A:C,2,FALSE)</f>
        <v>Simple Accessories</v>
      </c>
      <c r="K2824" t="str">
        <f>VLOOKUP(D2824,Products!A:C,3,FALSE)</f>
        <v>Fashion</v>
      </c>
      <c r="L2824" t="str">
        <f>VLOOKUP(E2824,Stores!A:B,2,FALSE)</f>
        <v>MegaMart Peckmouth</v>
      </c>
      <c r="M2824">
        <f>VLOOKUP(D2824,Products!A:E,5,FALSE)</f>
        <v>323.92</v>
      </c>
      <c r="N2824" s="5">
        <f t="shared" si="44"/>
        <v>1166.1120000000001</v>
      </c>
    </row>
    <row r="2825" spans="1:14" x14ac:dyDescent="0.3">
      <c r="A2825" t="s">
        <v>3681</v>
      </c>
      <c r="B2825" s="2">
        <v>45778</v>
      </c>
      <c r="C2825" t="s">
        <v>577</v>
      </c>
      <c r="D2825" t="s">
        <v>769</v>
      </c>
      <c r="E2825" t="s">
        <v>842</v>
      </c>
      <c r="F2825">
        <v>1</v>
      </c>
      <c r="G2825">
        <v>0.15</v>
      </c>
      <c r="H2825" t="s">
        <v>861</v>
      </c>
      <c r="I2825" t="str">
        <f>VLOOKUP(C2825,Customers!A:C,2,FALSE)&amp;" "&amp;VLOOKUP(C2825,Customers!A:C,3,FALSE)</f>
        <v>Michael Perez</v>
      </c>
      <c r="J2825" t="str">
        <f>VLOOKUP(D2825,Products!A:C,2,FALSE)</f>
        <v>How Vegetables</v>
      </c>
      <c r="K2825" t="str">
        <f>VLOOKUP(D2825,Products!A:C,3,FALSE)</f>
        <v>Groceries</v>
      </c>
      <c r="L2825" t="str">
        <f>VLOOKUP(E2825,Stores!A:B,2,FALSE)</f>
        <v>MegaMart Brianahaven</v>
      </c>
      <c r="M2825">
        <f>VLOOKUP(D2825,Products!A:E,5,FALSE)</f>
        <v>25.57</v>
      </c>
      <c r="N2825" s="5">
        <f t="shared" si="44"/>
        <v>21.734500000000001</v>
      </c>
    </row>
    <row r="2826" spans="1:14" x14ac:dyDescent="0.3">
      <c r="A2826" t="s">
        <v>3682</v>
      </c>
      <c r="B2826" s="2">
        <v>45319</v>
      </c>
      <c r="C2826" t="s">
        <v>604</v>
      </c>
      <c r="D2826" t="s">
        <v>728</v>
      </c>
      <c r="E2826" t="s">
        <v>835</v>
      </c>
      <c r="F2826">
        <v>1</v>
      </c>
      <c r="G2826">
        <v>0</v>
      </c>
      <c r="H2826" t="s">
        <v>865</v>
      </c>
      <c r="I2826" t="str">
        <f>VLOOKUP(C2826,Customers!A:C,2,FALSE)&amp;" "&amp;VLOOKUP(C2826,Customers!A:C,3,FALSE)</f>
        <v>Amber Graham</v>
      </c>
      <c r="J2826" t="str">
        <f>VLOOKUP(D2826,Products!A:C,2,FALSE)</f>
        <v>Company Fruits</v>
      </c>
      <c r="K2826" t="str">
        <f>VLOOKUP(D2826,Products!A:C,3,FALSE)</f>
        <v>Groceries</v>
      </c>
      <c r="L2826" t="str">
        <f>VLOOKUP(E2826,Stores!A:B,2,FALSE)</f>
        <v>MegaMart Peckmouth</v>
      </c>
      <c r="M2826">
        <f>VLOOKUP(D2826,Products!A:E,5,FALSE)</f>
        <v>318.05</v>
      </c>
      <c r="N2826" s="5">
        <f t="shared" si="44"/>
        <v>318.05</v>
      </c>
    </row>
    <row r="2827" spans="1:14" x14ac:dyDescent="0.3">
      <c r="A2827" t="s">
        <v>3683</v>
      </c>
      <c r="B2827" s="2">
        <v>45792</v>
      </c>
      <c r="C2827" t="s">
        <v>159</v>
      </c>
      <c r="D2827" t="s">
        <v>750</v>
      </c>
      <c r="E2827" t="s">
        <v>842</v>
      </c>
      <c r="F2827">
        <v>1</v>
      </c>
      <c r="G2827">
        <v>0.05</v>
      </c>
      <c r="H2827" t="s">
        <v>855</v>
      </c>
      <c r="I2827" t="str">
        <f>VLOOKUP(C2827,Customers!A:C,2,FALSE)&amp;" "&amp;VLOOKUP(C2827,Customers!A:C,3,FALSE)</f>
        <v>Melissa Rodgers</v>
      </c>
      <c r="J2827" t="str">
        <f>VLOOKUP(D2827,Products!A:C,2,FALSE)</f>
        <v>Add Clothing</v>
      </c>
      <c r="K2827" t="str">
        <f>VLOOKUP(D2827,Products!A:C,3,FALSE)</f>
        <v>Fashion</v>
      </c>
      <c r="L2827" t="str">
        <f>VLOOKUP(E2827,Stores!A:B,2,FALSE)</f>
        <v>MegaMart Brianahaven</v>
      </c>
      <c r="M2827">
        <f>VLOOKUP(D2827,Products!A:E,5,FALSE)</f>
        <v>1342.75</v>
      </c>
      <c r="N2827" s="5">
        <f t="shared" si="44"/>
        <v>1275.6125</v>
      </c>
    </row>
    <row r="2828" spans="1:14" x14ac:dyDescent="0.3">
      <c r="A2828" t="s">
        <v>3684</v>
      </c>
      <c r="B2828" s="2">
        <v>45249</v>
      </c>
      <c r="C2828" t="s">
        <v>167</v>
      </c>
      <c r="D2828" t="s">
        <v>757</v>
      </c>
      <c r="E2828" t="s">
        <v>839</v>
      </c>
      <c r="F2828">
        <v>4</v>
      </c>
      <c r="G2828">
        <v>0.1</v>
      </c>
      <c r="H2828" t="s">
        <v>855</v>
      </c>
      <c r="I2828" t="str">
        <f>VLOOKUP(C2828,Customers!A:C,2,FALSE)&amp;" "&amp;VLOOKUP(C2828,Customers!A:C,3,FALSE)</f>
        <v>Kenneth Allen</v>
      </c>
      <c r="J2828" t="str">
        <f>VLOOKUP(D2828,Products!A:C,2,FALSE)</f>
        <v>Find Headphones</v>
      </c>
      <c r="K2828" t="str">
        <f>VLOOKUP(D2828,Products!A:C,3,FALSE)</f>
        <v>Electronics</v>
      </c>
      <c r="L2828" t="str">
        <f>VLOOKUP(E2828,Stores!A:B,2,FALSE)</f>
        <v>MegaMart New Michele</v>
      </c>
      <c r="M2828">
        <f>VLOOKUP(D2828,Products!A:E,5,FALSE)</f>
        <v>1246.1099999999999</v>
      </c>
      <c r="N2828" s="5">
        <f t="shared" si="44"/>
        <v>4485.9960000000001</v>
      </c>
    </row>
    <row r="2829" spans="1:14" x14ac:dyDescent="0.3">
      <c r="A2829" t="s">
        <v>3685</v>
      </c>
      <c r="B2829" s="2">
        <v>45856</v>
      </c>
      <c r="C2829" t="s">
        <v>277</v>
      </c>
      <c r="D2829" t="s">
        <v>766</v>
      </c>
      <c r="E2829" t="s">
        <v>846</v>
      </c>
      <c r="F2829">
        <v>3</v>
      </c>
      <c r="G2829">
        <v>0</v>
      </c>
      <c r="H2829" t="s">
        <v>865</v>
      </c>
      <c r="I2829" t="str">
        <f>VLOOKUP(C2829,Customers!A:C,2,FALSE)&amp;" "&amp;VLOOKUP(C2829,Customers!A:C,3,FALSE)</f>
        <v>Carl Armstrong</v>
      </c>
      <c r="J2829" t="str">
        <f>VLOOKUP(D2829,Products!A:C,2,FALSE)</f>
        <v>Firm Dairy</v>
      </c>
      <c r="K2829" t="str">
        <f>VLOOKUP(D2829,Products!A:C,3,FALSE)</f>
        <v>Groceries</v>
      </c>
      <c r="L2829" t="str">
        <f>VLOOKUP(E2829,Stores!A:B,2,FALSE)</f>
        <v>MegaMart Johnmouth</v>
      </c>
      <c r="M2829">
        <f>VLOOKUP(D2829,Products!A:E,5,FALSE)</f>
        <v>1227.24</v>
      </c>
      <c r="N2829" s="5">
        <f t="shared" si="44"/>
        <v>3681.7200000000003</v>
      </c>
    </row>
    <row r="2830" spans="1:14" x14ac:dyDescent="0.3">
      <c r="A2830" t="s">
        <v>3686</v>
      </c>
      <c r="B2830" s="2">
        <v>45551</v>
      </c>
      <c r="C2830" t="s">
        <v>382</v>
      </c>
      <c r="D2830" t="s">
        <v>802</v>
      </c>
      <c r="E2830" t="s">
        <v>835</v>
      </c>
      <c r="F2830">
        <v>1</v>
      </c>
      <c r="G2830">
        <v>0.15</v>
      </c>
      <c r="H2830" t="s">
        <v>861</v>
      </c>
      <c r="I2830" t="str">
        <f>VLOOKUP(C2830,Customers!A:C,2,FALSE)&amp;" "&amp;VLOOKUP(C2830,Customers!A:C,3,FALSE)</f>
        <v>Carolyn Perez</v>
      </c>
      <c r="J2830" t="str">
        <f>VLOOKUP(D2830,Products!A:C,2,FALSE)</f>
        <v>Stage Footwear</v>
      </c>
      <c r="K2830" t="str">
        <f>VLOOKUP(D2830,Products!A:C,3,FALSE)</f>
        <v>Fashion</v>
      </c>
      <c r="L2830" t="str">
        <f>VLOOKUP(E2830,Stores!A:B,2,FALSE)</f>
        <v>MegaMart Peckmouth</v>
      </c>
      <c r="M2830">
        <f>VLOOKUP(D2830,Products!A:E,5,FALSE)</f>
        <v>366.93</v>
      </c>
      <c r="N2830" s="5">
        <f t="shared" si="44"/>
        <v>311.89049999999997</v>
      </c>
    </row>
    <row r="2831" spans="1:14" x14ac:dyDescent="0.3">
      <c r="A2831" t="s">
        <v>3687</v>
      </c>
      <c r="B2831" s="2">
        <v>45784</v>
      </c>
      <c r="C2831" t="s">
        <v>130</v>
      </c>
      <c r="D2831" t="s">
        <v>750</v>
      </c>
      <c r="E2831" t="s">
        <v>846</v>
      </c>
      <c r="F2831">
        <v>1</v>
      </c>
      <c r="G2831">
        <v>0.15</v>
      </c>
      <c r="H2831" t="s">
        <v>858</v>
      </c>
      <c r="I2831" t="str">
        <f>VLOOKUP(C2831,Customers!A:C,2,FALSE)&amp;" "&amp;VLOOKUP(C2831,Customers!A:C,3,FALSE)</f>
        <v>Jenny Beck</v>
      </c>
      <c r="J2831" t="str">
        <f>VLOOKUP(D2831,Products!A:C,2,FALSE)</f>
        <v>Add Clothing</v>
      </c>
      <c r="K2831" t="str">
        <f>VLOOKUP(D2831,Products!A:C,3,FALSE)</f>
        <v>Fashion</v>
      </c>
      <c r="L2831" t="str">
        <f>VLOOKUP(E2831,Stores!A:B,2,FALSE)</f>
        <v>MegaMart Johnmouth</v>
      </c>
      <c r="M2831">
        <f>VLOOKUP(D2831,Products!A:E,5,FALSE)</f>
        <v>1342.75</v>
      </c>
      <c r="N2831" s="5">
        <f t="shared" si="44"/>
        <v>1141.3374999999999</v>
      </c>
    </row>
    <row r="2832" spans="1:14" x14ac:dyDescent="0.3">
      <c r="A2832" t="s">
        <v>3688</v>
      </c>
      <c r="B2832" s="2">
        <v>45815</v>
      </c>
      <c r="C2832" t="s">
        <v>112</v>
      </c>
      <c r="D2832" t="s">
        <v>792</v>
      </c>
      <c r="E2832" t="s">
        <v>831</v>
      </c>
      <c r="F2832">
        <v>2</v>
      </c>
      <c r="G2832">
        <v>0</v>
      </c>
      <c r="H2832" t="s">
        <v>858</v>
      </c>
      <c r="I2832" t="str">
        <f>VLOOKUP(C2832,Customers!A:C,2,FALSE)&amp;" "&amp;VLOOKUP(C2832,Customers!A:C,3,FALSE)</f>
        <v>John Carr</v>
      </c>
      <c r="J2832" t="str">
        <f>VLOOKUP(D2832,Products!A:C,2,FALSE)</f>
        <v>Beat Accessories</v>
      </c>
      <c r="K2832" t="str">
        <f>VLOOKUP(D2832,Products!A:C,3,FALSE)</f>
        <v>Fashion</v>
      </c>
      <c r="L2832" t="str">
        <f>VLOOKUP(E2832,Stores!A:B,2,FALSE)</f>
        <v>MegaMart Jimenezborough</v>
      </c>
      <c r="M2832">
        <f>VLOOKUP(D2832,Products!A:E,5,FALSE)</f>
        <v>1798.97</v>
      </c>
      <c r="N2832" s="5">
        <f t="shared" si="44"/>
        <v>3597.94</v>
      </c>
    </row>
    <row r="2833" spans="1:14" x14ac:dyDescent="0.3">
      <c r="A2833" t="s">
        <v>3689</v>
      </c>
      <c r="B2833" s="2">
        <v>45533</v>
      </c>
      <c r="C2833" t="s">
        <v>187</v>
      </c>
      <c r="D2833" t="s">
        <v>718</v>
      </c>
      <c r="E2833" t="s">
        <v>831</v>
      </c>
      <c r="F2833">
        <v>1</v>
      </c>
      <c r="G2833">
        <v>0.05</v>
      </c>
      <c r="H2833" t="s">
        <v>858</v>
      </c>
      <c r="I2833" t="str">
        <f>VLOOKUP(C2833,Customers!A:C,2,FALSE)&amp;" "&amp;VLOOKUP(C2833,Customers!A:C,3,FALSE)</f>
        <v>Alexis Crane</v>
      </c>
      <c r="J2833" t="str">
        <f>VLOOKUP(D2833,Products!A:C,2,FALSE)</f>
        <v>Here Footwear</v>
      </c>
      <c r="K2833" t="str">
        <f>VLOOKUP(D2833,Products!A:C,3,FALSE)</f>
        <v>Fashion</v>
      </c>
      <c r="L2833" t="str">
        <f>VLOOKUP(E2833,Stores!A:B,2,FALSE)</f>
        <v>MegaMart Jimenezborough</v>
      </c>
      <c r="M2833">
        <f>VLOOKUP(D2833,Products!A:E,5,FALSE)</f>
        <v>337.63</v>
      </c>
      <c r="N2833" s="5">
        <f t="shared" si="44"/>
        <v>320.74849999999998</v>
      </c>
    </row>
    <row r="2834" spans="1:14" x14ac:dyDescent="0.3">
      <c r="A2834" t="s">
        <v>3690</v>
      </c>
      <c r="B2834" s="2">
        <v>45567</v>
      </c>
      <c r="C2834" t="s">
        <v>567</v>
      </c>
      <c r="D2834" t="s">
        <v>728</v>
      </c>
      <c r="E2834" t="s">
        <v>839</v>
      </c>
      <c r="F2834">
        <v>4</v>
      </c>
      <c r="G2834">
        <v>0.05</v>
      </c>
      <c r="H2834" t="s">
        <v>858</v>
      </c>
      <c r="I2834" t="str">
        <f>VLOOKUP(C2834,Customers!A:C,2,FALSE)&amp;" "&amp;VLOOKUP(C2834,Customers!A:C,3,FALSE)</f>
        <v>Crystal Aguirre</v>
      </c>
      <c r="J2834" t="str">
        <f>VLOOKUP(D2834,Products!A:C,2,FALSE)</f>
        <v>Company Fruits</v>
      </c>
      <c r="K2834" t="str">
        <f>VLOOKUP(D2834,Products!A:C,3,FALSE)</f>
        <v>Groceries</v>
      </c>
      <c r="L2834" t="str">
        <f>VLOOKUP(E2834,Stores!A:B,2,FALSE)</f>
        <v>MegaMart New Michele</v>
      </c>
      <c r="M2834">
        <f>VLOOKUP(D2834,Products!A:E,5,FALSE)</f>
        <v>318.05</v>
      </c>
      <c r="N2834" s="5">
        <f t="shared" si="44"/>
        <v>1208.5899999999999</v>
      </c>
    </row>
    <row r="2835" spans="1:14" x14ac:dyDescent="0.3">
      <c r="A2835" t="s">
        <v>3691</v>
      </c>
      <c r="B2835" s="2">
        <v>45522</v>
      </c>
      <c r="C2835" t="s">
        <v>551</v>
      </c>
      <c r="D2835" t="s">
        <v>769</v>
      </c>
      <c r="E2835" t="s">
        <v>831</v>
      </c>
      <c r="F2835">
        <v>5</v>
      </c>
      <c r="G2835">
        <v>0.05</v>
      </c>
      <c r="H2835" t="s">
        <v>861</v>
      </c>
      <c r="I2835" t="str">
        <f>VLOOKUP(C2835,Customers!A:C,2,FALSE)&amp;" "&amp;VLOOKUP(C2835,Customers!A:C,3,FALSE)</f>
        <v>Nancy Gordon</v>
      </c>
      <c r="J2835" t="str">
        <f>VLOOKUP(D2835,Products!A:C,2,FALSE)</f>
        <v>How Vegetables</v>
      </c>
      <c r="K2835" t="str">
        <f>VLOOKUP(D2835,Products!A:C,3,FALSE)</f>
        <v>Groceries</v>
      </c>
      <c r="L2835" t="str">
        <f>VLOOKUP(E2835,Stores!A:B,2,FALSE)</f>
        <v>MegaMart Jimenezborough</v>
      </c>
      <c r="M2835">
        <f>VLOOKUP(D2835,Products!A:E,5,FALSE)</f>
        <v>25.57</v>
      </c>
      <c r="N2835" s="5">
        <f t="shared" si="44"/>
        <v>121.4575</v>
      </c>
    </row>
    <row r="2836" spans="1:14" x14ac:dyDescent="0.3">
      <c r="A2836" t="s">
        <v>3692</v>
      </c>
      <c r="B2836" s="2">
        <v>45240</v>
      </c>
      <c r="C2836" t="s">
        <v>657</v>
      </c>
      <c r="D2836" t="s">
        <v>814</v>
      </c>
      <c r="E2836" t="s">
        <v>839</v>
      </c>
      <c r="F2836">
        <v>1</v>
      </c>
      <c r="G2836">
        <v>0</v>
      </c>
      <c r="H2836" t="s">
        <v>861</v>
      </c>
      <c r="I2836" t="str">
        <f>VLOOKUP(C2836,Customers!A:C,2,FALSE)&amp;" "&amp;VLOOKUP(C2836,Customers!A:C,3,FALSE)</f>
        <v>Vicki Guzman</v>
      </c>
      <c r="J2836" t="str">
        <f>VLOOKUP(D2836,Products!A:C,2,FALSE)</f>
        <v>Least Accessories</v>
      </c>
      <c r="K2836" t="str">
        <f>VLOOKUP(D2836,Products!A:C,3,FALSE)</f>
        <v>Fashion</v>
      </c>
      <c r="L2836" t="str">
        <f>VLOOKUP(E2836,Stores!A:B,2,FALSE)</f>
        <v>MegaMart New Michele</v>
      </c>
      <c r="M2836">
        <f>VLOOKUP(D2836,Products!A:E,5,FALSE)</f>
        <v>1286.55</v>
      </c>
      <c r="N2836" s="5">
        <f t="shared" si="44"/>
        <v>1286.55</v>
      </c>
    </row>
    <row r="2837" spans="1:14" x14ac:dyDescent="0.3">
      <c r="A2837" t="s">
        <v>3693</v>
      </c>
      <c r="B2837" s="2">
        <v>45359</v>
      </c>
      <c r="C2837" t="s">
        <v>331</v>
      </c>
      <c r="D2837" t="s">
        <v>794</v>
      </c>
      <c r="E2837" t="s">
        <v>839</v>
      </c>
      <c r="F2837">
        <v>2</v>
      </c>
      <c r="G2837">
        <v>0.1</v>
      </c>
      <c r="H2837" t="s">
        <v>858</v>
      </c>
      <c r="I2837" t="str">
        <f>VLOOKUP(C2837,Customers!A:C,2,FALSE)&amp;" "&amp;VLOOKUP(C2837,Customers!A:C,3,FALSE)</f>
        <v>Brenda Costa</v>
      </c>
      <c r="J2837" t="str">
        <f>VLOOKUP(D2837,Products!A:C,2,FALSE)</f>
        <v>Everything Laptop</v>
      </c>
      <c r="K2837" t="str">
        <f>VLOOKUP(D2837,Products!A:C,3,FALSE)</f>
        <v>Electronics</v>
      </c>
      <c r="L2837" t="str">
        <f>VLOOKUP(E2837,Stores!A:B,2,FALSE)</f>
        <v>MegaMart New Michele</v>
      </c>
      <c r="M2837">
        <f>VLOOKUP(D2837,Products!A:E,5,FALSE)</f>
        <v>428.05</v>
      </c>
      <c r="N2837" s="5">
        <f t="shared" si="44"/>
        <v>770.49</v>
      </c>
    </row>
    <row r="2838" spans="1:14" x14ac:dyDescent="0.3">
      <c r="A2838" t="s">
        <v>3694</v>
      </c>
      <c r="B2838" s="2">
        <v>45714</v>
      </c>
      <c r="C2838" t="s">
        <v>202</v>
      </c>
      <c r="D2838" t="s">
        <v>788</v>
      </c>
      <c r="E2838" t="s">
        <v>831</v>
      </c>
      <c r="F2838">
        <v>4</v>
      </c>
      <c r="G2838">
        <v>0.15</v>
      </c>
      <c r="H2838" t="s">
        <v>861</v>
      </c>
      <c r="I2838" t="str">
        <f>VLOOKUP(C2838,Customers!A:C,2,FALSE)&amp;" "&amp;VLOOKUP(C2838,Customers!A:C,3,FALSE)</f>
        <v>Billy Hernandez</v>
      </c>
      <c r="J2838" t="str">
        <f>VLOOKUP(D2838,Products!A:C,2,FALSE)</f>
        <v>Foot Snacks</v>
      </c>
      <c r="K2838" t="str">
        <f>VLOOKUP(D2838,Products!A:C,3,FALSE)</f>
        <v>Groceries</v>
      </c>
      <c r="L2838" t="str">
        <f>VLOOKUP(E2838,Stores!A:B,2,FALSE)</f>
        <v>MegaMart Jimenezborough</v>
      </c>
      <c r="M2838">
        <f>VLOOKUP(D2838,Products!A:E,5,FALSE)</f>
        <v>1095.72</v>
      </c>
      <c r="N2838" s="5">
        <f t="shared" si="44"/>
        <v>3725.4479999999999</v>
      </c>
    </row>
    <row r="2839" spans="1:14" x14ac:dyDescent="0.3">
      <c r="A2839" t="s">
        <v>3695</v>
      </c>
      <c r="B2839" s="2">
        <v>45710</v>
      </c>
      <c r="C2839" t="s">
        <v>284</v>
      </c>
      <c r="D2839" t="s">
        <v>822</v>
      </c>
      <c r="E2839" t="s">
        <v>846</v>
      </c>
      <c r="F2839">
        <v>1</v>
      </c>
      <c r="G2839">
        <v>0.05</v>
      </c>
      <c r="H2839" t="s">
        <v>861</v>
      </c>
      <c r="I2839" t="str">
        <f>VLOOKUP(C2839,Customers!A:C,2,FALSE)&amp;" "&amp;VLOOKUP(C2839,Customers!A:C,3,FALSE)</f>
        <v>Seth Moore</v>
      </c>
      <c r="J2839" t="str">
        <f>VLOOKUP(D2839,Products!A:C,2,FALSE)</f>
        <v>Nor Bags</v>
      </c>
      <c r="K2839" t="str">
        <f>VLOOKUP(D2839,Products!A:C,3,FALSE)</f>
        <v>Fashion</v>
      </c>
      <c r="L2839" t="str">
        <f>VLOOKUP(E2839,Stores!A:B,2,FALSE)</f>
        <v>MegaMart Johnmouth</v>
      </c>
      <c r="M2839">
        <f>VLOOKUP(D2839,Products!A:E,5,FALSE)</f>
        <v>1216.3599999999999</v>
      </c>
      <c r="N2839" s="5">
        <f t="shared" si="44"/>
        <v>1155.5419999999999</v>
      </c>
    </row>
    <row r="2840" spans="1:14" x14ac:dyDescent="0.3">
      <c r="A2840" t="s">
        <v>3696</v>
      </c>
      <c r="B2840" s="2">
        <v>45281</v>
      </c>
      <c r="C2840" t="s">
        <v>577</v>
      </c>
      <c r="D2840" t="s">
        <v>778</v>
      </c>
      <c r="E2840" t="s">
        <v>835</v>
      </c>
      <c r="F2840">
        <v>3</v>
      </c>
      <c r="G2840">
        <v>0.15</v>
      </c>
      <c r="H2840" t="s">
        <v>865</v>
      </c>
      <c r="I2840" t="str">
        <f>VLOOKUP(C2840,Customers!A:C,2,FALSE)&amp;" "&amp;VLOOKUP(C2840,Customers!A:C,3,FALSE)</f>
        <v>Michael Perez</v>
      </c>
      <c r="J2840" t="str">
        <f>VLOOKUP(D2840,Products!A:C,2,FALSE)</f>
        <v>Behavior Dairy</v>
      </c>
      <c r="K2840" t="str">
        <f>VLOOKUP(D2840,Products!A:C,3,FALSE)</f>
        <v>Groceries</v>
      </c>
      <c r="L2840" t="str">
        <f>VLOOKUP(E2840,Stores!A:B,2,FALSE)</f>
        <v>MegaMart Peckmouth</v>
      </c>
      <c r="M2840">
        <f>VLOOKUP(D2840,Products!A:E,5,FALSE)</f>
        <v>1015.76</v>
      </c>
      <c r="N2840" s="5">
        <f t="shared" si="44"/>
        <v>2590.1879999999996</v>
      </c>
    </row>
    <row r="2841" spans="1:14" x14ac:dyDescent="0.3">
      <c r="A2841" t="s">
        <v>3697</v>
      </c>
      <c r="B2841" s="2">
        <v>45686</v>
      </c>
      <c r="C2841" t="s">
        <v>422</v>
      </c>
      <c r="D2841" t="s">
        <v>802</v>
      </c>
      <c r="E2841" t="s">
        <v>831</v>
      </c>
      <c r="F2841">
        <v>2</v>
      </c>
      <c r="G2841">
        <v>0.1</v>
      </c>
      <c r="H2841" t="s">
        <v>861</v>
      </c>
      <c r="I2841" t="str">
        <f>VLOOKUP(C2841,Customers!A:C,2,FALSE)&amp;" "&amp;VLOOKUP(C2841,Customers!A:C,3,FALSE)</f>
        <v>Heidi Wilson</v>
      </c>
      <c r="J2841" t="str">
        <f>VLOOKUP(D2841,Products!A:C,2,FALSE)</f>
        <v>Stage Footwear</v>
      </c>
      <c r="K2841" t="str">
        <f>VLOOKUP(D2841,Products!A:C,3,FALSE)</f>
        <v>Fashion</v>
      </c>
      <c r="L2841" t="str">
        <f>VLOOKUP(E2841,Stores!A:B,2,FALSE)</f>
        <v>MegaMart Jimenezborough</v>
      </c>
      <c r="M2841">
        <f>VLOOKUP(D2841,Products!A:E,5,FALSE)</f>
        <v>366.93</v>
      </c>
      <c r="N2841" s="5">
        <f t="shared" si="44"/>
        <v>660.47400000000005</v>
      </c>
    </row>
    <row r="2842" spans="1:14" x14ac:dyDescent="0.3">
      <c r="A2842" t="s">
        <v>3698</v>
      </c>
      <c r="B2842" s="2">
        <v>45889</v>
      </c>
      <c r="C2842" t="s">
        <v>144</v>
      </c>
      <c r="D2842" t="s">
        <v>780</v>
      </c>
      <c r="E2842" t="s">
        <v>846</v>
      </c>
      <c r="F2842">
        <v>3</v>
      </c>
      <c r="G2842">
        <v>0</v>
      </c>
      <c r="H2842" t="s">
        <v>865</v>
      </c>
      <c r="I2842" t="str">
        <f>VLOOKUP(C2842,Customers!A:C,2,FALSE)&amp;" "&amp;VLOOKUP(C2842,Customers!A:C,3,FALSE)</f>
        <v>Miranda Nelson</v>
      </c>
      <c r="J2842" t="str">
        <f>VLOOKUP(D2842,Products!A:C,2,FALSE)</f>
        <v>Hospital Smartphone</v>
      </c>
      <c r="K2842" t="str">
        <f>VLOOKUP(D2842,Products!A:C,3,FALSE)</f>
        <v>Electronics</v>
      </c>
      <c r="L2842" t="str">
        <f>VLOOKUP(E2842,Stores!A:B,2,FALSE)</f>
        <v>MegaMart Johnmouth</v>
      </c>
      <c r="M2842">
        <f>VLOOKUP(D2842,Products!A:E,5,FALSE)</f>
        <v>1272.23</v>
      </c>
      <c r="N2842" s="5">
        <f t="shared" si="44"/>
        <v>3816.69</v>
      </c>
    </row>
    <row r="2843" spans="1:14" x14ac:dyDescent="0.3">
      <c r="A2843" t="s">
        <v>3699</v>
      </c>
      <c r="B2843" s="2">
        <v>45728</v>
      </c>
      <c r="C2843" t="s">
        <v>625</v>
      </c>
      <c r="D2843" t="s">
        <v>757</v>
      </c>
      <c r="E2843" t="s">
        <v>831</v>
      </c>
      <c r="F2843">
        <v>4</v>
      </c>
      <c r="G2843">
        <v>0</v>
      </c>
      <c r="H2843" t="s">
        <v>861</v>
      </c>
      <c r="I2843" t="str">
        <f>VLOOKUP(C2843,Customers!A:C,2,FALSE)&amp;" "&amp;VLOOKUP(C2843,Customers!A:C,3,FALSE)</f>
        <v>Peter Garcia</v>
      </c>
      <c r="J2843" t="str">
        <f>VLOOKUP(D2843,Products!A:C,2,FALSE)</f>
        <v>Find Headphones</v>
      </c>
      <c r="K2843" t="str">
        <f>VLOOKUP(D2843,Products!A:C,3,FALSE)</f>
        <v>Electronics</v>
      </c>
      <c r="L2843" t="str">
        <f>VLOOKUP(E2843,Stores!A:B,2,FALSE)</f>
        <v>MegaMart Jimenezborough</v>
      </c>
      <c r="M2843">
        <f>VLOOKUP(D2843,Products!A:E,5,FALSE)</f>
        <v>1246.1099999999999</v>
      </c>
      <c r="N2843" s="5">
        <f t="shared" si="44"/>
        <v>4984.4399999999996</v>
      </c>
    </row>
    <row r="2844" spans="1:14" x14ac:dyDescent="0.3">
      <c r="A2844" t="s">
        <v>3700</v>
      </c>
      <c r="B2844" s="2">
        <v>45545</v>
      </c>
      <c r="C2844" t="s">
        <v>657</v>
      </c>
      <c r="D2844" t="s">
        <v>715</v>
      </c>
      <c r="E2844" t="s">
        <v>839</v>
      </c>
      <c r="F2844">
        <v>3</v>
      </c>
      <c r="G2844">
        <v>0</v>
      </c>
      <c r="H2844" t="s">
        <v>861</v>
      </c>
      <c r="I2844" t="str">
        <f>VLOOKUP(C2844,Customers!A:C,2,FALSE)&amp;" "&amp;VLOOKUP(C2844,Customers!A:C,3,FALSE)</f>
        <v>Vicki Guzman</v>
      </c>
      <c r="J2844" t="str">
        <f>VLOOKUP(D2844,Products!A:C,2,FALSE)</f>
        <v>Audience Television</v>
      </c>
      <c r="K2844" t="str">
        <f>VLOOKUP(D2844,Products!A:C,3,FALSE)</f>
        <v>Electronics</v>
      </c>
      <c r="L2844" t="str">
        <f>VLOOKUP(E2844,Stores!A:B,2,FALSE)</f>
        <v>MegaMart New Michele</v>
      </c>
      <c r="M2844">
        <f>VLOOKUP(D2844,Products!A:E,5,FALSE)</f>
        <v>818.76</v>
      </c>
      <c r="N2844" s="5">
        <f t="shared" si="44"/>
        <v>2456.2799999999997</v>
      </c>
    </row>
    <row r="2845" spans="1:14" x14ac:dyDescent="0.3">
      <c r="A2845" t="s">
        <v>3701</v>
      </c>
      <c r="B2845" s="2">
        <v>45358</v>
      </c>
      <c r="C2845" t="s">
        <v>109</v>
      </c>
      <c r="D2845" t="s">
        <v>742</v>
      </c>
      <c r="E2845" t="s">
        <v>835</v>
      </c>
      <c r="F2845">
        <v>1</v>
      </c>
      <c r="G2845">
        <v>0.15</v>
      </c>
      <c r="H2845" t="s">
        <v>865</v>
      </c>
      <c r="I2845" t="str">
        <f>VLOOKUP(C2845,Customers!A:C,2,FALSE)&amp;" "&amp;VLOOKUP(C2845,Customers!A:C,3,FALSE)</f>
        <v>Jacqueline Martin</v>
      </c>
      <c r="J2845" t="str">
        <f>VLOOKUP(D2845,Products!A:C,2,FALSE)</f>
        <v>Either Headphones</v>
      </c>
      <c r="K2845" t="str">
        <f>VLOOKUP(D2845,Products!A:C,3,FALSE)</f>
        <v>Electronics</v>
      </c>
      <c r="L2845" t="str">
        <f>VLOOKUP(E2845,Stores!A:B,2,FALSE)</f>
        <v>MegaMart Peckmouth</v>
      </c>
      <c r="M2845">
        <f>VLOOKUP(D2845,Products!A:E,5,FALSE)</f>
        <v>248.57</v>
      </c>
      <c r="N2845" s="5">
        <f t="shared" si="44"/>
        <v>211.28449999999998</v>
      </c>
    </row>
    <row r="2846" spans="1:14" x14ac:dyDescent="0.3">
      <c r="A2846" t="s">
        <v>3702</v>
      </c>
      <c r="B2846" s="2">
        <v>45463</v>
      </c>
      <c r="C2846" t="s">
        <v>527</v>
      </c>
      <c r="D2846" t="s">
        <v>732</v>
      </c>
      <c r="E2846" t="s">
        <v>831</v>
      </c>
      <c r="F2846">
        <v>4</v>
      </c>
      <c r="G2846">
        <v>0</v>
      </c>
      <c r="H2846" t="s">
        <v>861</v>
      </c>
      <c r="I2846" t="str">
        <f>VLOOKUP(C2846,Customers!A:C,2,FALSE)&amp;" "&amp;VLOOKUP(C2846,Customers!A:C,3,FALSE)</f>
        <v>Paige Osborne</v>
      </c>
      <c r="J2846" t="str">
        <f>VLOOKUP(D2846,Products!A:C,2,FALSE)</f>
        <v>Understand Camera</v>
      </c>
      <c r="K2846" t="str">
        <f>VLOOKUP(D2846,Products!A:C,3,FALSE)</f>
        <v>Electronics</v>
      </c>
      <c r="L2846" t="str">
        <f>VLOOKUP(E2846,Stores!A:B,2,FALSE)</f>
        <v>MegaMart Jimenezborough</v>
      </c>
      <c r="M2846">
        <f>VLOOKUP(D2846,Products!A:E,5,FALSE)</f>
        <v>1474.12</v>
      </c>
      <c r="N2846" s="5">
        <f t="shared" si="44"/>
        <v>5896.48</v>
      </c>
    </row>
    <row r="2847" spans="1:14" x14ac:dyDescent="0.3">
      <c r="A2847" t="s">
        <v>3703</v>
      </c>
      <c r="B2847" s="2">
        <v>45488</v>
      </c>
      <c r="C2847" t="s">
        <v>690</v>
      </c>
      <c r="D2847" t="s">
        <v>782</v>
      </c>
      <c r="E2847" t="s">
        <v>831</v>
      </c>
      <c r="F2847">
        <v>5</v>
      </c>
      <c r="G2847">
        <v>0</v>
      </c>
      <c r="H2847" t="s">
        <v>865</v>
      </c>
      <c r="I2847" t="str">
        <f>VLOOKUP(C2847,Customers!A:C,2,FALSE)&amp;" "&amp;VLOOKUP(C2847,Customers!A:C,3,FALSE)</f>
        <v>James Noble</v>
      </c>
      <c r="J2847" t="str">
        <f>VLOOKUP(D2847,Products!A:C,2,FALSE)</f>
        <v>Deal Smartphone</v>
      </c>
      <c r="K2847" t="str">
        <f>VLOOKUP(D2847,Products!A:C,3,FALSE)</f>
        <v>Electronics</v>
      </c>
      <c r="L2847" t="str">
        <f>VLOOKUP(E2847,Stores!A:B,2,FALSE)</f>
        <v>MegaMart Jimenezborough</v>
      </c>
      <c r="M2847">
        <f>VLOOKUP(D2847,Products!A:E,5,FALSE)</f>
        <v>673.78</v>
      </c>
      <c r="N2847" s="5">
        <f t="shared" si="44"/>
        <v>3368.8999999999996</v>
      </c>
    </row>
    <row r="2848" spans="1:14" x14ac:dyDescent="0.3">
      <c r="A2848" t="s">
        <v>3704</v>
      </c>
      <c r="B2848" s="2">
        <v>45528</v>
      </c>
      <c r="C2848" t="s">
        <v>596</v>
      </c>
      <c r="D2848" t="s">
        <v>728</v>
      </c>
      <c r="E2848" t="s">
        <v>842</v>
      </c>
      <c r="F2848">
        <v>5</v>
      </c>
      <c r="G2848">
        <v>0.15</v>
      </c>
      <c r="H2848" t="s">
        <v>855</v>
      </c>
      <c r="I2848" t="str">
        <f>VLOOKUP(C2848,Customers!A:C,2,FALSE)&amp;" "&amp;VLOOKUP(C2848,Customers!A:C,3,FALSE)</f>
        <v>Kimberly Lin</v>
      </c>
      <c r="J2848" t="str">
        <f>VLOOKUP(D2848,Products!A:C,2,FALSE)</f>
        <v>Company Fruits</v>
      </c>
      <c r="K2848" t="str">
        <f>VLOOKUP(D2848,Products!A:C,3,FALSE)</f>
        <v>Groceries</v>
      </c>
      <c r="L2848" t="str">
        <f>VLOOKUP(E2848,Stores!A:B,2,FALSE)</f>
        <v>MegaMart Brianahaven</v>
      </c>
      <c r="M2848">
        <f>VLOOKUP(D2848,Products!A:E,5,FALSE)</f>
        <v>318.05</v>
      </c>
      <c r="N2848" s="5">
        <f t="shared" si="44"/>
        <v>1351.7124999999999</v>
      </c>
    </row>
    <row r="2849" spans="1:14" x14ac:dyDescent="0.3">
      <c r="A2849" t="s">
        <v>3705</v>
      </c>
      <c r="B2849" s="2">
        <v>45748</v>
      </c>
      <c r="C2849" t="s">
        <v>625</v>
      </c>
      <c r="D2849" t="s">
        <v>790</v>
      </c>
      <c r="E2849" t="s">
        <v>846</v>
      </c>
      <c r="F2849">
        <v>4</v>
      </c>
      <c r="G2849">
        <v>0.15</v>
      </c>
      <c r="H2849" t="s">
        <v>861</v>
      </c>
      <c r="I2849" t="str">
        <f>VLOOKUP(C2849,Customers!A:C,2,FALSE)&amp;" "&amp;VLOOKUP(C2849,Customers!A:C,3,FALSE)</f>
        <v>Peter Garcia</v>
      </c>
      <c r="J2849" t="str">
        <f>VLOOKUP(D2849,Products!A:C,2,FALSE)</f>
        <v>Difficult Vegetables</v>
      </c>
      <c r="K2849" t="str">
        <f>VLOOKUP(D2849,Products!A:C,3,FALSE)</f>
        <v>Groceries</v>
      </c>
      <c r="L2849" t="str">
        <f>VLOOKUP(E2849,Stores!A:B,2,FALSE)</f>
        <v>MegaMart Johnmouth</v>
      </c>
      <c r="M2849">
        <f>VLOOKUP(D2849,Products!A:E,5,FALSE)</f>
        <v>304.70999999999998</v>
      </c>
      <c r="N2849" s="5">
        <f t="shared" si="44"/>
        <v>1036.0139999999999</v>
      </c>
    </row>
    <row r="2850" spans="1:14" x14ac:dyDescent="0.3">
      <c r="A2850" t="s">
        <v>3706</v>
      </c>
      <c r="B2850" s="2">
        <v>45807</v>
      </c>
      <c r="C2850" t="s">
        <v>621</v>
      </c>
      <c r="D2850" t="s">
        <v>757</v>
      </c>
      <c r="E2850" t="s">
        <v>842</v>
      </c>
      <c r="F2850">
        <v>5</v>
      </c>
      <c r="G2850">
        <v>0.1</v>
      </c>
      <c r="H2850" t="s">
        <v>855</v>
      </c>
      <c r="I2850" t="str">
        <f>VLOOKUP(C2850,Customers!A:C,2,FALSE)&amp;" "&amp;VLOOKUP(C2850,Customers!A:C,3,FALSE)</f>
        <v>Stacey Thompson</v>
      </c>
      <c r="J2850" t="str">
        <f>VLOOKUP(D2850,Products!A:C,2,FALSE)</f>
        <v>Find Headphones</v>
      </c>
      <c r="K2850" t="str">
        <f>VLOOKUP(D2850,Products!A:C,3,FALSE)</f>
        <v>Electronics</v>
      </c>
      <c r="L2850" t="str">
        <f>VLOOKUP(E2850,Stores!A:B,2,FALSE)</f>
        <v>MegaMart Brianahaven</v>
      </c>
      <c r="M2850">
        <f>VLOOKUP(D2850,Products!A:E,5,FALSE)</f>
        <v>1246.1099999999999</v>
      </c>
      <c r="N2850" s="5">
        <f t="shared" si="44"/>
        <v>5607.4949999999999</v>
      </c>
    </row>
    <row r="2851" spans="1:14" x14ac:dyDescent="0.3">
      <c r="A2851" t="s">
        <v>3707</v>
      </c>
      <c r="B2851" s="2">
        <v>45573</v>
      </c>
      <c r="C2851" t="s">
        <v>582</v>
      </c>
      <c r="D2851" t="s">
        <v>739</v>
      </c>
      <c r="E2851" t="s">
        <v>842</v>
      </c>
      <c r="F2851">
        <v>4</v>
      </c>
      <c r="G2851">
        <v>0.05</v>
      </c>
      <c r="H2851" t="s">
        <v>858</v>
      </c>
      <c r="I2851" t="str">
        <f>VLOOKUP(C2851,Customers!A:C,2,FALSE)&amp;" "&amp;VLOOKUP(C2851,Customers!A:C,3,FALSE)</f>
        <v>Erin Rogers</v>
      </c>
      <c r="J2851" t="str">
        <f>VLOOKUP(D2851,Products!A:C,2,FALSE)</f>
        <v>Step Smartphone</v>
      </c>
      <c r="K2851" t="str">
        <f>VLOOKUP(D2851,Products!A:C,3,FALSE)</f>
        <v>Electronics</v>
      </c>
      <c r="L2851" t="str">
        <f>VLOOKUP(E2851,Stores!A:B,2,FALSE)</f>
        <v>MegaMart Brianahaven</v>
      </c>
      <c r="M2851">
        <f>VLOOKUP(D2851,Products!A:E,5,FALSE)</f>
        <v>1194.1199999999999</v>
      </c>
      <c r="N2851" s="5">
        <f t="shared" si="44"/>
        <v>4537.655999999999</v>
      </c>
    </row>
    <row r="2852" spans="1:14" x14ac:dyDescent="0.3">
      <c r="A2852" t="s">
        <v>3708</v>
      </c>
      <c r="B2852" s="2">
        <v>45542</v>
      </c>
      <c r="C2852" t="s">
        <v>503</v>
      </c>
      <c r="D2852" t="s">
        <v>734</v>
      </c>
      <c r="E2852" t="s">
        <v>839</v>
      </c>
      <c r="F2852">
        <v>2</v>
      </c>
      <c r="G2852">
        <v>0.05</v>
      </c>
      <c r="H2852" t="s">
        <v>855</v>
      </c>
      <c r="I2852" t="str">
        <f>VLOOKUP(C2852,Customers!A:C,2,FALSE)&amp;" "&amp;VLOOKUP(C2852,Customers!A:C,3,FALSE)</f>
        <v>Breanna Moore</v>
      </c>
      <c r="J2852" t="str">
        <f>VLOOKUP(D2852,Products!A:C,2,FALSE)</f>
        <v>Recognize Footwear</v>
      </c>
      <c r="K2852" t="str">
        <f>VLOOKUP(D2852,Products!A:C,3,FALSE)</f>
        <v>Fashion</v>
      </c>
      <c r="L2852" t="str">
        <f>VLOOKUP(E2852,Stores!A:B,2,FALSE)</f>
        <v>MegaMart New Michele</v>
      </c>
      <c r="M2852">
        <f>VLOOKUP(D2852,Products!A:E,5,FALSE)</f>
        <v>109.78</v>
      </c>
      <c r="N2852" s="5">
        <f t="shared" si="44"/>
        <v>208.58199999999999</v>
      </c>
    </row>
    <row r="2853" spans="1:14" x14ac:dyDescent="0.3">
      <c r="A2853" t="s">
        <v>3709</v>
      </c>
      <c r="B2853" s="2">
        <v>45214</v>
      </c>
      <c r="C2853" t="s">
        <v>585</v>
      </c>
      <c r="D2853" t="s">
        <v>750</v>
      </c>
      <c r="E2853" t="s">
        <v>835</v>
      </c>
      <c r="F2853">
        <v>4</v>
      </c>
      <c r="G2853">
        <v>0.1</v>
      </c>
      <c r="H2853" t="s">
        <v>861</v>
      </c>
      <c r="I2853" t="str">
        <f>VLOOKUP(C2853,Customers!A:C,2,FALSE)&amp;" "&amp;VLOOKUP(C2853,Customers!A:C,3,FALSE)</f>
        <v>Linda Vasquez</v>
      </c>
      <c r="J2853" t="str">
        <f>VLOOKUP(D2853,Products!A:C,2,FALSE)</f>
        <v>Add Clothing</v>
      </c>
      <c r="K2853" t="str">
        <f>VLOOKUP(D2853,Products!A:C,3,FALSE)</f>
        <v>Fashion</v>
      </c>
      <c r="L2853" t="str">
        <f>VLOOKUP(E2853,Stores!A:B,2,FALSE)</f>
        <v>MegaMart Peckmouth</v>
      </c>
      <c r="M2853">
        <f>VLOOKUP(D2853,Products!A:E,5,FALSE)</f>
        <v>1342.75</v>
      </c>
      <c r="N2853" s="5">
        <f t="shared" si="44"/>
        <v>4833.9000000000005</v>
      </c>
    </row>
    <row r="2854" spans="1:14" x14ac:dyDescent="0.3">
      <c r="A2854" t="s">
        <v>3710</v>
      </c>
      <c r="B2854" s="2">
        <v>45309</v>
      </c>
      <c r="C2854" t="s">
        <v>358</v>
      </c>
      <c r="D2854" t="s">
        <v>786</v>
      </c>
      <c r="E2854" t="s">
        <v>831</v>
      </c>
      <c r="F2854">
        <v>4</v>
      </c>
      <c r="G2854">
        <v>0.1</v>
      </c>
      <c r="H2854" t="s">
        <v>861</v>
      </c>
      <c r="I2854" t="str">
        <f>VLOOKUP(C2854,Customers!A:C,2,FALSE)&amp;" "&amp;VLOOKUP(C2854,Customers!A:C,3,FALSE)</f>
        <v>Kevin Snyder</v>
      </c>
      <c r="J2854" t="str">
        <f>VLOOKUP(D2854,Products!A:C,2,FALSE)</f>
        <v>National Watches</v>
      </c>
      <c r="K2854" t="str">
        <f>VLOOKUP(D2854,Products!A:C,3,FALSE)</f>
        <v>Fashion</v>
      </c>
      <c r="L2854" t="str">
        <f>VLOOKUP(E2854,Stores!A:B,2,FALSE)</f>
        <v>MegaMart Jimenezborough</v>
      </c>
      <c r="M2854">
        <f>VLOOKUP(D2854,Products!A:E,5,FALSE)</f>
        <v>29.24</v>
      </c>
      <c r="N2854" s="5">
        <f t="shared" si="44"/>
        <v>105.264</v>
      </c>
    </row>
    <row r="2855" spans="1:14" x14ac:dyDescent="0.3">
      <c r="A2855" t="s">
        <v>3711</v>
      </c>
      <c r="B2855" s="2">
        <v>45687</v>
      </c>
      <c r="C2855" t="s">
        <v>48</v>
      </c>
      <c r="D2855" t="s">
        <v>769</v>
      </c>
      <c r="E2855" t="s">
        <v>842</v>
      </c>
      <c r="F2855">
        <v>4</v>
      </c>
      <c r="G2855">
        <v>0.05</v>
      </c>
      <c r="H2855" t="s">
        <v>858</v>
      </c>
      <c r="I2855" t="str">
        <f>VLOOKUP(C2855,Customers!A:C,2,FALSE)&amp;" "&amp;VLOOKUP(C2855,Customers!A:C,3,FALSE)</f>
        <v>Haley Williams</v>
      </c>
      <c r="J2855" t="str">
        <f>VLOOKUP(D2855,Products!A:C,2,FALSE)</f>
        <v>How Vegetables</v>
      </c>
      <c r="K2855" t="str">
        <f>VLOOKUP(D2855,Products!A:C,3,FALSE)</f>
        <v>Groceries</v>
      </c>
      <c r="L2855" t="str">
        <f>VLOOKUP(E2855,Stores!A:B,2,FALSE)</f>
        <v>MegaMart Brianahaven</v>
      </c>
      <c r="M2855">
        <f>VLOOKUP(D2855,Products!A:E,5,FALSE)</f>
        <v>25.57</v>
      </c>
      <c r="N2855" s="5">
        <f t="shared" si="44"/>
        <v>97.165999999999997</v>
      </c>
    </row>
    <row r="2856" spans="1:14" x14ac:dyDescent="0.3">
      <c r="A2856" t="s">
        <v>3712</v>
      </c>
      <c r="B2856" s="2">
        <v>45474</v>
      </c>
      <c r="C2856" t="s">
        <v>130</v>
      </c>
      <c r="D2856" t="s">
        <v>776</v>
      </c>
      <c r="E2856" t="s">
        <v>839</v>
      </c>
      <c r="F2856">
        <v>2</v>
      </c>
      <c r="G2856">
        <v>0.15</v>
      </c>
      <c r="H2856" t="s">
        <v>858</v>
      </c>
      <c r="I2856" t="str">
        <f>VLOOKUP(C2856,Customers!A:C,2,FALSE)&amp;" "&amp;VLOOKUP(C2856,Customers!A:C,3,FALSE)</f>
        <v>Jenny Beck</v>
      </c>
      <c r="J2856" t="str">
        <f>VLOOKUP(D2856,Products!A:C,2,FALSE)</f>
        <v>Little Watches</v>
      </c>
      <c r="K2856" t="str">
        <f>VLOOKUP(D2856,Products!A:C,3,FALSE)</f>
        <v>Fashion</v>
      </c>
      <c r="L2856" t="str">
        <f>VLOOKUP(E2856,Stores!A:B,2,FALSE)</f>
        <v>MegaMart New Michele</v>
      </c>
      <c r="M2856">
        <f>VLOOKUP(D2856,Products!A:E,5,FALSE)</f>
        <v>429.15</v>
      </c>
      <c r="N2856" s="5">
        <f t="shared" si="44"/>
        <v>729.55499999999995</v>
      </c>
    </row>
    <row r="2857" spans="1:14" x14ac:dyDescent="0.3">
      <c r="A2857" t="s">
        <v>3713</v>
      </c>
      <c r="B2857" s="2">
        <v>45510</v>
      </c>
      <c r="C2857" t="s">
        <v>399</v>
      </c>
      <c r="D2857" t="s">
        <v>742</v>
      </c>
      <c r="E2857" t="s">
        <v>842</v>
      </c>
      <c r="F2857">
        <v>4</v>
      </c>
      <c r="G2857">
        <v>0.15</v>
      </c>
      <c r="H2857" t="s">
        <v>858</v>
      </c>
      <c r="I2857" t="str">
        <f>VLOOKUP(C2857,Customers!A:C,2,FALSE)&amp;" "&amp;VLOOKUP(C2857,Customers!A:C,3,FALSE)</f>
        <v>Victoria Hansen</v>
      </c>
      <c r="J2857" t="str">
        <f>VLOOKUP(D2857,Products!A:C,2,FALSE)</f>
        <v>Either Headphones</v>
      </c>
      <c r="K2857" t="str">
        <f>VLOOKUP(D2857,Products!A:C,3,FALSE)</f>
        <v>Electronics</v>
      </c>
      <c r="L2857" t="str">
        <f>VLOOKUP(E2857,Stores!A:B,2,FALSE)</f>
        <v>MegaMart Brianahaven</v>
      </c>
      <c r="M2857">
        <f>VLOOKUP(D2857,Products!A:E,5,FALSE)</f>
        <v>248.57</v>
      </c>
      <c r="N2857" s="5">
        <f t="shared" si="44"/>
        <v>845.13799999999992</v>
      </c>
    </row>
    <row r="2858" spans="1:14" x14ac:dyDescent="0.3">
      <c r="A2858" t="s">
        <v>3714</v>
      </c>
      <c r="B2858" s="2">
        <v>45597</v>
      </c>
      <c r="C2858" t="s">
        <v>442</v>
      </c>
      <c r="D2858" t="s">
        <v>824</v>
      </c>
      <c r="E2858" t="s">
        <v>839</v>
      </c>
      <c r="F2858">
        <v>3</v>
      </c>
      <c r="G2858">
        <v>0.1</v>
      </c>
      <c r="H2858" t="s">
        <v>858</v>
      </c>
      <c r="I2858" t="str">
        <f>VLOOKUP(C2858,Customers!A:C,2,FALSE)&amp;" "&amp;VLOOKUP(C2858,Customers!A:C,3,FALSE)</f>
        <v>Jason Lloyd</v>
      </c>
      <c r="J2858" t="str">
        <f>VLOOKUP(D2858,Products!A:C,2,FALSE)</f>
        <v>Possible Watches</v>
      </c>
      <c r="K2858" t="str">
        <f>VLOOKUP(D2858,Products!A:C,3,FALSE)</f>
        <v>Fashion</v>
      </c>
      <c r="L2858" t="str">
        <f>VLOOKUP(E2858,Stores!A:B,2,FALSE)</f>
        <v>MegaMart New Michele</v>
      </c>
      <c r="M2858">
        <f>VLOOKUP(D2858,Products!A:E,5,FALSE)</f>
        <v>388.26</v>
      </c>
      <c r="N2858" s="5">
        <f t="shared" si="44"/>
        <v>1048.3019999999999</v>
      </c>
    </row>
    <row r="2859" spans="1:14" x14ac:dyDescent="0.3">
      <c r="A2859" t="s">
        <v>3715</v>
      </c>
      <c r="B2859" s="2">
        <v>45292</v>
      </c>
      <c r="C2859" t="s">
        <v>137</v>
      </c>
      <c r="D2859" t="s">
        <v>804</v>
      </c>
      <c r="E2859" t="s">
        <v>846</v>
      </c>
      <c r="F2859">
        <v>2</v>
      </c>
      <c r="G2859">
        <v>0.05</v>
      </c>
      <c r="H2859" t="s">
        <v>861</v>
      </c>
      <c r="I2859" t="str">
        <f>VLOOKUP(C2859,Customers!A:C,2,FALSE)&amp;" "&amp;VLOOKUP(C2859,Customers!A:C,3,FALSE)</f>
        <v>Kimberly King</v>
      </c>
      <c r="J2859" t="str">
        <f>VLOOKUP(D2859,Products!A:C,2,FALSE)</f>
        <v>Church Clothing</v>
      </c>
      <c r="K2859" t="str">
        <f>VLOOKUP(D2859,Products!A:C,3,FALSE)</f>
        <v>Fashion</v>
      </c>
      <c r="L2859" t="str">
        <f>VLOOKUP(E2859,Stores!A:B,2,FALSE)</f>
        <v>MegaMart Johnmouth</v>
      </c>
      <c r="M2859">
        <f>VLOOKUP(D2859,Products!A:E,5,FALSE)</f>
        <v>540.94000000000005</v>
      </c>
      <c r="N2859" s="5">
        <f t="shared" si="44"/>
        <v>1027.7860000000001</v>
      </c>
    </row>
    <row r="2860" spans="1:14" x14ac:dyDescent="0.3">
      <c r="A2860" t="s">
        <v>3716</v>
      </c>
      <c r="B2860" s="2">
        <v>45833</v>
      </c>
      <c r="C2860" t="s">
        <v>647</v>
      </c>
      <c r="D2860" t="s">
        <v>766</v>
      </c>
      <c r="E2860" t="s">
        <v>835</v>
      </c>
      <c r="F2860">
        <v>5</v>
      </c>
      <c r="G2860">
        <v>0.05</v>
      </c>
      <c r="H2860" t="s">
        <v>855</v>
      </c>
      <c r="I2860" t="str">
        <f>VLOOKUP(C2860,Customers!A:C,2,FALSE)&amp;" "&amp;VLOOKUP(C2860,Customers!A:C,3,FALSE)</f>
        <v>Mary Dawson</v>
      </c>
      <c r="J2860" t="str">
        <f>VLOOKUP(D2860,Products!A:C,2,FALSE)</f>
        <v>Firm Dairy</v>
      </c>
      <c r="K2860" t="str">
        <f>VLOOKUP(D2860,Products!A:C,3,FALSE)</f>
        <v>Groceries</v>
      </c>
      <c r="L2860" t="str">
        <f>VLOOKUP(E2860,Stores!A:B,2,FALSE)</f>
        <v>MegaMart Peckmouth</v>
      </c>
      <c r="M2860">
        <f>VLOOKUP(D2860,Products!A:E,5,FALSE)</f>
        <v>1227.24</v>
      </c>
      <c r="N2860" s="5">
        <f t="shared" si="44"/>
        <v>5829.3899999999994</v>
      </c>
    </row>
    <row r="2861" spans="1:14" x14ac:dyDescent="0.3">
      <c r="A2861" t="s">
        <v>3717</v>
      </c>
      <c r="B2861" s="2">
        <v>45845</v>
      </c>
      <c r="C2861" t="s">
        <v>442</v>
      </c>
      <c r="D2861" t="s">
        <v>722</v>
      </c>
      <c r="E2861" t="s">
        <v>846</v>
      </c>
      <c r="F2861">
        <v>4</v>
      </c>
      <c r="G2861">
        <v>0.1</v>
      </c>
      <c r="H2861" t="s">
        <v>855</v>
      </c>
      <c r="I2861" t="str">
        <f>VLOOKUP(C2861,Customers!A:C,2,FALSE)&amp;" "&amp;VLOOKUP(C2861,Customers!A:C,3,FALSE)</f>
        <v>Jason Lloyd</v>
      </c>
      <c r="J2861" t="str">
        <f>VLOOKUP(D2861,Products!A:C,2,FALSE)</f>
        <v>Four Accessories</v>
      </c>
      <c r="K2861" t="str">
        <f>VLOOKUP(D2861,Products!A:C,3,FALSE)</f>
        <v>Fashion</v>
      </c>
      <c r="L2861" t="str">
        <f>VLOOKUP(E2861,Stores!A:B,2,FALSE)</f>
        <v>MegaMart Johnmouth</v>
      </c>
      <c r="M2861">
        <f>VLOOKUP(D2861,Products!A:E,5,FALSE)</f>
        <v>1853.77</v>
      </c>
      <c r="N2861" s="5">
        <f t="shared" si="44"/>
        <v>6673.5720000000001</v>
      </c>
    </row>
    <row r="2862" spans="1:14" x14ac:dyDescent="0.3">
      <c r="A2862" t="s">
        <v>3718</v>
      </c>
      <c r="B2862" s="2">
        <v>45465</v>
      </c>
      <c r="C2862" t="s">
        <v>213</v>
      </c>
      <c r="D2862" t="s">
        <v>798</v>
      </c>
      <c r="E2862" t="s">
        <v>842</v>
      </c>
      <c r="F2862">
        <v>2</v>
      </c>
      <c r="G2862">
        <v>0.15</v>
      </c>
      <c r="H2862" t="s">
        <v>865</v>
      </c>
      <c r="I2862" t="str">
        <f>VLOOKUP(C2862,Customers!A:C,2,FALSE)&amp;" "&amp;VLOOKUP(C2862,Customers!A:C,3,FALSE)</f>
        <v>Deborah Moody</v>
      </c>
      <c r="J2862" t="str">
        <f>VLOOKUP(D2862,Products!A:C,2,FALSE)</f>
        <v>New Watches</v>
      </c>
      <c r="K2862" t="str">
        <f>VLOOKUP(D2862,Products!A:C,3,FALSE)</f>
        <v>Fashion</v>
      </c>
      <c r="L2862" t="str">
        <f>VLOOKUP(E2862,Stores!A:B,2,FALSE)</f>
        <v>MegaMart Brianahaven</v>
      </c>
      <c r="M2862">
        <f>VLOOKUP(D2862,Products!A:E,5,FALSE)</f>
        <v>1501.46</v>
      </c>
      <c r="N2862" s="5">
        <f t="shared" si="44"/>
        <v>2552.482</v>
      </c>
    </row>
    <row r="2863" spans="1:14" x14ac:dyDescent="0.3">
      <c r="A2863" t="s">
        <v>3719</v>
      </c>
      <c r="B2863" s="2">
        <v>45532</v>
      </c>
      <c r="C2863" t="s">
        <v>505</v>
      </c>
      <c r="D2863" t="s">
        <v>766</v>
      </c>
      <c r="E2863" t="s">
        <v>842</v>
      </c>
      <c r="F2863">
        <v>3</v>
      </c>
      <c r="G2863">
        <v>0.15</v>
      </c>
      <c r="H2863" t="s">
        <v>865</v>
      </c>
      <c r="I2863" t="str">
        <f>VLOOKUP(C2863,Customers!A:C,2,FALSE)&amp;" "&amp;VLOOKUP(C2863,Customers!A:C,3,FALSE)</f>
        <v>Alexander Mcfarland</v>
      </c>
      <c r="J2863" t="str">
        <f>VLOOKUP(D2863,Products!A:C,2,FALSE)</f>
        <v>Firm Dairy</v>
      </c>
      <c r="K2863" t="str">
        <f>VLOOKUP(D2863,Products!A:C,3,FALSE)</f>
        <v>Groceries</v>
      </c>
      <c r="L2863" t="str">
        <f>VLOOKUP(E2863,Stores!A:B,2,FALSE)</f>
        <v>MegaMart Brianahaven</v>
      </c>
      <c r="M2863">
        <f>VLOOKUP(D2863,Products!A:E,5,FALSE)</f>
        <v>1227.24</v>
      </c>
      <c r="N2863" s="5">
        <f t="shared" si="44"/>
        <v>3129.462</v>
      </c>
    </row>
    <row r="2864" spans="1:14" x14ac:dyDescent="0.3">
      <c r="A2864" t="s">
        <v>3720</v>
      </c>
      <c r="B2864" s="2">
        <v>45810</v>
      </c>
      <c r="C2864" t="s">
        <v>202</v>
      </c>
      <c r="D2864" t="s">
        <v>745</v>
      </c>
      <c r="E2864" t="s">
        <v>835</v>
      </c>
      <c r="F2864">
        <v>3</v>
      </c>
      <c r="G2864">
        <v>0.05</v>
      </c>
      <c r="H2864" t="s">
        <v>858</v>
      </c>
      <c r="I2864" t="str">
        <f>VLOOKUP(C2864,Customers!A:C,2,FALSE)&amp;" "&amp;VLOOKUP(C2864,Customers!A:C,3,FALSE)</f>
        <v>Billy Hernandez</v>
      </c>
      <c r="J2864" t="str">
        <f>VLOOKUP(D2864,Products!A:C,2,FALSE)</f>
        <v>Above Camera</v>
      </c>
      <c r="K2864" t="str">
        <f>VLOOKUP(D2864,Products!A:C,3,FALSE)</f>
        <v>Electronics</v>
      </c>
      <c r="L2864" t="str">
        <f>VLOOKUP(E2864,Stores!A:B,2,FALSE)</f>
        <v>MegaMart Peckmouth</v>
      </c>
      <c r="M2864">
        <f>VLOOKUP(D2864,Products!A:E,5,FALSE)</f>
        <v>1193.0899999999999</v>
      </c>
      <c r="N2864" s="5">
        <f t="shared" si="44"/>
        <v>3400.3064999999992</v>
      </c>
    </row>
    <row r="2865" spans="1:14" x14ac:dyDescent="0.3">
      <c r="A2865" t="s">
        <v>3721</v>
      </c>
      <c r="B2865" s="2">
        <v>45674</v>
      </c>
      <c r="C2865" t="s">
        <v>487</v>
      </c>
      <c r="D2865" t="s">
        <v>788</v>
      </c>
      <c r="E2865" t="s">
        <v>842</v>
      </c>
      <c r="F2865">
        <v>2</v>
      </c>
      <c r="G2865">
        <v>0.15</v>
      </c>
      <c r="H2865" t="s">
        <v>865</v>
      </c>
      <c r="I2865" t="str">
        <f>VLOOKUP(C2865,Customers!A:C,2,FALSE)&amp;" "&amp;VLOOKUP(C2865,Customers!A:C,3,FALSE)</f>
        <v>Yvette Roth</v>
      </c>
      <c r="J2865" t="str">
        <f>VLOOKUP(D2865,Products!A:C,2,FALSE)</f>
        <v>Foot Snacks</v>
      </c>
      <c r="K2865" t="str">
        <f>VLOOKUP(D2865,Products!A:C,3,FALSE)</f>
        <v>Groceries</v>
      </c>
      <c r="L2865" t="str">
        <f>VLOOKUP(E2865,Stores!A:B,2,FALSE)</f>
        <v>MegaMart Brianahaven</v>
      </c>
      <c r="M2865">
        <f>VLOOKUP(D2865,Products!A:E,5,FALSE)</f>
        <v>1095.72</v>
      </c>
      <c r="N2865" s="5">
        <f t="shared" si="44"/>
        <v>1862.7239999999999</v>
      </c>
    </row>
    <row r="2866" spans="1:14" x14ac:dyDescent="0.3">
      <c r="A2866" t="s">
        <v>3722</v>
      </c>
      <c r="B2866" s="2">
        <v>45714</v>
      </c>
      <c r="C2866" t="s">
        <v>630</v>
      </c>
      <c r="D2866" t="s">
        <v>818</v>
      </c>
      <c r="E2866" t="s">
        <v>835</v>
      </c>
      <c r="F2866">
        <v>4</v>
      </c>
      <c r="G2866">
        <v>0.05</v>
      </c>
      <c r="H2866" t="s">
        <v>855</v>
      </c>
      <c r="I2866" t="str">
        <f>VLOOKUP(C2866,Customers!A:C,2,FALSE)&amp;" "&amp;VLOOKUP(C2866,Customers!A:C,3,FALSE)</f>
        <v>Mark Mcdonald</v>
      </c>
      <c r="J2866" t="str">
        <f>VLOOKUP(D2866,Products!A:C,2,FALSE)</f>
        <v>Nature Clothing</v>
      </c>
      <c r="K2866" t="str">
        <f>VLOOKUP(D2866,Products!A:C,3,FALSE)</f>
        <v>Fashion</v>
      </c>
      <c r="L2866" t="str">
        <f>VLOOKUP(E2866,Stores!A:B,2,FALSE)</f>
        <v>MegaMart Peckmouth</v>
      </c>
      <c r="M2866">
        <f>VLOOKUP(D2866,Products!A:E,5,FALSE)</f>
        <v>1165.3699999999999</v>
      </c>
      <c r="N2866" s="5">
        <f t="shared" si="44"/>
        <v>4428.405999999999</v>
      </c>
    </row>
    <row r="2867" spans="1:14" x14ac:dyDescent="0.3">
      <c r="A2867" t="s">
        <v>3723</v>
      </c>
      <c r="B2867" s="2">
        <v>45244</v>
      </c>
      <c r="C2867" t="s">
        <v>673</v>
      </c>
      <c r="D2867" t="s">
        <v>745</v>
      </c>
      <c r="E2867" t="s">
        <v>846</v>
      </c>
      <c r="F2867">
        <v>2</v>
      </c>
      <c r="G2867">
        <v>0.15</v>
      </c>
      <c r="H2867" t="s">
        <v>861</v>
      </c>
      <c r="I2867" t="str">
        <f>VLOOKUP(C2867,Customers!A:C,2,FALSE)&amp;" "&amp;VLOOKUP(C2867,Customers!A:C,3,FALSE)</f>
        <v>Karen Quinn</v>
      </c>
      <c r="J2867" t="str">
        <f>VLOOKUP(D2867,Products!A:C,2,FALSE)</f>
        <v>Above Camera</v>
      </c>
      <c r="K2867" t="str">
        <f>VLOOKUP(D2867,Products!A:C,3,FALSE)</f>
        <v>Electronics</v>
      </c>
      <c r="L2867" t="str">
        <f>VLOOKUP(E2867,Stores!A:B,2,FALSE)</f>
        <v>MegaMart Johnmouth</v>
      </c>
      <c r="M2867">
        <f>VLOOKUP(D2867,Products!A:E,5,FALSE)</f>
        <v>1193.0899999999999</v>
      </c>
      <c r="N2867" s="5">
        <f t="shared" si="44"/>
        <v>2028.2529999999997</v>
      </c>
    </row>
    <row r="2868" spans="1:14" x14ac:dyDescent="0.3">
      <c r="A2868" t="s">
        <v>3724</v>
      </c>
      <c r="B2868" s="2">
        <v>45285</v>
      </c>
      <c r="C2868" t="s">
        <v>151</v>
      </c>
      <c r="D2868" t="s">
        <v>739</v>
      </c>
      <c r="E2868" t="s">
        <v>842</v>
      </c>
      <c r="F2868">
        <v>3</v>
      </c>
      <c r="G2868">
        <v>0.15</v>
      </c>
      <c r="H2868" t="s">
        <v>861</v>
      </c>
      <c r="I2868" t="str">
        <f>VLOOKUP(C2868,Customers!A:C,2,FALSE)&amp;" "&amp;VLOOKUP(C2868,Customers!A:C,3,FALSE)</f>
        <v>Nancy Savage</v>
      </c>
      <c r="J2868" t="str">
        <f>VLOOKUP(D2868,Products!A:C,2,FALSE)</f>
        <v>Step Smartphone</v>
      </c>
      <c r="K2868" t="str">
        <f>VLOOKUP(D2868,Products!A:C,3,FALSE)</f>
        <v>Electronics</v>
      </c>
      <c r="L2868" t="str">
        <f>VLOOKUP(E2868,Stores!A:B,2,FALSE)</f>
        <v>MegaMart Brianahaven</v>
      </c>
      <c r="M2868">
        <f>VLOOKUP(D2868,Products!A:E,5,FALSE)</f>
        <v>1194.1199999999999</v>
      </c>
      <c r="N2868" s="5">
        <f t="shared" si="44"/>
        <v>3045.0059999999999</v>
      </c>
    </row>
    <row r="2869" spans="1:14" x14ac:dyDescent="0.3">
      <c r="A2869" t="s">
        <v>3725</v>
      </c>
      <c r="B2869" s="2">
        <v>45415</v>
      </c>
      <c r="C2869" t="s">
        <v>670</v>
      </c>
      <c r="D2869" t="s">
        <v>766</v>
      </c>
      <c r="E2869" t="s">
        <v>835</v>
      </c>
      <c r="F2869">
        <v>4</v>
      </c>
      <c r="G2869">
        <v>0.1</v>
      </c>
      <c r="H2869" t="s">
        <v>865</v>
      </c>
      <c r="I2869" t="str">
        <f>VLOOKUP(C2869,Customers!A:C,2,FALSE)&amp;" "&amp;VLOOKUP(C2869,Customers!A:C,3,FALSE)</f>
        <v>Daniel Lawson</v>
      </c>
      <c r="J2869" t="str">
        <f>VLOOKUP(D2869,Products!A:C,2,FALSE)</f>
        <v>Firm Dairy</v>
      </c>
      <c r="K2869" t="str">
        <f>VLOOKUP(D2869,Products!A:C,3,FALSE)</f>
        <v>Groceries</v>
      </c>
      <c r="L2869" t="str">
        <f>VLOOKUP(E2869,Stores!A:B,2,FALSE)</f>
        <v>MegaMart Peckmouth</v>
      </c>
      <c r="M2869">
        <f>VLOOKUP(D2869,Products!A:E,5,FALSE)</f>
        <v>1227.24</v>
      </c>
      <c r="N2869" s="5">
        <f t="shared" si="44"/>
        <v>4418.0640000000003</v>
      </c>
    </row>
    <row r="2870" spans="1:14" x14ac:dyDescent="0.3">
      <c r="A2870" t="s">
        <v>3726</v>
      </c>
      <c r="B2870" s="2">
        <v>45445</v>
      </c>
      <c r="C2870" t="s">
        <v>618</v>
      </c>
      <c r="D2870" t="s">
        <v>722</v>
      </c>
      <c r="E2870" t="s">
        <v>831</v>
      </c>
      <c r="F2870">
        <v>1</v>
      </c>
      <c r="G2870">
        <v>0</v>
      </c>
      <c r="H2870" t="s">
        <v>865</v>
      </c>
      <c r="I2870" t="str">
        <f>VLOOKUP(C2870,Customers!A:C,2,FALSE)&amp;" "&amp;VLOOKUP(C2870,Customers!A:C,3,FALSE)</f>
        <v>Scott Howell</v>
      </c>
      <c r="J2870" t="str">
        <f>VLOOKUP(D2870,Products!A:C,2,FALSE)</f>
        <v>Four Accessories</v>
      </c>
      <c r="K2870" t="str">
        <f>VLOOKUP(D2870,Products!A:C,3,FALSE)</f>
        <v>Fashion</v>
      </c>
      <c r="L2870" t="str">
        <f>VLOOKUP(E2870,Stores!A:B,2,FALSE)</f>
        <v>MegaMart Jimenezborough</v>
      </c>
      <c r="M2870">
        <f>VLOOKUP(D2870,Products!A:E,5,FALSE)</f>
        <v>1853.77</v>
      </c>
      <c r="N2870" s="5">
        <f t="shared" si="44"/>
        <v>1853.77</v>
      </c>
    </row>
    <row r="2871" spans="1:14" x14ac:dyDescent="0.3">
      <c r="A2871" t="s">
        <v>3727</v>
      </c>
      <c r="B2871" s="2">
        <v>45382</v>
      </c>
      <c r="C2871" t="s">
        <v>15</v>
      </c>
      <c r="D2871" t="s">
        <v>725</v>
      </c>
      <c r="E2871" t="s">
        <v>831</v>
      </c>
      <c r="F2871">
        <v>3</v>
      </c>
      <c r="G2871">
        <v>0</v>
      </c>
      <c r="H2871" t="s">
        <v>855</v>
      </c>
      <c r="I2871" t="str">
        <f>VLOOKUP(C2871,Customers!A:C,2,FALSE)&amp;" "&amp;VLOOKUP(C2871,Customers!A:C,3,FALSE)</f>
        <v>Carol Hays</v>
      </c>
      <c r="J2871" t="str">
        <f>VLOOKUP(D2871,Products!A:C,2,FALSE)</f>
        <v>Knowledge Bags</v>
      </c>
      <c r="K2871" t="str">
        <f>VLOOKUP(D2871,Products!A:C,3,FALSE)</f>
        <v>Fashion</v>
      </c>
      <c r="L2871" t="str">
        <f>VLOOKUP(E2871,Stores!A:B,2,FALSE)</f>
        <v>MegaMart Jimenezborough</v>
      </c>
      <c r="M2871">
        <f>VLOOKUP(D2871,Products!A:E,5,FALSE)</f>
        <v>1396.22</v>
      </c>
      <c r="N2871" s="5">
        <f t="shared" si="44"/>
        <v>4188.66</v>
      </c>
    </row>
    <row r="2872" spans="1:14" x14ac:dyDescent="0.3">
      <c r="A2872" t="s">
        <v>3728</v>
      </c>
      <c r="B2872" s="2">
        <v>45329</v>
      </c>
      <c r="C2872" t="s">
        <v>347</v>
      </c>
      <c r="D2872" t="s">
        <v>745</v>
      </c>
      <c r="E2872" t="s">
        <v>835</v>
      </c>
      <c r="F2872">
        <v>2</v>
      </c>
      <c r="G2872">
        <v>0.05</v>
      </c>
      <c r="H2872" t="s">
        <v>855</v>
      </c>
      <c r="I2872" t="str">
        <f>VLOOKUP(C2872,Customers!A:C,2,FALSE)&amp;" "&amp;VLOOKUP(C2872,Customers!A:C,3,FALSE)</f>
        <v>Lindsey Holder</v>
      </c>
      <c r="J2872" t="str">
        <f>VLOOKUP(D2872,Products!A:C,2,FALSE)</f>
        <v>Above Camera</v>
      </c>
      <c r="K2872" t="str">
        <f>VLOOKUP(D2872,Products!A:C,3,FALSE)</f>
        <v>Electronics</v>
      </c>
      <c r="L2872" t="str">
        <f>VLOOKUP(E2872,Stores!A:B,2,FALSE)</f>
        <v>MegaMart Peckmouth</v>
      </c>
      <c r="M2872">
        <f>VLOOKUP(D2872,Products!A:E,5,FALSE)</f>
        <v>1193.0899999999999</v>
      </c>
      <c r="N2872" s="5">
        <f t="shared" si="44"/>
        <v>2266.8709999999996</v>
      </c>
    </row>
    <row r="2873" spans="1:14" x14ac:dyDescent="0.3">
      <c r="A2873" t="s">
        <v>3729</v>
      </c>
      <c r="B2873" s="2">
        <v>45449</v>
      </c>
      <c r="C2873" t="s">
        <v>71</v>
      </c>
      <c r="D2873" t="s">
        <v>814</v>
      </c>
      <c r="E2873" t="s">
        <v>839</v>
      </c>
      <c r="F2873">
        <v>5</v>
      </c>
      <c r="G2873">
        <v>0.1</v>
      </c>
      <c r="H2873" t="s">
        <v>858</v>
      </c>
      <c r="I2873" t="str">
        <f>VLOOKUP(C2873,Customers!A:C,2,FALSE)&amp;" "&amp;VLOOKUP(C2873,Customers!A:C,3,FALSE)</f>
        <v>Vanessa Anderson</v>
      </c>
      <c r="J2873" t="str">
        <f>VLOOKUP(D2873,Products!A:C,2,FALSE)</f>
        <v>Least Accessories</v>
      </c>
      <c r="K2873" t="str">
        <f>VLOOKUP(D2873,Products!A:C,3,FALSE)</f>
        <v>Fashion</v>
      </c>
      <c r="L2873" t="str">
        <f>VLOOKUP(E2873,Stores!A:B,2,FALSE)</f>
        <v>MegaMart New Michele</v>
      </c>
      <c r="M2873">
        <f>VLOOKUP(D2873,Products!A:E,5,FALSE)</f>
        <v>1286.55</v>
      </c>
      <c r="N2873" s="5">
        <f t="shared" si="44"/>
        <v>5789.4750000000004</v>
      </c>
    </row>
    <row r="2874" spans="1:14" x14ac:dyDescent="0.3">
      <c r="A2874" t="s">
        <v>3730</v>
      </c>
      <c r="B2874" s="2">
        <v>45362</v>
      </c>
      <c r="C2874" t="s">
        <v>452</v>
      </c>
      <c r="D2874" t="s">
        <v>784</v>
      </c>
      <c r="E2874" t="s">
        <v>839</v>
      </c>
      <c r="F2874">
        <v>2</v>
      </c>
      <c r="G2874">
        <v>0.1</v>
      </c>
      <c r="H2874" t="s">
        <v>855</v>
      </c>
      <c r="I2874" t="str">
        <f>VLOOKUP(C2874,Customers!A:C,2,FALSE)&amp;" "&amp;VLOOKUP(C2874,Customers!A:C,3,FALSE)</f>
        <v>Amy Smith</v>
      </c>
      <c r="J2874" t="str">
        <f>VLOOKUP(D2874,Products!A:C,2,FALSE)</f>
        <v>Road Clothing</v>
      </c>
      <c r="K2874" t="str">
        <f>VLOOKUP(D2874,Products!A:C,3,FALSE)</f>
        <v>Fashion</v>
      </c>
      <c r="L2874" t="str">
        <f>VLOOKUP(E2874,Stores!A:B,2,FALSE)</f>
        <v>MegaMart New Michele</v>
      </c>
      <c r="M2874">
        <f>VLOOKUP(D2874,Products!A:E,5,FALSE)</f>
        <v>1485.05</v>
      </c>
      <c r="N2874" s="5">
        <f t="shared" si="44"/>
        <v>2673.09</v>
      </c>
    </row>
    <row r="2875" spans="1:14" x14ac:dyDescent="0.3">
      <c r="A2875" t="s">
        <v>3731</v>
      </c>
      <c r="B2875" s="2">
        <v>45279</v>
      </c>
      <c r="C2875" t="s">
        <v>105</v>
      </c>
      <c r="D2875" t="s">
        <v>774</v>
      </c>
      <c r="E2875" t="s">
        <v>846</v>
      </c>
      <c r="F2875">
        <v>2</v>
      </c>
      <c r="G2875">
        <v>0.05</v>
      </c>
      <c r="H2875" t="s">
        <v>861</v>
      </c>
      <c r="I2875" t="str">
        <f>VLOOKUP(C2875,Customers!A:C,2,FALSE)&amp;" "&amp;VLOOKUP(C2875,Customers!A:C,3,FALSE)</f>
        <v>Justin Macdonald</v>
      </c>
      <c r="J2875" t="str">
        <f>VLOOKUP(D2875,Products!A:C,2,FALSE)</f>
        <v>Him Smartphone</v>
      </c>
      <c r="K2875" t="str">
        <f>VLOOKUP(D2875,Products!A:C,3,FALSE)</f>
        <v>Electronics</v>
      </c>
      <c r="L2875" t="str">
        <f>VLOOKUP(E2875,Stores!A:B,2,FALSE)</f>
        <v>MegaMart Johnmouth</v>
      </c>
      <c r="M2875">
        <f>VLOOKUP(D2875,Products!A:E,5,FALSE)</f>
        <v>1487.41</v>
      </c>
      <c r="N2875" s="5">
        <f t="shared" si="44"/>
        <v>2826.0790000000002</v>
      </c>
    </row>
    <row r="2876" spans="1:14" x14ac:dyDescent="0.3">
      <c r="A2876" t="s">
        <v>3732</v>
      </c>
      <c r="B2876" s="2">
        <v>45589</v>
      </c>
      <c r="C2876" t="s">
        <v>399</v>
      </c>
      <c r="D2876" t="s">
        <v>812</v>
      </c>
      <c r="E2876" t="s">
        <v>831</v>
      </c>
      <c r="F2876">
        <v>5</v>
      </c>
      <c r="G2876">
        <v>0.15</v>
      </c>
      <c r="H2876" t="s">
        <v>861</v>
      </c>
      <c r="I2876" t="str">
        <f>VLOOKUP(C2876,Customers!A:C,2,FALSE)&amp;" "&amp;VLOOKUP(C2876,Customers!A:C,3,FALSE)</f>
        <v>Victoria Hansen</v>
      </c>
      <c r="J2876" t="str">
        <f>VLOOKUP(D2876,Products!A:C,2,FALSE)</f>
        <v>Soon Accessories</v>
      </c>
      <c r="K2876" t="str">
        <f>VLOOKUP(D2876,Products!A:C,3,FALSE)</f>
        <v>Fashion</v>
      </c>
      <c r="L2876" t="str">
        <f>VLOOKUP(E2876,Stores!A:B,2,FALSE)</f>
        <v>MegaMart Jimenezborough</v>
      </c>
      <c r="M2876">
        <f>VLOOKUP(D2876,Products!A:E,5,FALSE)</f>
        <v>564.41999999999996</v>
      </c>
      <c r="N2876" s="5">
        <f t="shared" si="44"/>
        <v>2398.7849999999999</v>
      </c>
    </row>
    <row r="2877" spans="1:14" x14ac:dyDescent="0.3">
      <c r="A2877" t="s">
        <v>3733</v>
      </c>
      <c r="B2877" s="2">
        <v>45653</v>
      </c>
      <c r="C2877" t="s">
        <v>524</v>
      </c>
      <c r="D2877" t="s">
        <v>808</v>
      </c>
      <c r="E2877" t="s">
        <v>846</v>
      </c>
      <c r="F2877">
        <v>4</v>
      </c>
      <c r="G2877">
        <v>0.1</v>
      </c>
      <c r="H2877" t="s">
        <v>861</v>
      </c>
      <c r="I2877" t="str">
        <f>VLOOKUP(C2877,Customers!A:C,2,FALSE)&amp;" "&amp;VLOOKUP(C2877,Customers!A:C,3,FALSE)</f>
        <v>Betty Johnson</v>
      </c>
      <c r="J2877" t="str">
        <f>VLOOKUP(D2877,Products!A:C,2,FALSE)</f>
        <v>Present Television</v>
      </c>
      <c r="K2877" t="str">
        <f>VLOOKUP(D2877,Products!A:C,3,FALSE)</f>
        <v>Electronics</v>
      </c>
      <c r="L2877" t="str">
        <f>VLOOKUP(E2877,Stores!A:B,2,FALSE)</f>
        <v>MegaMart Johnmouth</v>
      </c>
      <c r="M2877">
        <f>VLOOKUP(D2877,Products!A:E,5,FALSE)</f>
        <v>1635.01</v>
      </c>
      <c r="N2877" s="5">
        <f t="shared" si="44"/>
        <v>5886.0360000000001</v>
      </c>
    </row>
    <row r="2878" spans="1:14" x14ac:dyDescent="0.3">
      <c r="A2878" t="s">
        <v>3734</v>
      </c>
      <c r="B2878" s="2">
        <v>45570</v>
      </c>
      <c r="C2878" t="s">
        <v>119</v>
      </c>
      <c r="D2878" t="s">
        <v>772</v>
      </c>
      <c r="E2878" t="s">
        <v>835</v>
      </c>
      <c r="F2878">
        <v>4</v>
      </c>
      <c r="G2878">
        <v>0</v>
      </c>
      <c r="H2878" t="s">
        <v>865</v>
      </c>
      <c r="I2878" t="str">
        <f>VLOOKUP(C2878,Customers!A:C,2,FALSE)&amp;" "&amp;VLOOKUP(C2878,Customers!A:C,3,FALSE)</f>
        <v>Lacey Hall</v>
      </c>
      <c r="J2878" t="str">
        <f>VLOOKUP(D2878,Products!A:C,2,FALSE)</f>
        <v>And Footwear</v>
      </c>
      <c r="K2878" t="str">
        <f>VLOOKUP(D2878,Products!A:C,3,FALSE)</f>
        <v>Fashion</v>
      </c>
      <c r="L2878" t="str">
        <f>VLOOKUP(E2878,Stores!A:B,2,FALSE)</f>
        <v>MegaMart Peckmouth</v>
      </c>
      <c r="M2878">
        <f>VLOOKUP(D2878,Products!A:E,5,FALSE)</f>
        <v>1878.47</v>
      </c>
      <c r="N2878" s="5">
        <f t="shared" si="44"/>
        <v>7513.88</v>
      </c>
    </row>
    <row r="2879" spans="1:14" x14ac:dyDescent="0.3">
      <c r="A2879" t="s">
        <v>3735</v>
      </c>
      <c r="B2879" s="2">
        <v>45821</v>
      </c>
      <c r="C2879" t="s">
        <v>137</v>
      </c>
      <c r="D2879" t="s">
        <v>759</v>
      </c>
      <c r="E2879" t="s">
        <v>842</v>
      </c>
      <c r="F2879">
        <v>4</v>
      </c>
      <c r="G2879">
        <v>0.15</v>
      </c>
      <c r="H2879" t="s">
        <v>858</v>
      </c>
      <c r="I2879" t="str">
        <f>VLOOKUP(C2879,Customers!A:C,2,FALSE)&amp;" "&amp;VLOOKUP(C2879,Customers!A:C,3,FALSE)</f>
        <v>Kimberly King</v>
      </c>
      <c r="J2879" t="str">
        <f>VLOOKUP(D2879,Products!A:C,2,FALSE)</f>
        <v>Democratic Smartphone</v>
      </c>
      <c r="K2879" t="str">
        <f>VLOOKUP(D2879,Products!A:C,3,FALSE)</f>
        <v>Electronics</v>
      </c>
      <c r="L2879" t="str">
        <f>VLOOKUP(E2879,Stores!A:B,2,FALSE)</f>
        <v>MegaMart Brianahaven</v>
      </c>
      <c r="M2879">
        <f>VLOOKUP(D2879,Products!A:E,5,FALSE)</f>
        <v>1079.8900000000001</v>
      </c>
      <c r="N2879" s="5">
        <f t="shared" si="44"/>
        <v>3671.6260000000002</v>
      </c>
    </row>
    <row r="2880" spans="1:14" x14ac:dyDescent="0.3">
      <c r="A2880" t="s">
        <v>3736</v>
      </c>
      <c r="B2880" s="2">
        <v>45892</v>
      </c>
      <c r="C2880" t="s">
        <v>171</v>
      </c>
      <c r="D2880" t="s">
        <v>788</v>
      </c>
      <c r="E2880" t="s">
        <v>831</v>
      </c>
      <c r="F2880">
        <v>5</v>
      </c>
      <c r="G2880">
        <v>0.1</v>
      </c>
      <c r="H2880" t="s">
        <v>858</v>
      </c>
      <c r="I2880" t="str">
        <f>VLOOKUP(C2880,Customers!A:C,2,FALSE)&amp;" "&amp;VLOOKUP(C2880,Customers!A:C,3,FALSE)</f>
        <v>Parker Sparks</v>
      </c>
      <c r="J2880" t="str">
        <f>VLOOKUP(D2880,Products!A:C,2,FALSE)</f>
        <v>Foot Snacks</v>
      </c>
      <c r="K2880" t="str">
        <f>VLOOKUP(D2880,Products!A:C,3,FALSE)</f>
        <v>Groceries</v>
      </c>
      <c r="L2880" t="str">
        <f>VLOOKUP(E2880,Stores!A:B,2,FALSE)</f>
        <v>MegaMart Jimenezborough</v>
      </c>
      <c r="M2880">
        <f>VLOOKUP(D2880,Products!A:E,5,FALSE)</f>
        <v>1095.72</v>
      </c>
      <c r="N2880" s="5">
        <f t="shared" si="44"/>
        <v>4930.7400000000007</v>
      </c>
    </row>
    <row r="2881" spans="1:14" x14ac:dyDescent="0.3">
      <c r="A2881" t="s">
        <v>3737</v>
      </c>
      <c r="B2881" s="2">
        <v>45866</v>
      </c>
      <c r="C2881" t="s">
        <v>542</v>
      </c>
      <c r="D2881" t="s">
        <v>715</v>
      </c>
      <c r="E2881" t="s">
        <v>846</v>
      </c>
      <c r="F2881">
        <v>2</v>
      </c>
      <c r="G2881">
        <v>0.15</v>
      </c>
      <c r="H2881" t="s">
        <v>865</v>
      </c>
      <c r="I2881" t="str">
        <f>VLOOKUP(C2881,Customers!A:C,2,FALSE)&amp;" "&amp;VLOOKUP(C2881,Customers!A:C,3,FALSE)</f>
        <v>Francis Hernandez</v>
      </c>
      <c r="J2881" t="str">
        <f>VLOOKUP(D2881,Products!A:C,2,FALSE)</f>
        <v>Audience Television</v>
      </c>
      <c r="K2881" t="str">
        <f>VLOOKUP(D2881,Products!A:C,3,FALSE)</f>
        <v>Electronics</v>
      </c>
      <c r="L2881" t="str">
        <f>VLOOKUP(E2881,Stores!A:B,2,FALSE)</f>
        <v>MegaMart Johnmouth</v>
      </c>
      <c r="M2881">
        <f>VLOOKUP(D2881,Products!A:E,5,FALSE)</f>
        <v>818.76</v>
      </c>
      <c r="N2881" s="5">
        <f t="shared" si="44"/>
        <v>1391.8920000000001</v>
      </c>
    </row>
    <row r="2882" spans="1:14" x14ac:dyDescent="0.3">
      <c r="A2882" t="s">
        <v>3738</v>
      </c>
      <c r="B2882" s="2">
        <v>45626</v>
      </c>
      <c r="C2882" t="s">
        <v>464</v>
      </c>
      <c r="D2882" t="s">
        <v>792</v>
      </c>
      <c r="E2882" t="s">
        <v>846</v>
      </c>
      <c r="F2882">
        <v>3</v>
      </c>
      <c r="G2882">
        <v>0.1</v>
      </c>
      <c r="H2882" t="s">
        <v>865</v>
      </c>
      <c r="I2882" t="str">
        <f>VLOOKUP(C2882,Customers!A:C,2,FALSE)&amp;" "&amp;VLOOKUP(C2882,Customers!A:C,3,FALSE)</f>
        <v>Monique Johnson</v>
      </c>
      <c r="J2882" t="str">
        <f>VLOOKUP(D2882,Products!A:C,2,FALSE)</f>
        <v>Beat Accessories</v>
      </c>
      <c r="K2882" t="str">
        <f>VLOOKUP(D2882,Products!A:C,3,FALSE)</f>
        <v>Fashion</v>
      </c>
      <c r="L2882" t="str">
        <f>VLOOKUP(E2882,Stores!A:B,2,FALSE)</f>
        <v>MegaMart Johnmouth</v>
      </c>
      <c r="M2882">
        <f>VLOOKUP(D2882,Products!A:E,5,FALSE)</f>
        <v>1798.97</v>
      </c>
      <c r="N2882" s="5">
        <f t="shared" si="44"/>
        <v>4857.2190000000001</v>
      </c>
    </row>
    <row r="2883" spans="1:14" x14ac:dyDescent="0.3">
      <c r="A2883" t="s">
        <v>3739</v>
      </c>
      <c r="B2883" s="2">
        <v>45465</v>
      </c>
      <c r="C2883" t="s">
        <v>358</v>
      </c>
      <c r="D2883" t="s">
        <v>818</v>
      </c>
      <c r="E2883" t="s">
        <v>831</v>
      </c>
      <c r="F2883">
        <v>2</v>
      </c>
      <c r="G2883">
        <v>0.05</v>
      </c>
      <c r="H2883" t="s">
        <v>855</v>
      </c>
      <c r="I2883" t="str">
        <f>VLOOKUP(C2883,Customers!A:C,2,FALSE)&amp;" "&amp;VLOOKUP(C2883,Customers!A:C,3,FALSE)</f>
        <v>Kevin Snyder</v>
      </c>
      <c r="J2883" t="str">
        <f>VLOOKUP(D2883,Products!A:C,2,FALSE)</f>
        <v>Nature Clothing</v>
      </c>
      <c r="K2883" t="str">
        <f>VLOOKUP(D2883,Products!A:C,3,FALSE)</f>
        <v>Fashion</v>
      </c>
      <c r="L2883" t="str">
        <f>VLOOKUP(E2883,Stores!A:B,2,FALSE)</f>
        <v>MegaMart Jimenezborough</v>
      </c>
      <c r="M2883">
        <f>VLOOKUP(D2883,Products!A:E,5,FALSE)</f>
        <v>1165.3699999999999</v>
      </c>
      <c r="N2883" s="5">
        <f t="shared" ref="N2883:N2946" si="45">F2883*M2883*(1-G2883)</f>
        <v>2214.2029999999995</v>
      </c>
    </row>
    <row r="2884" spans="1:14" x14ac:dyDescent="0.3">
      <c r="A2884" t="s">
        <v>3740</v>
      </c>
      <c r="B2884" s="2">
        <v>45794</v>
      </c>
      <c r="C2884" t="s">
        <v>618</v>
      </c>
      <c r="D2884" t="s">
        <v>822</v>
      </c>
      <c r="E2884" t="s">
        <v>842</v>
      </c>
      <c r="F2884">
        <v>2</v>
      </c>
      <c r="G2884">
        <v>0</v>
      </c>
      <c r="H2884" t="s">
        <v>861</v>
      </c>
      <c r="I2884" t="str">
        <f>VLOOKUP(C2884,Customers!A:C,2,FALSE)&amp;" "&amp;VLOOKUP(C2884,Customers!A:C,3,FALSE)</f>
        <v>Scott Howell</v>
      </c>
      <c r="J2884" t="str">
        <f>VLOOKUP(D2884,Products!A:C,2,FALSE)</f>
        <v>Nor Bags</v>
      </c>
      <c r="K2884" t="str">
        <f>VLOOKUP(D2884,Products!A:C,3,FALSE)</f>
        <v>Fashion</v>
      </c>
      <c r="L2884" t="str">
        <f>VLOOKUP(E2884,Stores!A:B,2,FALSE)</f>
        <v>MegaMart Brianahaven</v>
      </c>
      <c r="M2884">
        <f>VLOOKUP(D2884,Products!A:E,5,FALSE)</f>
        <v>1216.3599999999999</v>
      </c>
      <c r="N2884" s="5">
        <f t="shared" si="45"/>
        <v>2432.7199999999998</v>
      </c>
    </row>
    <row r="2885" spans="1:14" x14ac:dyDescent="0.3">
      <c r="A2885" t="s">
        <v>3741</v>
      </c>
      <c r="B2885" s="2">
        <v>45388</v>
      </c>
      <c r="C2885" t="s">
        <v>582</v>
      </c>
      <c r="D2885" t="s">
        <v>786</v>
      </c>
      <c r="E2885" t="s">
        <v>839</v>
      </c>
      <c r="F2885">
        <v>3</v>
      </c>
      <c r="G2885">
        <v>0</v>
      </c>
      <c r="H2885" t="s">
        <v>855</v>
      </c>
      <c r="I2885" t="str">
        <f>VLOOKUP(C2885,Customers!A:C,2,FALSE)&amp;" "&amp;VLOOKUP(C2885,Customers!A:C,3,FALSE)</f>
        <v>Erin Rogers</v>
      </c>
      <c r="J2885" t="str">
        <f>VLOOKUP(D2885,Products!A:C,2,FALSE)</f>
        <v>National Watches</v>
      </c>
      <c r="K2885" t="str">
        <f>VLOOKUP(D2885,Products!A:C,3,FALSE)</f>
        <v>Fashion</v>
      </c>
      <c r="L2885" t="str">
        <f>VLOOKUP(E2885,Stores!A:B,2,FALSE)</f>
        <v>MegaMart New Michele</v>
      </c>
      <c r="M2885">
        <f>VLOOKUP(D2885,Products!A:E,5,FALSE)</f>
        <v>29.24</v>
      </c>
      <c r="N2885" s="5">
        <f t="shared" si="45"/>
        <v>87.72</v>
      </c>
    </row>
    <row r="2886" spans="1:14" x14ac:dyDescent="0.3">
      <c r="A2886" t="s">
        <v>3742</v>
      </c>
      <c r="B2886" s="2">
        <v>45288</v>
      </c>
      <c r="C2886" t="s">
        <v>556</v>
      </c>
      <c r="D2886" t="s">
        <v>776</v>
      </c>
      <c r="E2886" t="s">
        <v>842</v>
      </c>
      <c r="F2886">
        <v>1</v>
      </c>
      <c r="G2886">
        <v>0.15</v>
      </c>
      <c r="H2886" t="s">
        <v>861</v>
      </c>
      <c r="I2886" t="str">
        <f>VLOOKUP(C2886,Customers!A:C,2,FALSE)&amp;" "&amp;VLOOKUP(C2886,Customers!A:C,3,FALSE)</f>
        <v>Jill Mcconnell</v>
      </c>
      <c r="J2886" t="str">
        <f>VLOOKUP(D2886,Products!A:C,2,FALSE)</f>
        <v>Little Watches</v>
      </c>
      <c r="K2886" t="str">
        <f>VLOOKUP(D2886,Products!A:C,3,FALSE)</f>
        <v>Fashion</v>
      </c>
      <c r="L2886" t="str">
        <f>VLOOKUP(E2886,Stores!A:B,2,FALSE)</f>
        <v>MegaMart Brianahaven</v>
      </c>
      <c r="M2886">
        <f>VLOOKUP(D2886,Products!A:E,5,FALSE)</f>
        <v>429.15</v>
      </c>
      <c r="N2886" s="5">
        <f t="shared" si="45"/>
        <v>364.77749999999997</v>
      </c>
    </row>
    <row r="2887" spans="1:14" x14ac:dyDescent="0.3">
      <c r="A2887" t="s">
        <v>3743</v>
      </c>
      <c r="B2887" s="2">
        <v>45183</v>
      </c>
      <c r="C2887" t="s">
        <v>355</v>
      </c>
      <c r="D2887" t="s">
        <v>722</v>
      </c>
      <c r="E2887" t="s">
        <v>839</v>
      </c>
      <c r="F2887">
        <v>2</v>
      </c>
      <c r="G2887">
        <v>0.1</v>
      </c>
      <c r="H2887" t="s">
        <v>865</v>
      </c>
      <c r="I2887" t="str">
        <f>VLOOKUP(C2887,Customers!A:C,2,FALSE)&amp;" "&amp;VLOOKUP(C2887,Customers!A:C,3,FALSE)</f>
        <v>Kimberly Stokes</v>
      </c>
      <c r="J2887" t="str">
        <f>VLOOKUP(D2887,Products!A:C,2,FALSE)</f>
        <v>Four Accessories</v>
      </c>
      <c r="K2887" t="str">
        <f>VLOOKUP(D2887,Products!A:C,3,FALSE)</f>
        <v>Fashion</v>
      </c>
      <c r="L2887" t="str">
        <f>VLOOKUP(E2887,Stores!A:B,2,FALSE)</f>
        <v>MegaMart New Michele</v>
      </c>
      <c r="M2887">
        <f>VLOOKUP(D2887,Products!A:E,5,FALSE)</f>
        <v>1853.77</v>
      </c>
      <c r="N2887" s="5">
        <f t="shared" si="45"/>
        <v>3336.7860000000001</v>
      </c>
    </row>
    <row r="2888" spans="1:14" x14ac:dyDescent="0.3">
      <c r="A2888" t="s">
        <v>3744</v>
      </c>
      <c r="B2888" s="2">
        <v>45396</v>
      </c>
      <c r="C2888" t="s">
        <v>464</v>
      </c>
      <c r="D2888" t="s">
        <v>820</v>
      </c>
      <c r="E2888" t="s">
        <v>839</v>
      </c>
      <c r="F2888">
        <v>2</v>
      </c>
      <c r="G2888">
        <v>0</v>
      </c>
      <c r="H2888" t="s">
        <v>861</v>
      </c>
      <c r="I2888" t="str">
        <f>VLOOKUP(C2888,Customers!A:C,2,FALSE)&amp;" "&amp;VLOOKUP(C2888,Customers!A:C,3,FALSE)</f>
        <v>Monique Johnson</v>
      </c>
      <c r="J2888" t="str">
        <f>VLOOKUP(D2888,Products!A:C,2,FALSE)</f>
        <v>Or Smartphone</v>
      </c>
      <c r="K2888" t="str">
        <f>VLOOKUP(D2888,Products!A:C,3,FALSE)</f>
        <v>Electronics</v>
      </c>
      <c r="L2888" t="str">
        <f>VLOOKUP(E2888,Stores!A:B,2,FALSE)</f>
        <v>MegaMart New Michele</v>
      </c>
      <c r="M2888">
        <f>VLOOKUP(D2888,Products!A:E,5,FALSE)</f>
        <v>1197.18</v>
      </c>
      <c r="N2888" s="5">
        <f t="shared" si="45"/>
        <v>2394.36</v>
      </c>
    </row>
    <row r="2889" spans="1:14" x14ac:dyDescent="0.3">
      <c r="A2889" t="s">
        <v>3745</v>
      </c>
      <c r="B2889" s="2">
        <v>45748</v>
      </c>
      <c r="C2889" t="s">
        <v>636</v>
      </c>
      <c r="D2889" t="s">
        <v>802</v>
      </c>
      <c r="E2889" t="s">
        <v>839</v>
      </c>
      <c r="F2889">
        <v>3</v>
      </c>
      <c r="G2889">
        <v>0.15</v>
      </c>
      <c r="H2889" t="s">
        <v>858</v>
      </c>
      <c r="I2889" t="str">
        <f>VLOOKUP(C2889,Customers!A:C,2,FALSE)&amp;" "&amp;VLOOKUP(C2889,Customers!A:C,3,FALSE)</f>
        <v>Nichole Calhoun</v>
      </c>
      <c r="J2889" t="str">
        <f>VLOOKUP(D2889,Products!A:C,2,FALSE)</f>
        <v>Stage Footwear</v>
      </c>
      <c r="K2889" t="str">
        <f>VLOOKUP(D2889,Products!A:C,3,FALSE)</f>
        <v>Fashion</v>
      </c>
      <c r="L2889" t="str">
        <f>VLOOKUP(E2889,Stores!A:B,2,FALSE)</f>
        <v>MegaMart New Michele</v>
      </c>
      <c r="M2889">
        <f>VLOOKUP(D2889,Products!A:E,5,FALSE)</f>
        <v>366.93</v>
      </c>
      <c r="N2889" s="5">
        <f t="shared" si="45"/>
        <v>935.67149999999992</v>
      </c>
    </row>
    <row r="2890" spans="1:14" x14ac:dyDescent="0.3">
      <c r="A2890" t="s">
        <v>3746</v>
      </c>
      <c r="B2890" s="2">
        <v>45687</v>
      </c>
      <c r="C2890" t="s">
        <v>327</v>
      </c>
      <c r="D2890" t="s">
        <v>755</v>
      </c>
      <c r="E2890" t="s">
        <v>831</v>
      </c>
      <c r="F2890">
        <v>3</v>
      </c>
      <c r="G2890">
        <v>0.15</v>
      </c>
      <c r="H2890" t="s">
        <v>865</v>
      </c>
      <c r="I2890" t="str">
        <f>VLOOKUP(C2890,Customers!A:C,2,FALSE)&amp;" "&amp;VLOOKUP(C2890,Customers!A:C,3,FALSE)</f>
        <v>Laurie Mason</v>
      </c>
      <c r="J2890" t="str">
        <f>VLOOKUP(D2890,Products!A:C,2,FALSE)</f>
        <v>House Accessories</v>
      </c>
      <c r="K2890" t="str">
        <f>VLOOKUP(D2890,Products!A:C,3,FALSE)</f>
        <v>Fashion</v>
      </c>
      <c r="L2890" t="str">
        <f>VLOOKUP(E2890,Stores!A:B,2,FALSE)</f>
        <v>MegaMart Jimenezborough</v>
      </c>
      <c r="M2890">
        <f>VLOOKUP(D2890,Products!A:E,5,FALSE)</f>
        <v>1858.75</v>
      </c>
      <c r="N2890" s="5">
        <f t="shared" si="45"/>
        <v>4739.8125</v>
      </c>
    </row>
    <row r="2891" spans="1:14" x14ac:dyDescent="0.3">
      <c r="A2891" t="s">
        <v>3747</v>
      </c>
      <c r="B2891" s="2">
        <v>45603</v>
      </c>
      <c r="C2891" t="s">
        <v>324</v>
      </c>
      <c r="D2891" t="s">
        <v>804</v>
      </c>
      <c r="E2891" t="s">
        <v>846</v>
      </c>
      <c r="F2891">
        <v>1</v>
      </c>
      <c r="G2891">
        <v>0.05</v>
      </c>
      <c r="H2891" t="s">
        <v>865</v>
      </c>
      <c r="I2891" t="str">
        <f>VLOOKUP(C2891,Customers!A:C,2,FALSE)&amp;" "&amp;VLOOKUP(C2891,Customers!A:C,3,FALSE)</f>
        <v>Lawrence Hunter</v>
      </c>
      <c r="J2891" t="str">
        <f>VLOOKUP(D2891,Products!A:C,2,FALSE)</f>
        <v>Church Clothing</v>
      </c>
      <c r="K2891" t="str">
        <f>VLOOKUP(D2891,Products!A:C,3,FALSE)</f>
        <v>Fashion</v>
      </c>
      <c r="L2891" t="str">
        <f>VLOOKUP(E2891,Stores!A:B,2,FALSE)</f>
        <v>MegaMart Johnmouth</v>
      </c>
      <c r="M2891">
        <f>VLOOKUP(D2891,Products!A:E,5,FALSE)</f>
        <v>540.94000000000005</v>
      </c>
      <c r="N2891" s="5">
        <f t="shared" si="45"/>
        <v>513.89300000000003</v>
      </c>
    </row>
    <row r="2892" spans="1:14" x14ac:dyDescent="0.3">
      <c r="A2892" t="s">
        <v>3748</v>
      </c>
      <c r="B2892" s="2">
        <v>45454</v>
      </c>
      <c r="C2892" t="s">
        <v>666</v>
      </c>
      <c r="D2892" t="s">
        <v>753</v>
      </c>
      <c r="E2892" t="s">
        <v>846</v>
      </c>
      <c r="F2892">
        <v>1</v>
      </c>
      <c r="G2892">
        <v>0.1</v>
      </c>
      <c r="H2892" t="s">
        <v>858</v>
      </c>
      <c r="I2892" t="str">
        <f>VLOOKUP(C2892,Customers!A:C,2,FALSE)&amp;" "&amp;VLOOKUP(C2892,Customers!A:C,3,FALSE)</f>
        <v>Steve Flynn</v>
      </c>
      <c r="J2892" t="str">
        <f>VLOOKUP(D2892,Products!A:C,2,FALSE)</f>
        <v>Whether Bags</v>
      </c>
      <c r="K2892" t="str">
        <f>VLOOKUP(D2892,Products!A:C,3,FALSE)</f>
        <v>Fashion</v>
      </c>
      <c r="L2892" t="str">
        <f>VLOOKUP(E2892,Stores!A:B,2,FALSE)</f>
        <v>MegaMart Johnmouth</v>
      </c>
      <c r="M2892">
        <f>VLOOKUP(D2892,Products!A:E,5,FALSE)</f>
        <v>270.45</v>
      </c>
      <c r="N2892" s="5">
        <f t="shared" si="45"/>
        <v>243.405</v>
      </c>
    </row>
    <row r="2893" spans="1:14" x14ac:dyDescent="0.3">
      <c r="A2893" t="s">
        <v>3749</v>
      </c>
      <c r="B2893" s="2">
        <v>45775</v>
      </c>
      <c r="C2893" t="s">
        <v>202</v>
      </c>
      <c r="D2893" t="s">
        <v>739</v>
      </c>
      <c r="E2893" t="s">
        <v>842</v>
      </c>
      <c r="F2893">
        <v>4</v>
      </c>
      <c r="G2893">
        <v>0.15</v>
      </c>
      <c r="H2893" t="s">
        <v>865</v>
      </c>
      <c r="I2893" t="str">
        <f>VLOOKUP(C2893,Customers!A:C,2,FALSE)&amp;" "&amp;VLOOKUP(C2893,Customers!A:C,3,FALSE)</f>
        <v>Billy Hernandez</v>
      </c>
      <c r="J2893" t="str">
        <f>VLOOKUP(D2893,Products!A:C,2,FALSE)</f>
        <v>Step Smartphone</v>
      </c>
      <c r="K2893" t="str">
        <f>VLOOKUP(D2893,Products!A:C,3,FALSE)</f>
        <v>Electronics</v>
      </c>
      <c r="L2893" t="str">
        <f>VLOOKUP(E2893,Stores!A:B,2,FALSE)</f>
        <v>MegaMart Brianahaven</v>
      </c>
      <c r="M2893">
        <f>VLOOKUP(D2893,Products!A:E,5,FALSE)</f>
        <v>1194.1199999999999</v>
      </c>
      <c r="N2893" s="5">
        <f t="shared" si="45"/>
        <v>4060.0079999999994</v>
      </c>
    </row>
    <row r="2894" spans="1:14" x14ac:dyDescent="0.3">
      <c r="A2894" t="s">
        <v>3750</v>
      </c>
      <c r="B2894" s="2">
        <v>45792</v>
      </c>
      <c r="C2894" t="s">
        <v>630</v>
      </c>
      <c r="D2894" t="s">
        <v>715</v>
      </c>
      <c r="E2894" t="s">
        <v>839</v>
      </c>
      <c r="F2894">
        <v>4</v>
      </c>
      <c r="G2894">
        <v>0.1</v>
      </c>
      <c r="H2894" t="s">
        <v>855</v>
      </c>
      <c r="I2894" t="str">
        <f>VLOOKUP(C2894,Customers!A:C,2,FALSE)&amp;" "&amp;VLOOKUP(C2894,Customers!A:C,3,FALSE)</f>
        <v>Mark Mcdonald</v>
      </c>
      <c r="J2894" t="str">
        <f>VLOOKUP(D2894,Products!A:C,2,FALSE)</f>
        <v>Audience Television</v>
      </c>
      <c r="K2894" t="str">
        <f>VLOOKUP(D2894,Products!A:C,3,FALSE)</f>
        <v>Electronics</v>
      </c>
      <c r="L2894" t="str">
        <f>VLOOKUP(E2894,Stores!A:B,2,FALSE)</f>
        <v>MegaMart New Michele</v>
      </c>
      <c r="M2894">
        <f>VLOOKUP(D2894,Products!A:E,5,FALSE)</f>
        <v>818.76</v>
      </c>
      <c r="N2894" s="5">
        <f t="shared" si="45"/>
        <v>2947.5360000000001</v>
      </c>
    </row>
    <row r="2895" spans="1:14" x14ac:dyDescent="0.3">
      <c r="A2895" t="s">
        <v>3751</v>
      </c>
      <c r="B2895" s="2">
        <v>45306</v>
      </c>
      <c r="C2895" t="s">
        <v>483</v>
      </c>
      <c r="D2895" t="s">
        <v>742</v>
      </c>
      <c r="E2895" t="s">
        <v>842</v>
      </c>
      <c r="F2895">
        <v>4</v>
      </c>
      <c r="G2895">
        <v>0.1</v>
      </c>
      <c r="H2895" t="s">
        <v>861</v>
      </c>
      <c r="I2895" t="str">
        <f>VLOOKUP(C2895,Customers!A:C,2,FALSE)&amp;" "&amp;VLOOKUP(C2895,Customers!A:C,3,FALSE)</f>
        <v>Jared Ochoa</v>
      </c>
      <c r="J2895" t="str">
        <f>VLOOKUP(D2895,Products!A:C,2,FALSE)</f>
        <v>Either Headphones</v>
      </c>
      <c r="K2895" t="str">
        <f>VLOOKUP(D2895,Products!A:C,3,FALSE)</f>
        <v>Electronics</v>
      </c>
      <c r="L2895" t="str">
        <f>VLOOKUP(E2895,Stores!A:B,2,FALSE)</f>
        <v>MegaMart Brianahaven</v>
      </c>
      <c r="M2895">
        <f>VLOOKUP(D2895,Products!A:E,5,FALSE)</f>
        <v>248.57</v>
      </c>
      <c r="N2895" s="5">
        <f t="shared" si="45"/>
        <v>894.85199999999998</v>
      </c>
    </row>
    <row r="2896" spans="1:14" x14ac:dyDescent="0.3">
      <c r="A2896" t="s">
        <v>3752</v>
      </c>
      <c r="B2896" s="2">
        <v>45321</v>
      </c>
      <c r="C2896" t="s">
        <v>335</v>
      </c>
      <c r="D2896" t="s">
        <v>766</v>
      </c>
      <c r="E2896" t="s">
        <v>839</v>
      </c>
      <c r="F2896">
        <v>5</v>
      </c>
      <c r="G2896">
        <v>0.05</v>
      </c>
      <c r="H2896" t="s">
        <v>858</v>
      </c>
      <c r="I2896" t="str">
        <f>VLOOKUP(C2896,Customers!A:C,2,FALSE)&amp;" "&amp;VLOOKUP(C2896,Customers!A:C,3,FALSE)</f>
        <v>William Warner</v>
      </c>
      <c r="J2896" t="str">
        <f>VLOOKUP(D2896,Products!A:C,2,FALSE)</f>
        <v>Firm Dairy</v>
      </c>
      <c r="K2896" t="str">
        <f>VLOOKUP(D2896,Products!A:C,3,FALSE)</f>
        <v>Groceries</v>
      </c>
      <c r="L2896" t="str">
        <f>VLOOKUP(E2896,Stores!A:B,2,FALSE)</f>
        <v>MegaMart New Michele</v>
      </c>
      <c r="M2896">
        <f>VLOOKUP(D2896,Products!A:E,5,FALSE)</f>
        <v>1227.24</v>
      </c>
      <c r="N2896" s="5">
        <f t="shared" si="45"/>
        <v>5829.3899999999994</v>
      </c>
    </row>
    <row r="2897" spans="1:14" x14ac:dyDescent="0.3">
      <c r="A2897" t="s">
        <v>3753</v>
      </c>
      <c r="B2897" s="2">
        <v>45644</v>
      </c>
      <c r="C2897" t="s">
        <v>277</v>
      </c>
      <c r="D2897" t="s">
        <v>761</v>
      </c>
      <c r="E2897" t="s">
        <v>839</v>
      </c>
      <c r="F2897">
        <v>1</v>
      </c>
      <c r="G2897">
        <v>0.15</v>
      </c>
      <c r="H2897" t="s">
        <v>865</v>
      </c>
      <c r="I2897" t="str">
        <f>VLOOKUP(C2897,Customers!A:C,2,FALSE)&amp;" "&amp;VLOOKUP(C2897,Customers!A:C,3,FALSE)</f>
        <v>Carl Armstrong</v>
      </c>
      <c r="J2897" t="str">
        <f>VLOOKUP(D2897,Products!A:C,2,FALSE)</f>
        <v>Traditional Laptop</v>
      </c>
      <c r="K2897" t="str">
        <f>VLOOKUP(D2897,Products!A:C,3,FALSE)</f>
        <v>Electronics</v>
      </c>
      <c r="L2897" t="str">
        <f>VLOOKUP(E2897,Stores!A:B,2,FALSE)</f>
        <v>MegaMart New Michele</v>
      </c>
      <c r="M2897">
        <f>VLOOKUP(D2897,Products!A:E,5,FALSE)</f>
        <v>1762.92</v>
      </c>
      <c r="N2897" s="5">
        <f t="shared" si="45"/>
        <v>1498.482</v>
      </c>
    </row>
    <row r="2898" spans="1:14" x14ac:dyDescent="0.3">
      <c r="A2898" t="s">
        <v>3754</v>
      </c>
      <c r="B2898" s="2">
        <v>45387</v>
      </c>
      <c r="C2898" t="s">
        <v>608</v>
      </c>
      <c r="D2898" t="s">
        <v>750</v>
      </c>
      <c r="E2898" t="s">
        <v>839</v>
      </c>
      <c r="F2898">
        <v>5</v>
      </c>
      <c r="G2898">
        <v>0</v>
      </c>
      <c r="H2898" t="s">
        <v>865</v>
      </c>
      <c r="I2898" t="str">
        <f>VLOOKUP(C2898,Customers!A:C,2,FALSE)&amp;" "&amp;VLOOKUP(C2898,Customers!A:C,3,FALSE)</f>
        <v>Christina Dominguez</v>
      </c>
      <c r="J2898" t="str">
        <f>VLOOKUP(D2898,Products!A:C,2,FALSE)</f>
        <v>Add Clothing</v>
      </c>
      <c r="K2898" t="str">
        <f>VLOOKUP(D2898,Products!A:C,3,FALSE)</f>
        <v>Fashion</v>
      </c>
      <c r="L2898" t="str">
        <f>VLOOKUP(E2898,Stores!A:B,2,FALSE)</f>
        <v>MegaMart New Michele</v>
      </c>
      <c r="M2898">
        <f>VLOOKUP(D2898,Products!A:E,5,FALSE)</f>
        <v>1342.75</v>
      </c>
      <c r="N2898" s="5">
        <f t="shared" si="45"/>
        <v>6713.75</v>
      </c>
    </row>
    <row r="2899" spans="1:14" x14ac:dyDescent="0.3">
      <c r="A2899" t="s">
        <v>3755</v>
      </c>
      <c r="B2899" s="2">
        <v>45578</v>
      </c>
      <c r="C2899" t="s">
        <v>130</v>
      </c>
      <c r="D2899" t="s">
        <v>734</v>
      </c>
      <c r="E2899" t="s">
        <v>831</v>
      </c>
      <c r="F2899">
        <v>2</v>
      </c>
      <c r="G2899">
        <v>0</v>
      </c>
      <c r="H2899" t="s">
        <v>861</v>
      </c>
      <c r="I2899" t="str">
        <f>VLOOKUP(C2899,Customers!A:C,2,FALSE)&amp;" "&amp;VLOOKUP(C2899,Customers!A:C,3,FALSE)</f>
        <v>Jenny Beck</v>
      </c>
      <c r="J2899" t="str">
        <f>VLOOKUP(D2899,Products!A:C,2,FALSE)</f>
        <v>Recognize Footwear</v>
      </c>
      <c r="K2899" t="str">
        <f>VLOOKUP(D2899,Products!A:C,3,FALSE)</f>
        <v>Fashion</v>
      </c>
      <c r="L2899" t="str">
        <f>VLOOKUP(E2899,Stores!A:B,2,FALSE)</f>
        <v>MegaMart Jimenezborough</v>
      </c>
      <c r="M2899">
        <f>VLOOKUP(D2899,Products!A:E,5,FALSE)</f>
        <v>109.78</v>
      </c>
      <c r="N2899" s="5">
        <f t="shared" si="45"/>
        <v>219.56</v>
      </c>
    </row>
    <row r="2900" spans="1:14" x14ac:dyDescent="0.3">
      <c r="A2900" t="s">
        <v>3756</v>
      </c>
      <c r="B2900" s="2">
        <v>45430</v>
      </c>
      <c r="C2900" t="s">
        <v>362</v>
      </c>
      <c r="D2900" t="s">
        <v>792</v>
      </c>
      <c r="E2900" t="s">
        <v>831</v>
      </c>
      <c r="F2900">
        <v>2</v>
      </c>
      <c r="G2900">
        <v>0.05</v>
      </c>
      <c r="H2900" t="s">
        <v>865</v>
      </c>
      <c r="I2900" t="str">
        <f>VLOOKUP(C2900,Customers!A:C,2,FALSE)&amp;" "&amp;VLOOKUP(C2900,Customers!A:C,3,FALSE)</f>
        <v>Eric King</v>
      </c>
      <c r="J2900" t="str">
        <f>VLOOKUP(D2900,Products!A:C,2,FALSE)</f>
        <v>Beat Accessories</v>
      </c>
      <c r="K2900" t="str">
        <f>VLOOKUP(D2900,Products!A:C,3,FALSE)</f>
        <v>Fashion</v>
      </c>
      <c r="L2900" t="str">
        <f>VLOOKUP(E2900,Stores!A:B,2,FALSE)</f>
        <v>MegaMart Jimenezborough</v>
      </c>
      <c r="M2900">
        <f>VLOOKUP(D2900,Products!A:E,5,FALSE)</f>
        <v>1798.97</v>
      </c>
      <c r="N2900" s="5">
        <f t="shared" si="45"/>
        <v>3418.0429999999997</v>
      </c>
    </row>
    <row r="2901" spans="1:14" x14ac:dyDescent="0.3">
      <c r="A2901" t="s">
        <v>3757</v>
      </c>
      <c r="B2901" s="2">
        <v>45262</v>
      </c>
      <c r="C2901" t="s">
        <v>81</v>
      </c>
      <c r="D2901" t="s">
        <v>776</v>
      </c>
      <c r="E2901" t="s">
        <v>831</v>
      </c>
      <c r="F2901">
        <v>1</v>
      </c>
      <c r="G2901">
        <v>0.1</v>
      </c>
      <c r="H2901" t="s">
        <v>865</v>
      </c>
      <c r="I2901" t="str">
        <f>VLOOKUP(C2901,Customers!A:C,2,FALSE)&amp;" "&amp;VLOOKUP(C2901,Customers!A:C,3,FALSE)</f>
        <v>Ryan Cole</v>
      </c>
      <c r="J2901" t="str">
        <f>VLOOKUP(D2901,Products!A:C,2,FALSE)</f>
        <v>Little Watches</v>
      </c>
      <c r="K2901" t="str">
        <f>VLOOKUP(D2901,Products!A:C,3,FALSE)</f>
        <v>Fashion</v>
      </c>
      <c r="L2901" t="str">
        <f>VLOOKUP(E2901,Stores!A:B,2,FALSE)</f>
        <v>MegaMart Jimenezborough</v>
      </c>
      <c r="M2901">
        <f>VLOOKUP(D2901,Products!A:E,5,FALSE)</f>
        <v>429.15</v>
      </c>
      <c r="N2901" s="5">
        <f t="shared" si="45"/>
        <v>386.23500000000001</v>
      </c>
    </row>
    <row r="2902" spans="1:14" x14ac:dyDescent="0.3">
      <c r="A2902" t="s">
        <v>3758</v>
      </c>
      <c r="B2902" s="2">
        <v>45840</v>
      </c>
      <c r="C2902" t="s">
        <v>155</v>
      </c>
      <c r="D2902" t="s">
        <v>766</v>
      </c>
      <c r="E2902" t="s">
        <v>846</v>
      </c>
      <c r="F2902">
        <v>4</v>
      </c>
      <c r="G2902">
        <v>0.1</v>
      </c>
      <c r="H2902" t="s">
        <v>865</v>
      </c>
      <c r="I2902" t="str">
        <f>VLOOKUP(C2902,Customers!A:C,2,FALSE)&amp;" "&amp;VLOOKUP(C2902,Customers!A:C,3,FALSE)</f>
        <v>Scott Powell</v>
      </c>
      <c r="J2902" t="str">
        <f>VLOOKUP(D2902,Products!A:C,2,FALSE)</f>
        <v>Firm Dairy</v>
      </c>
      <c r="K2902" t="str">
        <f>VLOOKUP(D2902,Products!A:C,3,FALSE)</f>
        <v>Groceries</v>
      </c>
      <c r="L2902" t="str">
        <f>VLOOKUP(E2902,Stores!A:B,2,FALSE)</f>
        <v>MegaMart Johnmouth</v>
      </c>
      <c r="M2902">
        <f>VLOOKUP(D2902,Products!A:E,5,FALSE)</f>
        <v>1227.24</v>
      </c>
      <c r="N2902" s="5">
        <f t="shared" si="45"/>
        <v>4418.0640000000003</v>
      </c>
    </row>
    <row r="2903" spans="1:14" x14ac:dyDescent="0.3">
      <c r="A2903" t="s">
        <v>3759</v>
      </c>
      <c r="B2903" s="2">
        <v>45792</v>
      </c>
      <c r="C2903" t="s">
        <v>563</v>
      </c>
      <c r="D2903" t="s">
        <v>824</v>
      </c>
      <c r="E2903" t="s">
        <v>831</v>
      </c>
      <c r="F2903">
        <v>1</v>
      </c>
      <c r="G2903">
        <v>0.05</v>
      </c>
      <c r="H2903" t="s">
        <v>861</v>
      </c>
      <c r="I2903" t="str">
        <f>VLOOKUP(C2903,Customers!A:C,2,FALSE)&amp;" "&amp;VLOOKUP(C2903,Customers!A:C,3,FALSE)</f>
        <v>Connie Terry</v>
      </c>
      <c r="J2903" t="str">
        <f>VLOOKUP(D2903,Products!A:C,2,FALSE)</f>
        <v>Possible Watches</v>
      </c>
      <c r="K2903" t="str">
        <f>VLOOKUP(D2903,Products!A:C,3,FALSE)</f>
        <v>Fashion</v>
      </c>
      <c r="L2903" t="str">
        <f>VLOOKUP(E2903,Stores!A:B,2,FALSE)</f>
        <v>MegaMart Jimenezborough</v>
      </c>
      <c r="M2903">
        <f>VLOOKUP(D2903,Products!A:E,5,FALSE)</f>
        <v>388.26</v>
      </c>
      <c r="N2903" s="5">
        <f t="shared" si="45"/>
        <v>368.84699999999998</v>
      </c>
    </row>
    <row r="2904" spans="1:14" x14ac:dyDescent="0.3">
      <c r="A2904" t="s">
        <v>3760</v>
      </c>
      <c r="B2904" s="2">
        <v>45718</v>
      </c>
      <c r="C2904" t="s">
        <v>673</v>
      </c>
      <c r="D2904" t="s">
        <v>802</v>
      </c>
      <c r="E2904" t="s">
        <v>831</v>
      </c>
      <c r="F2904">
        <v>2</v>
      </c>
      <c r="G2904">
        <v>0</v>
      </c>
      <c r="H2904" t="s">
        <v>865</v>
      </c>
      <c r="I2904" t="str">
        <f>VLOOKUP(C2904,Customers!A:C,2,FALSE)&amp;" "&amp;VLOOKUP(C2904,Customers!A:C,3,FALSE)</f>
        <v>Karen Quinn</v>
      </c>
      <c r="J2904" t="str">
        <f>VLOOKUP(D2904,Products!A:C,2,FALSE)</f>
        <v>Stage Footwear</v>
      </c>
      <c r="K2904" t="str">
        <f>VLOOKUP(D2904,Products!A:C,3,FALSE)</f>
        <v>Fashion</v>
      </c>
      <c r="L2904" t="str">
        <f>VLOOKUP(E2904,Stores!A:B,2,FALSE)</f>
        <v>MegaMart Jimenezborough</v>
      </c>
      <c r="M2904">
        <f>VLOOKUP(D2904,Products!A:E,5,FALSE)</f>
        <v>366.93</v>
      </c>
      <c r="N2904" s="5">
        <f t="shared" si="45"/>
        <v>733.86</v>
      </c>
    </row>
    <row r="2905" spans="1:14" x14ac:dyDescent="0.3">
      <c r="A2905" t="s">
        <v>3761</v>
      </c>
      <c r="B2905" s="2">
        <v>45383</v>
      </c>
      <c r="C2905" t="s">
        <v>7</v>
      </c>
      <c r="D2905" t="s">
        <v>776</v>
      </c>
      <c r="E2905" t="s">
        <v>842</v>
      </c>
      <c r="F2905">
        <v>2</v>
      </c>
      <c r="G2905">
        <v>0.05</v>
      </c>
      <c r="H2905" t="s">
        <v>865</v>
      </c>
      <c r="I2905" t="str">
        <f>VLOOKUP(C2905,Customers!A:C,2,FALSE)&amp;" "&amp;VLOOKUP(C2905,Customers!A:C,3,FALSE)</f>
        <v>Michael Davis</v>
      </c>
      <c r="J2905" t="str">
        <f>VLOOKUP(D2905,Products!A:C,2,FALSE)</f>
        <v>Little Watches</v>
      </c>
      <c r="K2905" t="str">
        <f>VLOOKUP(D2905,Products!A:C,3,FALSE)</f>
        <v>Fashion</v>
      </c>
      <c r="L2905" t="str">
        <f>VLOOKUP(E2905,Stores!A:B,2,FALSE)</f>
        <v>MegaMart Brianahaven</v>
      </c>
      <c r="M2905">
        <f>VLOOKUP(D2905,Products!A:E,5,FALSE)</f>
        <v>429.15</v>
      </c>
      <c r="N2905" s="5">
        <f t="shared" si="45"/>
        <v>815.38499999999988</v>
      </c>
    </row>
    <row r="2906" spans="1:14" x14ac:dyDescent="0.3">
      <c r="A2906" t="s">
        <v>3762</v>
      </c>
      <c r="B2906" s="2">
        <v>45613</v>
      </c>
      <c r="C2906" t="s">
        <v>650</v>
      </c>
      <c r="D2906" t="s">
        <v>796</v>
      </c>
      <c r="E2906" t="s">
        <v>831</v>
      </c>
      <c r="F2906">
        <v>4</v>
      </c>
      <c r="G2906">
        <v>0.1</v>
      </c>
      <c r="H2906" t="s">
        <v>861</v>
      </c>
      <c r="I2906" t="str">
        <f>VLOOKUP(C2906,Customers!A:C,2,FALSE)&amp;" "&amp;VLOOKUP(C2906,Customers!A:C,3,FALSE)</f>
        <v>Daniel Mcintyre</v>
      </c>
      <c r="J2906" t="str">
        <f>VLOOKUP(D2906,Products!A:C,2,FALSE)</f>
        <v>Chair Laptop</v>
      </c>
      <c r="K2906" t="str">
        <f>VLOOKUP(D2906,Products!A:C,3,FALSE)</f>
        <v>Electronics</v>
      </c>
      <c r="L2906" t="str">
        <f>VLOOKUP(E2906,Stores!A:B,2,FALSE)</f>
        <v>MegaMart Jimenezborough</v>
      </c>
      <c r="M2906">
        <f>VLOOKUP(D2906,Products!A:E,5,FALSE)</f>
        <v>1562.43</v>
      </c>
      <c r="N2906" s="5">
        <f t="shared" si="45"/>
        <v>5624.7480000000005</v>
      </c>
    </row>
    <row r="2907" spans="1:14" x14ac:dyDescent="0.3">
      <c r="A2907" t="s">
        <v>3763</v>
      </c>
      <c r="B2907" s="2">
        <v>45697</v>
      </c>
      <c r="C2907" t="s">
        <v>452</v>
      </c>
      <c r="D2907" t="s">
        <v>769</v>
      </c>
      <c r="E2907" t="s">
        <v>835</v>
      </c>
      <c r="F2907">
        <v>4</v>
      </c>
      <c r="G2907">
        <v>0.05</v>
      </c>
      <c r="H2907" t="s">
        <v>858</v>
      </c>
      <c r="I2907" t="str">
        <f>VLOOKUP(C2907,Customers!A:C,2,FALSE)&amp;" "&amp;VLOOKUP(C2907,Customers!A:C,3,FALSE)</f>
        <v>Amy Smith</v>
      </c>
      <c r="J2907" t="str">
        <f>VLOOKUP(D2907,Products!A:C,2,FALSE)</f>
        <v>How Vegetables</v>
      </c>
      <c r="K2907" t="str">
        <f>VLOOKUP(D2907,Products!A:C,3,FALSE)</f>
        <v>Groceries</v>
      </c>
      <c r="L2907" t="str">
        <f>VLOOKUP(E2907,Stores!A:B,2,FALSE)</f>
        <v>MegaMart Peckmouth</v>
      </c>
      <c r="M2907">
        <f>VLOOKUP(D2907,Products!A:E,5,FALSE)</f>
        <v>25.57</v>
      </c>
      <c r="N2907" s="5">
        <f t="shared" si="45"/>
        <v>97.165999999999997</v>
      </c>
    </row>
    <row r="2908" spans="1:14" x14ac:dyDescent="0.3">
      <c r="A2908" t="s">
        <v>3764</v>
      </c>
      <c r="B2908" s="2">
        <v>45555</v>
      </c>
      <c r="C2908" t="s">
        <v>280</v>
      </c>
      <c r="D2908" t="s">
        <v>734</v>
      </c>
      <c r="E2908" t="s">
        <v>846</v>
      </c>
      <c r="F2908">
        <v>1</v>
      </c>
      <c r="G2908">
        <v>0.15</v>
      </c>
      <c r="H2908" t="s">
        <v>861</v>
      </c>
      <c r="I2908" t="str">
        <f>VLOOKUP(C2908,Customers!A:C,2,FALSE)&amp;" "&amp;VLOOKUP(C2908,Customers!A:C,3,FALSE)</f>
        <v>Jesus Singh</v>
      </c>
      <c r="J2908" t="str">
        <f>VLOOKUP(D2908,Products!A:C,2,FALSE)</f>
        <v>Recognize Footwear</v>
      </c>
      <c r="K2908" t="str">
        <f>VLOOKUP(D2908,Products!A:C,3,FALSE)</f>
        <v>Fashion</v>
      </c>
      <c r="L2908" t="str">
        <f>VLOOKUP(E2908,Stores!A:B,2,FALSE)</f>
        <v>MegaMart Johnmouth</v>
      </c>
      <c r="M2908">
        <f>VLOOKUP(D2908,Products!A:E,5,FALSE)</f>
        <v>109.78</v>
      </c>
      <c r="N2908" s="5">
        <f t="shared" si="45"/>
        <v>93.313000000000002</v>
      </c>
    </row>
    <row r="2909" spans="1:14" x14ac:dyDescent="0.3">
      <c r="A2909" t="s">
        <v>3765</v>
      </c>
      <c r="B2909" s="2">
        <v>45392</v>
      </c>
      <c r="C2909" t="s">
        <v>476</v>
      </c>
      <c r="D2909" t="s">
        <v>800</v>
      </c>
      <c r="E2909" t="s">
        <v>831</v>
      </c>
      <c r="F2909">
        <v>1</v>
      </c>
      <c r="G2909">
        <v>0.05</v>
      </c>
      <c r="H2909" t="s">
        <v>861</v>
      </c>
      <c r="I2909" t="str">
        <f>VLOOKUP(C2909,Customers!A:C,2,FALSE)&amp;" "&amp;VLOOKUP(C2909,Customers!A:C,3,FALSE)</f>
        <v>Aaron Bailey</v>
      </c>
      <c r="J2909" t="str">
        <f>VLOOKUP(D2909,Products!A:C,2,FALSE)</f>
        <v>Book Television</v>
      </c>
      <c r="K2909" t="str">
        <f>VLOOKUP(D2909,Products!A:C,3,FALSE)</f>
        <v>Electronics</v>
      </c>
      <c r="L2909" t="str">
        <f>VLOOKUP(E2909,Stores!A:B,2,FALSE)</f>
        <v>MegaMart Jimenezborough</v>
      </c>
      <c r="M2909">
        <f>VLOOKUP(D2909,Products!A:E,5,FALSE)</f>
        <v>1952.65</v>
      </c>
      <c r="N2909" s="5">
        <f t="shared" si="45"/>
        <v>1855.0174999999999</v>
      </c>
    </row>
    <row r="2910" spans="1:14" x14ac:dyDescent="0.3">
      <c r="A2910" t="s">
        <v>3766</v>
      </c>
      <c r="B2910" s="2">
        <v>45730</v>
      </c>
      <c r="C2910" t="s">
        <v>258</v>
      </c>
      <c r="D2910" t="s">
        <v>736</v>
      </c>
      <c r="E2910" t="s">
        <v>835</v>
      </c>
      <c r="F2910">
        <v>5</v>
      </c>
      <c r="G2910">
        <v>0.05</v>
      </c>
      <c r="H2910" t="s">
        <v>865</v>
      </c>
      <c r="I2910" t="str">
        <f>VLOOKUP(C2910,Customers!A:C,2,FALSE)&amp;" "&amp;VLOOKUP(C2910,Customers!A:C,3,FALSE)</f>
        <v>Alexandra Montoya</v>
      </c>
      <c r="J2910" t="str">
        <f>VLOOKUP(D2910,Products!A:C,2,FALSE)</f>
        <v>Us Snacks</v>
      </c>
      <c r="K2910" t="str">
        <f>VLOOKUP(D2910,Products!A:C,3,FALSE)</f>
        <v>Groceries</v>
      </c>
      <c r="L2910" t="str">
        <f>VLOOKUP(E2910,Stores!A:B,2,FALSE)</f>
        <v>MegaMart Peckmouth</v>
      </c>
      <c r="M2910">
        <f>VLOOKUP(D2910,Products!A:E,5,FALSE)</f>
        <v>123.19</v>
      </c>
      <c r="N2910" s="5">
        <f t="shared" si="45"/>
        <v>585.15250000000003</v>
      </c>
    </row>
    <row r="2911" spans="1:14" x14ac:dyDescent="0.3">
      <c r="A2911" t="s">
        <v>3767</v>
      </c>
      <c r="B2911" s="2">
        <v>45876</v>
      </c>
      <c r="C2911" t="s">
        <v>636</v>
      </c>
      <c r="D2911" t="s">
        <v>734</v>
      </c>
      <c r="E2911" t="s">
        <v>831</v>
      </c>
      <c r="F2911">
        <v>2</v>
      </c>
      <c r="G2911">
        <v>0.05</v>
      </c>
      <c r="H2911" t="s">
        <v>855</v>
      </c>
      <c r="I2911" t="str">
        <f>VLOOKUP(C2911,Customers!A:C,2,FALSE)&amp;" "&amp;VLOOKUP(C2911,Customers!A:C,3,FALSE)</f>
        <v>Nichole Calhoun</v>
      </c>
      <c r="J2911" t="str">
        <f>VLOOKUP(D2911,Products!A:C,2,FALSE)</f>
        <v>Recognize Footwear</v>
      </c>
      <c r="K2911" t="str">
        <f>VLOOKUP(D2911,Products!A:C,3,FALSE)</f>
        <v>Fashion</v>
      </c>
      <c r="L2911" t="str">
        <f>VLOOKUP(E2911,Stores!A:B,2,FALSE)</f>
        <v>MegaMart Jimenezborough</v>
      </c>
      <c r="M2911">
        <f>VLOOKUP(D2911,Products!A:E,5,FALSE)</f>
        <v>109.78</v>
      </c>
      <c r="N2911" s="5">
        <f t="shared" si="45"/>
        <v>208.58199999999999</v>
      </c>
    </row>
    <row r="2912" spans="1:14" x14ac:dyDescent="0.3">
      <c r="A2912" t="s">
        <v>3768</v>
      </c>
      <c r="B2912" s="2">
        <v>45466</v>
      </c>
      <c r="C2912" t="s">
        <v>683</v>
      </c>
      <c r="D2912" t="s">
        <v>782</v>
      </c>
      <c r="E2912" t="s">
        <v>835</v>
      </c>
      <c r="F2912">
        <v>2</v>
      </c>
      <c r="G2912">
        <v>0.15</v>
      </c>
      <c r="H2912" t="s">
        <v>855</v>
      </c>
      <c r="I2912" t="str">
        <f>VLOOKUP(C2912,Customers!A:C,2,FALSE)&amp;" "&amp;VLOOKUP(C2912,Customers!A:C,3,FALSE)</f>
        <v>Ann West</v>
      </c>
      <c r="J2912" t="str">
        <f>VLOOKUP(D2912,Products!A:C,2,FALSE)</f>
        <v>Deal Smartphone</v>
      </c>
      <c r="K2912" t="str">
        <f>VLOOKUP(D2912,Products!A:C,3,FALSE)</f>
        <v>Electronics</v>
      </c>
      <c r="L2912" t="str">
        <f>VLOOKUP(E2912,Stores!A:B,2,FALSE)</f>
        <v>MegaMart Peckmouth</v>
      </c>
      <c r="M2912">
        <f>VLOOKUP(D2912,Products!A:E,5,FALSE)</f>
        <v>673.78</v>
      </c>
      <c r="N2912" s="5">
        <f t="shared" si="45"/>
        <v>1145.4259999999999</v>
      </c>
    </row>
    <row r="2913" spans="1:14" x14ac:dyDescent="0.3">
      <c r="A2913" t="s">
        <v>3769</v>
      </c>
      <c r="B2913" s="2">
        <v>45478</v>
      </c>
      <c r="C2913" t="s">
        <v>554</v>
      </c>
      <c r="D2913" t="s">
        <v>782</v>
      </c>
      <c r="E2913" t="s">
        <v>842</v>
      </c>
      <c r="F2913">
        <v>5</v>
      </c>
      <c r="G2913">
        <v>0.1</v>
      </c>
      <c r="H2913" t="s">
        <v>861</v>
      </c>
      <c r="I2913" t="str">
        <f>VLOOKUP(C2913,Customers!A:C,2,FALSE)&amp;" "&amp;VLOOKUP(C2913,Customers!A:C,3,FALSE)</f>
        <v>Lisa Martinez</v>
      </c>
      <c r="J2913" t="str">
        <f>VLOOKUP(D2913,Products!A:C,2,FALSE)</f>
        <v>Deal Smartphone</v>
      </c>
      <c r="K2913" t="str">
        <f>VLOOKUP(D2913,Products!A:C,3,FALSE)</f>
        <v>Electronics</v>
      </c>
      <c r="L2913" t="str">
        <f>VLOOKUP(E2913,Stores!A:B,2,FALSE)</f>
        <v>MegaMart Brianahaven</v>
      </c>
      <c r="M2913">
        <f>VLOOKUP(D2913,Products!A:E,5,FALSE)</f>
        <v>673.78</v>
      </c>
      <c r="N2913" s="5">
        <f t="shared" si="45"/>
        <v>3032.0099999999998</v>
      </c>
    </row>
    <row r="2914" spans="1:14" x14ac:dyDescent="0.3">
      <c r="A2914" t="s">
        <v>3770</v>
      </c>
      <c r="B2914" s="2">
        <v>45909</v>
      </c>
      <c r="C2914" t="s">
        <v>411</v>
      </c>
      <c r="D2914" t="s">
        <v>824</v>
      </c>
      <c r="E2914" t="s">
        <v>839</v>
      </c>
      <c r="F2914">
        <v>3</v>
      </c>
      <c r="G2914">
        <v>0.05</v>
      </c>
      <c r="H2914" t="s">
        <v>865</v>
      </c>
      <c r="I2914" t="str">
        <f>VLOOKUP(C2914,Customers!A:C,2,FALSE)&amp;" "&amp;VLOOKUP(C2914,Customers!A:C,3,FALSE)</f>
        <v>Travis Peters</v>
      </c>
      <c r="J2914" t="str">
        <f>VLOOKUP(D2914,Products!A:C,2,FALSE)</f>
        <v>Possible Watches</v>
      </c>
      <c r="K2914" t="str">
        <f>VLOOKUP(D2914,Products!A:C,3,FALSE)</f>
        <v>Fashion</v>
      </c>
      <c r="L2914" t="str">
        <f>VLOOKUP(E2914,Stores!A:B,2,FALSE)</f>
        <v>MegaMart New Michele</v>
      </c>
      <c r="M2914">
        <f>VLOOKUP(D2914,Products!A:E,5,FALSE)</f>
        <v>388.26</v>
      </c>
      <c r="N2914" s="5">
        <f t="shared" si="45"/>
        <v>1106.5409999999999</v>
      </c>
    </row>
    <row r="2915" spans="1:14" x14ac:dyDescent="0.3">
      <c r="A2915" t="s">
        <v>3771</v>
      </c>
      <c r="B2915" s="2">
        <v>45372</v>
      </c>
      <c r="C2915" t="s">
        <v>599</v>
      </c>
      <c r="D2915" t="s">
        <v>722</v>
      </c>
      <c r="E2915" t="s">
        <v>839</v>
      </c>
      <c r="F2915">
        <v>3</v>
      </c>
      <c r="G2915">
        <v>0.05</v>
      </c>
      <c r="H2915" t="s">
        <v>865</v>
      </c>
      <c r="I2915" t="str">
        <f>VLOOKUP(C2915,Customers!A:C,2,FALSE)&amp;" "&amp;VLOOKUP(C2915,Customers!A:C,3,FALSE)</f>
        <v>Richard Jones</v>
      </c>
      <c r="J2915" t="str">
        <f>VLOOKUP(D2915,Products!A:C,2,FALSE)</f>
        <v>Four Accessories</v>
      </c>
      <c r="K2915" t="str">
        <f>VLOOKUP(D2915,Products!A:C,3,FALSE)</f>
        <v>Fashion</v>
      </c>
      <c r="L2915" t="str">
        <f>VLOOKUP(E2915,Stores!A:B,2,FALSE)</f>
        <v>MegaMart New Michele</v>
      </c>
      <c r="M2915">
        <f>VLOOKUP(D2915,Products!A:E,5,FALSE)</f>
        <v>1853.77</v>
      </c>
      <c r="N2915" s="5">
        <f t="shared" si="45"/>
        <v>5283.2444999999989</v>
      </c>
    </row>
    <row r="2916" spans="1:14" x14ac:dyDescent="0.3">
      <c r="A2916" t="s">
        <v>3772</v>
      </c>
      <c r="B2916" s="2">
        <v>45470</v>
      </c>
      <c r="C2916" t="s">
        <v>67</v>
      </c>
      <c r="D2916" t="s">
        <v>715</v>
      </c>
      <c r="E2916" t="s">
        <v>831</v>
      </c>
      <c r="F2916">
        <v>4</v>
      </c>
      <c r="G2916">
        <v>0.1</v>
      </c>
      <c r="H2916" t="s">
        <v>865</v>
      </c>
      <c r="I2916" t="str">
        <f>VLOOKUP(C2916,Customers!A:C,2,FALSE)&amp;" "&amp;VLOOKUP(C2916,Customers!A:C,3,FALSE)</f>
        <v>Miguel Johnson</v>
      </c>
      <c r="J2916" t="str">
        <f>VLOOKUP(D2916,Products!A:C,2,FALSE)</f>
        <v>Audience Television</v>
      </c>
      <c r="K2916" t="str">
        <f>VLOOKUP(D2916,Products!A:C,3,FALSE)</f>
        <v>Electronics</v>
      </c>
      <c r="L2916" t="str">
        <f>VLOOKUP(E2916,Stores!A:B,2,FALSE)</f>
        <v>MegaMart Jimenezborough</v>
      </c>
      <c r="M2916">
        <f>VLOOKUP(D2916,Products!A:E,5,FALSE)</f>
        <v>818.76</v>
      </c>
      <c r="N2916" s="5">
        <f t="shared" si="45"/>
        <v>2947.5360000000001</v>
      </c>
    </row>
    <row r="2917" spans="1:14" x14ac:dyDescent="0.3">
      <c r="A2917" t="s">
        <v>3773</v>
      </c>
      <c r="B2917" s="2">
        <v>45267</v>
      </c>
      <c r="C2917" t="s">
        <v>570</v>
      </c>
      <c r="D2917" t="s">
        <v>715</v>
      </c>
      <c r="E2917" t="s">
        <v>842</v>
      </c>
      <c r="F2917">
        <v>1</v>
      </c>
      <c r="G2917">
        <v>0.15</v>
      </c>
      <c r="H2917" t="s">
        <v>865</v>
      </c>
      <c r="I2917" t="str">
        <f>VLOOKUP(C2917,Customers!A:C,2,FALSE)&amp;" "&amp;VLOOKUP(C2917,Customers!A:C,3,FALSE)</f>
        <v>Thomas Chung</v>
      </c>
      <c r="J2917" t="str">
        <f>VLOOKUP(D2917,Products!A:C,2,FALSE)</f>
        <v>Audience Television</v>
      </c>
      <c r="K2917" t="str">
        <f>VLOOKUP(D2917,Products!A:C,3,FALSE)</f>
        <v>Electronics</v>
      </c>
      <c r="L2917" t="str">
        <f>VLOOKUP(E2917,Stores!A:B,2,FALSE)</f>
        <v>MegaMart Brianahaven</v>
      </c>
      <c r="M2917">
        <f>VLOOKUP(D2917,Products!A:E,5,FALSE)</f>
        <v>818.76</v>
      </c>
      <c r="N2917" s="5">
        <f t="shared" si="45"/>
        <v>695.94600000000003</v>
      </c>
    </row>
    <row r="2918" spans="1:14" x14ac:dyDescent="0.3">
      <c r="A2918" t="s">
        <v>3774</v>
      </c>
      <c r="B2918" s="2">
        <v>45572</v>
      </c>
      <c r="C2918" t="s">
        <v>673</v>
      </c>
      <c r="D2918" t="s">
        <v>796</v>
      </c>
      <c r="E2918" t="s">
        <v>831</v>
      </c>
      <c r="F2918">
        <v>3</v>
      </c>
      <c r="G2918">
        <v>0.1</v>
      </c>
      <c r="H2918" t="s">
        <v>865</v>
      </c>
      <c r="I2918" t="str">
        <f>VLOOKUP(C2918,Customers!A:C,2,FALSE)&amp;" "&amp;VLOOKUP(C2918,Customers!A:C,3,FALSE)</f>
        <v>Karen Quinn</v>
      </c>
      <c r="J2918" t="str">
        <f>VLOOKUP(D2918,Products!A:C,2,FALSE)</f>
        <v>Chair Laptop</v>
      </c>
      <c r="K2918" t="str">
        <f>VLOOKUP(D2918,Products!A:C,3,FALSE)</f>
        <v>Electronics</v>
      </c>
      <c r="L2918" t="str">
        <f>VLOOKUP(E2918,Stores!A:B,2,FALSE)</f>
        <v>MegaMart Jimenezborough</v>
      </c>
      <c r="M2918">
        <f>VLOOKUP(D2918,Products!A:E,5,FALSE)</f>
        <v>1562.43</v>
      </c>
      <c r="N2918" s="5">
        <f t="shared" si="45"/>
        <v>4218.5609999999997</v>
      </c>
    </row>
    <row r="2919" spans="1:14" x14ac:dyDescent="0.3">
      <c r="A2919" t="s">
        <v>3775</v>
      </c>
      <c r="B2919" s="2">
        <v>45826</v>
      </c>
      <c r="C2919" t="s">
        <v>531</v>
      </c>
      <c r="D2919" t="s">
        <v>772</v>
      </c>
      <c r="E2919" t="s">
        <v>839</v>
      </c>
      <c r="F2919">
        <v>3</v>
      </c>
      <c r="G2919">
        <v>0.15</v>
      </c>
      <c r="H2919" t="s">
        <v>855</v>
      </c>
      <c r="I2919" t="str">
        <f>VLOOKUP(C2919,Customers!A:C,2,FALSE)&amp;" "&amp;VLOOKUP(C2919,Customers!A:C,3,FALSE)</f>
        <v>John Johnson</v>
      </c>
      <c r="J2919" t="str">
        <f>VLOOKUP(D2919,Products!A:C,2,FALSE)</f>
        <v>And Footwear</v>
      </c>
      <c r="K2919" t="str">
        <f>VLOOKUP(D2919,Products!A:C,3,FALSE)</f>
        <v>Fashion</v>
      </c>
      <c r="L2919" t="str">
        <f>VLOOKUP(E2919,Stores!A:B,2,FALSE)</f>
        <v>MegaMart New Michele</v>
      </c>
      <c r="M2919">
        <f>VLOOKUP(D2919,Products!A:E,5,FALSE)</f>
        <v>1878.47</v>
      </c>
      <c r="N2919" s="5">
        <f t="shared" si="45"/>
        <v>4790.0985000000001</v>
      </c>
    </row>
    <row r="2920" spans="1:14" x14ac:dyDescent="0.3">
      <c r="A2920" t="s">
        <v>3776</v>
      </c>
      <c r="B2920" s="2">
        <v>45311</v>
      </c>
      <c r="C2920" t="s">
        <v>673</v>
      </c>
      <c r="D2920" t="s">
        <v>800</v>
      </c>
      <c r="E2920" t="s">
        <v>842</v>
      </c>
      <c r="F2920">
        <v>3</v>
      </c>
      <c r="G2920">
        <v>0.15</v>
      </c>
      <c r="H2920" t="s">
        <v>855</v>
      </c>
      <c r="I2920" t="str">
        <f>VLOOKUP(C2920,Customers!A:C,2,FALSE)&amp;" "&amp;VLOOKUP(C2920,Customers!A:C,3,FALSE)</f>
        <v>Karen Quinn</v>
      </c>
      <c r="J2920" t="str">
        <f>VLOOKUP(D2920,Products!A:C,2,FALSE)</f>
        <v>Book Television</v>
      </c>
      <c r="K2920" t="str">
        <f>VLOOKUP(D2920,Products!A:C,3,FALSE)</f>
        <v>Electronics</v>
      </c>
      <c r="L2920" t="str">
        <f>VLOOKUP(E2920,Stores!A:B,2,FALSE)</f>
        <v>MegaMart Brianahaven</v>
      </c>
      <c r="M2920">
        <f>VLOOKUP(D2920,Products!A:E,5,FALSE)</f>
        <v>1952.65</v>
      </c>
      <c r="N2920" s="5">
        <f t="shared" si="45"/>
        <v>4979.2575000000006</v>
      </c>
    </row>
    <row r="2921" spans="1:14" x14ac:dyDescent="0.3">
      <c r="A2921" t="s">
        <v>3777</v>
      </c>
      <c r="B2921" s="2">
        <v>45708</v>
      </c>
      <c r="C2921" t="s">
        <v>690</v>
      </c>
      <c r="D2921" t="s">
        <v>810</v>
      </c>
      <c r="E2921" t="s">
        <v>842</v>
      </c>
      <c r="F2921">
        <v>3</v>
      </c>
      <c r="G2921">
        <v>0.05</v>
      </c>
      <c r="H2921" t="s">
        <v>861</v>
      </c>
      <c r="I2921" t="str">
        <f>VLOOKUP(C2921,Customers!A:C,2,FALSE)&amp;" "&amp;VLOOKUP(C2921,Customers!A:C,3,FALSE)</f>
        <v>James Noble</v>
      </c>
      <c r="J2921" t="str">
        <f>VLOOKUP(D2921,Products!A:C,2,FALSE)</f>
        <v>Maybe Clothing</v>
      </c>
      <c r="K2921" t="str">
        <f>VLOOKUP(D2921,Products!A:C,3,FALSE)</f>
        <v>Fashion</v>
      </c>
      <c r="L2921" t="str">
        <f>VLOOKUP(E2921,Stores!A:B,2,FALSE)</f>
        <v>MegaMart Brianahaven</v>
      </c>
      <c r="M2921">
        <f>VLOOKUP(D2921,Products!A:E,5,FALSE)</f>
        <v>453.62</v>
      </c>
      <c r="N2921" s="5">
        <f t="shared" si="45"/>
        <v>1292.817</v>
      </c>
    </row>
    <row r="2922" spans="1:14" x14ac:dyDescent="0.3">
      <c r="A2922" t="s">
        <v>3778</v>
      </c>
      <c r="B2922" s="2">
        <v>45830</v>
      </c>
      <c r="C2922" t="s">
        <v>545</v>
      </c>
      <c r="D2922" t="s">
        <v>759</v>
      </c>
      <c r="E2922" t="s">
        <v>835</v>
      </c>
      <c r="F2922">
        <v>1</v>
      </c>
      <c r="G2922">
        <v>0.1</v>
      </c>
      <c r="H2922" t="s">
        <v>858</v>
      </c>
      <c r="I2922" t="str">
        <f>VLOOKUP(C2922,Customers!A:C,2,FALSE)&amp;" "&amp;VLOOKUP(C2922,Customers!A:C,3,FALSE)</f>
        <v>Dawn Fletcher</v>
      </c>
      <c r="J2922" t="str">
        <f>VLOOKUP(D2922,Products!A:C,2,FALSE)</f>
        <v>Democratic Smartphone</v>
      </c>
      <c r="K2922" t="str">
        <f>VLOOKUP(D2922,Products!A:C,3,FALSE)</f>
        <v>Electronics</v>
      </c>
      <c r="L2922" t="str">
        <f>VLOOKUP(E2922,Stores!A:B,2,FALSE)</f>
        <v>MegaMart Peckmouth</v>
      </c>
      <c r="M2922">
        <f>VLOOKUP(D2922,Products!A:E,5,FALSE)</f>
        <v>1079.8900000000001</v>
      </c>
      <c r="N2922" s="5">
        <f t="shared" si="45"/>
        <v>971.90100000000007</v>
      </c>
    </row>
    <row r="2923" spans="1:14" x14ac:dyDescent="0.3">
      <c r="A2923" t="s">
        <v>3779</v>
      </c>
      <c r="B2923" s="2">
        <v>45541</v>
      </c>
      <c r="C2923" t="s">
        <v>445</v>
      </c>
      <c r="D2923" t="s">
        <v>822</v>
      </c>
      <c r="E2923" t="s">
        <v>842</v>
      </c>
      <c r="F2923">
        <v>3</v>
      </c>
      <c r="G2923">
        <v>0.15</v>
      </c>
      <c r="H2923" t="s">
        <v>858</v>
      </c>
      <c r="I2923" t="str">
        <f>VLOOKUP(C2923,Customers!A:C,2,FALSE)&amp;" "&amp;VLOOKUP(C2923,Customers!A:C,3,FALSE)</f>
        <v>Curtis Faulkner</v>
      </c>
      <c r="J2923" t="str">
        <f>VLOOKUP(D2923,Products!A:C,2,FALSE)</f>
        <v>Nor Bags</v>
      </c>
      <c r="K2923" t="str">
        <f>VLOOKUP(D2923,Products!A:C,3,FALSE)</f>
        <v>Fashion</v>
      </c>
      <c r="L2923" t="str">
        <f>VLOOKUP(E2923,Stores!A:B,2,FALSE)</f>
        <v>MegaMart Brianahaven</v>
      </c>
      <c r="M2923">
        <f>VLOOKUP(D2923,Products!A:E,5,FALSE)</f>
        <v>1216.3599999999999</v>
      </c>
      <c r="N2923" s="5">
        <f t="shared" si="45"/>
        <v>3101.7179999999998</v>
      </c>
    </row>
    <row r="2924" spans="1:14" x14ac:dyDescent="0.3">
      <c r="A2924" t="s">
        <v>3780</v>
      </c>
      <c r="B2924" s="2">
        <v>45666</v>
      </c>
      <c r="C2924" t="s">
        <v>442</v>
      </c>
      <c r="D2924" t="s">
        <v>772</v>
      </c>
      <c r="E2924" t="s">
        <v>842</v>
      </c>
      <c r="F2924">
        <v>2</v>
      </c>
      <c r="G2924">
        <v>0.05</v>
      </c>
      <c r="H2924" t="s">
        <v>858</v>
      </c>
      <c r="I2924" t="str">
        <f>VLOOKUP(C2924,Customers!A:C,2,FALSE)&amp;" "&amp;VLOOKUP(C2924,Customers!A:C,3,FALSE)</f>
        <v>Jason Lloyd</v>
      </c>
      <c r="J2924" t="str">
        <f>VLOOKUP(D2924,Products!A:C,2,FALSE)</f>
        <v>And Footwear</v>
      </c>
      <c r="K2924" t="str">
        <f>VLOOKUP(D2924,Products!A:C,3,FALSE)</f>
        <v>Fashion</v>
      </c>
      <c r="L2924" t="str">
        <f>VLOOKUP(E2924,Stores!A:B,2,FALSE)</f>
        <v>MegaMart Brianahaven</v>
      </c>
      <c r="M2924">
        <f>VLOOKUP(D2924,Products!A:E,5,FALSE)</f>
        <v>1878.47</v>
      </c>
      <c r="N2924" s="5">
        <f t="shared" si="45"/>
        <v>3569.0929999999998</v>
      </c>
    </row>
    <row r="2925" spans="1:14" x14ac:dyDescent="0.3">
      <c r="A2925" t="s">
        <v>3781</v>
      </c>
      <c r="B2925" s="2">
        <v>45671</v>
      </c>
      <c r="C2925" t="s">
        <v>403</v>
      </c>
      <c r="D2925" t="s">
        <v>794</v>
      </c>
      <c r="E2925" t="s">
        <v>831</v>
      </c>
      <c r="F2925">
        <v>2</v>
      </c>
      <c r="G2925">
        <v>0.1</v>
      </c>
      <c r="H2925" t="s">
        <v>858</v>
      </c>
      <c r="I2925" t="str">
        <f>VLOOKUP(C2925,Customers!A:C,2,FALSE)&amp;" "&amp;VLOOKUP(C2925,Customers!A:C,3,FALSE)</f>
        <v>Samantha Hill</v>
      </c>
      <c r="J2925" t="str">
        <f>VLOOKUP(D2925,Products!A:C,2,FALSE)</f>
        <v>Everything Laptop</v>
      </c>
      <c r="K2925" t="str">
        <f>VLOOKUP(D2925,Products!A:C,3,FALSE)</f>
        <v>Electronics</v>
      </c>
      <c r="L2925" t="str">
        <f>VLOOKUP(E2925,Stores!A:B,2,FALSE)</f>
        <v>MegaMart Jimenezborough</v>
      </c>
      <c r="M2925">
        <f>VLOOKUP(D2925,Products!A:E,5,FALSE)</f>
        <v>428.05</v>
      </c>
      <c r="N2925" s="5">
        <f t="shared" si="45"/>
        <v>770.49</v>
      </c>
    </row>
    <row r="2926" spans="1:14" x14ac:dyDescent="0.3">
      <c r="A2926" t="s">
        <v>3782</v>
      </c>
      <c r="B2926" s="2">
        <v>45721</v>
      </c>
      <c r="C2926" t="s">
        <v>579</v>
      </c>
      <c r="D2926" t="s">
        <v>808</v>
      </c>
      <c r="E2926" t="s">
        <v>835</v>
      </c>
      <c r="F2926">
        <v>4</v>
      </c>
      <c r="G2926">
        <v>0.1</v>
      </c>
      <c r="H2926" t="s">
        <v>865</v>
      </c>
      <c r="I2926" t="str">
        <f>VLOOKUP(C2926,Customers!A:C,2,FALSE)&amp;" "&amp;VLOOKUP(C2926,Customers!A:C,3,FALSE)</f>
        <v>Jill Roach</v>
      </c>
      <c r="J2926" t="str">
        <f>VLOOKUP(D2926,Products!A:C,2,FALSE)</f>
        <v>Present Television</v>
      </c>
      <c r="K2926" t="str">
        <f>VLOOKUP(D2926,Products!A:C,3,FALSE)</f>
        <v>Electronics</v>
      </c>
      <c r="L2926" t="str">
        <f>VLOOKUP(E2926,Stores!A:B,2,FALSE)</f>
        <v>MegaMart Peckmouth</v>
      </c>
      <c r="M2926">
        <f>VLOOKUP(D2926,Products!A:E,5,FALSE)</f>
        <v>1635.01</v>
      </c>
      <c r="N2926" s="5">
        <f t="shared" si="45"/>
        <v>5886.0360000000001</v>
      </c>
    </row>
    <row r="2927" spans="1:14" x14ac:dyDescent="0.3">
      <c r="A2927" t="s">
        <v>3783</v>
      </c>
      <c r="B2927" s="2">
        <v>45520</v>
      </c>
      <c r="C2927" t="s">
        <v>419</v>
      </c>
      <c r="D2927" t="s">
        <v>750</v>
      </c>
      <c r="E2927" t="s">
        <v>835</v>
      </c>
      <c r="F2927">
        <v>2</v>
      </c>
      <c r="G2927">
        <v>0.05</v>
      </c>
      <c r="H2927" t="s">
        <v>861</v>
      </c>
      <c r="I2927" t="str">
        <f>VLOOKUP(C2927,Customers!A:C,2,FALSE)&amp;" "&amp;VLOOKUP(C2927,Customers!A:C,3,FALSE)</f>
        <v>Jeffrey Smith</v>
      </c>
      <c r="J2927" t="str">
        <f>VLOOKUP(D2927,Products!A:C,2,FALSE)</f>
        <v>Add Clothing</v>
      </c>
      <c r="K2927" t="str">
        <f>VLOOKUP(D2927,Products!A:C,3,FALSE)</f>
        <v>Fashion</v>
      </c>
      <c r="L2927" t="str">
        <f>VLOOKUP(E2927,Stores!A:B,2,FALSE)</f>
        <v>MegaMart Peckmouth</v>
      </c>
      <c r="M2927">
        <f>VLOOKUP(D2927,Products!A:E,5,FALSE)</f>
        <v>1342.75</v>
      </c>
      <c r="N2927" s="5">
        <f t="shared" si="45"/>
        <v>2551.2249999999999</v>
      </c>
    </row>
    <row r="2928" spans="1:14" x14ac:dyDescent="0.3">
      <c r="A2928" t="s">
        <v>3784</v>
      </c>
      <c r="B2928" s="2">
        <v>45369</v>
      </c>
      <c r="C2928" t="s">
        <v>101</v>
      </c>
      <c r="D2928" t="s">
        <v>750</v>
      </c>
      <c r="E2928" t="s">
        <v>831</v>
      </c>
      <c r="F2928">
        <v>4</v>
      </c>
      <c r="G2928">
        <v>0.15</v>
      </c>
      <c r="H2928" t="s">
        <v>861</v>
      </c>
      <c r="I2928" t="str">
        <f>VLOOKUP(C2928,Customers!A:C,2,FALSE)&amp;" "&amp;VLOOKUP(C2928,Customers!A:C,3,FALSE)</f>
        <v>Cheryl Gilbert</v>
      </c>
      <c r="J2928" t="str">
        <f>VLOOKUP(D2928,Products!A:C,2,FALSE)</f>
        <v>Add Clothing</v>
      </c>
      <c r="K2928" t="str">
        <f>VLOOKUP(D2928,Products!A:C,3,FALSE)</f>
        <v>Fashion</v>
      </c>
      <c r="L2928" t="str">
        <f>VLOOKUP(E2928,Stores!A:B,2,FALSE)</f>
        <v>MegaMart Jimenezborough</v>
      </c>
      <c r="M2928">
        <f>VLOOKUP(D2928,Products!A:E,5,FALSE)</f>
        <v>1342.75</v>
      </c>
      <c r="N2928" s="5">
        <f t="shared" si="45"/>
        <v>4565.3499999999995</v>
      </c>
    </row>
    <row r="2929" spans="1:14" x14ac:dyDescent="0.3">
      <c r="A2929" t="s">
        <v>3785</v>
      </c>
      <c r="B2929" s="2">
        <v>45438</v>
      </c>
      <c r="C2929" t="s">
        <v>266</v>
      </c>
      <c r="D2929" t="s">
        <v>764</v>
      </c>
      <c r="E2929" t="s">
        <v>839</v>
      </c>
      <c r="F2929">
        <v>2</v>
      </c>
      <c r="G2929">
        <v>0</v>
      </c>
      <c r="H2929" t="s">
        <v>858</v>
      </c>
      <c r="I2929" t="str">
        <f>VLOOKUP(C2929,Customers!A:C,2,FALSE)&amp;" "&amp;VLOOKUP(C2929,Customers!A:C,3,FALSE)</f>
        <v>Eric Bryan</v>
      </c>
      <c r="J2929" t="str">
        <f>VLOOKUP(D2929,Products!A:C,2,FALSE)</f>
        <v>Simple Accessories</v>
      </c>
      <c r="K2929" t="str">
        <f>VLOOKUP(D2929,Products!A:C,3,FALSE)</f>
        <v>Fashion</v>
      </c>
      <c r="L2929" t="str">
        <f>VLOOKUP(E2929,Stores!A:B,2,FALSE)</f>
        <v>MegaMart New Michele</v>
      </c>
      <c r="M2929">
        <f>VLOOKUP(D2929,Products!A:E,5,FALSE)</f>
        <v>323.92</v>
      </c>
      <c r="N2929" s="5">
        <f t="shared" si="45"/>
        <v>647.84</v>
      </c>
    </row>
    <row r="2930" spans="1:14" x14ac:dyDescent="0.3">
      <c r="A2930" t="s">
        <v>3786</v>
      </c>
      <c r="B2930" s="2">
        <v>45273</v>
      </c>
      <c r="C2930" t="s">
        <v>379</v>
      </c>
      <c r="D2930" t="s">
        <v>734</v>
      </c>
      <c r="E2930" t="s">
        <v>835</v>
      </c>
      <c r="F2930">
        <v>3</v>
      </c>
      <c r="G2930">
        <v>0.1</v>
      </c>
      <c r="H2930" t="s">
        <v>861</v>
      </c>
      <c r="I2930" t="str">
        <f>VLOOKUP(C2930,Customers!A:C,2,FALSE)&amp;" "&amp;VLOOKUP(C2930,Customers!A:C,3,FALSE)</f>
        <v>William Pope</v>
      </c>
      <c r="J2930" t="str">
        <f>VLOOKUP(D2930,Products!A:C,2,FALSE)</f>
        <v>Recognize Footwear</v>
      </c>
      <c r="K2930" t="str">
        <f>VLOOKUP(D2930,Products!A:C,3,FALSE)</f>
        <v>Fashion</v>
      </c>
      <c r="L2930" t="str">
        <f>VLOOKUP(E2930,Stores!A:B,2,FALSE)</f>
        <v>MegaMart Peckmouth</v>
      </c>
      <c r="M2930">
        <f>VLOOKUP(D2930,Products!A:E,5,FALSE)</f>
        <v>109.78</v>
      </c>
      <c r="N2930" s="5">
        <f t="shared" si="45"/>
        <v>296.40600000000006</v>
      </c>
    </row>
    <row r="2931" spans="1:14" x14ac:dyDescent="0.3">
      <c r="A2931" t="s">
        <v>3787</v>
      </c>
      <c r="B2931" s="2">
        <v>45279</v>
      </c>
      <c r="C2931" t="s">
        <v>191</v>
      </c>
      <c r="D2931" t="s">
        <v>711</v>
      </c>
      <c r="E2931" t="s">
        <v>842</v>
      </c>
      <c r="F2931">
        <v>5</v>
      </c>
      <c r="G2931">
        <v>0.15</v>
      </c>
      <c r="H2931" t="s">
        <v>858</v>
      </c>
      <c r="I2931" t="str">
        <f>VLOOKUP(C2931,Customers!A:C,2,FALSE)&amp;" "&amp;VLOOKUP(C2931,Customers!A:C,3,FALSE)</f>
        <v>Antonio Hamilton</v>
      </c>
      <c r="J2931" t="str">
        <f>VLOOKUP(D2931,Products!A:C,2,FALSE)</f>
        <v>Like Camera</v>
      </c>
      <c r="K2931" t="str">
        <f>VLOOKUP(D2931,Products!A:C,3,FALSE)</f>
        <v>Electronics</v>
      </c>
      <c r="L2931" t="str">
        <f>VLOOKUP(E2931,Stores!A:B,2,FALSE)</f>
        <v>MegaMart Brianahaven</v>
      </c>
      <c r="M2931">
        <f>VLOOKUP(D2931,Products!A:E,5,FALSE)</f>
        <v>1673.69</v>
      </c>
      <c r="N2931" s="5">
        <f t="shared" si="45"/>
        <v>7113.1825000000008</v>
      </c>
    </row>
    <row r="2932" spans="1:14" x14ac:dyDescent="0.3">
      <c r="A2932" t="s">
        <v>3788</v>
      </c>
      <c r="B2932" s="2">
        <v>45208</v>
      </c>
      <c r="C2932" t="s">
        <v>419</v>
      </c>
      <c r="D2932" t="s">
        <v>732</v>
      </c>
      <c r="E2932" t="s">
        <v>835</v>
      </c>
      <c r="F2932">
        <v>4</v>
      </c>
      <c r="G2932">
        <v>0</v>
      </c>
      <c r="H2932" t="s">
        <v>855</v>
      </c>
      <c r="I2932" t="str">
        <f>VLOOKUP(C2932,Customers!A:C,2,FALSE)&amp;" "&amp;VLOOKUP(C2932,Customers!A:C,3,FALSE)</f>
        <v>Jeffrey Smith</v>
      </c>
      <c r="J2932" t="str">
        <f>VLOOKUP(D2932,Products!A:C,2,FALSE)</f>
        <v>Understand Camera</v>
      </c>
      <c r="K2932" t="str">
        <f>VLOOKUP(D2932,Products!A:C,3,FALSE)</f>
        <v>Electronics</v>
      </c>
      <c r="L2932" t="str">
        <f>VLOOKUP(E2932,Stores!A:B,2,FALSE)</f>
        <v>MegaMart Peckmouth</v>
      </c>
      <c r="M2932">
        <f>VLOOKUP(D2932,Products!A:E,5,FALSE)</f>
        <v>1474.12</v>
      </c>
      <c r="N2932" s="5">
        <f t="shared" si="45"/>
        <v>5896.48</v>
      </c>
    </row>
    <row r="2933" spans="1:14" x14ac:dyDescent="0.3">
      <c r="A2933" t="s">
        <v>3789</v>
      </c>
      <c r="B2933" s="2">
        <v>45417</v>
      </c>
      <c r="C2933" t="s">
        <v>112</v>
      </c>
      <c r="D2933" t="s">
        <v>734</v>
      </c>
      <c r="E2933" t="s">
        <v>831</v>
      </c>
      <c r="F2933">
        <v>3</v>
      </c>
      <c r="G2933">
        <v>0.15</v>
      </c>
      <c r="H2933" t="s">
        <v>855</v>
      </c>
      <c r="I2933" t="str">
        <f>VLOOKUP(C2933,Customers!A:C,2,FALSE)&amp;" "&amp;VLOOKUP(C2933,Customers!A:C,3,FALSE)</f>
        <v>John Carr</v>
      </c>
      <c r="J2933" t="str">
        <f>VLOOKUP(D2933,Products!A:C,2,FALSE)</f>
        <v>Recognize Footwear</v>
      </c>
      <c r="K2933" t="str">
        <f>VLOOKUP(D2933,Products!A:C,3,FALSE)</f>
        <v>Fashion</v>
      </c>
      <c r="L2933" t="str">
        <f>VLOOKUP(E2933,Stores!A:B,2,FALSE)</f>
        <v>MegaMart Jimenezborough</v>
      </c>
      <c r="M2933">
        <f>VLOOKUP(D2933,Products!A:E,5,FALSE)</f>
        <v>109.78</v>
      </c>
      <c r="N2933" s="5">
        <f t="shared" si="45"/>
        <v>279.93900000000002</v>
      </c>
    </row>
    <row r="2934" spans="1:14" x14ac:dyDescent="0.3">
      <c r="A2934" t="s">
        <v>3790</v>
      </c>
      <c r="B2934" s="2">
        <v>45418</v>
      </c>
      <c r="C2934" t="s">
        <v>144</v>
      </c>
      <c r="D2934" t="s">
        <v>786</v>
      </c>
      <c r="E2934" t="s">
        <v>835</v>
      </c>
      <c r="F2934">
        <v>5</v>
      </c>
      <c r="G2934">
        <v>0.15</v>
      </c>
      <c r="H2934" t="s">
        <v>861</v>
      </c>
      <c r="I2934" t="str">
        <f>VLOOKUP(C2934,Customers!A:C,2,FALSE)&amp;" "&amp;VLOOKUP(C2934,Customers!A:C,3,FALSE)</f>
        <v>Miranda Nelson</v>
      </c>
      <c r="J2934" t="str">
        <f>VLOOKUP(D2934,Products!A:C,2,FALSE)</f>
        <v>National Watches</v>
      </c>
      <c r="K2934" t="str">
        <f>VLOOKUP(D2934,Products!A:C,3,FALSE)</f>
        <v>Fashion</v>
      </c>
      <c r="L2934" t="str">
        <f>VLOOKUP(E2934,Stores!A:B,2,FALSE)</f>
        <v>MegaMart Peckmouth</v>
      </c>
      <c r="M2934">
        <f>VLOOKUP(D2934,Products!A:E,5,FALSE)</f>
        <v>29.24</v>
      </c>
      <c r="N2934" s="5">
        <f t="shared" si="45"/>
        <v>124.26999999999998</v>
      </c>
    </row>
    <row r="2935" spans="1:14" x14ac:dyDescent="0.3">
      <c r="A2935" t="s">
        <v>3791</v>
      </c>
      <c r="B2935" s="2">
        <v>45488</v>
      </c>
      <c r="C2935" t="s">
        <v>399</v>
      </c>
      <c r="D2935" t="s">
        <v>747</v>
      </c>
      <c r="E2935" t="s">
        <v>842</v>
      </c>
      <c r="F2935">
        <v>1</v>
      </c>
      <c r="G2935">
        <v>0.1</v>
      </c>
      <c r="H2935" t="s">
        <v>861</v>
      </c>
      <c r="I2935" t="str">
        <f>VLOOKUP(C2935,Customers!A:C,2,FALSE)&amp;" "&amp;VLOOKUP(C2935,Customers!A:C,3,FALSE)</f>
        <v>Victoria Hansen</v>
      </c>
      <c r="J2935" t="str">
        <f>VLOOKUP(D2935,Products!A:C,2,FALSE)</f>
        <v>World Watches</v>
      </c>
      <c r="K2935" t="str">
        <f>VLOOKUP(D2935,Products!A:C,3,FALSE)</f>
        <v>Fashion</v>
      </c>
      <c r="L2935" t="str">
        <f>VLOOKUP(E2935,Stores!A:B,2,FALSE)</f>
        <v>MegaMart Brianahaven</v>
      </c>
      <c r="M2935">
        <f>VLOOKUP(D2935,Products!A:E,5,FALSE)</f>
        <v>1134.8</v>
      </c>
      <c r="N2935" s="5">
        <f t="shared" si="45"/>
        <v>1021.3199999999999</v>
      </c>
    </row>
    <row r="2936" spans="1:14" x14ac:dyDescent="0.3">
      <c r="A2936" t="s">
        <v>3792</v>
      </c>
      <c r="B2936" s="2">
        <v>45579</v>
      </c>
      <c r="C2936" t="s">
        <v>327</v>
      </c>
      <c r="D2936" t="s">
        <v>788</v>
      </c>
      <c r="E2936" t="s">
        <v>839</v>
      </c>
      <c r="F2936">
        <v>5</v>
      </c>
      <c r="G2936">
        <v>0.15</v>
      </c>
      <c r="H2936" t="s">
        <v>865</v>
      </c>
      <c r="I2936" t="str">
        <f>VLOOKUP(C2936,Customers!A:C,2,FALSE)&amp;" "&amp;VLOOKUP(C2936,Customers!A:C,3,FALSE)</f>
        <v>Laurie Mason</v>
      </c>
      <c r="J2936" t="str">
        <f>VLOOKUP(D2936,Products!A:C,2,FALSE)</f>
        <v>Foot Snacks</v>
      </c>
      <c r="K2936" t="str">
        <f>VLOOKUP(D2936,Products!A:C,3,FALSE)</f>
        <v>Groceries</v>
      </c>
      <c r="L2936" t="str">
        <f>VLOOKUP(E2936,Stores!A:B,2,FALSE)</f>
        <v>MegaMart New Michele</v>
      </c>
      <c r="M2936">
        <f>VLOOKUP(D2936,Products!A:E,5,FALSE)</f>
        <v>1095.72</v>
      </c>
      <c r="N2936" s="5">
        <f t="shared" si="45"/>
        <v>4656.8100000000004</v>
      </c>
    </row>
    <row r="2937" spans="1:14" x14ac:dyDescent="0.3">
      <c r="A2937" t="s">
        <v>3793</v>
      </c>
      <c r="B2937" s="2">
        <v>45406</v>
      </c>
      <c r="C2937" t="s">
        <v>554</v>
      </c>
      <c r="D2937" t="s">
        <v>772</v>
      </c>
      <c r="E2937" t="s">
        <v>835</v>
      </c>
      <c r="F2937">
        <v>5</v>
      </c>
      <c r="G2937">
        <v>0.1</v>
      </c>
      <c r="H2937" t="s">
        <v>855</v>
      </c>
      <c r="I2937" t="str">
        <f>VLOOKUP(C2937,Customers!A:C,2,FALSE)&amp;" "&amp;VLOOKUP(C2937,Customers!A:C,3,FALSE)</f>
        <v>Lisa Martinez</v>
      </c>
      <c r="J2937" t="str">
        <f>VLOOKUP(D2937,Products!A:C,2,FALSE)</f>
        <v>And Footwear</v>
      </c>
      <c r="K2937" t="str">
        <f>VLOOKUP(D2937,Products!A:C,3,FALSE)</f>
        <v>Fashion</v>
      </c>
      <c r="L2937" t="str">
        <f>VLOOKUP(E2937,Stores!A:B,2,FALSE)</f>
        <v>MegaMart Peckmouth</v>
      </c>
      <c r="M2937">
        <f>VLOOKUP(D2937,Products!A:E,5,FALSE)</f>
        <v>1878.47</v>
      </c>
      <c r="N2937" s="5">
        <f t="shared" si="45"/>
        <v>8453.1149999999998</v>
      </c>
    </row>
    <row r="2938" spans="1:14" x14ac:dyDescent="0.3">
      <c r="A2938" t="s">
        <v>3794</v>
      </c>
      <c r="B2938" s="2">
        <v>45401</v>
      </c>
      <c r="C2938" t="s">
        <v>657</v>
      </c>
      <c r="D2938" t="s">
        <v>778</v>
      </c>
      <c r="E2938" t="s">
        <v>839</v>
      </c>
      <c r="F2938">
        <v>2</v>
      </c>
      <c r="G2938">
        <v>0.1</v>
      </c>
      <c r="H2938" t="s">
        <v>858</v>
      </c>
      <c r="I2938" t="str">
        <f>VLOOKUP(C2938,Customers!A:C,2,FALSE)&amp;" "&amp;VLOOKUP(C2938,Customers!A:C,3,FALSE)</f>
        <v>Vicki Guzman</v>
      </c>
      <c r="J2938" t="str">
        <f>VLOOKUP(D2938,Products!A:C,2,FALSE)</f>
        <v>Behavior Dairy</v>
      </c>
      <c r="K2938" t="str">
        <f>VLOOKUP(D2938,Products!A:C,3,FALSE)</f>
        <v>Groceries</v>
      </c>
      <c r="L2938" t="str">
        <f>VLOOKUP(E2938,Stores!A:B,2,FALSE)</f>
        <v>MegaMart New Michele</v>
      </c>
      <c r="M2938">
        <f>VLOOKUP(D2938,Products!A:E,5,FALSE)</f>
        <v>1015.76</v>
      </c>
      <c r="N2938" s="5">
        <f t="shared" si="45"/>
        <v>1828.3679999999999</v>
      </c>
    </row>
    <row r="2939" spans="1:14" x14ac:dyDescent="0.3">
      <c r="A2939" t="s">
        <v>3795</v>
      </c>
      <c r="B2939" s="2">
        <v>45463</v>
      </c>
      <c r="C2939" t="s">
        <v>71</v>
      </c>
      <c r="D2939" t="s">
        <v>782</v>
      </c>
      <c r="E2939" t="s">
        <v>831</v>
      </c>
      <c r="F2939">
        <v>4</v>
      </c>
      <c r="G2939">
        <v>0.1</v>
      </c>
      <c r="H2939" t="s">
        <v>858</v>
      </c>
      <c r="I2939" t="str">
        <f>VLOOKUP(C2939,Customers!A:C,2,FALSE)&amp;" "&amp;VLOOKUP(C2939,Customers!A:C,3,FALSE)</f>
        <v>Vanessa Anderson</v>
      </c>
      <c r="J2939" t="str">
        <f>VLOOKUP(D2939,Products!A:C,2,FALSE)</f>
        <v>Deal Smartphone</v>
      </c>
      <c r="K2939" t="str">
        <f>VLOOKUP(D2939,Products!A:C,3,FALSE)</f>
        <v>Electronics</v>
      </c>
      <c r="L2939" t="str">
        <f>VLOOKUP(E2939,Stores!A:B,2,FALSE)</f>
        <v>MegaMart Jimenezborough</v>
      </c>
      <c r="M2939">
        <f>VLOOKUP(D2939,Products!A:E,5,FALSE)</f>
        <v>673.78</v>
      </c>
      <c r="N2939" s="5">
        <f t="shared" si="45"/>
        <v>2425.6080000000002</v>
      </c>
    </row>
    <row r="2940" spans="1:14" x14ac:dyDescent="0.3">
      <c r="A2940" t="s">
        <v>3796</v>
      </c>
      <c r="B2940" s="2">
        <v>45282</v>
      </c>
      <c r="C2940" t="s">
        <v>243</v>
      </c>
      <c r="D2940" t="s">
        <v>802</v>
      </c>
      <c r="E2940" t="s">
        <v>835</v>
      </c>
      <c r="F2940">
        <v>3</v>
      </c>
      <c r="G2940">
        <v>0.05</v>
      </c>
      <c r="H2940" t="s">
        <v>855</v>
      </c>
      <c r="I2940" t="str">
        <f>VLOOKUP(C2940,Customers!A:C,2,FALSE)&amp;" "&amp;VLOOKUP(C2940,Customers!A:C,3,FALSE)</f>
        <v>Amanda Hoover</v>
      </c>
      <c r="J2940" t="str">
        <f>VLOOKUP(D2940,Products!A:C,2,FALSE)</f>
        <v>Stage Footwear</v>
      </c>
      <c r="K2940" t="str">
        <f>VLOOKUP(D2940,Products!A:C,3,FALSE)</f>
        <v>Fashion</v>
      </c>
      <c r="L2940" t="str">
        <f>VLOOKUP(E2940,Stores!A:B,2,FALSE)</f>
        <v>MegaMart Peckmouth</v>
      </c>
      <c r="M2940">
        <f>VLOOKUP(D2940,Products!A:E,5,FALSE)</f>
        <v>366.93</v>
      </c>
      <c r="N2940" s="5">
        <f t="shared" si="45"/>
        <v>1045.7504999999999</v>
      </c>
    </row>
    <row r="2941" spans="1:14" x14ac:dyDescent="0.3">
      <c r="A2941" t="s">
        <v>3797</v>
      </c>
      <c r="B2941" s="2">
        <v>45343</v>
      </c>
      <c r="C2941" t="s">
        <v>582</v>
      </c>
      <c r="D2941" t="s">
        <v>814</v>
      </c>
      <c r="E2941" t="s">
        <v>842</v>
      </c>
      <c r="F2941">
        <v>3</v>
      </c>
      <c r="G2941">
        <v>0.1</v>
      </c>
      <c r="H2941" t="s">
        <v>855</v>
      </c>
      <c r="I2941" t="str">
        <f>VLOOKUP(C2941,Customers!A:C,2,FALSE)&amp;" "&amp;VLOOKUP(C2941,Customers!A:C,3,FALSE)</f>
        <v>Erin Rogers</v>
      </c>
      <c r="J2941" t="str">
        <f>VLOOKUP(D2941,Products!A:C,2,FALSE)</f>
        <v>Least Accessories</v>
      </c>
      <c r="K2941" t="str">
        <f>VLOOKUP(D2941,Products!A:C,3,FALSE)</f>
        <v>Fashion</v>
      </c>
      <c r="L2941" t="str">
        <f>VLOOKUP(E2941,Stores!A:B,2,FALSE)</f>
        <v>MegaMart Brianahaven</v>
      </c>
      <c r="M2941">
        <f>VLOOKUP(D2941,Products!A:E,5,FALSE)</f>
        <v>1286.55</v>
      </c>
      <c r="N2941" s="5">
        <f t="shared" si="45"/>
        <v>3473.6849999999999</v>
      </c>
    </row>
    <row r="2942" spans="1:14" x14ac:dyDescent="0.3">
      <c r="A2942" t="s">
        <v>3798</v>
      </c>
      <c r="B2942" s="2">
        <v>45870</v>
      </c>
      <c r="C2942" t="s">
        <v>633</v>
      </c>
      <c r="D2942" t="s">
        <v>736</v>
      </c>
      <c r="E2942" t="s">
        <v>835</v>
      </c>
      <c r="F2942">
        <v>2</v>
      </c>
      <c r="G2942">
        <v>0.1</v>
      </c>
      <c r="H2942" t="s">
        <v>861</v>
      </c>
      <c r="I2942" t="str">
        <f>VLOOKUP(C2942,Customers!A:C,2,FALSE)&amp;" "&amp;VLOOKUP(C2942,Customers!A:C,3,FALSE)</f>
        <v>Dennis Wallace</v>
      </c>
      <c r="J2942" t="str">
        <f>VLOOKUP(D2942,Products!A:C,2,FALSE)</f>
        <v>Us Snacks</v>
      </c>
      <c r="K2942" t="str">
        <f>VLOOKUP(D2942,Products!A:C,3,FALSE)</f>
        <v>Groceries</v>
      </c>
      <c r="L2942" t="str">
        <f>VLOOKUP(E2942,Stores!A:B,2,FALSE)</f>
        <v>MegaMart Peckmouth</v>
      </c>
      <c r="M2942">
        <f>VLOOKUP(D2942,Products!A:E,5,FALSE)</f>
        <v>123.19</v>
      </c>
      <c r="N2942" s="5">
        <f t="shared" si="45"/>
        <v>221.74199999999999</v>
      </c>
    </row>
    <row r="2943" spans="1:14" x14ac:dyDescent="0.3">
      <c r="A2943" t="s">
        <v>3799</v>
      </c>
      <c r="B2943" s="2">
        <v>45223</v>
      </c>
      <c r="C2943" t="s">
        <v>643</v>
      </c>
      <c r="D2943" t="s">
        <v>778</v>
      </c>
      <c r="E2943" t="s">
        <v>846</v>
      </c>
      <c r="F2943">
        <v>5</v>
      </c>
      <c r="G2943">
        <v>0.05</v>
      </c>
      <c r="H2943" t="s">
        <v>861</v>
      </c>
      <c r="I2943" t="str">
        <f>VLOOKUP(C2943,Customers!A:C,2,FALSE)&amp;" "&amp;VLOOKUP(C2943,Customers!A:C,3,FALSE)</f>
        <v>Meghan Wright</v>
      </c>
      <c r="J2943" t="str">
        <f>VLOOKUP(D2943,Products!A:C,2,FALSE)</f>
        <v>Behavior Dairy</v>
      </c>
      <c r="K2943" t="str">
        <f>VLOOKUP(D2943,Products!A:C,3,FALSE)</f>
        <v>Groceries</v>
      </c>
      <c r="L2943" t="str">
        <f>VLOOKUP(E2943,Stores!A:B,2,FALSE)</f>
        <v>MegaMart Johnmouth</v>
      </c>
      <c r="M2943">
        <f>VLOOKUP(D2943,Products!A:E,5,FALSE)</f>
        <v>1015.76</v>
      </c>
      <c r="N2943" s="5">
        <f t="shared" si="45"/>
        <v>4824.8599999999997</v>
      </c>
    </row>
    <row r="2944" spans="1:14" x14ac:dyDescent="0.3">
      <c r="A2944" t="s">
        <v>3800</v>
      </c>
      <c r="B2944" s="2">
        <v>45301</v>
      </c>
      <c r="C2944" t="s">
        <v>464</v>
      </c>
      <c r="D2944" t="s">
        <v>755</v>
      </c>
      <c r="E2944" t="s">
        <v>846</v>
      </c>
      <c r="F2944">
        <v>4</v>
      </c>
      <c r="G2944">
        <v>0</v>
      </c>
      <c r="H2944" t="s">
        <v>855</v>
      </c>
      <c r="I2944" t="str">
        <f>VLOOKUP(C2944,Customers!A:C,2,FALSE)&amp;" "&amp;VLOOKUP(C2944,Customers!A:C,3,FALSE)</f>
        <v>Monique Johnson</v>
      </c>
      <c r="J2944" t="str">
        <f>VLOOKUP(D2944,Products!A:C,2,FALSE)</f>
        <v>House Accessories</v>
      </c>
      <c r="K2944" t="str">
        <f>VLOOKUP(D2944,Products!A:C,3,FALSE)</f>
        <v>Fashion</v>
      </c>
      <c r="L2944" t="str">
        <f>VLOOKUP(E2944,Stores!A:B,2,FALSE)</f>
        <v>MegaMart Johnmouth</v>
      </c>
      <c r="M2944">
        <f>VLOOKUP(D2944,Products!A:E,5,FALSE)</f>
        <v>1858.75</v>
      </c>
      <c r="N2944" s="5">
        <f t="shared" si="45"/>
        <v>7435</v>
      </c>
    </row>
    <row r="2945" spans="1:14" x14ac:dyDescent="0.3">
      <c r="A2945" t="s">
        <v>3801</v>
      </c>
      <c r="B2945" s="2">
        <v>45468</v>
      </c>
      <c r="C2945" t="s">
        <v>480</v>
      </c>
      <c r="D2945" t="s">
        <v>784</v>
      </c>
      <c r="E2945" t="s">
        <v>831</v>
      </c>
      <c r="F2945">
        <v>4</v>
      </c>
      <c r="G2945">
        <v>0.05</v>
      </c>
      <c r="H2945" t="s">
        <v>855</v>
      </c>
      <c r="I2945" t="str">
        <f>VLOOKUP(C2945,Customers!A:C,2,FALSE)&amp;" "&amp;VLOOKUP(C2945,Customers!A:C,3,FALSE)</f>
        <v>Denise Jackson</v>
      </c>
      <c r="J2945" t="str">
        <f>VLOOKUP(D2945,Products!A:C,2,FALSE)</f>
        <v>Road Clothing</v>
      </c>
      <c r="K2945" t="str">
        <f>VLOOKUP(D2945,Products!A:C,3,FALSE)</f>
        <v>Fashion</v>
      </c>
      <c r="L2945" t="str">
        <f>VLOOKUP(E2945,Stores!A:B,2,FALSE)</f>
        <v>MegaMart Jimenezborough</v>
      </c>
      <c r="M2945">
        <f>VLOOKUP(D2945,Products!A:E,5,FALSE)</f>
        <v>1485.05</v>
      </c>
      <c r="N2945" s="5">
        <f t="shared" si="45"/>
        <v>5643.19</v>
      </c>
    </row>
    <row r="2946" spans="1:14" x14ac:dyDescent="0.3">
      <c r="A2946" t="s">
        <v>3802</v>
      </c>
      <c r="B2946" s="2">
        <v>45680</v>
      </c>
      <c r="C2946" t="s">
        <v>85</v>
      </c>
      <c r="D2946" t="s">
        <v>788</v>
      </c>
      <c r="E2946" t="s">
        <v>846</v>
      </c>
      <c r="F2946">
        <v>4</v>
      </c>
      <c r="G2946">
        <v>0.15</v>
      </c>
      <c r="H2946" t="s">
        <v>855</v>
      </c>
      <c r="I2946" t="str">
        <f>VLOOKUP(C2946,Customers!A:C,2,FALSE)&amp;" "&amp;VLOOKUP(C2946,Customers!A:C,3,FALSE)</f>
        <v>Debbie Martin</v>
      </c>
      <c r="J2946" t="str">
        <f>VLOOKUP(D2946,Products!A:C,2,FALSE)</f>
        <v>Foot Snacks</v>
      </c>
      <c r="K2946" t="str">
        <f>VLOOKUP(D2946,Products!A:C,3,FALSE)</f>
        <v>Groceries</v>
      </c>
      <c r="L2946" t="str">
        <f>VLOOKUP(E2946,Stores!A:B,2,FALSE)</f>
        <v>MegaMart Johnmouth</v>
      </c>
      <c r="M2946">
        <f>VLOOKUP(D2946,Products!A:E,5,FALSE)</f>
        <v>1095.72</v>
      </c>
      <c r="N2946" s="5">
        <f t="shared" si="45"/>
        <v>3725.4479999999999</v>
      </c>
    </row>
    <row r="2947" spans="1:14" x14ac:dyDescent="0.3">
      <c r="A2947" t="s">
        <v>3803</v>
      </c>
      <c r="B2947" s="2">
        <v>45283</v>
      </c>
      <c r="C2947" t="s">
        <v>74</v>
      </c>
      <c r="D2947" t="s">
        <v>812</v>
      </c>
      <c r="E2947" t="s">
        <v>842</v>
      </c>
      <c r="F2947">
        <v>4</v>
      </c>
      <c r="G2947">
        <v>0.05</v>
      </c>
      <c r="H2947" t="s">
        <v>855</v>
      </c>
      <c r="I2947" t="str">
        <f>VLOOKUP(C2947,Customers!A:C,2,FALSE)&amp;" "&amp;VLOOKUP(C2947,Customers!A:C,3,FALSE)</f>
        <v>Breanna Davis</v>
      </c>
      <c r="J2947" t="str">
        <f>VLOOKUP(D2947,Products!A:C,2,FALSE)</f>
        <v>Soon Accessories</v>
      </c>
      <c r="K2947" t="str">
        <f>VLOOKUP(D2947,Products!A:C,3,FALSE)</f>
        <v>Fashion</v>
      </c>
      <c r="L2947" t="str">
        <f>VLOOKUP(E2947,Stores!A:B,2,FALSE)</f>
        <v>MegaMart Brianahaven</v>
      </c>
      <c r="M2947">
        <f>VLOOKUP(D2947,Products!A:E,5,FALSE)</f>
        <v>564.41999999999996</v>
      </c>
      <c r="N2947" s="5">
        <f t="shared" ref="N2947:N3010" si="46">F2947*M2947*(1-G2947)</f>
        <v>2144.7959999999998</v>
      </c>
    </row>
    <row r="2948" spans="1:14" x14ac:dyDescent="0.3">
      <c r="A2948" t="s">
        <v>3804</v>
      </c>
      <c r="B2948" s="2">
        <v>45211</v>
      </c>
      <c r="C2948" t="s">
        <v>647</v>
      </c>
      <c r="D2948" t="s">
        <v>761</v>
      </c>
      <c r="E2948" t="s">
        <v>835</v>
      </c>
      <c r="F2948">
        <v>3</v>
      </c>
      <c r="G2948">
        <v>0</v>
      </c>
      <c r="H2948" t="s">
        <v>858</v>
      </c>
      <c r="I2948" t="str">
        <f>VLOOKUP(C2948,Customers!A:C,2,FALSE)&amp;" "&amp;VLOOKUP(C2948,Customers!A:C,3,FALSE)</f>
        <v>Mary Dawson</v>
      </c>
      <c r="J2948" t="str">
        <f>VLOOKUP(D2948,Products!A:C,2,FALSE)</f>
        <v>Traditional Laptop</v>
      </c>
      <c r="K2948" t="str">
        <f>VLOOKUP(D2948,Products!A:C,3,FALSE)</f>
        <v>Electronics</v>
      </c>
      <c r="L2948" t="str">
        <f>VLOOKUP(E2948,Stores!A:B,2,FALSE)</f>
        <v>MegaMart Peckmouth</v>
      </c>
      <c r="M2948">
        <f>VLOOKUP(D2948,Products!A:E,5,FALSE)</f>
        <v>1762.92</v>
      </c>
      <c r="N2948" s="5">
        <f t="shared" si="46"/>
        <v>5288.76</v>
      </c>
    </row>
    <row r="2949" spans="1:14" x14ac:dyDescent="0.3">
      <c r="A2949" t="s">
        <v>3805</v>
      </c>
      <c r="B2949" s="2">
        <v>45374</v>
      </c>
      <c r="C2949" t="s">
        <v>243</v>
      </c>
      <c r="D2949" t="s">
        <v>711</v>
      </c>
      <c r="E2949" t="s">
        <v>835</v>
      </c>
      <c r="F2949">
        <v>1</v>
      </c>
      <c r="G2949">
        <v>0.1</v>
      </c>
      <c r="H2949" t="s">
        <v>855</v>
      </c>
      <c r="I2949" t="str">
        <f>VLOOKUP(C2949,Customers!A:C,2,FALSE)&amp;" "&amp;VLOOKUP(C2949,Customers!A:C,3,FALSE)</f>
        <v>Amanda Hoover</v>
      </c>
      <c r="J2949" t="str">
        <f>VLOOKUP(D2949,Products!A:C,2,FALSE)</f>
        <v>Like Camera</v>
      </c>
      <c r="K2949" t="str">
        <f>VLOOKUP(D2949,Products!A:C,3,FALSE)</f>
        <v>Electronics</v>
      </c>
      <c r="L2949" t="str">
        <f>VLOOKUP(E2949,Stores!A:B,2,FALSE)</f>
        <v>MegaMart Peckmouth</v>
      </c>
      <c r="M2949">
        <f>VLOOKUP(D2949,Products!A:E,5,FALSE)</f>
        <v>1673.69</v>
      </c>
      <c r="N2949" s="5">
        <f t="shared" si="46"/>
        <v>1506.3210000000001</v>
      </c>
    </row>
    <row r="2950" spans="1:14" x14ac:dyDescent="0.3">
      <c r="A2950" t="s">
        <v>3806</v>
      </c>
      <c r="B2950" s="2">
        <v>45288</v>
      </c>
      <c r="C2950" t="s">
        <v>570</v>
      </c>
      <c r="D2950" t="s">
        <v>755</v>
      </c>
      <c r="E2950" t="s">
        <v>842</v>
      </c>
      <c r="F2950">
        <v>5</v>
      </c>
      <c r="G2950">
        <v>0.05</v>
      </c>
      <c r="H2950" t="s">
        <v>855</v>
      </c>
      <c r="I2950" t="str">
        <f>VLOOKUP(C2950,Customers!A:C,2,FALSE)&amp;" "&amp;VLOOKUP(C2950,Customers!A:C,3,FALSE)</f>
        <v>Thomas Chung</v>
      </c>
      <c r="J2950" t="str">
        <f>VLOOKUP(D2950,Products!A:C,2,FALSE)</f>
        <v>House Accessories</v>
      </c>
      <c r="K2950" t="str">
        <f>VLOOKUP(D2950,Products!A:C,3,FALSE)</f>
        <v>Fashion</v>
      </c>
      <c r="L2950" t="str">
        <f>VLOOKUP(E2950,Stores!A:B,2,FALSE)</f>
        <v>MegaMart Brianahaven</v>
      </c>
      <c r="M2950">
        <f>VLOOKUP(D2950,Products!A:E,5,FALSE)</f>
        <v>1858.75</v>
      </c>
      <c r="N2950" s="5">
        <f t="shared" si="46"/>
        <v>8829.0625</v>
      </c>
    </row>
    <row r="2951" spans="1:14" x14ac:dyDescent="0.3">
      <c r="A2951" t="s">
        <v>3807</v>
      </c>
      <c r="B2951" s="2">
        <v>45508</v>
      </c>
      <c r="C2951" t="s">
        <v>310</v>
      </c>
      <c r="D2951" t="s">
        <v>816</v>
      </c>
      <c r="E2951" t="s">
        <v>842</v>
      </c>
      <c r="F2951">
        <v>3</v>
      </c>
      <c r="G2951">
        <v>0.05</v>
      </c>
      <c r="H2951" t="s">
        <v>861</v>
      </c>
      <c r="I2951" t="str">
        <f>VLOOKUP(C2951,Customers!A:C,2,FALSE)&amp;" "&amp;VLOOKUP(C2951,Customers!A:C,3,FALSE)</f>
        <v>Amy Haley</v>
      </c>
      <c r="J2951" t="str">
        <f>VLOOKUP(D2951,Products!A:C,2,FALSE)</f>
        <v>Set Dairy</v>
      </c>
      <c r="K2951" t="str">
        <f>VLOOKUP(D2951,Products!A:C,3,FALSE)</f>
        <v>Groceries</v>
      </c>
      <c r="L2951" t="str">
        <f>VLOOKUP(E2951,Stores!A:B,2,FALSE)</f>
        <v>MegaMart Brianahaven</v>
      </c>
      <c r="M2951">
        <f>VLOOKUP(D2951,Products!A:E,5,FALSE)</f>
        <v>1879.08</v>
      </c>
      <c r="N2951" s="5">
        <f t="shared" si="46"/>
        <v>5355.3779999999997</v>
      </c>
    </row>
    <row r="2952" spans="1:14" x14ac:dyDescent="0.3">
      <c r="A2952" t="s">
        <v>3808</v>
      </c>
      <c r="B2952" s="2">
        <v>45311</v>
      </c>
      <c r="C2952" t="s">
        <v>551</v>
      </c>
      <c r="D2952" t="s">
        <v>802</v>
      </c>
      <c r="E2952" t="s">
        <v>846</v>
      </c>
      <c r="F2952">
        <v>1</v>
      </c>
      <c r="G2952">
        <v>0.1</v>
      </c>
      <c r="H2952" t="s">
        <v>865</v>
      </c>
      <c r="I2952" t="str">
        <f>VLOOKUP(C2952,Customers!A:C,2,FALSE)&amp;" "&amp;VLOOKUP(C2952,Customers!A:C,3,FALSE)</f>
        <v>Nancy Gordon</v>
      </c>
      <c r="J2952" t="str">
        <f>VLOOKUP(D2952,Products!A:C,2,FALSE)</f>
        <v>Stage Footwear</v>
      </c>
      <c r="K2952" t="str">
        <f>VLOOKUP(D2952,Products!A:C,3,FALSE)</f>
        <v>Fashion</v>
      </c>
      <c r="L2952" t="str">
        <f>VLOOKUP(E2952,Stores!A:B,2,FALSE)</f>
        <v>MegaMart Johnmouth</v>
      </c>
      <c r="M2952">
        <f>VLOOKUP(D2952,Products!A:E,5,FALSE)</f>
        <v>366.93</v>
      </c>
      <c r="N2952" s="5">
        <f t="shared" si="46"/>
        <v>330.23700000000002</v>
      </c>
    </row>
    <row r="2953" spans="1:14" x14ac:dyDescent="0.3">
      <c r="A2953" t="s">
        <v>3809</v>
      </c>
      <c r="B2953" s="2">
        <v>45768</v>
      </c>
      <c r="C2953" t="s">
        <v>666</v>
      </c>
      <c r="D2953" t="s">
        <v>792</v>
      </c>
      <c r="E2953" t="s">
        <v>835</v>
      </c>
      <c r="F2953">
        <v>5</v>
      </c>
      <c r="G2953">
        <v>0.1</v>
      </c>
      <c r="H2953" t="s">
        <v>861</v>
      </c>
      <c r="I2953" t="str">
        <f>VLOOKUP(C2953,Customers!A:C,2,FALSE)&amp;" "&amp;VLOOKUP(C2953,Customers!A:C,3,FALSE)</f>
        <v>Steve Flynn</v>
      </c>
      <c r="J2953" t="str">
        <f>VLOOKUP(D2953,Products!A:C,2,FALSE)</f>
        <v>Beat Accessories</v>
      </c>
      <c r="K2953" t="str">
        <f>VLOOKUP(D2953,Products!A:C,3,FALSE)</f>
        <v>Fashion</v>
      </c>
      <c r="L2953" t="str">
        <f>VLOOKUP(E2953,Stores!A:B,2,FALSE)</f>
        <v>MegaMart Peckmouth</v>
      </c>
      <c r="M2953">
        <f>VLOOKUP(D2953,Products!A:E,5,FALSE)</f>
        <v>1798.97</v>
      </c>
      <c r="N2953" s="5">
        <f t="shared" si="46"/>
        <v>8095.3650000000007</v>
      </c>
    </row>
    <row r="2954" spans="1:14" x14ac:dyDescent="0.3">
      <c r="A2954" t="s">
        <v>3810</v>
      </c>
      <c r="B2954" s="2">
        <v>45734</v>
      </c>
      <c r="C2954" t="s">
        <v>364</v>
      </c>
      <c r="D2954" t="s">
        <v>757</v>
      </c>
      <c r="E2954" t="s">
        <v>842</v>
      </c>
      <c r="F2954">
        <v>1</v>
      </c>
      <c r="G2954">
        <v>0.1</v>
      </c>
      <c r="H2954" t="s">
        <v>855</v>
      </c>
      <c r="I2954" t="str">
        <f>VLOOKUP(C2954,Customers!A:C,2,FALSE)&amp;" "&amp;VLOOKUP(C2954,Customers!A:C,3,FALSE)</f>
        <v>Evelyn Gray</v>
      </c>
      <c r="J2954" t="str">
        <f>VLOOKUP(D2954,Products!A:C,2,FALSE)</f>
        <v>Find Headphones</v>
      </c>
      <c r="K2954" t="str">
        <f>VLOOKUP(D2954,Products!A:C,3,FALSE)</f>
        <v>Electronics</v>
      </c>
      <c r="L2954" t="str">
        <f>VLOOKUP(E2954,Stores!A:B,2,FALSE)</f>
        <v>MegaMart Brianahaven</v>
      </c>
      <c r="M2954">
        <f>VLOOKUP(D2954,Products!A:E,5,FALSE)</f>
        <v>1246.1099999999999</v>
      </c>
      <c r="N2954" s="5">
        <f t="shared" si="46"/>
        <v>1121.499</v>
      </c>
    </row>
    <row r="2955" spans="1:14" x14ac:dyDescent="0.3">
      <c r="A2955" t="s">
        <v>3811</v>
      </c>
      <c r="B2955" s="2">
        <v>45384</v>
      </c>
      <c r="C2955" t="s">
        <v>206</v>
      </c>
      <c r="D2955" t="s">
        <v>766</v>
      </c>
      <c r="E2955" t="s">
        <v>835</v>
      </c>
      <c r="F2955">
        <v>3</v>
      </c>
      <c r="G2955">
        <v>0</v>
      </c>
      <c r="H2955" t="s">
        <v>865</v>
      </c>
      <c r="I2955" t="str">
        <f>VLOOKUP(C2955,Customers!A:C,2,FALSE)&amp;" "&amp;VLOOKUP(C2955,Customers!A:C,3,FALSE)</f>
        <v>Felicia Morgan</v>
      </c>
      <c r="J2955" t="str">
        <f>VLOOKUP(D2955,Products!A:C,2,FALSE)</f>
        <v>Firm Dairy</v>
      </c>
      <c r="K2955" t="str">
        <f>VLOOKUP(D2955,Products!A:C,3,FALSE)</f>
        <v>Groceries</v>
      </c>
      <c r="L2955" t="str">
        <f>VLOOKUP(E2955,Stores!A:B,2,FALSE)</f>
        <v>MegaMart Peckmouth</v>
      </c>
      <c r="M2955">
        <f>VLOOKUP(D2955,Products!A:E,5,FALSE)</f>
        <v>1227.24</v>
      </c>
      <c r="N2955" s="5">
        <f t="shared" si="46"/>
        <v>3681.7200000000003</v>
      </c>
    </row>
    <row r="2956" spans="1:14" x14ac:dyDescent="0.3">
      <c r="A2956" t="s">
        <v>3812</v>
      </c>
      <c r="B2956" s="2">
        <v>45301</v>
      </c>
      <c r="C2956" t="s">
        <v>596</v>
      </c>
      <c r="D2956" t="s">
        <v>747</v>
      </c>
      <c r="E2956" t="s">
        <v>842</v>
      </c>
      <c r="F2956">
        <v>1</v>
      </c>
      <c r="G2956">
        <v>0.1</v>
      </c>
      <c r="H2956" t="s">
        <v>858</v>
      </c>
      <c r="I2956" t="str">
        <f>VLOOKUP(C2956,Customers!A:C,2,FALSE)&amp;" "&amp;VLOOKUP(C2956,Customers!A:C,3,FALSE)</f>
        <v>Kimberly Lin</v>
      </c>
      <c r="J2956" t="str">
        <f>VLOOKUP(D2956,Products!A:C,2,FALSE)</f>
        <v>World Watches</v>
      </c>
      <c r="K2956" t="str">
        <f>VLOOKUP(D2956,Products!A:C,3,FALSE)</f>
        <v>Fashion</v>
      </c>
      <c r="L2956" t="str">
        <f>VLOOKUP(E2956,Stores!A:B,2,FALSE)</f>
        <v>MegaMart Brianahaven</v>
      </c>
      <c r="M2956">
        <f>VLOOKUP(D2956,Products!A:E,5,FALSE)</f>
        <v>1134.8</v>
      </c>
      <c r="N2956" s="5">
        <f t="shared" si="46"/>
        <v>1021.3199999999999</v>
      </c>
    </row>
    <row r="2957" spans="1:14" x14ac:dyDescent="0.3">
      <c r="A2957" t="s">
        <v>3813</v>
      </c>
      <c r="B2957" s="2">
        <v>45647</v>
      </c>
      <c r="C2957" t="s">
        <v>700</v>
      </c>
      <c r="D2957" t="s">
        <v>796</v>
      </c>
      <c r="E2957" t="s">
        <v>835</v>
      </c>
      <c r="F2957">
        <v>4</v>
      </c>
      <c r="G2957">
        <v>0.15</v>
      </c>
      <c r="H2957" t="s">
        <v>861</v>
      </c>
      <c r="I2957" t="str">
        <f>VLOOKUP(C2957,Customers!A:C,2,FALSE)&amp;" "&amp;VLOOKUP(C2957,Customers!A:C,3,FALSE)</f>
        <v>Juan Johnson</v>
      </c>
      <c r="J2957" t="str">
        <f>VLOOKUP(D2957,Products!A:C,2,FALSE)</f>
        <v>Chair Laptop</v>
      </c>
      <c r="K2957" t="str">
        <f>VLOOKUP(D2957,Products!A:C,3,FALSE)</f>
        <v>Electronics</v>
      </c>
      <c r="L2957" t="str">
        <f>VLOOKUP(E2957,Stores!A:B,2,FALSE)</f>
        <v>MegaMart Peckmouth</v>
      </c>
      <c r="M2957">
        <f>VLOOKUP(D2957,Products!A:E,5,FALSE)</f>
        <v>1562.43</v>
      </c>
      <c r="N2957" s="5">
        <f t="shared" si="46"/>
        <v>5312.2619999999997</v>
      </c>
    </row>
    <row r="2958" spans="1:14" x14ac:dyDescent="0.3">
      <c r="A2958" t="s">
        <v>3814</v>
      </c>
      <c r="B2958" s="2">
        <v>45501</v>
      </c>
      <c r="C2958" t="s">
        <v>551</v>
      </c>
      <c r="D2958" t="s">
        <v>761</v>
      </c>
      <c r="E2958" t="s">
        <v>842</v>
      </c>
      <c r="F2958">
        <v>3</v>
      </c>
      <c r="G2958">
        <v>0</v>
      </c>
      <c r="H2958" t="s">
        <v>855</v>
      </c>
      <c r="I2958" t="str">
        <f>VLOOKUP(C2958,Customers!A:C,2,FALSE)&amp;" "&amp;VLOOKUP(C2958,Customers!A:C,3,FALSE)</f>
        <v>Nancy Gordon</v>
      </c>
      <c r="J2958" t="str">
        <f>VLOOKUP(D2958,Products!A:C,2,FALSE)</f>
        <v>Traditional Laptop</v>
      </c>
      <c r="K2958" t="str">
        <f>VLOOKUP(D2958,Products!A:C,3,FALSE)</f>
        <v>Electronics</v>
      </c>
      <c r="L2958" t="str">
        <f>VLOOKUP(E2958,Stores!A:B,2,FALSE)</f>
        <v>MegaMart Brianahaven</v>
      </c>
      <c r="M2958">
        <f>VLOOKUP(D2958,Products!A:E,5,FALSE)</f>
        <v>1762.92</v>
      </c>
      <c r="N2958" s="5">
        <f t="shared" si="46"/>
        <v>5288.76</v>
      </c>
    </row>
    <row r="2959" spans="1:14" x14ac:dyDescent="0.3">
      <c r="A2959" t="s">
        <v>3815</v>
      </c>
      <c r="B2959" s="2">
        <v>45631</v>
      </c>
      <c r="C2959" t="s">
        <v>435</v>
      </c>
      <c r="D2959" t="s">
        <v>780</v>
      </c>
      <c r="E2959" t="s">
        <v>839</v>
      </c>
      <c r="F2959">
        <v>2</v>
      </c>
      <c r="G2959">
        <v>0.15</v>
      </c>
      <c r="H2959" t="s">
        <v>855</v>
      </c>
      <c r="I2959" t="str">
        <f>VLOOKUP(C2959,Customers!A:C,2,FALSE)&amp;" "&amp;VLOOKUP(C2959,Customers!A:C,3,FALSE)</f>
        <v>Timothy Beck</v>
      </c>
      <c r="J2959" t="str">
        <f>VLOOKUP(D2959,Products!A:C,2,FALSE)</f>
        <v>Hospital Smartphone</v>
      </c>
      <c r="K2959" t="str">
        <f>VLOOKUP(D2959,Products!A:C,3,FALSE)</f>
        <v>Electronics</v>
      </c>
      <c r="L2959" t="str">
        <f>VLOOKUP(E2959,Stores!A:B,2,FALSE)</f>
        <v>MegaMart New Michele</v>
      </c>
      <c r="M2959">
        <f>VLOOKUP(D2959,Products!A:E,5,FALSE)</f>
        <v>1272.23</v>
      </c>
      <c r="N2959" s="5">
        <f t="shared" si="46"/>
        <v>2162.7910000000002</v>
      </c>
    </row>
    <row r="2960" spans="1:14" x14ac:dyDescent="0.3">
      <c r="A2960" t="s">
        <v>3816</v>
      </c>
      <c r="B2960" s="2">
        <v>45861</v>
      </c>
      <c r="C2960" t="s">
        <v>163</v>
      </c>
      <c r="D2960" t="s">
        <v>794</v>
      </c>
      <c r="E2960" t="s">
        <v>846</v>
      </c>
      <c r="F2960">
        <v>2</v>
      </c>
      <c r="G2960">
        <v>0.1</v>
      </c>
      <c r="H2960" t="s">
        <v>865</v>
      </c>
      <c r="I2960" t="str">
        <f>VLOOKUP(C2960,Customers!A:C,2,FALSE)&amp;" "&amp;VLOOKUP(C2960,Customers!A:C,3,FALSE)</f>
        <v>Anna Andrews</v>
      </c>
      <c r="J2960" t="str">
        <f>VLOOKUP(D2960,Products!A:C,2,FALSE)</f>
        <v>Everything Laptop</v>
      </c>
      <c r="K2960" t="str">
        <f>VLOOKUP(D2960,Products!A:C,3,FALSE)</f>
        <v>Electronics</v>
      </c>
      <c r="L2960" t="str">
        <f>VLOOKUP(E2960,Stores!A:B,2,FALSE)</f>
        <v>MegaMart Johnmouth</v>
      </c>
      <c r="M2960">
        <f>VLOOKUP(D2960,Products!A:E,5,FALSE)</f>
        <v>428.05</v>
      </c>
      <c r="N2960" s="5">
        <f t="shared" si="46"/>
        <v>770.49</v>
      </c>
    </row>
    <row r="2961" spans="1:14" x14ac:dyDescent="0.3">
      <c r="A2961" t="s">
        <v>3817</v>
      </c>
      <c r="B2961" s="2">
        <v>45557</v>
      </c>
      <c r="C2961" t="s">
        <v>127</v>
      </c>
      <c r="D2961" t="s">
        <v>800</v>
      </c>
      <c r="E2961" t="s">
        <v>831</v>
      </c>
      <c r="F2961">
        <v>3</v>
      </c>
      <c r="G2961">
        <v>0.15</v>
      </c>
      <c r="H2961" t="s">
        <v>855</v>
      </c>
      <c r="I2961" t="str">
        <f>VLOOKUP(C2961,Customers!A:C,2,FALSE)&amp;" "&amp;VLOOKUP(C2961,Customers!A:C,3,FALSE)</f>
        <v>Valerie Macdonald</v>
      </c>
      <c r="J2961" t="str">
        <f>VLOOKUP(D2961,Products!A:C,2,FALSE)</f>
        <v>Book Television</v>
      </c>
      <c r="K2961" t="str">
        <f>VLOOKUP(D2961,Products!A:C,3,FALSE)</f>
        <v>Electronics</v>
      </c>
      <c r="L2961" t="str">
        <f>VLOOKUP(E2961,Stores!A:B,2,FALSE)</f>
        <v>MegaMart Jimenezborough</v>
      </c>
      <c r="M2961">
        <f>VLOOKUP(D2961,Products!A:E,5,FALSE)</f>
        <v>1952.65</v>
      </c>
      <c r="N2961" s="5">
        <f t="shared" si="46"/>
        <v>4979.2575000000006</v>
      </c>
    </row>
    <row r="2962" spans="1:14" x14ac:dyDescent="0.3">
      <c r="A2962" t="s">
        <v>3818</v>
      </c>
      <c r="B2962" s="2">
        <v>45629</v>
      </c>
      <c r="C2962" t="s">
        <v>144</v>
      </c>
      <c r="D2962" t="s">
        <v>798</v>
      </c>
      <c r="E2962" t="s">
        <v>839</v>
      </c>
      <c r="F2962">
        <v>4</v>
      </c>
      <c r="G2962">
        <v>0</v>
      </c>
      <c r="H2962" t="s">
        <v>858</v>
      </c>
      <c r="I2962" t="str">
        <f>VLOOKUP(C2962,Customers!A:C,2,FALSE)&amp;" "&amp;VLOOKUP(C2962,Customers!A:C,3,FALSE)</f>
        <v>Miranda Nelson</v>
      </c>
      <c r="J2962" t="str">
        <f>VLOOKUP(D2962,Products!A:C,2,FALSE)</f>
        <v>New Watches</v>
      </c>
      <c r="K2962" t="str">
        <f>VLOOKUP(D2962,Products!A:C,3,FALSE)</f>
        <v>Fashion</v>
      </c>
      <c r="L2962" t="str">
        <f>VLOOKUP(E2962,Stores!A:B,2,FALSE)</f>
        <v>MegaMart New Michele</v>
      </c>
      <c r="M2962">
        <f>VLOOKUP(D2962,Products!A:E,5,FALSE)</f>
        <v>1501.46</v>
      </c>
      <c r="N2962" s="5">
        <f t="shared" si="46"/>
        <v>6005.84</v>
      </c>
    </row>
    <row r="2963" spans="1:14" x14ac:dyDescent="0.3">
      <c r="A2963" t="s">
        <v>3819</v>
      </c>
      <c r="B2963" s="2">
        <v>45545</v>
      </c>
      <c r="C2963" t="s">
        <v>593</v>
      </c>
      <c r="D2963" t="s">
        <v>802</v>
      </c>
      <c r="E2963" t="s">
        <v>839</v>
      </c>
      <c r="F2963">
        <v>4</v>
      </c>
      <c r="G2963">
        <v>0.05</v>
      </c>
      <c r="H2963" t="s">
        <v>855</v>
      </c>
      <c r="I2963" t="str">
        <f>VLOOKUP(C2963,Customers!A:C,2,FALSE)&amp;" "&amp;VLOOKUP(C2963,Customers!A:C,3,FALSE)</f>
        <v>Meagan Ali</v>
      </c>
      <c r="J2963" t="str">
        <f>VLOOKUP(D2963,Products!A:C,2,FALSE)</f>
        <v>Stage Footwear</v>
      </c>
      <c r="K2963" t="str">
        <f>VLOOKUP(D2963,Products!A:C,3,FALSE)</f>
        <v>Fashion</v>
      </c>
      <c r="L2963" t="str">
        <f>VLOOKUP(E2963,Stores!A:B,2,FALSE)</f>
        <v>MegaMart New Michele</v>
      </c>
      <c r="M2963">
        <f>VLOOKUP(D2963,Products!A:E,5,FALSE)</f>
        <v>366.93</v>
      </c>
      <c r="N2963" s="5">
        <f t="shared" si="46"/>
        <v>1394.3340000000001</v>
      </c>
    </row>
    <row r="2964" spans="1:14" x14ac:dyDescent="0.3">
      <c r="A2964" t="s">
        <v>3820</v>
      </c>
      <c r="B2964" s="2">
        <v>45796</v>
      </c>
      <c r="C2964" t="s">
        <v>563</v>
      </c>
      <c r="D2964" t="s">
        <v>780</v>
      </c>
      <c r="E2964" t="s">
        <v>831</v>
      </c>
      <c r="F2964">
        <v>3</v>
      </c>
      <c r="G2964">
        <v>0.1</v>
      </c>
      <c r="H2964" t="s">
        <v>865</v>
      </c>
      <c r="I2964" t="str">
        <f>VLOOKUP(C2964,Customers!A:C,2,FALSE)&amp;" "&amp;VLOOKUP(C2964,Customers!A:C,3,FALSE)</f>
        <v>Connie Terry</v>
      </c>
      <c r="J2964" t="str">
        <f>VLOOKUP(D2964,Products!A:C,2,FALSE)</f>
        <v>Hospital Smartphone</v>
      </c>
      <c r="K2964" t="str">
        <f>VLOOKUP(D2964,Products!A:C,3,FALSE)</f>
        <v>Electronics</v>
      </c>
      <c r="L2964" t="str">
        <f>VLOOKUP(E2964,Stores!A:B,2,FALSE)</f>
        <v>MegaMart Jimenezborough</v>
      </c>
      <c r="M2964">
        <f>VLOOKUP(D2964,Products!A:E,5,FALSE)</f>
        <v>1272.23</v>
      </c>
      <c r="N2964" s="5">
        <f t="shared" si="46"/>
        <v>3435.0210000000002</v>
      </c>
    </row>
    <row r="2965" spans="1:14" x14ac:dyDescent="0.3">
      <c r="A2965" t="s">
        <v>3821</v>
      </c>
      <c r="B2965" s="2">
        <v>45397</v>
      </c>
      <c r="C2965" t="s">
        <v>480</v>
      </c>
      <c r="D2965" t="s">
        <v>759</v>
      </c>
      <c r="E2965" t="s">
        <v>831</v>
      </c>
      <c r="F2965">
        <v>2</v>
      </c>
      <c r="G2965">
        <v>0.15</v>
      </c>
      <c r="H2965" t="s">
        <v>865</v>
      </c>
      <c r="I2965" t="str">
        <f>VLOOKUP(C2965,Customers!A:C,2,FALSE)&amp;" "&amp;VLOOKUP(C2965,Customers!A:C,3,FALSE)</f>
        <v>Denise Jackson</v>
      </c>
      <c r="J2965" t="str">
        <f>VLOOKUP(D2965,Products!A:C,2,FALSE)</f>
        <v>Democratic Smartphone</v>
      </c>
      <c r="K2965" t="str">
        <f>VLOOKUP(D2965,Products!A:C,3,FALSE)</f>
        <v>Electronics</v>
      </c>
      <c r="L2965" t="str">
        <f>VLOOKUP(E2965,Stores!A:B,2,FALSE)</f>
        <v>MegaMart Jimenezborough</v>
      </c>
      <c r="M2965">
        <f>VLOOKUP(D2965,Products!A:E,5,FALSE)</f>
        <v>1079.8900000000001</v>
      </c>
      <c r="N2965" s="5">
        <f t="shared" si="46"/>
        <v>1835.8130000000001</v>
      </c>
    </row>
    <row r="2966" spans="1:14" x14ac:dyDescent="0.3">
      <c r="A2966" t="s">
        <v>3822</v>
      </c>
      <c r="B2966" s="2">
        <v>45636</v>
      </c>
      <c r="C2966" t="s">
        <v>74</v>
      </c>
      <c r="D2966" t="s">
        <v>816</v>
      </c>
      <c r="E2966" t="s">
        <v>835</v>
      </c>
      <c r="F2966">
        <v>2</v>
      </c>
      <c r="G2966">
        <v>0</v>
      </c>
      <c r="H2966" t="s">
        <v>861</v>
      </c>
      <c r="I2966" t="str">
        <f>VLOOKUP(C2966,Customers!A:C,2,FALSE)&amp;" "&amp;VLOOKUP(C2966,Customers!A:C,3,FALSE)</f>
        <v>Breanna Davis</v>
      </c>
      <c r="J2966" t="str">
        <f>VLOOKUP(D2966,Products!A:C,2,FALSE)</f>
        <v>Set Dairy</v>
      </c>
      <c r="K2966" t="str">
        <f>VLOOKUP(D2966,Products!A:C,3,FALSE)</f>
        <v>Groceries</v>
      </c>
      <c r="L2966" t="str">
        <f>VLOOKUP(E2966,Stores!A:B,2,FALSE)</f>
        <v>MegaMart Peckmouth</v>
      </c>
      <c r="M2966">
        <f>VLOOKUP(D2966,Products!A:E,5,FALSE)</f>
        <v>1879.08</v>
      </c>
      <c r="N2966" s="5">
        <f t="shared" si="46"/>
        <v>3758.16</v>
      </c>
    </row>
    <row r="2967" spans="1:14" x14ac:dyDescent="0.3">
      <c r="A2967" t="s">
        <v>3823</v>
      </c>
      <c r="B2967" s="2">
        <v>45876</v>
      </c>
      <c r="C2967" t="s">
        <v>647</v>
      </c>
      <c r="D2967" t="s">
        <v>747</v>
      </c>
      <c r="E2967" t="s">
        <v>835</v>
      </c>
      <c r="F2967">
        <v>1</v>
      </c>
      <c r="G2967">
        <v>0.1</v>
      </c>
      <c r="H2967" t="s">
        <v>855</v>
      </c>
      <c r="I2967" t="str">
        <f>VLOOKUP(C2967,Customers!A:C,2,FALSE)&amp;" "&amp;VLOOKUP(C2967,Customers!A:C,3,FALSE)</f>
        <v>Mary Dawson</v>
      </c>
      <c r="J2967" t="str">
        <f>VLOOKUP(D2967,Products!A:C,2,FALSE)</f>
        <v>World Watches</v>
      </c>
      <c r="K2967" t="str">
        <f>VLOOKUP(D2967,Products!A:C,3,FALSE)</f>
        <v>Fashion</v>
      </c>
      <c r="L2967" t="str">
        <f>VLOOKUP(E2967,Stores!A:B,2,FALSE)</f>
        <v>MegaMart Peckmouth</v>
      </c>
      <c r="M2967">
        <f>VLOOKUP(D2967,Products!A:E,5,FALSE)</f>
        <v>1134.8</v>
      </c>
      <c r="N2967" s="5">
        <f t="shared" si="46"/>
        <v>1021.3199999999999</v>
      </c>
    </row>
    <row r="2968" spans="1:14" x14ac:dyDescent="0.3">
      <c r="A2968" t="s">
        <v>3824</v>
      </c>
      <c r="B2968" s="2">
        <v>45559</v>
      </c>
      <c r="C2968" t="s">
        <v>327</v>
      </c>
      <c r="D2968" t="s">
        <v>796</v>
      </c>
      <c r="E2968" t="s">
        <v>831</v>
      </c>
      <c r="F2968">
        <v>4</v>
      </c>
      <c r="G2968">
        <v>0.1</v>
      </c>
      <c r="H2968" t="s">
        <v>865</v>
      </c>
      <c r="I2968" t="str">
        <f>VLOOKUP(C2968,Customers!A:C,2,FALSE)&amp;" "&amp;VLOOKUP(C2968,Customers!A:C,3,FALSE)</f>
        <v>Laurie Mason</v>
      </c>
      <c r="J2968" t="str">
        <f>VLOOKUP(D2968,Products!A:C,2,FALSE)</f>
        <v>Chair Laptop</v>
      </c>
      <c r="K2968" t="str">
        <f>VLOOKUP(D2968,Products!A:C,3,FALSE)</f>
        <v>Electronics</v>
      </c>
      <c r="L2968" t="str">
        <f>VLOOKUP(E2968,Stores!A:B,2,FALSE)</f>
        <v>MegaMart Jimenezborough</v>
      </c>
      <c r="M2968">
        <f>VLOOKUP(D2968,Products!A:E,5,FALSE)</f>
        <v>1562.43</v>
      </c>
      <c r="N2968" s="5">
        <f t="shared" si="46"/>
        <v>5624.7480000000005</v>
      </c>
    </row>
    <row r="2969" spans="1:14" x14ac:dyDescent="0.3">
      <c r="A2969" t="s">
        <v>3825</v>
      </c>
      <c r="B2969" s="2">
        <v>45264</v>
      </c>
      <c r="C2969" t="s">
        <v>467</v>
      </c>
      <c r="D2969" t="s">
        <v>784</v>
      </c>
      <c r="E2969" t="s">
        <v>842</v>
      </c>
      <c r="F2969">
        <v>5</v>
      </c>
      <c r="G2969">
        <v>0</v>
      </c>
      <c r="H2969" t="s">
        <v>858</v>
      </c>
      <c r="I2969" t="str">
        <f>VLOOKUP(C2969,Customers!A:C,2,FALSE)&amp;" "&amp;VLOOKUP(C2969,Customers!A:C,3,FALSE)</f>
        <v>John Allen</v>
      </c>
      <c r="J2969" t="str">
        <f>VLOOKUP(D2969,Products!A:C,2,FALSE)</f>
        <v>Road Clothing</v>
      </c>
      <c r="K2969" t="str">
        <f>VLOOKUP(D2969,Products!A:C,3,FALSE)</f>
        <v>Fashion</v>
      </c>
      <c r="L2969" t="str">
        <f>VLOOKUP(E2969,Stores!A:B,2,FALSE)</f>
        <v>MegaMart Brianahaven</v>
      </c>
      <c r="M2969">
        <f>VLOOKUP(D2969,Products!A:E,5,FALSE)</f>
        <v>1485.05</v>
      </c>
      <c r="N2969" s="5">
        <f t="shared" si="46"/>
        <v>7425.25</v>
      </c>
    </row>
    <row r="2970" spans="1:14" x14ac:dyDescent="0.3">
      <c r="A2970" t="s">
        <v>3826</v>
      </c>
      <c r="B2970" s="2">
        <v>45543</v>
      </c>
      <c r="C2970" t="s">
        <v>589</v>
      </c>
      <c r="D2970" t="s">
        <v>794</v>
      </c>
      <c r="E2970" t="s">
        <v>842</v>
      </c>
      <c r="F2970">
        <v>2</v>
      </c>
      <c r="G2970">
        <v>0</v>
      </c>
      <c r="H2970" t="s">
        <v>861</v>
      </c>
      <c r="I2970" t="str">
        <f>VLOOKUP(C2970,Customers!A:C,2,FALSE)&amp;" "&amp;VLOOKUP(C2970,Customers!A:C,3,FALSE)</f>
        <v>Tanya Mueller</v>
      </c>
      <c r="J2970" t="str">
        <f>VLOOKUP(D2970,Products!A:C,2,FALSE)</f>
        <v>Everything Laptop</v>
      </c>
      <c r="K2970" t="str">
        <f>VLOOKUP(D2970,Products!A:C,3,FALSE)</f>
        <v>Electronics</v>
      </c>
      <c r="L2970" t="str">
        <f>VLOOKUP(E2970,Stores!A:B,2,FALSE)</f>
        <v>MegaMart Brianahaven</v>
      </c>
      <c r="M2970">
        <f>VLOOKUP(D2970,Products!A:E,5,FALSE)</f>
        <v>428.05</v>
      </c>
      <c r="N2970" s="5">
        <f t="shared" si="46"/>
        <v>856.1</v>
      </c>
    </row>
    <row r="2971" spans="1:14" x14ac:dyDescent="0.3">
      <c r="A2971" t="s">
        <v>3827</v>
      </c>
      <c r="B2971" s="2">
        <v>45206</v>
      </c>
      <c r="C2971" t="s">
        <v>429</v>
      </c>
      <c r="D2971" t="s">
        <v>788</v>
      </c>
      <c r="E2971" t="s">
        <v>835</v>
      </c>
      <c r="F2971">
        <v>1</v>
      </c>
      <c r="G2971">
        <v>0.1</v>
      </c>
      <c r="H2971" t="s">
        <v>861</v>
      </c>
      <c r="I2971" t="str">
        <f>VLOOKUP(C2971,Customers!A:C,2,FALSE)&amp;" "&amp;VLOOKUP(C2971,Customers!A:C,3,FALSE)</f>
        <v>Jose Smith</v>
      </c>
      <c r="J2971" t="str">
        <f>VLOOKUP(D2971,Products!A:C,2,FALSE)</f>
        <v>Foot Snacks</v>
      </c>
      <c r="K2971" t="str">
        <f>VLOOKUP(D2971,Products!A:C,3,FALSE)</f>
        <v>Groceries</v>
      </c>
      <c r="L2971" t="str">
        <f>VLOOKUP(E2971,Stores!A:B,2,FALSE)</f>
        <v>MegaMart Peckmouth</v>
      </c>
      <c r="M2971">
        <f>VLOOKUP(D2971,Products!A:E,5,FALSE)</f>
        <v>1095.72</v>
      </c>
      <c r="N2971" s="5">
        <f t="shared" si="46"/>
        <v>986.14800000000002</v>
      </c>
    </row>
    <row r="2972" spans="1:14" x14ac:dyDescent="0.3">
      <c r="A2972" t="s">
        <v>3828</v>
      </c>
      <c r="B2972" s="2">
        <v>45750</v>
      </c>
      <c r="C2972" t="s">
        <v>238</v>
      </c>
      <c r="D2972" t="s">
        <v>820</v>
      </c>
      <c r="E2972" t="s">
        <v>831</v>
      </c>
      <c r="F2972">
        <v>5</v>
      </c>
      <c r="G2972">
        <v>0</v>
      </c>
      <c r="H2972" t="s">
        <v>865</v>
      </c>
      <c r="I2972" t="str">
        <f>VLOOKUP(C2972,Customers!A:C,2,FALSE)&amp;" "&amp;VLOOKUP(C2972,Customers!A:C,3,FALSE)</f>
        <v>Susan Salinas</v>
      </c>
      <c r="J2972" t="str">
        <f>VLOOKUP(D2972,Products!A:C,2,FALSE)</f>
        <v>Or Smartphone</v>
      </c>
      <c r="K2972" t="str">
        <f>VLOOKUP(D2972,Products!A:C,3,FALSE)</f>
        <v>Electronics</v>
      </c>
      <c r="L2972" t="str">
        <f>VLOOKUP(E2972,Stores!A:B,2,FALSE)</f>
        <v>MegaMart Jimenezborough</v>
      </c>
      <c r="M2972">
        <f>VLOOKUP(D2972,Products!A:E,5,FALSE)</f>
        <v>1197.18</v>
      </c>
      <c r="N2972" s="5">
        <f t="shared" si="46"/>
        <v>5985.9000000000005</v>
      </c>
    </row>
    <row r="2973" spans="1:14" x14ac:dyDescent="0.3">
      <c r="A2973" t="s">
        <v>3829</v>
      </c>
      <c r="B2973" s="2">
        <v>45621</v>
      </c>
      <c r="C2973" t="s">
        <v>589</v>
      </c>
      <c r="D2973" t="s">
        <v>736</v>
      </c>
      <c r="E2973" t="s">
        <v>835</v>
      </c>
      <c r="F2973">
        <v>4</v>
      </c>
      <c r="G2973">
        <v>0</v>
      </c>
      <c r="H2973" t="s">
        <v>865</v>
      </c>
      <c r="I2973" t="str">
        <f>VLOOKUP(C2973,Customers!A:C,2,FALSE)&amp;" "&amp;VLOOKUP(C2973,Customers!A:C,3,FALSE)</f>
        <v>Tanya Mueller</v>
      </c>
      <c r="J2973" t="str">
        <f>VLOOKUP(D2973,Products!A:C,2,FALSE)</f>
        <v>Us Snacks</v>
      </c>
      <c r="K2973" t="str">
        <f>VLOOKUP(D2973,Products!A:C,3,FALSE)</f>
        <v>Groceries</v>
      </c>
      <c r="L2973" t="str">
        <f>VLOOKUP(E2973,Stores!A:B,2,FALSE)</f>
        <v>MegaMart Peckmouth</v>
      </c>
      <c r="M2973">
        <f>VLOOKUP(D2973,Products!A:E,5,FALSE)</f>
        <v>123.19</v>
      </c>
      <c r="N2973" s="5">
        <f t="shared" si="46"/>
        <v>492.76</v>
      </c>
    </row>
    <row r="2974" spans="1:14" x14ac:dyDescent="0.3">
      <c r="A2974" t="s">
        <v>3830</v>
      </c>
      <c r="B2974" s="2">
        <v>45345</v>
      </c>
      <c r="C2974" t="s">
        <v>221</v>
      </c>
      <c r="D2974" t="s">
        <v>757</v>
      </c>
      <c r="E2974" t="s">
        <v>835</v>
      </c>
      <c r="F2974">
        <v>2</v>
      </c>
      <c r="G2974">
        <v>0.05</v>
      </c>
      <c r="H2974" t="s">
        <v>855</v>
      </c>
      <c r="I2974" t="str">
        <f>VLOOKUP(C2974,Customers!A:C,2,FALSE)&amp;" "&amp;VLOOKUP(C2974,Customers!A:C,3,FALSE)</f>
        <v>Julie Gibson</v>
      </c>
      <c r="J2974" t="str">
        <f>VLOOKUP(D2974,Products!A:C,2,FALSE)</f>
        <v>Find Headphones</v>
      </c>
      <c r="K2974" t="str">
        <f>VLOOKUP(D2974,Products!A:C,3,FALSE)</f>
        <v>Electronics</v>
      </c>
      <c r="L2974" t="str">
        <f>VLOOKUP(E2974,Stores!A:B,2,FALSE)</f>
        <v>MegaMart Peckmouth</v>
      </c>
      <c r="M2974">
        <f>VLOOKUP(D2974,Products!A:E,5,FALSE)</f>
        <v>1246.1099999999999</v>
      </c>
      <c r="N2974" s="5">
        <f t="shared" si="46"/>
        <v>2367.6089999999999</v>
      </c>
    </row>
    <row r="2975" spans="1:14" x14ac:dyDescent="0.3">
      <c r="A2975" t="s">
        <v>3831</v>
      </c>
      <c r="B2975" s="2">
        <v>45214</v>
      </c>
      <c r="C2975" t="s">
        <v>313</v>
      </c>
      <c r="D2975" t="s">
        <v>711</v>
      </c>
      <c r="E2975" t="s">
        <v>842</v>
      </c>
      <c r="F2975">
        <v>4</v>
      </c>
      <c r="G2975">
        <v>0</v>
      </c>
      <c r="H2975" t="s">
        <v>855</v>
      </c>
      <c r="I2975" t="str">
        <f>VLOOKUP(C2975,Customers!A:C,2,FALSE)&amp;" "&amp;VLOOKUP(C2975,Customers!A:C,3,FALSE)</f>
        <v>Jeremy Robles</v>
      </c>
      <c r="J2975" t="str">
        <f>VLOOKUP(D2975,Products!A:C,2,FALSE)</f>
        <v>Like Camera</v>
      </c>
      <c r="K2975" t="str">
        <f>VLOOKUP(D2975,Products!A:C,3,FALSE)</f>
        <v>Electronics</v>
      </c>
      <c r="L2975" t="str">
        <f>VLOOKUP(E2975,Stores!A:B,2,FALSE)</f>
        <v>MegaMart Brianahaven</v>
      </c>
      <c r="M2975">
        <f>VLOOKUP(D2975,Products!A:E,5,FALSE)</f>
        <v>1673.69</v>
      </c>
      <c r="N2975" s="5">
        <f t="shared" si="46"/>
        <v>6694.76</v>
      </c>
    </row>
    <row r="2976" spans="1:14" x14ac:dyDescent="0.3">
      <c r="A2976" t="s">
        <v>3832</v>
      </c>
      <c r="B2976" s="2">
        <v>45525</v>
      </c>
      <c r="C2976" t="s">
        <v>467</v>
      </c>
      <c r="D2976" t="s">
        <v>742</v>
      </c>
      <c r="E2976" t="s">
        <v>831</v>
      </c>
      <c r="F2976">
        <v>4</v>
      </c>
      <c r="G2976">
        <v>0</v>
      </c>
      <c r="H2976" t="s">
        <v>865</v>
      </c>
      <c r="I2976" t="str">
        <f>VLOOKUP(C2976,Customers!A:C,2,FALSE)&amp;" "&amp;VLOOKUP(C2976,Customers!A:C,3,FALSE)</f>
        <v>John Allen</v>
      </c>
      <c r="J2976" t="str">
        <f>VLOOKUP(D2976,Products!A:C,2,FALSE)</f>
        <v>Either Headphones</v>
      </c>
      <c r="K2976" t="str">
        <f>VLOOKUP(D2976,Products!A:C,3,FALSE)</f>
        <v>Electronics</v>
      </c>
      <c r="L2976" t="str">
        <f>VLOOKUP(E2976,Stores!A:B,2,FALSE)</f>
        <v>MegaMart Jimenezborough</v>
      </c>
      <c r="M2976">
        <f>VLOOKUP(D2976,Products!A:E,5,FALSE)</f>
        <v>248.57</v>
      </c>
      <c r="N2976" s="5">
        <f t="shared" si="46"/>
        <v>994.28</v>
      </c>
    </row>
    <row r="2977" spans="1:14" x14ac:dyDescent="0.3">
      <c r="A2977" t="s">
        <v>3833</v>
      </c>
      <c r="B2977" s="2">
        <v>45758</v>
      </c>
      <c r="C2977" t="s">
        <v>202</v>
      </c>
      <c r="D2977" t="s">
        <v>715</v>
      </c>
      <c r="E2977" t="s">
        <v>846</v>
      </c>
      <c r="F2977">
        <v>1</v>
      </c>
      <c r="G2977">
        <v>0.05</v>
      </c>
      <c r="H2977" t="s">
        <v>861</v>
      </c>
      <c r="I2977" t="str">
        <f>VLOOKUP(C2977,Customers!A:C,2,FALSE)&amp;" "&amp;VLOOKUP(C2977,Customers!A:C,3,FALSE)</f>
        <v>Billy Hernandez</v>
      </c>
      <c r="J2977" t="str">
        <f>VLOOKUP(D2977,Products!A:C,2,FALSE)</f>
        <v>Audience Television</v>
      </c>
      <c r="K2977" t="str">
        <f>VLOOKUP(D2977,Products!A:C,3,FALSE)</f>
        <v>Electronics</v>
      </c>
      <c r="L2977" t="str">
        <f>VLOOKUP(E2977,Stores!A:B,2,FALSE)</f>
        <v>MegaMart Johnmouth</v>
      </c>
      <c r="M2977">
        <f>VLOOKUP(D2977,Products!A:E,5,FALSE)</f>
        <v>818.76</v>
      </c>
      <c r="N2977" s="5">
        <f t="shared" si="46"/>
        <v>777.822</v>
      </c>
    </row>
    <row r="2978" spans="1:14" x14ac:dyDescent="0.3">
      <c r="A2978" t="s">
        <v>3834</v>
      </c>
      <c r="B2978" s="2">
        <v>45505</v>
      </c>
      <c r="C2978" t="s">
        <v>542</v>
      </c>
      <c r="D2978" t="s">
        <v>745</v>
      </c>
      <c r="E2978" t="s">
        <v>842</v>
      </c>
      <c r="F2978">
        <v>1</v>
      </c>
      <c r="G2978">
        <v>0.1</v>
      </c>
      <c r="H2978" t="s">
        <v>865</v>
      </c>
      <c r="I2978" t="str">
        <f>VLOOKUP(C2978,Customers!A:C,2,FALSE)&amp;" "&amp;VLOOKUP(C2978,Customers!A:C,3,FALSE)</f>
        <v>Francis Hernandez</v>
      </c>
      <c r="J2978" t="str">
        <f>VLOOKUP(D2978,Products!A:C,2,FALSE)</f>
        <v>Above Camera</v>
      </c>
      <c r="K2978" t="str">
        <f>VLOOKUP(D2978,Products!A:C,3,FALSE)</f>
        <v>Electronics</v>
      </c>
      <c r="L2978" t="str">
        <f>VLOOKUP(E2978,Stores!A:B,2,FALSE)</f>
        <v>MegaMart Brianahaven</v>
      </c>
      <c r="M2978">
        <f>VLOOKUP(D2978,Products!A:E,5,FALSE)</f>
        <v>1193.0899999999999</v>
      </c>
      <c r="N2978" s="5">
        <f t="shared" si="46"/>
        <v>1073.7809999999999</v>
      </c>
    </row>
    <row r="2979" spans="1:14" x14ac:dyDescent="0.3">
      <c r="A2979" t="s">
        <v>3835</v>
      </c>
      <c r="B2979" s="2">
        <v>45782</v>
      </c>
      <c r="C2979" t="s">
        <v>539</v>
      </c>
      <c r="D2979" t="s">
        <v>774</v>
      </c>
      <c r="E2979" t="s">
        <v>839</v>
      </c>
      <c r="F2979">
        <v>5</v>
      </c>
      <c r="G2979">
        <v>0.05</v>
      </c>
      <c r="H2979" t="s">
        <v>858</v>
      </c>
      <c r="I2979" t="str">
        <f>VLOOKUP(C2979,Customers!A:C,2,FALSE)&amp;" "&amp;VLOOKUP(C2979,Customers!A:C,3,FALSE)</f>
        <v>Melissa Torres</v>
      </c>
      <c r="J2979" t="str">
        <f>VLOOKUP(D2979,Products!A:C,2,FALSE)</f>
        <v>Him Smartphone</v>
      </c>
      <c r="K2979" t="str">
        <f>VLOOKUP(D2979,Products!A:C,3,FALSE)</f>
        <v>Electronics</v>
      </c>
      <c r="L2979" t="str">
        <f>VLOOKUP(E2979,Stores!A:B,2,FALSE)</f>
        <v>MegaMart New Michele</v>
      </c>
      <c r="M2979">
        <f>VLOOKUP(D2979,Products!A:E,5,FALSE)</f>
        <v>1487.41</v>
      </c>
      <c r="N2979" s="5">
        <f t="shared" si="46"/>
        <v>7065.1975000000002</v>
      </c>
    </row>
    <row r="2980" spans="1:14" x14ac:dyDescent="0.3">
      <c r="A2980" t="s">
        <v>3836</v>
      </c>
      <c r="B2980" s="2">
        <v>45454</v>
      </c>
      <c r="C2980" t="s">
        <v>213</v>
      </c>
      <c r="D2980" t="s">
        <v>732</v>
      </c>
      <c r="E2980" t="s">
        <v>835</v>
      </c>
      <c r="F2980">
        <v>5</v>
      </c>
      <c r="G2980">
        <v>0</v>
      </c>
      <c r="H2980" t="s">
        <v>855</v>
      </c>
      <c r="I2980" t="str">
        <f>VLOOKUP(C2980,Customers!A:C,2,FALSE)&amp;" "&amp;VLOOKUP(C2980,Customers!A:C,3,FALSE)</f>
        <v>Deborah Moody</v>
      </c>
      <c r="J2980" t="str">
        <f>VLOOKUP(D2980,Products!A:C,2,FALSE)</f>
        <v>Understand Camera</v>
      </c>
      <c r="K2980" t="str">
        <f>VLOOKUP(D2980,Products!A:C,3,FALSE)</f>
        <v>Electronics</v>
      </c>
      <c r="L2980" t="str">
        <f>VLOOKUP(E2980,Stores!A:B,2,FALSE)</f>
        <v>MegaMart Peckmouth</v>
      </c>
      <c r="M2980">
        <f>VLOOKUP(D2980,Products!A:E,5,FALSE)</f>
        <v>1474.12</v>
      </c>
      <c r="N2980" s="5">
        <f t="shared" si="46"/>
        <v>7370.5999999999995</v>
      </c>
    </row>
    <row r="2981" spans="1:14" x14ac:dyDescent="0.3">
      <c r="A2981" t="s">
        <v>3837</v>
      </c>
      <c r="B2981" s="2">
        <v>45212</v>
      </c>
      <c r="C2981" t="s">
        <v>262</v>
      </c>
      <c r="D2981" t="s">
        <v>792</v>
      </c>
      <c r="E2981" t="s">
        <v>846</v>
      </c>
      <c r="F2981">
        <v>3</v>
      </c>
      <c r="G2981">
        <v>0.15</v>
      </c>
      <c r="H2981" t="s">
        <v>861</v>
      </c>
      <c r="I2981" t="str">
        <f>VLOOKUP(C2981,Customers!A:C,2,FALSE)&amp;" "&amp;VLOOKUP(C2981,Customers!A:C,3,FALSE)</f>
        <v>Gabriel Daugherty</v>
      </c>
      <c r="J2981" t="str">
        <f>VLOOKUP(D2981,Products!A:C,2,FALSE)</f>
        <v>Beat Accessories</v>
      </c>
      <c r="K2981" t="str">
        <f>VLOOKUP(D2981,Products!A:C,3,FALSE)</f>
        <v>Fashion</v>
      </c>
      <c r="L2981" t="str">
        <f>VLOOKUP(E2981,Stores!A:B,2,FALSE)</f>
        <v>MegaMart Johnmouth</v>
      </c>
      <c r="M2981">
        <f>VLOOKUP(D2981,Products!A:E,5,FALSE)</f>
        <v>1798.97</v>
      </c>
      <c r="N2981" s="5">
        <f t="shared" si="46"/>
        <v>4587.3734999999997</v>
      </c>
    </row>
    <row r="2982" spans="1:14" x14ac:dyDescent="0.3">
      <c r="A2982" t="s">
        <v>3838</v>
      </c>
      <c r="B2982" s="2">
        <v>45515</v>
      </c>
      <c r="C2982" t="s">
        <v>202</v>
      </c>
      <c r="D2982" t="s">
        <v>808</v>
      </c>
      <c r="E2982" t="s">
        <v>846</v>
      </c>
      <c r="F2982">
        <v>3</v>
      </c>
      <c r="G2982">
        <v>0.1</v>
      </c>
      <c r="H2982" t="s">
        <v>861</v>
      </c>
      <c r="I2982" t="str">
        <f>VLOOKUP(C2982,Customers!A:C,2,FALSE)&amp;" "&amp;VLOOKUP(C2982,Customers!A:C,3,FALSE)</f>
        <v>Billy Hernandez</v>
      </c>
      <c r="J2982" t="str">
        <f>VLOOKUP(D2982,Products!A:C,2,FALSE)</f>
        <v>Present Television</v>
      </c>
      <c r="K2982" t="str">
        <f>VLOOKUP(D2982,Products!A:C,3,FALSE)</f>
        <v>Electronics</v>
      </c>
      <c r="L2982" t="str">
        <f>VLOOKUP(E2982,Stores!A:B,2,FALSE)</f>
        <v>MegaMart Johnmouth</v>
      </c>
      <c r="M2982">
        <f>VLOOKUP(D2982,Products!A:E,5,FALSE)</f>
        <v>1635.01</v>
      </c>
      <c r="N2982" s="5">
        <f t="shared" si="46"/>
        <v>4414.527</v>
      </c>
    </row>
    <row r="2983" spans="1:14" x14ac:dyDescent="0.3">
      <c r="A2983" t="s">
        <v>3839</v>
      </c>
      <c r="B2983" s="2">
        <v>45323</v>
      </c>
      <c r="C2983" t="s">
        <v>317</v>
      </c>
      <c r="D2983" t="s">
        <v>826</v>
      </c>
      <c r="E2983" t="s">
        <v>839</v>
      </c>
      <c r="F2983">
        <v>4</v>
      </c>
      <c r="G2983">
        <v>0</v>
      </c>
      <c r="H2983" t="s">
        <v>855</v>
      </c>
      <c r="I2983" t="str">
        <f>VLOOKUP(C2983,Customers!A:C,2,FALSE)&amp;" "&amp;VLOOKUP(C2983,Customers!A:C,3,FALSE)</f>
        <v>Amanda Lee</v>
      </c>
      <c r="J2983" t="str">
        <f>VLOOKUP(D2983,Products!A:C,2,FALSE)</f>
        <v>Maybe Footwear</v>
      </c>
      <c r="K2983" t="str">
        <f>VLOOKUP(D2983,Products!A:C,3,FALSE)</f>
        <v>Fashion</v>
      </c>
      <c r="L2983" t="str">
        <f>VLOOKUP(E2983,Stores!A:B,2,FALSE)</f>
        <v>MegaMart New Michele</v>
      </c>
      <c r="M2983">
        <f>VLOOKUP(D2983,Products!A:E,5,FALSE)</f>
        <v>1044.6400000000001</v>
      </c>
      <c r="N2983" s="5">
        <f t="shared" si="46"/>
        <v>4178.5600000000004</v>
      </c>
    </row>
    <row r="2984" spans="1:14" x14ac:dyDescent="0.3">
      <c r="A2984" t="s">
        <v>3840</v>
      </c>
      <c r="B2984" s="2">
        <v>45839</v>
      </c>
      <c r="C2984" t="s">
        <v>432</v>
      </c>
      <c r="D2984" t="s">
        <v>790</v>
      </c>
      <c r="E2984" t="s">
        <v>831</v>
      </c>
      <c r="F2984">
        <v>4</v>
      </c>
      <c r="G2984">
        <v>0.15</v>
      </c>
      <c r="H2984" t="s">
        <v>861</v>
      </c>
      <c r="I2984" t="str">
        <f>VLOOKUP(C2984,Customers!A:C,2,FALSE)&amp;" "&amp;VLOOKUP(C2984,Customers!A:C,3,FALSE)</f>
        <v>Jamie Webb</v>
      </c>
      <c r="J2984" t="str">
        <f>VLOOKUP(D2984,Products!A:C,2,FALSE)</f>
        <v>Difficult Vegetables</v>
      </c>
      <c r="K2984" t="str">
        <f>VLOOKUP(D2984,Products!A:C,3,FALSE)</f>
        <v>Groceries</v>
      </c>
      <c r="L2984" t="str">
        <f>VLOOKUP(E2984,Stores!A:B,2,FALSE)</f>
        <v>MegaMart Jimenezborough</v>
      </c>
      <c r="M2984">
        <f>VLOOKUP(D2984,Products!A:E,5,FALSE)</f>
        <v>304.70999999999998</v>
      </c>
      <c r="N2984" s="5">
        <f t="shared" si="46"/>
        <v>1036.0139999999999</v>
      </c>
    </row>
    <row r="2985" spans="1:14" x14ac:dyDescent="0.3">
      <c r="A2985" t="s">
        <v>3841</v>
      </c>
      <c r="B2985" s="2">
        <v>45446</v>
      </c>
      <c r="C2985" t="s">
        <v>187</v>
      </c>
      <c r="D2985" t="s">
        <v>750</v>
      </c>
      <c r="E2985" t="s">
        <v>831</v>
      </c>
      <c r="F2985">
        <v>1</v>
      </c>
      <c r="G2985">
        <v>0.15</v>
      </c>
      <c r="H2985" t="s">
        <v>865</v>
      </c>
      <c r="I2985" t="str">
        <f>VLOOKUP(C2985,Customers!A:C,2,FALSE)&amp;" "&amp;VLOOKUP(C2985,Customers!A:C,3,FALSE)</f>
        <v>Alexis Crane</v>
      </c>
      <c r="J2985" t="str">
        <f>VLOOKUP(D2985,Products!A:C,2,FALSE)</f>
        <v>Add Clothing</v>
      </c>
      <c r="K2985" t="str">
        <f>VLOOKUP(D2985,Products!A:C,3,FALSE)</f>
        <v>Fashion</v>
      </c>
      <c r="L2985" t="str">
        <f>VLOOKUP(E2985,Stores!A:B,2,FALSE)</f>
        <v>MegaMart Jimenezborough</v>
      </c>
      <c r="M2985">
        <f>VLOOKUP(D2985,Products!A:E,5,FALSE)</f>
        <v>1342.75</v>
      </c>
      <c r="N2985" s="5">
        <f t="shared" si="46"/>
        <v>1141.3374999999999</v>
      </c>
    </row>
    <row r="2986" spans="1:14" x14ac:dyDescent="0.3">
      <c r="A2986" t="s">
        <v>3842</v>
      </c>
      <c r="B2986" s="2">
        <v>45903</v>
      </c>
      <c r="C2986" t="s">
        <v>673</v>
      </c>
      <c r="D2986" t="s">
        <v>772</v>
      </c>
      <c r="E2986" t="s">
        <v>835</v>
      </c>
      <c r="F2986">
        <v>2</v>
      </c>
      <c r="G2986">
        <v>0.1</v>
      </c>
      <c r="H2986" t="s">
        <v>861</v>
      </c>
      <c r="I2986" t="str">
        <f>VLOOKUP(C2986,Customers!A:C,2,FALSE)&amp;" "&amp;VLOOKUP(C2986,Customers!A:C,3,FALSE)</f>
        <v>Karen Quinn</v>
      </c>
      <c r="J2986" t="str">
        <f>VLOOKUP(D2986,Products!A:C,2,FALSE)</f>
        <v>And Footwear</v>
      </c>
      <c r="K2986" t="str">
        <f>VLOOKUP(D2986,Products!A:C,3,FALSE)</f>
        <v>Fashion</v>
      </c>
      <c r="L2986" t="str">
        <f>VLOOKUP(E2986,Stores!A:B,2,FALSE)</f>
        <v>MegaMart Peckmouth</v>
      </c>
      <c r="M2986">
        <f>VLOOKUP(D2986,Products!A:E,5,FALSE)</f>
        <v>1878.47</v>
      </c>
      <c r="N2986" s="5">
        <f t="shared" si="46"/>
        <v>3381.2460000000001</v>
      </c>
    </row>
    <row r="2987" spans="1:14" x14ac:dyDescent="0.3">
      <c r="A2987" t="s">
        <v>3843</v>
      </c>
      <c r="B2987" s="2">
        <v>45797</v>
      </c>
      <c r="C2987" t="s">
        <v>549</v>
      </c>
      <c r="D2987" t="s">
        <v>812</v>
      </c>
      <c r="E2987" t="s">
        <v>839</v>
      </c>
      <c r="F2987">
        <v>3</v>
      </c>
      <c r="G2987">
        <v>0.15</v>
      </c>
      <c r="H2987" t="s">
        <v>865</v>
      </c>
      <c r="I2987" t="str">
        <f>VLOOKUP(C2987,Customers!A:C,2,FALSE)&amp;" "&amp;VLOOKUP(C2987,Customers!A:C,3,FALSE)</f>
        <v>Brittany Green</v>
      </c>
      <c r="J2987" t="str">
        <f>VLOOKUP(D2987,Products!A:C,2,FALSE)</f>
        <v>Soon Accessories</v>
      </c>
      <c r="K2987" t="str">
        <f>VLOOKUP(D2987,Products!A:C,3,FALSE)</f>
        <v>Fashion</v>
      </c>
      <c r="L2987" t="str">
        <f>VLOOKUP(E2987,Stores!A:B,2,FALSE)</f>
        <v>MegaMart New Michele</v>
      </c>
      <c r="M2987">
        <f>VLOOKUP(D2987,Products!A:E,5,FALSE)</f>
        <v>564.41999999999996</v>
      </c>
      <c r="N2987" s="5">
        <f t="shared" si="46"/>
        <v>1439.2709999999997</v>
      </c>
    </row>
    <row r="2988" spans="1:14" x14ac:dyDescent="0.3">
      <c r="A2988" t="s">
        <v>3844</v>
      </c>
      <c r="B2988" s="2">
        <v>45612</v>
      </c>
      <c r="C2988" t="s">
        <v>593</v>
      </c>
      <c r="D2988" t="s">
        <v>796</v>
      </c>
      <c r="E2988" t="s">
        <v>835</v>
      </c>
      <c r="F2988">
        <v>5</v>
      </c>
      <c r="G2988">
        <v>0.1</v>
      </c>
      <c r="H2988" t="s">
        <v>861</v>
      </c>
      <c r="I2988" t="str">
        <f>VLOOKUP(C2988,Customers!A:C,2,FALSE)&amp;" "&amp;VLOOKUP(C2988,Customers!A:C,3,FALSE)</f>
        <v>Meagan Ali</v>
      </c>
      <c r="J2988" t="str">
        <f>VLOOKUP(D2988,Products!A:C,2,FALSE)</f>
        <v>Chair Laptop</v>
      </c>
      <c r="K2988" t="str">
        <f>VLOOKUP(D2988,Products!A:C,3,FALSE)</f>
        <v>Electronics</v>
      </c>
      <c r="L2988" t="str">
        <f>VLOOKUP(E2988,Stores!A:B,2,FALSE)</f>
        <v>MegaMart Peckmouth</v>
      </c>
      <c r="M2988">
        <f>VLOOKUP(D2988,Products!A:E,5,FALSE)</f>
        <v>1562.43</v>
      </c>
      <c r="N2988" s="5">
        <f t="shared" si="46"/>
        <v>7030.9350000000004</v>
      </c>
    </row>
    <row r="2989" spans="1:14" x14ac:dyDescent="0.3">
      <c r="A2989" t="s">
        <v>3845</v>
      </c>
      <c r="B2989" s="2">
        <v>45781</v>
      </c>
      <c r="C2989" t="s">
        <v>480</v>
      </c>
      <c r="D2989" t="s">
        <v>804</v>
      </c>
      <c r="E2989" t="s">
        <v>831</v>
      </c>
      <c r="F2989">
        <v>3</v>
      </c>
      <c r="G2989">
        <v>0</v>
      </c>
      <c r="H2989" t="s">
        <v>861</v>
      </c>
      <c r="I2989" t="str">
        <f>VLOOKUP(C2989,Customers!A:C,2,FALSE)&amp;" "&amp;VLOOKUP(C2989,Customers!A:C,3,FALSE)</f>
        <v>Denise Jackson</v>
      </c>
      <c r="J2989" t="str">
        <f>VLOOKUP(D2989,Products!A:C,2,FALSE)</f>
        <v>Church Clothing</v>
      </c>
      <c r="K2989" t="str">
        <f>VLOOKUP(D2989,Products!A:C,3,FALSE)</f>
        <v>Fashion</v>
      </c>
      <c r="L2989" t="str">
        <f>VLOOKUP(E2989,Stores!A:B,2,FALSE)</f>
        <v>MegaMart Jimenezborough</v>
      </c>
      <c r="M2989">
        <f>VLOOKUP(D2989,Products!A:E,5,FALSE)</f>
        <v>540.94000000000005</v>
      </c>
      <c r="N2989" s="5">
        <f t="shared" si="46"/>
        <v>1622.8200000000002</v>
      </c>
    </row>
    <row r="2990" spans="1:14" x14ac:dyDescent="0.3">
      <c r="A2990" t="s">
        <v>3846</v>
      </c>
      <c r="B2990" s="2">
        <v>45907</v>
      </c>
      <c r="C2990" t="s">
        <v>183</v>
      </c>
      <c r="D2990" t="s">
        <v>769</v>
      </c>
      <c r="E2990" t="s">
        <v>839</v>
      </c>
      <c r="F2990">
        <v>2</v>
      </c>
      <c r="G2990">
        <v>0.15</v>
      </c>
      <c r="H2990" t="s">
        <v>858</v>
      </c>
      <c r="I2990" t="str">
        <f>VLOOKUP(C2990,Customers!A:C,2,FALSE)&amp;" "&amp;VLOOKUP(C2990,Customers!A:C,3,FALSE)</f>
        <v>Mary Decker</v>
      </c>
      <c r="J2990" t="str">
        <f>VLOOKUP(D2990,Products!A:C,2,FALSE)</f>
        <v>How Vegetables</v>
      </c>
      <c r="K2990" t="str">
        <f>VLOOKUP(D2990,Products!A:C,3,FALSE)</f>
        <v>Groceries</v>
      </c>
      <c r="L2990" t="str">
        <f>VLOOKUP(E2990,Stores!A:B,2,FALSE)</f>
        <v>MegaMart New Michele</v>
      </c>
      <c r="M2990">
        <f>VLOOKUP(D2990,Products!A:E,5,FALSE)</f>
        <v>25.57</v>
      </c>
      <c r="N2990" s="5">
        <f t="shared" si="46"/>
        <v>43.469000000000001</v>
      </c>
    </row>
    <row r="2991" spans="1:14" x14ac:dyDescent="0.3">
      <c r="A2991" t="s">
        <v>3847</v>
      </c>
      <c r="B2991" s="2">
        <v>45808</v>
      </c>
      <c r="C2991" t="s">
        <v>653</v>
      </c>
      <c r="D2991" t="s">
        <v>800</v>
      </c>
      <c r="E2991" t="s">
        <v>839</v>
      </c>
      <c r="F2991">
        <v>4</v>
      </c>
      <c r="G2991">
        <v>0.15</v>
      </c>
      <c r="H2991" t="s">
        <v>861</v>
      </c>
      <c r="I2991" t="str">
        <f>VLOOKUP(C2991,Customers!A:C,2,FALSE)&amp;" "&amp;VLOOKUP(C2991,Customers!A:C,3,FALSE)</f>
        <v>Joe Vincent</v>
      </c>
      <c r="J2991" t="str">
        <f>VLOOKUP(D2991,Products!A:C,2,FALSE)</f>
        <v>Book Television</v>
      </c>
      <c r="K2991" t="str">
        <f>VLOOKUP(D2991,Products!A:C,3,FALSE)</f>
        <v>Electronics</v>
      </c>
      <c r="L2991" t="str">
        <f>VLOOKUP(E2991,Stores!A:B,2,FALSE)</f>
        <v>MegaMart New Michele</v>
      </c>
      <c r="M2991">
        <f>VLOOKUP(D2991,Products!A:E,5,FALSE)</f>
        <v>1952.65</v>
      </c>
      <c r="N2991" s="5">
        <f t="shared" si="46"/>
        <v>6639.01</v>
      </c>
    </row>
    <row r="2992" spans="1:14" x14ac:dyDescent="0.3">
      <c r="A2992" t="s">
        <v>3848</v>
      </c>
      <c r="B2992" s="2">
        <v>45769</v>
      </c>
      <c r="C2992" t="s">
        <v>464</v>
      </c>
      <c r="D2992" t="s">
        <v>806</v>
      </c>
      <c r="E2992" t="s">
        <v>842</v>
      </c>
      <c r="F2992">
        <v>5</v>
      </c>
      <c r="G2992">
        <v>0.1</v>
      </c>
      <c r="H2992" t="s">
        <v>861</v>
      </c>
      <c r="I2992" t="str">
        <f>VLOOKUP(C2992,Customers!A:C,2,FALSE)&amp;" "&amp;VLOOKUP(C2992,Customers!A:C,3,FALSE)</f>
        <v>Monique Johnson</v>
      </c>
      <c r="J2992" t="str">
        <f>VLOOKUP(D2992,Products!A:C,2,FALSE)</f>
        <v>Piece Headphones</v>
      </c>
      <c r="K2992" t="str">
        <f>VLOOKUP(D2992,Products!A:C,3,FALSE)</f>
        <v>Electronics</v>
      </c>
      <c r="L2992" t="str">
        <f>VLOOKUP(E2992,Stores!A:B,2,FALSE)</f>
        <v>MegaMart Brianahaven</v>
      </c>
      <c r="M2992">
        <f>VLOOKUP(D2992,Products!A:E,5,FALSE)</f>
        <v>1745.61</v>
      </c>
      <c r="N2992" s="5">
        <f t="shared" si="46"/>
        <v>7855.2449999999999</v>
      </c>
    </row>
    <row r="2993" spans="1:14" x14ac:dyDescent="0.3">
      <c r="A2993" t="s">
        <v>3849</v>
      </c>
      <c r="B2993" s="2">
        <v>45706</v>
      </c>
      <c r="C2993" t="s">
        <v>81</v>
      </c>
      <c r="D2993" t="s">
        <v>755</v>
      </c>
      <c r="E2993" t="s">
        <v>846</v>
      </c>
      <c r="F2993">
        <v>1</v>
      </c>
      <c r="G2993">
        <v>0</v>
      </c>
      <c r="H2993" t="s">
        <v>865</v>
      </c>
      <c r="I2993" t="str">
        <f>VLOOKUP(C2993,Customers!A:C,2,FALSE)&amp;" "&amp;VLOOKUP(C2993,Customers!A:C,3,FALSE)</f>
        <v>Ryan Cole</v>
      </c>
      <c r="J2993" t="str">
        <f>VLOOKUP(D2993,Products!A:C,2,FALSE)</f>
        <v>House Accessories</v>
      </c>
      <c r="K2993" t="str">
        <f>VLOOKUP(D2993,Products!A:C,3,FALSE)</f>
        <v>Fashion</v>
      </c>
      <c r="L2993" t="str">
        <f>VLOOKUP(E2993,Stores!A:B,2,FALSE)</f>
        <v>MegaMart Johnmouth</v>
      </c>
      <c r="M2993">
        <f>VLOOKUP(D2993,Products!A:E,5,FALSE)</f>
        <v>1858.75</v>
      </c>
      <c r="N2993" s="5">
        <f t="shared" si="46"/>
        <v>1858.75</v>
      </c>
    </row>
    <row r="2994" spans="1:14" x14ac:dyDescent="0.3">
      <c r="A2994" t="s">
        <v>3850</v>
      </c>
      <c r="B2994" s="2">
        <v>45569</v>
      </c>
      <c r="C2994" t="s">
        <v>570</v>
      </c>
      <c r="D2994" t="s">
        <v>820</v>
      </c>
      <c r="E2994" t="s">
        <v>831</v>
      </c>
      <c r="F2994">
        <v>1</v>
      </c>
      <c r="G2994">
        <v>0.1</v>
      </c>
      <c r="H2994" t="s">
        <v>865</v>
      </c>
      <c r="I2994" t="str">
        <f>VLOOKUP(C2994,Customers!A:C,2,FALSE)&amp;" "&amp;VLOOKUP(C2994,Customers!A:C,3,FALSE)</f>
        <v>Thomas Chung</v>
      </c>
      <c r="J2994" t="str">
        <f>VLOOKUP(D2994,Products!A:C,2,FALSE)</f>
        <v>Or Smartphone</v>
      </c>
      <c r="K2994" t="str">
        <f>VLOOKUP(D2994,Products!A:C,3,FALSE)</f>
        <v>Electronics</v>
      </c>
      <c r="L2994" t="str">
        <f>VLOOKUP(E2994,Stores!A:B,2,FALSE)</f>
        <v>MegaMart Jimenezborough</v>
      </c>
      <c r="M2994">
        <f>VLOOKUP(D2994,Products!A:E,5,FALSE)</f>
        <v>1197.18</v>
      </c>
      <c r="N2994" s="5">
        <f t="shared" si="46"/>
        <v>1077.462</v>
      </c>
    </row>
    <row r="2995" spans="1:14" x14ac:dyDescent="0.3">
      <c r="A2995" t="s">
        <v>3851</v>
      </c>
      <c r="B2995" s="2">
        <v>45643</v>
      </c>
      <c r="C2995" t="s">
        <v>294</v>
      </c>
      <c r="D2995" t="s">
        <v>786</v>
      </c>
      <c r="E2995" t="s">
        <v>842</v>
      </c>
      <c r="F2995">
        <v>4</v>
      </c>
      <c r="G2995">
        <v>0.05</v>
      </c>
      <c r="H2995" t="s">
        <v>865</v>
      </c>
      <c r="I2995" t="str">
        <f>VLOOKUP(C2995,Customers!A:C,2,FALSE)&amp;" "&amp;VLOOKUP(C2995,Customers!A:C,3,FALSE)</f>
        <v>Jeanne Young</v>
      </c>
      <c r="J2995" t="str">
        <f>VLOOKUP(D2995,Products!A:C,2,FALSE)</f>
        <v>National Watches</v>
      </c>
      <c r="K2995" t="str">
        <f>VLOOKUP(D2995,Products!A:C,3,FALSE)</f>
        <v>Fashion</v>
      </c>
      <c r="L2995" t="str">
        <f>VLOOKUP(E2995,Stores!A:B,2,FALSE)</f>
        <v>MegaMart Brianahaven</v>
      </c>
      <c r="M2995">
        <f>VLOOKUP(D2995,Products!A:E,5,FALSE)</f>
        <v>29.24</v>
      </c>
      <c r="N2995" s="5">
        <f t="shared" si="46"/>
        <v>111.11199999999999</v>
      </c>
    </row>
    <row r="2996" spans="1:14" x14ac:dyDescent="0.3">
      <c r="A2996" t="s">
        <v>3852</v>
      </c>
      <c r="B2996" s="2">
        <v>45713</v>
      </c>
      <c r="C2996" t="s">
        <v>59</v>
      </c>
      <c r="D2996" t="s">
        <v>796</v>
      </c>
      <c r="E2996" t="s">
        <v>839</v>
      </c>
      <c r="F2996">
        <v>2</v>
      </c>
      <c r="G2996">
        <v>0.05</v>
      </c>
      <c r="H2996" t="s">
        <v>858</v>
      </c>
      <c r="I2996" t="str">
        <f>VLOOKUP(C2996,Customers!A:C,2,FALSE)&amp;" "&amp;VLOOKUP(C2996,Customers!A:C,3,FALSE)</f>
        <v>Brittany Green</v>
      </c>
      <c r="J2996" t="str">
        <f>VLOOKUP(D2996,Products!A:C,2,FALSE)</f>
        <v>Chair Laptop</v>
      </c>
      <c r="K2996" t="str">
        <f>VLOOKUP(D2996,Products!A:C,3,FALSE)</f>
        <v>Electronics</v>
      </c>
      <c r="L2996" t="str">
        <f>VLOOKUP(E2996,Stores!A:B,2,FALSE)</f>
        <v>MegaMart New Michele</v>
      </c>
      <c r="M2996">
        <f>VLOOKUP(D2996,Products!A:E,5,FALSE)</f>
        <v>1562.43</v>
      </c>
      <c r="N2996" s="5">
        <f t="shared" si="46"/>
        <v>2968.6170000000002</v>
      </c>
    </row>
    <row r="2997" spans="1:14" x14ac:dyDescent="0.3">
      <c r="A2997" t="s">
        <v>3853</v>
      </c>
      <c r="B2997" s="2">
        <v>45805</v>
      </c>
      <c r="C2997" t="s">
        <v>670</v>
      </c>
      <c r="D2997" t="s">
        <v>755</v>
      </c>
      <c r="E2997" t="s">
        <v>839</v>
      </c>
      <c r="F2997">
        <v>1</v>
      </c>
      <c r="G2997">
        <v>0.1</v>
      </c>
      <c r="H2997" t="s">
        <v>858</v>
      </c>
      <c r="I2997" t="str">
        <f>VLOOKUP(C2997,Customers!A:C,2,FALSE)&amp;" "&amp;VLOOKUP(C2997,Customers!A:C,3,FALSE)</f>
        <v>Daniel Lawson</v>
      </c>
      <c r="J2997" t="str">
        <f>VLOOKUP(D2997,Products!A:C,2,FALSE)</f>
        <v>House Accessories</v>
      </c>
      <c r="K2997" t="str">
        <f>VLOOKUP(D2997,Products!A:C,3,FALSE)</f>
        <v>Fashion</v>
      </c>
      <c r="L2997" t="str">
        <f>VLOOKUP(E2997,Stores!A:B,2,FALSE)</f>
        <v>MegaMart New Michele</v>
      </c>
      <c r="M2997">
        <f>VLOOKUP(D2997,Products!A:E,5,FALSE)</f>
        <v>1858.75</v>
      </c>
      <c r="N2997" s="5">
        <f t="shared" si="46"/>
        <v>1672.875</v>
      </c>
    </row>
    <row r="2998" spans="1:14" x14ac:dyDescent="0.3">
      <c r="A2998" t="s">
        <v>3854</v>
      </c>
      <c r="B2998" s="2">
        <v>45456</v>
      </c>
      <c r="C2998" t="s">
        <v>599</v>
      </c>
      <c r="D2998" t="s">
        <v>792</v>
      </c>
      <c r="E2998" t="s">
        <v>831</v>
      </c>
      <c r="F2998">
        <v>3</v>
      </c>
      <c r="G2998">
        <v>0</v>
      </c>
      <c r="H2998" t="s">
        <v>865</v>
      </c>
      <c r="I2998" t="str">
        <f>VLOOKUP(C2998,Customers!A:C,2,FALSE)&amp;" "&amp;VLOOKUP(C2998,Customers!A:C,3,FALSE)</f>
        <v>Richard Jones</v>
      </c>
      <c r="J2998" t="str">
        <f>VLOOKUP(D2998,Products!A:C,2,FALSE)</f>
        <v>Beat Accessories</v>
      </c>
      <c r="K2998" t="str">
        <f>VLOOKUP(D2998,Products!A:C,3,FALSE)</f>
        <v>Fashion</v>
      </c>
      <c r="L2998" t="str">
        <f>VLOOKUP(E2998,Stores!A:B,2,FALSE)</f>
        <v>MegaMart Jimenezborough</v>
      </c>
      <c r="M2998">
        <f>VLOOKUP(D2998,Products!A:E,5,FALSE)</f>
        <v>1798.97</v>
      </c>
      <c r="N2998" s="5">
        <f t="shared" si="46"/>
        <v>5396.91</v>
      </c>
    </row>
    <row r="2999" spans="1:14" x14ac:dyDescent="0.3">
      <c r="A2999" t="s">
        <v>3855</v>
      </c>
      <c r="B2999" s="2">
        <v>45824</v>
      </c>
      <c r="C2999" t="s">
        <v>294</v>
      </c>
      <c r="D2999" t="s">
        <v>725</v>
      </c>
      <c r="E2999" t="s">
        <v>835</v>
      </c>
      <c r="F2999">
        <v>3</v>
      </c>
      <c r="G2999">
        <v>0.15</v>
      </c>
      <c r="H2999" t="s">
        <v>861</v>
      </c>
      <c r="I2999" t="str">
        <f>VLOOKUP(C2999,Customers!A:C,2,FALSE)&amp;" "&amp;VLOOKUP(C2999,Customers!A:C,3,FALSE)</f>
        <v>Jeanne Young</v>
      </c>
      <c r="J2999" t="str">
        <f>VLOOKUP(D2999,Products!A:C,2,FALSE)</f>
        <v>Knowledge Bags</v>
      </c>
      <c r="K2999" t="str">
        <f>VLOOKUP(D2999,Products!A:C,3,FALSE)</f>
        <v>Fashion</v>
      </c>
      <c r="L2999" t="str">
        <f>VLOOKUP(E2999,Stores!A:B,2,FALSE)</f>
        <v>MegaMart Peckmouth</v>
      </c>
      <c r="M2999">
        <f>VLOOKUP(D2999,Products!A:E,5,FALSE)</f>
        <v>1396.22</v>
      </c>
      <c r="N2999" s="5">
        <f t="shared" si="46"/>
        <v>3560.3609999999999</v>
      </c>
    </row>
    <row r="3000" spans="1:14" x14ac:dyDescent="0.3">
      <c r="A3000" t="s">
        <v>3856</v>
      </c>
      <c r="B3000" s="2">
        <v>45528</v>
      </c>
      <c r="C3000" t="s">
        <v>123</v>
      </c>
      <c r="D3000" t="s">
        <v>786</v>
      </c>
      <c r="E3000" t="s">
        <v>831</v>
      </c>
      <c r="F3000">
        <v>4</v>
      </c>
      <c r="G3000">
        <v>0.05</v>
      </c>
      <c r="H3000" t="s">
        <v>865</v>
      </c>
      <c r="I3000" t="str">
        <f>VLOOKUP(C3000,Customers!A:C,2,FALSE)&amp;" "&amp;VLOOKUP(C3000,Customers!A:C,3,FALSE)</f>
        <v>Ashley Gibson</v>
      </c>
      <c r="J3000" t="str">
        <f>VLOOKUP(D3000,Products!A:C,2,FALSE)</f>
        <v>National Watches</v>
      </c>
      <c r="K3000" t="str">
        <f>VLOOKUP(D3000,Products!A:C,3,FALSE)</f>
        <v>Fashion</v>
      </c>
      <c r="L3000" t="str">
        <f>VLOOKUP(E3000,Stores!A:B,2,FALSE)</f>
        <v>MegaMart Jimenezborough</v>
      </c>
      <c r="M3000">
        <f>VLOOKUP(D3000,Products!A:E,5,FALSE)</f>
        <v>29.24</v>
      </c>
      <c r="N3000" s="5">
        <f t="shared" si="46"/>
        <v>111.11199999999999</v>
      </c>
    </row>
    <row r="3001" spans="1:14" x14ac:dyDescent="0.3">
      <c r="A3001" t="s">
        <v>3857</v>
      </c>
      <c r="B3001" s="2">
        <v>45679</v>
      </c>
      <c r="C3001" t="s">
        <v>115</v>
      </c>
      <c r="D3001" t="s">
        <v>769</v>
      </c>
      <c r="E3001" t="s">
        <v>831</v>
      </c>
      <c r="F3001">
        <v>2</v>
      </c>
      <c r="G3001">
        <v>0.15</v>
      </c>
      <c r="H3001" t="s">
        <v>855</v>
      </c>
      <c r="I3001" t="str">
        <f>VLOOKUP(C3001,Customers!A:C,2,FALSE)&amp;" "&amp;VLOOKUP(C3001,Customers!A:C,3,FALSE)</f>
        <v>Tyler Levine</v>
      </c>
      <c r="J3001" t="str">
        <f>VLOOKUP(D3001,Products!A:C,2,FALSE)</f>
        <v>How Vegetables</v>
      </c>
      <c r="K3001" t="str">
        <f>VLOOKUP(D3001,Products!A:C,3,FALSE)</f>
        <v>Groceries</v>
      </c>
      <c r="L3001" t="str">
        <f>VLOOKUP(E3001,Stores!A:B,2,FALSE)</f>
        <v>MegaMart Jimenezborough</v>
      </c>
      <c r="M3001">
        <f>VLOOKUP(D3001,Products!A:E,5,FALSE)</f>
        <v>25.57</v>
      </c>
      <c r="N3001" s="5">
        <f t="shared" si="46"/>
        <v>43.469000000000001</v>
      </c>
    </row>
    <row r="3002" spans="1:14" x14ac:dyDescent="0.3">
      <c r="A3002" t="s">
        <v>3858</v>
      </c>
      <c r="B3002" s="2">
        <v>45455</v>
      </c>
      <c r="C3002" t="s">
        <v>266</v>
      </c>
      <c r="D3002" t="s">
        <v>780</v>
      </c>
      <c r="E3002" t="s">
        <v>831</v>
      </c>
      <c r="F3002">
        <v>5</v>
      </c>
      <c r="G3002">
        <v>0.15</v>
      </c>
      <c r="H3002" t="s">
        <v>865</v>
      </c>
      <c r="I3002" t="str">
        <f>VLOOKUP(C3002,Customers!A:C,2,FALSE)&amp;" "&amp;VLOOKUP(C3002,Customers!A:C,3,FALSE)</f>
        <v>Eric Bryan</v>
      </c>
      <c r="J3002" t="str">
        <f>VLOOKUP(D3002,Products!A:C,2,FALSE)</f>
        <v>Hospital Smartphone</v>
      </c>
      <c r="K3002" t="str">
        <f>VLOOKUP(D3002,Products!A:C,3,FALSE)</f>
        <v>Electronics</v>
      </c>
      <c r="L3002" t="str">
        <f>VLOOKUP(E3002,Stores!A:B,2,FALSE)</f>
        <v>MegaMart Jimenezborough</v>
      </c>
      <c r="M3002">
        <f>VLOOKUP(D3002,Products!A:E,5,FALSE)</f>
        <v>1272.23</v>
      </c>
      <c r="N3002" s="5">
        <f t="shared" si="46"/>
        <v>5406.9775</v>
      </c>
    </row>
    <row r="3003" spans="1:14" x14ac:dyDescent="0.3">
      <c r="A3003" t="s">
        <v>3859</v>
      </c>
      <c r="B3003" s="2">
        <v>45671</v>
      </c>
      <c r="C3003" t="s">
        <v>664</v>
      </c>
      <c r="D3003" t="s">
        <v>776</v>
      </c>
      <c r="E3003" t="s">
        <v>835</v>
      </c>
      <c r="F3003">
        <v>2</v>
      </c>
      <c r="G3003">
        <v>0</v>
      </c>
      <c r="H3003" t="s">
        <v>858</v>
      </c>
      <c r="I3003" t="str">
        <f>VLOOKUP(C3003,Customers!A:C,2,FALSE)&amp;" "&amp;VLOOKUP(C3003,Customers!A:C,3,FALSE)</f>
        <v>Ryan Flores</v>
      </c>
      <c r="J3003" t="str">
        <f>VLOOKUP(D3003,Products!A:C,2,FALSE)</f>
        <v>Little Watches</v>
      </c>
      <c r="K3003" t="str">
        <f>VLOOKUP(D3003,Products!A:C,3,FALSE)</f>
        <v>Fashion</v>
      </c>
      <c r="L3003" t="str">
        <f>VLOOKUP(E3003,Stores!A:B,2,FALSE)</f>
        <v>MegaMart Peckmouth</v>
      </c>
      <c r="M3003">
        <f>VLOOKUP(D3003,Products!A:E,5,FALSE)</f>
        <v>429.15</v>
      </c>
      <c r="N3003" s="5">
        <f t="shared" si="46"/>
        <v>858.3</v>
      </c>
    </row>
    <row r="3004" spans="1:14" x14ac:dyDescent="0.3">
      <c r="A3004" t="s">
        <v>3860</v>
      </c>
      <c r="B3004" s="2">
        <v>45291</v>
      </c>
      <c r="C3004" t="s">
        <v>618</v>
      </c>
      <c r="D3004" t="s">
        <v>736</v>
      </c>
      <c r="E3004" t="s">
        <v>842</v>
      </c>
      <c r="F3004">
        <v>1</v>
      </c>
      <c r="G3004">
        <v>0</v>
      </c>
      <c r="H3004" t="s">
        <v>858</v>
      </c>
      <c r="I3004" t="str">
        <f>VLOOKUP(C3004,Customers!A:C,2,FALSE)&amp;" "&amp;VLOOKUP(C3004,Customers!A:C,3,FALSE)</f>
        <v>Scott Howell</v>
      </c>
      <c r="J3004" t="str">
        <f>VLOOKUP(D3004,Products!A:C,2,FALSE)</f>
        <v>Us Snacks</v>
      </c>
      <c r="K3004" t="str">
        <f>VLOOKUP(D3004,Products!A:C,3,FALSE)</f>
        <v>Groceries</v>
      </c>
      <c r="L3004" t="str">
        <f>VLOOKUP(E3004,Stores!A:B,2,FALSE)</f>
        <v>MegaMart Brianahaven</v>
      </c>
      <c r="M3004">
        <f>VLOOKUP(D3004,Products!A:E,5,FALSE)</f>
        <v>123.19</v>
      </c>
      <c r="N3004" s="5">
        <f t="shared" si="46"/>
        <v>123.19</v>
      </c>
    </row>
    <row r="3005" spans="1:14" x14ac:dyDescent="0.3">
      <c r="A3005" t="s">
        <v>3861</v>
      </c>
      <c r="B3005" s="2">
        <v>45306</v>
      </c>
      <c r="C3005" t="s">
        <v>415</v>
      </c>
      <c r="D3005" t="s">
        <v>772</v>
      </c>
      <c r="E3005" t="s">
        <v>842</v>
      </c>
      <c r="F3005">
        <v>4</v>
      </c>
      <c r="G3005">
        <v>0.05</v>
      </c>
      <c r="H3005" t="s">
        <v>865</v>
      </c>
      <c r="I3005" t="str">
        <f>VLOOKUP(C3005,Customers!A:C,2,FALSE)&amp;" "&amp;VLOOKUP(C3005,Customers!A:C,3,FALSE)</f>
        <v>Dylan Booker</v>
      </c>
      <c r="J3005" t="str">
        <f>VLOOKUP(D3005,Products!A:C,2,FALSE)</f>
        <v>And Footwear</v>
      </c>
      <c r="K3005" t="str">
        <f>VLOOKUP(D3005,Products!A:C,3,FALSE)</f>
        <v>Fashion</v>
      </c>
      <c r="L3005" t="str">
        <f>VLOOKUP(E3005,Stores!A:B,2,FALSE)</f>
        <v>MegaMart Brianahaven</v>
      </c>
      <c r="M3005">
        <f>VLOOKUP(D3005,Products!A:E,5,FALSE)</f>
        <v>1878.47</v>
      </c>
      <c r="N3005" s="5">
        <f t="shared" si="46"/>
        <v>7138.1859999999997</v>
      </c>
    </row>
    <row r="3006" spans="1:14" x14ac:dyDescent="0.3">
      <c r="A3006" t="s">
        <v>3862</v>
      </c>
      <c r="B3006" s="2">
        <v>45318</v>
      </c>
      <c r="C3006" t="s">
        <v>536</v>
      </c>
      <c r="D3006" t="s">
        <v>750</v>
      </c>
      <c r="E3006" t="s">
        <v>831</v>
      </c>
      <c r="F3006">
        <v>1</v>
      </c>
      <c r="G3006">
        <v>0.1</v>
      </c>
      <c r="H3006" t="s">
        <v>855</v>
      </c>
      <c r="I3006" t="str">
        <f>VLOOKUP(C3006,Customers!A:C,2,FALSE)&amp;" "&amp;VLOOKUP(C3006,Customers!A:C,3,FALSE)</f>
        <v>John Foster</v>
      </c>
      <c r="J3006" t="str">
        <f>VLOOKUP(D3006,Products!A:C,2,FALSE)</f>
        <v>Add Clothing</v>
      </c>
      <c r="K3006" t="str">
        <f>VLOOKUP(D3006,Products!A:C,3,FALSE)</f>
        <v>Fashion</v>
      </c>
      <c r="L3006" t="str">
        <f>VLOOKUP(E3006,Stores!A:B,2,FALSE)</f>
        <v>MegaMart Jimenezborough</v>
      </c>
      <c r="M3006">
        <f>VLOOKUP(D3006,Products!A:E,5,FALSE)</f>
        <v>1342.75</v>
      </c>
      <c r="N3006" s="5">
        <f t="shared" si="46"/>
        <v>1208.4750000000001</v>
      </c>
    </row>
    <row r="3007" spans="1:14" x14ac:dyDescent="0.3">
      <c r="A3007" t="s">
        <v>3863</v>
      </c>
      <c r="B3007" s="2">
        <v>45273</v>
      </c>
      <c r="C3007" t="s">
        <v>653</v>
      </c>
      <c r="D3007" t="s">
        <v>824</v>
      </c>
      <c r="E3007" t="s">
        <v>842</v>
      </c>
      <c r="F3007">
        <v>2</v>
      </c>
      <c r="G3007">
        <v>0.1</v>
      </c>
      <c r="H3007" t="s">
        <v>865</v>
      </c>
      <c r="I3007" t="str">
        <f>VLOOKUP(C3007,Customers!A:C,2,FALSE)&amp;" "&amp;VLOOKUP(C3007,Customers!A:C,3,FALSE)</f>
        <v>Joe Vincent</v>
      </c>
      <c r="J3007" t="str">
        <f>VLOOKUP(D3007,Products!A:C,2,FALSE)</f>
        <v>Possible Watches</v>
      </c>
      <c r="K3007" t="str">
        <f>VLOOKUP(D3007,Products!A:C,3,FALSE)</f>
        <v>Fashion</v>
      </c>
      <c r="L3007" t="str">
        <f>VLOOKUP(E3007,Stores!A:B,2,FALSE)</f>
        <v>MegaMart Brianahaven</v>
      </c>
      <c r="M3007">
        <f>VLOOKUP(D3007,Products!A:E,5,FALSE)</f>
        <v>388.26</v>
      </c>
      <c r="N3007" s="5">
        <f t="shared" si="46"/>
        <v>698.86800000000005</v>
      </c>
    </row>
    <row r="3008" spans="1:14" x14ac:dyDescent="0.3">
      <c r="A3008" t="s">
        <v>3864</v>
      </c>
      <c r="B3008" s="2">
        <v>45837</v>
      </c>
      <c r="C3008" t="s">
        <v>612</v>
      </c>
      <c r="D3008" t="s">
        <v>755</v>
      </c>
      <c r="E3008" t="s">
        <v>839</v>
      </c>
      <c r="F3008">
        <v>2</v>
      </c>
      <c r="G3008">
        <v>0.05</v>
      </c>
      <c r="H3008" t="s">
        <v>858</v>
      </c>
      <c r="I3008" t="str">
        <f>VLOOKUP(C3008,Customers!A:C,2,FALSE)&amp;" "&amp;VLOOKUP(C3008,Customers!A:C,3,FALSE)</f>
        <v>Michelle Smith</v>
      </c>
      <c r="J3008" t="str">
        <f>VLOOKUP(D3008,Products!A:C,2,FALSE)</f>
        <v>House Accessories</v>
      </c>
      <c r="K3008" t="str">
        <f>VLOOKUP(D3008,Products!A:C,3,FALSE)</f>
        <v>Fashion</v>
      </c>
      <c r="L3008" t="str">
        <f>VLOOKUP(E3008,Stores!A:B,2,FALSE)</f>
        <v>MegaMart New Michele</v>
      </c>
      <c r="M3008">
        <f>VLOOKUP(D3008,Products!A:E,5,FALSE)</f>
        <v>1858.75</v>
      </c>
      <c r="N3008" s="5">
        <f t="shared" si="46"/>
        <v>3531.625</v>
      </c>
    </row>
    <row r="3009" spans="1:14" x14ac:dyDescent="0.3">
      <c r="A3009" t="s">
        <v>3865</v>
      </c>
      <c r="B3009" s="2">
        <v>45657</v>
      </c>
      <c r="C3009" t="s">
        <v>7</v>
      </c>
      <c r="D3009" t="s">
        <v>786</v>
      </c>
      <c r="E3009" t="s">
        <v>831</v>
      </c>
      <c r="F3009">
        <v>5</v>
      </c>
      <c r="G3009">
        <v>0.15</v>
      </c>
      <c r="H3009" t="s">
        <v>858</v>
      </c>
      <c r="I3009" t="str">
        <f>VLOOKUP(C3009,Customers!A:C,2,FALSE)&amp;" "&amp;VLOOKUP(C3009,Customers!A:C,3,FALSE)</f>
        <v>Michael Davis</v>
      </c>
      <c r="J3009" t="str">
        <f>VLOOKUP(D3009,Products!A:C,2,FALSE)</f>
        <v>National Watches</v>
      </c>
      <c r="K3009" t="str">
        <f>VLOOKUP(D3009,Products!A:C,3,FALSE)</f>
        <v>Fashion</v>
      </c>
      <c r="L3009" t="str">
        <f>VLOOKUP(E3009,Stores!A:B,2,FALSE)</f>
        <v>MegaMart Jimenezborough</v>
      </c>
      <c r="M3009">
        <f>VLOOKUP(D3009,Products!A:E,5,FALSE)</f>
        <v>29.24</v>
      </c>
      <c r="N3009" s="5">
        <f t="shared" si="46"/>
        <v>124.26999999999998</v>
      </c>
    </row>
    <row r="3010" spans="1:14" x14ac:dyDescent="0.3">
      <c r="A3010" t="s">
        <v>3866</v>
      </c>
      <c r="B3010" s="2">
        <v>45796</v>
      </c>
      <c r="C3010" t="s">
        <v>230</v>
      </c>
      <c r="D3010" t="s">
        <v>780</v>
      </c>
      <c r="E3010" t="s">
        <v>831</v>
      </c>
      <c r="F3010">
        <v>3</v>
      </c>
      <c r="G3010">
        <v>0.1</v>
      </c>
      <c r="H3010" t="s">
        <v>865</v>
      </c>
      <c r="I3010" t="str">
        <f>VLOOKUP(C3010,Customers!A:C,2,FALSE)&amp;" "&amp;VLOOKUP(C3010,Customers!A:C,3,FALSE)</f>
        <v>Anthony Conway</v>
      </c>
      <c r="J3010" t="str">
        <f>VLOOKUP(D3010,Products!A:C,2,FALSE)</f>
        <v>Hospital Smartphone</v>
      </c>
      <c r="K3010" t="str">
        <f>VLOOKUP(D3010,Products!A:C,3,FALSE)</f>
        <v>Electronics</v>
      </c>
      <c r="L3010" t="str">
        <f>VLOOKUP(E3010,Stores!A:B,2,FALSE)</f>
        <v>MegaMart Jimenezborough</v>
      </c>
      <c r="M3010">
        <f>VLOOKUP(D3010,Products!A:E,5,FALSE)</f>
        <v>1272.23</v>
      </c>
      <c r="N3010" s="5">
        <f t="shared" si="46"/>
        <v>3435.0210000000002</v>
      </c>
    </row>
    <row r="3011" spans="1:14" x14ac:dyDescent="0.3">
      <c r="A3011" t="s">
        <v>3867</v>
      </c>
      <c r="B3011" s="2">
        <v>45247</v>
      </c>
      <c r="C3011" t="s">
        <v>554</v>
      </c>
      <c r="D3011" t="s">
        <v>732</v>
      </c>
      <c r="E3011" t="s">
        <v>839</v>
      </c>
      <c r="F3011">
        <v>4</v>
      </c>
      <c r="G3011">
        <v>0.15</v>
      </c>
      <c r="H3011" t="s">
        <v>861</v>
      </c>
      <c r="I3011" t="str">
        <f>VLOOKUP(C3011,Customers!A:C,2,FALSE)&amp;" "&amp;VLOOKUP(C3011,Customers!A:C,3,FALSE)</f>
        <v>Lisa Martinez</v>
      </c>
      <c r="J3011" t="str">
        <f>VLOOKUP(D3011,Products!A:C,2,FALSE)</f>
        <v>Understand Camera</v>
      </c>
      <c r="K3011" t="str">
        <f>VLOOKUP(D3011,Products!A:C,3,FALSE)</f>
        <v>Electronics</v>
      </c>
      <c r="L3011" t="str">
        <f>VLOOKUP(E3011,Stores!A:B,2,FALSE)</f>
        <v>MegaMart New Michele</v>
      </c>
      <c r="M3011">
        <f>VLOOKUP(D3011,Products!A:E,5,FALSE)</f>
        <v>1474.12</v>
      </c>
      <c r="N3011" s="5">
        <f t="shared" ref="N3011:N3074" si="47">F3011*M3011*(1-G3011)</f>
        <v>5012.0079999999998</v>
      </c>
    </row>
    <row r="3012" spans="1:14" x14ac:dyDescent="0.3">
      <c r="A3012" t="s">
        <v>3868</v>
      </c>
      <c r="B3012" s="2">
        <v>45351</v>
      </c>
      <c r="C3012" t="s">
        <v>362</v>
      </c>
      <c r="D3012" t="s">
        <v>750</v>
      </c>
      <c r="E3012" t="s">
        <v>839</v>
      </c>
      <c r="F3012">
        <v>5</v>
      </c>
      <c r="G3012">
        <v>0.05</v>
      </c>
      <c r="H3012" t="s">
        <v>855</v>
      </c>
      <c r="I3012" t="str">
        <f>VLOOKUP(C3012,Customers!A:C,2,FALSE)&amp;" "&amp;VLOOKUP(C3012,Customers!A:C,3,FALSE)</f>
        <v>Eric King</v>
      </c>
      <c r="J3012" t="str">
        <f>VLOOKUP(D3012,Products!A:C,2,FALSE)</f>
        <v>Add Clothing</v>
      </c>
      <c r="K3012" t="str">
        <f>VLOOKUP(D3012,Products!A:C,3,FALSE)</f>
        <v>Fashion</v>
      </c>
      <c r="L3012" t="str">
        <f>VLOOKUP(E3012,Stores!A:B,2,FALSE)</f>
        <v>MegaMart New Michele</v>
      </c>
      <c r="M3012">
        <f>VLOOKUP(D3012,Products!A:E,5,FALSE)</f>
        <v>1342.75</v>
      </c>
      <c r="N3012" s="5">
        <f t="shared" si="47"/>
        <v>6378.0625</v>
      </c>
    </row>
    <row r="3013" spans="1:14" x14ac:dyDescent="0.3">
      <c r="A3013" t="s">
        <v>3869</v>
      </c>
      <c r="B3013" s="2">
        <v>45834</v>
      </c>
      <c r="C3013" t="s">
        <v>666</v>
      </c>
      <c r="D3013" t="s">
        <v>772</v>
      </c>
      <c r="E3013" t="s">
        <v>839</v>
      </c>
      <c r="F3013">
        <v>4</v>
      </c>
      <c r="G3013">
        <v>0.05</v>
      </c>
      <c r="H3013" t="s">
        <v>858</v>
      </c>
      <c r="I3013" t="str">
        <f>VLOOKUP(C3013,Customers!A:C,2,FALSE)&amp;" "&amp;VLOOKUP(C3013,Customers!A:C,3,FALSE)</f>
        <v>Steve Flynn</v>
      </c>
      <c r="J3013" t="str">
        <f>VLOOKUP(D3013,Products!A:C,2,FALSE)</f>
        <v>And Footwear</v>
      </c>
      <c r="K3013" t="str">
        <f>VLOOKUP(D3013,Products!A:C,3,FALSE)</f>
        <v>Fashion</v>
      </c>
      <c r="L3013" t="str">
        <f>VLOOKUP(E3013,Stores!A:B,2,FALSE)</f>
        <v>MegaMart New Michele</v>
      </c>
      <c r="M3013">
        <f>VLOOKUP(D3013,Products!A:E,5,FALSE)</f>
        <v>1878.47</v>
      </c>
      <c r="N3013" s="5">
        <f t="shared" si="47"/>
        <v>7138.1859999999997</v>
      </c>
    </row>
    <row r="3014" spans="1:14" x14ac:dyDescent="0.3">
      <c r="A3014" t="s">
        <v>3870</v>
      </c>
      <c r="B3014" s="2">
        <v>45202</v>
      </c>
      <c r="C3014" t="s">
        <v>362</v>
      </c>
      <c r="D3014" t="s">
        <v>784</v>
      </c>
      <c r="E3014" t="s">
        <v>842</v>
      </c>
      <c r="F3014">
        <v>3</v>
      </c>
      <c r="G3014">
        <v>0.1</v>
      </c>
      <c r="H3014" t="s">
        <v>861</v>
      </c>
      <c r="I3014" t="str">
        <f>VLOOKUP(C3014,Customers!A:C,2,FALSE)&amp;" "&amp;VLOOKUP(C3014,Customers!A:C,3,FALSE)</f>
        <v>Eric King</v>
      </c>
      <c r="J3014" t="str">
        <f>VLOOKUP(D3014,Products!A:C,2,FALSE)</f>
        <v>Road Clothing</v>
      </c>
      <c r="K3014" t="str">
        <f>VLOOKUP(D3014,Products!A:C,3,FALSE)</f>
        <v>Fashion</v>
      </c>
      <c r="L3014" t="str">
        <f>VLOOKUP(E3014,Stores!A:B,2,FALSE)</f>
        <v>MegaMart Brianahaven</v>
      </c>
      <c r="M3014">
        <f>VLOOKUP(D3014,Products!A:E,5,FALSE)</f>
        <v>1485.05</v>
      </c>
      <c r="N3014" s="5">
        <f t="shared" si="47"/>
        <v>4009.6349999999998</v>
      </c>
    </row>
    <row r="3015" spans="1:14" x14ac:dyDescent="0.3">
      <c r="A3015" t="s">
        <v>3871</v>
      </c>
      <c r="B3015" s="2">
        <v>45358</v>
      </c>
      <c r="C3015" t="s">
        <v>615</v>
      </c>
      <c r="D3015" t="s">
        <v>745</v>
      </c>
      <c r="E3015" t="s">
        <v>842</v>
      </c>
      <c r="F3015">
        <v>5</v>
      </c>
      <c r="G3015">
        <v>0.15</v>
      </c>
      <c r="H3015" t="s">
        <v>855</v>
      </c>
      <c r="I3015" t="str">
        <f>VLOOKUP(C3015,Customers!A:C,2,FALSE)&amp;" "&amp;VLOOKUP(C3015,Customers!A:C,3,FALSE)</f>
        <v>Lisa Ruiz</v>
      </c>
      <c r="J3015" t="str">
        <f>VLOOKUP(D3015,Products!A:C,2,FALSE)</f>
        <v>Above Camera</v>
      </c>
      <c r="K3015" t="str">
        <f>VLOOKUP(D3015,Products!A:C,3,FALSE)</f>
        <v>Electronics</v>
      </c>
      <c r="L3015" t="str">
        <f>VLOOKUP(E3015,Stores!A:B,2,FALSE)</f>
        <v>MegaMart Brianahaven</v>
      </c>
      <c r="M3015">
        <f>VLOOKUP(D3015,Products!A:E,5,FALSE)</f>
        <v>1193.0899999999999</v>
      </c>
      <c r="N3015" s="5">
        <f t="shared" si="47"/>
        <v>5070.6324999999997</v>
      </c>
    </row>
    <row r="3016" spans="1:14" x14ac:dyDescent="0.3">
      <c r="A3016" t="s">
        <v>3872</v>
      </c>
      <c r="B3016" s="2">
        <v>45248</v>
      </c>
      <c r="C3016" t="s">
        <v>415</v>
      </c>
      <c r="D3016" t="s">
        <v>788</v>
      </c>
      <c r="E3016" t="s">
        <v>831</v>
      </c>
      <c r="F3016">
        <v>5</v>
      </c>
      <c r="G3016">
        <v>0.1</v>
      </c>
      <c r="H3016" t="s">
        <v>861</v>
      </c>
      <c r="I3016" t="str">
        <f>VLOOKUP(C3016,Customers!A:C,2,FALSE)&amp;" "&amp;VLOOKUP(C3016,Customers!A:C,3,FALSE)</f>
        <v>Dylan Booker</v>
      </c>
      <c r="J3016" t="str">
        <f>VLOOKUP(D3016,Products!A:C,2,FALSE)</f>
        <v>Foot Snacks</v>
      </c>
      <c r="K3016" t="str">
        <f>VLOOKUP(D3016,Products!A:C,3,FALSE)</f>
        <v>Groceries</v>
      </c>
      <c r="L3016" t="str">
        <f>VLOOKUP(E3016,Stores!A:B,2,FALSE)</f>
        <v>MegaMart Jimenezborough</v>
      </c>
      <c r="M3016">
        <f>VLOOKUP(D3016,Products!A:E,5,FALSE)</f>
        <v>1095.72</v>
      </c>
      <c r="N3016" s="5">
        <f t="shared" si="47"/>
        <v>4930.7400000000007</v>
      </c>
    </row>
    <row r="3017" spans="1:14" x14ac:dyDescent="0.3">
      <c r="A3017" t="s">
        <v>3873</v>
      </c>
      <c r="B3017" s="2">
        <v>45299</v>
      </c>
      <c r="C3017" t="s">
        <v>324</v>
      </c>
      <c r="D3017" t="s">
        <v>757</v>
      </c>
      <c r="E3017" t="s">
        <v>839</v>
      </c>
      <c r="F3017">
        <v>4</v>
      </c>
      <c r="G3017">
        <v>0.15</v>
      </c>
      <c r="H3017" t="s">
        <v>861</v>
      </c>
      <c r="I3017" t="str">
        <f>VLOOKUP(C3017,Customers!A:C,2,FALSE)&amp;" "&amp;VLOOKUP(C3017,Customers!A:C,3,FALSE)</f>
        <v>Lawrence Hunter</v>
      </c>
      <c r="J3017" t="str">
        <f>VLOOKUP(D3017,Products!A:C,2,FALSE)</f>
        <v>Find Headphones</v>
      </c>
      <c r="K3017" t="str">
        <f>VLOOKUP(D3017,Products!A:C,3,FALSE)</f>
        <v>Electronics</v>
      </c>
      <c r="L3017" t="str">
        <f>VLOOKUP(E3017,Stores!A:B,2,FALSE)</f>
        <v>MegaMart New Michele</v>
      </c>
      <c r="M3017">
        <f>VLOOKUP(D3017,Products!A:E,5,FALSE)</f>
        <v>1246.1099999999999</v>
      </c>
      <c r="N3017" s="5">
        <f t="shared" si="47"/>
        <v>4236.7739999999994</v>
      </c>
    </row>
    <row r="3018" spans="1:14" x14ac:dyDescent="0.3">
      <c r="A3018" t="s">
        <v>3874</v>
      </c>
      <c r="B3018" s="2">
        <v>45466</v>
      </c>
      <c r="C3018" t="s">
        <v>48</v>
      </c>
      <c r="D3018" t="s">
        <v>736</v>
      </c>
      <c r="E3018" t="s">
        <v>839</v>
      </c>
      <c r="F3018">
        <v>5</v>
      </c>
      <c r="G3018">
        <v>0.05</v>
      </c>
      <c r="H3018" t="s">
        <v>855</v>
      </c>
      <c r="I3018" t="str">
        <f>VLOOKUP(C3018,Customers!A:C,2,FALSE)&amp;" "&amp;VLOOKUP(C3018,Customers!A:C,3,FALSE)</f>
        <v>Haley Williams</v>
      </c>
      <c r="J3018" t="str">
        <f>VLOOKUP(D3018,Products!A:C,2,FALSE)</f>
        <v>Us Snacks</v>
      </c>
      <c r="K3018" t="str">
        <f>VLOOKUP(D3018,Products!A:C,3,FALSE)</f>
        <v>Groceries</v>
      </c>
      <c r="L3018" t="str">
        <f>VLOOKUP(E3018,Stores!A:B,2,FALSE)</f>
        <v>MegaMart New Michele</v>
      </c>
      <c r="M3018">
        <f>VLOOKUP(D3018,Products!A:E,5,FALSE)</f>
        <v>123.19</v>
      </c>
      <c r="N3018" s="5">
        <f t="shared" si="47"/>
        <v>585.15250000000003</v>
      </c>
    </row>
    <row r="3019" spans="1:14" x14ac:dyDescent="0.3">
      <c r="A3019" t="s">
        <v>3875</v>
      </c>
      <c r="B3019" s="2">
        <v>45374</v>
      </c>
      <c r="C3019" t="s">
        <v>505</v>
      </c>
      <c r="D3019" t="s">
        <v>784</v>
      </c>
      <c r="E3019" t="s">
        <v>835</v>
      </c>
      <c r="F3019">
        <v>5</v>
      </c>
      <c r="G3019">
        <v>0.05</v>
      </c>
      <c r="H3019" t="s">
        <v>861</v>
      </c>
      <c r="I3019" t="str">
        <f>VLOOKUP(C3019,Customers!A:C,2,FALSE)&amp;" "&amp;VLOOKUP(C3019,Customers!A:C,3,FALSE)</f>
        <v>Alexander Mcfarland</v>
      </c>
      <c r="J3019" t="str">
        <f>VLOOKUP(D3019,Products!A:C,2,FALSE)</f>
        <v>Road Clothing</v>
      </c>
      <c r="K3019" t="str">
        <f>VLOOKUP(D3019,Products!A:C,3,FALSE)</f>
        <v>Fashion</v>
      </c>
      <c r="L3019" t="str">
        <f>VLOOKUP(E3019,Stores!A:B,2,FALSE)</f>
        <v>MegaMart Peckmouth</v>
      </c>
      <c r="M3019">
        <f>VLOOKUP(D3019,Products!A:E,5,FALSE)</f>
        <v>1485.05</v>
      </c>
      <c r="N3019" s="5">
        <f t="shared" si="47"/>
        <v>7053.9874999999993</v>
      </c>
    </row>
    <row r="3020" spans="1:14" x14ac:dyDescent="0.3">
      <c r="A3020" t="s">
        <v>3876</v>
      </c>
      <c r="B3020" s="2">
        <v>45234</v>
      </c>
      <c r="C3020" t="s">
        <v>630</v>
      </c>
      <c r="D3020" t="s">
        <v>826</v>
      </c>
      <c r="E3020" t="s">
        <v>842</v>
      </c>
      <c r="F3020">
        <v>1</v>
      </c>
      <c r="G3020">
        <v>0.15</v>
      </c>
      <c r="H3020" t="s">
        <v>865</v>
      </c>
      <c r="I3020" t="str">
        <f>VLOOKUP(C3020,Customers!A:C,2,FALSE)&amp;" "&amp;VLOOKUP(C3020,Customers!A:C,3,FALSE)</f>
        <v>Mark Mcdonald</v>
      </c>
      <c r="J3020" t="str">
        <f>VLOOKUP(D3020,Products!A:C,2,FALSE)</f>
        <v>Maybe Footwear</v>
      </c>
      <c r="K3020" t="str">
        <f>VLOOKUP(D3020,Products!A:C,3,FALSE)</f>
        <v>Fashion</v>
      </c>
      <c r="L3020" t="str">
        <f>VLOOKUP(E3020,Stores!A:B,2,FALSE)</f>
        <v>MegaMart Brianahaven</v>
      </c>
      <c r="M3020">
        <f>VLOOKUP(D3020,Products!A:E,5,FALSE)</f>
        <v>1044.6400000000001</v>
      </c>
      <c r="N3020" s="5">
        <f t="shared" si="47"/>
        <v>887.94400000000007</v>
      </c>
    </row>
    <row r="3021" spans="1:14" x14ac:dyDescent="0.3">
      <c r="A3021" t="s">
        <v>3877</v>
      </c>
      <c r="B3021" s="2">
        <v>45574</v>
      </c>
      <c r="C3021" t="s">
        <v>472</v>
      </c>
      <c r="D3021" t="s">
        <v>764</v>
      </c>
      <c r="E3021" t="s">
        <v>846</v>
      </c>
      <c r="F3021">
        <v>1</v>
      </c>
      <c r="G3021">
        <v>0</v>
      </c>
      <c r="H3021" t="s">
        <v>865</v>
      </c>
      <c r="I3021" t="str">
        <f>VLOOKUP(C3021,Customers!A:C,2,FALSE)&amp;" "&amp;VLOOKUP(C3021,Customers!A:C,3,FALSE)</f>
        <v>Gary Taylor</v>
      </c>
      <c r="J3021" t="str">
        <f>VLOOKUP(D3021,Products!A:C,2,FALSE)</f>
        <v>Simple Accessories</v>
      </c>
      <c r="K3021" t="str">
        <f>VLOOKUP(D3021,Products!A:C,3,FALSE)</f>
        <v>Fashion</v>
      </c>
      <c r="L3021" t="str">
        <f>VLOOKUP(E3021,Stores!A:B,2,FALSE)</f>
        <v>MegaMart Johnmouth</v>
      </c>
      <c r="M3021">
        <f>VLOOKUP(D3021,Products!A:E,5,FALSE)</f>
        <v>323.92</v>
      </c>
      <c r="N3021" s="5">
        <f t="shared" si="47"/>
        <v>323.92</v>
      </c>
    </row>
    <row r="3022" spans="1:14" x14ac:dyDescent="0.3">
      <c r="A3022" t="s">
        <v>3878</v>
      </c>
      <c r="B3022" s="2">
        <v>45338</v>
      </c>
      <c r="C3022" t="s">
        <v>250</v>
      </c>
      <c r="D3022" t="s">
        <v>802</v>
      </c>
      <c r="E3022" t="s">
        <v>846</v>
      </c>
      <c r="F3022">
        <v>2</v>
      </c>
      <c r="G3022">
        <v>0.05</v>
      </c>
      <c r="H3022" t="s">
        <v>855</v>
      </c>
      <c r="I3022" t="str">
        <f>VLOOKUP(C3022,Customers!A:C,2,FALSE)&amp;" "&amp;VLOOKUP(C3022,Customers!A:C,3,FALSE)</f>
        <v>Jason Jenkins</v>
      </c>
      <c r="J3022" t="str">
        <f>VLOOKUP(D3022,Products!A:C,2,FALSE)</f>
        <v>Stage Footwear</v>
      </c>
      <c r="K3022" t="str">
        <f>VLOOKUP(D3022,Products!A:C,3,FALSE)</f>
        <v>Fashion</v>
      </c>
      <c r="L3022" t="str">
        <f>VLOOKUP(E3022,Stores!A:B,2,FALSE)</f>
        <v>MegaMart Johnmouth</v>
      </c>
      <c r="M3022">
        <f>VLOOKUP(D3022,Products!A:E,5,FALSE)</f>
        <v>366.93</v>
      </c>
      <c r="N3022" s="5">
        <f t="shared" si="47"/>
        <v>697.16700000000003</v>
      </c>
    </row>
    <row r="3023" spans="1:14" x14ac:dyDescent="0.3">
      <c r="A3023" t="s">
        <v>3879</v>
      </c>
      <c r="B3023" s="2">
        <v>45687</v>
      </c>
      <c r="C3023" t="s">
        <v>464</v>
      </c>
      <c r="D3023" t="s">
        <v>753</v>
      </c>
      <c r="E3023" t="s">
        <v>831</v>
      </c>
      <c r="F3023">
        <v>3</v>
      </c>
      <c r="G3023">
        <v>0.1</v>
      </c>
      <c r="H3023" t="s">
        <v>858</v>
      </c>
      <c r="I3023" t="str">
        <f>VLOOKUP(C3023,Customers!A:C,2,FALSE)&amp;" "&amp;VLOOKUP(C3023,Customers!A:C,3,FALSE)</f>
        <v>Monique Johnson</v>
      </c>
      <c r="J3023" t="str">
        <f>VLOOKUP(D3023,Products!A:C,2,FALSE)</f>
        <v>Whether Bags</v>
      </c>
      <c r="K3023" t="str">
        <f>VLOOKUP(D3023,Products!A:C,3,FALSE)</f>
        <v>Fashion</v>
      </c>
      <c r="L3023" t="str">
        <f>VLOOKUP(E3023,Stores!A:B,2,FALSE)</f>
        <v>MegaMart Jimenezborough</v>
      </c>
      <c r="M3023">
        <f>VLOOKUP(D3023,Products!A:E,5,FALSE)</f>
        <v>270.45</v>
      </c>
      <c r="N3023" s="5">
        <f t="shared" si="47"/>
        <v>730.21499999999992</v>
      </c>
    </row>
    <row r="3024" spans="1:14" x14ac:dyDescent="0.3">
      <c r="A3024" t="s">
        <v>3880</v>
      </c>
      <c r="B3024" s="2">
        <v>45867</v>
      </c>
      <c r="C3024" t="s">
        <v>491</v>
      </c>
      <c r="D3024" t="s">
        <v>784</v>
      </c>
      <c r="E3024" t="s">
        <v>842</v>
      </c>
      <c r="F3024">
        <v>2</v>
      </c>
      <c r="G3024">
        <v>0.1</v>
      </c>
      <c r="H3024" t="s">
        <v>858</v>
      </c>
      <c r="I3024" t="str">
        <f>VLOOKUP(C3024,Customers!A:C,2,FALSE)&amp;" "&amp;VLOOKUP(C3024,Customers!A:C,3,FALSE)</f>
        <v>Emily Hart</v>
      </c>
      <c r="J3024" t="str">
        <f>VLOOKUP(D3024,Products!A:C,2,FALSE)</f>
        <v>Road Clothing</v>
      </c>
      <c r="K3024" t="str">
        <f>VLOOKUP(D3024,Products!A:C,3,FALSE)</f>
        <v>Fashion</v>
      </c>
      <c r="L3024" t="str">
        <f>VLOOKUP(E3024,Stores!A:B,2,FALSE)</f>
        <v>MegaMart Brianahaven</v>
      </c>
      <c r="M3024">
        <f>VLOOKUP(D3024,Products!A:E,5,FALSE)</f>
        <v>1485.05</v>
      </c>
      <c r="N3024" s="5">
        <f t="shared" si="47"/>
        <v>2673.09</v>
      </c>
    </row>
    <row r="3025" spans="1:14" x14ac:dyDescent="0.3">
      <c r="A3025" t="s">
        <v>3881</v>
      </c>
      <c r="B3025" s="2">
        <v>45484</v>
      </c>
      <c r="C3025" t="s">
        <v>627</v>
      </c>
      <c r="D3025" t="s">
        <v>800</v>
      </c>
      <c r="E3025" t="s">
        <v>831</v>
      </c>
      <c r="F3025">
        <v>2</v>
      </c>
      <c r="G3025">
        <v>0.15</v>
      </c>
      <c r="H3025" t="s">
        <v>861</v>
      </c>
      <c r="I3025" t="str">
        <f>VLOOKUP(C3025,Customers!A:C,2,FALSE)&amp;" "&amp;VLOOKUP(C3025,Customers!A:C,3,FALSE)</f>
        <v>Anthony Gould</v>
      </c>
      <c r="J3025" t="str">
        <f>VLOOKUP(D3025,Products!A:C,2,FALSE)</f>
        <v>Book Television</v>
      </c>
      <c r="K3025" t="str">
        <f>VLOOKUP(D3025,Products!A:C,3,FALSE)</f>
        <v>Electronics</v>
      </c>
      <c r="L3025" t="str">
        <f>VLOOKUP(E3025,Stores!A:B,2,FALSE)</f>
        <v>MegaMart Jimenezborough</v>
      </c>
      <c r="M3025">
        <f>VLOOKUP(D3025,Products!A:E,5,FALSE)</f>
        <v>1952.65</v>
      </c>
      <c r="N3025" s="5">
        <f t="shared" si="47"/>
        <v>3319.5050000000001</v>
      </c>
    </row>
    <row r="3026" spans="1:14" x14ac:dyDescent="0.3">
      <c r="A3026" t="s">
        <v>3882</v>
      </c>
      <c r="B3026" s="2">
        <v>45604</v>
      </c>
      <c r="C3026" t="s">
        <v>630</v>
      </c>
      <c r="D3026" t="s">
        <v>814</v>
      </c>
      <c r="E3026" t="s">
        <v>835</v>
      </c>
      <c r="F3026">
        <v>1</v>
      </c>
      <c r="G3026">
        <v>0</v>
      </c>
      <c r="H3026" t="s">
        <v>858</v>
      </c>
      <c r="I3026" t="str">
        <f>VLOOKUP(C3026,Customers!A:C,2,FALSE)&amp;" "&amp;VLOOKUP(C3026,Customers!A:C,3,FALSE)</f>
        <v>Mark Mcdonald</v>
      </c>
      <c r="J3026" t="str">
        <f>VLOOKUP(D3026,Products!A:C,2,FALSE)</f>
        <v>Least Accessories</v>
      </c>
      <c r="K3026" t="str">
        <f>VLOOKUP(D3026,Products!A:C,3,FALSE)</f>
        <v>Fashion</v>
      </c>
      <c r="L3026" t="str">
        <f>VLOOKUP(E3026,Stores!A:B,2,FALSE)</f>
        <v>MegaMart Peckmouth</v>
      </c>
      <c r="M3026">
        <f>VLOOKUP(D3026,Products!A:E,5,FALSE)</f>
        <v>1286.55</v>
      </c>
      <c r="N3026" s="5">
        <f t="shared" si="47"/>
        <v>1286.55</v>
      </c>
    </row>
    <row r="3027" spans="1:14" x14ac:dyDescent="0.3">
      <c r="A3027" t="s">
        <v>3883</v>
      </c>
      <c r="B3027" s="2">
        <v>45580</v>
      </c>
      <c r="C3027" t="s">
        <v>144</v>
      </c>
      <c r="D3027" t="s">
        <v>764</v>
      </c>
      <c r="E3027" t="s">
        <v>831</v>
      </c>
      <c r="F3027">
        <v>3</v>
      </c>
      <c r="G3027">
        <v>0.05</v>
      </c>
      <c r="H3027" t="s">
        <v>858</v>
      </c>
      <c r="I3027" t="str">
        <f>VLOOKUP(C3027,Customers!A:C,2,FALSE)&amp;" "&amp;VLOOKUP(C3027,Customers!A:C,3,FALSE)</f>
        <v>Miranda Nelson</v>
      </c>
      <c r="J3027" t="str">
        <f>VLOOKUP(D3027,Products!A:C,2,FALSE)</f>
        <v>Simple Accessories</v>
      </c>
      <c r="K3027" t="str">
        <f>VLOOKUP(D3027,Products!A:C,3,FALSE)</f>
        <v>Fashion</v>
      </c>
      <c r="L3027" t="str">
        <f>VLOOKUP(E3027,Stores!A:B,2,FALSE)</f>
        <v>MegaMart Jimenezborough</v>
      </c>
      <c r="M3027">
        <f>VLOOKUP(D3027,Products!A:E,5,FALSE)</f>
        <v>323.92</v>
      </c>
      <c r="N3027" s="5">
        <f t="shared" si="47"/>
        <v>923.17199999999991</v>
      </c>
    </row>
    <row r="3028" spans="1:14" x14ac:dyDescent="0.3">
      <c r="A3028" t="s">
        <v>3884</v>
      </c>
      <c r="B3028" s="2">
        <v>45468</v>
      </c>
      <c r="C3028" t="s">
        <v>294</v>
      </c>
      <c r="D3028" t="s">
        <v>776</v>
      </c>
      <c r="E3028" t="s">
        <v>835</v>
      </c>
      <c r="F3028">
        <v>5</v>
      </c>
      <c r="G3028">
        <v>0</v>
      </c>
      <c r="H3028" t="s">
        <v>861</v>
      </c>
      <c r="I3028" t="str">
        <f>VLOOKUP(C3028,Customers!A:C,2,FALSE)&amp;" "&amp;VLOOKUP(C3028,Customers!A:C,3,FALSE)</f>
        <v>Jeanne Young</v>
      </c>
      <c r="J3028" t="str">
        <f>VLOOKUP(D3028,Products!A:C,2,FALSE)</f>
        <v>Little Watches</v>
      </c>
      <c r="K3028" t="str">
        <f>VLOOKUP(D3028,Products!A:C,3,FALSE)</f>
        <v>Fashion</v>
      </c>
      <c r="L3028" t="str">
        <f>VLOOKUP(E3028,Stores!A:B,2,FALSE)</f>
        <v>MegaMart Peckmouth</v>
      </c>
      <c r="M3028">
        <f>VLOOKUP(D3028,Products!A:E,5,FALSE)</f>
        <v>429.15</v>
      </c>
      <c r="N3028" s="5">
        <f t="shared" si="47"/>
        <v>2145.75</v>
      </c>
    </row>
    <row r="3029" spans="1:14" x14ac:dyDescent="0.3">
      <c r="A3029" t="s">
        <v>3885</v>
      </c>
      <c r="B3029" s="2">
        <v>45436</v>
      </c>
      <c r="C3029" t="s">
        <v>32</v>
      </c>
      <c r="D3029" t="s">
        <v>824</v>
      </c>
      <c r="E3029" t="s">
        <v>831</v>
      </c>
      <c r="F3029">
        <v>1</v>
      </c>
      <c r="G3029">
        <v>0.1</v>
      </c>
      <c r="H3029" t="s">
        <v>865</v>
      </c>
      <c r="I3029" t="str">
        <f>VLOOKUP(C3029,Customers!A:C,2,FALSE)&amp;" "&amp;VLOOKUP(C3029,Customers!A:C,3,FALSE)</f>
        <v>Erin Walker</v>
      </c>
      <c r="J3029" t="str">
        <f>VLOOKUP(D3029,Products!A:C,2,FALSE)</f>
        <v>Possible Watches</v>
      </c>
      <c r="K3029" t="str">
        <f>VLOOKUP(D3029,Products!A:C,3,FALSE)</f>
        <v>Fashion</v>
      </c>
      <c r="L3029" t="str">
        <f>VLOOKUP(E3029,Stores!A:B,2,FALSE)</f>
        <v>MegaMart Jimenezborough</v>
      </c>
      <c r="M3029">
        <f>VLOOKUP(D3029,Products!A:E,5,FALSE)</f>
        <v>388.26</v>
      </c>
      <c r="N3029" s="5">
        <f t="shared" si="47"/>
        <v>349.43400000000003</v>
      </c>
    </row>
    <row r="3030" spans="1:14" x14ac:dyDescent="0.3">
      <c r="A3030" t="s">
        <v>3886</v>
      </c>
      <c r="B3030" s="2">
        <v>45299</v>
      </c>
      <c r="C3030" t="s">
        <v>210</v>
      </c>
      <c r="D3030" t="s">
        <v>742</v>
      </c>
      <c r="E3030" t="s">
        <v>835</v>
      </c>
      <c r="F3030">
        <v>1</v>
      </c>
      <c r="G3030">
        <v>0</v>
      </c>
      <c r="H3030" t="s">
        <v>855</v>
      </c>
      <c r="I3030" t="str">
        <f>VLOOKUP(C3030,Customers!A:C,2,FALSE)&amp;" "&amp;VLOOKUP(C3030,Customers!A:C,3,FALSE)</f>
        <v>Crystal Johnson</v>
      </c>
      <c r="J3030" t="str">
        <f>VLOOKUP(D3030,Products!A:C,2,FALSE)</f>
        <v>Either Headphones</v>
      </c>
      <c r="K3030" t="str">
        <f>VLOOKUP(D3030,Products!A:C,3,FALSE)</f>
        <v>Electronics</v>
      </c>
      <c r="L3030" t="str">
        <f>VLOOKUP(E3030,Stores!A:B,2,FALSE)</f>
        <v>MegaMart Peckmouth</v>
      </c>
      <c r="M3030">
        <f>VLOOKUP(D3030,Products!A:E,5,FALSE)</f>
        <v>248.57</v>
      </c>
      <c r="N3030" s="5">
        <f t="shared" si="47"/>
        <v>248.57</v>
      </c>
    </row>
    <row r="3031" spans="1:14" x14ac:dyDescent="0.3">
      <c r="A3031" t="s">
        <v>3887</v>
      </c>
      <c r="B3031" s="2">
        <v>45259</v>
      </c>
      <c r="C3031" t="s">
        <v>432</v>
      </c>
      <c r="D3031" t="s">
        <v>822</v>
      </c>
      <c r="E3031" t="s">
        <v>831</v>
      </c>
      <c r="F3031">
        <v>4</v>
      </c>
      <c r="G3031">
        <v>0.1</v>
      </c>
      <c r="H3031" t="s">
        <v>858</v>
      </c>
      <c r="I3031" t="str">
        <f>VLOOKUP(C3031,Customers!A:C,2,FALSE)&amp;" "&amp;VLOOKUP(C3031,Customers!A:C,3,FALSE)</f>
        <v>Jamie Webb</v>
      </c>
      <c r="J3031" t="str">
        <f>VLOOKUP(D3031,Products!A:C,2,FALSE)</f>
        <v>Nor Bags</v>
      </c>
      <c r="K3031" t="str">
        <f>VLOOKUP(D3031,Products!A:C,3,FALSE)</f>
        <v>Fashion</v>
      </c>
      <c r="L3031" t="str">
        <f>VLOOKUP(E3031,Stores!A:B,2,FALSE)</f>
        <v>MegaMart Jimenezborough</v>
      </c>
      <c r="M3031">
        <f>VLOOKUP(D3031,Products!A:E,5,FALSE)</f>
        <v>1216.3599999999999</v>
      </c>
      <c r="N3031" s="5">
        <f t="shared" si="47"/>
        <v>4378.8959999999997</v>
      </c>
    </row>
    <row r="3032" spans="1:14" x14ac:dyDescent="0.3">
      <c r="A3032" t="s">
        <v>3888</v>
      </c>
      <c r="B3032" s="2">
        <v>45384</v>
      </c>
      <c r="C3032" t="s">
        <v>15</v>
      </c>
      <c r="D3032" t="s">
        <v>774</v>
      </c>
      <c r="E3032" t="s">
        <v>846</v>
      </c>
      <c r="F3032">
        <v>3</v>
      </c>
      <c r="G3032">
        <v>0.1</v>
      </c>
      <c r="H3032" t="s">
        <v>858</v>
      </c>
      <c r="I3032" t="str">
        <f>VLOOKUP(C3032,Customers!A:C,2,FALSE)&amp;" "&amp;VLOOKUP(C3032,Customers!A:C,3,FALSE)</f>
        <v>Carol Hays</v>
      </c>
      <c r="J3032" t="str">
        <f>VLOOKUP(D3032,Products!A:C,2,FALSE)</f>
        <v>Him Smartphone</v>
      </c>
      <c r="K3032" t="str">
        <f>VLOOKUP(D3032,Products!A:C,3,FALSE)</f>
        <v>Electronics</v>
      </c>
      <c r="L3032" t="str">
        <f>VLOOKUP(E3032,Stores!A:B,2,FALSE)</f>
        <v>MegaMart Johnmouth</v>
      </c>
      <c r="M3032">
        <f>VLOOKUP(D3032,Products!A:E,5,FALSE)</f>
        <v>1487.41</v>
      </c>
      <c r="N3032" s="5">
        <f t="shared" si="47"/>
        <v>4016.0070000000005</v>
      </c>
    </row>
    <row r="3033" spans="1:14" x14ac:dyDescent="0.3">
      <c r="A3033" t="s">
        <v>3889</v>
      </c>
      <c r="B3033" s="2">
        <v>45455</v>
      </c>
      <c r="C3033" t="s">
        <v>362</v>
      </c>
      <c r="D3033" t="s">
        <v>759</v>
      </c>
      <c r="E3033" t="s">
        <v>835</v>
      </c>
      <c r="F3033">
        <v>3</v>
      </c>
      <c r="G3033">
        <v>0.15</v>
      </c>
      <c r="H3033" t="s">
        <v>858</v>
      </c>
      <c r="I3033" t="str">
        <f>VLOOKUP(C3033,Customers!A:C,2,FALSE)&amp;" "&amp;VLOOKUP(C3033,Customers!A:C,3,FALSE)</f>
        <v>Eric King</v>
      </c>
      <c r="J3033" t="str">
        <f>VLOOKUP(D3033,Products!A:C,2,FALSE)</f>
        <v>Democratic Smartphone</v>
      </c>
      <c r="K3033" t="str">
        <f>VLOOKUP(D3033,Products!A:C,3,FALSE)</f>
        <v>Electronics</v>
      </c>
      <c r="L3033" t="str">
        <f>VLOOKUP(E3033,Stores!A:B,2,FALSE)</f>
        <v>MegaMart Peckmouth</v>
      </c>
      <c r="M3033">
        <f>VLOOKUP(D3033,Products!A:E,5,FALSE)</f>
        <v>1079.8900000000001</v>
      </c>
      <c r="N3033" s="5">
        <f t="shared" si="47"/>
        <v>2753.7195000000002</v>
      </c>
    </row>
    <row r="3034" spans="1:14" x14ac:dyDescent="0.3">
      <c r="A3034" t="s">
        <v>3890</v>
      </c>
      <c r="B3034" s="2">
        <v>45841</v>
      </c>
      <c r="C3034" t="s">
        <v>582</v>
      </c>
      <c r="D3034" t="s">
        <v>806</v>
      </c>
      <c r="E3034" t="s">
        <v>846</v>
      </c>
      <c r="F3034">
        <v>5</v>
      </c>
      <c r="G3034">
        <v>0</v>
      </c>
      <c r="H3034" t="s">
        <v>858</v>
      </c>
      <c r="I3034" t="str">
        <f>VLOOKUP(C3034,Customers!A:C,2,FALSE)&amp;" "&amp;VLOOKUP(C3034,Customers!A:C,3,FALSE)</f>
        <v>Erin Rogers</v>
      </c>
      <c r="J3034" t="str">
        <f>VLOOKUP(D3034,Products!A:C,2,FALSE)</f>
        <v>Piece Headphones</v>
      </c>
      <c r="K3034" t="str">
        <f>VLOOKUP(D3034,Products!A:C,3,FALSE)</f>
        <v>Electronics</v>
      </c>
      <c r="L3034" t="str">
        <f>VLOOKUP(E3034,Stores!A:B,2,FALSE)</f>
        <v>MegaMart Johnmouth</v>
      </c>
      <c r="M3034">
        <f>VLOOKUP(D3034,Products!A:E,5,FALSE)</f>
        <v>1745.61</v>
      </c>
      <c r="N3034" s="5">
        <f t="shared" si="47"/>
        <v>8728.0499999999993</v>
      </c>
    </row>
    <row r="3035" spans="1:14" x14ac:dyDescent="0.3">
      <c r="A3035" t="s">
        <v>3891</v>
      </c>
      <c r="B3035" s="2">
        <v>45211</v>
      </c>
      <c r="C3035" t="s">
        <v>40</v>
      </c>
      <c r="D3035" t="s">
        <v>772</v>
      </c>
      <c r="E3035" t="s">
        <v>842</v>
      </c>
      <c r="F3035">
        <v>3</v>
      </c>
      <c r="G3035">
        <v>0.1</v>
      </c>
      <c r="H3035" t="s">
        <v>865</v>
      </c>
      <c r="I3035" t="str">
        <f>VLOOKUP(C3035,Customers!A:C,2,FALSE)&amp;" "&amp;VLOOKUP(C3035,Customers!A:C,3,FALSE)</f>
        <v>Richard Pacheco</v>
      </c>
      <c r="J3035" t="str">
        <f>VLOOKUP(D3035,Products!A:C,2,FALSE)</f>
        <v>And Footwear</v>
      </c>
      <c r="K3035" t="str">
        <f>VLOOKUP(D3035,Products!A:C,3,FALSE)</f>
        <v>Fashion</v>
      </c>
      <c r="L3035" t="str">
        <f>VLOOKUP(E3035,Stores!A:B,2,FALSE)</f>
        <v>MegaMart Brianahaven</v>
      </c>
      <c r="M3035">
        <f>VLOOKUP(D3035,Products!A:E,5,FALSE)</f>
        <v>1878.47</v>
      </c>
      <c r="N3035" s="5">
        <f t="shared" si="47"/>
        <v>5071.8689999999997</v>
      </c>
    </row>
    <row r="3036" spans="1:14" x14ac:dyDescent="0.3">
      <c r="A3036" t="s">
        <v>3892</v>
      </c>
      <c r="B3036" s="2">
        <v>45672</v>
      </c>
      <c r="C3036" t="s">
        <v>250</v>
      </c>
      <c r="D3036" t="s">
        <v>784</v>
      </c>
      <c r="E3036" t="s">
        <v>842</v>
      </c>
      <c r="F3036">
        <v>4</v>
      </c>
      <c r="G3036">
        <v>0</v>
      </c>
      <c r="H3036" t="s">
        <v>858</v>
      </c>
      <c r="I3036" t="str">
        <f>VLOOKUP(C3036,Customers!A:C,2,FALSE)&amp;" "&amp;VLOOKUP(C3036,Customers!A:C,3,FALSE)</f>
        <v>Jason Jenkins</v>
      </c>
      <c r="J3036" t="str">
        <f>VLOOKUP(D3036,Products!A:C,2,FALSE)</f>
        <v>Road Clothing</v>
      </c>
      <c r="K3036" t="str">
        <f>VLOOKUP(D3036,Products!A:C,3,FALSE)</f>
        <v>Fashion</v>
      </c>
      <c r="L3036" t="str">
        <f>VLOOKUP(E3036,Stores!A:B,2,FALSE)</f>
        <v>MegaMart Brianahaven</v>
      </c>
      <c r="M3036">
        <f>VLOOKUP(D3036,Products!A:E,5,FALSE)</f>
        <v>1485.05</v>
      </c>
      <c r="N3036" s="5">
        <f t="shared" si="47"/>
        <v>5940.2</v>
      </c>
    </row>
    <row r="3037" spans="1:14" x14ac:dyDescent="0.3">
      <c r="A3037" t="s">
        <v>3893</v>
      </c>
      <c r="B3037" s="2">
        <v>45870</v>
      </c>
      <c r="C3037" t="s">
        <v>627</v>
      </c>
      <c r="D3037" t="s">
        <v>745</v>
      </c>
      <c r="E3037" t="s">
        <v>846</v>
      </c>
      <c r="F3037">
        <v>5</v>
      </c>
      <c r="G3037">
        <v>0.1</v>
      </c>
      <c r="H3037" t="s">
        <v>858</v>
      </c>
      <c r="I3037" t="str">
        <f>VLOOKUP(C3037,Customers!A:C,2,FALSE)&amp;" "&amp;VLOOKUP(C3037,Customers!A:C,3,FALSE)</f>
        <v>Anthony Gould</v>
      </c>
      <c r="J3037" t="str">
        <f>VLOOKUP(D3037,Products!A:C,2,FALSE)</f>
        <v>Above Camera</v>
      </c>
      <c r="K3037" t="str">
        <f>VLOOKUP(D3037,Products!A:C,3,FALSE)</f>
        <v>Electronics</v>
      </c>
      <c r="L3037" t="str">
        <f>VLOOKUP(E3037,Stores!A:B,2,FALSE)</f>
        <v>MegaMart Johnmouth</v>
      </c>
      <c r="M3037">
        <f>VLOOKUP(D3037,Products!A:E,5,FALSE)</f>
        <v>1193.0899999999999</v>
      </c>
      <c r="N3037" s="5">
        <f t="shared" si="47"/>
        <v>5368.9049999999997</v>
      </c>
    </row>
    <row r="3038" spans="1:14" x14ac:dyDescent="0.3">
      <c r="A3038" t="s">
        <v>3894</v>
      </c>
      <c r="B3038" s="2">
        <v>45245</v>
      </c>
      <c r="C3038" t="s">
        <v>32</v>
      </c>
      <c r="D3038" t="s">
        <v>816</v>
      </c>
      <c r="E3038" t="s">
        <v>842</v>
      </c>
      <c r="F3038">
        <v>1</v>
      </c>
      <c r="G3038">
        <v>0.15</v>
      </c>
      <c r="H3038" t="s">
        <v>865</v>
      </c>
      <c r="I3038" t="str">
        <f>VLOOKUP(C3038,Customers!A:C,2,FALSE)&amp;" "&amp;VLOOKUP(C3038,Customers!A:C,3,FALSE)</f>
        <v>Erin Walker</v>
      </c>
      <c r="J3038" t="str">
        <f>VLOOKUP(D3038,Products!A:C,2,FALSE)</f>
        <v>Set Dairy</v>
      </c>
      <c r="K3038" t="str">
        <f>VLOOKUP(D3038,Products!A:C,3,FALSE)</f>
        <v>Groceries</v>
      </c>
      <c r="L3038" t="str">
        <f>VLOOKUP(E3038,Stores!A:B,2,FALSE)</f>
        <v>MegaMart Brianahaven</v>
      </c>
      <c r="M3038">
        <f>VLOOKUP(D3038,Products!A:E,5,FALSE)</f>
        <v>1879.08</v>
      </c>
      <c r="N3038" s="5">
        <f t="shared" si="47"/>
        <v>1597.2179999999998</v>
      </c>
    </row>
    <row r="3039" spans="1:14" x14ac:dyDescent="0.3">
      <c r="A3039" t="s">
        <v>3895</v>
      </c>
      <c r="B3039" s="2">
        <v>45865</v>
      </c>
      <c r="C3039" t="s">
        <v>452</v>
      </c>
      <c r="D3039" t="s">
        <v>728</v>
      </c>
      <c r="E3039" t="s">
        <v>839</v>
      </c>
      <c r="F3039">
        <v>5</v>
      </c>
      <c r="G3039">
        <v>0</v>
      </c>
      <c r="H3039" t="s">
        <v>865</v>
      </c>
      <c r="I3039" t="str">
        <f>VLOOKUP(C3039,Customers!A:C,2,FALSE)&amp;" "&amp;VLOOKUP(C3039,Customers!A:C,3,FALSE)</f>
        <v>Amy Smith</v>
      </c>
      <c r="J3039" t="str">
        <f>VLOOKUP(D3039,Products!A:C,2,FALSE)</f>
        <v>Company Fruits</v>
      </c>
      <c r="K3039" t="str">
        <f>VLOOKUP(D3039,Products!A:C,3,FALSE)</f>
        <v>Groceries</v>
      </c>
      <c r="L3039" t="str">
        <f>VLOOKUP(E3039,Stores!A:B,2,FALSE)</f>
        <v>MegaMart New Michele</v>
      </c>
      <c r="M3039">
        <f>VLOOKUP(D3039,Products!A:E,5,FALSE)</f>
        <v>318.05</v>
      </c>
      <c r="N3039" s="5">
        <f t="shared" si="47"/>
        <v>1590.25</v>
      </c>
    </row>
    <row r="3040" spans="1:14" x14ac:dyDescent="0.3">
      <c r="A3040" t="s">
        <v>3896</v>
      </c>
      <c r="B3040" s="2">
        <v>45554</v>
      </c>
      <c r="C3040" t="s">
        <v>241</v>
      </c>
      <c r="D3040" t="s">
        <v>732</v>
      </c>
      <c r="E3040" t="s">
        <v>831</v>
      </c>
      <c r="F3040">
        <v>4</v>
      </c>
      <c r="G3040">
        <v>0.15</v>
      </c>
      <c r="H3040" t="s">
        <v>855</v>
      </c>
      <c r="I3040" t="str">
        <f>VLOOKUP(C3040,Customers!A:C,2,FALSE)&amp;" "&amp;VLOOKUP(C3040,Customers!A:C,3,FALSE)</f>
        <v>Michael Johnson</v>
      </c>
      <c r="J3040" t="str">
        <f>VLOOKUP(D3040,Products!A:C,2,FALSE)</f>
        <v>Understand Camera</v>
      </c>
      <c r="K3040" t="str">
        <f>VLOOKUP(D3040,Products!A:C,3,FALSE)</f>
        <v>Electronics</v>
      </c>
      <c r="L3040" t="str">
        <f>VLOOKUP(E3040,Stores!A:B,2,FALSE)</f>
        <v>MegaMart Jimenezborough</v>
      </c>
      <c r="M3040">
        <f>VLOOKUP(D3040,Products!A:E,5,FALSE)</f>
        <v>1474.12</v>
      </c>
      <c r="N3040" s="5">
        <f t="shared" si="47"/>
        <v>5012.0079999999998</v>
      </c>
    </row>
    <row r="3041" spans="1:14" x14ac:dyDescent="0.3">
      <c r="A3041" t="s">
        <v>3897</v>
      </c>
      <c r="B3041" s="2">
        <v>45846</v>
      </c>
      <c r="C3041" t="s">
        <v>238</v>
      </c>
      <c r="D3041" t="s">
        <v>802</v>
      </c>
      <c r="E3041" t="s">
        <v>846</v>
      </c>
      <c r="F3041">
        <v>4</v>
      </c>
      <c r="G3041">
        <v>0</v>
      </c>
      <c r="H3041" t="s">
        <v>855</v>
      </c>
      <c r="I3041" t="str">
        <f>VLOOKUP(C3041,Customers!A:C,2,FALSE)&amp;" "&amp;VLOOKUP(C3041,Customers!A:C,3,FALSE)</f>
        <v>Susan Salinas</v>
      </c>
      <c r="J3041" t="str">
        <f>VLOOKUP(D3041,Products!A:C,2,FALSE)</f>
        <v>Stage Footwear</v>
      </c>
      <c r="K3041" t="str">
        <f>VLOOKUP(D3041,Products!A:C,3,FALSE)</f>
        <v>Fashion</v>
      </c>
      <c r="L3041" t="str">
        <f>VLOOKUP(E3041,Stores!A:B,2,FALSE)</f>
        <v>MegaMart Johnmouth</v>
      </c>
      <c r="M3041">
        <f>VLOOKUP(D3041,Products!A:E,5,FALSE)</f>
        <v>366.93</v>
      </c>
      <c r="N3041" s="5">
        <f t="shared" si="47"/>
        <v>1467.72</v>
      </c>
    </row>
    <row r="3042" spans="1:14" x14ac:dyDescent="0.3">
      <c r="A3042" t="s">
        <v>3898</v>
      </c>
      <c r="B3042" s="2">
        <v>45595</v>
      </c>
      <c r="C3042" t="s">
        <v>302</v>
      </c>
      <c r="D3042" t="s">
        <v>753</v>
      </c>
      <c r="E3042" t="s">
        <v>846</v>
      </c>
      <c r="F3042">
        <v>4</v>
      </c>
      <c r="G3042">
        <v>0.05</v>
      </c>
      <c r="H3042" t="s">
        <v>858</v>
      </c>
      <c r="I3042" t="str">
        <f>VLOOKUP(C3042,Customers!A:C,2,FALSE)&amp;" "&amp;VLOOKUP(C3042,Customers!A:C,3,FALSE)</f>
        <v>Grace Garcia</v>
      </c>
      <c r="J3042" t="str">
        <f>VLOOKUP(D3042,Products!A:C,2,FALSE)</f>
        <v>Whether Bags</v>
      </c>
      <c r="K3042" t="str">
        <f>VLOOKUP(D3042,Products!A:C,3,FALSE)</f>
        <v>Fashion</v>
      </c>
      <c r="L3042" t="str">
        <f>VLOOKUP(E3042,Stores!A:B,2,FALSE)</f>
        <v>MegaMart Johnmouth</v>
      </c>
      <c r="M3042">
        <f>VLOOKUP(D3042,Products!A:E,5,FALSE)</f>
        <v>270.45</v>
      </c>
      <c r="N3042" s="5">
        <f t="shared" si="47"/>
        <v>1027.7099999999998</v>
      </c>
    </row>
    <row r="3043" spans="1:14" x14ac:dyDescent="0.3">
      <c r="A3043" t="s">
        <v>3899</v>
      </c>
      <c r="B3043" s="2">
        <v>45574</v>
      </c>
      <c r="C3043" t="s">
        <v>101</v>
      </c>
      <c r="D3043" t="s">
        <v>802</v>
      </c>
      <c r="E3043" t="s">
        <v>831</v>
      </c>
      <c r="F3043">
        <v>2</v>
      </c>
      <c r="G3043">
        <v>0</v>
      </c>
      <c r="H3043" t="s">
        <v>858</v>
      </c>
      <c r="I3043" t="str">
        <f>VLOOKUP(C3043,Customers!A:C,2,FALSE)&amp;" "&amp;VLOOKUP(C3043,Customers!A:C,3,FALSE)</f>
        <v>Cheryl Gilbert</v>
      </c>
      <c r="J3043" t="str">
        <f>VLOOKUP(D3043,Products!A:C,2,FALSE)</f>
        <v>Stage Footwear</v>
      </c>
      <c r="K3043" t="str">
        <f>VLOOKUP(D3043,Products!A:C,3,FALSE)</f>
        <v>Fashion</v>
      </c>
      <c r="L3043" t="str">
        <f>VLOOKUP(E3043,Stores!A:B,2,FALSE)</f>
        <v>MegaMart Jimenezborough</v>
      </c>
      <c r="M3043">
        <f>VLOOKUP(D3043,Products!A:E,5,FALSE)</f>
        <v>366.93</v>
      </c>
      <c r="N3043" s="5">
        <f t="shared" si="47"/>
        <v>733.86</v>
      </c>
    </row>
    <row r="3044" spans="1:14" x14ac:dyDescent="0.3">
      <c r="A3044" t="s">
        <v>3900</v>
      </c>
      <c r="B3044" s="2">
        <v>45497</v>
      </c>
      <c r="C3044" t="s">
        <v>74</v>
      </c>
      <c r="D3044" t="s">
        <v>766</v>
      </c>
      <c r="E3044" t="s">
        <v>846</v>
      </c>
      <c r="F3044">
        <v>2</v>
      </c>
      <c r="G3044">
        <v>0.15</v>
      </c>
      <c r="H3044" t="s">
        <v>855</v>
      </c>
      <c r="I3044" t="str">
        <f>VLOOKUP(C3044,Customers!A:C,2,FALSE)&amp;" "&amp;VLOOKUP(C3044,Customers!A:C,3,FALSE)</f>
        <v>Breanna Davis</v>
      </c>
      <c r="J3044" t="str">
        <f>VLOOKUP(D3044,Products!A:C,2,FALSE)</f>
        <v>Firm Dairy</v>
      </c>
      <c r="K3044" t="str">
        <f>VLOOKUP(D3044,Products!A:C,3,FALSE)</f>
        <v>Groceries</v>
      </c>
      <c r="L3044" t="str">
        <f>VLOOKUP(E3044,Stores!A:B,2,FALSE)</f>
        <v>MegaMart Johnmouth</v>
      </c>
      <c r="M3044">
        <f>VLOOKUP(D3044,Products!A:E,5,FALSE)</f>
        <v>1227.24</v>
      </c>
      <c r="N3044" s="5">
        <f t="shared" si="47"/>
        <v>2086.308</v>
      </c>
    </row>
    <row r="3045" spans="1:14" x14ac:dyDescent="0.3">
      <c r="A3045" t="s">
        <v>3901</v>
      </c>
      <c r="B3045" s="2">
        <v>45436</v>
      </c>
      <c r="C3045" t="s">
        <v>633</v>
      </c>
      <c r="D3045" t="s">
        <v>718</v>
      </c>
      <c r="E3045" t="s">
        <v>846</v>
      </c>
      <c r="F3045">
        <v>4</v>
      </c>
      <c r="G3045">
        <v>0</v>
      </c>
      <c r="H3045" t="s">
        <v>855</v>
      </c>
      <c r="I3045" t="str">
        <f>VLOOKUP(C3045,Customers!A:C,2,FALSE)&amp;" "&amp;VLOOKUP(C3045,Customers!A:C,3,FALSE)</f>
        <v>Dennis Wallace</v>
      </c>
      <c r="J3045" t="str">
        <f>VLOOKUP(D3045,Products!A:C,2,FALSE)</f>
        <v>Here Footwear</v>
      </c>
      <c r="K3045" t="str">
        <f>VLOOKUP(D3045,Products!A:C,3,FALSE)</f>
        <v>Fashion</v>
      </c>
      <c r="L3045" t="str">
        <f>VLOOKUP(E3045,Stores!A:B,2,FALSE)</f>
        <v>MegaMart Johnmouth</v>
      </c>
      <c r="M3045">
        <f>VLOOKUP(D3045,Products!A:E,5,FALSE)</f>
        <v>337.63</v>
      </c>
      <c r="N3045" s="5">
        <f t="shared" si="47"/>
        <v>1350.52</v>
      </c>
    </row>
    <row r="3046" spans="1:14" x14ac:dyDescent="0.3">
      <c r="A3046" t="s">
        <v>3902</v>
      </c>
      <c r="B3046" s="2">
        <v>45849</v>
      </c>
      <c r="C3046" t="s">
        <v>542</v>
      </c>
      <c r="D3046" t="s">
        <v>806</v>
      </c>
      <c r="E3046" t="s">
        <v>831</v>
      </c>
      <c r="F3046">
        <v>5</v>
      </c>
      <c r="G3046">
        <v>0.15</v>
      </c>
      <c r="H3046" t="s">
        <v>861</v>
      </c>
      <c r="I3046" t="str">
        <f>VLOOKUP(C3046,Customers!A:C,2,FALSE)&amp;" "&amp;VLOOKUP(C3046,Customers!A:C,3,FALSE)</f>
        <v>Francis Hernandez</v>
      </c>
      <c r="J3046" t="str">
        <f>VLOOKUP(D3046,Products!A:C,2,FALSE)</f>
        <v>Piece Headphones</v>
      </c>
      <c r="K3046" t="str">
        <f>VLOOKUP(D3046,Products!A:C,3,FALSE)</f>
        <v>Electronics</v>
      </c>
      <c r="L3046" t="str">
        <f>VLOOKUP(E3046,Stores!A:B,2,FALSE)</f>
        <v>MegaMart Jimenezborough</v>
      </c>
      <c r="M3046">
        <f>VLOOKUP(D3046,Products!A:E,5,FALSE)</f>
        <v>1745.61</v>
      </c>
      <c r="N3046" s="5">
        <f t="shared" si="47"/>
        <v>7418.8424999999988</v>
      </c>
    </row>
    <row r="3047" spans="1:14" x14ac:dyDescent="0.3">
      <c r="A3047" t="s">
        <v>3903</v>
      </c>
      <c r="B3047" s="2">
        <v>45551</v>
      </c>
      <c r="C3047" t="s">
        <v>432</v>
      </c>
      <c r="D3047" t="s">
        <v>818</v>
      </c>
      <c r="E3047" t="s">
        <v>839</v>
      </c>
      <c r="F3047">
        <v>2</v>
      </c>
      <c r="G3047">
        <v>0</v>
      </c>
      <c r="H3047" t="s">
        <v>855</v>
      </c>
      <c r="I3047" t="str">
        <f>VLOOKUP(C3047,Customers!A:C,2,FALSE)&amp;" "&amp;VLOOKUP(C3047,Customers!A:C,3,FALSE)</f>
        <v>Jamie Webb</v>
      </c>
      <c r="J3047" t="str">
        <f>VLOOKUP(D3047,Products!A:C,2,FALSE)</f>
        <v>Nature Clothing</v>
      </c>
      <c r="K3047" t="str">
        <f>VLOOKUP(D3047,Products!A:C,3,FALSE)</f>
        <v>Fashion</v>
      </c>
      <c r="L3047" t="str">
        <f>VLOOKUP(E3047,Stores!A:B,2,FALSE)</f>
        <v>MegaMart New Michele</v>
      </c>
      <c r="M3047">
        <f>VLOOKUP(D3047,Products!A:E,5,FALSE)</f>
        <v>1165.3699999999999</v>
      </c>
      <c r="N3047" s="5">
        <f t="shared" si="47"/>
        <v>2330.7399999999998</v>
      </c>
    </row>
    <row r="3048" spans="1:14" x14ac:dyDescent="0.3">
      <c r="A3048" t="s">
        <v>3904</v>
      </c>
      <c r="B3048" s="2">
        <v>45672</v>
      </c>
      <c r="C3048" t="s">
        <v>554</v>
      </c>
      <c r="D3048" t="s">
        <v>747</v>
      </c>
      <c r="E3048" t="s">
        <v>839</v>
      </c>
      <c r="F3048">
        <v>4</v>
      </c>
      <c r="G3048">
        <v>0</v>
      </c>
      <c r="H3048" t="s">
        <v>861</v>
      </c>
      <c r="I3048" t="str">
        <f>VLOOKUP(C3048,Customers!A:C,2,FALSE)&amp;" "&amp;VLOOKUP(C3048,Customers!A:C,3,FALSE)</f>
        <v>Lisa Martinez</v>
      </c>
      <c r="J3048" t="str">
        <f>VLOOKUP(D3048,Products!A:C,2,FALSE)</f>
        <v>World Watches</v>
      </c>
      <c r="K3048" t="str">
        <f>VLOOKUP(D3048,Products!A:C,3,FALSE)</f>
        <v>Fashion</v>
      </c>
      <c r="L3048" t="str">
        <f>VLOOKUP(E3048,Stores!A:B,2,FALSE)</f>
        <v>MegaMart New Michele</v>
      </c>
      <c r="M3048">
        <f>VLOOKUP(D3048,Products!A:E,5,FALSE)</f>
        <v>1134.8</v>
      </c>
      <c r="N3048" s="5">
        <f t="shared" si="47"/>
        <v>4539.2</v>
      </c>
    </row>
    <row r="3049" spans="1:14" x14ac:dyDescent="0.3">
      <c r="A3049" t="s">
        <v>3905</v>
      </c>
      <c r="B3049" s="2">
        <v>45216</v>
      </c>
      <c r="C3049" t="s">
        <v>81</v>
      </c>
      <c r="D3049" t="s">
        <v>715</v>
      </c>
      <c r="E3049" t="s">
        <v>835</v>
      </c>
      <c r="F3049">
        <v>4</v>
      </c>
      <c r="G3049">
        <v>0.15</v>
      </c>
      <c r="H3049" t="s">
        <v>861</v>
      </c>
      <c r="I3049" t="str">
        <f>VLOOKUP(C3049,Customers!A:C,2,FALSE)&amp;" "&amp;VLOOKUP(C3049,Customers!A:C,3,FALSE)</f>
        <v>Ryan Cole</v>
      </c>
      <c r="J3049" t="str">
        <f>VLOOKUP(D3049,Products!A:C,2,FALSE)</f>
        <v>Audience Television</v>
      </c>
      <c r="K3049" t="str">
        <f>VLOOKUP(D3049,Products!A:C,3,FALSE)</f>
        <v>Electronics</v>
      </c>
      <c r="L3049" t="str">
        <f>VLOOKUP(E3049,Stores!A:B,2,FALSE)</f>
        <v>MegaMart Peckmouth</v>
      </c>
      <c r="M3049">
        <f>VLOOKUP(D3049,Products!A:E,5,FALSE)</f>
        <v>818.76</v>
      </c>
      <c r="N3049" s="5">
        <f t="shared" si="47"/>
        <v>2783.7840000000001</v>
      </c>
    </row>
    <row r="3050" spans="1:14" x14ac:dyDescent="0.3">
      <c r="A3050" t="s">
        <v>3906</v>
      </c>
      <c r="B3050" s="2">
        <v>45826</v>
      </c>
      <c r="C3050" t="s">
        <v>12</v>
      </c>
      <c r="D3050" t="s">
        <v>728</v>
      </c>
      <c r="E3050" t="s">
        <v>842</v>
      </c>
      <c r="F3050">
        <v>2</v>
      </c>
      <c r="G3050">
        <v>0.15</v>
      </c>
      <c r="H3050" t="s">
        <v>865</v>
      </c>
      <c r="I3050" t="str">
        <f>VLOOKUP(C3050,Customers!A:C,2,FALSE)&amp;" "&amp;VLOOKUP(C3050,Customers!A:C,3,FALSE)</f>
        <v>Michael Miller</v>
      </c>
      <c r="J3050" t="str">
        <f>VLOOKUP(D3050,Products!A:C,2,FALSE)</f>
        <v>Company Fruits</v>
      </c>
      <c r="K3050" t="str">
        <f>VLOOKUP(D3050,Products!A:C,3,FALSE)</f>
        <v>Groceries</v>
      </c>
      <c r="L3050" t="str">
        <f>VLOOKUP(E3050,Stores!A:B,2,FALSE)</f>
        <v>MegaMart Brianahaven</v>
      </c>
      <c r="M3050">
        <f>VLOOKUP(D3050,Products!A:E,5,FALSE)</f>
        <v>318.05</v>
      </c>
      <c r="N3050" s="5">
        <f t="shared" si="47"/>
        <v>540.68500000000006</v>
      </c>
    </row>
    <row r="3051" spans="1:14" x14ac:dyDescent="0.3">
      <c r="A3051" t="s">
        <v>3907</v>
      </c>
      <c r="B3051" s="2">
        <v>45317</v>
      </c>
      <c r="C3051" t="s">
        <v>294</v>
      </c>
      <c r="D3051" t="s">
        <v>776</v>
      </c>
      <c r="E3051" t="s">
        <v>835</v>
      </c>
      <c r="F3051">
        <v>2</v>
      </c>
      <c r="G3051">
        <v>0.1</v>
      </c>
      <c r="H3051" t="s">
        <v>858</v>
      </c>
      <c r="I3051" t="str">
        <f>VLOOKUP(C3051,Customers!A:C,2,FALSE)&amp;" "&amp;VLOOKUP(C3051,Customers!A:C,3,FALSE)</f>
        <v>Jeanne Young</v>
      </c>
      <c r="J3051" t="str">
        <f>VLOOKUP(D3051,Products!A:C,2,FALSE)</f>
        <v>Little Watches</v>
      </c>
      <c r="K3051" t="str">
        <f>VLOOKUP(D3051,Products!A:C,3,FALSE)</f>
        <v>Fashion</v>
      </c>
      <c r="L3051" t="str">
        <f>VLOOKUP(E3051,Stores!A:B,2,FALSE)</f>
        <v>MegaMart Peckmouth</v>
      </c>
      <c r="M3051">
        <f>VLOOKUP(D3051,Products!A:E,5,FALSE)</f>
        <v>429.15</v>
      </c>
      <c r="N3051" s="5">
        <f t="shared" si="47"/>
        <v>772.47</v>
      </c>
    </row>
    <row r="3052" spans="1:14" x14ac:dyDescent="0.3">
      <c r="A3052" t="s">
        <v>3908</v>
      </c>
      <c r="B3052" s="2">
        <v>45221</v>
      </c>
      <c r="C3052" t="s">
        <v>228</v>
      </c>
      <c r="D3052" t="s">
        <v>769</v>
      </c>
      <c r="E3052" t="s">
        <v>842</v>
      </c>
      <c r="F3052">
        <v>1</v>
      </c>
      <c r="G3052">
        <v>0</v>
      </c>
      <c r="H3052" t="s">
        <v>861</v>
      </c>
      <c r="I3052" t="str">
        <f>VLOOKUP(C3052,Customers!A:C,2,FALSE)&amp;" "&amp;VLOOKUP(C3052,Customers!A:C,3,FALSE)</f>
        <v>Scott Wyatt</v>
      </c>
      <c r="J3052" t="str">
        <f>VLOOKUP(D3052,Products!A:C,2,FALSE)</f>
        <v>How Vegetables</v>
      </c>
      <c r="K3052" t="str">
        <f>VLOOKUP(D3052,Products!A:C,3,FALSE)</f>
        <v>Groceries</v>
      </c>
      <c r="L3052" t="str">
        <f>VLOOKUP(E3052,Stores!A:B,2,FALSE)</f>
        <v>MegaMart Brianahaven</v>
      </c>
      <c r="M3052">
        <f>VLOOKUP(D3052,Products!A:E,5,FALSE)</f>
        <v>25.57</v>
      </c>
      <c r="N3052" s="5">
        <f t="shared" si="47"/>
        <v>25.57</v>
      </c>
    </row>
    <row r="3053" spans="1:14" x14ac:dyDescent="0.3">
      <c r="A3053" t="s">
        <v>3909</v>
      </c>
      <c r="B3053" s="2">
        <v>45234</v>
      </c>
      <c r="C3053" t="s">
        <v>141</v>
      </c>
      <c r="D3053" t="s">
        <v>761</v>
      </c>
      <c r="E3053" t="s">
        <v>835</v>
      </c>
      <c r="F3053">
        <v>5</v>
      </c>
      <c r="G3053">
        <v>0</v>
      </c>
      <c r="H3053" t="s">
        <v>858</v>
      </c>
      <c r="I3053" t="str">
        <f>VLOOKUP(C3053,Customers!A:C,2,FALSE)&amp;" "&amp;VLOOKUP(C3053,Customers!A:C,3,FALSE)</f>
        <v>Michael Cervantes</v>
      </c>
      <c r="J3053" t="str">
        <f>VLOOKUP(D3053,Products!A:C,2,FALSE)</f>
        <v>Traditional Laptop</v>
      </c>
      <c r="K3053" t="str">
        <f>VLOOKUP(D3053,Products!A:C,3,FALSE)</f>
        <v>Electronics</v>
      </c>
      <c r="L3053" t="str">
        <f>VLOOKUP(E3053,Stores!A:B,2,FALSE)</f>
        <v>MegaMart Peckmouth</v>
      </c>
      <c r="M3053">
        <f>VLOOKUP(D3053,Products!A:E,5,FALSE)</f>
        <v>1762.92</v>
      </c>
      <c r="N3053" s="5">
        <f t="shared" si="47"/>
        <v>8814.6</v>
      </c>
    </row>
    <row r="3054" spans="1:14" x14ac:dyDescent="0.3">
      <c r="A3054" t="s">
        <v>3910</v>
      </c>
      <c r="B3054" s="2">
        <v>45502</v>
      </c>
      <c r="C3054" t="s">
        <v>469</v>
      </c>
      <c r="D3054" t="s">
        <v>764</v>
      </c>
      <c r="E3054" t="s">
        <v>839</v>
      </c>
      <c r="F3054">
        <v>4</v>
      </c>
      <c r="G3054">
        <v>0</v>
      </c>
      <c r="H3054" t="s">
        <v>855</v>
      </c>
      <c r="I3054" t="str">
        <f>VLOOKUP(C3054,Customers!A:C,2,FALSE)&amp;" "&amp;VLOOKUP(C3054,Customers!A:C,3,FALSE)</f>
        <v>Robert Collins</v>
      </c>
      <c r="J3054" t="str">
        <f>VLOOKUP(D3054,Products!A:C,2,FALSE)</f>
        <v>Simple Accessories</v>
      </c>
      <c r="K3054" t="str">
        <f>VLOOKUP(D3054,Products!A:C,3,FALSE)</f>
        <v>Fashion</v>
      </c>
      <c r="L3054" t="str">
        <f>VLOOKUP(E3054,Stores!A:B,2,FALSE)</f>
        <v>MegaMart New Michele</v>
      </c>
      <c r="M3054">
        <f>VLOOKUP(D3054,Products!A:E,5,FALSE)</f>
        <v>323.92</v>
      </c>
      <c r="N3054" s="5">
        <f t="shared" si="47"/>
        <v>1295.68</v>
      </c>
    </row>
    <row r="3055" spans="1:14" x14ac:dyDescent="0.3">
      <c r="A3055" t="s">
        <v>3911</v>
      </c>
      <c r="B3055" s="2">
        <v>45568</v>
      </c>
      <c r="C3055" t="s">
        <v>582</v>
      </c>
      <c r="D3055" t="s">
        <v>780</v>
      </c>
      <c r="E3055" t="s">
        <v>846</v>
      </c>
      <c r="F3055">
        <v>1</v>
      </c>
      <c r="G3055">
        <v>0.15</v>
      </c>
      <c r="H3055" t="s">
        <v>858</v>
      </c>
      <c r="I3055" t="str">
        <f>VLOOKUP(C3055,Customers!A:C,2,FALSE)&amp;" "&amp;VLOOKUP(C3055,Customers!A:C,3,FALSE)</f>
        <v>Erin Rogers</v>
      </c>
      <c r="J3055" t="str">
        <f>VLOOKUP(D3055,Products!A:C,2,FALSE)</f>
        <v>Hospital Smartphone</v>
      </c>
      <c r="K3055" t="str">
        <f>VLOOKUP(D3055,Products!A:C,3,FALSE)</f>
        <v>Electronics</v>
      </c>
      <c r="L3055" t="str">
        <f>VLOOKUP(E3055,Stores!A:B,2,FALSE)</f>
        <v>MegaMart Johnmouth</v>
      </c>
      <c r="M3055">
        <f>VLOOKUP(D3055,Products!A:E,5,FALSE)</f>
        <v>1272.23</v>
      </c>
      <c r="N3055" s="5">
        <f t="shared" si="47"/>
        <v>1081.3955000000001</v>
      </c>
    </row>
    <row r="3056" spans="1:14" x14ac:dyDescent="0.3">
      <c r="A3056" t="s">
        <v>3912</v>
      </c>
      <c r="B3056" s="2">
        <v>45772</v>
      </c>
      <c r="C3056" t="s">
        <v>40</v>
      </c>
      <c r="D3056" t="s">
        <v>800</v>
      </c>
      <c r="E3056" t="s">
        <v>839</v>
      </c>
      <c r="F3056">
        <v>4</v>
      </c>
      <c r="G3056">
        <v>0.15</v>
      </c>
      <c r="H3056" t="s">
        <v>865</v>
      </c>
      <c r="I3056" t="str">
        <f>VLOOKUP(C3056,Customers!A:C,2,FALSE)&amp;" "&amp;VLOOKUP(C3056,Customers!A:C,3,FALSE)</f>
        <v>Richard Pacheco</v>
      </c>
      <c r="J3056" t="str">
        <f>VLOOKUP(D3056,Products!A:C,2,FALSE)</f>
        <v>Book Television</v>
      </c>
      <c r="K3056" t="str">
        <f>VLOOKUP(D3056,Products!A:C,3,FALSE)</f>
        <v>Electronics</v>
      </c>
      <c r="L3056" t="str">
        <f>VLOOKUP(E3056,Stores!A:B,2,FALSE)</f>
        <v>MegaMart New Michele</v>
      </c>
      <c r="M3056">
        <f>VLOOKUP(D3056,Products!A:E,5,FALSE)</f>
        <v>1952.65</v>
      </c>
      <c r="N3056" s="5">
        <f t="shared" si="47"/>
        <v>6639.01</v>
      </c>
    </row>
    <row r="3057" spans="1:14" x14ac:dyDescent="0.3">
      <c r="A3057" t="s">
        <v>3913</v>
      </c>
      <c r="B3057" s="2">
        <v>45484</v>
      </c>
      <c r="C3057" t="s">
        <v>71</v>
      </c>
      <c r="D3057" t="s">
        <v>794</v>
      </c>
      <c r="E3057" t="s">
        <v>831</v>
      </c>
      <c r="F3057">
        <v>3</v>
      </c>
      <c r="G3057">
        <v>0.1</v>
      </c>
      <c r="H3057" t="s">
        <v>858</v>
      </c>
      <c r="I3057" t="str">
        <f>VLOOKUP(C3057,Customers!A:C,2,FALSE)&amp;" "&amp;VLOOKUP(C3057,Customers!A:C,3,FALSE)</f>
        <v>Vanessa Anderson</v>
      </c>
      <c r="J3057" t="str">
        <f>VLOOKUP(D3057,Products!A:C,2,FALSE)</f>
        <v>Everything Laptop</v>
      </c>
      <c r="K3057" t="str">
        <f>VLOOKUP(D3057,Products!A:C,3,FALSE)</f>
        <v>Electronics</v>
      </c>
      <c r="L3057" t="str">
        <f>VLOOKUP(E3057,Stores!A:B,2,FALSE)</f>
        <v>MegaMart Jimenezborough</v>
      </c>
      <c r="M3057">
        <f>VLOOKUP(D3057,Products!A:E,5,FALSE)</f>
        <v>428.05</v>
      </c>
      <c r="N3057" s="5">
        <f t="shared" si="47"/>
        <v>1155.7350000000001</v>
      </c>
    </row>
    <row r="3058" spans="1:14" x14ac:dyDescent="0.3">
      <c r="A3058" t="s">
        <v>3914</v>
      </c>
      <c r="B3058" s="2">
        <v>45188</v>
      </c>
      <c r="C3058" t="s">
        <v>386</v>
      </c>
      <c r="D3058" t="s">
        <v>766</v>
      </c>
      <c r="E3058" t="s">
        <v>846</v>
      </c>
      <c r="F3058">
        <v>2</v>
      </c>
      <c r="G3058">
        <v>0.05</v>
      </c>
      <c r="H3058" t="s">
        <v>865</v>
      </c>
      <c r="I3058" t="str">
        <f>VLOOKUP(C3058,Customers!A:C,2,FALSE)&amp;" "&amp;VLOOKUP(C3058,Customers!A:C,3,FALSE)</f>
        <v>David Burns</v>
      </c>
      <c r="J3058" t="str">
        <f>VLOOKUP(D3058,Products!A:C,2,FALSE)</f>
        <v>Firm Dairy</v>
      </c>
      <c r="K3058" t="str">
        <f>VLOOKUP(D3058,Products!A:C,3,FALSE)</f>
        <v>Groceries</v>
      </c>
      <c r="L3058" t="str">
        <f>VLOOKUP(E3058,Stores!A:B,2,FALSE)</f>
        <v>MegaMart Johnmouth</v>
      </c>
      <c r="M3058">
        <f>VLOOKUP(D3058,Products!A:E,5,FALSE)</f>
        <v>1227.24</v>
      </c>
      <c r="N3058" s="5">
        <f t="shared" si="47"/>
        <v>2331.7559999999999</v>
      </c>
    </row>
    <row r="3059" spans="1:14" x14ac:dyDescent="0.3">
      <c r="A3059" t="s">
        <v>3915</v>
      </c>
      <c r="B3059" s="2">
        <v>45276</v>
      </c>
      <c r="C3059" t="s">
        <v>32</v>
      </c>
      <c r="D3059" t="s">
        <v>798</v>
      </c>
      <c r="E3059" t="s">
        <v>835</v>
      </c>
      <c r="F3059">
        <v>1</v>
      </c>
      <c r="G3059">
        <v>0.05</v>
      </c>
      <c r="H3059" t="s">
        <v>861</v>
      </c>
      <c r="I3059" t="str">
        <f>VLOOKUP(C3059,Customers!A:C,2,FALSE)&amp;" "&amp;VLOOKUP(C3059,Customers!A:C,3,FALSE)</f>
        <v>Erin Walker</v>
      </c>
      <c r="J3059" t="str">
        <f>VLOOKUP(D3059,Products!A:C,2,FALSE)</f>
        <v>New Watches</v>
      </c>
      <c r="K3059" t="str">
        <f>VLOOKUP(D3059,Products!A:C,3,FALSE)</f>
        <v>Fashion</v>
      </c>
      <c r="L3059" t="str">
        <f>VLOOKUP(E3059,Stores!A:B,2,FALSE)</f>
        <v>MegaMart Peckmouth</v>
      </c>
      <c r="M3059">
        <f>VLOOKUP(D3059,Products!A:E,5,FALSE)</f>
        <v>1501.46</v>
      </c>
      <c r="N3059" s="5">
        <f t="shared" si="47"/>
        <v>1426.3869999999999</v>
      </c>
    </row>
    <row r="3060" spans="1:14" x14ac:dyDescent="0.3">
      <c r="A3060" t="s">
        <v>3916</v>
      </c>
      <c r="B3060" s="2">
        <v>45372</v>
      </c>
      <c r="C3060" t="s">
        <v>429</v>
      </c>
      <c r="D3060" t="s">
        <v>761</v>
      </c>
      <c r="E3060" t="s">
        <v>846</v>
      </c>
      <c r="F3060">
        <v>3</v>
      </c>
      <c r="G3060">
        <v>0.1</v>
      </c>
      <c r="H3060" t="s">
        <v>858</v>
      </c>
      <c r="I3060" t="str">
        <f>VLOOKUP(C3060,Customers!A:C,2,FALSE)&amp;" "&amp;VLOOKUP(C3060,Customers!A:C,3,FALSE)</f>
        <v>Jose Smith</v>
      </c>
      <c r="J3060" t="str">
        <f>VLOOKUP(D3060,Products!A:C,2,FALSE)</f>
        <v>Traditional Laptop</v>
      </c>
      <c r="K3060" t="str">
        <f>VLOOKUP(D3060,Products!A:C,3,FALSE)</f>
        <v>Electronics</v>
      </c>
      <c r="L3060" t="str">
        <f>VLOOKUP(E3060,Stores!A:B,2,FALSE)</f>
        <v>MegaMart Johnmouth</v>
      </c>
      <c r="M3060">
        <f>VLOOKUP(D3060,Products!A:E,5,FALSE)</f>
        <v>1762.92</v>
      </c>
      <c r="N3060" s="5">
        <f t="shared" si="47"/>
        <v>4759.884</v>
      </c>
    </row>
    <row r="3061" spans="1:14" x14ac:dyDescent="0.3">
      <c r="A3061" t="s">
        <v>3917</v>
      </c>
      <c r="B3061" s="2">
        <v>45515</v>
      </c>
      <c r="C3061" t="s">
        <v>74</v>
      </c>
      <c r="D3061" t="s">
        <v>788</v>
      </c>
      <c r="E3061" t="s">
        <v>835</v>
      </c>
      <c r="F3061">
        <v>5</v>
      </c>
      <c r="G3061">
        <v>0.15</v>
      </c>
      <c r="H3061" t="s">
        <v>865</v>
      </c>
      <c r="I3061" t="str">
        <f>VLOOKUP(C3061,Customers!A:C,2,FALSE)&amp;" "&amp;VLOOKUP(C3061,Customers!A:C,3,FALSE)</f>
        <v>Breanna Davis</v>
      </c>
      <c r="J3061" t="str">
        <f>VLOOKUP(D3061,Products!A:C,2,FALSE)</f>
        <v>Foot Snacks</v>
      </c>
      <c r="K3061" t="str">
        <f>VLOOKUP(D3061,Products!A:C,3,FALSE)</f>
        <v>Groceries</v>
      </c>
      <c r="L3061" t="str">
        <f>VLOOKUP(E3061,Stores!A:B,2,FALSE)</f>
        <v>MegaMart Peckmouth</v>
      </c>
      <c r="M3061">
        <f>VLOOKUP(D3061,Products!A:E,5,FALSE)</f>
        <v>1095.72</v>
      </c>
      <c r="N3061" s="5">
        <f t="shared" si="47"/>
        <v>4656.8100000000004</v>
      </c>
    </row>
    <row r="3062" spans="1:14" x14ac:dyDescent="0.3">
      <c r="A3062" t="s">
        <v>3918</v>
      </c>
      <c r="B3062" s="2">
        <v>45292</v>
      </c>
      <c r="C3062" t="s">
        <v>524</v>
      </c>
      <c r="D3062" t="s">
        <v>802</v>
      </c>
      <c r="E3062" t="s">
        <v>831</v>
      </c>
      <c r="F3062">
        <v>2</v>
      </c>
      <c r="G3062">
        <v>0.05</v>
      </c>
      <c r="H3062" t="s">
        <v>861</v>
      </c>
      <c r="I3062" t="str">
        <f>VLOOKUP(C3062,Customers!A:C,2,FALSE)&amp;" "&amp;VLOOKUP(C3062,Customers!A:C,3,FALSE)</f>
        <v>Betty Johnson</v>
      </c>
      <c r="J3062" t="str">
        <f>VLOOKUP(D3062,Products!A:C,2,FALSE)</f>
        <v>Stage Footwear</v>
      </c>
      <c r="K3062" t="str">
        <f>VLOOKUP(D3062,Products!A:C,3,FALSE)</f>
        <v>Fashion</v>
      </c>
      <c r="L3062" t="str">
        <f>VLOOKUP(E3062,Stores!A:B,2,FALSE)</f>
        <v>MegaMart Jimenezborough</v>
      </c>
      <c r="M3062">
        <f>VLOOKUP(D3062,Products!A:E,5,FALSE)</f>
        <v>366.93</v>
      </c>
      <c r="N3062" s="5">
        <f t="shared" si="47"/>
        <v>697.16700000000003</v>
      </c>
    </row>
    <row r="3063" spans="1:14" x14ac:dyDescent="0.3">
      <c r="A3063" t="s">
        <v>3919</v>
      </c>
      <c r="B3063" s="2">
        <v>45857</v>
      </c>
      <c r="C3063" t="s">
        <v>291</v>
      </c>
      <c r="D3063" t="s">
        <v>824</v>
      </c>
      <c r="E3063" t="s">
        <v>835</v>
      </c>
      <c r="F3063">
        <v>4</v>
      </c>
      <c r="G3063">
        <v>0</v>
      </c>
      <c r="H3063" t="s">
        <v>855</v>
      </c>
      <c r="I3063" t="str">
        <f>VLOOKUP(C3063,Customers!A:C,2,FALSE)&amp;" "&amp;VLOOKUP(C3063,Customers!A:C,3,FALSE)</f>
        <v>Matthew Juarez</v>
      </c>
      <c r="J3063" t="str">
        <f>VLOOKUP(D3063,Products!A:C,2,FALSE)</f>
        <v>Possible Watches</v>
      </c>
      <c r="K3063" t="str">
        <f>VLOOKUP(D3063,Products!A:C,3,FALSE)</f>
        <v>Fashion</v>
      </c>
      <c r="L3063" t="str">
        <f>VLOOKUP(E3063,Stores!A:B,2,FALSE)</f>
        <v>MegaMart Peckmouth</v>
      </c>
      <c r="M3063">
        <f>VLOOKUP(D3063,Products!A:E,5,FALSE)</f>
        <v>388.26</v>
      </c>
      <c r="N3063" s="5">
        <f t="shared" si="47"/>
        <v>1553.04</v>
      </c>
    </row>
    <row r="3064" spans="1:14" x14ac:dyDescent="0.3">
      <c r="A3064" t="s">
        <v>3920</v>
      </c>
      <c r="B3064" s="2">
        <v>45219</v>
      </c>
      <c r="C3064" t="s">
        <v>67</v>
      </c>
      <c r="D3064" t="s">
        <v>715</v>
      </c>
      <c r="E3064" t="s">
        <v>846</v>
      </c>
      <c r="F3064">
        <v>1</v>
      </c>
      <c r="G3064">
        <v>0</v>
      </c>
      <c r="H3064" t="s">
        <v>855</v>
      </c>
      <c r="I3064" t="str">
        <f>VLOOKUP(C3064,Customers!A:C,2,FALSE)&amp;" "&amp;VLOOKUP(C3064,Customers!A:C,3,FALSE)</f>
        <v>Miguel Johnson</v>
      </c>
      <c r="J3064" t="str">
        <f>VLOOKUP(D3064,Products!A:C,2,FALSE)</f>
        <v>Audience Television</v>
      </c>
      <c r="K3064" t="str">
        <f>VLOOKUP(D3064,Products!A:C,3,FALSE)</f>
        <v>Electronics</v>
      </c>
      <c r="L3064" t="str">
        <f>VLOOKUP(E3064,Stores!A:B,2,FALSE)</f>
        <v>MegaMart Johnmouth</v>
      </c>
      <c r="M3064">
        <f>VLOOKUP(D3064,Products!A:E,5,FALSE)</f>
        <v>818.76</v>
      </c>
      <c r="N3064" s="5">
        <f t="shared" si="47"/>
        <v>818.76</v>
      </c>
    </row>
    <row r="3065" spans="1:14" x14ac:dyDescent="0.3">
      <c r="A3065" t="s">
        <v>3921</v>
      </c>
      <c r="B3065" s="2">
        <v>45400</v>
      </c>
      <c r="C3065" t="s">
        <v>542</v>
      </c>
      <c r="D3065" t="s">
        <v>804</v>
      </c>
      <c r="E3065" t="s">
        <v>846</v>
      </c>
      <c r="F3065">
        <v>1</v>
      </c>
      <c r="G3065">
        <v>0.1</v>
      </c>
      <c r="H3065" t="s">
        <v>861</v>
      </c>
      <c r="I3065" t="str">
        <f>VLOOKUP(C3065,Customers!A:C,2,FALSE)&amp;" "&amp;VLOOKUP(C3065,Customers!A:C,3,FALSE)</f>
        <v>Francis Hernandez</v>
      </c>
      <c r="J3065" t="str">
        <f>VLOOKUP(D3065,Products!A:C,2,FALSE)</f>
        <v>Church Clothing</v>
      </c>
      <c r="K3065" t="str">
        <f>VLOOKUP(D3065,Products!A:C,3,FALSE)</f>
        <v>Fashion</v>
      </c>
      <c r="L3065" t="str">
        <f>VLOOKUP(E3065,Stores!A:B,2,FALSE)</f>
        <v>MegaMart Johnmouth</v>
      </c>
      <c r="M3065">
        <f>VLOOKUP(D3065,Products!A:E,5,FALSE)</f>
        <v>540.94000000000005</v>
      </c>
      <c r="N3065" s="5">
        <f t="shared" si="47"/>
        <v>486.84600000000006</v>
      </c>
    </row>
    <row r="3066" spans="1:14" x14ac:dyDescent="0.3">
      <c r="A3066" t="s">
        <v>3922</v>
      </c>
      <c r="B3066" s="2">
        <v>45415</v>
      </c>
      <c r="C3066" t="s">
        <v>310</v>
      </c>
      <c r="D3066" t="s">
        <v>766</v>
      </c>
      <c r="E3066" t="s">
        <v>835</v>
      </c>
      <c r="F3066">
        <v>4</v>
      </c>
      <c r="G3066">
        <v>0.05</v>
      </c>
      <c r="H3066" t="s">
        <v>861</v>
      </c>
      <c r="I3066" t="str">
        <f>VLOOKUP(C3066,Customers!A:C,2,FALSE)&amp;" "&amp;VLOOKUP(C3066,Customers!A:C,3,FALSE)</f>
        <v>Amy Haley</v>
      </c>
      <c r="J3066" t="str">
        <f>VLOOKUP(D3066,Products!A:C,2,FALSE)</f>
        <v>Firm Dairy</v>
      </c>
      <c r="K3066" t="str">
        <f>VLOOKUP(D3066,Products!A:C,3,FALSE)</f>
        <v>Groceries</v>
      </c>
      <c r="L3066" t="str">
        <f>VLOOKUP(E3066,Stores!A:B,2,FALSE)</f>
        <v>MegaMart Peckmouth</v>
      </c>
      <c r="M3066">
        <f>VLOOKUP(D3066,Products!A:E,5,FALSE)</f>
        <v>1227.24</v>
      </c>
      <c r="N3066" s="5">
        <f t="shared" si="47"/>
        <v>4663.5119999999997</v>
      </c>
    </row>
    <row r="3067" spans="1:14" x14ac:dyDescent="0.3">
      <c r="A3067" t="s">
        <v>3923</v>
      </c>
      <c r="B3067" s="2">
        <v>45634</v>
      </c>
      <c r="C3067" t="s">
        <v>604</v>
      </c>
      <c r="D3067" t="s">
        <v>766</v>
      </c>
      <c r="E3067" t="s">
        <v>842</v>
      </c>
      <c r="F3067">
        <v>4</v>
      </c>
      <c r="G3067">
        <v>0.15</v>
      </c>
      <c r="H3067" t="s">
        <v>861</v>
      </c>
      <c r="I3067" t="str">
        <f>VLOOKUP(C3067,Customers!A:C,2,FALSE)&amp;" "&amp;VLOOKUP(C3067,Customers!A:C,3,FALSE)</f>
        <v>Amber Graham</v>
      </c>
      <c r="J3067" t="str">
        <f>VLOOKUP(D3067,Products!A:C,2,FALSE)</f>
        <v>Firm Dairy</v>
      </c>
      <c r="K3067" t="str">
        <f>VLOOKUP(D3067,Products!A:C,3,FALSE)</f>
        <v>Groceries</v>
      </c>
      <c r="L3067" t="str">
        <f>VLOOKUP(E3067,Stores!A:B,2,FALSE)</f>
        <v>MegaMart Brianahaven</v>
      </c>
      <c r="M3067">
        <f>VLOOKUP(D3067,Products!A:E,5,FALSE)</f>
        <v>1227.24</v>
      </c>
      <c r="N3067" s="5">
        <f t="shared" si="47"/>
        <v>4172.616</v>
      </c>
    </row>
    <row r="3068" spans="1:14" x14ac:dyDescent="0.3">
      <c r="A3068" t="s">
        <v>3924</v>
      </c>
      <c r="B3068" s="2">
        <v>45738</v>
      </c>
      <c r="C3068" t="s">
        <v>105</v>
      </c>
      <c r="D3068" t="s">
        <v>759</v>
      </c>
      <c r="E3068" t="s">
        <v>835</v>
      </c>
      <c r="F3068">
        <v>4</v>
      </c>
      <c r="G3068">
        <v>0</v>
      </c>
      <c r="H3068" t="s">
        <v>861</v>
      </c>
      <c r="I3068" t="str">
        <f>VLOOKUP(C3068,Customers!A:C,2,FALSE)&amp;" "&amp;VLOOKUP(C3068,Customers!A:C,3,FALSE)</f>
        <v>Justin Macdonald</v>
      </c>
      <c r="J3068" t="str">
        <f>VLOOKUP(D3068,Products!A:C,2,FALSE)</f>
        <v>Democratic Smartphone</v>
      </c>
      <c r="K3068" t="str">
        <f>VLOOKUP(D3068,Products!A:C,3,FALSE)</f>
        <v>Electronics</v>
      </c>
      <c r="L3068" t="str">
        <f>VLOOKUP(E3068,Stores!A:B,2,FALSE)</f>
        <v>MegaMart Peckmouth</v>
      </c>
      <c r="M3068">
        <f>VLOOKUP(D3068,Products!A:E,5,FALSE)</f>
        <v>1079.8900000000001</v>
      </c>
      <c r="N3068" s="5">
        <f t="shared" si="47"/>
        <v>4319.5600000000004</v>
      </c>
    </row>
    <row r="3069" spans="1:14" x14ac:dyDescent="0.3">
      <c r="A3069" t="s">
        <v>3925</v>
      </c>
      <c r="B3069" s="2">
        <v>45775</v>
      </c>
      <c r="C3069" t="s">
        <v>608</v>
      </c>
      <c r="D3069" t="s">
        <v>715</v>
      </c>
      <c r="E3069" t="s">
        <v>835</v>
      </c>
      <c r="F3069">
        <v>5</v>
      </c>
      <c r="G3069">
        <v>0.05</v>
      </c>
      <c r="H3069" t="s">
        <v>865</v>
      </c>
      <c r="I3069" t="str">
        <f>VLOOKUP(C3069,Customers!A:C,2,FALSE)&amp;" "&amp;VLOOKUP(C3069,Customers!A:C,3,FALSE)</f>
        <v>Christina Dominguez</v>
      </c>
      <c r="J3069" t="str">
        <f>VLOOKUP(D3069,Products!A:C,2,FALSE)</f>
        <v>Audience Television</v>
      </c>
      <c r="K3069" t="str">
        <f>VLOOKUP(D3069,Products!A:C,3,FALSE)</f>
        <v>Electronics</v>
      </c>
      <c r="L3069" t="str">
        <f>VLOOKUP(E3069,Stores!A:B,2,FALSE)</f>
        <v>MegaMart Peckmouth</v>
      </c>
      <c r="M3069">
        <f>VLOOKUP(D3069,Products!A:E,5,FALSE)</f>
        <v>818.76</v>
      </c>
      <c r="N3069" s="5">
        <f t="shared" si="47"/>
        <v>3889.11</v>
      </c>
    </row>
    <row r="3070" spans="1:14" x14ac:dyDescent="0.3">
      <c r="A3070" t="s">
        <v>3926</v>
      </c>
      <c r="B3070" s="2">
        <v>45555</v>
      </c>
      <c r="C3070" t="s">
        <v>454</v>
      </c>
      <c r="D3070" t="s">
        <v>755</v>
      </c>
      <c r="E3070" t="s">
        <v>846</v>
      </c>
      <c r="F3070">
        <v>1</v>
      </c>
      <c r="G3070">
        <v>0.05</v>
      </c>
      <c r="H3070" t="s">
        <v>861</v>
      </c>
      <c r="I3070" t="str">
        <f>VLOOKUP(C3070,Customers!A:C,2,FALSE)&amp;" "&amp;VLOOKUP(C3070,Customers!A:C,3,FALSE)</f>
        <v>Peter Edwards</v>
      </c>
      <c r="J3070" t="str">
        <f>VLOOKUP(D3070,Products!A:C,2,FALSE)</f>
        <v>House Accessories</v>
      </c>
      <c r="K3070" t="str">
        <f>VLOOKUP(D3070,Products!A:C,3,FALSE)</f>
        <v>Fashion</v>
      </c>
      <c r="L3070" t="str">
        <f>VLOOKUP(E3070,Stores!A:B,2,FALSE)</f>
        <v>MegaMart Johnmouth</v>
      </c>
      <c r="M3070">
        <f>VLOOKUP(D3070,Products!A:E,5,FALSE)</f>
        <v>1858.75</v>
      </c>
      <c r="N3070" s="5">
        <f t="shared" si="47"/>
        <v>1765.8125</v>
      </c>
    </row>
    <row r="3071" spans="1:14" x14ac:dyDescent="0.3">
      <c r="A3071" t="s">
        <v>3927</v>
      </c>
      <c r="B3071" s="2">
        <v>45613</v>
      </c>
      <c r="C3071" t="s">
        <v>577</v>
      </c>
      <c r="D3071" t="s">
        <v>804</v>
      </c>
      <c r="E3071" t="s">
        <v>842</v>
      </c>
      <c r="F3071">
        <v>3</v>
      </c>
      <c r="G3071">
        <v>0.05</v>
      </c>
      <c r="H3071" t="s">
        <v>855</v>
      </c>
      <c r="I3071" t="str">
        <f>VLOOKUP(C3071,Customers!A:C,2,FALSE)&amp;" "&amp;VLOOKUP(C3071,Customers!A:C,3,FALSE)</f>
        <v>Michael Perez</v>
      </c>
      <c r="J3071" t="str">
        <f>VLOOKUP(D3071,Products!A:C,2,FALSE)</f>
        <v>Church Clothing</v>
      </c>
      <c r="K3071" t="str">
        <f>VLOOKUP(D3071,Products!A:C,3,FALSE)</f>
        <v>Fashion</v>
      </c>
      <c r="L3071" t="str">
        <f>VLOOKUP(E3071,Stores!A:B,2,FALSE)</f>
        <v>MegaMart Brianahaven</v>
      </c>
      <c r="M3071">
        <f>VLOOKUP(D3071,Products!A:E,5,FALSE)</f>
        <v>540.94000000000005</v>
      </c>
      <c r="N3071" s="5">
        <f t="shared" si="47"/>
        <v>1541.6790000000001</v>
      </c>
    </row>
    <row r="3072" spans="1:14" x14ac:dyDescent="0.3">
      <c r="A3072" t="s">
        <v>3928</v>
      </c>
      <c r="B3072" s="2">
        <v>45183</v>
      </c>
      <c r="C3072" t="s">
        <v>393</v>
      </c>
      <c r="D3072" t="s">
        <v>747</v>
      </c>
      <c r="E3072" t="s">
        <v>831</v>
      </c>
      <c r="F3072">
        <v>4</v>
      </c>
      <c r="G3072">
        <v>0</v>
      </c>
      <c r="H3072" t="s">
        <v>855</v>
      </c>
      <c r="I3072" t="str">
        <f>VLOOKUP(C3072,Customers!A:C,2,FALSE)&amp;" "&amp;VLOOKUP(C3072,Customers!A:C,3,FALSE)</f>
        <v>Kenneth Berg</v>
      </c>
      <c r="J3072" t="str">
        <f>VLOOKUP(D3072,Products!A:C,2,FALSE)</f>
        <v>World Watches</v>
      </c>
      <c r="K3072" t="str">
        <f>VLOOKUP(D3072,Products!A:C,3,FALSE)</f>
        <v>Fashion</v>
      </c>
      <c r="L3072" t="str">
        <f>VLOOKUP(E3072,Stores!A:B,2,FALSE)</f>
        <v>MegaMart Jimenezborough</v>
      </c>
      <c r="M3072">
        <f>VLOOKUP(D3072,Products!A:E,5,FALSE)</f>
        <v>1134.8</v>
      </c>
      <c r="N3072" s="5">
        <f t="shared" si="47"/>
        <v>4539.2</v>
      </c>
    </row>
    <row r="3073" spans="1:14" x14ac:dyDescent="0.3">
      <c r="A3073" t="s">
        <v>3929</v>
      </c>
      <c r="B3073" s="2">
        <v>45564</v>
      </c>
      <c r="C3073" t="s">
        <v>702</v>
      </c>
      <c r="D3073" t="s">
        <v>759</v>
      </c>
      <c r="E3073" t="s">
        <v>842</v>
      </c>
      <c r="F3073">
        <v>1</v>
      </c>
      <c r="G3073">
        <v>0.05</v>
      </c>
      <c r="H3073" t="s">
        <v>855</v>
      </c>
      <c r="I3073" t="str">
        <f>VLOOKUP(C3073,Customers!A:C,2,FALSE)&amp;" "&amp;VLOOKUP(C3073,Customers!A:C,3,FALSE)</f>
        <v>Ronald Haley</v>
      </c>
      <c r="J3073" t="str">
        <f>VLOOKUP(D3073,Products!A:C,2,FALSE)</f>
        <v>Democratic Smartphone</v>
      </c>
      <c r="K3073" t="str">
        <f>VLOOKUP(D3073,Products!A:C,3,FALSE)</f>
        <v>Electronics</v>
      </c>
      <c r="L3073" t="str">
        <f>VLOOKUP(E3073,Stores!A:B,2,FALSE)</f>
        <v>MegaMart Brianahaven</v>
      </c>
      <c r="M3073">
        <f>VLOOKUP(D3073,Products!A:E,5,FALSE)</f>
        <v>1079.8900000000001</v>
      </c>
      <c r="N3073" s="5">
        <f t="shared" si="47"/>
        <v>1025.8955000000001</v>
      </c>
    </row>
    <row r="3074" spans="1:14" x14ac:dyDescent="0.3">
      <c r="A3074" t="s">
        <v>3930</v>
      </c>
      <c r="B3074" s="2">
        <v>45702</v>
      </c>
      <c r="C3074" t="s">
        <v>379</v>
      </c>
      <c r="D3074" t="s">
        <v>826</v>
      </c>
      <c r="E3074" t="s">
        <v>842</v>
      </c>
      <c r="F3074">
        <v>5</v>
      </c>
      <c r="G3074">
        <v>0.05</v>
      </c>
      <c r="H3074" t="s">
        <v>861</v>
      </c>
      <c r="I3074" t="str">
        <f>VLOOKUP(C3074,Customers!A:C,2,FALSE)&amp;" "&amp;VLOOKUP(C3074,Customers!A:C,3,FALSE)</f>
        <v>William Pope</v>
      </c>
      <c r="J3074" t="str">
        <f>VLOOKUP(D3074,Products!A:C,2,FALSE)</f>
        <v>Maybe Footwear</v>
      </c>
      <c r="K3074" t="str">
        <f>VLOOKUP(D3074,Products!A:C,3,FALSE)</f>
        <v>Fashion</v>
      </c>
      <c r="L3074" t="str">
        <f>VLOOKUP(E3074,Stores!A:B,2,FALSE)</f>
        <v>MegaMart Brianahaven</v>
      </c>
      <c r="M3074">
        <f>VLOOKUP(D3074,Products!A:E,5,FALSE)</f>
        <v>1044.6400000000001</v>
      </c>
      <c r="N3074" s="5">
        <f t="shared" si="47"/>
        <v>4962.0400000000009</v>
      </c>
    </row>
    <row r="3075" spans="1:14" x14ac:dyDescent="0.3">
      <c r="A3075" t="s">
        <v>3931</v>
      </c>
      <c r="B3075" s="2">
        <v>45838</v>
      </c>
      <c r="C3075" t="s">
        <v>454</v>
      </c>
      <c r="D3075" t="s">
        <v>725</v>
      </c>
      <c r="E3075" t="s">
        <v>846</v>
      </c>
      <c r="F3075">
        <v>5</v>
      </c>
      <c r="G3075">
        <v>0.15</v>
      </c>
      <c r="H3075" t="s">
        <v>861</v>
      </c>
      <c r="I3075" t="str">
        <f>VLOOKUP(C3075,Customers!A:C,2,FALSE)&amp;" "&amp;VLOOKUP(C3075,Customers!A:C,3,FALSE)</f>
        <v>Peter Edwards</v>
      </c>
      <c r="J3075" t="str">
        <f>VLOOKUP(D3075,Products!A:C,2,FALSE)</f>
        <v>Knowledge Bags</v>
      </c>
      <c r="K3075" t="str">
        <f>VLOOKUP(D3075,Products!A:C,3,FALSE)</f>
        <v>Fashion</v>
      </c>
      <c r="L3075" t="str">
        <f>VLOOKUP(E3075,Stores!A:B,2,FALSE)</f>
        <v>MegaMart Johnmouth</v>
      </c>
      <c r="M3075">
        <f>VLOOKUP(D3075,Products!A:E,5,FALSE)</f>
        <v>1396.22</v>
      </c>
      <c r="N3075" s="5">
        <f t="shared" ref="N3075:N3138" si="48">F3075*M3075*(1-G3075)</f>
        <v>5933.9350000000004</v>
      </c>
    </row>
    <row r="3076" spans="1:14" x14ac:dyDescent="0.3">
      <c r="A3076" t="s">
        <v>3932</v>
      </c>
      <c r="B3076" s="2">
        <v>45291</v>
      </c>
      <c r="C3076" t="s">
        <v>238</v>
      </c>
      <c r="D3076" t="s">
        <v>806</v>
      </c>
      <c r="E3076" t="s">
        <v>846</v>
      </c>
      <c r="F3076">
        <v>5</v>
      </c>
      <c r="G3076">
        <v>0.1</v>
      </c>
      <c r="H3076" t="s">
        <v>858</v>
      </c>
      <c r="I3076" t="str">
        <f>VLOOKUP(C3076,Customers!A:C,2,FALSE)&amp;" "&amp;VLOOKUP(C3076,Customers!A:C,3,FALSE)</f>
        <v>Susan Salinas</v>
      </c>
      <c r="J3076" t="str">
        <f>VLOOKUP(D3076,Products!A:C,2,FALSE)</f>
        <v>Piece Headphones</v>
      </c>
      <c r="K3076" t="str">
        <f>VLOOKUP(D3076,Products!A:C,3,FALSE)</f>
        <v>Electronics</v>
      </c>
      <c r="L3076" t="str">
        <f>VLOOKUP(E3076,Stores!A:B,2,FALSE)</f>
        <v>MegaMart Johnmouth</v>
      </c>
      <c r="M3076">
        <f>VLOOKUP(D3076,Products!A:E,5,FALSE)</f>
        <v>1745.61</v>
      </c>
      <c r="N3076" s="5">
        <f t="shared" si="48"/>
        <v>7855.2449999999999</v>
      </c>
    </row>
    <row r="3077" spans="1:14" x14ac:dyDescent="0.3">
      <c r="A3077" t="s">
        <v>3933</v>
      </c>
      <c r="B3077" s="2">
        <v>45587</v>
      </c>
      <c r="C3077" t="s">
        <v>696</v>
      </c>
      <c r="D3077" t="s">
        <v>798</v>
      </c>
      <c r="E3077" t="s">
        <v>831</v>
      </c>
      <c r="F3077">
        <v>4</v>
      </c>
      <c r="G3077">
        <v>0</v>
      </c>
      <c r="H3077" t="s">
        <v>858</v>
      </c>
      <c r="I3077" t="str">
        <f>VLOOKUP(C3077,Customers!A:C,2,FALSE)&amp;" "&amp;VLOOKUP(C3077,Customers!A:C,3,FALSE)</f>
        <v>Jessica Mullins</v>
      </c>
      <c r="J3077" t="str">
        <f>VLOOKUP(D3077,Products!A:C,2,FALSE)</f>
        <v>New Watches</v>
      </c>
      <c r="K3077" t="str">
        <f>VLOOKUP(D3077,Products!A:C,3,FALSE)</f>
        <v>Fashion</v>
      </c>
      <c r="L3077" t="str">
        <f>VLOOKUP(E3077,Stores!A:B,2,FALSE)</f>
        <v>MegaMart Jimenezborough</v>
      </c>
      <c r="M3077">
        <f>VLOOKUP(D3077,Products!A:E,5,FALSE)</f>
        <v>1501.46</v>
      </c>
      <c r="N3077" s="5">
        <f t="shared" si="48"/>
        <v>6005.84</v>
      </c>
    </row>
    <row r="3078" spans="1:14" x14ac:dyDescent="0.3">
      <c r="A3078" t="s">
        <v>3934</v>
      </c>
      <c r="B3078" s="2">
        <v>45582</v>
      </c>
      <c r="C3078" t="s">
        <v>71</v>
      </c>
      <c r="D3078" t="s">
        <v>757</v>
      </c>
      <c r="E3078" t="s">
        <v>846</v>
      </c>
      <c r="F3078">
        <v>1</v>
      </c>
      <c r="G3078">
        <v>0.05</v>
      </c>
      <c r="H3078" t="s">
        <v>865</v>
      </c>
      <c r="I3078" t="str">
        <f>VLOOKUP(C3078,Customers!A:C,2,FALSE)&amp;" "&amp;VLOOKUP(C3078,Customers!A:C,3,FALSE)</f>
        <v>Vanessa Anderson</v>
      </c>
      <c r="J3078" t="str">
        <f>VLOOKUP(D3078,Products!A:C,2,FALSE)</f>
        <v>Find Headphones</v>
      </c>
      <c r="K3078" t="str">
        <f>VLOOKUP(D3078,Products!A:C,3,FALSE)</f>
        <v>Electronics</v>
      </c>
      <c r="L3078" t="str">
        <f>VLOOKUP(E3078,Stores!A:B,2,FALSE)</f>
        <v>MegaMart Johnmouth</v>
      </c>
      <c r="M3078">
        <f>VLOOKUP(D3078,Products!A:E,5,FALSE)</f>
        <v>1246.1099999999999</v>
      </c>
      <c r="N3078" s="5">
        <f t="shared" si="48"/>
        <v>1183.8045</v>
      </c>
    </row>
    <row r="3079" spans="1:14" x14ac:dyDescent="0.3">
      <c r="A3079" t="s">
        <v>3935</v>
      </c>
      <c r="B3079" s="2">
        <v>45350</v>
      </c>
      <c r="C3079" t="s">
        <v>358</v>
      </c>
      <c r="D3079" t="s">
        <v>784</v>
      </c>
      <c r="E3079" t="s">
        <v>839</v>
      </c>
      <c r="F3079">
        <v>4</v>
      </c>
      <c r="G3079">
        <v>0.1</v>
      </c>
      <c r="H3079" t="s">
        <v>858</v>
      </c>
      <c r="I3079" t="str">
        <f>VLOOKUP(C3079,Customers!A:C,2,FALSE)&amp;" "&amp;VLOOKUP(C3079,Customers!A:C,3,FALSE)</f>
        <v>Kevin Snyder</v>
      </c>
      <c r="J3079" t="str">
        <f>VLOOKUP(D3079,Products!A:C,2,FALSE)</f>
        <v>Road Clothing</v>
      </c>
      <c r="K3079" t="str">
        <f>VLOOKUP(D3079,Products!A:C,3,FALSE)</f>
        <v>Fashion</v>
      </c>
      <c r="L3079" t="str">
        <f>VLOOKUP(E3079,Stores!A:B,2,FALSE)</f>
        <v>MegaMart New Michele</v>
      </c>
      <c r="M3079">
        <f>VLOOKUP(D3079,Products!A:E,5,FALSE)</f>
        <v>1485.05</v>
      </c>
      <c r="N3079" s="5">
        <f t="shared" si="48"/>
        <v>5346.18</v>
      </c>
    </row>
    <row r="3080" spans="1:14" x14ac:dyDescent="0.3">
      <c r="A3080" t="s">
        <v>3936</v>
      </c>
      <c r="B3080" s="2">
        <v>45768</v>
      </c>
      <c r="C3080" t="s">
        <v>596</v>
      </c>
      <c r="D3080" t="s">
        <v>808</v>
      </c>
      <c r="E3080" t="s">
        <v>839</v>
      </c>
      <c r="F3080">
        <v>3</v>
      </c>
      <c r="G3080">
        <v>0.1</v>
      </c>
      <c r="H3080" t="s">
        <v>855</v>
      </c>
      <c r="I3080" t="str">
        <f>VLOOKUP(C3080,Customers!A:C,2,FALSE)&amp;" "&amp;VLOOKUP(C3080,Customers!A:C,3,FALSE)</f>
        <v>Kimberly Lin</v>
      </c>
      <c r="J3080" t="str">
        <f>VLOOKUP(D3080,Products!A:C,2,FALSE)</f>
        <v>Present Television</v>
      </c>
      <c r="K3080" t="str">
        <f>VLOOKUP(D3080,Products!A:C,3,FALSE)</f>
        <v>Electronics</v>
      </c>
      <c r="L3080" t="str">
        <f>VLOOKUP(E3080,Stores!A:B,2,FALSE)</f>
        <v>MegaMart New Michele</v>
      </c>
      <c r="M3080">
        <f>VLOOKUP(D3080,Products!A:E,5,FALSE)</f>
        <v>1635.01</v>
      </c>
      <c r="N3080" s="5">
        <f t="shared" si="48"/>
        <v>4414.527</v>
      </c>
    </row>
    <row r="3081" spans="1:14" x14ac:dyDescent="0.3">
      <c r="A3081" t="s">
        <v>3937</v>
      </c>
      <c r="B3081" s="2">
        <v>45763</v>
      </c>
      <c r="C3081" t="s">
        <v>449</v>
      </c>
      <c r="D3081" t="s">
        <v>796</v>
      </c>
      <c r="E3081" t="s">
        <v>846</v>
      </c>
      <c r="F3081">
        <v>4</v>
      </c>
      <c r="G3081">
        <v>0.15</v>
      </c>
      <c r="H3081" t="s">
        <v>861</v>
      </c>
      <c r="I3081" t="str">
        <f>VLOOKUP(C3081,Customers!A:C,2,FALSE)&amp;" "&amp;VLOOKUP(C3081,Customers!A:C,3,FALSE)</f>
        <v>John Bell</v>
      </c>
      <c r="J3081" t="str">
        <f>VLOOKUP(D3081,Products!A:C,2,FALSE)</f>
        <v>Chair Laptop</v>
      </c>
      <c r="K3081" t="str">
        <f>VLOOKUP(D3081,Products!A:C,3,FALSE)</f>
        <v>Electronics</v>
      </c>
      <c r="L3081" t="str">
        <f>VLOOKUP(E3081,Stores!A:B,2,FALSE)</f>
        <v>MegaMart Johnmouth</v>
      </c>
      <c r="M3081">
        <f>VLOOKUP(D3081,Products!A:E,5,FALSE)</f>
        <v>1562.43</v>
      </c>
      <c r="N3081" s="5">
        <f t="shared" si="48"/>
        <v>5312.2619999999997</v>
      </c>
    </row>
    <row r="3082" spans="1:14" x14ac:dyDescent="0.3">
      <c r="A3082" t="s">
        <v>3938</v>
      </c>
      <c r="B3082" s="2">
        <v>45326</v>
      </c>
      <c r="C3082" t="s">
        <v>449</v>
      </c>
      <c r="D3082" t="s">
        <v>764</v>
      </c>
      <c r="E3082" t="s">
        <v>839</v>
      </c>
      <c r="F3082">
        <v>1</v>
      </c>
      <c r="G3082">
        <v>0.15</v>
      </c>
      <c r="H3082" t="s">
        <v>855</v>
      </c>
      <c r="I3082" t="str">
        <f>VLOOKUP(C3082,Customers!A:C,2,FALSE)&amp;" "&amp;VLOOKUP(C3082,Customers!A:C,3,FALSE)</f>
        <v>John Bell</v>
      </c>
      <c r="J3082" t="str">
        <f>VLOOKUP(D3082,Products!A:C,2,FALSE)</f>
        <v>Simple Accessories</v>
      </c>
      <c r="K3082" t="str">
        <f>VLOOKUP(D3082,Products!A:C,3,FALSE)</f>
        <v>Fashion</v>
      </c>
      <c r="L3082" t="str">
        <f>VLOOKUP(E3082,Stores!A:B,2,FALSE)</f>
        <v>MegaMart New Michele</v>
      </c>
      <c r="M3082">
        <f>VLOOKUP(D3082,Products!A:E,5,FALSE)</f>
        <v>323.92</v>
      </c>
      <c r="N3082" s="5">
        <f t="shared" si="48"/>
        <v>275.33199999999999</v>
      </c>
    </row>
    <row r="3083" spans="1:14" x14ac:dyDescent="0.3">
      <c r="A3083" t="s">
        <v>3939</v>
      </c>
      <c r="B3083" s="2">
        <v>45786</v>
      </c>
      <c r="C3083" t="s">
        <v>500</v>
      </c>
      <c r="D3083" t="s">
        <v>816</v>
      </c>
      <c r="E3083" t="s">
        <v>846</v>
      </c>
      <c r="F3083">
        <v>5</v>
      </c>
      <c r="G3083">
        <v>0</v>
      </c>
      <c r="H3083" t="s">
        <v>855</v>
      </c>
      <c r="I3083" t="str">
        <f>VLOOKUP(C3083,Customers!A:C,2,FALSE)&amp;" "&amp;VLOOKUP(C3083,Customers!A:C,3,FALSE)</f>
        <v>Gary Lopez</v>
      </c>
      <c r="J3083" t="str">
        <f>VLOOKUP(D3083,Products!A:C,2,FALSE)</f>
        <v>Set Dairy</v>
      </c>
      <c r="K3083" t="str">
        <f>VLOOKUP(D3083,Products!A:C,3,FALSE)</f>
        <v>Groceries</v>
      </c>
      <c r="L3083" t="str">
        <f>VLOOKUP(E3083,Stores!A:B,2,FALSE)</f>
        <v>MegaMart Johnmouth</v>
      </c>
      <c r="M3083">
        <f>VLOOKUP(D3083,Products!A:E,5,FALSE)</f>
        <v>1879.08</v>
      </c>
      <c r="N3083" s="5">
        <f t="shared" si="48"/>
        <v>9395.4</v>
      </c>
    </row>
    <row r="3084" spans="1:14" x14ac:dyDescent="0.3">
      <c r="A3084" t="s">
        <v>3940</v>
      </c>
      <c r="B3084" s="2">
        <v>45338</v>
      </c>
      <c r="C3084" t="s">
        <v>579</v>
      </c>
      <c r="D3084" t="s">
        <v>810</v>
      </c>
      <c r="E3084" t="s">
        <v>839</v>
      </c>
      <c r="F3084">
        <v>3</v>
      </c>
      <c r="G3084">
        <v>0.1</v>
      </c>
      <c r="H3084" t="s">
        <v>861</v>
      </c>
      <c r="I3084" t="str">
        <f>VLOOKUP(C3084,Customers!A:C,2,FALSE)&amp;" "&amp;VLOOKUP(C3084,Customers!A:C,3,FALSE)</f>
        <v>Jill Roach</v>
      </c>
      <c r="J3084" t="str">
        <f>VLOOKUP(D3084,Products!A:C,2,FALSE)</f>
        <v>Maybe Clothing</v>
      </c>
      <c r="K3084" t="str">
        <f>VLOOKUP(D3084,Products!A:C,3,FALSE)</f>
        <v>Fashion</v>
      </c>
      <c r="L3084" t="str">
        <f>VLOOKUP(E3084,Stores!A:B,2,FALSE)</f>
        <v>MegaMart New Michele</v>
      </c>
      <c r="M3084">
        <f>VLOOKUP(D3084,Products!A:E,5,FALSE)</f>
        <v>453.62</v>
      </c>
      <c r="N3084" s="5">
        <f t="shared" si="48"/>
        <v>1224.7740000000001</v>
      </c>
    </row>
    <row r="3085" spans="1:14" x14ac:dyDescent="0.3">
      <c r="A3085" t="s">
        <v>3941</v>
      </c>
      <c r="B3085" s="2">
        <v>45257</v>
      </c>
      <c r="C3085" t="s">
        <v>306</v>
      </c>
      <c r="D3085" t="s">
        <v>788</v>
      </c>
      <c r="E3085" t="s">
        <v>839</v>
      </c>
      <c r="F3085">
        <v>2</v>
      </c>
      <c r="G3085">
        <v>0.05</v>
      </c>
      <c r="H3085" t="s">
        <v>855</v>
      </c>
      <c r="I3085" t="str">
        <f>VLOOKUP(C3085,Customers!A:C,2,FALSE)&amp;" "&amp;VLOOKUP(C3085,Customers!A:C,3,FALSE)</f>
        <v>Sarah Reynolds</v>
      </c>
      <c r="J3085" t="str">
        <f>VLOOKUP(D3085,Products!A:C,2,FALSE)</f>
        <v>Foot Snacks</v>
      </c>
      <c r="K3085" t="str">
        <f>VLOOKUP(D3085,Products!A:C,3,FALSE)</f>
        <v>Groceries</v>
      </c>
      <c r="L3085" t="str">
        <f>VLOOKUP(E3085,Stores!A:B,2,FALSE)</f>
        <v>MegaMart New Michele</v>
      </c>
      <c r="M3085">
        <f>VLOOKUP(D3085,Products!A:E,5,FALSE)</f>
        <v>1095.72</v>
      </c>
      <c r="N3085" s="5">
        <f t="shared" si="48"/>
        <v>2081.8679999999999</v>
      </c>
    </row>
    <row r="3086" spans="1:14" x14ac:dyDescent="0.3">
      <c r="A3086" t="s">
        <v>3942</v>
      </c>
      <c r="B3086" s="2">
        <v>45235</v>
      </c>
      <c r="C3086" t="s">
        <v>298</v>
      </c>
      <c r="D3086" t="s">
        <v>800</v>
      </c>
      <c r="E3086" t="s">
        <v>835</v>
      </c>
      <c r="F3086">
        <v>3</v>
      </c>
      <c r="G3086">
        <v>0.15</v>
      </c>
      <c r="H3086" t="s">
        <v>855</v>
      </c>
      <c r="I3086" t="str">
        <f>VLOOKUP(C3086,Customers!A:C,2,FALSE)&amp;" "&amp;VLOOKUP(C3086,Customers!A:C,3,FALSE)</f>
        <v>Donald Marsh</v>
      </c>
      <c r="J3086" t="str">
        <f>VLOOKUP(D3086,Products!A:C,2,FALSE)</f>
        <v>Book Television</v>
      </c>
      <c r="K3086" t="str">
        <f>VLOOKUP(D3086,Products!A:C,3,FALSE)</f>
        <v>Electronics</v>
      </c>
      <c r="L3086" t="str">
        <f>VLOOKUP(E3086,Stores!A:B,2,FALSE)</f>
        <v>MegaMart Peckmouth</v>
      </c>
      <c r="M3086">
        <f>VLOOKUP(D3086,Products!A:E,5,FALSE)</f>
        <v>1952.65</v>
      </c>
      <c r="N3086" s="5">
        <f t="shared" si="48"/>
        <v>4979.2575000000006</v>
      </c>
    </row>
    <row r="3087" spans="1:14" x14ac:dyDescent="0.3">
      <c r="A3087" t="s">
        <v>3943</v>
      </c>
      <c r="B3087" s="2">
        <v>45249</v>
      </c>
      <c r="C3087" t="s">
        <v>258</v>
      </c>
      <c r="D3087" t="s">
        <v>732</v>
      </c>
      <c r="E3087" t="s">
        <v>846</v>
      </c>
      <c r="F3087">
        <v>4</v>
      </c>
      <c r="G3087">
        <v>0.05</v>
      </c>
      <c r="H3087" t="s">
        <v>861</v>
      </c>
      <c r="I3087" t="str">
        <f>VLOOKUP(C3087,Customers!A:C,2,FALSE)&amp;" "&amp;VLOOKUP(C3087,Customers!A:C,3,FALSE)</f>
        <v>Alexandra Montoya</v>
      </c>
      <c r="J3087" t="str">
        <f>VLOOKUP(D3087,Products!A:C,2,FALSE)</f>
        <v>Understand Camera</v>
      </c>
      <c r="K3087" t="str">
        <f>VLOOKUP(D3087,Products!A:C,3,FALSE)</f>
        <v>Electronics</v>
      </c>
      <c r="L3087" t="str">
        <f>VLOOKUP(E3087,Stores!A:B,2,FALSE)</f>
        <v>MegaMart Johnmouth</v>
      </c>
      <c r="M3087">
        <f>VLOOKUP(D3087,Products!A:E,5,FALSE)</f>
        <v>1474.12</v>
      </c>
      <c r="N3087" s="5">
        <f t="shared" si="48"/>
        <v>5601.655999999999</v>
      </c>
    </row>
    <row r="3088" spans="1:14" x14ac:dyDescent="0.3">
      <c r="A3088" t="s">
        <v>3944</v>
      </c>
      <c r="B3088" s="2">
        <v>45548</v>
      </c>
      <c r="C3088" t="s">
        <v>696</v>
      </c>
      <c r="D3088" t="s">
        <v>812</v>
      </c>
      <c r="E3088" t="s">
        <v>839</v>
      </c>
      <c r="F3088">
        <v>2</v>
      </c>
      <c r="G3088">
        <v>0.1</v>
      </c>
      <c r="H3088" t="s">
        <v>855</v>
      </c>
      <c r="I3088" t="str">
        <f>VLOOKUP(C3088,Customers!A:C,2,FALSE)&amp;" "&amp;VLOOKUP(C3088,Customers!A:C,3,FALSE)</f>
        <v>Jessica Mullins</v>
      </c>
      <c r="J3088" t="str">
        <f>VLOOKUP(D3088,Products!A:C,2,FALSE)</f>
        <v>Soon Accessories</v>
      </c>
      <c r="K3088" t="str">
        <f>VLOOKUP(D3088,Products!A:C,3,FALSE)</f>
        <v>Fashion</v>
      </c>
      <c r="L3088" t="str">
        <f>VLOOKUP(E3088,Stores!A:B,2,FALSE)</f>
        <v>MegaMart New Michele</v>
      </c>
      <c r="M3088">
        <f>VLOOKUP(D3088,Products!A:E,5,FALSE)</f>
        <v>564.41999999999996</v>
      </c>
      <c r="N3088" s="5">
        <f t="shared" si="48"/>
        <v>1015.9559999999999</v>
      </c>
    </row>
    <row r="3089" spans="1:14" x14ac:dyDescent="0.3">
      <c r="A3089" t="s">
        <v>3945</v>
      </c>
      <c r="B3089" s="2">
        <v>45618</v>
      </c>
      <c r="C3089" t="s">
        <v>206</v>
      </c>
      <c r="D3089" t="s">
        <v>804</v>
      </c>
      <c r="E3089" t="s">
        <v>842</v>
      </c>
      <c r="F3089">
        <v>5</v>
      </c>
      <c r="G3089">
        <v>0.05</v>
      </c>
      <c r="H3089" t="s">
        <v>865</v>
      </c>
      <c r="I3089" t="str">
        <f>VLOOKUP(C3089,Customers!A:C,2,FALSE)&amp;" "&amp;VLOOKUP(C3089,Customers!A:C,3,FALSE)</f>
        <v>Felicia Morgan</v>
      </c>
      <c r="J3089" t="str">
        <f>VLOOKUP(D3089,Products!A:C,2,FALSE)</f>
        <v>Church Clothing</v>
      </c>
      <c r="K3089" t="str">
        <f>VLOOKUP(D3089,Products!A:C,3,FALSE)</f>
        <v>Fashion</v>
      </c>
      <c r="L3089" t="str">
        <f>VLOOKUP(E3089,Stores!A:B,2,FALSE)</f>
        <v>MegaMart Brianahaven</v>
      </c>
      <c r="M3089">
        <f>VLOOKUP(D3089,Products!A:E,5,FALSE)</f>
        <v>540.94000000000005</v>
      </c>
      <c r="N3089" s="5">
        <f t="shared" si="48"/>
        <v>2569.4650000000001</v>
      </c>
    </row>
    <row r="3090" spans="1:14" x14ac:dyDescent="0.3">
      <c r="A3090" t="s">
        <v>3946</v>
      </c>
      <c r="B3090" s="2">
        <v>45267</v>
      </c>
      <c r="C3090" t="s">
        <v>657</v>
      </c>
      <c r="D3090" t="s">
        <v>778</v>
      </c>
      <c r="E3090" t="s">
        <v>839</v>
      </c>
      <c r="F3090">
        <v>2</v>
      </c>
      <c r="G3090">
        <v>0.05</v>
      </c>
      <c r="H3090" t="s">
        <v>855</v>
      </c>
      <c r="I3090" t="str">
        <f>VLOOKUP(C3090,Customers!A:C,2,FALSE)&amp;" "&amp;VLOOKUP(C3090,Customers!A:C,3,FALSE)</f>
        <v>Vicki Guzman</v>
      </c>
      <c r="J3090" t="str">
        <f>VLOOKUP(D3090,Products!A:C,2,FALSE)</f>
        <v>Behavior Dairy</v>
      </c>
      <c r="K3090" t="str">
        <f>VLOOKUP(D3090,Products!A:C,3,FALSE)</f>
        <v>Groceries</v>
      </c>
      <c r="L3090" t="str">
        <f>VLOOKUP(E3090,Stores!A:B,2,FALSE)</f>
        <v>MegaMart New Michele</v>
      </c>
      <c r="M3090">
        <f>VLOOKUP(D3090,Products!A:E,5,FALSE)</f>
        <v>1015.76</v>
      </c>
      <c r="N3090" s="5">
        <f t="shared" si="48"/>
        <v>1929.944</v>
      </c>
    </row>
    <row r="3091" spans="1:14" x14ac:dyDescent="0.3">
      <c r="A3091" t="s">
        <v>3947</v>
      </c>
      <c r="B3091" s="2">
        <v>45466</v>
      </c>
      <c r="C3091" t="s">
        <v>183</v>
      </c>
      <c r="D3091" t="s">
        <v>759</v>
      </c>
      <c r="E3091" t="s">
        <v>842</v>
      </c>
      <c r="F3091">
        <v>3</v>
      </c>
      <c r="G3091">
        <v>0.05</v>
      </c>
      <c r="H3091" t="s">
        <v>858</v>
      </c>
      <c r="I3091" t="str">
        <f>VLOOKUP(C3091,Customers!A:C,2,FALSE)&amp;" "&amp;VLOOKUP(C3091,Customers!A:C,3,FALSE)</f>
        <v>Mary Decker</v>
      </c>
      <c r="J3091" t="str">
        <f>VLOOKUP(D3091,Products!A:C,2,FALSE)</f>
        <v>Democratic Smartphone</v>
      </c>
      <c r="K3091" t="str">
        <f>VLOOKUP(D3091,Products!A:C,3,FALSE)</f>
        <v>Electronics</v>
      </c>
      <c r="L3091" t="str">
        <f>VLOOKUP(E3091,Stores!A:B,2,FALSE)</f>
        <v>MegaMart Brianahaven</v>
      </c>
      <c r="M3091">
        <f>VLOOKUP(D3091,Products!A:E,5,FALSE)</f>
        <v>1079.8900000000001</v>
      </c>
      <c r="N3091" s="5">
        <f t="shared" si="48"/>
        <v>3077.6864999999998</v>
      </c>
    </row>
    <row r="3092" spans="1:14" x14ac:dyDescent="0.3">
      <c r="A3092" t="s">
        <v>3948</v>
      </c>
      <c r="B3092" s="2">
        <v>45584</v>
      </c>
      <c r="C3092" t="s">
        <v>458</v>
      </c>
      <c r="D3092" t="s">
        <v>761</v>
      </c>
      <c r="E3092" t="s">
        <v>839</v>
      </c>
      <c r="F3092">
        <v>5</v>
      </c>
      <c r="G3092">
        <v>0.15</v>
      </c>
      <c r="H3092" t="s">
        <v>855</v>
      </c>
      <c r="I3092" t="str">
        <f>VLOOKUP(C3092,Customers!A:C,2,FALSE)&amp;" "&amp;VLOOKUP(C3092,Customers!A:C,3,FALSE)</f>
        <v>Chad Roberts</v>
      </c>
      <c r="J3092" t="str">
        <f>VLOOKUP(D3092,Products!A:C,2,FALSE)</f>
        <v>Traditional Laptop</v>
      </c>
      <c r="K3092" t="str">
        <f>VLOOKUP(D3092,Products!A:C,3,FALSE)</f>
        <v>Electronics</v>
      </c>
      <c r="L3092" t="str">
        <f>VLOOKUP(E3092,Stores!A:B,2,FALSE)</f>
        <v>MegaMart New Michele</v>
      </c>
      <c r="M3092">
        <f>VLOOKUP(D3092,Products!A:E,5,FALSE)</f>
        <v>1762.92</v>
      </c>
      <c r="N3092" s="5">
        <f t="shared" si="48"/>
        <v>7492.41</v>
      </c>
    </row>
    <row r="3093" spans="1:14" x14ac:dyDescent="0.3">
      <c r="A3093" t="s">
        <v>3949</v>
      </c>
      <c r="B3093" s="2">
        <v>45440</v>
      </c>
      <c r="C3093" t="s">
        <v>148</v>
      </c>
      <c r="D3093" t="s">
        <v>822</v>
      </c>
      <c r="E3093" t="s">
        <v>839</v>
      </c>
      <c r="F3093">
        <v>5</v>
      </c>
      <c r="G3093">
        <v>0</v>
      </c>
      <c r="H3093" t="s">
        <v>855</v>
      </c>
      <c r="I3093" t="str">
        <f>VLOOKUP(C3093,Customers!A:C,2,FALSE)&amp;" "&amp;VLOOKUP(C3093,Customers!A:C,3,FALSE)</f>
        <v>Tracey Davis</v>
      </c>
      <c r="J3093" t="str">
        <f>VLOOKUP(D3093,Products!A:C,2,FALSE)</f>
        <v>Nor Bags</v>
      </c>
      <c r="K3093" t="str">
        <f>VLOOKUP(D3093,Products!A:C,3,FALSE)</f>
        <v>Fashion</v>
      </c>
      <c r="L3093" t="str">
        <f>VLOOKUP(E3093,Stores!A:B,2,FALSE)</f>
        <v>MegaMart New Michele</v>
      </c>
      <c r="M3093">
        <f>VLOOKUP(D3093,Products!A:E,5,FALSE)</f>
        <v>1216.3599999999999</v>
      </c>
      <c r="N3093" s="5">
        <f t="shared" si="48"/>
        <v>6081.7999999999993</v>
      </c>
    </row>
    <row r="3094" spans="1:14" x14ac:dyDescent="0.3">
      <c r="A3094" t="s">
        <v>3950</v>
      </c>
      <c r="B3094" s="2">
        <v>45394</v>
      </c>
      <c r="C3094" t="s">
        <v>127</v>
      </c>
      <c r="D3094" t="s">
        <v>753</v>
      </c>
      <c r="E3094" t="s">
        <v>842</v>
      </c>
      <c r="F3094">
        <v>5</v>
      </c>
      <c r="G3094">
        <v>0.15</v>
      </c>
      <c r="H3094" t="s">
        <v>865</v>
      </c>
      <c r="I3094" t="str">
        <f>VLOOKUP(C3094,Customers!A:C,2,FALSE)&amp;" "&amp;VLOOKUP(C3094,Customers!A:C,3,FALSE)</f>
        <v>Valerie Macdonald</v>
      </c>
      <c r="J3094" t="str">
        <f>VLOOKUP(D3094,Products!A:C,2,FALSE)</f>
        <v>Whether Bags</v>
      </c>
      <c r="K3094" t="str">
        <f>VLOOKUP(D3094,Products!A:C,3,FALSE)</f>
        <v>Fashion</v>
      </c>
      <c r="L3094" t="str">
        <f>VLOOKUP(E3094,Stores!A:B,2,FALSE)</f>
        <v>MegaMart Brianahaven</v>
      </c>
      <c r="M3094">
        <f>VLOOKUP(D3094,Products!A:E,5,FALSE)</f>
        <v>270.45</v>
      </c>
      <c r="N3094" s="5">
        <f t="shared" si="48"/>
        <v>1149.4124999999999</v>
      </c>
    </row>
    <row r="3095" spans="1:14" x14ac:dyDescent="0.3">
      <c r="A3095" t="s">
        <v>3951</v>
      </c>
      <c r="B3095" s="2">
        <v>45237</v>
      </c>
      <c r="C3095" t="s">
        <v>74</v>
      </c>
      <c r="D3095" t="s">
        <v>736</v>
      </c>
      <c r="E3095" t="s">
        <v>835</v>
      </c>
      <c r="F3095">
        <v>3</v>
      </c>
      <c r="G3095">
        <v>0.15</v>
      </c>
      <c r="H3095" t="s">
        <v>858</v>
      </c>
      <c r="I3095" t="str">
        <f>VLOOKUP(C3095,Customers!A:C,2,FALSE)&amp;" "&amp;VLOOKUP(C3095,Customers!A:C,3,FALSE)</f>
        <v>Breanna Davis</v>
      </c>
      <c r="J3095" t="str">
        <f>VLOOKUP(D3095,Products!A:C,2,FALSE)</f>
        <v>Us Snacks</v>
      </c>
      <c r="K3095" t="str">
        <f>VLOOKUP(D3095,Products!A:C,3,FALSE)</f>
        <v>Groceries</v>
      </c>
      <c r="L3095" t="str">
        <f>VLOOKUP(E3095,Stores!A:B,2,FALSE)</f>
        <v>MegaMart Peckmouth</v>
      </c>
      <c r="M3095">
        <f>VLOOKUP(D3095,Products!A:E,5,FALSE)</f>
        <v>123.19</v>
      </c>
      <c r="N3095" s="5">
        <f t="shared" si="48"/>
        <v>314.1345</v>
      </c>
    </row>
    <row r="3096" spans="1:14" x14ac:dyDescent="0.3">
      <c r="A3096" t="s">
        <v>3952</v>
      </c>
      <c r="B3096" s="2">
        <v>45774</v>
      </c>
      <c r="C3096" t="s">
        <v>512</v>
      </c>
      <c r="D3096" t="s">
        <v>711</v>
      </c>
      <c r="E3096" t="s">
        <v>846</v>
      </c>
      <c r="F3096">
        <v>3</v>
      </c>
      <c r="G3096">
        <v>0.15</v>
      </c>
      <c r="H3096" t="s">
        <v>861</v>
      </c>
      <c r="I3096" t="str">
        <f>VLOOKUP(C3096,Customers!A:C,2,FALSE)&amp;" "&amp;VLOOKUP(C3096,Customers!A:C,3,FALSE)</f>
        <v>Adam Lucas</v>
      </c>
      <c r="J3096" t="str">
        <f>VLOOKUP(D3096,Products!A:C,2,FALSE)</f>
        <v>Like Camera</v>
      </c>
      <c r="K3096" t="str">
        <f>VLOOKUP(D3096,Products!A:C,3,FALSE)</f>
        <v>Electronics</v>
      </c>
      <c r="L3096" t="str">
        <f>VLOOKUP(E3096,Stores!A:B,2,FALSE)</f>
        <v>MegaMart Johnmouth</v>
      </c>
      <c r="M3096">
        <f>VLOOKUP(D3096,Products!A:E,5,FALSE)</f>
        <v>1673.69</v>
      </c>
      <c r="N3096" s="5">
        <f t="shared" si="48"/>
        <v>4267.9094999999998</v>
      </c>
    </row>
    <row r="3097" spans="1:14" x14ac:dyDescent="0.3">
      <c r="A3097" t="s">
        <v>3953</v>
      </c>
      <c r="B3097" s="2">
        <v>45813</v>
      </c>
      <c r="C3097" t="s">
        <v>262</v>
      </c>
      <c r="D3097" t="s">
        <v>772</v>
      </c>
      <c r="E3097" t="s">
        <v>831</v>
      </c>
      <c r="F3097">
        <v>4</v>
      </c>
      <c r="G3097">
        <v>0.15</v>
      </c>
      <c r="H3097" t="s">
        <v>865</v>
      </c>
      <c r="I3097" t="str">
        <f>VLOOKUP(C3097,Customers!A:C,2,FALSE)&amp;" "&amp;VLOOKUP(C3097,Customers!A:C,3,FALSE)</f>
        <v>Gabriel Daugherty</v>
      </c>
      <c r="J3097" t="str">
        <f>VLOOKUP(D3097,Products!A:C,2,FALSE)</f>
        <v>And Footwear</v>
      </c>
      <c r="K3097" t="str">
        <f>VLOOKUP(D3097,Products!A:C,3,FALSE)</f>
        <v>Fashion</v>
      </c>
      <c r="L3097" t="str">
        <f>VLOOKUP(E3097,Stores!A:B,2,FALSE)</f>
        <v>MegaMart Jimenezborough</v>
      </c>
      <c r="M3097">
        <f>VLOOKUP(D3097,Products!A:E,5,FALSE)</f>
        <v>1878.47</v>
      </c>
      <c r="N3097" s="5">
        <f t="shared" si="48"/>
        <v>6386.7979999999998</v>
      </c>
    </row>
    <row r="3098" spans="1:14" x14ac:dyDescent="0.3">
      <c r="A3098" t="s">
        <v>3954</v>
      </c>
      <c r="B3098" s="2">
        <v>45703</v>
      </c>
      <c r="C3098" t="s">
        <v>452</v>
      </c>
      <c r="D3098" t="s">
        <v>826</v>
      </c>
      <c r="E3098" t="s">
        <v>842</v>
      </c>
      <c r="F3098">
        <v>4</v>
      </c>
      <c r="G3098">
        <v>0.1</v>
      </c>
      <c r="H3098" t="s">
        <v>865</v>
      </c>
      <c r="I3098" t="str">
        <f>VLOOKUP(C3098,Customers!A:C,2,FALSE)&amp;" "&amp;VLOOKUP(C3098,Customers!A:C,3,FALSE)</f>
        <v>Amy Smith</v>
      </c>
      <c r="J3098" t="str">
        <f>VLOOKUP(D3098,Products!A:C,2,FALSE)</f>
        <v>Maybe Footwear</v>
      </c>
      <c r="K3098" t="str">
        <f>VLOOKUP(D3098,Products!A:C,3,FALSE)</f>
        <v>Fashion</v>
      </c>
      <c r="L3098" t="str">
        <f>VLOOKUP(E3098,Stores!A:B,2,FALSE)</f>
        <v>MegaMart Brianahaven</v>
      </c>
      <c r="M3098">
        <f>VLOOKUP(D3098,Products!A:E,5,FALSE)</f>
        <v>1044.6400000000001</v>
      </c>
      <c r="N3098" s="5">
        <f t="shared" si="48"/>
        <v>3760.7040000000006</v>
      </c>
    </row>
    <row r="3099" spans="1:14" x14ac:dyDescent="0.3">
      <c r="A3099" t="s">
        <v>3955</v>
      </c>
      <c r="B3099" s="2">
        <v>45908</v>
      </c>
      <c r="C3099" t="s">
        <v>141</v>
      </c>
      <c r="D3099" t="s">
        <v>806</v>
      </c>
      <c r="E3099" t="s">
        <v>835</v>
      </c>
      <c r="F3099">
        <v>1</v>
      </c>
      <c r="G3099">
        <v>0.1</v>
      </c>
      <c r="H3099" t="s">
        <v>865</v>
      </c>
      <c r="I3099" t="str">
        <f>VLOOKUP(C3099,Customers!A:C,2,FALSE)&amp;" "&amp;VLOOKUP(C3099,Customers!A:C,3,FALSE)</f>
        <v>Michael Cervantes</v>
      </c>
      <c r="J3099" t="str">
        <f>VLOOKUP(D3099,Products!A:C,2,FALSE)</f>
        <v>Piece Headphones</v>
      </c>
      <c r="K3099" t="str">
        <f>VLOOKUP(D3099,Products!A:C,3,FALSE)</f>
        <v>Electronics</v>
      </c>
      <c r="L3099" t="str">
        <f>VLOOKUP(E3099,Stores!A:B,2,FALSE)</f>
        <v>MegaMart Peckmouth</v>
      </c>
      <c r="M3099">
        <f>VLOOKUP(D3099,Products!A:E,5,FALSE)</f>
        <v>1745.61</v>
      </c>
      <c r="N3099" s="5">
        <f t="shared" si="48"/>
        <v>1571.049</v>
      </c>
    </row>
    <row r="3100" spans="1:14" x14ac:dyDescent="0.3">
      <c r="A3100" t="s">
        <v>3956</v>
      </c>
      <c r="B3100" s="2">
        <v>45725</v>
      </c>
      <c r="C3100" t="s">
        <v>48</v>
      </c>
      <c r="D3100" t="s">
        <v>750</v>
      </c>
      <c r="E3100" t="s">
        <v>831</v>
      </c>
      <c r="F3100">
        <v>3</v>
      </c>
      <c r="G3100">
        <v>0</v>
      </c>
      <c r="H3100" t="s">
        <v>855</v>
      </c>
      <c r="I3100" t="str">
        <f>VLOOKUP(C3100,Customers!A:C,2,FALSE)&amp;" "&amp;VLOOKUP(C3100,Customers!A:C,3,FALSE)</f>
        <v>Haley Williams</v>
      </c>
      <c r="J3100" t="str">
        <f>VLOOKUP(D3100,Products!A:C,2,FALSE)</f>
        <v>Add Clothing</v>
      </c>
      <c r="K3100" t="str">
        <f>VLOOKUP(D3100,Products!A:C,3,FALSE)</f>
        <v>Fashion</v>
      </c>
      <c r="L3100" t="str">
        <f>VLOOKUP(E3100,Stores!A:B,2,FALSE)</f>
        <v>MegaMart Jimenezborough</v>
      </c>
      <c r="M3100">
        <f>VLOOKUP(D3100,Products!A:E,5,FALSE)</f>
        <v>1342.75</v>
      </c>
      <c r="N3100" s="5">
        <f t="shared" si="48"/>
        <v>4028.25</v>
      </c>
    </row>
    <row r="3101" spans="1:14" x14ac:dyDescent="0.3">
      <c r="A3101" t="s">
        <v>3957</v>
      </c>
      <c r="B3101" s="2">
        <v>45384</v>
      </c>
      <c r="C3101" t="s">
        <v>130</v>
      </c>
      <c r="D3101" t="s">
        <v>796</v>
      </c>
      <c r="E3101" t="s">
        <v>831</v>
      </c>
      <c r="F3101">
        <v>4</v>
      </c>
      <c r="G3101">
        <v>0.05</v>
      </c>
      <c r="H3101" t="s">
        <v>865</v>
      </c>
      <c r="I3101" t="str">
        <f>VLOOKUP(C3101,Customers!A:C,2,FALSE)&amp;" "&amp;VLOOKUP(C3101,Customers!A:C,3,FALSE)</f>
        <v>Jenny Beck</v>
      </c>
      <c r="J3101" t="str">
        <f>VLOOKUP(D3101,Products!A:C,2,FALSE)</f>
        <v>Chair Laptop</v>
      </c>
      <c r="K3101" t="str">
        <f>VLOOKUP(D3101,Products!A:C,3,FALSE)</f>
        <v>Electronics</v>
      </c>
      <c r="L3101" t="str">
        <f>VLOOKUP(E3101,Stores!A:B,2,FALSE)</f>
        <v>MegaMart Jimenezborough</v>
      </c>
      <c r="M3101">
        <f>VLOOKUP(D3101,Products!A:E,5,FALSE)</f>
        <v>1562.43</v>
      </c>
      <c r="N3101" s="5">
        <f t="shared" si="48"/>
        <v>5937.2340000000004</v>
      </c>
    </row>
    <row r="3102" spans="1:14" x14ac:dyDescent="0.3">
      <c r="A3102" t="s">
        <v>3958</v>
      </c>
      <c r="B3102" s="2">
        <v>45815</v>
      </c>
      <c r="C3102" t="s">
        <v>604</v>
      </c>
      <c r="D3102" t="s">
        <v>711</v>
      </c>
      <c r="E3102" t="s">
        <v>846</v>
      </c>
      <c r="F3102">
        <v>1</v>
      </c>
      <c r="G3102">
        <v>0</v>
      </c>
      <c r="H3102" t="s">
        <v>865</v>
      </c>
      <c r="I3102" t="str">
        <f>VLOOKUP(C3102,Customers!A:C,2,FALSE)&amp;" "&amp;VLOOKUP(C3102,Customers!A:C,3,FALSE)</f>
        <v>Amber Graham</v>
      </c>
      <c r="J3102" t="str">
        <f>VLOOKUP(D3102,Products!A:C,2,FALSE)</f>
        <v>Like Camera</v>
      </c>
      <c r="K3102" t="str">
        <f>VLOOKUP(D3102,Products!A:C,3,FALSE)</f>
        <v>Electronics</v>
      </c>
      <c r="L3102" t="str">
        <f>VLOOKUP(E3102,Stores!A:B,2,FALSE)</f>
        <v>MegaMart Johnmouth</v>
      </c>
      <c r="M3102">
        <f>VLOOKUP(D3102,Products!A:E,5,FALSE)</f>
        <v>1673.69</v>
      </c>
      <c r="N3102" s="5">
        <f t="shared" si="48"/>
        <v>1673.69</v>
      </c>
    </row>
    <row r="3103" spans="1:14" x14ac:dyDescent="0.3">
      <c r="A3103" t="s">
        <v>3959</v>
      </c>
      <c r="B3103" s="2">
        <v>45318</v>
      </c>
      <c r="C3103" t="s">
        <v>327</v>
      </c>
      <c r="D3103" t="s">
        <v>769</v>
      </c>
      <c r="E3103" t="s">
        <v>846</v>
      </c>
      <c r="F3103">
        <v>3</v>
      </c>
      <c r="G3103">
        <v>0.1</v>
      </c>
      <c r="H3103" t="s">
        <v>858</v>
      </c>
      <c r="I3103" t="str">
        <f>VLOOKUP(C3103,Customers!A:C,2,FALSE)&amp;" "&amp;VLOOKUP(C3103,Customers!A:C,3,FALSE)</f>
        <v>Laurie Mason</v>
      </c>
      <c r="J3103" t="str">
        <f>VLOOKUP(D3103,Products!A:C,2,FALSE)</f>
        <v>How Vegetables</v>
      </c>
      <c r="K3103" t="str">
        <f>VLOOKUP(D3103,Products!A:C,3,FALSE)</f>
        <v>Groceries</v>
      </c>
      <c r="L3103" t="str">
        <f>VLOOKUP(E3103,Stores!A:B,2,FALSE)</f>
        <v>MegaMart Johnmouth</v>
      </c>
      <c r="M3103">
        <f>VLOOKUP(D3103,Products!A:E,5,FALSE)</f>
        <v>25.57</v>
      </c>
      <c r="N3103" s="5">
        <f t="shared" si="48"/>
        <v>69.039000000000016</v>
      </c>
    </row>
    <row r="3104" spans="1:14" x14ac:dyDescent="0.3">
      <c r="A3104" t="s">
        <v>3960</v>
      </c>
      <c r="B3104" s="2">
        <v>45560</v>
      </c>
      <c r="C3104" t="s">
        <v>238</v>
      </c>
      <c r="D3104" t="s">
        <v>808</v>
      </c>
      <c r="E3104" t="s">
        <v>835</v>
      </c>
      <c r="F3104">
        <v>2</v>
      </c>
      <c r="G3104">
        <v>0.1</v>
      </c>
      <c r="H3104" t="s">
        <v>855</v>
      </c>
      <c r="I3104" t="str">
        <f>VLOOKUP(C3104,Customers!A:C,2,FALSE)&amp;" "&amp;VLOOKUP(C3104,Customers!A:C,3,FALSE)</f>
        <v>Susan Salinas</v>
      </c>
      <c r="J3104" t="str">
        <f>VLOOKUP(D3104,Products!A:C,2,FALSE)</f>
        <v>Present Television</v>
      </c>
      <c r="K3104" t="str">
        <f>VLOOKUP(D3104,Products!A:C,3,FALSE)</f>
        <v>Electronics</v>
      </c>
      <c r="L3104" t="str">
        <f>VLOOKUP(E3104,Stores!A:B,2,FALSE)</f>
        <v>MegaMart Peckmouth</v>
      </c>
      <c r="M3104">
        <f>VLOOKUP(D3104,Products!A:E,5,FALSE)</f>
        <v>1635.01</v>
      </c>
      <c r="N3104" s="5">
        <f t="shared" si="48"/>
        <v>2943.018</v>
      </c>
    </row>
    <row r="3105" spans="1:14" x14ac:dyDescent="0.3">
      <c r="A3105" t="s">
        <v>3961</v>
      </c>
      <c r="B3105" s="2">
        <v>45370</v>
      </c>
      <c r="C3105" t="s">
        <v>234</v>
      </c>
      <c r="D3105" t="s">
        <v>732</v>
      </c>
      <c r="E3105" t="s">
        <v>835</v>
      </c>
      <c r="F3105">
        <v>1</v>
      </c>
      <c r="G3105">
        <v>0.1</v>
      </c>
      <c r="H3105" t="s">
        <v>861</v>
      </c>
      <c r="I3105" t="str">
        <f>VLOOKUP(C3105,Customers!A:C,2,FALSE)&amp;" "&amp;VLOOKUP(C3105,Customers!A:C,3,FALSE)</f>
        <v>Heather Russell</v>
      </c>
      <c r="J3105" t="str">
        <f>VLOOKUP(D3105,Products!A:C,2,FALSE)</f>
        <v>Understand Camera</v>
      </c>
      <c r="K3105" t="str">
        <f>VLOOKUP(D3105,Products!A:C,3,FALSE)</f>
        <v>Electronics</v>
      </c>
      <c r="L3105" t="str">
        <f>VLOOKUP(E3105,Stores!A:B,2,FALSE)</f>
        <v>MegaMart Peckmouth</v>
      </c>
      <c r="M3105">
        <f>VLOOKUP(D3105,Products!A:E,5,FALSE)</f>
        <v>1474.12</v>
      </c>
      <c r="N3105" s="5">
        <f t="shared" si="48"/>
        <v>1326.7079999999999</v>
      </c>
    </row>
    <row r="3106" spans="1:14" x14ac:dyDescent="0.3">
      <c r="A3106" t="s">
        <v>3962</v>
      </c>
      <c r="B3106" s="2">
        <v>45842</v>
      </c>
      <c r="C3106" t="s">
        <v>171</v>
      </c>
      <c r="D3106" t="s">
        <v>757</v>
      </c>
      <c r="E3106" t="s">
        <v>842</v>
      </c>
      <c r="F3106">
        <v>2</v>
      </c>
      <c r="G3106">
        <v>0</v>
      </c>
      <c r="H3106" t="s">
        <v>861</v>
      </c>
      <c r="I3106" t="str">
        <f>VLOOKUP(C3106,Customers!A:C,2,FALSE)&amp;" "&amp;VLOOKUP(C3106,Customers!A:C,3,FALSE)</f>
        <v>Parker Sparks</v>
      </c>
      <c r="J3106" t="str">
        <f>VLOOKUP(D3106,Products!A:C,2,FALSE)</f>
        <v>Find Headphones</v>
      </c>
      <c r="K3106" t="str">
        <f>VLOOKUP(D3106,Products!A:C,3,FALSE)</f>
        <v>Electronics</v>
      </c>
      <c r="L3106" t="str">
        <f>VLOOKUP(E3106,Stores!A:B,2,FALSE)</f>
        <v>MegaMart Brianahaven</v>
      </c>
      <c r="M3106">
        <f>VLOOKUP(D3106,Products!A:E,5,FALSE)</f>
        <v>1246.1099999999999</v>
      </c>
      <c r="N3106" s="5">
        <f t="shared" si="48"/>
        <v>2492.2199999999998</v>
      </c>
    </row>
    <row r="3107" spans="1:14" x14ac:dyDescent="0.3">
      <c r="A3107" t="s">
        <v>3963</v>
      </c>
      <c r="B3107" s="2">
        <v>45340</v>
      </c>
      <c r="C3107" t="s">
        <v>97</v>
      </c>
      <c r="D3107" t="s">
        <v>715</v>
      </c>
      <c r="E3107" t="s">
        <v>846</v>
      </c>
      <c r="F3107">
        <v>5</v>
      </c>
      <c r="G3107">
        <v>0.1</v>
      </c>
      <c r="H3107" t="s">
        <v>858</v>
      </c>
      <c r="I3107" t="str">
        <f>VLOOKUP(C3107,Customers!A:C,2,FALSE)&amp;" "&amp;VLOOKUP(C3107,Customers!A:C,3,FALSE)</f>
        <v>Molly Murray</v>
      </c>
      <c r="J3107" t="str">
        <f>VLOOKUP(D3107,Products!A:C,2,FALSE)</f>
        <v>Audience Television</v>
      </c>
      <c r="K3107" t="str">
        <f>VLOOKUP(D3107,Products!A:C,3,FALSE)</f>
        <v>Electronics</v>
      </c>
      <c r="L3107" t="str">
        <f>VLOOKUP(E3107,Stores!A:B,2,FALSE)</f>
        <v>MegaMart Johnmouth</v>
      </c>
      <c r="M3107">
        <f>VLOOKUP(D3107,Products!A:E,5,FALSE)</f>
        <v>818.76</v>
      </c>
      <c r="N3107" s="5">
        <f t="shared" si="48"/>
        <v>3684.42</v>
      </c>
    </row>
    <row r="3108" spans="1:14" x14ac:dyDescent="0.3">
      <c r="A3108" t="s">
        <v>3964</v>
      </c>
      <c r="B3108" s="2">
        <v>45666</v>
      </c>
      <c r="C3108" t="s">
        <v>127</v>
      </c>
      <c r="D3108" t="s">
        <v>750</v>
      </c>
      <c r="E3108" t="s">
        <v>831</v>
      </c>
      <c r="F3108">
        <v>2</v>
      </c>
      <c r="G3108">
        <v>0.15</v>
      </c>
      <c r="H3108" t="s">
        <v>861</v>
      </c>
      <c r="I3108" t="str">
        <f>VLOOKUP(C3108,Customers!A:C,2,FALSE)&amp;" "&amp;VLOOKUP(C3108,Customers!A:C,3,FALSE)</f>
        <v>Valerie Macdonald</v>
      </c>
      <c r="J3108" t="str">
        <f>VLOOKUP(D3108,Products!A:C,2,FALSE)</f>
        <v>Add Clothing</v>
      </c>
      <c r="K3108" t="str">
        <f>VLOOKUP(D3108,Products!A:C,3,FALSE)</f>
        <v>Fashion</v>
      </c>
      <c r="L3108" t="str">
        <f>VLOOKUP(E3108,Stores!A:B,2,FALSE)</f>
        <v>MegaMart Jimenezborough</v>
      </c>
      <c r="M3108">
        <f>VLOOKUP(D3108,Products!A:E,5,FALSE)</f>
        <v>1342.75</v>
      </c>
      <c r="N3108" s="5">
        <f t="shared" si="48"/>
        <v>2282.6749999999997</v>
      </c>
    </row>
    <row r="3109" spans="1:14" x14ac:dyDescent="0.3">
      <c r="A3109" t="s">
        <v>3965</v>
      </c>
      <c r="B3109" s="2">
        <v>45684</v>
      </c>
      <c r="C3109" t="s">
        <v>238</v>
      </c>
      <c r="D3109" t="s">
        <v>725</v>
      </c>
      <c r="E3109" t="s">
        <v>842</v>
      </c>
      <c r="F3109">
        <v>5</v>
      </c>
      <c r="G3109">
        <v>0.05</v>
      </c>
      <c r="H3109" t="s">
        <v>861</v>
      </c>
      <c r="I3109" t="str">
        <f>VLOOKUP(C3109,Customers!A:C,2,FALSE)&amp;" "&amp;VLOOKUP(C3109,Customers!A:C,3,FALSE)</f>
        <v>Susan Salinas</v>
      </c>
      <c r="J3109" t="str">
        <f>VLOOKUP(D3109,Products!A:C,2,FALSE)</f>
        <v>Knowledge Bags</v>
      </c>
      <c r="K3109" t="str">
        <f>VLOOKUP(D3109,Products!A:C,3,FALSE)</f>
        <v>Fashion</v>
      </c>
      <c r="L3109" t="str">
        <f>VLOOKUP(E3109,Stores!A:B,2,FALSE)</f>
        <v>MegaMart Brianahaven</v>
      </c>
      <c r="M3109">
        <f>VLOOKUP(D3109,Products!A:E,5,FALSE)</f>
        <v>1396.22</v>
      </c>
      <c r="N3109" s="5">
        <f t="shared" si="48"/>
        <v>6632.0450000000001</v>
      </c>
    </row>
    <row r="3110" spans="1:14" x14ac:dyDescent="0.3">
      <c r="A3110" t="s">
        <v>3966</v>
      </c>
      <c r="B3110" s="2">
        <v>45193</v>
      </c>
      <c r="C3110" t="s">
        <v>221</v>
      </c>
      <c r="D3110" t="s">
        <v>745</v>
      </c>
      <c r="E3110" t="s">
        <v>839</v>
      </c>
      <c r="F3110">
        <v>1</v>
      </c>
      <c r="G3110">
        <v>0</v>
      </c>
      <c r="H3110" t="s">
        <v>861</v>
      </c>
      <c r="I3110" t="str">
        <f>VLOOKUP(C3110,Customers!A:C,2,FALSE)&amp;" "&amp;VLOOKUP(C3110,Customers!A:C,3,FALSE)</f>
        <v>Julie Gibson</v>
      </c>
      <c r="J3110" t="str">
        <f>VLOOKUP(D3110,Products!A:C,2,FALSE)</f>
        <v>Above Camera</v>
      </c>
      <c r="K3110" t="str">
        <f>VLOOKUP(D3110,Products!A:C,3,FALSE)</f>
        <v>Electronics</v>
      </c>
      <c r="L3110" t="str">
        <f>VLOOKUP(E3110,Stores!A:B,2,FALSE)</f>
        <v>MegaMart New Michele</v>
      </c>
      <c r="M3110">
        <f>VLOOKUP(D3110,Products!A:E,5,FALSE)</f>
        <v>1193.0899999999999</v>
      </c>
      <c r="N3110" s="5">
        <f t="shared" si="48"/>
        <v>1193.0899999999999</v>
      </c>
    </row>
    <row r="3111" spans="1:14" x14ac:dyDescent="0.3">
      <c r="A3111" t="s">
        <v>3967</v>
      </c>
      <c r="B3111" s="2">
        <v>45451</v>
      </c>
      <c r="C3111" t="s">
        <v>612</v>
      </c>
      <c r="D3111" t="s">
        <v>792</v>
      </c>
      <c r="E3111" t="s">
        <v>839</v>
      </c>
      <c r="F3111">
        <v>4</v>
      </c>
      <c r="G3111">
        <v>0.15</v>
      </c>
      <c r="H3111" t="s">
        <v>858</v>
      </c>
      <c r="I3111" t="str">
        <f>VLOOKUP(C3111,Customers!A:C,2,FALSE)&amp;" "&amp;VLOOKUP(C3111,Customers!A:C,3,FALSE)</f>
        <v>Michelle Smith</v>
      </c>
      <c r="J3111" t="str">
        <f>VLOOKUP(D3111,Products!A:C,2,FALSE)</f>
        <v>Beat Accessories</v>
      </c>
      <c r="K3111" t="str">
        <f>VLOOKUP(D3111,Products!A:C,3,FALSE)</f>
        <v>Fashion</v>
      </c>
      <c r="L3111" t="str">
        <f>VLOOKUP(E3111,Stores!A:B,2,FALSE)</f>
        <v>MegaMart New Michele</v>
      </c>
      <c r="M3111">
        <f>VLOOKUP(D3111,Products!A:E,5,FALSE)</f>
        <v>1798.97</v>
      </c>
      <c r="N3111" s="5">
        <f t="shared" si="48"/>
        <v>6116.4979999999996</v>
      </c>
    </row>
    <row r="3112" spans="1:14" x14ac:dyDescent="0.3">
      <c r="A3112" t="s">
        <v>3968</v>
      </c>
      <c r="B3112" s="2">
        <v>45848</v>
      </c>
      <c r="C3112" t="s">
        <v>213</v>
      </c>
      <c r="D3112" t="s">
        <v>814</v>
      </c>
      <c r="E3112" t="s">
        <v>835</v>
      </c>
      <c r="F3112">
        <v>1</v>
      </c>
      <c r="G3112">
        <v>0</v>
      </c>
      <c r="H3112" t="s">
        <v>858</v>
      </c>
      <c r="I3112" t="str">
        <f>VLOOKUP(C3112,Customers!A:C,2,FALSE)&amp;" "&amp;VLOOKUP(C3112,Customers!A:C,3,FALSE)</f>
        <v>Deborah Moody</v>
      </c>
      <c r="J3112" t="str">
        <f>VLOOKUP(D3112,Products!A:C,2,FALSE)</f>
        <v>Least Accessories</v>
      </c>
      <c r="K3112" t="str">
        <f>VLOOKUP(D3112,Products!A:C,3,FALSE)</f>
        <v>Fashion</v>
      </c>
      <c r="L3112" t="str">
        <f>VLOOKUP(E3112,Stores!A:B,2,FALSE)</f>
        <v>MegaMart Peckmouth</v>
      </c>
      <c r="M3112">
        <f>VLOOKUP(D3112,Products!A:E,5,FALSE)</f>
        <v>1286.55</v>
      </c>
      <c r="N3112" s="5">
        <f t="shared" si="48"/>
        <v>1286.55</v>
      </c>
    </row>
    <row r="3113" spans="1:14" x14ac:dyDescent="0.3">
      <c r="A3113" t="s">
        <v>3969</v>
      </c>
      <c r="B3113" s="2">
        <v>45419</v>
      </c>
      <c r="C3113" t="s">
        <v>647</v>
      </c>
      <c r="D3113" t="s">
        <v>794</v>
      </c>
      <c r="E3113" t="s">
        <v>842</v>
      </c>
      <c r="F3113">
        <v>4</v>
      </c>
      <c r="G3113">
        <v>0.05</v>
      </c>
      <c r="H3113" t="s">
        <v>858</v>
      </c>
      <c r="I3113" t="str">
        <f>VLOOKUP(C3113,Customers!A:C,2,FALSE)&amp;" "&amp;VLOOKUP(C3113,Customers!A:C,3,FALSE)</f>
        <v>Mary Dawson</v>
      </c>
      <c r="J3113" t="str">
        <f>VLOOKUP(D3113,Products!A:C,2,FALSE)</f>
        <v>Everything Laptop</v>
      </c>
      <c r="K3113" t="str">
        <f>VLOOKUP(D3113,Products!A:C,3,FALSE)</f>
        <v>Electronics</v>
      </c>
      <c r="L3113" t="str">
        <f>VLOOKUP(E3113,Stores!A:B,2,FALSE)</f>
        <v>MegaMart Brianahaven</v>
      </c>
      <c r="M3113">
        <f>VLOOKUP(D3113,Products!A:E,5,FALSE)</f>
        <v>428.05</v>
      </c>
      <c r="N3113" s="5">
        <f t="shared" si="48"/>
        <v>1626.59</v>
      </c>
    </row>
    <row r="3114" spans="1:14" x14ac:dyDescent="0.3">
      <c r="A3114" t="s">
        <v>3970</v>
      </c>
      <c r="B3114" s="2">
        <v>45619</v>
      </c>
      <c r="C3114" t="s">
        <v>567</v>
      </c>
      <c r="D3114" t="s">
        <v>715</v>
      </c>
      <c r="E3114" t="s">
        <v>842</v>
      </c>
      <c r="F3114">
        <v>1</v>
      </c>
      <c r="G3114">
        <v>0.1</v>
      </c>
      <c r="H3114" t="s">
        <v>861</v>
      </c>
      <c r="I3114" t="str">
        <f>VLOOKUP(C3114,Customers!A:C,2,FALSE)&amp;" "&amp;VLOOKUP(C3114,Customers!A:C,3,FALSE)</f>
        <v>Crystal Aguirre</v>
      </c>
      <c r="J3114" t="str">
        <f>VLOOKUP(D3114,Products!A:C,2,FALSE)</f>
        <v>Audience Television</v>
      </c>
      <c r="K3114" t="str">
        <f>VLOOKUP(D3114,Products!A:C,3,FALSE)</f>
        <v>Electronics</v>
      </c>
      <c r="L3114" t="str">
        <f>VLOOKUP(E3114,Stores!A:B,2,FALSE)</f>
        <v>MegaMart Brianahaven</v>
      </c>
      <c r="M3114">
        <f>VLOOKUP(D3114,Products!A:E,5,FALSE)</f>
        <v>818.76</v>
      </c>
      <c r="N3114" s="5">
        <f t="shared" si="48"/>
        <v>736.88400000000001</v>
      </c>
    </row>
    <row r="3115" spans="1:14" x14ac:dyDescent="0.3">
      <c r="A3115" t="s">
        <v>3971</v>
      </c>
      <c r="B3115" s="2">
        <v>45844</v>
      </c>
      <c r="C3115" t="s">
        <v>615</v>
      </c>
      <c r="D3115" t="s">
        <v>782</v>
      </c>
      <c r="E3115" t="s">
        <v>842</v>
      </c>
      <c r="F3115">
        <v>4</v>
      </c>
      <c r="G3115">
        <v>0.1</v>
      </c>
      <c r="H3115" t="s">
        <v>855</v>
      </c>
      <c r="I3115" t="str">
        <f>VLOOKUP(C3115,Customers!A:C,2,FALSE)&amp;" "&amp;VLOOKUP(C3115,Customers!A:C,3,FALSE)</f>
        <v>Lisa Ruiz</v>
      </c>
      <c r="J3115" t="str">
        <f>VLOOKUP(D3115,Products!A:C,2,FALSE)</f>
        <v>Deal Smartphone</v>
      </c>
      <c r="K3115" t="str">
        <f>VLOOKUP(D3115,Products!A:C,3,FALSE)</f>
        <v>Electronics</v>
      </c>
      <c r="L3115" t="str">
        <f>VLOOKUP(E3115,Stores!A:B,2,FALSE)</f>
        <v>MegaMart Brianahaven</v>
      </c>
      <c r="M3115">
        <f>VLOOKUP(D3115,Products!A:E,5,FALSE)</f>
        <v>673.78</v>
      </c>
      <c r="N3115" s="5">
        <f t="shared" si="48"/>
        <v>2425.6080000000002</v>
      </c>
    </row>
    <row r="3116" spans="1:14" x14ac:dyDescent="0.3">
      <c r="A3116" t="s">
        <v>3972</v>
      </c>
      <c r="B3116" s="2">
        <v>45734</v>
      </c>
      <c r="C3116" t="s">
        <v>28</v>
      </c>
      <c r="D3116" t="s">
        <v>776</v>
      </c>
      <c r="E3116" t="s">
        <v>842</v>
      </c>
      <c r="F3116">
        <v>5</v>
      </c>
      <c r="G3116">
        <v>0.15</v>
      </c>
      <c r="H3116" t="s">
        <v>858</v>
      </c>
      <c r="I3116" t="str">
        <f>VLOOKUP(C3116,Customers!A:C,2,FALSE)&amp;" "&amp;VLOOKUP(C3116,Customers!A:C,3,FALSE)</f>
        <v>Danny Moore</v>
      </c>
      <c r="J3116" t="str">
        <f>VLOOKUP(D3116,Products!A:C,2,FALSE)</f>
        <v>Little Watches</v>
      </c>
      <c r="K3116" t="str">
        <f>VLOOKUP(D3116,Products!A:C,3,FALSE)</f>
        <v>Fashion</v>
      </c>
      <c r="L3116" t="str">
        <f>VLOOKUP(E3116,Stores!A:B,2,FALSE)</f>
        <v>MegaMart Brianahaven</v>
      </c>
      <c r="M3116">
        <f>VLOOKUP(D3116,Products!A:E,5,FALSE)</f>
        <v>429.15</v>
      </c>
      <c r="N3116" s="5">
        <f t="shared" si="48"/>
        <v>1823.8875</v>
      </c>
    </row>
    <row r="3117" spans="1:14" x14ac:dyDescent="0.3">
      <c r="A3117" t="s">
        <v>3973</v>
      </c>
      <c r="B3117" s="2">
        <v>45491</v>
      </c>
      <c r="C3117" t="s">
        <v>560</v>
      </c>
      <c r="D3117" t="s">
        <v>802</v>
      </c>
      <c r="E3117" t="s">
        <v>835</v>
      </c>
      <c r="F3117">
        <v>3</v>
      </c>
      <c r="G3117">
        <v>0.05</v>
      </c>
      <c r="H3117" t="s">
        <v>865</v>
      </c>
      <c r="I3117" t="str">
        <f>VLOOKUP(C3117,Customers!A:C,2,FALSE)&amp;" "&amp;VLOOKUP(C3117,Customers!A:C,3,FALSE)</f>
        <v>George Young</v>
      </c>
      <c r="J3117" t="str">
        <f>VLOOKUP(D3117,Products!A:C,2,FALSE)</f>
        <v>Stage Footwear</v>
      </c>
      <c r="K3117" t="str">
        <f>VLOOKUP(D3117,Products!A:C,3,FALSE)</f>
        <v>Fashion</v>
      </c>
      <c r="L3117" t="str">
        <f>VLOOKUP(E3117,Stores!A:B,2,FALSE)</f>
        <v>MegaMart Peckmouth</v>
      </c>
      <c r="M3117">
        <f>VLOOKUP(D3117,Products!A:E,5,FALSE)</f>
        <v>366.93</v>
      </c>
      <c r="N3117" s="5">
        <f t="shared" si="48"/>
        <v>1045.7504999999999</v>
      </c>
    </row>
    <row r="3118" spans="1:14" x14ac:dyDescent="0.3">
      <c r="A3118" t="s">
        <v>3974</v>
      </c>
      <c r="B3118" s="2">
        <v>45589</v>
      </c>
      <c r="C3118" t="s">
        <v>554</v>
      </c>
      <c r="D3118" t="s">
        <v>794</v>
      </c>
      <c r="E3118" t="s">
        <v>842</v>
      </c>
      <c r="F3118">
        <v>2</v>
      </c>
      <c r="G3118">
        <v>0.15</v>
      </c>
      <c r="H3118" t="s">
        <v>861</v>
      </c>
      <c r="I3118" t="str">
        <f>VLOOKUP(C3118,Customers!A:C,2,FALSE)&amp;" "&amp;VLOOKUP(C3118,Customers!A:C,3,FALSE)</f>
        <v>Lisa Martinez</v>
      </c>
      <c r="J3118" t="str">
        <f>VLOOKUP(D3118,Products!A:C,2,FALSE)</f>
        <v>Everything Laptop</v>
      </c>
      <c r="K3118" t="str">
        <f>VLOOKUP(D3118,Products!A:C,3,FALSE)</f>
        <v>Electronics</v>
      </c>
      <c r="L3118" t="str">
        <f>VLOOKUP(E3118,Stores!A:B,2,FALSE)</f>
        <v>MegaMart Brianahaven</v>
      </c>
      <c r="M3118">
        <f>VLOOKUP(D3118,Products!A:E,5,FALSE)</f>
        <v>428.05</v>
      </c>
      <c r="N3118" s="5">
        <f t="shared" si="48"/>
        <v>727.68499999999995</v>
      </c>
    </row>
    <row r="3119" spans="1:14" x14ac:dyDescent="0.3">
      <c r="A3119" t="s">
        <v>3975</v>
      </c>
      <c r="B3119" s="2">
        <v>45421</v>
      </c>
      <c r="C3119" t="s">
        <v>217</v>
      </c>
      <c r="D3119" t="s">
        <v>784</v>
      </c>
      <c r="E3119" t="s">
        <v>839</v>
      </c>
      <c r="F3119">
        <v>3</v>
      </c>
      <c r="G3119">
        <v>0.15</v>
      </c>
      <c r="H3119" t="s">
        <v>855</v>
      </c>
      <c r="I3119" t="str">
        <f>VLOOKUP(C3119,Customers!A:C,2,FALSE)&amp;" "&amp;VLOOKUP(C3119,Customers!A:C,3,FALSE)</f>
        <v>Carl Wyatt</v>
      </c>
      <c r="J3119" t="str">
        <f>VLOOKUP(D3119,Products!A:C,2,FALSE)</f>
        <v>Road Clothing</v>
      </c>
      <c r="K3119" t="str">
        <f>VLOOKUP(D3119,Products!A:C,3,FALSE)</f>
        <v>Fashion</v>
      </c>
      <c r="L3119" t="str">
        <f>VLOOKUP(E3119,Stores!A:B,2,FALSE)</f>
        <v>MegaMart New Michele</v>
      </c>
      <c r="M3119">
        <f>VLOOKUP(D3119,Products!A:E,5,FALSE)</f>
        <v>1485.05</v>
      </c>
      <c r="N3119" s="5">
        <f t="shared" si="48"/>
        <v>3786.8774999999996</v>
      </c>
    </row>
    <row r="3120" spans="1:14" x14ac:dyDescent="0.3">
      <c r="A3120" t="s">
        <v>3976</v>
      </c>
      <c r="B3120" s="2">
        <v>45488</v>
      </c>
      <c r="C3120" t="s">
        <v>243</v>
      </c>
      <c r="D3120" t="s">
        <v>794</v>
      </c>
      <c r="E3120" t="s">
        <v>839</v>
      </c>
      <c r="F3120">
        <v>2</v>
      </c>
      <c r="G3120">
        <v>0.15</v>
      </c>
      <c r="H3120" t="s">
        <v>858</v>
      </c>
      <c r="I3120" t="str">
        <f>VLOOKUP(C3120,Customers!A:C,2,FALSE)&amp;" "&amp;VLOOKUP(C3120,Customers!A:C,3,FALSE)</f>
        <v>Amanda Hoover</v>
      </c>
      <c r="J3120" t="str">
        <f>VLOOKUP(D3120,Products!A:C,2,FALSE)</f>
        <v>Everything Laptop</v>
      </c>
      <c r="K3120" t="str">
        <f>VLOOKUP(D3120,Products!A:C,3,FALSE)</f>
        <v>Electronics</v>
      </c>
      <c r="L3120" t="str">
        <f>VLOOKUP(E3120,Stores!A:B,2,FALSE)</f>
        <v>MegaMart New Michele</v>
      </c>
      <c r="M3120">
        <f>VLOOKUP(D3120,Products!A:E,5,FALSE)</f>
        <v>428.05</v>
      </c>
      <c r="N3120" s="5">
        <f t="shared" si="48"/>
        <v>727.68499999999995</v>
      </c>
    </row>
    <row r="3121" spans="1:14" x14ac:dyDescent="0.3">
      <c r="A3121" t="s">
        <v>3977</v>
      </c>
      <c r="B3121" s="2">
        <v>45320</v>
      </c>
      <c r="C3121" t="s">
        <v>32</v>
      </c>
      <c r="D3121" t="s">
        <v>718</v>
      </c>
      <c r="E3121" t="s">
        <v>846</v>
      </c>
      <c r="F3121">
        <v>2</v>
      </c>
      <c r="G3121">
        <v>0</v>
      </c>
      <c r="H3121" t="s">
        <v>858</v>
      </c>
      <c r="I3121" t="str">
        <f>VLOOKUP(C3121,Customers!A:C,2,FALSE)&amp;" "&amp;VLOOKUP(C3121,Customers!A:C,3,FALSE)</f>
        <v>Erin Walker</v>
      </c>
      <c r="J3121" t="str">
        <f>VLOOKUP(D3121,Products!A:C,2,FALSE)</f>
        <v>Here Footwear</v>
      </c>
      <c r="K3121" t="str">
        <f>VLOOKUP(D3121,Products!A:C,3,FALSE)</f>
        <v>Fashion</v>
      </c>
      <c r="L3121" t="str">
        <f>VLOOKUP(E3121,Stores!A:B,2,FALSE)</f>
        <v>MegaMart Johnmouth</v>
      </c>
      <c r="M3121">
        <f>VLOOKUP(D3121,Products!A:E,5,FALSE)</f>
        <v>337.63</v>
      </c>
      <c r="N3121" s="5">
        <f t="shared" si="48"/>
        <v>675.26</v>
      </c>
    </row>
    <row r="3122" spans="1:14" x14ac:dyDescent="0.3">
      <c r="A3122" t="s">
        <v>3978</v>
      </c>
      <c r="B3122" s="2">
        <v>45711</v>
      </c>
      <c r="C3122" t="s">
        <v>647</v>
      </c>
      <c r="D3122" t="s">
        <v>778</v>
      </c>
      <c r="E3122" t="s">
        <v>831</v>
      </c>
      <c r="F3122">
        <v>4</v>
      </c>
      <c r="G3122">
        <v>0.1</v>
      </c>
      <c r="H3122" t="s">
        <v>855</v>
      </c>
      <c r="I3122" t="str">
        <f>VLOOKUP(C3122,Customers!A:C,2,FALSE)&amp;" "&amp;VLOOKUP(C3122,Customers!A:C,3,FALSE)</f>
        <v>Mary Dawson</v>
      </c>
      <c r="J3122" t="str">
        <f>VLOOKUP(D3122,Products!A:C,2,FALSE)</f>
        <v>Behavior Dairy</v>
      </c>
      <c r="K3122" t="str">
        <f>VLOOKUP(D3122,Products!A:C,3,FALSE)</f>
        <v>Groceries</v>
      </c>
      <c r="L3122" t="str">
        <f>VLOOKUP(E3122,Stores!A:B,2,FALSE)</f>
        <v>MegaMart Jimenezborough</v>
      </c>
      <c r="M3122">
        <f>VLOOKUP(D3122,Products!A:E,5,FALSE)</f>
        <v>1015.76</v>
      </c>
      <c r="N3122" s="5">
        <f t="shared" si="48"/>
        <v>3656.7359999999999</v>
      </c>
    </row>
    <row r="3123" spans="1:14" x14ac:dyDescent="0.3">
      <c r="A3123" t="s">
        <v>3979</v>
      </c>
      <c r="B3123" s="2">
        <v>45278</v>
      </c>
      <c r="C3123" t="s">
        <v>368</v>
      </c>
      <c r="D3123" t="s">
        <v>822</v>
      </c>
      <c r="E3123" t="s">
        <v>831</v>
      </c>
      <c r="F3123">
        <v>4</v>
      </c>
      <c r="G3123">
        <v>0.15</v>
      </c>
      <c r="H3123" t="s">
        <v>858</v>
      </c>
      <c r="I3123" t="str">
        <f>VLOOKUP(C3123,Customers!A:C,2,FALSE)&amp;" "&amp;VLOOKUP(C3123,Customers!A:C,3,FALSE)</f>
        <v>Lisa Vega</v>
      </c>
      <c r="J3123" t="str">
        <f>VLOOKUP(D3123,Products!A:C,2,FALSE)</f>
        <v>Nor Bags</v>
      </c>
      <c r="K3123" t="str">
        <f>VLOOKUP(D3123,Products!A:C,3,FALSE)</f>
        <v>Fashion</v>
      </c>
      <c r="L3123" t="str">
        <f>VLOOKUP(E3123,Stores!A:B,2,FALSE)</f>
        <v>MegaMart Jimenezborough</v>
      </c>
      <c r="M3123">
        <f>VLOOKUP(D3123,Products!A:E,5,FALSE)</f>
        <v>1216.3599999999999</v>
      </c>
      <c r="N3123" s="5">
        <f t="shared" si="48"/>
        <v>4135.6239999999998</v>
      </c>
    </row>
    <row r="3124" spans="1:14" x14ac:dyDescent="0.3">
      <c r="A3124" t="s">
        <v>3980</v>
      </c>
      <c r="B3124" s="2">
        <v>45362</v>
      </c>
      <c r="C3124" t="s">
        <v>407</v>
      </c>
      <c r="D3124" t="s">
        <v>722</v>
      </c>
      <c r="E3124" t="s">
        <v>831</v>
      </c>
      <c r="F3124">
        <v>4</v>
      </c>
      <c r="G3124">
        <v>0.1</v>
      </c>
      <c r="H3124" t="s">
        <v>855</v>
      </c>
      <c r="I3124" t="str">
        <f>VLOOKUP(C3124,Customers!A:C,2,FALSE)&amp;" "&amp;VLOOKUP(C3124,Customers!A:C,3,FALSE)</f>
        <v>Austin Hogan</v>
      </c>
      <c r="J3124" t="str">
        <f>VLOOKUP(D3124,Products!A:C,2,FALSE)</f>
        <v>Four Accessories</v>
      </c>
      <c r="K3124" t="str">
        <f>VLOOKUP(D3124,Products!A:C,3,FALSE)</f>
        <v>Fashion</v>
      </c>
      <c r="L3124" t="str">
        <f>VLOOKUP(E3124,Stores!A:B,2,FALSE)</f>
        <v>MegaMart Jimenezborough</v>
      </c>
      <c r="M3124">
        <f>VLOOKUP(D3124,Products!A:E,5,FALSE)</f>
        <v>1853.77</v>
      </c>
      <c r="N3124" s="5">
        <f t="shared" si="48"/>
        <v>6673.5720000000001</v>
      </c>
    </row>
    <row r="3125" spans="1:14" x14ac:dyDescent="0.3">
      <c r="A3125" t="s">
        <v>3981</v>
      </c>
      <c r="B3125" s="2">
        <v>45374</v>
      </c>
      <c r="C3125" t="s">
        <v>228</v>
      </c>
      <c r="D3125" t="s">
        <v>792</v>
      </c>
      <c r="E3125" t="s">
        <v>839</v>
      </c>
      <c r="F3125">
        <v>3</v>
      </c>
      <c r="G3125">
        <v>0.1</v>
      </c>
      <c r="H3125" t="s">
        <v>858</v>
      </c>
      <c r="I3125" t="str">
        <f>VLOOKUP(C3125,Customers!A:C,2,FALSE)&amp;" "&amp;VLOOKUP(C3125,Customers!A:C,3,FALSE)</f>
        <v>Scott Wyatt</v>
      </c>
      <c r="J3125" t="str">
        <f>VLOOKUP(D3125,Products!A:C,2,FALSE)</f>
        <v>Beat Accessories</v>
      </c>
      <c r="K3125" t="str">
        <f>VLOOKUP(D3125,Products!A:C,3,FALSE)</f>
        <v>Fashion</v>
      </c>
      <c r="L3125" t="str">
        <f>VLOOKUP(E3125,Stores!A:B,2,FALSE)</f>
        <v>MegaMart New Michele</v>
      </c>
      <c r="M3125">
        <f>VLOOKUP(D3125,Products!A:E,5,FALSE)</f>
        <v>1798.97</v>
      </c>
      <c r="N3125" s="5">
        <f t="shared" si="48"/>
        <v>4857.2190000000001</v>
      </c>
    </row>
    <row r="3126" spans="1:14" x14ac:dyDescent="0.3">
      <c r="A3126" t="s">
        <v>3982</v>
      </c>
      <c r="B3126" s="2">
        <v>45456</v>
      </c>
      <c r="C3126" t="s">
        <v>159</v>
      </c>
      <c r="D3126" t="s">
        <v>788</v>
      </c>
      <c r="E3126" t="s">
        <v>835</v>
      </c>
      <c r="F3126">
        <v>2</v>
      </c>
      <c r="G3126">
        <v>0.05</v>
      </c>
      <c r="H3126" t="s">
        <v>865</v>
      </c>
      <c r="I3126" t="str">
        <f>VLOOKUP(C3126,Customers!A:C,2,FALSE)&amp;" "&amp;VLOOKUP(C3126,Customers!A:C,3,FALSE)</f>
        <v>Melissa Rodgers</v>
      </c>
      <c r="J3126" t="str">
        <f>VLOOKUP(D3126,Products!A:C,2,FALSE)</f>
        <v>Foot Snacks</v>
      </c>
      <c r="K3126" t="str">
        <f>VLOOKUP(D3126,Products!A:C,3,FALSE)</f>
        <v>Groceries</v>
      </c>
      <c r="L3126" t="str">
        <f>VLOOKUP(E3126,Stores!A:B,2,FALSE)</f>
        <v>MegaMart Peckmouth</v>
      </c>
      <c r="M3126">
        <f>VLOOKUP(D3126,Products!A:E,5,FALSE)</f>
        <v>1095.72</v>
      </c>
      <c r="N3126" s="5">
        <f t="shared" si="48"/>
        <v>2081.8679999999999</v>
      </c>
    </row>
    <row r="3127" spans="1:14" x14ac:dyDescent="0.3">
      <c r="A3127" t="s">
        <v>3983</v>
      </c>
      <c r="B3127" s="2">
        <v>45195</v>
      </c>
      <c r="C3127" t="s">
        <v>368</v>
      </c>
      <c r="D3127" t="s">
        <v>742</v>
      </c>
      <c r="E3127" t="s">
        <v>839</v>
      </c>
      <c r="F3127">
        <v>1</v>
      </c>
      <c r="G3127">
        <v>0.05</v>
      </c>
      <c r="H3127" t="s">
        <v>865</v>
      </c>
      <c r="I3127" t="str">
        <f>VLOOKUP(C3127,Customers!A:C,2,FALSE)&amp;" "&amp;VLOOKUP(C3127,Customers!A:C,3,FALSE)</f>
        <v>Lisa Vega</v>
      </c>
      <c r="J3127" t="str">
        <f>VLOOKUP(D3127,Products!A:C,2,FALSE)</f>
        <v>Either Headphones</v>
      </c>
      <c r="K3127" t="str">
        <f>VLOOKUP(D3127,Products!A:C,3,FALSE)</f>
        <v>Electronics</v>
      </c>
      <c r="L3127" t="str">
        <f>VLOOKUP(E3127,Stores!A:B,2,FALSE)</f>
        <v>MegaMart New Michele</v>
      </c>
      <c r="M3127">
        <f>VLOOKUP(D3127,Products!A:E,5,FALSE)</f>
        <v>248.57</v>
      </c>
      <c r="N3127" s="5">
        <f t="shared" si="48"/>
        <v>236.14149999999998</v>
      </c>
    </row>
    <row r="3128" spans="1:14" x14ac:dyDescent="0.3">
      <c r="A3128" t="s">
        <v>3984</v>
      </c>
      <c r="B3128" s="2">
        <v>45514</v>
      </c>
      <c r="C3128" t="s">
        <v>643</v>
      </c>
      <c r="D3128" t="s">
        <v>822</v>
      </c>
      <c r="E3128" t="s">
        <v>835</v>
      </c>
      <c r="F3128">
        <v>1</v>
      </c>
      <c r="G3128">
        <v>0</v>
      </c>
      <c r="H3128" t="s">
        <v>855</v>
      </c>
      <c r="I3128" t="str">
        <f>VLOOKUP(C3128,Customers!A:C,2,FALSE)&amp;" "&amp;VLOOKUP(C3128,Customers!A:C,3,FALSE)</f>
        <v>Meghan Wright</v>
      </c>
      <c r="J3128" t="str">
        <f>VLOOKUP(D3128,Products!A:C,2,FALSE)</f>
        <v>Nor Bags</v>
      </c>
      <c r="K3128" t="str">
        <f>VLOOKUP(D3128,Products!A:C,3,FALSE)</f>
        <v>Fashion</v>
      </c>
      <c r="L3128" t="str">
        <f>VLOOKUP(E3128,Stores!A:B,2,FALSE)</f>
        <v>MegaMart Peckmouth</v>
      </c>
      <c r="M3128">
        <f>VLOOKUP(D3128,Products!A:E,5,FALSE)</f>
        <v>1216.3599999999999</v>
      </c>
      <c r="N3128" s="5">
        <f t="shared" si="48"/>
        <v>1216.3599999999999</v>
      </c>
    </row>
    <row r="3129" spans="1:14" x14ac:dyDescent="0.3">
      <c r="A3129" t="s">
        <v>3985</v>
      </c>
      <c r="B3129" s="2">
        <v>45661</v>
      </c>
      <c r="C3129" t="s">
        <v>85</v>
      </c>
      <c r="D3129" t="s">
        <v>742</v>
      </c>
      <c r="E3129" t="s">
        <v>846</v>
      </c>
      <c r="F3129">
        <v>3</v>
      </c>
      <c r="G3129">
        <v>0.15</v>
      </c>
      <c r="H3129" t="s">
        <v>861</v>
      </c>
      <c r="I3129" t="str">
        <f>VLOOKUP(C3129,Customers!A:C,2,FALSE)&amp;" "&amp;VLOOKUP(C3129,Customers!A:C,3,FALSE)</f>
        <v>Debbie Martin</v>
      </c>
      <c r="J3129" t="str">
        <f>VLOOKUP(D3129,Products!A:C,2,FALSE)</f>
        <v>Either Headphones</v>
      </c>
      <c r="K3129" t="str">
        <f>VLOOKUP(D3129,Products!A:C,3,FALSE)</f>
        <v>Electronics</v>
      </c>
      <c r="L3129" t="str">
        <f>VLOOKUP(E3129,Stores!A:B,2,FALSE)</f>
        <v>MegaMart Johnmouth</v>
      </c>
      <c r="M3129">
        <f>VLOOKUP(D3129,Products!A:E,5,FALSE)</f>
        <v>248.57</v>
      </c>
      <c r="N3129" s="5">
        <f t="shared" si="48"/>
        <v>633.85350000000005</v>
      </c>
    </row>
    <row r="3130" spans="1:14" x14ac:dyDescent="0.3">
      <c r="A3130" t="s">
        <v>3986</v>
      </c>
      <c r="B3130" s="2">
        <v>45588</v>
      </c>
      <c r="C3130" t="s">
        <v>287</v>
      </c>
      <c r="D3130" t="s">
        <v>784</v>
      </c>
      <c r="E3130" t="s">
        <v>835</v>
      </c>
      <c r="F3130">
        <v>4</v>
      </c>
      <c r="G3130">
        <v>0.1</v>
      </c>
      <c r="H3130" t="s">
        <v>861</v>
      </c>
      <c r="I3130" t="str">
        <f>VLOOKUP(C3130,Customers!A:C,2,FALSE)&amp;" "&amp;VLOOKUP(C3130,Customers!A:C,3,FALSE)</f>
        <v>Phyllis Durham</v>
      </c>
      <c r="J3130" t="str">
        <f>VLOOKUP(D3130,Products!A:C,2,FALSE)</f>
        <v>Road Clothing</v>
      </c>
      <c r="K3130" t="str">
        <f>VLOOKUP(D3130,Products!A:C,3,FALSE)</f>
        <v>Fashion</v>
      </c>
      <c r="L3130" t="str">
        <f>VLOOKUP(E3130,Stores!A:B,2,FALSE)</f>
        <v>MegaMart Peckmouth</v>
      </c>
      <c r="M3130">
        <f>VLOOKUP(D3130,Products!A:E,5,FALSE)</f>
        <v>1485.05</v>
      </c>
      <c r="N3130" s="5">
        <f t="shared" si="48"/>
        <v>5346.18</v>
      </c>
    </row>
    <row r="3131" spans="1:14" x14ac:dyDescent="0.3">
      <c r="A3131" t="s">
        <v>3987</v>
      </c>
      <c r="B3131" s="2">
        <v>45562</v>
      </c>
      <c r="C3131" t="s">
        <v>228</v>
      </c>
      <c r="D3131" t="s">
        <v>790</v>
      </c>
      <c r="E3131" t="s">
        <v>842</v>
      </c>
      <c r="F3131">
        <v>3</v>
      </c>
      <c r="G3131">
        <v>0.05</v>
      </c>
      <c r="H3131" t="s">
        <v>865</v>
      </c>
      <c r="I3131" t="str">
        <f>VLOOKUP(C3131,Customers!A:C,2,FALSE)&amp;" "&amp;VLOOKUP(C3131,Customers!A:C,3,FALSE)</f>
        <v>Scott Wyatt</v>
      </c>
      <c r="J3131" t="str">
        <f>VLOOKUP(D3131,Products!A:C,2,FALSE)</f>
        <v>Difficult Vegetables</v>
      </c>
      <c r="K3131" t="str">
        <f>VLOOKUP(D3131,Products!A:C,3,FALSE)</f>
        <v>Groceries</v>
      </c>
      <c r="L3131" t="str">
        <f>VLOOKUP(E3131,Stores!A:B,2,FALSE)</f>
        <v>MegaMart Brianahaven</v>
      </c>
      <c r="M3131">
        <f>VLOOKUP(D3131,Products!A:E,5,FALSE)</f>
        <v>304.70999999999998</v>
      </c>
      <c r="N3131" s="5">
        <f t="shared" si="48"/>
        <v>868.42349999999988</v>
      </c>
    </row>
    <row r="3132" spans="1:14" x14ac:dyDescent="0.3">
      <c r="A3132" t="s">
        <v>3988</v>
      </c>
      <c r="B3132" s="2">
        <v>45551</v>
      </c>
      <c r="C3132" t="s">
        <v>230</v>
      </c>
      <c r="D3132" t="s">
        <v>818</v>
      </c>
      <c r="E3132" t="s">
        <v>831</v>
      </c>
      <c r="F3132">
        <v>5</v>
      </c>
      <c r="G3132">
        <v>0</v>
      </c>
      <c r="H3132" t="s">
        <v>861</v>
      </c>
      <c r="I3132" t="str">
        <f>VLOOKUP(C3132,Customers!A:C,2,FALSE)&amp;" "&amp;VLOOKUP(C3132,Customers!A:C,3,FALSE)</f>
        <v>Anthony Conway</v>
      </c>
      <c r="J3132" t="str">
        <f>VLOOKUP(D3132,Products!A:C,2,FALSE)</f>
        <v>Nature Clothing</v>
      </c>
      <c r="K3132" t="str">
        <f>VLOOKUP(D3132,Products!A:C,3,FALSE)</f>
        <v>Fashion</v>
      </c>
      <c r="L3132" t="str">
        <f>VLOOKUP(E3132,Stores!A:B,2,FALSE)</f>
        <v>MegaMart Jimenezborough</v>
      </c>
      <c r="M3132">
        <f>VLOOKUP(D3132,Products!A:E,5,FALSE)</f>
        <v>1165.3699999999999</v>
      </c>
      <c r="N3132" s="5">
        <f t="shared" si="48"/>
        <v>5826.8499999999995</v>
      </c>
    </row>
    <row r="3133" spans="1:14" x14ac:dyDescent="0.3">
      <c r="A3133" t="s">
        <v>3989</v>
      </c>
      <c r="B3133" s="2">
        <v>45260</v>
      </c>
      <c r="C3133" t="s">
        <v>280</v>
      </c>
      <c r="D3133" t="s">
        <v>761</v>
      </c>
      <c r="E3133" t="s">
        <v>846</v>
      </c>
      <c r="F3133">
        <v>4</v>
      </c>
      <c r="G3133">
        <v>0.15</v>
      </c>
      <c r="H3133" t="s">
        <v>861</v>
      </c>
      <c r="I3133" t="str">
        <f>VLOOKUP(C3133,Customers!A:C,2,FALSE)&amp;" "&amp;VLOOKUP(C3133,Customers!A:C,3,FALSE)</f>
        <v>Jesus Singh</v>
      </c>
      <c r="J3133" t="str">
        <f>VLOOKUP(D3133,Products!A:C,2,FALSE)</f>
        <v>Traditional Laptop</v>
      </c>
      <c r="K3133" t="str">
        <f>VLOOKUP(D3133,Products!A:C,3,FALSE)</f>
        <v>Electronics</v>
      </c>
      <c r="L3133" t="str">
        <f>VLOOKUP(E3133,Stores!A:B,2,FALSE)</f>
        <v>MegaMart Johnmouth</v>
      </c>
      <c r="M3133">
        <f>VLOOKUP(D3133,Products!A:E,5,FALSE)</f>
        <v>1762.92</v>
      </c>
      <c r="N3133" s="5">
        <f t="shared" si="48"/>
        <v>5993.9279999999999</v>
      </c>
    </row>
    <row r="3134" spans="1:14" x14ac:dyDescent="0.3">
      <c r="A3134" t="s">
        <v>3990</v>
      </c>
      <c r="B3134" s="2">
        <v>45265</v>
      </c>
      <c r="C3134" t="s">
        <v>234</v>
      </c>
      <c r="D3134" t="s">
        <v>736</v>
      </c>
      <c r="E3134" t="s">
        <v>831</v>
      </c>
      <c r="F3134">
        <v>2</v>
      </c>
      <c r="G3134">
        <v>0</v>
      </c>
      <c r="H3134" t="s">
        <v>865</v>
      </c>
      <c r="I3134" t="str">
        <f>VLOOKUP(C3134,Customers!A:C,2,FALSE)&amp;" "&amp;VLOOKUP(C3134,Customers!A:C,3,FALSE)</f>
        <v>Heather Russell</v>
      </c>
      <c r="J3134" t="str">
        <f>VLOOKUP(D3134,Products!A:C,2,FALSE)</f>
        <v>Us Snacks</v>
      </c>
      <c r="K3134" t="str">
        <f>VLOOKUP(D3134,Products!A:C,3,FALSE)</f>
        <v>Groceries</v>
      </c>
      <c r="L3134" t="str">
        <f>VLOOKUP(E3134,Stores!A:B,2,FALSE)</f>
        <v>MegaMart Jimenezborough</v>
      </c>
      <c r="M3134">
        <f>VLOOKUP(D3134,Products!A:E,5,FALSE)</f>
        <v>123.19</v>
      </c>
      <c r="N3134" s="5">
        <f t="shared" si="48"/>
        <v>246.38</v>
      </c>
    </row>
    <row r="3135" spans="1:14" x14ac:dyDescent="0.3">
      <c r="A3135" t="s">
        <v>3991</v>
      </c>
      <c r="B3135" s="2">
        <v>45373</v>
      </c>
      <c r="C3135" t="s">
        <v>696</v>
      </c>
      <c r="D3135" t="s">
        <v>798</v>
      </c>
      <c r="E3135" t="s">
        <v>831</v>
      </c>
      <c r="F3135">
        <v>3</v>
      </c>
      <c r="G3135">
        <v>0.05</v>
      </c>
      <c r="H3135" t="s">
        <v>865</v>
      </c>
      <c r="I3135" t="str">
        <f>VLOOKUP(C3135,Customers!A:C,2,FALSE)&amp;" "&amp;VLOOKUP(C3135,Customers!A:C,3,FALSE)</f>
        <v>Jessica Mullins</v>
      </c>
      <c r="J3135" t="str">
        <f>VLOOKUP(D3135,Products!A:C,2,FALSE)</f>
        <v>New Watches</v>
      </c>
      <c r="K3135" t="str">
        <f>VLOOKUP(D3135,Products!A:C,3,FALSE)</f>
        <v>Fashion</v>
      </c>
      <c r="L3135" t="str">
        <f>VLOOKUP(E3135,Stores!A:B,2,FALSE)</f>
        <v>MegaMart Jimenezborough</v>
      </c>
      <c r="M3135">
        <f>VLOOKUP(D3135,Products!A:E,5,FALSE)</f>
        <v>1501.46</v>
      </c>
      <c r="N3135" s="5">
        <f t="shared" si="48"/>
        <v>4279.1610000000001</v>
      </c>
    </row>
    <row r="3136" spans="1:14" x14ac:dyDescent="0.3">
      <c r="A3136" t="s">
        <v>3992</v>
      </c>
      <c r="B3136" s="2">
        <v>45827</v>
      </c>
      <c r="C3136" t="s">
        <v>702</v>
      </c>
      <c r="D3136" t="s">
        <v>764</v>
      </c>
      <c r="E3136" t="s">
        <v>842</v>
      </c>
      <c r="F3136">
        <v>5</v>
      </c>
      <c r="G3136">
        <v>0.1</v>
      </c>
      <c r="H3136" t="s">
        <v>861</v>
      </c>
      <c r="I3136" t="str">
        <f>VLOOKUP(C3136,Customers!A:C,2,FALSE)&amp;" "&amp;VLOOKUP(C3136,Customers!A:C,3,FALSE)</f>
        <v>Ronald Haley</v>
      </c>
      <c r="J3136" t="str">
        <f>VLOOKUP(D3136,Products!A:C,2,FALSE)</f>
        <v>Simple Accessories</v>
      </c>
      <c r="K3136" t="str">
        <f>VLOOKUP(D3136,Products!A:C,3,FALSE)</f>
        <v>Fashion</v>
      </c>
      <c r="L3136" t="str">
        <f>VLOOKUP(E3136,Stores!A:B,2,FALSE)</f>
        <v>MegaMart Brianahaven</v>
      </c>
      <c r="M3136">
        <f>VLOOKUP(D3136,Products!A:E,5,FALSE)</f>
        <v>323.92</v>
      </c>
      <c r="N3136" s="5">
        <f t="shared" si="48"/>
        <v>1457.64</v>
      </c>
    </row>
    <row r="3137" spans="1:14" x14ac:dyDescent="0.3">
      <c r="A3137" t="s">
        <v>3993</v>
      </c>
      <c r="B3137" s="2">
        <v>45263</v>
      </c>
      <c r="C3137" t="s">
        <v>155</v>
      </c>
      <c r="D3137" t="s">
        <v>750</v>
      </c>
      <c r="E3137" t="s">
        <v>846</v>
      </c>
      <c r="F3137">
        <v>2</v>
      </c>
      <c r="G3137">
        <v>0.05</v>
      </c>
      <c r="H3137" t="s">
        <v>865</v>
      </c>
      <c r="I3137" t="str">
        <f>VLOOKUP(C3137,Customers!A:C,2,FALSE)&amp;" "&amp;VLOOKUP(C3137,Customers!A:C,3,FALSE)</f>
        <v>Scott Powell</v>
      </c>
      <c r="J3137" t="str">
        <f>VLOOKUP(D3137,Products!A:C,2,FALSE)</f>
        <v>Add Clothing</v>
      </c>
      <c r="K3137" t="str">
        <f>VLOOKUP(D3137,Products!A:C,3,FALSE)</f>
        <v>Fashion</v>
      </c>
      <c r="L3137" t="str">
        <f>VLOOKUP(E3137,Stores!A:B,2,FALSE)</f>
        <v>MegaMart Johnmouth</v>
      </c>
      <c r="M3137">
        <f>VLOOKUP(D3137,Products!A:E,5,FALSE)</f>
        <v>1342.75</v>
      </c>
      <c r="N3137" s="5">
        <f t="shared" si="48"/>
        <v>2551.2249999999999</v>
      </c>
    </row>
    <row r="3138" spans="1:14" x14ac:dyDescent="0.3">
      <c r="A3138" t="s">
        <v>3994</v>
      </c>
      <c r="B3138" s="2">
        <v>45550</v>
      </c>
      <c r="C3138" t="s">
        <v>317</v>
      </c>
      <c r="D3138" t="s">
        <v>766</v>
      </c>
      <c r="E3138" t="s">
        <v>835</v>
      </c>
      <c r="F3138">
        <v>3</v>
      </c>
      <c r="G3138">
        <v>0</v>
      </c>
      <c r="H3138" t="s">
        <v>865</v>
      </c>
      <c r="I3138" t="str">
        <f>VLOOKUP(C3138,Customers!A:C,2,FALSE)&amp;" "&amp;VLOOKUP(C3138,Customers!A:C,3,FALSE)</f>
        <v>Amanda Lee</v>
      </c>
      <c r="J3138" t="str">
        <f>VLOOKUP(D3138,Products!A:C,2,FALSE)</f>
        <v>Firm Dairy</v>
      </c>
      <c r="K3138" t="str">
        <f>VLOOKUP(D3138,Products!A:C,3,FALSE)</f>
        <v>Groceries</v>
      </c>
      <c r="L3138" t="str">
        <f>VLOOKUP(E3138,Stores!A:B,2,FALSE)</f>
        <v>MegaMart Peckmouth</v>
      </c>
      <c r="M3138">
        <f>VLOOKUP(D3138,Products!A:E,5,FALSE)</f>
        <v>1227.24</v>
      </c>
      <c r="N3138" s="5">
        <f t="shared" si="48"/>
        <v>3681.7200000000003</v>
      </c>
    </row>
    <row r="3139" spans="1:14" x14ac:dyDescent="0.3">
      <c r="A3139" t="s">
        <v>3995</v>
      </c>
      <c r="B3139" s="2">
        <v>45228</v>
      </c>
      <c r="C3139" t="s">
        <v>379</v>
      </c>
      <c r="D3139" t="s">
        <v>824</v>
      </c>
      <c r="E3139" t="s">
        <v>835</v>
      </c>
      <c r="F3139">
        <v>2</v>
      </c>
      <c r="G3139">
        <v>0</v>
      </c>
      <c r="H3139" t="s">
        <v>858</v>
      </c>
      <c r="I3139" t="str">
        <f>VLOOKUP(C3139,Customers!A:C,2,FALSE)&amp;" "&amp;VLOOKUP(C3139,Customers!A:C,3,FALSE)</f>
        <v>William Pope</v>
      </c>
      <c r="J3139" t="str">
        <f>VLOOKUP(D3139,Products!A:C,2,FALSE)</f>
        <v>Possible Watches</v>
      </c>
      <c r="K3139" t="str">
        <f>VLOOKUP(D3139,Products!A:C,3,FALSE)</f>
        <v>Fashion</v>
      </c>
      <c r="L3139" t="str">
        <f>VLOOKUP(E3139,Stores!A:B,2,FALSE)</f>
        <v>MegaMart Peckmouth</v>
      </c>
      <c r="M3139">
        <f>VLOOKUP(D3139,Products!A:E,5,FALSE)</f>
        <v>388.26</v>
      </c>
      <c r="N3139" s="5">
        <f t="shared" ref="N3139:N3202" si="49">F3139*M3139*(1-G3139)</f>
        <v>776.52</v>
      </c>
    </row>
    <row r="3140" spans="1:14" x14ac:dyDescent="0.3">
      <c r="A3140" t="s">
        <v>3996</v>
      </c>
      <c r="B3140" s="2">
        <v>45638</v>
      </c>
      <c r="C3140" t="s">
        <v>155</v>
      </c>
      <c r="D3140" t="s">
        <v>808</v>
      </c>
      <c r="E3140" t="s">
        <v>835</v>
      </c>
      <c r="F3140">
        <v>2</v>
      </c>
      <c r="G3140">
        <v>0.1</v>
      </c>
      <c r="H3140" t="s">
        <v>855</v>
      </c>
      <c r="I3140" t="str">
        <f>VLOOKUP(C3140,Customers!A:C,2,FALSE)&amp;" "&amp;VLOOKUP(C3140,Customers!A:C,3,FALSE)</f>
        <v>Scott Powell</v>
      </c>
      <c r="J3140" t="str">
        <f>VLOOKUP(D3140,Products!A:C,2,FALSE)</f>
        <v>Present Television</v>
      </c>
      <c r="K3140" t="str">
        <f>VLOOKUP(D3140,Products!A:C,3,FALSE)</f>
        <v>Electronics</v>
      </c>
      <c r="L3140" t="str">
        <f>VLOOKUP(E3140,Stores!A:B,2,FALSE)</f>
        <v>MegaMart Peckmouth</v>
      </c>
      <c r="M3140">
        <f>VLOOKUP(D3140,Products!A:E,5,FALSE)</f>
        <v>1635.01</v>
      </c>
      <c r="N3140" s="5">
        <f t="shared" si="49"/>
        <v>2943.018</v>
      </c>
    </row>
    <row r="3141" spans="1:14" x14ac:dyDescent="0.3">
      <c r="A3141" t="s">
        <v>3997</v>
      </c>
      <c r="B3141" s="2">
        <v>45664</v>
      </c>
      <c r="C3141" t="s">
        <v>442</v>
      </c>
      <c r="D3141" t="s">
        <v>734</v>
      </c>
      <c r="E3141" t="s">
        <v>835</v>
      </c>
      <c r="F3141">
        <v>4</v>
      </c>
      <c r="G3141">
        <v>0.05</v>
      </c>
      <c r="H3141" t="s">
        <v>865</v>
      </c>
      <c r="I3141" t="str">
        <f>VLOOKUP(C3141,Customers!A:C,2,FALSE)&amp;" "&amp;VLOOKUP(C3141,Customers!A:C,3,FALSE)</f>
        <v>Jason Lloyd</v>
      </c>
      <c r="J3141" t="str">
        <f>VLOOKUP(D3141,Products!A:C,2,FALSE)</f>
        <v>Recognize Footwear</v>
      </c>
      <c r="K3141" t="str">
        <f>VLOOKUP(D3141,Products!A:C,3,FALSE)</f>
        <v>Fashion</v>
      </c>
      <c r="L3141" t="str">
        <f>VLOOKUP(E3141,Stores!A:B,2,FALSE)</f>
        <v>MegaMart Peckmouth</v>
      </c>
      <c r="M3141">
        <f>VLOOKUP(D3141,Products!A:E,5,FALSE)</f>
        <v>109.78</v>
      </c>
      <c r="N3141" s="5">
        <f t="shared" si="49"/>
        <v>417.16399999999999</v>
      </c>
    </row>
    <row r="3142" spans="1:14" x14ac:dyDescent="0.3">
      <c r="A3142" t="s">
        <v>3998</v>
      </c>
      <c r="B3142" s="2">
        <v>45242</v>
      </c>
      <c r="C3142" t="s">
        <v>647</v>
      </c>
      <c r="D3142" t="s">
        <v>764</v>
      </c>
      <c r="E3142" t="s">
        <v>835</v>
      </c>
      <c r="F3142">
        <v>2</v>
      </c>
      <c r="G3142">
        <v>0</v>
      </c>
      <c r="H3142" t="s">
        <v>865</v>
      </c>
      <c r="I3142" t="str">
        <f>VLOOKUP(C3142,Customers!A:C,2,FALSE)&amp;" "&amp;VLOOKUP(C3142,Customers!A:C,3,FALSE)</f>
        <v>Mary Dawson</v>
      </c>
      <c r="J3142" t="str">
        <f>VLOOKUP(D3142,Products!A:C,2,FALSE)</f>
        <v>Simple Accessories</v>
      </c>
      <c r="K3142" t="str">
        <f>VLOOKUP(D3142,Products!A:C,3,FALSE)</f>
        <v>Fashion</v>
      </c>
      <c r="L3142" t="str">
        <f>VLOOKUP(E3142,Stores!A:B,2,FALSE)</f>
        <v>MegaMart Peckmouth</v>
      </c>
      <c r="M3142">
        <f>VLOOKUP(D3142,Products!A:E,5,FALSE)</f>
        <v>323.92</v>
      </c>
      <c r="N3142" s="5">
        <f t="shared" si="49"/>
        <v>647.84</v>
      </c>
    </row>
    <row r="3143" spans="1:14" x14ac:dyDescent="0.3">
      <c r="A3143" t="s">
        <v>3999</v>
      </c>
      <c r="B3143" s="2">
        <v>45610</v>
      </c>
      <c r="C3143" t="s">
        <v>364</v>
      </c>
      <c r="D3143" t="s">
        <v>739</v>
      </c>
      <c r="E3143" t="s">
        <v>835</v>
      </c>
      <c r="F3143">
        <v>1</v>
      </c>
      <c r="G3143">
        <v>0.1</v>
      </c>
      <c r="H3143" t="s">
        <v>858</v>
      </c>
      <c r="I3143" t="str">
        <f>VLOOKUP(C3143,Customers!A:C,2,FALSE)&amp;" "&amp;VLOOKUP(C3143,Customers!A:C,3,FALSE)</f>
        <v>Evelyn Gray</v>
      </c>
      <c r="J3143" t="str">
        <f>VLOOKUP(D3143,Products!A:C,2,FALSE)</f>
        <v>Step Smartphone</v>
      </c>
      <c r="K3143" t="str">
        <f>VLOOKUP(D3143,Products!A:C,3,FALSE)</f>
        <v>Electronics</v>
      </c>
      <c r="L3143" t="str">
        <f>VLOOKUP(E3143,Stores!A:B,2,FALSE)</f>
        <v>MegaMart Peckmouth</v>
      </c>
      <c r="M3143">
        <f>VLOOKUP(D3143,Products!A:E,5,FALSE)</f>
        <v>1194.1199999999999</v>
      </c>
      <c r="N3143" s="5">
        <f t="shared" si="49"/>
        <v>1074.7079999999999</v>
      </c>
    </row>
    <row r="3144" spans="1:14" x14ac:dyDescent="0.3">
      <c r="A3144" t="s">
        <v>4000</v>
      </c>
      <c r="B3144" s="2">
        <v>45437</v>
      </c>
      <c r="C3144" t="s">
        <v>498</v>
      </c>
      <c r="D3144" t="s">
        <v>792</v>
      </c>
      <c r="E3144" t="s">
        <v>842</v>
      </c>
      <c r="F3144">
        <v>4</v>
      </c>
      <c r="G3144">
        <v>0.15</v>
      </c>
      <c r="H3144" t="s">
        <v>858</v>
      </c>
      <c r="I3144" t="str">
        <f>VLOOKUP(C3144,Customers!A:C,2,FALSE)&amp;" "&amp;VLOOKUP(C3144,Customers!A:C,3,FALSE)</f>
        <v>Amanda Garcia</v>
      </c>
      <c r="J3144" t="str">
        <f>VLOOKUP(D3144,Products!A:C,2,FALSE)</f>
        <v>Beat Accessories</v>
      </c>
      <c r="K3144" t="str">
        <f>VLOOKUP(D3144,Products!A:C,3,FALSE)</f>
        <v>Fashion</v>
      </c>
      <c r="L3144" t="str">
        <f>VLOOKUP(E3144,Stores!A:B,2,FALSE)</f>
        <v>MegaMart Brianahaven</v>
      </c>
      <c r="M3144">
        <f>VLOOKUP(D3144,Products!A:E,5,FALSE)</f>
        <v>1798.97</v>
      </c>
      <c r="N3144" s="5">
        <f t="shared" si="49"/>
        <v>6116.4979999999996</v>
      </c>
    </row>
    <row r="3145" spans="1:14" x14ac:dyDescent="0.3">
      <c r="A3145" t="s">
        <v>4001</v>
      </c>
      <c r="B3145" s="2">
        <v>45611</v>
      </c>
      <c r="C3145" t="s">
        <v>593</v>
      </c>
      <c r="D3145" t="s">
        <v>816</v>
      </c>
      <c r="E3145" t="s">
        <v>846</v>
      </c>
      <c r="F3145">
        <v>3</v>
      </c>
      <c r="G3145">
        <v>0.15</v>
      </c>
      <c r="H3145" t="s">
        <v>855</v>
      </c>
      <c r="I3145" t="str">
        <f>VLOOKUP(C3145,Customers!A:C,2,FALSE)&amp;" "&amp;VLOOKUP(C3145,Customers!A:C,3,FALSE)</f>
        <v>Meagan Ali</v>
      </c>
      <c r="J3145" t="str">
        <f>VLOOKUP(D3145,Products!A:C,2,FALSE)</f>
        <v>Set Dairy</v>
      </c>
      <c r="K3145" t="str">
        <f>VLOOKUP(D3145,Products!A:C,3,FALSE)</f>
        <v>Groceries</v>
      </c>
      <c r="L3145" t="str">
        <f>VLOOKUP(E3145,Stores!A:B,2,FALSE)</f>
        <v>MegaMart Johnmouth</v>
      </c>
      <c r="M3145">
        <f>VLOOKUP(D3145,Products!A:E,5,FALSE)</f>
        <v>1879.08</v>
      </c>
      <c r="N3145" s="5">
        <f t="shared" si="49"/>
        <v>4791.6539999999995</v>
      </c>
    </row>
    <row r="3146" spans="1:14" x14ac:dyDescent="0.3">
      <c r="A3146" t="s">
        <v>4002</v>
      </c>
      <c r="B3146" s="2">
        <v>45764</v>
      </c>
      <c r="C3146" t="s">
        <v>494</v>
      </c>
      <c r="D3146" t="s">
        <v>745</v>
      </c>
      <c r="E3146" t="s">
        <v>842</v>
      </c>
      <c r="F3146">
        <v>2</v>
      </c>
      <c r="G3146">
        <v>0.15</v>
      </c>
      <c r="H3146" t="s">
        <v>861</v>
      </c>
      <c r="I3146" t="str">
        <f>VLOOKUP(C3146,Customers!A:C,2,FALSE)&amp;" "&amp;VLOOKUP(C3146,Customers!A:C,3,FALSE)</f>
        <v>Mario Cuevas</v>
      </c>
      <c r="J3146" t="str">
        <f>VLOOKUP(D3146,Products!A:C,2,FALSE)</f>
        <v>Above Camera</v>
      </c>
      <c r="K3146" t="str">
        <f>VLOOKUP(D3146,Products!A:C,3,FALSE)</f>
        <v>Electronics</v>
      </c>
      <c r="L3146" t="str">
        <f>VLOOKUP(E3146,Stores!A:B,2,FALSE)</f>
        <v>MegaMart Brianahaven</v>
      </c>
      <c r="M3146">
        <f>VLOOKUP(D3146,Products!A:E,5,FALSE)</f>
        <v>1193.0899999999999</v>
      </c>
      <c r="N3146" s="5">
        <f t="shared" si="49"/>
        <v>2028.2529999999997</v>
      </c>
    </row>
    <row r="3147" spans="1:14" x14ac:dyDescent="0.3">
      <c r="A3147" t="s">
        <v>4003</v>
      </c>
      <c r="B3147" s="2">
        <v>45247</v>
      </c>
      <c r="C3147" t="s">
        <v>44</v>
      </c>
      <c r="D3147" t="s">
        <v>792</v>
      </c>
      <c r="E3147" t="s">
        <v>835</v>
      </c>
      <c r="F3147">
        <v>1</v>
      </c>
      <c r="G3147">
        <v>0.1</v>
      </c>
      <c r="H3147" t="s">
        <v>855</v>
      </c>
      <c r="I3147" t="str">
        <f>VLOOKUP(C3147,Customers!A:C,2,FALSE)&amp;" "&amp;VLOOKUP(C3147,Customers!A:C,3,FALSE)</f>
        <v>Catherine Rice</v>
      </c>
      <c r="J3147" t="str">
        <f>VLOOKUP(D3147,Products!A:C,2,FALSE)</f>
        <v>Beat Accessories</v>
      </c>
      <c r="K3147" t="str">
        <f>VLOOKUP(D3147,Products!A:C,3,FALSE)</f>
        <v>Fashion</v>
      </c>
      <c r="L3147" t="str">
        <f>VLOOKUP(E3147,Stores!A:B,2,FALSE)</f>
        <v>MegaMart Peckmouth</v>
      </c>
      <c r="M3147">
        <f>VLOOKUP(D3147,Products!A:E,5,FALSE)</f>
        <v>1798.97</v>
      </c>
      <c r="N3147" s="5">
        <f t="shared" si="49"/>
        <v>1619.0730000000001</v>
      </c>
    </row>
    <row r="3148" spans="1:14" x14ac:dyDescent="0.3">
      <c r="A3148" t="s">
        <v>4004</v>
      </c>
      <c r="B3148" s="2">
        <v>45414</v>
      </c>
      <c r="C3148" t="s">
        <v>119</v>
      </c>
      <c r="D3148" t="s">
        <v>802</v>
      </c>
      <c r="E3148" t="s">
        <v>846</v>
      </c>
      <c r="F3148">
        <v>4</v>
      </c>
      <c r="G3148">
        <v>0.15</v>
      </c>
      <c r="H3148" t="s">
        <v>858</v>
      </c>
      <c r="I3148" t="str">
        <f>VLOOKUP(C3148,Customers!A:C,2,FALSE)&amp;" "&amp;VLOOKUP(C3148,Customers!A:C,3,FALSE)</f>
        <v>Lacey Hall</v>
      </c>
      <c r="J3148" t="str">
        <f>VLOOKUP(D3148,Products!A:C,2,FALSE)</f>
        <v>Stage Footwear</v>
      </c>
      <c r="K3148" t="str">
        <f>VLOOKUP(D3148,Products!A:C,3,FALSE)</f>
        <v>Fashion</v>
      </c>
      <c r="L3148" t="str">
        <f>VLOOKUP(E3148,Stores!A:B,2,FALSE)</f>
        <v>MegaMart Johnmouth</v>
      </c>
      <c r="M3148">
        <f>VLOOKUP(D3148,Products!A:E,5,FALSE)</f>
        <v>366.93</v>
      </c>
      <c r="N3148" s="5">
        <f t="shared" si="49"/>
        <v>1247.5619999999999</v>
      </c>
    </row>
    <row r="3149" spans="1:14" x14ac:dyDescent="0.3">
      <c r="A3149" t="s">
        <v>4005</v>
      </c>
      <c r="B3149" s="2">
        <v>45613</v>
      </c>
      <c r="C3149" t="s">
        <v>291</v>
      </c>
      <c r="D3149" t="s">
        <v>794</v>
      </c>
      <c r="E3149" t="s">
        <v>839</v>
      </c>
      <c r="F3149">
        <v>1</v>
      </c>
      <c r="G3149">
        <v>0.1</v>
      </c>
      <c r="H3149" t="s">
        <v>858</v>
      </c>
      <c r="I3149" t="str">
        <f>VLOOKUP(C3149,Customers!A:C,2,FALSE)&amp;" "&amp;VLOOKUP(C3149,Customers!A:C,3,FALSE)</f>
        <v>Matthew Juarez</v>
      </c>
      <c r="J3149" t="str">
        <f>VLOOKUP(D3149,Products!A:C,2,FALSE)</f>
        <v>Everything Laptop</v>
      </c>
      <c r="K3149" t="str">
        <f>VLOOKUP(D3149,Products!A:C,3,FALSE)</f>
        <v>Electronics</v>
      </c>
      <c r="L3149" t="str">
        <f>VLOOKUP(E3149,Stores!A:B,2,FALSE)</f>
        <v>MegaMart New Michele</v>
      </c>
      <c r="M3149">
        <f>VLOOKUP(D3149,Products!A:E,5,FALSE)</f>
        <v>428.05</v>
      </c>
      <c r="N3149" s="5">
        <f t="shared" si="49"/>
        <v>385.245</v>
      </c>
    </row>
    <row r="3150" spans="1:14" x14ac:dyDescent="0.3">
      <c r="A3150" t="s">
        <v>4006</v>
      </c>
      <c r="B3150" s="2">
        <v>45331</v>
      </c>
      <c r="C3150" t="s">
        <v>198</v>
      </c>
      <c r="D3150" t="s">
        <v>774</v>
      </c>
      <c r="E3150" t="s">
        <v>831</v>
      </c>
      <c r="F3150">
        <v>2</v>
      </c>
      <c r="G3150">
        <v>0.15</v>
      </c>
      <c r="H3150" t="s">
        <v>861</v>
      </c>
      <c r="I3150" t="str">
        <f>VLOOKUP(C3150,Customers!A:C,2,FALSE)&amp;" "&amp;VLOOKUP(C3150,Customers!A:C,3,FALSE)</f>
        <v>Madison Sellers</v>
      </c>
      <c r="J3150" t="str">
        <f>VLOOKUP(D3150,Products!A:C,2,FALSE)</f>
        <v>Him Smartphone</v>
      </c>
      <c r="K3150" t="str">
        <f>VLOOKUP(D3150,Products!A:C,3,FALSE)</f>
        <v>Electronics</v>
      </c>
      <c r="L3150" t="str">
        <f>VLOOKUP(E3150,Stores!A:B,2,FALSE)</f>
        <v>MegaMart Jimenezborough</v>
      </c>
      <c r="M3150">
        <f>VLOOKUP(D3150,Products!A:E,5,FALSE)</f>
        <v>1487.41</v>
      </c>
      <c r="N3150" s="5">
        <f t="shared" si="49"/>
        <v>2528.5970000000002</v>
      </c>
    </row>
    <row r="3151" spans="1:14" x14ac:dyDescent="0.3">
      <c r="A3151" t="s">
        <v>4007</v>
      </c>
      <c r="B3151" s="2">
        <v>45668</v>
      </c>
      <c r="C3151" t="s">
        <v>432</v>
      </c>
      <c r="D3151" t="s">
        <v>736</v>
      </c>
      <c r="E3151" t="s">
        <v>846</v>
      </c>
      <c r="F3151">
        <v>2</v>
      </c>
      <c r="G3151">
        <v>0.1</v>
      </c>
      <c r="H3151" t="s">
        <v>858</v>
      </c>
      <c r="I3151" t="str">
        <f>VLOOKUP(C3151,Customers!A:C,2,FALSE)&amp;" "&amp;VLOOKUP(C3151,Customers!A:C,3,FALSE)</f>
        <v>Jamie Webb</v>
      </c>
      <c r="J3151" t="str">
        <f>VLOOKUP(D3151,Products!A:C,2,FALSE)</f>
        <v>Us Snacks</v>
      </c>
      <c r="K3151" t="str">
        <f>VLOOKUP(D3151,Products!A:C,3,FALSE)</f>
        <v>Groceries</v>
      </c>
      <c r="L3151" t="str">
        <f>VLOOKUP(E3151,Stores!A:B,2,FALSE)</f>
        <v>MegaMart Johnmouth</v>
      </c>
      <c r="M3151">
        <f>VLOOKUP(D3151,Products!A:E,5,FALSE)</f>
        <v>123.19</v>
      </c>
      <c r="N3151" s="5">
        <f t="shared" si="49"/>
        <v>221.74199999999999</v>
      </c>
    </row>
    <row r="3152" spans="1:14" x14ac:dyDescent="0.3">
      <c r="A3152" t="s">
        <v>4008</v>
      </c>
      <c r="B3152" s="2">
        <v>45301</v>
      </c>
      <c r="C3152" t="s">
        <v>241</v>
      </c>
      <c r="D3152" t="s">
        <v>732</v>
      </c>
      <c r="E3152" t="s">
        <v>835</v>
      </c>
      <c r="F3152">
        <v>1</v>
      </c>
      <c r="G3152">
        <v>0.05</v>
      </c>
      <c r="H3152" t="s">
        <v>858</v>
      </c>
      <c r="I3152" t="str">
        <f>VLOOKUP(C3152,Customers!A:C,2,FALSE)&amp;" "&amp;VLOOKUP(C3152,Customers!A:C,3,FALSE)</f>
        <v>Michael Johnson</v>
      </c>
      <c r="J3152" t="str">
        <f>VLOOKUP(D3152,Products!A:C,2,FALSE)</f>
        <v>Understand Camera</v>
      </c>
      <c r="K3152" t="str">
        <f>VLOOKUP(D3152,Products!A:C,3,FALSE)</f>
        <v>Electronics</v>
      </c>
      <c r="L3152" t="str">
        <f>VLOOKUP(E3152,Stores!A:B,2,FALSE)</f>
        <v>MegaMart Peckmouth</v>
      </c>
      <c r="M3152">
        <f>VLOOKUP(D3152,Products!A:E,5,FALSE)</f>
        <v>1474.12</v>
      </c>
      <c r="N3152" s="5">
        <f t="shared" si="49"/>
        <v>1400.4139999999998</v>
      </c>
    </row>
    <row r="3153" spans="1:14" x14ac:dyDescent="0.3">
      <c r="A3153" t="s">
        <v>4009</v>
      </c>
      <c r="B3153" s="2">
        <v>45297</v>
      </c>
      <c r="C3153" t="s">
        <v>247</v>
      </c>
      <c r="D3153" t="s">
        <v>753</v>
      </c>
      <c r="E3153" t="s">
        <v>842</v>
      </c>
      <c r="F3153">
        <v>4</v>
      </c>
      <c r="G3153">
        <v>0.15</v>
      </c>
      <c r="H3153" t="s">
        <v>858</v>
      </c>
      <c r="I3153" t="str">
        <f>VLOOKUP(C3153,Customers!A:C,2,FALSE)&amp;" "&amp;VLOOKUP(C3153,Customers!A:C,3,FALSE)</f>
        <v>Scott Duke</v>
      </c>
      <c r="J3153" t="str">
        <f>VLOOKUP(D3153,Products!A:C,2,FALSE)</f>
        <v>Whether Bags</v>
      </c>
      <c r="K3153" t="str">
        <f>VLOOKUP(D3153,Products!A:C,3,FALSE)</f>
        <v>Fashion</v>
      </c>
      <c r="L3153" t="str">
        <f>VLOOKUP(E3153,Stores!A:B,2,FALSE)</f>
        <v>MegaMart Brianahaven</v>
      </c>
      <c r="M3153">
        <f>VLOOKUP(D3153,Products!A:E,5,FALSE)</f>
        <v>270.45</v>
      </c>
      <c r="N3153" s="5">
        <f t="shared" si="49"/>
        <v>919.53</v>
      </c>
    </row>
    <row r="3154" spans="1:14" x14ac:dyDescent="0.3">
      <c r="A3154" t="s">
        <v>4010</v>
      </c>
      <c r="B3154" s="2">
        <v>45766</v>
      </c>
      <c r="C3154" t="s">
        <v>362</v>
      </c>
      <c r="D3154" t="s">
        <v>822</v>
      </c>
      <c r="E3154" t="s">
        <v>835</v>
      </c>
      <c r="F3154">
        <v>4</v>
      </c>
      <c r="G3154">
        <v>0.05</v>
      </c>
      <c r="H3154" t="s">
        <v>858</v>
      </c>
      <c r="I3154" t="str">
        <f>VLOOKUP(C3154,Customers!A:C,2,FALSE)&amp;" "&amp;VLOOKUP(C3154,Customers!A:C,3,FALSE)</f>
        <v>Eric King</v>
      </c>
      <c r="J3154" t="str">
        <f>VLOOKUP(D3154,Products!A:C,2,FALSE)</f>
        <v>Nor Bags</v>
      </c>
      <c r="K3154" t="str">
        <f>VLOOKUP(D3154,Products!A:C,3,FALSE)</f>
        <v>Fashion</v>
      </c>
      <c r="L3154" t="str">
        <f>VLOOKUP(E3154,Stores!A:B,2,FALSE)</f>
        <v>MegaMart Peckmouth</v>
      </c>
      <c r="M3154">
        <f>VLOOKUP(D3154,Products!A:E,5,FALSE)</f>
        <v>1216.3599999999999</v>
      </c>
      <c r="N3154" s="5">
        <f t="shared" si="49"/>
        <v>4622.1679999999997</v>
      </c>
    </row>
    <row r="3155" spans="1:14" x14ac:dyDescent="0.3">
      <c r="A3155" t="s">
        <v>4011</v>
      </c>
      <c r="B3155" s="2">
        <v>45248</v>
      </c>
      <c r="C3155" t="s">
        <v>59</v>
      </c>
      <c r="D3155" t="s">
        <v>792</v>
      </c>
      <c r="E3155" t="s">
        <v>835</v>
      </c>
      <c r="F3155">
        <v>2</v>
      </c>
      <c r="G3155">
        <v>0</v>
      </c>
      <c r="H3155" t="s">
        <v>855</v>
      </c>
      <c r="I3155" t="str">
        <f>VLOOKUP(C3155,Customers!A:C,2,FALSE)&amp;" "&amp;VLOOKUP(C3155,Customers!A:C,3,FALSE)</f>
        <v>Brittany Green</v>
      </c>
      <c r="J3155" t="str">
        <f>VLOOKUP(D3155,Products!A:C,2,FALSE)</f>
        <v>Beat Accessories</v>
      </c>
      <c r="K3155" t="str">
        <f>VLOOKUP(D3155,Products!A:C,3,FALSE)</f>
        <v>Fashion</v>
      </c>
      <c r="L3155" t="str">
        <f>VLOOKUP(E3155,Stores!A:B,2,FALSE)</f>
        <v>MegaMart Peckmouth</v>
      </c>
      <c r="M3155">
        <f>VLOOKUP(D3155,Products!A:E,5,FALSE)</f>
        <v>1798.97</v>
      </c>
      <c r="N3155" s="5">
        <f t="shared" si="49"/>
        <v>3597.94</v>
      </c>
    </row>
    <row r="3156" spans="1:14" x14ac:dyDescent="0.3">
      <c r="A3156" t="s">
        <v>4012</v>
      </c>
      <c r="B3156" s="2">
        <v>45682</v>
      </c>
      <c r="C3156" t="s">
        <v>362</v>
      </c>
      <c r="D3156" t="s">
        <v>780</v>
      </c>
      <c r="E3156" t="s">
        <v>831</v>
      </c>
      <c r="F3156">
        <v>3</v>
      </c>
      <c r="G3156">
        <v>0.15</v>
      </c>
      <c r="H3156" t="s">
        <v>858</v>
      </c>
      <c r="I3156" t="str">
        <f>VLOOKUP(C3156,Customers!A:C,2,FALSE)&amp;" "&amp;VLOOKUP(C3156,Customers!A:C,3,FALSE)</f>
        <v>Eric King</v>
      </c>
      <c r="J3156" t="str">
        <f>VLOOKUP(D3156,Products!A:C,2,FALSE)</f>
        <v>Hospital Smartphone</v>
      </c>
      <c r="K3156" t="str">
        <f>VLOOKUP(D3156,Products!A:C,3,FALSE)</f>
        <v>Electronics</v>
      </c>
      <c r="L3156" t="str">
        <f>VLOOKUP(E3156,Stores!A:B,2,FALSE)</f>
        <v>MegaMart Jimenezborough</v>
      </c>
      <c r="M3156">
        <f>VLOOKUP(D3156,Products!A:E,5,FALSE)</f>
        <v>1272.23</v>
      </c>
      <c r="N3156" s="5">
        <f t="shared" si="49"/>
        <v>3244.1864999999998</v>
      </c>
    </row>
    <row r="3157" spans="1:14" x14ac:dyDescent="0.3">
      <c r="A3157" t="s">
        <v>4013</v>
      </c>
      <c r="B3157" s="2">
        <v>45385</v>
      </c>
      <c r="C3157" t="s">
        <v>599</v>
      </c>
      <c r="D3157" t="s">
        <v>772</v>
      </c>
      <c r="E3157" t="s">
        <v>842</v>
      </c>
      <c r="F3157">
        <v>1</v>
      </c>
      <c r="G3157">
        <v>0.1</v>
      </c>
      <c r="H3157" t="s">
        <v>855</v>
      </c>
      <c r="I3157" t="str">
        <f>VLOOKUP(C3157,Customers!A:C,2,FALSE)&amp;" "&amp;VLOOKUP(C3157,Customers!A:C,3,FALSE)</f>
        <v>Richard Jones</v>
      </c>
      <c r="J3157" t="str">
        <f>VLOOKUP(D3157,Products!A:C,2,FALSE)</f>
        <v>And Footwear</v>
      </c>
      <c r="K3157" t="str">
        <f>VLOOKUP(D3157,Products!A:C,3,FALSE)</f>
        <v>Fashion</v>
      </c>
      <c r="L3157" t="str">
        <f>VLOOKUP(E3157,Stores!A:B,2,FALSE)</f>
        <v>MegaMart Brianahaven</v>
      </c>
      <c r="M3157">
        <f>VLOOKUP(D3157,Products!A:E,5,FALSE)</f>
        <v>1878.47</v>
      </c>
      <c r="N3157" s="5">
        <f t="shared" si="49"/>
        <v>1690.623</v>
      </c>
    </row>
    <row r="3158" spans="1:14" x14ac:dyDescent="0.3">
      <c r="A3158" t="s">
        <v>4014</v>
      </c>
      <c r="B3158" s="2">
        <v>45683</v>
      </c>
      <c r="C3158" t="s">
        <v>483</v>
      </c>
      <c r="D3158" t="s">
        <v>782</v>
      </c>
      <c r="E3158" t="s">
        <v>846</v>
      </c>
      <c r="F3158">
        <v>4</v>
      </c>
      <c r="G3158">
        <v>0</v>
      </c>
      <c r="H3158" t="s">
        <v>858</v>
      </c>
      <c r="I3158" t="str">
        <f>VLOOKUP(C3158,Customers!A:C,2,FALSE)&amp;" "&amp;VLOOKUP(C3158,Customers!A:C,3,FALSE)</f>
        <v>Jared Ochoa</v>
      </c>
      <c r="J3158" t="str">
        <f>VLOOKUP(D3158,Products!A:C,2,FALSE)</f>
        <v>Deal Smartphone</v>
      </c>
      <c r="K3158" t="str">
        <f>VLOOKUP(D3158,Products!A:C,3,FALSE)</f>
        <v>Electronics</v>
      </c>
      <c r="L3158" t="str">
        <f>VLOOKUP(E3158,Stores!A:B,2,FALSE)</f>
        <v>MegaMart Johnmouth</v>
      </c>
      <c r="M3158">
        <f>VLOOKUP(D3158,Products!A:E,5,FALSE)</f>
        <v>673.78</v>
      </c>
      <c r="N3158" s="5">
        <f t="shared" si="49"/>
        <v>2695.12</v>
      </c>
    </row>
    <row r="3159" spans="1:14" x14ac:dyDescent="0.3">
      <c r="A3159" t="s">
        <v>4015</v>
      </c>
      <c r="B3159" s="2">
        <v>45304</v>
      </c>
      <c r="C3159" t="s">
        <v>74</v>
      </c>
      <c r="D3159" t="s">
        <v>772</v>
      </c>
      <c r="E3159" t="s">
        <v>839</v>
      </c>
      <c r="F3159">
        <v>3</v>
      </c>
      <c r="G3159">
        <v>0.05</v>
      </c>
      <c r="H3159" t="s">
        <v>855</v>
      </c>
      <c r="I3159" t="str">
        <f>VLOOKUP(C3159,Customers!A:C,2,FALSE)&amp;" "&amp;VLOOKUP(C3159,Customers!A:C,3,FALSE)</f>
        <v>Breanna Davis</v>
      </c>
      <c r="J3159" t="str">
        <f>VLOOKUP(D3159,Products!A:C,2,FALSE)</f>
        <v>And Footwear</v>
      </c>
      <c r="K3159" t="str">
        <f>VLOOKUP(D3159,Products!A:C,3,FALSE)</f>
        <v>Fashion</v>
      </c>
      <c r="L3159" t="str">
        <f>VLOOKUP(E3159,Stores!A:B,2,FALSE)</f>
        <v>MegaMart New Michele</v>
      </c>
      <c r="M3159">
        <f>VLOOKUP(D3159,Products!A:E,5,FALSE)</f>
        <v>1878.47</v>
      </c>
      <c r="N3159" s="5">
        <f t="shared" si="49"/>
        <v>5353.6394999999993</v>
      </c>
    </row>
    <row r="3160" spans="1:14" x14ac:dyDescent="0.3">
      <c r="A3160" t="s">
        <v>4016</v>
      </c>
      <c r="B3160" s="2">
        <v>45265</v>
      </c>
      <c r="C3160" t="s">
        <v>476</v>
      </c>
      <c r="D3160" t="s">
        <v>739</v>
      </c>
      <c r="E3160" t="s">
        <v>835</v>
      </c>
      <c r="F3160">
        <v>1</v>
      </c>
      <c r="G3160">
        <v>0</v>
      </c>
      <c r="H3160" t="s">
        <v>861</v>
      </c>
      <c r="I3160" t="str">
        <f>VLOOKUP(C3160,Customers!A:C,2,FALSE)&amp;" "&amp;VLOOKUP(C3160,Customers!A:C,3,FALSE)</f>
        <v>Aaron Bailey</v>
      </c>
      <c r="J3160" t="str">
        <f>VLOOKUP(D3160,Products!A:C,2,FALSE)</f>
        <v>Step Smartphone</v>
      </c>
      <c r="K3160" t="str">
        <f>VLOOKUP(D3160,Products!A:C,3,FALSE)</f>
        <v>Electronics</v>
      </c>
      <c r="L3160" t="str">
        <f>VLOOKUP(E3160,Stores!A:B,2,FALSE)</f>
        <v>MegaMart Peckmouth</v>
      </c>
      <c r="M3160">
        <f>VLOOKUP(D3160,Products!A:E,5,FALSE)</f>
        <v>1194.1199999999999</v>
      </c>
      <c r="N3160" s="5">
        <f t="shared" si="49"/>
        <v>1194.1199999999999</v>
      </c>
    </row>
    <row r="3161" spans="1:14" x14ac:dyDescent="0.3">
      <c r="A3161" t="s">
        <v>4017</v>
      </c>
      <c r="B3161" s="2">
        <v>45671</v>
      </c>
      <c r="C3161" t="s">
        <v>673</v>
      </c>
      <c r="D3161" t="s">
        <v>794</v>
      </c>
      <c r="E3161" t="s">
        <v>846</v>
      </c>
      <c r="F3161">
        <v>3</v>
      </c>
      <c r="G3161">
        <v>0</v>
      </c>
      <c r="H3161" t="s">
        <v>865</v>
      </c>
      <c r="I3161" t="str">
        <f>VLOOKUP(C3161,Customers!A:C,2,FALSE)&amp;" "&amp;VLOOKUP(C3161,Customers!A:C,3,FALSE)</f>
        <v>Karen Quinn</v>
      </c>
      <c r="J3161" t="str">
        <f>VLOOKUP(D3161,Products!A:C,2,FALSE)</f>
        <v>Everything Laptop</v>
      </c>
      <c r="K3161" t="str">
        <f>VLOOKUP(D3161,Products!A:C,3,FALSE)</f>
        <v>Electronics</v>
      </c>
      <c r="L3161" t="str">
        <f>VLOOKUP(E3161,Stores!A:B,2,FALSE)</f>
        <v>MegaMart Johnmouth</v>
      </c>
      <c r="M3161">
        <f>VLOOKUP(D3161,Products!A:E,5,FALSE)</f>
        <v>428.05</v>
      </c>
      <c r="N3161" s="5">
        <f t="shared" si="49"/>
        <v>1284.1500000000001</v>
      </c>
    </row>
    <row r="3162" spans="1:14" x14ac:dyDescent="0.3">
      <c r="A3162" t="s">
        <v>4018</v>
      </c>
      <c r="B3162" s="2">
        <v>45311</v>
      </c>
      <c r="C3162" t="s">
        <v>480</v>
      </c>
      <c r="D3162" t="s">
        <v>772</v>
      </c>
      <c r="E3162" t="s">
        <v>835</v>
      </c>
      <c r="F3162">
        <v>5</v>
      </c>
      <c r="G3162">
        <v>0.1</v>
      </c>
      <c r="H3162" t="s">
        <v>865</v>
      </c>
      <c r="I3162" t="str">
        <f>VLOOKUP(C3162,Customers!A:C,2,FALSE)&amp;" "&amp;VLOOKUP(C3162,Customers!A:C,3,FALSE)</f>
        <v>Denise Jackson</v>
      </c>
      <c r="J3162" t="str">
        <f>VLOOKUP(D3162,Products!A:C,2,FALSE)</f>
        <v>And Footwear</v>
      </c>
      <c r="K3162" t="str">
        <f>VLOOKUP(D3162,Products!A:C,3,FALSE)</f>
        <v>Fashion</v>
      </c>
      <c r="L3162" t="str">
        <f>VLOOKUP(E3162,Stores!A:B,2,FALSE)</f>
        <v>MegaMart Peckmouth</v>
      </c>
      <c r="M3162">
        <f>VLOOKUP(D3162,Products!A:E,5,FALSE)</f>
        <v>1878.47</v>
      </c>
      <c r="N3162" s="5">
        <f t="shared" si="49"/>
        <v>8453.1149999999998</v>
      </c>
    </row>
    <row r="3163" spans="1:14" x14ac:dyDescent="0.3">
      <c r="A3163" t="s">
        <v>4019</v>
      </c>
      <c r="B3163" s="2">
        <v>45527</v>
      </c>
      <c r="C3163" t="s">
        <v>429</v>
      </c>
      <c r="D3163" t="s">
        <v>786</v>
      </c>
      <c r="E3163" t="s">
        <v>842</v>
      </c>
      <c r="F3163">
        <v>3</v>
      </c>
      <c r="G3163">
        <v>0.15</v>
      </c>
      <c r="H3163" t="s">
        <v>855</v>
      </c>
      <c r="I3163" t="str">
        <f>VLOOKUP(C3163,Customers!A:C,2,FALSE)&amp;" "&amp;VLOOKUP(C3163,Customers!A:C,3,FALSE)</f>
        <v>Jose Smith</v>
      </c>
      <c r="J3163" t="str">
        <f>VLOOKUP(D3163,Products!A:C,2,FALSE)</f>
        <v>National Watches</v>
      </c>
      <c r="K3163" t="str">
        <f>VLOOKUP(D3163,Products!A:C,3,FALSE)</f>
        <v>Fashion</v>
      </c>
      <c r="L3163" t="str">
        <f>VLOOKUP(E3163,Stores!A:B,2,FALSE)</f>
        <v>MegaMart Brianahaven</v>
      </c>
      <c r="M3163">
        <f>VLOOKUP(D3163,Products!A:E,5,FALSE)</f>
        <v>29.24</v>
      </c>
      <c r="N3163" s="5">
        <f t="shared" si="49"/>
        <v>74.561999999999998</v>
      </c>
    </row>
    <row r="3164" spans="1:14" x14ac:dyDescent="0.3">
      <c r="A3164" t="s">
        <v>4020</v>
      </c>
      <c r="B3164" s="2">
        <v>45649</v>
      </c>
      <c r="C3164" t="s">
        <v>574</v>
      </c>
      <c r="D3164" t="s">
        <v>722</v>
      </c>
      <c r="E3164" t="s">
        <v>839</v>
      </c>
      <c r="F3164">
        <v>3</v>
      </c>
      <c r="G3164">
        <v>0.1</v>
      </c>
      <c r="H3164" t="s">
        <v>865</v>
      </c>
      <c r="I3164" t="str">
        <f>VLOOKUP(C3164,Customers!A:C,2,FALSE)&amp;" "&amp;VLOOKUP(C3164,Customers!A:C,3,FALSE)</f>
        <v>Meagan Macdonald</v>
      </c>
      <c r="J3164" t="str">
        <f>VLOOKUP(D3164,Products!A:C,2,FALSE)</f>
        <v>Four Accessories</v>
      </c>
      <c r="K3164" t="str">
        <f>VLOOKUP(D3164,Products!A:C,3,FALSE)</f>
        <v>Fashion</v>
      </c>
      <c r="L3164" t="str">
        <f>VLOOKUP(E3164,Stores!A:B,2,FALSE)</f>
        <v>MegaMart New Michele</v>
      </c>
      <c r="M3164">
        <f>VLOOKUP(D3164,Products!A:E,5,FALSE)</f>
        <v>1853.77</v>
      </c>
      <c r="N3164" s="5">
        <f t="shared" si="49"/>
        <v>5005.1790000000001</v>
      </c>
    </row>
    <row r="3165" spans="1:14" x14ac:dyDescent="0.3">
      <c r="A3165" t="s">
        <v>4021</v>
      </c>
      <c r="B3165" s="2">
        <v>45722</v>
      </c>
      <c r="C3165" t="s">
        <v>487</v>
      </c>
      <c r="D3165" t="s">
        <v>715</v>
      </c>
      <c r="E3165" t="s">
        <v>846</v>
      </c>
      <c r="F3165">
        <v>1</v>
      </c>
      <c r="G3165">
        <v>0.15</v>
      </c>
      <c r="H3165" t="s">
        <v>858</v>
      </c>
      <c r="I3165" t="str">
        <f>VLOOKUP(C3165,Customers!A:C,2,FALSE)&amp;" "&amp;VLOOKUP(C3165,Customers!A:C,3,FALSE)</f>
        <v>Yvette Roth</v>
      </c>
      <c r="J3165" t="str">
        <f>VLOOKUP(D3165,Products!A:C,2,FALSE)</f>
        <v>Audience Television</v>
      </c>
      <c r="K3165" t="str">
        <f>VLOOKUP(D3165,Products!A:C,3,FALSE)</f>
        <v>Electronics</v>
      </c>
      <c r="L3165" t="str">
        <f>VLOOKUP(E3165,Stores!A:B,2,FALSE)</f>
        <v>MegaMart Johnmouth</v>
      </c>
      <c r="M3165">
        <f>VLOOKUP(D3165,Products!A:E,5,FALSE)</f>
        <v>818.76</v>
      </c>
      <c r="N3165" s="5">
        <f t="shared" si="49"/>
        <v>695.94600000000003</v>
      </c>
    </row>
    <row r="3166" spans="1:14" x14ac:dyDescent="0.3">
      <c r="A3166" t="s">
        <v>4022</v>
      </c>
      <c r="B3166" s="2">
        <v>45499</v>
      </c>
      <c r="C3166" t="s">
        <v>415</v>
      </c>
      <c r="D3166" t="s">
        <v>812</v>
      </c>
      <c r="E3166" t="s">
        <v>846</v>
      </c>
      <c r="F3166">
        <v>1</v>
      </c>
      <c r="G3166">
        <v>0</v>
      </c>
      <c r="H3166" t="s">
        <v>861</v>
      </c>
      <c r="I3166" t="str">
        <f>VLOOKUP(C3166,Customers!A:C,2,FALSE)&amp;" "&amp;VLOOKUP(C3166,Customers!A:C,3,FALSE)</f>
        <v>Dylan Booker</v>
      </c>
      <c r="J3166" t="str">
        <f>VLOOKUP(D3166,Products!A:C,2,FALSE)</f>
        <v>Soon Accessories</v>
      </c>
      <c r="K3166" t="str">
        <f>VLOOKUP(D3166,Products!A:C,3,FALSE)</f>
        <v>Fashion</v>
      </c>
      <c r="L3166" t="str">
        <f>VLOOKUP(E3166,Stores!A:B,2,FALSE)</f>
        <v>MegaMart Johnmouth</v>
      </c>
      <c r="M3166">
        <f>VLOOKUP(D3166,Products!A:E,5,FALSE)</f>
        <v>564.41999999999996</v>
      </c>
      <c r="N3166" s="5">
        <f t="shared" si="49"/>
        <v>564.41999999999996</v>
      </c>
    </row>
    <row r="3167" spans="1:14" x14ac:dyDescent="0.3">
      <c r="A3167" t="s">
        <v>4023</v>
      </c>
      <c r="B3167" s="2">
        <v>45753</v>
      </c>
      <c r="C3167" t="s">
        <v>364</v>
      </c>
      <c r="D3167" t="s">
        <v>757</v>
      </c>
      <c r="E3167" t="s">
        <v>839</v>
      </c>
      <c r="F3167">
        <v>4</v>
      </c>
      <c r="G3167">
        <v>0.1</v>
      </c>
      <c r="H3167" t="s">
        <v>861</v>
      </c>
      <c r="I3167" t="str">
        <f>VLOOKUP(C3167,Customers!A:C,2,FALSE)&amp;" "&amp;VLOOKUP(C3167,Customers!A:C,3,FALSE)</f>
        <v>Evelyn Gray</v>
      </c>
      <c r="J3167" t="str">
        <f>VLOOKUP(D3167,Products!A:C,2,FALSE)</f>
        <v>Find Headphones</v>
      </c>
      <c r="K3167" t="str">
        <f>VLOOKUP(D3167,Products!A:C,3,FALSE)</f>
        <v>Electronics</v>
      </c>
      <c r="L3167" t="str">
        <f>VLOOKUP(E3167,Stores!A:B,2,FALSE)</f>
        <v>MegaMart New Michele</v>
      </c>
      <c r="M3167">
        <f>VLOOKUP(D3167,Products!A:E,5,FALSE)</f>
        <v>1246.1099999999999</v>
      </c>
      <c r="N3167" s="5">
        <f t="shared" si="49"/>
        <v>4485.9960000000001</v>
      </c>
    </row>
    <row r="3168" spans="1:14" x14ac:dyDescent="0.3">
      <c r="A3168" t="s">
        <v>4024</v>
      </c>
      <c r="B3168" s="2">
        <v>45397</v>
      </c>
      <c r="C3168" t="s">
        <v>144</v>
      </c>
      <c r="D3168" t="s">
        <v>778</v>
      </c>
      <c r="E3168" t="s">
        <v>835</v>
      </c>
      <c r="F3168">
        <v>1</v>
      </c>
      <c r="G3168">
        <v>0.15</v>
      </c>
      <c r="H3168" t="s">
        <v>855</v>
      </c>
      <c r="I3168" t="str">
        <f>VLOOKUP(C3168,Customers!A:C,2,FALSE)&amp;" "&amp;VLOOKUP(C3168,Customers!A:C,3,FALSE)</f>
        <v>Miranda Nelson</v>
      </c>
      <c r="J3168" t="str">
        <f>VLOOKUP(D3168,Products!A:C,2,FALSE)</f>
        <v>Behavior Dairy</v>
      </c>
      <c r="K3168" t="str">
        <f>VLOOKUP(D3168,Products!A:C,3,FALSE)</f>
        <v>Groceries</v>
      </c>
      <c r="L3168" t="str">
        <f>VLOOKUP(E3168,Stores!A:B,2,FALSE)</f>
        <v>MegaMart Peckmouth</v>
      </c>
      <c r="M3168">
        <f>VLOOKUP(D3168,Products!A:E,5,FALSE)</f>
        <v>1015.76</v>
      </c>
      <c r="N3168" s="5">
        <f t="shared" si="49"/>
        <v>863.39599999999996</v>
      </c>
    </row>
    <row r="3169" spans="1:14" x14ac:dyDescent="0.3">
      <c r="A3169" t="s">
        <v>4025</v>
      </c>
      <c r="B3169" s="2">
        <v>45215</v>
      </c>
      <c r="C3169" t="s">
        <v>379</v>
      </c>
      <c r="D3169" t="s">
        <v>761</v>
      </c>
      <c r="E3169" t="s">
        <v>835</v>
      </c>
      <c r="F3169">
        <v>1</v>
      </c>
      <c r="G3169">
        <v>0</v>
      </c>
      <c r="H3169" t="s">
        <v>855</v>
      </c>
      <c r="I3169" t="str">
        <f>VLOOKUP(C3169,Customers!A:C,2,FALSE)&amp;" "&amp;VLOOKUP(C3169,Customers!A:C,3,FALSE)</f>
        <v>William Pope</v>
      </c>
      <c r="J3169" t="str">
        <f>VLOOKUP(D3169,Products!A:C,2,FALSE)</f>
        <v>Traditional Laptop</v>
      </c>
      <c r="K3169" t="str">
        <f>VLOOKUP(D3169,Products!A:C,3,FALSE)</f>
        <v>Electronics</v>
      </c>
      <c r="L3169" t="str">
        <f>VLOOKUP(E3169,Stores!A:B,2,FALSE)</f>
        <v>MegaMart Peckmouth</v>
      </c>
      <c r="M3169">
        <f>VLOOKUP(D3169,Products!A:E,5,FALSE)</f>
        <v>1762.92</v>
      </c>
      <c r="N3169" s="5">
        <f t="shared" si="49"/>
        <v>1762.92</v>
      </c>
    </row>
    <row r="3170" spans="1:14" x14ac:dyDescent="0.3">
      <c r="A3170" t="s">
        <v>4026</v>
      </c>
      <c r="B3170" s="2">
        <v>45863</v>
      </c>
      <c r="C3170" t="s">
        <v>20</v>
      </c>
      <c r="D3170" t="s">
        <v>739</v>
      </c>
      <c r="E3170" t="s">
        <v>835</v>
      </c>
      <c r="F3170">
        <v>2</v>
      </c>
      <c r="G3170">
        <v>0.15</v>
      </c>
      <c r="H3170" t="s">
        <v>861</v>
      </c>
      <c r="I3170" t="str">
        <f>VLOOKUP(C3170,Customers!A:C,2,FALSE)&amp;" "&amp;VLOOKUP(C3170,Customers!A:C,3,FALSE)</f>
        <v>Joseph Ward</v>
      </c>
      <c r="J3170" t="str">
        <f>VLOOKUP(D3170,Products!A:C,2,FALSE)</f>
        <v>Step Smartphone</v>
      </c>
      <c r="K3170" t="str">
        <f>VLOOKUP(D3170,Products!A:C,3,FALSE)</f>
        <v>Electronics</v>
      </c>
      <c r="L3170" t="str">
        <f>VLOOKUP(E3170,Stores!A:B,2,FALSE)</f>
        <v>MegaMart Peckmouth</v>
      </c>
      <c r="M3170">
        <f>VLOOKUP(D3170,Products!A:E,5,FALSE)</f>
        <v>1194.1199999999999</v>
      </c>
      <c r="N3170" s="5">
        <f t="shared" si="49"/>
        <v>2030.0039999999997</v>
      </c>
    </row>
    <row r="3171" spans="1:14" x14ac:dyDescent="0.3">
      <c r="A3171" t="s">
        <v>4027</v>
      </c>
      <c r="B3171" s="2">
        <v>45568</v>
      </c>
      <c r="C3171" t="s">
        <v>399</v>
      </c>
      <c r="D3171" t="s">
        <v>711</v>
      </c>
      <c r="E3171" t="s">
        <v>835</v>
      </c>
      <c r="F3171">
        <v>4</v>
      </c>
      <c r="G3171">
        <v>0.1</v>
      </c>
      <c r="H3171" t="s">
        <v>861</v>
      </c>
      <c r="I3171" t="str">
        <f>VLOOKUP(C3171,Customers!A:C,2,FALSE)&amp;" "&amp;VLOOKUP(C3171,Customers!A:C,3,FALSE)</f>
        <v>Victoria Hansen</v>
      </c>
      <c r="J3171" t="str">
        <f>VLOOKUP(D3171,Products!A:C,2,FALSE)</f>
        <v>Like Camera</v>
      </c>
      <c r="K3171" t="str">
        <f>VLOOKUP(D3171,Products!A:C,3,FALSE)</f>
        <v>Electronics</v>
      </c>
      <c r="L3171" t="str">
        <f>VLOOKUP(E3171,Stores!A:B,2,FALSE)</f>
        <v>MegaMart Peckmouth</v>
      </c>
      <c r="M3171">
        <f>VLOOKUP(D3171,Products!A:E,5,FALSE)</f>
        <v>1673.69</v>
      </c>
      <c r="N3171" s="5">
        <f t="shared" si="49"/>
        <v>6025.2840000000006</v>
      </c>
    </row>
    <row r="3172" spans="1:14" x14ac:dyDescent="0.3">
      <c r="A3172" t="s">
        <v>4028</v>
      </c>
      <c r="B3172" s="2">
        <v>45836</v>
      </c>
      <c r="C3172" t="s">
        <v>7</v>
      </c>
      <c r="D3172" t="s">
        <v>711</v>
      </c>
      <c r="E3172" t="s">
        <v>831</v>
      </c>
      <c r="F3172">
        <v>2</v>
      </c>
      <c r="G3172">
        <v>0</v>
      </c>
      <c r="H3172" t="s">
        <v>855</v>
      </c>
      <c r="I3172" t="str">
        <f>VLOOKUP(C3172,Customers!A:C,2,FALSE)&amp;" "&amp;VLOOKUP(C3172,Customers!A:C,3,FALSE)</f>
        <v>Michael Davis</v>
      </c>
      <c r="J3172" t="str">
        <f>VLOOKUP(D3172,Products!A:C,2,FALSE)</f>
        <v>Like Camera</v>
      </c>
      <c r="K3172" t="str">
        <f>VLOOKUP(D3172,Products!A:C,3,FALSE)</f>
        <v>Electronics</v>
      </c>
      <c r="L3172" t="str">
        <f>VLOOKUP(E3172,Stores!A:B,2,FALSE)</f>
        <v>MegaMart Jimenezborough</v>
      </c>
      <c r="M3172">
        <f>VLOOKUP(D3172,Products!A:E,5,FALSE)</f>
        <v>1673.69</v>
      </c>
      <c r="N3172" s="5">
        <f t="shared" si="49"/>
        <v>3347.38</v>
      </c>
    </row>
    <row r="3173" spans="1:14" x14ac:dyDescent="0.3">
      <c r="A3173" t="s">
        <v>4029</v>
      </c>
      <c r="B3173" s="2">
        <v>45371</v>
      </c>
      <c r="C3173" t="s">
        <v>661</v>
      </c>
      <c r="D3173" t="s">
        <v>806</v>
      </c>
      <c r="E3173" t="s">
        <v>842</v>
      </c>
      <c r="F3173">
        <v>1</v>
      </c>
      <c r="G3173">
        <v>0.05</v>
      </c>
      <c r="H3173" t="s">
        <v>858</v>
      </c>
      <c r="I3173" t="str">
        <f>VLOOKUP(C3173,Customers!A:C,2,FALSE)&amp;" "&amp;VLOOKUP(C3173,Customers!A:C,3,FALSE)</f>
        <v>Cynthia Cherry</v>
      </c>
      <c r="J3173" t="str">
        <f>VLOOKUP(D3173,Products!A:C,2,FALSE)</f>
        <v>Piece Headphones</v>
      </c>
      <c r="K3173" t="str">
        <f>VLOOKUP(D3173,Products!A:C,3,FALSE)</f>
        <v>Electronics</v>
      </c>
      <c r="L3173" t="str">
        <f>VLOOKUP(E3173,Stores!A:B,2,FALSE)</f>
        <v>MegaMart Brianahaven</v>
      </c>
      <c r="M3173">
        <f>VLOOKUP(D3173,Products!A:E,5,FALSE)</f>
        <v>1745.61</v>
      </c>
      <c r="N3173" s="5">
        <f t="shared" si="49"/>
        <v>1658.3294999999998</v>
      </c>
    </row>
    <row r="3174" spans="1:14" x14ac:dyDescent="0.3">
      <c r="A3174" t="s">
        <v>4030</v>
      </c>
      <c r="B3174" s="2">
        <v>45809</v>
      </c>
      <c r="C3174" t="s">
        <v>167</v>
      </c>
      <c r="D3174" t="s">
        <v>761</v>
      </c>
      <c r="E3174" t="s">
        <v>842</v>
      </c>
      <c r="F3174">
        <v>1</v>
      </c>
      <c r="G3174">
        <v>0</v>
      </c>
      <c r="H3174" t="s">
        <v>858</v>
      </c>
      <c r="I3174" t="str">
        <f>VLOOKUP(C3174,Customers!A:C,2,FALSE)&amp;" "&amp;VLOOKUP(C3174,Customers!A:C,3,FALSE)</f>
        <v>Kenneth Allen</v>
      </c>
      <c r="J3174" t="str">
        <f>VLOOKUP(D3174,Products!A:C,2,FALSE)</f>
        <v>Traditional Laptop</v>
      </c>
      <c r="K3174" t="str">
        <f>VLOOKUP(D3174,Products!A:C,3,FALSE)</f>
        <v>Electronics</v>
      </c>
      <c r="L3174" t="str">
        <f>VLOOKUP(E3174,Stores!A:B,2,FALSE)</f>
        <v>MegaMart Brianahaven</v>
      </c>
      <c r="M3174">
        <f>VLOOKUP(D3174,Products!A:E,5,FALSE)</f>
        <v>1762.92</v>
      </c>
      <c r="N3174" s="5">
        <f t="shared" si="49"/>
        <v>1762.92</v>
      </c>
    </row>
    <row r="3175" spans="1:14" x14ac:dyDescent="0.3">
      <c r="A3175" t="s">
        <v>4031</v>
      </c>
      <c r="B3175" s="2">
        <v>45742</v>
      </c>
      <c r="C3175" t="s">
        <v>331</v>
      </c>
      <c r="D3175" t="s">
        <v>790</v>
      </c>
      <c r="E3175" t="s">
        <v>846</v>
      </c>
      <c r="F3175">
        <v>3</v>
      </c>
      <c r="G3175">
        <v>0.15</v>
      </c>
      <c r="H3175" t="s">
        <v>855</v>
      </c>
      <c r="I3175" t="str">
        <f>VLOOKUP(C3175,Customers!A:C,2,FALSE)&amp;" "&amp;VLOOKUP(C3175,Customers!A:C,3,FALSE)</f>
        <v>Brenda Costa</v>
      </c>
      <c r="J3175" t="str">
        <f>VLOOKUP(D3175,Products!A:C,2,FALSE)</f>
        <v>Difficult Vegetables</v>
      </c>
      <c r="K3175" t="str">
        <f>VLOOKUP(D3175,Products!A:C,3,FALSE)</f>
        <v>Groceries</v>
      </c>
      <c r="L3175" t="str">
        <f>VLOOKUP(E3175,Stores!A:B,2,FALSE)</f>
        <v>MegaMart Johnmouth</v>
      </c>
      <c r="M3175">
        <f>VLOOKUP(D3175,Products!A:E,5,FALSE)</f>
        <v>304.70999999999998</v>
      </c>
      <c r="N3175" s="5">
        <f t="shared" si="49"/>
        <v>777.01049999999987</v>
      </c>
    </row>
    <row r="3176" spans="1:14" x14ac:dyDescent="0.3">
      <c r="A3176" t="s">
        <v>4032</v>
      </c>
      <c r="B3176" s="2">
        <v>45665</v>
      </c>
      <c r="C3176" t="s">
        <v>536</v>
      </c>
      <c r="D3176" t="s">
        <v>757</v>
      </c>
      <c r="E3176" t="s">
        <v>846</v>
      </c>
      <c r="F3176">
        <v>5</v>
      </c>
      <c r="G3176">
        <v>0.1</v>
      </c>
      <c r="H3176" t="s">
        <v>855</v>
      </c>
      <c r="I3176" t="str">
        <f>VLOOKUP(C3176,Customers!A:C,2,FALSE)&amp;" "&amp;VLOOKUP(C3176,Customers!A:C,3,FALSE)</f>
        <v>John Foster</v>
      </c>
      <c r="J3176" t="str">
        <f>VLOOKUP(D3176,Products!A:C,2,FALSE)</f>
        <v>Find Headphones</v>
      </c>
      <c r="K3176" t="str">
        <f>VLOOKUP(D3176,Products!A:C,3,FALSE)</f>
        <v>Electronics</v>
      </c>
      <c r="L3176" t="str">
        <f>VLOOKUP(E3176,Stores!A:B,2,FALSE)</f>
        <v>MegaMart Johnmouth</v>
      </c>
      <c r="M3176">
        <f>VLOOKUP(D3176,Products!A:E,5,FALSE)</f>
        <v>1246.1099999999999</v>
      </c>
      <c r="N3176" s="5">
        <f t="shared" si="49"/>
        <v>5607.4949999999999</v>
      </c>
    </row>
    <row r="3177" spans="1:14" x14ac:dyDescent="0.3">
      <c r="A3177" t="s">
        <v>4033</v>
      </c>
      <c r="B3177" s="2">
        <v>45555</v>
      </c>
      <c r="C3177" t="s">
        <v>494</v>
      </c>
      <c r="D3177" t="s">
        <v>772</v>
      </c>
      <c r="E3177" t="s">
        <v>835</v>
      </c>
      <c r="F3177">
        <v>5</v>
      </c>
      <c r="G3177">
        <v>0.1</v>
      </c>
      <c r="H3177" t="s">
        <v>861</v>
      </c>
      <c r="I3177" t="str">
        <f>VLOOKUP(C3177,Customers!A:C,2,FALSE)&amp;" "&amp;VLOOKUP(C3177,Customers!A:C,3,FALSE)</f>
        <v>Mario Cuevas</v>
      </c>
      <c r="J3177" t="str">
        <f>VLOOKUP(D3177,Products!A:C,2,FALSE)</f>
        <v>And Footwear</v>
      </c>
      <c r="K3177" t="str">
        <f>VLOOKUP(D3177,Products!A:C,3,FALSE)</f>
        <v>Fashion</v>
      </c>
      <c r="L3177" t="str">
        <f>VLOOKUP(E3177,Stores!A:B,2,FALSE)</f>
        <v>MegaMart Peckmouth</v>
      </c>
      <c r="M3177">
        <f>VLOOKUP(D3177,Products!A:E,5,FALSE)</f>
        <v>1878.47</v>
      </c>
      <c r="N3177" s="5">
        <f t="shared" si="49"/>
        <v>8453.1149999999998</v>
      </c>
    </row>
    <row r="3178" spans="1:14" x14ac:dyDescent="0.3">
      <c r="A3178" t="s">
        <v>4034</v>
      </c>
      <c r="B3178" s="2">
        <v>45793</v>
      </c>
      <c r="C3178" t="s">
        <v>224</v>
      </c>
      <c r="D3178" t="s">
        <v>822</v>
      </c>
      <c r="E3178" t="s">
        <v>831</v>
      </c>
      <c r="F3178">
        <v>4</v>
      </c>
      <c r="G3178">
        <v>0.15</v>
      </c>
      <c r="H3178" t="s">
        <v>855</v>
      </c>
      <c r="I3178" t="str">
        <f>VLOOKUP(C3178,Customers!A:C,2,FALSE)&amp;" "&amp;VLOOKUP(C3178,Customers!A:C,3,FALSE)</f>
        <v>Lawrence Stewart</v>
      </c>
      <c r="J3178" t="str">
        <f>VLOOKUP(D3178,Products!A:C,2,FALSE)</f>
        <v>Nor Bags</v>
      </c>
      <c r="K3178" t="str">
        <f>VLOOKUP(D3178,Products!A:C,3,FALSE)</f>
        <v>Fashion</v>
      </c>
      <c r="L3178" t="str">
        <f>VLOOKUP(E3178,Stores!A:B,2,FALSE)</f>
        <v>MegaMart Jimenezborough</v>
      </c>
      <c r="M3178">
        <f>VLOOKUP(D3178,Products!A:E,5,FALSE)</f>
        <v>1216.3599999999999</v>
      </c>
      <c r="N3178" s="5">
        <f t="shared" si="49"/>
        <v>4135.6239999999998</v>
      </c>
    </row>
    <row r="3179" spans="1:14" x14ac:dyDescent="0.3">
      <c r="A3179" t="s">
        <v>4035</v>
      </c>
      <c r="B3179" s="2">
        <v>45645</v>
      </c>
      <c r="C3179" t="s">
        <v>320</v>
      </c>
      <c r="D3179" t="s">
        <v>808</v>
      </c>
      <c r="E3179" t="s">
        <v>846</v>
      </c>
      <c r="F3179">
        <v>3</v>
      </c>
      <c r="G3179">
        <v>0.15</v>
      </c>
      <c r="H3179" t="s">
        <v>858</v>
      </c>
      <c r="I3179" t="str">
        <f>VLOOKUP(C3179,Customers!A:C,2,FALSE)&amp;" "&amp;VLOOKUP(C3179,Customers!A:C,3,FALSE)</f>
        <v>Juan Ramirez</v>
      </c>
      <c r="J3179" t="str">
        <f>VLOOKUP(D3179,Products!A:C,2,FALSE)</f>
        <v>Present Television</v>
      </c>
      <c r="K3179" t="str">
        <f>VLOOKUP(D3179,Products!A:C,3,FALSE)</f>
        <v>Electronics</v>
      </c>
      <c r="L3179" t="str">
        <f>VLOOKUP(E3179,Stores!A:B,2,FALSE)</f>
        <v>MegaMart Johnmouth</v>
      </c>
      <c r="M3179">
        <f>VLOOKUP(D3179,Products!A:E,5,FALSE)</f>
        <v>1635.01</v>
      </c>
      <c r="N3179" s="5">
        <f t="shared" si="49"/>
        <v>4169.2754999999997</v>
      </c>
    </row>
    <row r="3180" spans="1:14" x14ac:dyDescent="0.3">
      <c r="A3180" t="s">
        <v>4036</v>
      </c>
      <c r="B3180" s="2">
        <v>45620</v>
      </c>
      <c r="C3180" t="s">
        <v>59</v>
      </c>
      <c r="D3180" t="s">
        <v>802</v>
      </c>
      <c r="E3180" t="s">
        <v>846</v>
      </c>
      <c r="F3180">
        <v>3</v>
      </c>
      <c r="G3180">
        <v>0.1</v>
      </c>
      <c r="H3180" t="s">
        <v>865</v>
      </c>
      <c r="I3180" t="str">
        <f>VLOOKUP(C3180,Customers!A:C,2,FALSE)&amp;" "&amp;VLOOKUP(C3180,Customers!A:C,3,FALSE)</f>
        <v>Brittany Green</v>
      </c>
      <c r="J3180" t="str">
        <f>VLOOKUP(D3180,Products!A:C,2,FALSE)</f>
        <v>Stage Footwear</v>
      </c>
      <c r="K3180" t="str">
        <f>VLOOKUP(D3180,Products!A:C,3,FALSE)</f>
        <v>Fashion</v>
      </c>
      <c r="L3180" t="str">
        <f>VLOOKUP(E3180,Stores!A:B,2,FALSE)</f>
        <v>MegaMart Johnmouth</v>
      </c>
      <c r="M3180">
        <f>VLOOKUP(D3180,Products!A:E,5,FALSE)</f>
        <v>366.93</v>
      </c>
      <c r="N3180" s="5">
        <f t="shared" si="49"/>
        <v>990.71100000000001</v>
      </c>
    </row>
    <row r="3181" spans="1:14" x14ac:dyDescent="0.3">
      <c r="A3181" t="s">
        <v>4037</v>
      </c>
      <c r="B3181" s="2">
        <v>45522</v>
      </c>
      <c r="C3181" t="s">
        <v>148</v>
      </c>
      <c r="D3181" t="s">
        <v>764</v>
      </c>
      <c r="E3181" t="s">
        <v>846</v>
      </c>
      <c r="F3181">
        <v>2</v>
      </c>
      <c r="G3181">
        <v>0.05</v>
      </c>
      <c r="H3181" t="s">
        <v>861</v>
      </c>
      <c r="I3181" t="str">
        <f>VLOOKUP(C3181,Customers!A:C,2,FALSE)&amp;" "&amp;VLOOKUP(C3181,Customers!A:C,3,FALSE)</f>
        <v>Tracey Davis</v>
      </c>
      <c r="J3181" t="str">
        <f>VLOOKUP(D3181,Products!A:C,2,FALSE)</f>
        <v>Simple Accessories</v>
      </c>
      <c r="K3181" t="str">
        <f>VLOOKUP(D3181,Products!A:C,3,FALSE)</f>
        <v>Fashion</v>
      </c>
      <c r="L3181" t="str">
        <f>VLOOKUP(E3181,Stores!A:B,2,FALSE)</f>
        <v>MegaMart Johnmouth</v>
      </c>
      <c r="M3181">
        <f>VLOOKUP(D3181,Products!A:E,5,FALSE)</f>
        <v>323.92</v>
      </c>
      <c r="N3181" s="5">
        <f t="shared" si="49"/>
        <v>615.44799999999998</v>
      </c>
    </row>
    <row r="3182" spans="1:14" x14ac:dyDescent="0.3">
      <c r="A3182" t="s">
        <v>4038</v>
      </c>
      <c r="B3182" s="2">
        <v>45547</v>
      </c>
      <c r="C3182" t="s">
        <v>442</v>
      </c>
      <c r="D3182" t="s">
        <v>769</v>
      </c>
      <c r="E3182" t="s">
        <v>835</v>
      </c>
      <c r="F3182">
        <v>1</v>
      </c>
      <c r="G3182">
        <v>0.1</v>
      </c>
      <c r="H3182" t="s">
        <v>858</v>
      </c>
      <c r="I3182" t="str">
        <f>VLOOKUP(C3182,Customers!A:C,2,FALSE)&amp;" "&amp;VLOOKUP(C3182,Customers!A:C,3,FALSE)</f>
        <v>Jason Lloyd</v>
      </c>
      <c r="J3182" t="str">
        <f>VLOOKUP(D3182,Products!A:C,2,FALSE)</f>
        <v>How Vegetables</v>
      </c>
      <c r="K3182" t="str">
        <f>VLOOKUP(D3182,Products!A:C,3,FALSE)</f>
        <v>Groceries</v>
      </c>
      <c r="L3182" t="str">
        <f>VLOOKUP(E3182,Stores!A:B,2,FALSE)</f>
        <v>MegaMart Peckmouth</v>
      </c>
      <c r="M3182">
        <f>VLOOKUP(D3182,Products!A:E,5,FALSE)</f>
        <v>25.57</v>
      </c>
      <c r="N3182" s="5">
        <f t="shared" si="49"/>
        <v>23.013000000000002</v>
      </c>
    </row>
    <row r="3183" spans="1:14" x14ac:dyDescent="0.3">
      <c r="A3183" t="s">
        <v>4039</v>
      </c>
      <c r="B3183" s="2">
        <v>45314</v>
      </c>
      <c r="C3183" t="s">
        <v>673</v>
      </c>
      <c r="D3183" t="s">
        <v>780</v>
      </c>
      <c r="E3183" t="s">
        <v>842</v>
      </c>
      <c r="F3183">
        <v>4</v>
      </c>
      <c r="G3183">
        <v>0.1</v>
      </c>
      <c r="H3183" t="s">
        <v>855</v>
      </c>
      <c r="I3183" t="str">
        <f>VLOOKUP(C3183,Customers!A:C,2,FALSE)&amp;" "&amp;VLOOKUP(C3183,Customers!A:C,3,FALSE)</f>
        <v>Karen Quinn</v>
      </c>
      <c r="J3183" t="str">
        <f>VLOOKUP(D3183,Products!A:C,2,FALSE)</f>
        <v>Hospital Smartphone</v>
      </c>
      <c r="K3183" t="str">
        <f>VLOOKUP(D3183,Products!A:C,3,FALSE)</f>
        <v>Electronics</v>
      </c>
      <c r="L3183" t="str">
        <f>VLOOKUP(E3183,Stores!A:B,2,FALSE)</f>
        <v>MegaMart Brianahaven</v>
      </c>
      <c r="M3183">
        <f>VLOOKUP(D3183,Products!A:E,5,FALSE)</f>
        <v>1272.23</v>
      </c>
      <c r="N3183" s="5">
        <f t="shared" si="49"/>
        <v>4580.0280000000002</v>
      </c>
    </row>
    <row r="3184" spans="1:14" x14ac:dyDescent="0.3">
      <c r="A3184" t="s">
        <v>4040</v>
      </c>
      <c r="B3184" s="2">
        <v>45286</v>
      </c>
      <c r="C3184" t="s">
        <v>85</v>
      </c>
      <c r="D3184" t="s">
        <v>780</v>
      </c>
      <c r="E3184" t="s">
        <v>835</v>
      </c>
      <c r="F3184">
        <v>2</v>
      </c>
      <c r="G3184">
        <v>0.15</v>
      </c>
      <c r="H3184" t="s">
        <v>865</v>
      </c>
      <c r="I3184" t="str">
        <f>VLOOKUP(C3184,Customers!A:C,2,FALSE)&amp;" "&amp;VLOOKUP(C3184,Customers!A:C,3,FALSE)</f>
        <v>Debbie Martin</v>
      </c>
      <c r="J3184" t="str">
        <f>VLOOKUP(D3184,Products!A:C,2,FALSE)</f>
        <v>Hospital Smartphone</v>
      </c>
      <c r="K3184" t="str">
        <f>VLOOKUP(D3184,Products!A:C,3,FALSE)</f>
        <v>Electronics</v>
      </c>
      <c r="L3184" t="str">
        <f>VLOOKUP(E3184,Stores!A:B,2,FALSE)</f>
        <v>MegaMart Peckmouth</v>
      </c>
      <c r="M3184">
        <f>VLOOKUP(D3184,Products!A:E,5,FALSE)</f>
        <v>1272.23</v>
      </c>
      <c r="N3184" s="5">
        <f t="shared" si="49"/>
        <v>2162.7910000000002</v>
      </c>
    </row>
    <row r="3185" spans="1:14" x14ac:dyDescent="0.3">
      <c r="A3185" t="s">
        <v>4041</v>
      </c>
      <c r="B3185" s="2">
        <v>45479</v>
      </c>
      <c r="C3185" t="s">
        <v>700</v>
      </c>
      <c r="D3185" t="s">
        <v>790</v>
      </c>
      <c r="E3185" t="s">
        <v>839</v>
      </c>
      <c r="F3185">
        <v>1</v>
      </c>
      <c r="G3185">
        <v>0.15</v>
      </c>
      <c r="H3185" t="s">
        <v>858</v>
      </c>
      <c r="I3185" t="str">
        <f>VLOOKUP(C3185,Customers!A:C,2,FALSE)&amp;" "&amp;VLOOKUP(C3185,Customers!A:C,3,FALSE)</f>
        <v>Juan Johnson</v>
      </c>
      <c r="J3185" t="str">
        <f>VLOOKUP(D3185,Products!A:C,2,FALSE)</f>
        <v>Difficult Vegetables</v>
      </c>
      <c r="K3185" t="str">
        <f>VLOOKUP(D3185,Products!A:C,3,FALSE)</f>
        <v>Groceries</v>
      </c>
      <c r="L3185" t="str">
        <f>VLOOKUP(E3185,Stores!A:B,2,FALSE)</f>
        <v>MegaMart New Michele</v>
      </c>
      <c r="M3185">
        <f>VLOOKUP(D3185,Products!A:E,5,FALSE)</f>
        <v>304.70999999999998</v>
      </c>
      <c r="N3185" s="5">
        <f t="shared" si="49"/>
        <v>259.00349999999997</v>
      </c>
    </row>
    <row r="3186" spans="1:14" x14ac:dyDescent="0.3">
      <c r="A3186" t="s">
        <v>4042</v>
      </c>
      <c r="B3186" s="2">
        <v>45306</v>
      </c>
      <c r="C3186" t="s">
        <v>415</v>
      </c>
      <c r="D3186" t="s">
        <v>812</v>
      </c>
      <c r="E3186" t="s">
        <v>835</v>
      </c>
      <c r="F3186">
        <v>4</v>
      </c>
      <c r="G3186">
        <v>0.15</v>
      </c>
      <c r="H3186" t="s">
        <v>865</v>
      </c>
      <c r="I3186" t="str">
        <f>VLOOKUP(C3186,Customers!A:C,2,FALSE)&amp;" "&amp;VLOOKUP(C3186,Customers!A:C,3,FALSE)</f>
        <v>Dylan Booker</v>
      </c>
      <c r="J3186" t="str">
        <f>VLOOKUP(D3186,Products!A:C,2,FALSE)</f>
        <v>Soon Accessories</v>
      </c>
      <c r="K3186" t="str">
        <f>VLOOKUP(D3186,Products!A:C,3,FALSE)</f>
        <v>Fashion</v>
      </c>
      <c r="L3186" t="str">
        <f>VLOOKUP(E3186,Stores!A:B,2,FALSE)</f>
        <v>MegaMart Peckmouth</v>
      </c>
      <c r="M3186">
        <f>VLOOKUP(D3186,Products!A:E,5,FALSE)</f>
        <v>564.41999999999996</v>
      </c>
      <c r="N3186" s="5">
        <f t="shared" si="49"/>
        <v>1919.0279999999998</v>
      </c>
    </row>
    <row r="3187" spans="1:14" x14ac:dyDescent="0.3">
      <c r="A3187" t="s">
        <v>4043</v>
      </c>
      <c r="B3187" s="2">
        <v>45383</v>
      </c>
      <c r="C3187" t="s">
        <v>324</v>
      </c>
      <c r="D3187" t="s">
        <v>788</v>
      </c>
      <c r="E3187" t="s">
        <v>839</v>
      </c>
      <c r="F3187">
        <v>1</v>
      </c>
      <c r="G3187">
        <v>0.1</v>
      </c>
      <c r="H3187" t="s">
        <v>861</v>
      </c>
      <c r="I3187" t="str">
        <f>VLOOKUP(C3187,Customers!A:C,2,FALSE)&amp;" "&amp;VLOOKUP(C3187,Customers!A:C,3,FALSE)</f>
        <v>Lawrence Hunter</v>
      </c>
      <c r="J3187" t="str">
        <f>VLOOKUP(D3187,Products!A:C,2,FALSE)</f>
        <v>Foot Snacks</v>
      </c>
      <c r="K3187" t="str">
        <f>VLOOKUP(D3187,Products!A:C,3,FALSE)</f>
        <v>Groceries</v>
      </c>
      <c r="L3187" t="str">
        <f>VLOOKUP(E3187,Stores!A:B,2,FALSE)</f>
        <v>MegaMart New Michele</v>
      </c>
      <c r="M3187">
        <f>VLOOKUP(D3187,Products!A:E,5,FALSE)</f>
        <v>1095.72</v>
      </c>
      <c r="N3187" s="5">
        <f t="shared" si="49"/>
        <v>986.14800000000002</v>
      </c>
    </row>
    <row r="3188" spans="1:14" x14ac:dyDescent="0.3">
      <c r="A3188" t="s">
        <v>4044</v>
      </c>
      <c r="B3188" s="2">
        <v>45830</v>
      </c>
      <c r="C3188" t="s">
        <v>462</v>
      </c>
      <c r="D3188" t="s">
        <v>810</v>
      </c>
      <c r="E3188" t="s">
        <v>842</v>
      </c>
      <c r="F3188">
        <v>4</v>
      </c>
      <c r="G3188">
        <v>0.05</v>
      </c>
      <c r="H3188" t="s">
        <v>858</v>
      </c>
      <c r="I3188" t="str">
        <f>VLOOKUP(C3188,Customers!A:C,2,FALSE)&amp;" "&amp;VLOOKUP(C3188,Customers!A:C,3,FALSE)</f>
        <v>Kimberly Parker</v>
      </c>
      <c r="J3188" t="str">
        <f>VLOOKUP(D3188,Products!A:C,2,FALSE)</f>
        <v>Maybe Clothing</v>
      </c>
      <c r="K3188" t="str">
        <f>VLOOKUP(D3188,Products!A:C,3,FALSE)</f>
        <v>Fashion</v>
      </c>
      <c r="L3188" t="str">
        <f>VLOOKUP(E3188,Stores!A:B,2,FALSE)</f>
        <v>MegaMart Brianahaven</v>
      </c>
      <c r="M3188">
        <f>VLOOKUP(D3188,Products!A:E,5,FALSE)</f>
        <v>453.62</v>
      </c>
      <c r="N3188" s="5">
        <f t="shared" si="49"/>
        <v>1723.7559999999999</v>
      </c>
    </row>
    <row r="3189" spans="1:14" x14ac:dyDescent="0.3">
      <c r="A3189" t="s">
        <v>4045</v>
      </c>
      <c r="B3189" s="2">
        <v>45404</v>
      </c>
      <c r="C3189" t="s">
        <v>415</v>
      </c>
      <c r="D3189" t="s">
        <v>778</v>
      </c>
      <c r="E3189" t="s">
        <v>835</v>
      </c>
      <c r="F3189">
        <v>3</v>
      </c>
      <c r="G3189">
        <v>0.05</v>
      </c>
      <c r="H3189" t="s">
        <v>861</v>
      </c>
      <c r="I3189" t="str">
        <f>VLOOKUP(C3189,Customers!A:C,2,FALSE)&amp;" "&amp;VLOOKUP(C3189,Customers!A:C,3,FALSE)</f>
        <v>Dylan Booker</v>
      </c>
      <c r="J3189" t="str">
        <f>VLOOKUP(D3189,Products!A:C,2,FALSE)</f>
        <v>Behavior Dairy</v>
      </c>
      <c r="K3189" t="str">
        <f>VLOOKUP(D3189,Products!A:C,3,FALSE)</f>
        <v>Groceries</v>
      </c>
      <c r="L3189" t="str">
        <f>VLOOKUP(E3189,Stores!A:B,2,FALSE)</f>
        <v>MegaMart Peckmouth</v>
      </c>
      <c r="M3189">
        <f>VLOOKUP(D3189,Products!A:E,5,FALSE)</f>
        <v>1015.76</v>
      </c>
      <c r="N3189" s="5">
        <f t="shared" si="49"/>
        <v>2894.9159999999997</v>
      </c>
    </row>
    <row r="3190" spans="1:14" x14ac:dyDescent="0.3">
      <c r="A3190" t="s">
        <v>4046</v>
      </c>
      <c r="B3190" s="2">
        <v>45678</v>
      </c>
      <c r="C3190" t="s">
        <v>327</v>
      </c>
      <c r="D3190" t="s">
        <v>736</v>
      </c>
      <c r="E3190" t="s">
        <v>835</v>
      </c>
      <c r="F3190">
        <v>5</v>
      </c>
      <c r="G3190">
        <v>0.1</v>
      </c>
      <c r="H3190" t="s">
        <v>858</v>
      </c>
      <c r="I3190" t="str">
        <f>VLOOKUP(C3190,Customers!A:C,2,FALSE)&amp;" "&amp;VLOOKUP(C3190,Customers!A:C,3,FALSE)</f>
        <v>Laurie Mason</v>
      </c>
      <c r="J3190" t="str">
        <f>VLOOKUP(D3190,Products!A:C,2,FALSE)</f>
        <v>Us Snacks</v>
      </c>
      <c r="K3190" t="str">
        <f>VLOOKUP(D3190,Products!A:C,3,FALSE)</f>
        <v>Groceries</v>
      </c>
      <c r="L3190" t="str">
        <f>VLOOKUP(E3190,Stores!A:B,2,FALSE)</f>
        <v>MegaMart Peckmouth</v>
      </c>
      <c r="M3190">
        <f>VLOOKUP(D3190,Products!A:E,5,FALSE)</f>
        <v>123.19</v>
      </c>
      <c r="N3190" s="5">
        <f t="shared" si="49"/>
        <v>554.35500000000002</v>
      </c>
    </row>
    <row r="3191" spans="1:14" x14ac:dyDescent="0.3">
      <c r="A3191" t="s">
        <v>4047</v>
      </c>
      <c r="B3191" s="2">
        <v>45715</v>
      </c>
      <c r="C3191" t="s">
        <v>89</v>
      </c>
      <c r="D3191" t="s">
        <v>800</v>
      </c>
      <c r="E3191" t="s">
        <v>831</v>
      </c>
      <c r="F3191">
        <v>1</v>
      </c>
      <c r="G3191">
        <v>0</v>
      </c>
      <c r="H3191" t="s">
        <v>865</v>
      </c>
      <c r="I3191" t="str">
        <f>VLOOKUP(C3191,Customers!A:C,2,FALSE)&amp;" "&amp;VLOOKUP(C3191,Customers!A:C,3,FALSE)</f>
        <v>Megan Velasquez</v>
      </c>
      <c r="J3191" t="str">
        <f>VLOOKUP(D3191,Products!A:C,2,FALSE)</f>
        <v>Book Television</v>
      </c>
      <c r="K3191" t="str">
        <f>VLOOKUP(D3191,Products!A:C,3,FALSE)</f>
        <v>Electronics</v>
      </c>
      <c r="L3191" t="str">
        <f>VLOOKUP(E3191,Stores!A:B,2,FALSE)</f>
        <v>MegaMart Jimenezborough</v>
      </c>
      <c r="M3191">
        <f>VLOOKUP(D3191,Products!A:E,5,FALSE)</f>
        <v>1952.65</v>
      </c>
      <c r="N3191" s="5">
        <f t="shared" si="49"/>
        <v>1952.65</v>
      </c>
    </row>
    <row r="3192" spans="1:14" x14ac:dyDescent="0.3">
      <c r="A3192" t="s">
        <v>4048</v>
      </c>
      <c r="B3192" s="2">
        <v>45776</v>
      </c>
      <c r="C3192" t="s">
        <v>151</v>
      </c>
      <c r="D3192" t="s">
        <v>818</v>
      </c>
      <c r="E3192" t="s">
        <v>846</v>
      </c>
      <c r="F3192">
        <v>4</v>
      </c>
      <c r="G3192">
        <v>0.15</v>
      </c>
      <c r="H3192" t="s">
        <v>865</v>
      </c>
      <c r="I3192" t="str">
        <f>VLOOKUP(C3192,Customers!A:C,2,FALSE)&amp;" "&amp;VLOOKUP(C3192,Customers!A:C,3,FALSE)</f>
        <v>Nancy Savage</v>
      </c>
      <c r="J3192" t="str">
        <f>VLOOKUP(D3192,Products!A:C,2,FALSE)</f>
        <v>Nature Clothing</v>
      </c>
      <c r="K3192" t="str">
        <f>VLOOKUP(D3192,Products!A:C,3,FALSE)</f>
        <v>Fashion</v>
      </c>
      <c r="L3192" t="str">
        <f>VLOOKUP(E3192,Stores!A:B,2,FALSE)</f>
        <v>MegaMart Johnmouth</v>
      </c>
      <c r="M3192">
        <f>VLOOKUP(D3192,Products!A:E,5,FALSE)</f>
        <v>1165.3699999999999</v>
      </c>
      <c r="N3192" s="5">
        <f t="shared" si="49"/>
        <v>3962.2579999999994</v>
      </c>
    </row>
    <row r="3193" spans="1:14" x14ac:dyDescent="0.3">
      <c r="A3193" t="s">
        <v>4049</v>
      </c>
      <c r="B3193" s="2">
        <v>45682</v>
      </c>
      <c r="C3193" t="s">
        <v>633</v>
      </c>
      <c r="D3193" t="s">
        <v>736</v>
      </c>
      <c r="E3193" t="s">
        <v>835</v>
      </c>
      <c r="F3193">
        <v>1</v>
      </c>
      <c r="G3193">
        <v>0</v>
      </c>
      <c r="H3193" t="s">
        <v>858</v>
      </c>
      <c r="I3193" t="str">
        <f>VLOOKUP(C3193,Customers!A:C,2,FALSE)&amp;" "&amp;VLOOKUP(C3193,Customers!A:C,3,FALSE)</f>
        <v>Dennis Wallace</v>
      </c>
      <c r="J3193" t="str">
        <f>VLOOKUP(D3193,Products!A:C,2,FALSE)</f>
        <v>Us Snacks</v>
      </c>
      <c r="K3193" t="str">
        <f>VLOOKUP(D3193,Products!A:C,3,FALSE)</f>
        <v>Groceries</v>
      </c>
      <c r="L3193" t="str">
        <f>VLOOKUP(E3193,Stores!A:B,2,FALSE)</f>
        <v>MegaMart Peckmouth</v>
      </c>
      <c r="M3193">
        <f>VLOOKUP(D3193,Products!A:E,5,FALSE)</f>
        <v>123.19</v>
      </c>
      <c r="N3193" s="5">
        <f t="shared" si="49"/>
        <v>123.19</v>
      </c>
    </row>
    <row r="3194" spans="1:14" x14ac:dyDescent="0.3">
      <c r="A3194" t="s">
        <v>4050</v>
      </c>
      <c r="B3194" s="2">
        <v>45833</v>
      </c>
      <c r="C3194" t="s">
        <v>179</v>
      </c>
      <c r="D3194" t="s">
        <v>745</v>
      </c>
      <c r="E3194" t="s">
        <v>831</v>
      </c>
      <c r="F3194">
        <v>2</v>
      </c>
      <c r="G3194">
        <v>0.1</v>
      </c>
      <c r="H3194" t="s">
        <v>855</v>
      </c>
      <c r="I3194" t="str">
        <f>VLOOKUP(C3194,Customers!A:C,2,FALSE)&amp;" "&amp;VLOOKUP(C3194,Customers!A:C,3,FALSE)</f>
        <v>Dennis Poole</v>
      </c>
      <c r="J3194" t="str">
        <f>VLOOKUP(D3194,Products!A:C,2,FALSE)</f>
        <v>Above Camera</v>
      </c>
      <c r="K3194" t="str">
        <f>VLOOKUP(D3194,Products!A:C,3,FALSE)</f>
        <v>Electronics</v>
      </c>
      <c r="L3194" t="str">
        <f>VLOOKUP(E3194,Stores!A:B,2,FALSE)</f>
        <v>MegaMart Jimenezborough</v>
      </c>
      <c r="M3194">
        <f>VLOOKUP(D3194,Products!A:E,5,FALSE)</f>
        <v>1193.0899999999999</v>
      </c>
      <c r="N3194" s="5">
        <f t="shared" si="49"/>
        <v>2147.5619999999999</v>
      </c>
    </row>
    <row r="3195" spans="1:14" x14ac:dyDescent="0.3">
      <c r="A3195" t="s">
        <v>4051</v>
      </c>
      <c r="B3195" s="2">
        <v>45838</v>
      </c>
      <c r="C3195" t="s">
        <v>618</v>
      </c>
      <c r="D3195" t="s">
        <v>722</v>
      </c>
      <c r="E3195" t="s">
        <v>839</v>
      </c>
      <c r="F3195">
        <v>5</v>
      </c>
      <c r="G3195">
        <v>0</v>
      </c>
      <c r="H3195" t="s">
        <v>865</v>
      </c>
      <c r="I3195" t="str">
        <f>VLOOKUP(C3195,Customers!A:C,2,FALSE)&amp;" "&amp;VLOOKUP(C3195,Customers!A:C,3,FALSE)</f>
        <v>Scott Howell</v>
      </c>
      <c r="J3195" t="str">
        <f>VLOOKUP(D3195,Products!A:C,2,FALSE)</f>
        <v>Four Accessories</v>
      </c>
      <c r="K3195" t="str">
        <f>VLOOKUP(D3195,Products!A:C,3,FALSE)</f>
        <v>Fashion</v>
      </c>
      <c r="L3195" t="str">
        <f>VLOOKUP(E3195,Stores!A:B,2,FALSE)</f>
        <v>MegaMart New Michele</v>
      </c>
      <c r="M3195">
        <f>VLOOKUP(D3195,Products!A:E,5,FALSE)</f>
        <v>1853.77</v>
      </c>
      <c r="N3195" s="5">
        <f t="shared" si="49"/>
        <v>9268.85</v>
      </c>
    </row>
    <row r="3196" spans="1:14" x14ac:dyDescent="0.3">
      <c r="A3196" t="s">
        <v>4052</v>
      </c>
      <c r="B3196" s="2">
        <v>45731</v>
      </c>
      <c r="C3196" t="s">
        <v>167</v>
      </c>
      <c r="D3196" t="s">
        <v>822</v>
      </c>
      <c r="E3196" t="s">
        <v>839</v>
      </c>
      <c r="F3196">
        <v>3</v>
      </c>
      <c r="G3196">
        <v>0</v>
      </c>
      <c r="H3196" t="s">
        <v>865</v>
      </c>
      <c r="I3196" t="str">
        <f>VLOOKUP(C3196,Customers!A:C,2,FALSE)&amp;" "&amp;VLOOKUP(C3196,Customers!A:C,3,FALSE)</f>
        <v>Kenneth Allen</v>
      </c>
      <c r="J3196" t="str">
        <f>VLOOKUP(D3196,Products!A:C,2,FALSE)</f>
        <v>Nor Bags</v>
      </c>
      <c r="K3196" t="str">
        <f>VLOOKUP(D3196,Products!A:C,3,FALSE)</f>
        <v>Fashion</v>
      </c>
      <c r="L3196" t="str">
        <f>VLOOKUP(E3196,Stores!A:B,2,FALSE)</f>
        <v>MegaMart New Michele</v>
      </c>
      <c r="M3196">
        <f>VLOOKUP(D3196,Products!A:E,5,FALSE)</f>
        <v>1216.3599999999999</v>
      </c>
      <c r="N3196" s="5">
        <f t="shared" si="49"/>
        <v>3649.08</v>
      </c>
    </row>
    <row r="3197" spans="1:14" x14ac:dyDescent="0.3">
      <c r="A3197" t="s">
        <v>4053</v>
      </c>
      <c r="B3197" s="2">
        <v>45430</v>
      </c>
      <c r="C3197" t="s">
        <v>542</v>
      </c>
      <c r="D3197" t="s">
        <v>774</v>
      </c>
      <c r="E3197" t="s">
        <v>831</v>
      </c>
      <c r="F3197">
        <v>1</v>
      </c>
      <c r="G3197">
        <v>0</v>
      </c>
      <c r="H3197" t="s">
        <v>861</v>
      </c>
      <c r="I3197" t="str">
        <f>VLOOKUP(C3197,Customers!A:C,2,FALSE)&amp;" "&amp;VLOOKUP(C3197,Customers!A:C,3,FALSE)</f>
        <v>Francis Hernandez</v>
      </c>
      <c r="J3197" t="str">
        <f>VLOOKUP(D3197,Products!A:C,2,FALSE)</f>
        <v>Him Smartphone</v>
      </c>
      <c r="K3197" t="str">
        <f>VLOOKUP(D3197,Products!A:C,3,FALSE)</f>
        <v>Electronics</v>
      </c>
      <c r="L3197" t="str">
        <f>VLOOKUP(E3197,Stores!A:B,2,FALSE)</f>
        <v>MegaMart Jimenezborough</v>
      </c>
      <c r="M3197">
        <f>VLOOKUP(D3197,Products!A:E,5,FALSE)</f>
        <v>1487.41</v>
      </c>
      <c r="N3197" s="5">
        <f t="shared" si="49"/>
        <v>1487.41</v>
      </c>
    </row>
    <row r="3198" spans="1:14" x14ac:dyDescent="0.3">
      <c r="A3198" t="s">
        <v>4054</v>
      </c>
      <c r="B3198" s="2">
        <v>45897</v>
      </c>
      <c r="C3198" t="s">
        <v>171</v>
      </c>
      <c r="D3198" t="s">
        <v>798</v>
      </c>
      <c r="E3198" t="s">
        <v>842</v>
      </c>
      <c r="F3198">
        <v>4</v>
      </c>
      <c r="G3198">
        <v>0</v>
      </c>
      <c r="H3198" t="s">
        <v>855</v>
      </c>
      <c r="I3198" t="str">
        <f>VLOOKUP(C3198,Customers!A:C,2,FALSE)&amp;" "&amp;VLOOKUP(C3198,Customers!A:C,3,FALSE)</f>
        <v>Parker Sparks</v>
      </c>
      <c r="J3198" t="str">
        <f>VLOOKUP(D3198,Products!A:C,2,FALSE)</f>
        <v>New Watches</v>
      </c>
      <c r="K3198" t="str">
        <f>VLOOKUP(D3198,Products!A:C,3,FALSE)</f>
        <v>Fashion</v>
      </c>
      <c r="L3198" t="str">
        <f>VLOOKUP(E3198,Stores!A:B,2,FALSE)</f>
        <v>MegaMart Brianahaven</v>
      </c>
      <c r="M3198">
        <f>VLOOKUP(D3198,Products!A:E,5,FALSE)</f>
        <v>1501.46</v>
      </c>
      <c r="N3198" s="5">
        <f t="shared" si="49"/>
        <v>6005.84</v>
      </c>
    </row>
    <row r="3199" spans="1:14" x14ac:dyDescent="0.3">
      <c r="A3199" t="s">
        <v>4055</v>
      </c>
      <c r="B3199" s="2">
        <v>45465</v>
      </c>
      <c r="C3199" t="s">
        <v>549</v>
      </c>
      <c r="D3199" t="s">
        <v>798</v>
      </c>
      <c r="E3199" t="s">
        <v>839</v>
      </c>
      <c r="F3199">
        <v>5</v>
      </c>
      <c r="G3199">
        <v>0</v>
      </c>
      <c r="H3199" t="s">
        <v>855</v>
      </c>
      <c r="I3199" t="str">
        <f>VLOOKUP(C3199,Customers!A:C,2,FALSE)&amp;" "&amp;VLOOKUP(C3199,Customers!A:C,3,FALSE)</f>
        <v>Brittany Green</v>
      </c>
      <c r="J3199" t="str">
        <f>VLOOKUP(D3199,Products!A:C,2,FALSE)</f>
        <v>New Watches</v>
      </c>
      <c r="K3199" t="str">
        <f>VLOOKUP(D3199,Products!A:C,3,FALSE)</f>
        <v>Fashion</v>
      </c>
      <c r="L3199" t="str">
        <f>VLOOKUP(E3199,Stores!A:B,2,FALSE)</f>
        <v>MegaMart New Michele</v>
      </c>
      <c r="M3199">
        <f>VLOOKUP(D3199,Products!A:E,5,FALSE)</f>
        <v>1501.46</v>
      </c>
      <c r="N3199" s="5">
        <f t="shared" si="49"/>
        <v>7507.3</v>
      </c>
    </row>
    <row r="3200" spans="1:14" x14ac:dyDescent="0.3">
      <c r="A3200" t="s">
        <v>4056</v>
      </c>
      <c r="B3200" s="2">
        <v>45552</v>
      </c>
      <c r="C3200" t="s">
        <v>141</v>
      </c>
      <c r="D3200" t="s">
        <v>782</v>
      </c>
      <c r="E3200" t="s">
        <v>831</v>
      </c>
      <c r="F3200">
        <v>4</v>
      </c>
      <c r="G3200">
        <v>0.1</v>
      </c>
      <c r="H3200" t="s">
        <v>861</v>
      </c>
      <c r="I3200" t="str">
        <f>VLOOKUP(C3200,Customers!A:C,2,FALSE)&amp;" "&amp;VLOOKUP(C3200,Customers!A:C,3,FALSE)</f>
        <v>Michael Cervantes</v>
      </c>
      <c r="J3200" t="str">
        <f>VLOOKUP(D3200,Products!A:C,2,FALSE)</f>
        <v>Deal Smartphone</v>
      </c>
      <c r="K3200" t="str">
        <f>VLOOKUP(D3200,Products!A:C,3,FALSE)</f>
        <v>Electronics</v>
      </c>
      <c r="L3200" t="str">
        <f>VLOOKUP(E3200,Stores!A:B,2,FALSE)</f>
        <v>MegaMart Jimenezborough</v>
      </c>
      <c r="M3200">
        <f>VLOOKUP(D3200,Products!A:E,5,FALSE)</f>
        <v>673.78</v>
      </c>
      <c r="N3200" s="5">
        <f t="shared" si="49"/>
        <v>2425.6080000000002</v>
      </c>
    </row>
    <row r="3201" spans="1:14" x14ac:dyDescent="0.3">
      <c r="A3201" t="s">
        <v>4057</v>
      </c>
      <c r="B3201" s="2">
        <v>45235</v>
      </c>
      <c r="C3201" t="s">
        <v>589</v>
      </c>
      <c r="D3201" t="s">
        <v>734</v>
      </c>
      <c r="E3201" t="s">
        <v>846</v>
      </c>
      <c r="F3201">
        <v>1</v>
      </c>
      <c r="G3201">
        <v>0.15</v>
      </c>
      <c r="H3201" t="s">
        <v>861</v>
      </c>
      <c r="I3201" t="str">
        <f>VLOOKUP(C3201,Customers!A:C,2,FALSE)&amp;" "&amp;VLOOKUP(C3201,Customers!A:C,3,FALSE)</f>
        <v>Tanya Mueller</v>
      </c>
      <c r="J3201" t="str">
        <f>VLOOKUP(D3201,Products!A:C,2,FALSE)</f>
        <v>Recognize Footwear</v>
      </c>
      <c r="K3201" t="str">
        <f>VLOOKUP(D3201,Products!A:C,3,FALSE)</f>
        <v>Fashion</v>
      </c>
      <c r="L3201" t="str">
        <f>VLOOKUP(E3201,Stores!A:B,2,FALSE)</f>
        <v>MegaMart Johnmouth</v>
      </c>
      <c r="M3201">
        <f>VLOOKUP(D3201,Products!A:E,5,FALSE)</f>
        <v>109.78</v>
      </c>
      <c r="N3201" s="5">
        <f t="shared" si="49"/>
        <v>93.313000000000002</v>
      </c>
    </row>
    <row r="3202" spans="1:14" x14ac:dyDescent="0.3">
      <c r="A3202" t="s">
        <v>4058</v>
      </c>
      <c r="B3202" s="2">
        <v>45755</v>
      </c>
      <c r="C3202" t="s">
        <v>627</v>
      </c>
      <c r="D3202" t="s">
        <v>796</v>
      </c>
      <c r="E3202" t="s">
        <v>839</v>
      </c>
      <c r="F3202">
        <v>1</v>
      </c>
      <c r="G3202">
        <v>0.15</v>
      </c>
      <c r="H3202" t="s">
        <v>855</v>
      </c>
      <c r="I3202" t="str">
        <f>VLOOKUP(C3202,Customers!A:C,2,FALSE)&amp;" "&amp;VLOOKUP(C3202,Customers!A:C,3,FALSE)</f>
        <v>Anthony Gould</v>
      </c>
      <c r="J3202" t="str">
        <f>VLOOKUP(D3202,Products!A:C,2,FALSE)</f>
        <v>Chair Laptop</v>
      </c>
      <c r="K3202" t="str">
        <f>VLOOKUP(D3202,Products!A:C,3,FALSE)</f>
        <v>Electronics</v>
      </c>
      <c r="L3202" t="str">
        <f>VLOOKUP(E3202,Stores!A:B,2,FALSE)</f>
        <v>MegaMart New Michele</v>
      </c>
      <c r="M3202">
        <f>VLOOKUP(D3202,Products!A:E,5,FALSE)</f>
        <v>1562.43</v>
      </c>
      <c r="N3202" s="5">
        <f t="shared" si="49"/>
        <v>1328.0654999999999</v>
      </c>
    </row>
    <row r="3203" spans="1:14" x14ac:dyDescent="0.3">
      <c r="A3203" t="s">
        <v>4059</v>
      </c>
      <c r="B3203" s="2">
        <v>45455</v>
      </c>
      <c r="C3203" t="s">
        <v>608</v>
      </c>
      <c r="D3203" t="s">
        <v>769</v>
      </c>
      <c r="E3203" t="s">
        <v>835</v>
      </c>
      <c r="F3203">
        <v>4</v>
      </c>
      <c r="G3203">
        <v>0.15</v>
      </c>
      <c r="H3203" t="s">
        <v>855</v>
      </c>
      <c r="I3203" t="str">
        <f>VLOOKUP(C3203,Customers!A:C,2,FALSE)&amp;" "&amp;VLOOKUP(C3203,Customers!A:C,3,FALSE)</f>
        <v>Christina Dominguez</v>
      </c>
      <c r="J3203" t="str">
        <f>VLOOKUP(D3203,Products!A:C,2,FALSE)</f>
        <v>How Vegetables</v>
      </c>
      <c r="K3203" t="str">
        <f>VLOOKUP(D3203,Products!A:C,3,FALSE)</f>
        <v>Groceries</v>
      </c>
      <c r="L3203" t="str">
        <f>VLOOKUP(E3203,Stores!A:B,2,FALSE)</f>
        <v>MegaMart Peckmouth</v>
      </c>
      <c r="M3203">
        <f>VLOOKUP(D3203,Products!A:E,5,FALSE)</f>
        <v>25.57</v>
      </c>
      <c r="N3203" s="5">
        <f t="shared" ref="N3203:N3266" si="50">F3203*M3203*(1-G3203)</f>
        <v>86.938000000000002</v>
      </c>
    </row>
    <row r="3204" spans="1:14" x14ac:dyDescent="0.3">
      <c r="A3204" t="s">
        <v>4060</v>
      </c>
      <c r="B3204" s="2">
        <v>45244</v>
      </c>
      <c r="C3204" t="s">
        <v>480</v>
      </c>
      <c r="D3204" t="s">
        <v>818</v>
      </c>
      <c r="E3204" t="s">
        <v>839</v>
      </c>
      <c r="F3204">
        <v>3</v>
      </c>
      <c r="G3204">
        <v>0.15</v>
      </c>
      <c r="H3204" t="s">
        <v>858</v>
      </c>
      <c r="I3204" t="str">
        <f>VLOOKUP(C3204,Customers!A:C,2,FALSE)&amp;" "&amp;VLOOKUP(C3204,Customers!A:C,3,FALSE)</f>
        <v>Denise Jackson</v>
      </c>
      <c r="J3204" t="str">
        <f>VLOOKUP(D3204,Products!A:C,2,FALSE)</f>
        <v>Nature Clothing</v>
      </c>
      <c r="K3204" t="str">
        <f>VLOOKUP(D3204,Products!A:C,3,FALSE)</f>
        <v>Fashion</v>
      </c>
      <c r="L3204" t="str">
        <f>VLOOKUP(E3204,Stores!A:B,2,FALSE)</f>
        <v>MegaMart New Michele</v>
      </c>
      <c r="M3204">
        <f>VLOOKUP(D3204,Products!A:E,5,FALSE)</f>
        <v>1165.3699999999999</v>
      </c>
      <c r="N3204" s="5">
        <f t="shared" si="50"/>
        <v>2971.6934999999999</v>
      </c>
    </row>
    <row r="3205" spans="1:14" x14ac:dyDescent="0.3">
      <c r="A3205" t="s">
        <v>4061</v>
      </c>
      <c r="B3205" s="2">
        <v>45769</v>
      </c>
      <c r="C3205" t="s">
        <v>234</v>
      </c>
      <c r="D3205" t="s">
        <v>753</v>
      </c>
      <c r="E3205" t="s">
        <v>839</v>
      </c>
      <c r="F3205">
        <v>3</v>
      </c>
      <c r="G3205">
        <v>0.05</v>
      </c>
      <c r="H3205" t="s">
        <v>861</v>
      </c>
      <c r="I3205" t="str">
        <f>VLOOKUP(C3205,Customers!A:C,2,FALSE)&amp;" "&amp;VLOOKUP(C3205,Customers!A:C,3,FALSE)</f>
        <v>Heather Russell</v>
      </c>
      <c r="J3205" t="str">
        <f>VLOOKUP(D3205,Products!A:C,2,FALSE)</f>
        <v>Whether Bags</v>
      </c>
      <c r="K3205" t="str">
        <f>VLOOKUP(D3205,Products!A:C,3,FALSE)</f>
        <v>Fashion</v>
      </c>
      <c r="L3205" t="str">
        <f>VLOOKUP(E3205,Stores!A:B,2,FALSE)</f>
        <v>MegaMart New Michele</v>
      </c>
      <c r="M3205">
        <f>VLOOKUP(D3205,Products!A:E,5,FALSE)</f>
        <v>270.45</v>
      </c>
      <c r="N3205" s="5">
        <f t="shared" si="50"/>
        <v>770.78249999999991</v>
      </c>
    </row>
    <row r="3206" spans="1:14" x14ac:dyDescent="0.3">
      <c r="A3206" t="s">
        <v>4062</v>
      </c>
      <c r="B3206" s="2">
        <v>45206</v>
      </c>
      <c r="C3206" t="s">
        <v>442</v>
      </c>
      <c r="D3206" t="s">
        <v>718</v>
      </c>
      <c r="E3206" t="s">
        <v>835</v>
      </c>
      <c r="F3206">
        <v>2</v>
      </c>
      <c r="G3206">
        <v>0</v>
      </c>
      <c r="H3206" t="s">
        <v>865</v>
      </c>
      <c r="I3206" t="str">
        <f>VLOOKUP(C3206,Customers!A:C,2,FALSE)&amp;" "&amp;VLOOKUP(C3206,Customers!A:C,3,FALSE)</f>
        <v>Jason Lloyd</v>
      </c>
      <c r="J3206" t="str">
        <f>VLOOKUP(D3206,Products!A:C,2,FALSE)</f>
        <v>Here Footwear</v>
      </c>
      <c r="K3206" t="str">
        <f>VLOOKUP(D3206,Products!A:C,3,FALSE)</f>
        <v>Fashion</v>
      </c>
      <c r="L3206" t="str">
        <f>VLOOKUP(E3206,Stores!A:B,2,FALSE)</f>
        <v>MegaMart Peckmouth</v>
      </c>
      <c r="M3206">
        <f>VLOOKUP(D3206,Products!A:E,5,FALSE)</f>
        <v>337.63</v>
      </c>
      <c r="N3206" s="5">
        <f t="shared" si="50"/>
        <v>675.26</v>
      </c>
    </row>
    <row r="3207" spans="1:14" x14ac:dyDescent="0.3">
      <c r="A3207" t="s">
        <v>4063</v>
      </c>
      <c r="B3207" s="2">
        <v>45675</v>
      </c>
      <c r="C3207" t="s">
        <v>67</v>
      </c>
      <c r="D3207" t="s">
        <v>747</v>
      </c>
      <c r="E3207" t="s">
        <v>846</v>
      </c>
      <c r="F3207">
        <v>1</v>
      </c>
      <c r="G3207">
        <v>0.05</v>
      </c>
      <c r="H3207" t="s">
        <v>865</v>
      </c>
      <c r="I3207" t="str">
        <f>VLOOKUP(C3207,Customers!A:C,2,FALSE)&amp;" "&amp;VLOOKUP(C3207,Customers!A:C,3,FALSE)</f>
        <v>Miguel Johnson</v>
      </c>
      <c r="J3207" t="str">
        <f>VLOOKUP(D3207,Products!A:C,2,FALSE)</f>
        <v>World Watches</v>
      </c>
      <c r="K3207" t="str">
        <f>VLOOKUP(D3207,Products!A:C,3,FALSE)</f>
        <v>Fashion</v>
      </c>
      <c r="L3207" t="str">
        <f>VLOOKUP(E3207,Stores!A:B,2,FALSE)</f>
        <v>MegaMart Johnmouth</v>
      </c>
      <c r="M3207">
        <f>VLOOKUP(D3207,Products!A:E,5,FALSE)</f>
        <v>1134.8</v>
      </c>
      <c r="N3207" s="5">
        <f t="shared" si="50"/>
        <v>1078.06</v>
      </c>
    </row>
    <row r="3208" spans="1:14" x14ac:dyDescent="0.3">
      <c r="A3208" t="s">
        <v>4064</v>
      </c>
      <c r="B3208" s="2">
        <v>45511</v>
      </c>
      <c r="C3208" t="s">
        <v>429</v>
      </c>
      <c r="D3208" t="s">
        <v>766</v>
      </c>
      <c r="E3208" t="s">
        <v>835</v>
      </c>
      <c r="F3208">
        <v>2</v>
      </c>
      <c r="G3208">
        <v>0</v>
      </c>
      <c r="H3208" t="s">
        <v>855</v>
      </c>
      <c r="I3208" t="str">
        <f>VLOOKUP(C3208,Customers!A:C,2,FALSE)&amp;" "&amp;VLOOKUP(C3208,Customers!A:C,3,FALSE)</f>
        <v>Jose Smith</v>
      </c>
      <c r="J3208" t="str">
        <f>VLOOKUP(D3208,Products!A:C,2,FALSE)</f>
        <v>Firm Dairy</v>
      </c>
      <c r="K3208" t="str">
        <f>VLOOKUP(D3208,Products!A:C,3,FALSE)</f>
        <v>Groceries</v>
      </c>
      <c r="L3208" t="str">
        <f>VLOOKUP(E3208,Stores!A:B,2,FALSE)</f>
        <v>MegaMart Peckmouth</v>
      </c>
      <c r="M3208">
        <f>VLOOKUP(D3208,Products!A:E,5,FALSE)</f>
        <v>1227.24</v>
      </c>
      <c r="N3208" s="5">
        <f t="shared" si="50"/>
        <v>2454.48</v>
      </c>
    </row>
    <row r="3209" spans="1:14" x14ac:dyDescent="0.3">
      <c r="A3209" t="s">
        <v>4065</v>
      </c>
      <c r="B3209" s="2">
        <v>45363</v>
      </c>
      <c r="C3209" t="s">
        <v>696</v>
      </c>
      <c r="D3209" t="s">
        <v>794</v>
      </c>
      <c r="E3209" t="s">
        <v>839</v>
      </c>
      <c r="F3209">
        <v>3</v>
      </c>
      <c r="G3209">
        <v>0.05</v>
      </c>
      <c r="H3209" t="s">
        <v>858</v>
      </c>
      <c r="I3209" t="str">
        <f>VLOOKUP(C3209,Customers!A:C,2,FALSE)&amp;" "&amp;VLOOKUP(C3209,Customers!A:C,3,FALSE)</f>
        <v>Jessica Mullins</v>
      </c>
      <c r="J3209" t="str">
        <f>VLOOKUP(D3209,Products!A:C,2,FALSE)</f>
        <v>Everything Laptop</v>
      </c>
      <c r="K3209" t="str">
        <f>VLOOKUP(D3209,Products!A:C,3,FALSE)</f>
        <v>Electronics</v>
      </c>
      <c r="L3209" t="str">
        <f>VLOOKUP(E3209,Stores!A:B,2,FALSE)</f>
        <v>MegaMart New Michele</v>
      </c>
      <c r="M3209">
        <f>VLOOKUP(D3209,Products!A:E,5,FALSE)</f>
        <v>428.05</v>
      </c>
      <c r="N3209" s="5">
        <f t="shared" si="50"/>
        <v>1219.9425000000001</v>
      </c>
    </row>
    <row r="3210" spans="1:14" x14ac:dyDescent="0.3">
      <c r="A3210" t="s">
        <v>4066</v>
      </c>
      <c r="B3210" s="2">
        <v>45711</v>
      </c>
      <c r="C3210" t="s">
        <v>419</v>
      </c>
      <c r="D3210" t="s">
        <v>755</v>
      </c>
      <c r="E3210" t="s">
        <v>842</v>
      </c>
      <c r="F3210">
        <v>1</v>
      </c>
      <c r="G3210">
        <v>0.1</v>
      </c>
      <c r="H3210" t="s">
        <v>861</v>
      </c>
      <c r="I3210" t="str">
        <f>VLOOKUP(C3210,Customers!A:C,2,FALSE)&amp;" "&amp;VLOOKUP(C3210,Customers!A:C,3,FALSE)</f>
        <v>Jeffrey Smith</v>
      </c>
      <c r="J3210" t="str">
        <f>VLOOKUP(D3210,Products!A:C,2,FALSE)</f>
        <v>House Accessories</v>
      </c>
      <c r="K3210" t="str">
        <f>VLOOKUP(D3210,Products!A:C,3,FALSE)</f>
        <v>Fashion</v>
      </c>
      <c r="L3210" t="str">
        <f>VLOOKUP(E3210,Stores!A:B,2,FALSE)</f>
        <v>MegaMart Brianahaven</v>
      </c>
      <c r="M3210">
        <f>VLOOKUP(D3210,Products!A:E,5,FALSE)</f>
        <v>1858.75</v>
      </c>
      <c r="N3210" s="5">
        <f t="shared" si="50"/>
        <v>1672.875</v>
      </c>
    </row>
    <row r="3211" spans="1:14" x14ac:dyDescent="0.3">
      <c r="A3211" t="s">
        <v>4067</v>
      </c>
      <c r="B3211" s="2">
        <v>45474</v>
      </c>
      <c r="C3211" t="s">
        <v>452</v>
      </c>
      <c r="D3211" t="s">
        <v>736</v>
      </c>
      <c r="E3211" t="s">
        <v>831</v>
      </c>
      <c r="F3211">
        <v>3</v>
      </c>
      <c r="G3211">
        <v>0.05</v>
      </c>
      <c r="H3211" t="s">
        <v>858</v>
      </c>
      <c r="I3211" t="str">
        <f>VLOOKUP(C3211,Customers!A:C,2,FALSE)&amp;" "&amp;VLOOKUP(C3211,Customers!A:C,3,FALSE)</f>
        <v>Amy Smith</v>
      </c>
      <c r="J3211" t="str">
        <f>VLOOKUP(D3211,Products!A:C,2,FALSE)</f>
        <v>Us Snacks</v>
      </c>
      <c r="K3211" t="str">
        <f>VLOOKUP(D3211,Products!A:C,3,FALSE)</f>
        <v>Groceries</v>
      </c>
      <c r="L3211" t="str">
        <f>VLOOKUP(E3211,Stores!A:B,2,FALSE)</f>
        <v>MegaMart Jimenezborough</v>
      </c>
      <c r="M3211">
        <f>VLOOKUP(D3211,Products!A:E,5,FALSE)</f>
        <v>123.19</v>
      </c>
      <c r="N3211" s="5">
        <f t="shared" si="50"/>
        <v>351.0915</v>
      </c>
    </row>
    <row r="3212" spans="1:14" x14ac:dyDescent="0.3">
      <c r="A3212" t="s">
        <v>4068</v>
      </c>
      <c r="B3212" s="2">
        <v>45494</v>
      </c>
      <c r="C3212" t="s">
        <v>195</v>
      </c>
      <c r="D3212" t="s">
        <v>794</v>
      </c>
      <c r="E3212" t="s">
        <v>839</v>
      </c>
      <c r="F3212">
        <v>1</v>
      </c>
      <c r="G3212">
        <v>0</v>
      </c>
      <c r="H3212" t="s">
        <v>865</v>
      </c>
      <c r="I3212" t="str">
        <f>VLOOKUP(C3212,Customers!A:C,2,FALSE)&amp;" "&amp;VLOOKUP(C3212,Customers!A:C,3,FALSE)</f>
        <v>Kelly Mcmillan</v>
      </c>
      <c r="J3212" t="str">
        <f>VLOOKUP(D3212,Products!A:C,2,FALSE)</f>
        <v>Everything Laptop</v>
      </c>
      <c r="K3212" t="str">
        <f>VLOOKUP(D3212,Products!A:C,3,FALSE)</f>
        <v>Electronics</v>
      </c>
      <c r="L3212" t="str">
        <f>VLOOKUP(E3212,Stores!A:B,2,FALSE)</f>
        <v>MegaMart New Michele</v>
      </c>
      <c r="M3212">
        <f>VLOOKUP(D3212,Products!A:E,5,FALSE)</f>
        <v>428.05</v>
      </c>
      <c r="N3212" s="5">
        <f t="shared" si="50"/>
        <v>428.05</v>
      </c>
    </row>
    <row r="3213" spans="1:14" x14ac:dyDescent="0.3">
      <c r="A3213" t="s">
        <v>4069</v>
      </c>
      <c r="B3213" s="2">
        <v>45752</v>
      </c>
      <c r="C3213" t="s">
        <v>247</v>
      </c>
      <c r="D3213" t="s">
        <v>808</v>
      </c>
      <c r="E3213" t="s">
        <v>842</v>
      </c>
      <c r="F3213">
        <v>2</v>
      </c>
      <c r="G3213">
        <v>0.15</v>
      </c>
      <c r="H3213" t="s">
        <v>858</v>
      </c>
      <c r="I3213" t="str">
        <f>VLOOKUP(C3213,Customers!A:C,2,FALSE)&amp;" "&amp;VLOOKUP(C3213,Customers!A:C,3,FALSE)</f>
        <v>Scott Duke</v>
      </c>
      <c r="J3213" t="str">
        <f>VLOOKUP(D3213,Products!A:C,2,FALSE)</f>
        <v>Present Television</v>
      </c>
      <c r="K3213" t="str">
        <f>VLOOKUP(D3213,Products!A:C,3,FALSE)</f>
        <v>Electronics</v>
      </c>
      <c r="L3213" t="str">
        <f>VLOOKUP(E3213,Stores!A:B,2,FALSE)</f>
        <v>MegaMart Brianahaven</v>
      </c>
      <c r="M3213">
        <f>VLOOKUP(D3213,Products!A:E,5,FALSE)</f>
        <v>1635.01</v>
      </c>
      <c r="N3213" s="5">
        <f t="shared" si="50"/>
        <v>2779.5169999999998</v>
      </c>
    </row>
    <row r="3214" spans="1:14" x14ac:dyDescent="0.3">
      <c r="A3214" t="s">
        <v>4070</v>
      </c>
      <c r="B3214" s="2">
        <v>45476</v>
      </c>
      <c r="C3214" t="s">
        <v>601</v>
      </c>
      <c r="D3214" t="s">
        <v>753</v>
      </c>
      <c r="E3214" t="s">
        <v>842</v>
      </c>
      <c r="F3214">
        <v>3</v>
      </c>
      <c r="G3214">
        <v>0.15</v>
      </c>
      <c r="H3214" t="s">
        <v>861</v>
      </c>
      <c r="I3214" t="str">
        <f>VLOOKUP(C3214,Customers!A:C,2,FALSE)&amp;" "&amp;VLOOKUP(C3214,Customers!A:C,3,FALSE)</f>
        <v>Travis Watson</v>
      </c>
      <c r="J3214" t="str">
        <f>VLOOKUP(D3214,Products!A:C,2,FALSE)</f>
        <v>Whether Bags</v>
      </c>
      <c r="K3214" t="str">
        <f>VLOOKUP(D3214,Products!A:C,3,FALSE)</f>
        <v>Fashion</v>
      </c>
      <c r="L3214" t="str">
        <f>VLOOKUP(E3214,Stores!A:B,2,FALSE)</f>
        <v>MegaMart Brianahaven</v>
      </c>
      <c r="M3214">
        <f>VLOOKUP(D3214,Products!A:E,5,FALSE)</f>
        <v>270.45</v>
      </c>
      <c r="N3214" s="5">
        <f t="shared" si="50"/>
        <v>689.64749999999992</v>
      </c>
    </row>
    <row r="3215" spans="1:14" x14ac:dyDescent="0.3">
      <c r="A3215" t="s">
        <v>4071</v>
      </c>
      <c r="B3215" s="2">
        <v>45759</v>
      </c>
      <c r="C3215" t="s">
        <v>317</v>
      </c>
      <c r="D3215" t="s">
        <v>790</v>
      </c>
      <c r="E3215" t="s">
        <v>842</v>
      </c>
      <c r="F3215">
        <v>3</v>
      </c>
      <c r="G3215">
        <v>0.05</v>
      </c>
      <c r="H3215" t="s">
        <v>865</v>
      </c>
      <c r="I3215" t="str">
        <f>VLOOKUP(C3215,Customers!A:C,2,FALSE)&amp;" "&amp;VLOOKUP(C3215,Customers!A:C,3,FALSE)</f>
        <v>Amanda Lee</v>
      </c>
      <c r="J3215" t="str">
        <f>VLOOKUP(D3215,Products!A:C,2,FALSE)</f>
        <v>Difficult Vegetables</v>
      </c>
      <c r="K3215" t="str">
        <f>VLOOKUP(D3215,Products!A:C,3,FALSE)</f>
        <v>Groceries</v>
      </c>
      <c r="L3215" t="str">
        <f>VLOOKUP(E3215,Stores!A:B,2,FALSE)</f>
        <v>MegaMart Brianahaven</v>
      </c>
      <c r="M3215">
        <f>VLOOKUP(D3215,Products!A:E,5,FALSE)</f>
        <v>304.70999999999998</v>
      </c>
      <c r="N3215" s="5">
        <f t="shared" si="50"/>
        <v>868.42349999999988</v>
      </c>
    </row>
    <row r="3216" spans="1:14" x14ac:dyDescent="0.3">
      <c r="A3216" t="s">
        <v>4072</v>
      </c>
      <c r="B3216" s="2">
        <v>45581</v>
      </c>
      <c r="C3216" t="s">
        <v>167</v>
      </c>
      <c r="D3216" t="s">
        <v>778</v>
      </c>
      <c r="E3216" t="s">
        <v>839</v>
      </c>
      <c r="F3216">
        <v>4</v>
      </c>
      <c r="G3216">
        <v>0</v>
      </c>
      <c r="H3216" t="s">
        <v>858</v>
      </c>
      <c r="I3216" t="str">
        <f>VLOOKUP(C3216,Customers!A:C,2,FALSE)&amp;" "&amp;VLOOKUP(C3216,Customers!A:C,3,FALSE)</f>
        <v>Kenneth Allen</v>
      </c>
      <c r="J3216" t="str">
        <f>VLOOKUP(D3216,Products!A:C,2,FALSE)</f>
        <v>Behavior Dairy</v>
      </c>
      <c r="K3216" t="str">
        <f>VLOOKUP(D3216,Products!A:C,3,FALSE)</f>
        <v>Groceries</v>
      </c>
      <c r="L3216" t="str">
        <f>VLOOKUP(E3216,Stores!A:B,2,FALSE)</f>
        <v>MegaMart New Michele</v>
      </c>
      <c r="M3216">
        <f>VLOOKUP(D3216,Products!A:E,5,FALSE)</f>
        <v>1015.76</v>
      </c>
      <c r="N3216" s="5">
        <f t="shared" si="50"/>
        <v>4063.04</v>
      </c>
    </row>
    <row r="3217" spans="1:14" x14ac:dyDescent="0.3">
      <c r="A3217" t="s">
        <v>4073</v>
      </c>
      <c r="B3217" s="2">
        <v>45339</v>
      </c>
      <c r="C3217" t="s">
        <v>324</v>
      </c>
      <c r="D3217" t="s">
        <v>812</v>
      </c>
      <c r="E3217" t="s">
        <v>835</v>
      </c>
      <c r="F3217">
        <v>1</v>
      </c>
      <c r="G3217">
        <v>0.05</v>
      </c>
      <c r="H3217" t="s">
        <v>861</v>
      </c>
      <c r="I3217" t="str">
        <f>VLOOKUP(C3217,Customers!A:C,2,FALSE)&amp;" "&amp;VLOOKUP(C3217,Customers!A:C,3,FALSE)</f>
        <v>Lawrence Hunter</v>
      </c>
      <c r="J3217" t="str">
        <f>VLOOKUP(D3217,Products!A:C,2,FALSE)</f>
        <v>Soon Accessories</v>
      </c>
      <c r="K3217" t="str">
        <f>VLOOKUP(D3217,Products!A:C,3,FALSE)</f>
        <v>Fashion</v>
      </c>
      <c r="L3217" t="str">
        <f>VLOOKUP(E3217,Stores!A:B,2,FALSE)</f>
        <v>MegaMart Peckmouth</v>
      </c>
      <c r="M3217">
        <f>VLOOKUP(D3217,Products!A:E,5,FALSE)</f>
        <v>564.41999999999996</v>
      </c>
      <c r="N3217" s="5">
        <f t="shared" si="50"/>
        <v>536.19899999999996</v>
      </c>
    </row>
    <row r="3218" spans="1:14" x14ac:dyDescent="0.3">
      <c r="A3218" t="s">
        <v>4074</v>
      </c>
      <c r="B3218" s="2">
        <v>45395</v>
      </c>
      <c r="C3218" t="s">
        <v>483</v>
      </c>
      <c r="D3218" t="s">
        <v>728</v>
      </c>
      <c r="E3218" t="s">
        <v>846</v>
      </c>
      <c r="F3218">
        <v>4</v>
      </c>
      <c r="G3218">
        <v>0.1</v>
      </c>
      <c r="H3218" t="s">
        <v>861</v>
      </c>
      <c r="I3218" t="str">
        <f>VLOOKUP(C3218,Customers!A:C,2,FALSE)&amp;" "&amp;VLOOKUP(C3218,Customers!A:C,3,FALSE)</f>
        <v>Jared Ochoa</v>
      </c>
      <c r="J3218" t="str">
        <f>VLOOKUP(D3218,Products!A:C,2,FALSE)</f>
        <v>Company Fruits</v>
      </c>
      <c r="K3218" t="str">
        <f>VLOOKUP(D3218,Products!A:C,3,FALSE)</f>
        <v>Groceries</v>
      </c>
      <c r="L3218" t="str">
        <f>VLOOKUP(E3218,Stores!A:B,2,FALSE)</f>
        <v>MegaMart Johnmouth</v>
      </c>
      <c r="M3218">
        <f>VLOOKUP(D3218,Products!A:E,5,FALSE)</f>
        <v>318.05</v>
      </c>
      <c r="N3218" s="5">
        <f t="shared" si="50"/>
        <v>1144.98</v>
      </c>
    </row>
    <row r="3219" spans="1:14" x14ac:dyDescent="0.3">
      <c r="A3219" t="s">
        <v>4075</v>
      </c>
      <c r="B3219" s="2">
        <v>45743</v>
      </c>
      <c r="C3219" t="s">
        <v>653</v>
      </c>
      <c r="D3219" t="s">
        <v>718</v>
      </c>
      <c r="E3219" t="s">
        <v>835</v>
      </c>
      <c r="F3219">
        <v>4</v>
      </c>
      <c r="G3219">
        <v>0</v>
      </c>
      <c r="H3219" t="s">
        <v>865</v>
      </c>
      <c r="I3219" t="str">
        <f>VLOOKUP(C3219,Customers!A:C,2,FALSE)&amp;" "&amp;VLOOKUP(C3219,Customers!A:C,3,FALSE)</f>
        <v>Joe Vincent</v>
      </c>
      <c r="J3219" t="str">
        <f>VLOOKUP(D3219,Products!A:C,2,FALSE)</f>
        <v>Here Footwear</v>
      </c>
      <c r="K3219" t="str">
        <f>VLOOKUP(D3219,Products!A:C,3,FALSE)</f>
        <v>Fashion</v>
      </c>
      <c r="L3219" t="str">
        <f>VLOOKUP(E3219,Stores!A:B,2,FALSE)</f>
        <v>MegaMart Peckmouth</v>
      </c>
      <c r="M3219">
        <f>VLOOKUP(D3219,Products!A:E,5,FALSE)</f>
        <v>337.63</v>
      </c>
      <c r="N3219" s="5">
        <f t="shared" si="50"/>
        <v>1350.52</v>
      </c>
    </row>
    <row r="3220" spans="1:14" x14ac:dyDescent="0.3">
      <c r="A3220" t="s">
        <v>4076</v>
      </c>
      <c r="B3220" s="2">
        <v>45403</v>
      </c>
      <c r="C3220" t="s">
        <v>579</v>
      </c>
      <c r="D3220" t="s">
        <v>761</v>
      </c>
      <c r="E3220" t="s">
        <v>839</v>
      </c>
      <c r="F3220">
        <v>3</v>
      </c>
      <c r="G3220">
        <v>0.1</v>
      </c>
      <c r="H3220" t="s">
        <v>855</v>
      </c>
      <c r="I3220" t="str">
        <f>VLOOKUP(C3220,Customers!A:C,2,FALSE)&amp;" "&amp;VLOOKUP(C3220,Customers!A:C,3,FALSE)</f>
        <v>Jill Roach</v>
      </c>
      <c r="J3220" t="str">
        <f>VLOOKUP(D3220,Products!A:C,2,FALSE)</f>
        <v>Traditional Laptop</v>
      </c>
      <c r="K3220" t="str">
        <f>VLOOKUP(D3220,Products!A:C,3,FALSE)</f>
        <v>Electronics</v>
      </c>
      <c r="L3220" t="str">
        <f>VLOOKUP(E3220,Stores!A:B,2,FALSE)</f>
        <v>MegaMart New Michele</v>
      </c>
      <c r="M3220">
        <f>VLOOKUP(D3220,Products!A:E,5,FALSE)</f>
        <v>1762.92</v>
      </c>
      <c r="N3220" s="5">
        <f t="shared" si="50"/>
        <v>4759.884</v>
      </c>
    </row>
    <row r="3221" spans="1:14" x14ac:dyDescent="0.3">
      <c r="A3221" t="s">
        <v>4077</v>
      </c>
      <c r="B3221" s="2">
        <v>45608</v>
      </c>
      <c r="C3221" t="s">
        <v>7</v>
      </c>
      <c r="D3221" t="s">
        <v>822</v>
      </c>
      <c r="E3221" t="s">
        <v>831</v>
      </c>
      <c r="F3221">
        <v>4</v>
      </c>
      <c r="G3221">
        <v>0.05</v>
      </c>
      <c r="H3221" t="s">
        <v>861</v>
      </c>
      <c r="I3221" t="str">
        <f>VLOOKUP(C3221,Customers!A:C,2,FALSE)&amp;" "&amp;VLOOKUP(C3221,Customers!A:C,3,FALSE)</f>
        <v>Michael Davis</v>
      </c>
      <c r="J3221" t="str">
        <f>VLOOKUP(D3221,Products!A:C,2,FALSE)</f>
        <v>Nor Bags</v>
      </c>
      <c r="K3221" t="str">
        <f>VLOOKUP(D3221,Products!A:C,3,FALSE)</f>
        <v>Fashion</v>
      </c>
      <c r="L3221" t="str">
        <f>VLOOKUP(E3221,Stores!A:B,2,FALSE)</f>
        <v>MegaMart Jimenezborough</v>
      </c>
      <c r="M3221">
        <f>VLOOKUP(D3221,Products!A:E,5,FALSE)</f>
        <v>1216.3599999999999</v>
      </c>
      <c r="N3221" s="5">
        <f t="shared" si="50"/>
        <v>4622.1679999999997</v>
      </c>
    </row>
    <row r="3222" spans="1:14" x14ac:dyDescent="0.3">
      <c r="A3222" t="s">
        <v>4078</v>
      </c>
      <c r="B3222" s="2">
        <v>45796</v>
      </c>
      <c r="C3222" t="s">
        <v>148</v>
      </c>
      <c r="D3222" t="s">
        <v>796</v>
      </c>
      <c r="E3222" t="s">
        <v>839</v>
      </c>
      <c r="F3222">
        <v>5</v>
      </c>
      <c r="G3222">
        <v>0.1</v>
      </c>
      <c r="H3222" t="s">
        <v>858</v>
      </c>
      <c r="I3222" t="str">
        <f>VLOOKUP(C3222,Customers!A:C,2,FALSE)&amp;" "&amp;VLOOKUP(C3222,Customers!A:C,3,FALSE)</f>
        <v>Tracey Davis</v>
      </c>
      <c r="J3222" t="str">
        <f>VLOOKUP(D3222,Products!A:C,2,FALSE)</f>
        <v>Chair Laptop</v>
      </c>
      <c r="K3222" t="str">
        <f>VLOOKUP(D3222,Products!A:C,3,FALSE)</f>
        <v>Electronics</v>
      </c>
      <c r="L3222" t="str">
        <f>VLOOKUP(E3222,Stores!A:B,2,FALSE)</f>
        <v>MegaMart New Michele</v>
      </c>
      <c r="M3222">
        <f>VLOOKUP(D3222,Products!A:E,5,FALSE)</f>
        <v>1562.43</v>
      </c>
      <c r="N3222" s="5">
        <f t="shared" si="50"/>
        <v>7030.9350000000004</v>
      </c>
    </row>
    <row r="3223" spans="1:14" x14ac:dyDescent="0.3">
      <c r="A3223" t="s">
        <v>4079</v>
      </c>
      <c r="B3223" s="2">
        <v>45556</v>
      </c>
      <c r="C3223" t="s">
        <v>498</v>
      </c>
      <c r="D3223" t="s">
        <v>742</v>
      </c>
      <c r="E3223" t="s">
        <v>846</v>
      </c>
      <c r="F3223">
        <v>5</v>
      </c>
      <c r="G3223">
        <v>0.05</v>
      </c>
      <c r="H3223" t="s">
        <v>858</v>
      </c>
      <c r="I3223" t="str">
        <f>VLOOKUP(C3223,Customers!A:C,2,FALSE)&amp;" "&amp;VLOOKUP(C3223,Customers!A:C,3,FALSE)</f>
        <v>Amanda Garcia</v>
      </c>
      <c r="J3223" t="str">
        <f>VLOOKUP(D3223,Products!A:C,2,FALSE)</f>
        <v>Either Headphones</v>
      </c>
      <c r="K3223" t="str">
        <f>VLOOKUP(D3223,Products!A:C,3,FALSE)</f>
        <v>Electronics</v>
      </c>
      <c r="L3223" t="str">
        <f>VLOOKUP(E3223,Stores!A:B,2,FALSE)</f>
        <v>MegaMart Johnmouth</v>
      </c>
      <c r="M3223">
        <f>VLOOKUP(D3223,Products!A:E,5,FALSE)</f>
        <v>248.57</v>
      </c>
      <c r="N3223" s="5">
        <f t="shared" si="50"/>
        <v>1180.7074999999998</v>
      </c>
    </row>
    <row r="3224" spans="1:14" x14ac:dyDescent="0.3">
      <c r="A3224" t="s">
        <v>4080</v>
      </c>
      <c r="B3224" s="2">
        <v>45851</v>
      </c>
      <c r="C3224" t="s">
        <v>696</v>
      </c>
      <c r="D3224" t="s">
        <v>718</v>
      </c>
      <c r="E3224" t="s">
        <v>831</v>
      </c>
      <c r="F3224">
        <v>4</v>
      </c>
      <c r="G3224">
        <v>0.1</v>
      </c>
      <c r="H3224" t="s">
        <v>858</v>
      </c>
      <c r="I3224" t="str">
        <f>VLOOKUP(C3224,Customers!A:C,2,FALSE)&amp;" "&amp;VLOOKUP(C3224,Customers!A:C,3,FALSE)</f>
        <v>Jessica Mullins</v>
      </c>
      <c r="J3224" t="str">
        <f>VLOOKUP(D3224,Products!A:C,2,FALSE)</f>
        <v>Here Footwear</v>
      </c>
      <c r="K3224" t="str">
        <f>VLOOKUP(D3224,Products!A:C,3,FALSE)</f>
        <v>Fashion</v>
      </c>
      <c r="L3224" t="str">
        <f>VLOOKUP(E3224,Stores!A:B,2,FALSE)</f>
        <v>MegaMart Jimenezborough</v>
      </c>
      <c r="M3224">
        <f>VLOOKUP(D3224,Products!A:E,5,FALSE)</f>
        <v>337.63</v>
      </c>
      <c r="N3224" s="5">
        <f t="shared" si="50"/>
        <v>1215.4680000000001</v>
      </c>
    </row>
    <row r="3225" spans="1:14" x14ac:dyDescent="0.3">
      <c r="A3225" t="s">
        <v>4081</v>
      </c>
      <c r="B3225" s="2">
        <v>45833</v>
      </c>
      <c r="C3225" t="s">
        <v>51</v>
      </c>
      <c r="D3225" t="s">
        <v>798</v>
      </c>
      <c r="E3225" t="s">
        <v>839</v>
      </c>
      <c r="F3225">
        <v>3</v>
      </c>
      <c r="G3225">
        <v>0</v>
      </c>
      <c r="H3225" t="s">
        <v>858</v>
      </c>
      <c r="I3225" t="str">
        <f>VLOOKUP(C3225,Customers!A:C,2,FALSE)&amp;" "&amp;VLOOKUP(C3225,Customers!A:C,3,FALSE)</f>
        <v>Dale Perry</v>
      </c>
      <c r="J3225" t="str">
        <f>VLOOKUP(D3225,Products!A:C,2,FALSE)</f>
        <v>New Watches</v>
      </c>
      <c r="K3225" t="str">
        <f>VLOOKUP(D3225,Products!A:C,3,FALSE)</f>
        <v>Fashion</v>
      </c>
      <c r="L3225" t="str">
        <f>VLOOKUP(E3225,Stores!A:B,2,FALSE)</f>
        <v>MegaMart New Michele</v>
      </c>
      <c r="M3225">
        <f>VLOOKUP(D3225,Products!A:E,5,FALSE)</f>
        <v>1501.46</v>
      </c>
      <c r="N3225" s="5">
        <f t="shared" si="50"/>
        <v>4504.38</v>
      </c>
    </row>
    <row r="3226" spans="1:14" x14ac:dyDescent="0.3">
      <c r="A3226" t="s">
        <v>4082</v>
      </c>
      <c r="B3226" s="2">
        <v>45877</v>
      </c>
      <c r="C3226" t="s">
        <v>545</v>
      </c>
      <c r="D3226" t="s">
        <v>711</v>
      </c>
      <c r="E3226" t="s">
        <v>831</v>
      </c>
      <c r="F3226">
        <v>4</v>
      </c>
      <c r="G3226">
        <v>0.15</v>
      </c>
      <c r="H3226" t="s">
        <v>858</v>
      </c>
      <c r="I3226" t="str">
        <f>VLOOKUP(C3226,Customers!A:C,2,FALSE)&amp;" "&amp;VLOOKUP(C3226,Customers!A:C,3,FALSE)</f>
        <v>Dawn Fletcher</v>
      </c>
      <c r="J3226" t="str">
        <f>VLOOKUP(D3226,Products!A:C,2,FALSE)</f>
        <v>Like Camera</v>
      </c>
      <c r="K3226" t="str">
        <f>VLOOKUP(D3226,Products!A:C,3,FALSE)</f>
        <v>Electronics</v>
      </c>
      <c r="L3226" t="str">
        <f>VLOOKUP(E3226,Stores!A:B,2,FALSE)</f>
        <v>MegaMart Jimenezborough</v>
      </c>
      <c r="M3226">
        <f>VLOOKUP(D3226,Products!A:E,5,FALSE)</f>
        <v>1673.69</v>
      </c>
      <c r="N3226" s="5">
        <f t="shared" si="50"/>
        <v>5690.5460000000003</v>
      </c>
    </row>
    <row r="3227" spans="1:14" x14ac:dyDescent="0.3">
      <c r="A3227" t="s">
        <v>4083</v>
      </c>
      <c r="B3227" s="2">
        <v>45179</v>
      </c>
      <c r="C3227" t="s">
        <v>560</v>
      </c>
      <c r="D3227" t="s">
        <v>774</v>
      </c>
      <c r="E3227" t="s">
        <v>846</v>
      </c>
      <c r="F3227">
        <v>2</v>
      </c>
      <c r="G3227">
        <v>0.1</v>
      </c>
      <c r="H3227" t="s">
        <v>861</v>
      </c>
      <c r="I3227" t="str">
        <f>VLOOKUP(C3227,Customers!A:C,2,FALSE)&amp;" "&amp;VLOOKUP(C3227,Customers!A:C,3,FALSE)</f>
        <v>George Young</v>
      </c>
      <c r="J3227" t="str">
        <f>VLOOKUP(D3227,Products!A:C,2,FALSE)</f>
        <v>Him Smartphone</v>
      </c>
      <c r="K3227" t="str">
        <f>VLOOKUP(D3227,Products!A:C,3,FALSE)</f>
        <v>Electronics</v>
      </c>
      <c r="L3227" t="str">
        <f>VLOOKUP(E3227,Stores!A:B,2,FALSE)</f>
        <v>MegaMart Johnmouth</v>
      </c>
      <c r="M3227">
        <f>VLOOKUP(D3227,Products!A:E,5,FALSE)</f>
        <v>1487.41</v>
      </c>
      <c r="N3227" s="5">
        <f t="shared" si="50"/>
        <v>2677.3380000000002</v>
      </c>
    </row>
    <row r="3228" spans="1:14" x14ac:dyDescent="0.3">
      <c r="A3228" t="s">
        <v>4084</v>
      </c>
      <c r="B3228" s="2">
        <v>45349</v>
      </c>
      <c r="C3228" t="s">
        <v>432</v>
      </c>
      <c r="D3228" t="s">
        <v>728</v>
      </c>
      <c r="E3228" t="s">
        <v>839</v>
      </c>
      <c r="F3228">
        <v>3</v>
      </c>
      <c r="G3228">
        <v>0</v>
      </c>
      <c r="H3228" t="s">
        <v>861</v>
      </c>
      <c r="I3228" t="str">
        <f>VLOOKUP(C3228,Customers!A:C,2,FALSE)&amp;" "&amp;VLOOKUP(C3228,Customers!A:C,3,FALSE)</f>
        <v>Jamie Webb</v>
      </c>
      <c r="J3228" t="str">
        <f>VLOOKUP(D3228,Products!A:C,2,FALSE)</f>
        <v>Company Fruits</v>
      </c>
      <c r="K3228" t="str">
        <f>VLOOKUP(D3228,Products!A:C,3,FALSE)</f>
        <v>Groceries</v>
      </c>
      <c r="L3228" t="str">
        <f>VLOOKUP(E3228,Stores!A:B,2,FALSE)</f>
        <v>MegaMart New Michele</v>
      </c>
      <c r="M3228">
        <f>VLOOKUP(D3228,Products!A:E,5,FALSE)</f>
        <v>318.05</v>
      </c>
      <c r="N3228" s="5">
        <f t="shared" si="50"/>
        <v>954.15000000000009</v>
      </c>
    </row>
    <row r="3229" spans="1:14" x14ac:dyDescent="0.3">
      <c r="A3229" t="s">
        <v>4085</v>
      </c>
      <c r="B3229" s="2">
        <v>45233</v>
      </c>
      <c r="C3229" t="s">
        <v>612</v>
      </c>
      <c r="D3229" t="s">
        <v>792</v>
      </c>
      <c r="E3229" t="s">
        <v>846</v>
      </c>
      <c r="F3229">
        <v>3</v>
      </c>
      <c r="G3229">
        <v>0.15</v>
      </c>
      <c r="H3229" t="s">
        <v>855</v>
      </c>
      <c r="I3229" t="str">
        <f>VLOOKUP(C3229,Customers!A:C,2,FALSE)&amp;" "&amp;VLOOKUP(C3229,Customers!A:C,3,FALSE)</f>
        <v>Michelle Smith</v>
      </c>
      <c r="J3229" t="str">
        <f>VLOOKUP(D3229,Products!A:C,2,FALSE)</f>
        <v>Beat Accessories</v>
      </c>
      <c r="K3229" t="str">
        <f>VLOOKUP(D3229,Products!A:C,3,FALSE)</f>
        <v>Fashion</v>
      </c>
      <c r="L3229" t="str">
        <f>VLOOKUP(E3229,Stores!A:B,2,FALSE)</f>
        <v>MegaMart Johnmouth</v>
      </c>
      <c r="M3229">
        <f>VLOOKUP(D3229,Products!A:E,5,FALSE)</f>
        <v>1798.97</v>
      </c>
      <c r="N3229" s="5">
        <f t="shared" si="50"/>
        <v>4587.3734999999997</v>
      </c>
    </row>
    <row r="3230" spans="1:14" x14ac:dyDescent="0.3">
      <c r="A3230" t="s">
        <v>4086</v>
      </c>
      <c r="B3230" s="2">
        <v>45670</v>
      </c>
      <c r="C3230" t="s">
        <v>12</v>
      </c>
      <c r="D3230" t="s">
        <v>742</v>
      </c>
      <c r="E3230" t="s">
        <v>846</v>
      </c>
      <c r="F3230">
        <v>2</v>
      </c>
      <c r="G3230">
        <v>0</v>
      </c>
      <c r="H3230" t="s">
        <v>861</v>
      </c>
      <c r="I3230" t="str">
        <f>VLOOKUP(C3230,Customers!A:C,2,FALSE)&amp;" "&amp;VLOOKUP(C3230,Customers!A:C,3,FALSE)</f>
        <v>Michael Miller</v>
      </c>
      <c r="J3230" t="str">
        <f>VLOOKUP(D3230,Products!A:C,2,FALSE)</f>
        <v>Either Headphones</v>
      </c>
      <c r="K3230" t="str">
        <f>VLOOKUP(D3230,Products!A:C,3,FALSE)</f>
        <v>Electronics</v>
      </c>
      <c r="L3230" t="str">
        <f>VLOOKUP(E3230,Stores!A:B,2,FALSE)</f>
        <v>MegaMart Johnmouth</v>
      </c>
      <c r="M3230">
        <f>VLOOKUP(D3230,Products!A:E,5,FALSE)</f>
        <v>248.57</v>
      </c>
      <c r="N3230" s="5">
        <f t="shared" si="50"/>
        <v>497.14</v>
      </c>
    </row>
    <row r="3231" spans="1:14" x14ac:dyDescent="0.3">
      <c r="A3231" t="s">
        <v>4087</v>
      </c>
      <c r="B3231" s="2">
        <v>45249</v>
      </c>
      <c r="C3231" t="s">
        <v>432</v>
      </c>
      <c r="D3231" t="s">
        <v>745</v>
      </c>
      <c r="E3231" t="s">
        <v>835</v>
      </c>
      <c r="F3231">
        <v>4</v>
      </c>
      <c r="G3231">
        <v>0</v>
      </c>
      <c r="H3231" t="s">
        <v>858</v>
      </c>
      <c r="I3231" t="str">
        <f>VLOOKUP(C3231,Customers!A:C,2,FALSE)&amp;" "&amp;VLOOKUP(C3231,Customers!A:C,3,FALSE)</f>
        <v>Jamie Webb</v>
      </c>
      <c r="J3231" t="str">
        <f>VLOOKUP(D3231,Products!A:C,2,FALSE)</f>
        <v>Above Camera</v>
      </c>
      <c r="K3231" t="str">
        <f>VLOOKUP(D3231,Products!A:C,3,FALSE)</f>
        <v>Electronics</v>
      </c>
      <c r="L3231" t="str">
        <f>VLOOKUP(E3231,Stores!A:B,2,FALSE)</f>
        <v>MegaMart Peckmouth</v>
      </c>
      <c r="M3231">
        <f>VLOOKUP(D3231,Products!A:E,5,FALSE)</f>
        <v>1193.0899999999999</v>
      </c>
      <c r="N3231" s="5">
        <f t="shared" si="50"/>
        <v>4772.3599999999997</v>
      </c>
    </row>
    <row r="3232" spans="1:14" x14ac:dyDescent="0.3">
      <c r="A3232" t="s">
        <v>4088</v>
      </c>
      <c r="B3232" s="2">
        <v>45429</v>
      </c>
      <c r="C3232" t="s">
        <v>55</v>
      </c>
      <c r="D3232" t="s">
        <v>776</v>
      </c>
      <c r="E3232" t="s">
        <v>831</v>
      </c>
      <c r="F3232">
        <v>3</v>
      </c>
      <c r="G3232">
        <v>0.15</v>
      </c>
      <c r="H3232" t="s">
        <v>865</v>
      </c>
      <c r="I3232" t="str">
        <f>VLOOKUP(C3232,Customers!A:C,2,FALSE)&amp;" "&amp;VLOOKUP(C3232,Customers!A:C,3,FALSE)</f>
        <v>Robert Anderson</v>
      </c>
      <c r="J3232" t="str">
        <f>VLOOKUP(D3232,Products!A:C,2,FALSE)</f>
        <v>Little Watches</v>
      </c>
      <c r="K3232" t="str">
        <f>VLOOKUP(D3232,Products!A:C,3,FALSE)</f>
        <v>Fashion</v>
      </c>
      <c r="L3232" t="str">
        <f>VLOOKUP(E3232,Stores!A:B,2,FALSE)</f>
        <v>MegaMart Jimenezborough</v>
      </c>
      <c r="M3232">
        <f>VLOOKUP(D3232,Products!A:E,5,FALSE)</f>
        <v>429.15</v>
      </c>
      <c r="N3232" s="5">
        <f t="shared" si="50"/>
        <v>1094.3324999999998</v>
      </c>
    </row>
    <row r="3233" spans="1:14" x14ac:dyDescent="0.3">
      <c r="A3233" t="s">
        <v>4089</v>
      </c>
      <c r="B3233" s="2">
        <v>45693</v>
      </c>
      <c r="C3233" t="s">
        <v>472</v>
      </c>
      <c r="D3233" t="s">
        <v>753</v>
      </c>
      <c r="E3233" t="s">
        <v>839</v>
      </c>
      <c r="F3233">
        <v>5</v>
      </c>
      <c r="G3233">
        <v>0</v>
      </c>
      <c r="H3233" t="s">
        <v>858</v>
      </c>
      <c r="I3233" t="str">
        <f>VLOOKUP(C3233,Customers!A:C,2,FALSE)&amp;" "&amp;VLOOKUP(C3233,Customers!A:C,3,FALSE)</f>
        <v>Gary Taylor</v>
      </c>
      <c r="J3233" t="str">
        <f>VLOOKUP(D3233,Products!A:C,2,FALSE)</f>
        <v>Whether Bags</v>
      </c>
      <c r="K3233" t="str">
        <f>VLOOKUP(D3233,Products!A:C,3,FALSE)</f>
        <v>Fashion</v>
      </c>
      <c r="L3233" t="str">
        <f>VLOOKUP(E3233,Stores!A:B,2,FALSE)</f>
        <v>MegaMart New Michele</v>
      </c>
      <c r="M3233">
        <f>VLOOKUP(D3233,Products!A:E,5,FALSE)</f>
        <v>270.45</v>
      </c>
      <c r="N3233" s="5">
        <f t="shared" si="50"/>
        <v>1352.25</v>
      </c>
    </row>
    <row r="3234" spans="1:14" x14ac:dyDescent="0.3">
      <c r="A3234" t="s">
        <v>4090</v>
      </c>
      <c r="B3234" s="2">
        <v>45852</v>
      </c>
      <c r="C3234" t="s">
        <v>539</v>
      </c>
      <c r="D3234" t="s">
        <v>734</v>
      </c>
      <c r="E3234" t="s">
        <v>835</v>
      </c>
      <c r="F3234">
        <v>5</v>
      </c>
      <c r="G3234">
        <v>0.1</v>
      </c>
      <c r="H3234" t="s">
        <v>865</v>
      </c>
      <c r="I3234" t="str">
        <f>VLOOKUP(C3234,Customers!A:C,2,FALSE)&amp;" "&amp;VLOOKUP(C3234,Customers!A:C,3,FALSE)</f>
        <v>Melissa Torres</v>
      </c>
      <c r="J3234" t="str">
        <f>VLOOKUP(D3234,Products!A:C,2,FALSE)</f>
        <v>Recognize Footwear</v>
      </c>
      <c r="K3234" t="str">
        <f>VLOOKUP(D3234,Products!A:C,3,FALSE)</f>
        <v>Fashion</v>
      </c>
      <c r="L3234" t="str">
        <f>VLOOKUP(E3234,Stores!A:B,2,FALSE)</f>
        <v>MegaMart Peckmouth</v>
      </c>
      <c r="M3234">
        <f>VLOOKUP(D3234,Products!A:E,5,FALSE)</f>
        <v>109.78</v>
      </c>
      <c r="N3234" s="5">
        <f t="shared" si="50"/>
        <v>494.01</v>
      </c>
    </row>
    <row r="3235" spans="1:14" x14ac:dyDescent="0.3">
      <c r="A3235" t="s">
        <v>4091</v>
      </c>
      <c r="B3235" s="2">
        <v>45282</v>
      </c>
      <c r="C3235" t="s">
        <v>234</v>
      </c>
      <c r="D3235" t="s">
        <v>757</v>
      </c>
      <c r="E3235" t="s">
        <v>842</v>
      </c>
      <c r="F3235">
        <v>5</v>
      </c>
      <c r="G3235">
        <v>0.1</v>
      </c>
      <c r="H3235" t="s">
        <v>861</v>
      </c>
      <c r="I3235" t="str">
        <f>VLOOKUP(C3235,Customers!A:C,2,FALSE)&amp;" "&amp;VLOOKUP(C3235,Customers!A:C,3,FALSE)</f>
        <v>Heather Russell</v>
      </c>
      <c r="J3235" t="str">
        <f>VLOOKUP(D3235,Products!A:C,2,FALSE)</f>
        <v>Find Headphones</v>
      </c>
      <c r="K3235" t="str">
        <f>VLOOKUP(D3235,Products!A:C,3,FALSE)</f>
        <v>Electronics</v>
      </c>
      <c r="L3235" t="str">
        <f>VLOOKUP(E3235,Stores!A:B,2,FALSE)</f>
        <v>MegaMart Brianahaven</v>
      </c>
      <c r="M3235">
        <f>VLOOKUP(D3235,Products!A:E,5,FALSE)</f>
        <v>1246.1099999999999</v>
      </c>
      <c r="N3235" s="5">
        <f t="shared" si="50"/>
        <v>5607.4949999999999</v>
      </c>
    </row>
    <row r="3236" spans="1:14" x14ac:dyDescent="0.3">
      <c r="A3236" t="s">
        <v>4092</v>
      </c>
      <c r="B3236" s="2">
        <v>45420</v>
      </c>
      <c r="C3236" t="s">
        <v>509</v>
      </c>
      <c r="D3236" t="s">
        <v>736</v>
      </c>
      <c r="E3236" t="s">
        <v>835</v>
      </c>
      <c r="F3236">
        <v>1</v>
      </c>
      <c r="G3236">
        <v>0.15</v>
      </c>
      <c r="H3236" t="s">
        <v>865</v>
      </c>
      <c r="I3236" t="str">
        <f>VLOOKUP(C3236,Customers!A:C,2,FALSE)&amp;" "&amp;VLOOKUP(C3236,Customers!A:C,3,FALSE)</f>
        <v>Stacy Williams</v>
      </c>
      <c r="J3236" t="str">
        <f>VLOOKUP(D3236,Products!A:C,2,FALSE)</f>
        <v>Us Snacks</v>
      </c>
      <c r="K3236" t="str">
        <f>VLOOKUP(D3236,Products!A:C,3,FALSE)</f>
        <v>Groceries</v>
      </c>
      <c r="L3236" t="str">
        <f>VLOOKUP(E3236,Stores!A:B,2,FALSE)</f>
        <v>MegaMart Peckmouth</v>
      </c>
      <c r="M3236">
        <f>VLOOKUP(D3236,Products!A:E,5,FALSE)</f>
        <v>123.19</v>
      </c>
      <c r="N3236" s="5">
        <f t="shared" si="50"/>
        <v>104.7115</v>
      </c>
    </row>
    <row r="3237" spans="1:14" x14ac:dyDescent="0.3">
      <c r="A3237" t="s">
        <v>4093</v>
      </c>
      <c r="B3237" s="2">
        <v>45833</v>
      </c>
      <c r="C3237" t="s">
        <v>320</v>
      </c>
      <c r="D3237" t="s">
        <v>822</v>
      </c>
      <c r="E3237" t="s">
        <v>835</v>
      </c>
      <c r="F3237">
        <v>4</v>
      </c>
      <c r="G3237">
        <v>0</v>
      </c>
      <c r="H3237" t="s">
        <v>865</v>
      </c>
      <c r="I3237" t="str">
        <f>VLOOKUP(C3237,Customers!A:C,2,FALSE)&amp;" "&amp;VLOOKUP(C3237,Customers!A:C,3,FALSE)</f>
        <v>Juan Ramirez</v>
      </c>
      <c r="J3237" t="str">
        <f>VLOOKUP(D3237,Products!A:C,2,FALSE)</f>
        <v>Nor Bags</v>
      </c>
      <c r="K3237" t="str">
        <f>VLOOKUP(D3237,Products!A:C,3,FALSE)</f>
        <v>Fashion</v>
      </c>
      <c r="L3237" t="str">
        <f>VLOOKUP(E3237,Stores!A:B,2,FALSE)</f>
        <v>MegaMart Peckmouth</v>
      </c>
      <c r="M3237">
        <f>VLOOKUP(D3237,Products!A:E,5,FALSE)</f>
        <v>1216.3599999999999</v>
      </c>
      <c r="N3237" s="5">
        <f t="shared" si="50"/>
        <v>4865.4399999999996</v>
      </c>
    </row>
    <row r="3238" spans="1:14" x14ac:dyDescent="0.3">
      <c r="A3238" t="s">
        <v>4094</v>
      </c>
      <c r="B3238" s="2">
        <v>45605</v>
      </c>
      <c r="C3238" t="s">
        <v>134</v>
      </c>
      <c r="D3238" t="s">
        <v>788</v>
      </c>
      <c r="E3238" t="s">
        <v>839</v>
      </c>
      <c r="F3238">
        <v>2</v>
      </c>
      <c r="G3238">
        <v>0.1</v>
      </c>
      <c r="H3238" t="s">
        <v>855</v>
      </c>
      <c r="I3238" t="str">
        <f>VLOOKUP(C3238,Customers!A:C,2,FALSE)&amp;" "&amp;VLOOKUP(C3238,Customers!A:C,3,FALSE)</f>
        <v>Kari Miller</v>
      </c>
      <c r="J3238" t="str">
        <f>VLOOKUP(D3238,Products!A:C,2,FALSE)</f>
        <v>Foot Snacks</v>
      </c>
      <c r="K3238" t="str">
        <f>VLOOKUP(D3238,Products!A:C,3,FALSE)</f>
        <v>Groceries</v>
      </c>
      <c r="L3238" t="str">
        <f>VLOOKUP(E3238,Stores!A:B,2,FALSE)</f>
        <v>MegaMart New Michele</v>
      </c>
      <c r="M3238">
        <f>VLOOKUP(D3238,Products!A:E,5,FALSE)</f>
        <v>1095.72</v>
      </c>
      <c r="N3238" s="5">
        <f t="shared" si="50"/>
        <v>1972.296</v>
      </c>
    </row>
    <row r="3239" spans="1:14" x14ac:dyDescent="0.3">
      <c r="A3239" t="s">
        <v>4095</v>
      </c>
      <c r="B3239" s="2">
        <v>45318</v>
      </c>
      <c r="C3239" t="s">
        <v>399</v>
      </c>
      <c r="D3239" t="s">
        <v>745</v>
      </c>
      <c r="E3239" t="s">
        <v>835</v>
      </c>
      <c r="F3239">
        <v>4</v>
      </c>
      <c r="G3239">
        <v>0.05</v>
      </c>
      <c r="H3239" t="s">
        <v>861</v>
      </c>
      <c r="I3239" t="str">
        <f>VLOOKUP(C3239,Customers!A:C,2,FALSE)&amp;" "&amp;VLOOKUP(C3239,Customers!A:C,3,FALSE)</f>
        <v>Victoria Hansen</v>
      </c>
      <c r="J3239" t="str">
        <f>VLOOKUP(D3239,Products!A:C,2,FALSE)</f>
        <v>Above Camera</v>
      </c>
      <c r="K3239" t="str">
        <f>VLOOKUP(D3239,Products!A:C,3,FALSE)</f>
        <v>Electronics</v>
      </c>
      <c r="L3239" t="str">
        <f>VLOOKUP(E3239,Stores!A:B,2,FALSE)</f>
        <v>MegaMart Peckmouth</v>
      </c>
      <c r="M3239">
        <f>VLOOKUP(D3239,Products!A:E,5,FALSE)</f>
        <v>1193.0899999999999</v>
      </c>
      <c r="N3239" s="5">
        <f t="shared" si="50"/>
        <v>4533.7419999999993</v>
      </c>
    </row>
    <row r="3240" spans="1:14" x14ac:dyDescent="0.3">
      <c r="A3240" t="s">
        <v>4096</v>
      </c>
      <c r="B3240" s="2">
        <v>45764</v>
      </c>
      <c r="C3240" t="s">
        <v>351</v>
      </c>
      <c r="D3240" t="s">
        <v>753</v>
      </c>
      <c r="E3240" t="s">
        <v>831</v>
      </c>
      <c r="F3240">
        <v>3</v>
      </c>
      <c r="G3240">
        <v>0.1</v>
      </c>
      <c r="H3240" t="s">
        <v>865</v>
      </c>
      <c r="I3240" t="str">
        <f>VLOOKUP(C3240,Customers!A:C,2,FALSE)&amp;" "&amp;VLOOKUP(C3240,Customers!A:C,3,FALSE)</f>
        <v>Stanley Brown</v>
      </c>
      <c r="J3240" t="str">
        <f>VLOOKUP(D3240,Products!A:C,2,FALSE)</f>
        <v>Whether Bags</v>
      </c>
      <c r="K3240" t="str">
        <f>VLOOKUP(D3240,Products!A:C,3,FALSE)</f>
        <v>Fashion</v>
      </c>
      <c r="L3240" t="str">
        <f>VLOOKUP(E3240,Stores!A:B,2,FALSE)</f>
        <v>MegaMart Jimenezborough</v>
      </c>
      <c r="M3240">
        <f>VLOOKUP(D3240,Products!A:E,5,FALSE)</f>
        <v>270.45</v>
      </c>
      <c r="N3240" s="5">
        <f t="shared" si="50"/>
        <v>730.21499999999992</v>
      </c>
    </row>
    <row r="3241" spans="1:14" x14ac:dyDescent="0.3">
      <c r="A3241" t="s">
        <v>4097</v>
      </c>
      <c r="B3241" s="2">
        <v>45391</v>
      </c>
      <c r="C3241" t="s">
        <v>81</v>
      </c>
      <c r="D3241" t="s">
        <v>764</v>
      </c>
      <c r="E3241" t="s">
        <v>835</v>
      </c>
      <c r="F3241">
        <v>1</v>
      </c>
      <c r="G3241">
        <v>0</v>
      </c>
      <c r="H3241" t="s">
        <v>861</v>
      </c>
      <c r="I3241" t="str">
        <f>VLOOKUP(C3241,Customers!A:C,2,FALSE)&amp;" "&amp;VLOOKUP(C3241,Customers!A:C,3,FALSE)</f>
        <v>Ryan Cole</v>
      </c>
      <c r="J3241" t="str">
        <f>VLOOKUP(D3241,Products!A:C,2,FALSE)</f>
        <v>Simple Accessories</v>
      </c>
      <c r="K3241" t="str">
        <f>VLOOKUP(D3241,Products!A:C,3,FALSE)</f>
        <v>Fashion</v>
      </c>
      <c r="L3241" t="str">
        <f>VLOOKUP(E3241,Stores!A:B,2,FALSE)</f>
        <v>MegaMart Peckmouth</v>
      </c>
      <c r="M3241">
        <f>VLOOKUP(D3241,Products!A:E,5,FALSE)</f>
        <v>323.92</v>
      </c>
      <c r="N3241" s="5">
        <f t="shared" si="50"/>
        <v>323.92</v>
      </c>
    </row>
    <row r="3242" spans="1:14" x14ac:dyDescent="0.3">
      <c r="A3242" t="s">
        <v>4098</v>
      </c>
      <c r="B3242" s="2">
        <v>45270</v>
      </c>
      <c r="C3242" t="s">
        <v>71</v>
      </c>
      <c r="D3242" t="s">
        <v>818</v>
      </c>
      <c r="E3242" t="s">
        <v>839</v>
      </c>
      <c r="F3242">
        <v>2</v>
      </c>
      <c r="G3242">
        <v>0</v>
      </c>
      <c r="H3242" t="s">
        <v>858</v>
      </c>
      <c r="I3242" t="str">
        <f>VLOOKUP(C3242,Customers!A:C,2,FALSE)&amp;" "&amp;VLOOKUP(C3242,Customers!A:C,3,FALSE)</f>
        <v>Vanessa Anderson</v>
      </c>
      <c r="J3242" t="str">
        <f>VLOOKUP(D3242,Products!A:C,2,FALSE)</f>
        <v>Nature Clothing</v>
      </c>
      <c r="K3242" t="str">
        <f>VLOOKUP(D3242,Products!A:C,3,FALSE)</f>
        <v>Fashion</v>
      </c>
      <c r="L3242" t="str">
        <f>VLOOKUP(E3242,Stores!A:B,2,FALSE)</f>
        <v>MegaMart New Michele</v>
      </c>
      <c r="M3242">
        <f>VLOOKUP(D3242,Products!A:E,5,FALSE)</f>
        <v>1165.3699999999999</v>
      </c>
      <c r="N3242" s="5">
        <f t="shared" si="50"/>
        <v>2330.7399999999998</v>
      </c>
    </row>
    <row r="3243" spans="1:14" x14ac:dyDescent="0.3">
      <c r="A3243" t="s">
        <v>4099</v>
      </c>
      <c r="B3243" s="2">
        <v>45480</v>
      </c>
      <c r="C3243" t="s">
        <v>327</v>
      </c>
      <c r="D3243" t="s">
        <v>742</v>
      </c>
      <c r="E3243" t="s">
        <v>831</v>
      </c>
      <c r="F3243">
        <v>5</v>
      </c>
      <c r="G3243">
        <v>0.15</v>
      </c>
      <c r="H3243" t="s">
        <v>865</v>
      </c>
      <c r="I3243" t="str">
        <f>VLOOKUP(C3243,Customers!A:C,2,FALSE)&amp;" "&amp;VLOOKUP(C3243,Customers!A:C,3,FALSE)</f>
        <v>Laurie Mason</v>
      </c>
      <c r="J3243" t="str">
        <f>VLOOKUP(D3243,Products!A:C,2,FALSE)</f>
        <v>Either Headphones</v>
      </c>
      <c r="K3243" t="str">
        <f>VLOOKUP(D3243,Products!A:C,3,FALSE)</f>
        <v>Electronics</v>
      </c>
      <c r="L3243" t="str">
        <f>VLOOKUP(E3243,Stores!A:B,2,FALSE)</f>
        <v>MegaMart Jimenezborough</v>
      </c>
      <c r="M3243">
        <f>VLOOKUP(D3243,Products!A:E,5,FALSE)</f>
        <v>248.57</v>
      </c>
      <c r="N3243" s="5">
        <f t="shared" si="50"/>
        <v>1056.4224999999999</v>
      </c>
    </row>
    <row r="3244" spans="1:14" x14ac:dyDescent="0.3">
      <c r="A3244" t="s">
        <v>4100</v>
      </c>
      <c r="B3244" s="2">
        <v>45710</v>
      </c>
      <c r="C3244" t="s">
        <v>458</v>
      </c>
      <c r="D3244" t="s">
        <v>826</v>
      </c>
      <c r="E3244" t="s">
        <v>846</v>
      </c>
      <c r="F3244">
        <v>3</v>
      </c>
      <c r="G3244">
        <v>0</v>
      </c>
      <c r="H3244" t="s">
        <v>855</v>
      </c>
      <c r="I3244" t="str">
        <f>VLOOKUP(C3244,Customers!A:C,2,FALSE)&amp;" "&amp;VLOOKUP(C3244,Customers!A:C,3,FALSE)</f>
        <v>Chad Roberts</v>
      </c>
      <c r="J3244" t="str">
        <f>VLOOKUP(D3244,Products!A:C,2,FALSE)</f>
        <v>Maybe Footwear</v>
      </c>
      <c r="K3244" t="str">
        <f>VLOOKUP(D3244,Products!A:C,3,FALSE)</f>
        <v>Fashion</v>
      </c>
      <c r="L3244" t="str">
        <f>VLOOKUP(E3244,Stores!A:B,2,FALSE)</f>
        <v>MegaMart Johnmouth</v>
      </c>
      <c r="M3244">
        <f>VLOOKUP(D3244,Products!A:E,5,FALSE)</f>
        <v>1044.6400000000001</v>
      </c>
      <c r="N3244" s="5">
        <f t="shared" si="50"/>
        <v>3133.92</v>
      </c>
    </row>
    <row r="3245" spans="1:14" x14ac:dyDescent="0.3">
      <c r="A3245" t="s">
        <v>4101</v>
      </c>
      <c r="B3245" s="2">
        <v>45758</v>
      </c>
      <c r="C3245" t="s">
        <v>97</v>
      </c>
      <c r="D3245" t="s">
        <v>722</v>
      </c>
      <c r="E3245" t="s">
        <v>839</v>
      </c>
      <c r="F3245">
        <v>2</v>
      </c>
      <c r="G3245">
        <v>0.15</v>
      </c>
      <c r="H3245" t="s">
        <v>861</v>
      </c>
      <c r="I3245" t="str">
        <f>VLOOKUP(C3245,Customers!A:C,2,FALSE)&amp;" "&amp;VLOOKUP(C3245,Customers!A:C,3,FALSE)</f>
        <v>Molly Murray</v>
      </c>
      <c r="J3245" t="str">
        <f>VLOOKUP(D3245,Products!A:C,2,FALSE)</f>
        <v>Four Accessories</v>
      </c>
      <c r="K3245" t="str">
        <f>VLOOKUP(D3245,Products!A:C,3,FALSE)</f>
        <v>Fashion</v>
      </c>
      <c r="L3245" t="str">
        <f>VLOOKUP(E3245,Stores!A:B,2,FALSE)</f>
        <v>MegaMart New Michele</v>
      </c>
      <c r="M3245">
        <f>VLOOKUP(D3245,Products!A:E,5,FALSE)</f>
        <v>1853.77</v>
      </c>
      <c r="N3245" s="5">
        <f t="shared" si="50"/>
        <v>3151.4090000000001</v>
      </c>
    </row>
    <row r="3246" spans="1:14" x14ac:dyDescent="0.3">
      <c r="A3246" t="s">
        <v>4102</v>
      </c>
      <c r="B3246" s="2">
        <v>45218</v>
      </c>
      <c r="C3246" t="s">
        <v>509</v>
      </c>
      <c r="D3246" t="s">
        <v>792</v>
      </c>
      <c r="E3246" t="s">
        <v>839</v>
      </c>
      <c r="F3246">
        <v>1</v>
      </c>
      <c r="G3246">
        <v>0</v>
      </c>
      <c r="H3246" t="s">
        <v>865</v>
      </c>
      <c r="I3246" t="str">
        <f>VLOOKUP(C3246,Customers!A:C,2,FALSE)&amp;" "&amp;VLOOKUP(C3246,Customers!A:C,3,FALSE)</f>
        <v>Stacy Williams</v>
      </c>
      <c r="J3246" t="str">
        <f>VLOOKUP(D3246,Products!A:C,2,FALSE)</f>
        <v>Beat Accessories</v>
      </c>
      <c r="K3246" t="str">
        <f>VLOOKUP(D3246,Products!A:C,3,FALSE)</f>
        <v>Fashion</v>
      </c>
      <c r="L3246" t="str">
        <f>VLOOKUP(E3246,Stores!A:B,2,FALSE)</f>
        <v>MegaMart New Michele</v>
      </c>
      <c r="M3246">
        <f>VLOOKUP(D3246,Products!A:E,5,FALSE)</f>
        <v>1798.97</v>
      </c>
      <c r="N3246" s="5">
        <f t="shared" si="50"/>
        <v>1798.97</v>
      </c>
    </row>
    <row r="3247" spans="1:14" x14ac:dyDescent="0.3">
      <c r="A3247" t="s">
        <v>4103</v>
      </c>
      <c r="B3247" s="2">
        <v>45628</v>
      </c>
      <c r="C3247" t="s">
        <v>163</v>
      </c>
      <c r="D3247" t="s">
        <v>796</v>
      </c>
      <c r="E3247" t="s">
        <v>835</v>
      </c>
      <c r="F3247">
        <v>3</v>
      </c>
      <c r="G3247">
        <v>0.05</v>
      </c>
      <c r="H3247" t="s">
        <v>861</v>
      </c>
      <c r="I3247" t="str">
        <f>VLOOKUP(C3247,Customers!A:C,2,FALSE)&amp;" "&amp;VLOOKUP(C3247,Customers!A:C,3,FALSE)</f>
        <v>Anna Andrews</v>
      </c>
      <c r="J3247" t="str">
        <f>VLOOKUP(D3247,Products!A:C,2,FALSE)</f>
        <v>Chair Laptop</v>
      </c>
      <c r="K3247" t="str">
        <f>VLOOKUP(D3247,Products!A:C,3,FALSE)</f>
        <v>Electronics</v>
      </c>
      <c r="L3247" t="str">
        <f>VLOOKUP(E3247,Stores!A:B,2,FALSE)</f>
        <v>MegaMart Peckmouth</v>
      </c>
      <c r="M3247">
        <f>VLOOKUP(D3247,Products!A:E,5,FALSE)</f>
        <v>1562.43</v>
      </c>
      <c r="N3247" s="5">
        <f t="shared" si="50"/>
        <v>4452.9254999999994</v>
      </c>
    </row>
    <row r="3248" spans="1:14" x14ac:dyDescent="0.3">
      <c r="A3248" t="s">
        <v>4104</v>
      </c>
      <c r="B3248" s="2">
        <v>45655</v>
      </c>
      <c r="C3248" t="s">
        <v>454</v>
      </c>
      <c r="D3248" t="s">
        <v>786</v>
      </c>
      <c r="E3248" t="s">
        <v>839</v>
      </c>
      <c r="F3248">
        <v>1</v>
      </c>
      <c r="G3248">
        <v>0.1</v>
      </c>
      <c r="H3248" t="s">
        <v>858</v>
      </c>
      <c r="I3248" t="str">
        <f>VLOOKUP(C3248,Customers!A:C,2,FALSE)&amp;" "&amp;VLOOKUP(C3248,Customers!A:C,3,FALSE)</f>
        <v>Peter Edwards</v>
      </c>
      <c r="J3248" t="str">
        <f>VLOOKUP(D3248,Products!A:C,2,FALSE)</f>
        <v>National Watches</v>
      </c>
      <c r="K3248" t="str">
        <f>VLOOKUP(D3248,Products!A:C,3,FALSE)</f>
        <v>Fashion</v>
      </c>
      <c r="L3248" t="str">
        <f>VLOOKUP(E3248,Stores!A:B,2,FALSE)</f>
        <v>MegaMart New Michele</v>
      </c>
      <c r="M3248">
        <f>VLOOKUP(D3248,Products!A:E,5,FALSE)</f>
        <v>29.24</v>
      </c>
      <c r="N3248" s="5">
        <f t="shared" si="50"/>
        <v>26.315999999999999</v>
      </c>
    </row>
    <row r="3249" spans="1:14" x14ac:dyDescent="0.3">
      <c r="A3249" t="s">
        <v>4105</v>
      </c>
      <c r="B3249" s="2">
        <v>45179</v>
      </c>
      <c r="C3249" t="s">
        <v>683</v>
      </c>
      <c r="D3249" t="s">
        <v>802</v>
      </c>
      <c r="E3249" t="s">
        <v>842</v>
      </c>
      <c r="F3249">
        <v>1</v>
      </c>
      <c r="G3249">
        <v>0.15</v>
      </c>
      <c r="H3249" t="s">
        <v>861</v>
      </c>
      <c r="I3249" t="str">
        <f>VLOOKUP(C3249,Customers!A:C,2,FALSE)&amp;" "&amp;VLOOKUP(C3249,Customers!A:C,3,FALSE)</f>
        <v>Ann West</v>
      </c>
      <c r="J3249" t="str">
        <f>VLOOKUP(D3249,Products!A:C,2,FALSE)</f>
        <v>Stage Footwear</v>
      </c>
      <c r="K3249" t="str">
        <f>VLOOKUP(D3249,Products!A:C,3,FALSE)</f>
        <v>Fashion</v>
      </c>
      <c r="L3249" t="str">
        <f>VLOOKUP(E3249,Stores!A:B,2,FALSE)</f>
        <v>MegaMart Brianahaven</v>
      </c>
      <c r="M3249">
        <f>VLOOKUP(D3249,Products!A:E,5,FALSE)</f>
        <v>366.93</v>
      </c>
      <c r="N3249" s="5">
        <f t="shared" si="50"/>
        <v>311.89049999999997</v>
      </c>
    </row>
    <row r="3250" spans="1:14" x14ac:dyDescent="0.3">
      <c r="A3250" t="s">
        <v>4106</v>
      </c>
      <c r="B3250" s="2">
        <v>45353</v>
      </c>
      <c r="C3250" t="s">
        <v>167</v>
      </c>
      <c r="D3250" t="s">
        <v>814</v>
      </c>
      <c r="E3250" t="s">
        <v>835</v>
      </c>
      <c r="F3250">
        <v>5</v>
      </c>
      <c r="G3250">
        <v>0.15</v>
      </c>
      <c r="H3250" t="s">
        <v>865</v>
      </c>
      <c r="I3250" t="str">
        <f>VLOOKUP(C3250,Customers!A:C,2,FALSE)&amp;" "&amp;VLOOKUP(C3250,Customers!A:C,3,FALSE)</f>
        <v>Kenneth Allen</v>
      </c>
      <c r="J3250" t="str">
        <f>VLOOKUP(D3250,Products!A:C,2,FALSE)</f>
        <v>Least Accessories</v>
      </c>
      <c r="K3250" t="str">
        <f>VLOOKUP(D3250,Products!A:C,3,FALSE)</f>
        <v>Fashion</v>
      </c>
      <c r="L3250" t="str">
        <f>VLOOKUP(E3250,Stores!A:B,2,FALSE)</f>
        <v>MegaMart Peckmouth</v>
      </c>
      <c r="M3250">
        <f>VLOOKUP(D3250,Products!A:E,5,FALSE)</f>
        <v>1286.55</v>
      </c>
      <c r="N3250" s="5">
        <f t="shared" si="50"/>
        <v>5467.8374999999996</v>
      </c>
    </row>
    <row r="3251" spans="1:14" x14ac:dyDescent="0.3">
      <c r="A3251" t="s">
        <v>4107</v>
      </c>
      <c r="B3251" s="2">
        <v>45422</v>
      </c>
      <c r="C3251" t="s">
        <v>673</v>
      </c>
      <c r="D3251" t="s">
        <v>788</v>
      </c>
      <c r="E3251" t="s">
        <v>835</v>
      </c>
      <c r="F3251">
        <v>4</v>
      </c>
      <c r="G3251">
        <v>0.15</v>
      </c>
      <c r="H3251" t="s">
        <v>858</v>
      </c>
      <c r="I3251" t="str">
        <f>VLOOKUP(C3251,Customers!A:C,2,FALSE)&amp;" "&amp;VLOOKUP(C3251,Customers!A:C,3,FALSE)</f>
        <v>Karen Quinn</v>
      </c>
      <c r="J3251" t="str">
        <f>VLOOKUP(D3251,Products!A:C,2,FALSE)</f>
        <v>Foot Snacks</v>
      </c>
      <c r="K3251" t="str">
        <f>VLOOKUP(D3251,Products!A:C,3,FALSE)</f>
        <v>Groceries</v>
      </c>
      <c r="L3251" t="str">
        <f>VLOOKUP(E3251,Stores!A:B,2,FALSE)</f>
        <v>MegaMart Peckmouth</v>
      </c>
      <c r="M3251">
        <f>VLOOKUP(D3251,Products!A:E,5,FALSE)</f>
        <v>1095.72</v>
      </c>
      <c r="N3251" s="5">
        <f t="shared" si="50"/>
        <v>3725.4479999999999</v>
      </c>
    </row>
    <row r="3252" spans="1:14" x14ac:dyDescent="0.3">
      <c r="A3252" t="s">
        <v>4108</v>
      </c>
      <c r="B3252" s="2">
        <v>45235</v>
      </c>
      <c r="C3252" t="s">
        <v>313</v>
      </c>
      <c r="D3252" t="s">
        <v>812</v>
      </c>
      <c r="E3252" t="s">
        <v>839</v>
      </c>
      <c r="F3252">
        <v>2</v>
      </c>
      <c r="G3252">
        <v>0</v>
      </c>
      <c r="H3252" t="s">
        <v>865</v>
      </c>
      <c r="I3252" t="str">
        <f>VLOOKUP(C3252,Customers!A:C,2,FALSE)&amp;" "&amp;VLOOKUP(C3252,Customers!A:C,3,FALSE)</f>
        <v>Jeremy Robles</v>
      </c>
      <c r="J3252" t="str">
        <f>VLOOKUP(D3252,Products!A:C,2,FALSE)</f>
        <v>Soon Accessories</v>
      </c>
      <c r="K3252" t="str">
        <f>VLOOKUP(D3252,Products!A:C,3,FALSE)</f>
        <v>Fashion</v>
      </c>
      <c r="L3252" t="str">
        <f>VLOOKUP(E3252,Stores!A:B,2,FALSE)</f>
        <v>MegaMart New Michele</v>
      </c>
      <c r="M3252">
        <f>VLOOKUP(D3252,Products!A:E,5,FALSE)</f>
        <v>564.41999999999996</v>
      </c>
      <c r="N3252" s="5">
        <f t="shared" si="50"/>
        <v>1128.8399999999999</v>
      </c>
    </row>
    <row r="3253" spans="1:14" x14ac:dyDescent="0.3">
      <c r="A3253" t="s">
        <v>4109</v>
      </c>
      <c r="B3253" s="2">
        <v>45428</v>
      </c>
      <c r="C3253" t="s">
        <v>432</v>
      </c>
      <c r="D3253" t="s">
        <v>790</v>
      </c>
      <c r="E3253" t="s">
        <v>835</v>
      </c>
      <c r="F3253">
        <v>1</v>
      </c>
      <c r="G3253">
        <v>0.1</v>
      </c>
      <c r="H3253" t="s">
        <v>865</v>
      </c>
      <c r="I3253" t="str">
        <f>VLOOKUP(C3253,Customers!A:C,2,FALSE)&amp;" "&amp;VLOOKUP(C3253,Customers!A:C,3,FALSE)</f>
        <v>Jamie Webb</v>
      </c>
      <c r="J3253" t="str">
        <f>VLOOKUP(D3253,Products!A:C,2,FALSE)</f>
        <v>Difficult Vegetables</v>
      </c>
      <c r="K3253" t="str">
        <f>VLOOKUP(D3253,Products!A:C,3,FALSE)</f>
        <v>Groceries</v>
      </c>
      <c r="L3253" t="str">
        <f>VLOOKUP(E3253,Stores!A:B,2,FALSE)</f>
        <v>MegaMart Peckmouth</v>
      </c>
      <c r="M3253">
        <f>VLOOKUP(D3253,Products!A:E,5,FALSE)</f>
        <v>304.70999999999998</v>
      </c>
      <c r="N3253" s="5">
        <f t="shared" si="50"/>
        <v>274.23899999999998</v>
      </c>
    </row>
    <row r="3254" spans="1:14" x14ac:dyDescent="0.3">
      <c r="A3254" t="s">
        <v>4110</v>
      </c>
      <c r="B3254" s="2">
        <v>45545</v>
      </c>
      <c r="C3254" t="s">
        <v>608</v>
      </c>
      <c r="D3254" t="s">
        <v>802</v>
      </c>
      <c r="E3254" t="s">
        <v>839</v>
      </c>
      <c r="F3254">
        <v>3</v>
      </c>
      <c r="G3254">
        <v>0.15</v>
      </c>
      <c r="H3254" t="s">
        <v>865</v>
      </c>
      <c r="I3254" t="str">
        <f>VLOOKUP(C3254,Customers!A:C,2,FALSE)&amp;" "&amp;VLOOKUP(C3254,Customers!A:C,3,FALSE)</f>
        <v>Christina Dominguez</v>
      </c>
      <c r="J3254" t="str">
        <f>VLOOKUP(D3254,Products!A:C,2,FALSE)</f>
        <v>Stage Footwear</v>
      </c>
      <c r="K3254" t="str">
        <f>VLOOKUP(D3254,Products!A:C,3,FALSE)</f>
        <v>Fashion</v>
      </c>
      <c r="L3254" t="str">
        <f>VLOOKUP(E3254,Stores!A:B,2,FALSE)</f>
        <v>MegaMart New Michele</v>
      </c>
      <c r="M3254">
        <f>VLOOKUP(D3254,Products!A:E,5,FALSE)</f>
        <v>366.93</v>
      </c>
      <c r="N3254" s="5">
        <f t="shared" si="50"/>
        <v>935.67149999999992</v>
      </c>
    </row>
    <row r="3255" spans="1:14" x14ac:dyDescent="0.3">
      <c r="A3255" t="s">
        <v>4111</v>
      </c>
      <c r="B3255" s="2">
        <v>45632</v>
      </c>
      <c r="C3255" t="s">
        <v>306</v>
      </c>
      <c r="D3255" t="s">
        <v>742</v>
      </c>
      <c r="E3255" t="s">
        <v>842</v>
      </c>
      <c r="F3255">
        <v>1</v>
      </c>
      <c r="G3255">
        <v>0.05</v>
      </c>
      <c r="H3255" t="s">
        <v>865</v>
      </c>
      <c r="I3255" t="str">
        <f>VLOOKUP(C3255,Customers!A:C,2,FALSE)&amp;" "&amp;VLOOKUP(C3255,Customers!A:C,3,FALSE)</f>
        <v>Sarah Reynolds</v>
      </c>
      <c r="J3255" t="str">
        <f>VLOOKUP(D3255,Products!A:C,2,FALSE)</f>
        <v>Either Headphones</v>
      </c>
      <c r="K3255" t="str">
        <f>VLOOKUP(D3255,Products!A:C,3,FALSE)</f>
        <v>Electronics</v>
      </c>
      <c r="L3255" t="str">
        <f>VLOOKUP(E3255,Stores!A:B,2,FALSE)</f>
        <v>MegaMart Brianahaven</v>
      </c>
      <c r="M3255">
        <f>VLOOKUP(D3255,Products!A:E,5,FALSE)</f>
        <v>248.57</v>
      </c>
      <c r="N3255" s="5">
        <f t="shared" si="50"/>
        <v>236.14149999999998</v>
      </c>
    </row>
    <row r="3256" spans="1:14" x14ac:dyDescent="0.3">
      <c r="A3256" t="s">
        <v>4112</v>
      </c>
      <c r="B3256" s="2">
        <v>45760</v>
      </c>
      <c r="C3256" t="s">
        <v>551</v>
      </c>
      <c r="D3256" t="s">
        <v>800</v>
      </c>
      <c r="E3256" t="s">
        <v>846</v>
      </c>
      <c r="F3256">
        <v>5</v>
      </c>
      <c r="G3256">
        <v>0</v>
      </c>
      <c r="H3256" t="s">
        <v>861</v>
      </c>
      <c r="I3256" t="str">
        <f>VLOOKUP(C3256,Customers!A:C,2,FALSE)&amp;" "&amp;VLOOKUP(C3256,Customers!A:C,3,FALSE)</f>
        <v>Nancy Gordon</v>
      </c>
      <c r="J3256" t="str">
        <f>VLOOKUP(D3256,Products!A:C,2,FALSE)</f>
        <v>Book Television</v>
      </c>
      <c r="K3256" t="str">
        <f>VLOOKUP(D3256,Products!A:C,3,FALSE)</f>
        <v>Electronics</v>
      </c>
      <c r="L3256" t="str">
        <f>VLOOKUP(E3256,Stores!A:B,2,FALSE)</f>
        <v>MegaMart Johnmouth</v>
      </c>
      <c r="M3256">
        <f>VLOOKUP(D3256,Products!A:E,5,FALSE)</f>
        <v>1952.65</v>
      </c>
      <c r="N3256" s="5">
        <f t="shared" si="50"/>
        <v>9763.25</v>
      </c>
    </row>
    <row r="3257" spans="1:14" x14ac:dyDescent="0.3">
      <c r="A3257" t="s">
        <v>4113</v>
      </c>
      <c r="B3257" s="2">
        <v>45303</v>
      </c>
      <c r="C3257" t="s">
        <v>452</v>
      </c>
      <c r="D3257" t="s">
        <v>796</v>
      </c>
      <c r="E3257" t="s">
        <v>842</v>
      </c>
      <c r="F3257">
        <v>5</v>
      </c>
      <c r="G3257">
        <v>0.1</v>
      </c>
      <c r="H3257" t="s">
        <v>865</v>
      </c>
      <c r="I3257" t="str">
        <f>VLOOKUP(C3257,Customers!A:C,2,FALSE)&amp;" "&amp;VLOOKUP(C3257,Customers!A:C,3,FALSE)</f>
        <v>Amy Smith</v>
      </c>
      <c r="J3257" t="str">
        <f>VLOOKUP(D3257,Products!A:C,2,FALSE)</f>
        <v>Chair Laptop</v>
      </c>
      <c r="K3257" t="str">
        <f>VLOOKUP(D3257,Products!A:C,3,FALSE)</f>
        <v>Electronics</v>
      </c>
      <c r="L3257" t="str">
        <f>VLOOKUP(E3257,Stores!A:B,2,FALSE)</f>
        <v>MegaMart Brianahaven</v>
      </c>
      <c r="M3257">
        <f>VLOOKUP(D3257,Products!A:E,5,FALSE)</f>
        <v>1562.43</v>
      </c>
      <c r="N3257" s="5">
        <f t="shared" si="50"/>
        <v>7030.9350000000004</v>
      </c>
    </row>
    <row r="3258" spans="1:14" x14ac:dyDescent="0.3">
      <c r="A3258" t="s">
        <v>4114</v>
      </c>
      <c r="B3258" s="2">
        <v>45561</v>
      </c>
      <c r="C3258" t="s">
        <v>574</v>
      </c>
      <c r="D3258" t="s">
        <v>736</v>
      </c>
      <c r="E3258" t="s">
        <v>831</v>
      </c>
      <c r="F3258">
        <v>3</v>
      </c>
      <c r="G3258">
        <v>0.05</v>
      </c>
      <c r="H3258" t="s">
        <v>855</v>
      </c>
      <c r="I3258" t="str">
        <f>VLOOKUP(C3258,Customers!A:C,2,FALSE)&amp;" "&amp;VLOOKUP(C3258,Customers!A:C,3,FALSE)</f>
        <v>Meagan Macdonald</v>
      </c>
      <c r="J3258" t="str">
        <f>VLOOKUP(D3258,Products!A:C,2,FALSE)</f>
        <v>Us Snacks</v>
      </c>
      <c r="K3258" t="str">
        <f>VLOOKUP(D3258,Products!A:C,3,FALSE)</f>
        <v>Groceries</v>
      </c>
      <c r="L3258" t="str">
        <f>VLOOKUP(E3258,Stores!A:B,2,FALSE)</f>
        <v>MegaMart Jimenezborough</v>
      </c>
      <c r="M3258">
        <f>VLOOKUP(D3258,Products!A:E,5,FALSE)</f>
        <v>123.19</v>
      </c>
      <c r="N3258" s="5">
        <f t="shared" si="50"/>
        <v>351.0915</v>
      </c>
    </row>
    <row r="3259" spans="1:14" x14ac:dyDescent="0.3">
      <c r="A3259" t="s">
        <v>4115</v>
      </c>
      <c r="B3259" s="2">
        <v>45480</v>
      </c>
      <c r="C3259" t="s">
        <v>503</v>
      </c>
      <c r="D3259" t="s">
        <v>764</v>
      </c>
      <c r="E3259" t="s">
        <v>842</v>
      </c>
      <c r="F3259">
        <v>3</v>
      </c>
      <c r="G3259">
        <v>0</v>
      </c>
      <c r="H3259" t="s">
        <v>865</v>
      </c>
      <c r="I3259" t="str">
        <f>VLOOKUP(C3259,Customers!A:C,2,FALSE)&amp;" "&amp;VLOOKUP(C3259,Customers!A:C,3,FALSE)</f>
        <v>Breanna Moore</v>
      </c>
      <c r="J3259" t="str">
        <f>VLOOKUP(D3259,Products!A:C,2,FALSE)</f>
        <v>Simple Accessories</v>
      </c>
      <c r="K3259" t="str">
        <f>VLOOKUP(D3259,Products!A:C,3,FALSE)</f>
        <v>Fashion</v>
      </c>
      <c r="L3259" t="str">
        <f>VLOOKUP(E3259,Stores!A:B,2,FALSE)</f>
        <v>MegaMart Brianahaven</v>
      </c>
      <c r="M3259">
        <f>VLOOKUP(D3259,Products!A:E,5,FALSE)</f>
        <v>323.92</v>
      </c>
      <c r="N3259" s="5">
        <f t="shared" si="50"/>
        <v>971.76</v>
      </c>
    </row>
    <row r="3260" spans="1:14" x14ac:dyDescent="0.3">
      <c r="A3260" t="s">
        <v>4116</v>
      </c>
      <c r="B3260" s="2">
        <v>45848</v>
      </c>
      <c r="C3260" t="s">
        <v>63</v>
      </c>
      <c r="D3260" t="s">
        <v>800</v>
      </c>
      <c r="E3260" t="s">
        <v>839</v>
      </c>
      <c r="F3260">
        <v>2</v>
      </c>
      <c r="G3260">
        <v>0.1</v>
      </c>
      <c r="H3260" t="s">
        <v>858</v>
      </c>
      <c r="I3260" t="str">
        <f>VLOOKUP(C3260,Customers!A:C,2,FALSE)&amp;" "&amp;VLOOKUP(C3260,Customers!A:C,3,FALSE)</f>
        <v>Matthew Molina</v>
      </c>
      <c r="J3260" t="str">
        <f>VLOOKUP(D3260,Products!A:C,2,FALSE)</f>
        <v>Book Television</v>
      </c>
      <c r="K3260" t="str">
        <f>VLOOKUP(D3260,Products!A:C,3,FALSE)</f>
        <v>Electronics</v>
      </c>
      <c r="L3260" t="str">
        <f>VLOOKUP(E3260,Stores!A:B,2,FALSE)</f>
        <v>MegaMart New Michele</v>
      </c>
      <c r="M3260">
        <f>VLOOKUP(D3260,Products!A:E,5,FALSE)</f>
        <v>1952.65</v>
      </c>
      <c r="N3260" s="5">
        <f t="shared" si="50"/>
        <v>3514.7700000000004</v>
      </c>
    </row>
    <row r="3261" spans="1:14" x14ac:dyDescent="0.3">
      <c r="A3261" t="s">
        <v>4117</v>
      </c>
      <c r="B3261" s="2">
        <v>45733</v>
      </c>
      <c r="C3261" t="s">
        <v>155</v>
      </c>
      <c r="D3261" t="s">
        <v>826</v>
      </c>
      <c r="E3261" t="s">
        <v>839</v>
      </c>
      <c r="F3261">
        <v>3</v>
      </c>
      <c r="G3261">
        <v>0.15</v>
      </c>
      <c r="H3261" t="s">
        <v>865</v>
      </c>
      <c r="I3261" t="str">
        <f>VLOOKUP(C3261,Customers!A:C,2,FALSE)&amp;" "&amp;VLOOKUP(C3261,Customers!A:C,3,FALSE)</f>
        <v>Scott Powell</v>
      </c>
      <c r="J3261" t="str">
        <f>VLOOKUP(D3261,Products!A:C,2,FALSE)</f>
        <v>Maybe Footwear</v>
      </c>
      <c r="K3261" t="str">
        <f>VLOOKUP(D3261,Products!A:C,3,FALSE)</f>
        <v>Fashion</v>
      </c>
      <c r="L3261" t="str">
        <f>VLOOKUP(E3261,Stores!A:B,2,FALSE)</f>
        <v>MegaMart New Michele</v>
      </c>
      <c r="M3261">
        <f>VLOOKUP(D3261,Products!A:E,5,FALSE)</f>
        <v>1044.6400000000001</v>
      </c>
      <c r="N3261" s="5">
        <f t="shared" si="50"/>
        <v>2663.8319999999999</v>
      </c>
    </row>
    <row r="3262" spans="1:14" x14ac:dyDescent="0.3">
      <c r="A3262" t="s">
        <v>4118</v>
      </c>
      <c r="B3262" s="2">
        <v>45371</v>
      </c>
      <c r="C3262" t="s">
        <v>498</v>
      </c>
      <c r="D3262" t="s">
        <v>804</v>
      </c>
      <c r="E3262" t="s">
        <v>839</v>
      </c>
      <c r="F3262">
        <v>1</v>
      </c>
      <c r="G3262">
        <v>0.15</v>
      </c>
      <c r="H3262" t="s">
        <v>855</v>
      </c>
      <c r="I3262" t="str">
        <f>VLOOKUP(C3262,Customers!A:C,2,FALSE)&amp;" "&amp;VLOOKUP(C3262,Customers!A:C,3,FALSE)</f>
        <v>Amanda Garcia</v>
      </c>
      <c r="J3262" t="str">
        <f>VLOOKUP(D3262,Products!A:C,2,FALSE)</f>
        <v>Church Clothing</v>
      </c>
      <c r="K3262" t="str">
        <f>VLOOKUP(D3262,Products!A:C,3,FALSE)</f>
        <v>Fashion</v>
      </c>
      <c r="L3262" t="str">
        <f>VLOOKUP(E3262,Stores!A:B,2,FALSE)</f>
        <v>MegaMart New Michele</v>
      </c>
      <c r="M3262">
        <f>VLOOKUP(D3262,Products!A:E,5,FALSE)</f>
        <v>540.94000000000005</v>
      </c>
      <c r="N3262" s="5">
        <f t="shared" si="50"/>
        <v>459.79900000000004</v>
      </c>
    </row>
    <row r="3263" spans="1:14" x14ac:dyDescent="0.3">
      <c r="A3263" t="s">
        <v>4119</v>
      </c>
      <c r="B3263" s="2">
        <v>45608</v>
      </c>
      <c r="C3263" t="s">
        <v>670</v>
      </c>
      <c r="D3263" t="s">
        <v>769</v>
      </c>
      <c r="E3263" t="s">
        <v>839</v>
      </c>
      <c r="F3263">
        <v>4</v>
      </c>
      <c r="G3263">
        <v>0</v>
      </c>
      <c r="H3263" t="s">
        <v>865</v>
      </c>
      <c r="I3263" t="str">
        <f>VLOOKUP(C3263,Customers!A:C,2,FALSE)&amp;" "&amp;VLOOKUP(C3263,Customers!A:C,3,FALSE)</f>
        <v>Daniel Lawson</v>
      </c>
      <c r="J3263" t="str">
        <f>VLOOKUP(D3263,Products!A:C,2,FALSE)</f>
        <v>How Vegetables</v>
      </c>
      <c r="K3263" t="str">
        <f>VLOOKUP(D3263,Products!A:C,3,FALSE)</f>
        <v>Groceries</v>
      </c>
      <c r="L3263" t="str">
        <f>VLOOKUP(E3263,Stores!A:B,2,FALSE)</f>
        <v>MegaMart New Michele</v>
      </c>
      <c r="M3263">
        <f>VLOOKUP(D3263,Products!A:E,5,FALSE)</f>
        <v>25.57</v>
      </c>
      <c r="N3263" s="5">
        <f t="shared" si="50"/>
        <v>102.28</v>
      </c>
    </row>
    <row r="3264" spans="1:14" x14ac:dyDescent="0.3">
      <c r="A3264" t="s">
        <v>4120</v>
      </c>
      <c r="B3264" s="2">
        <v>45737</v>
      </c>
      <c r="C3264" t="s">
        <v>277</v>
      </c>
      <c r="D3264" t="s">
        <v>734</v>
      </c>
      <c r="E3264" t="s">
        <v>839</v>
      </c>
      <c r="F3264">
        <v>2</v>
      </c>
      <c r="G3264">
        <v>0</v>
      </c>
      <c r="H3264" t="s">
        <v>861</v>
      </c>
      <c r="I3264" t="str">
        <f>VLOOKUP(C3264,Customers!A:C,2,FALSE)&amp;" "&amp;VLOOKUP(C3264,Customers!A:C,3,FALSE)</f>
        <v>Carl Armstrong</v>
      </c>
      <c r="J3264" t="str">
        <f>VLOOKUP(D3264,Products!A:C,2,FALSE)</f>
        <v>Recognize Footwear</v>
      </c>
      <c r="K3264" t="str">
        <f>VLOOKUP(D3264,Products!A:C,3,FALSE)</f>
        <v>Fashion</v>
      </c>
      <c r="L3264" t="str">
        <f>VLOOKUP(E3264,Stores!A:B,2,FALSE)</f>
        <v>MegaMart New Michele</v>
      </c>
      <c r="M3264">
        <f>VLOOKUP(D3264,Products!A:E,5,FALSE)</f>
        <v>109.78</v>
      </c>
      <c r="N3264" s="5">
        <f t="shared" si="50"/>
        <v>219.56</v>
      </c>
    </row>
    <row r="3265" spans="1:14" x14ac:dyDescent="0.3">
      <c r="A3265" t="s">
        <v>4121</v>
      </c>
      <c r="B3265" s="2">
        <v>45643</v>
      </c>
      <c r="C3265" t="s">
        <v>494</v>
      </c>
      <c r="D3265" t="s">
        <v>816</v>
      </c>
      <c r="E3265" t="s">
        <v>846</v>
      </c>
      <c r="F3265">
        <v>5</v>
      </c>
      <c r="G3265">
        <v>0</v>
      </c>
      <c r="H3265" t="s">
        <v>855</v>
      </c>
      <c r="I3265" t="str">
        <f>VLOOKUP(C3265,Customers!A:C,2,FALSE)&amp;" "&amp;VLOOKUP(C3265,Customers!A:C,3,FALSE)</f>
        <v>Mario Cuevas</v>
      </c>
      <c r="J3265" t="str">
        <f>VLOOKUP(D3265,Products!A:C,2,FALSE)</f>
        <v>Set Dairy</v>
      </c>
      <c r="K3265" t="str">
        <f>VLOOKUP(D3265,Products!A:C,3,FALSE)</f>
        <v>Groceries</v>
      </c>
      <c r="L3265" t="str">
        <f>VLOOKUP(E3265,Stores!A:B,2,FALSE)</f>
        <v>MegaMart Johnmouth</v>
      </c>
      <c r="M3265">
        <f>VLOOKUP(D3265,Products!A:E,5,FALSE)</f>
        <v>1879.08</v>
      </c>
      <c r="N3265" s="5">
        <f t="shared" si="50"/>
        <v>9395.4</v>
      </c>
    </row>
    <row r="3266" spans="1:14" x14ac:dyDescent="0.3">
      <c r="A3266" t="s">
        <v>4122</v>
      </c>
      <c r="B3266" s="2">
        <v>45234</v>
      </c>
      <c r="C3266" t="s">
        <v>119</v>
      </c>
      <c r="D3266" t="s">
        <v>725</v>
      </c>
      <c r="E3266" t="s">
        <v>831</v>
      </c>
      <c r="F3266">
        <v>3</v>
      </c>
      <c r="G3266">
        <v>0.1</v>
      </c>
      <c r="H3266" t="s">
        <v>855</v>
      </c>
      <c r="I3266" t="str">
        <f>VLOOKUP(C3266,Customers!A:C,2,FALSE)&amp;" "&amp;VLOOKUP(C3266,Customers!A:C,3,FALSE)</f>
        <v>Lacey Hall</v>
      </c>
      <c r="J3266" t="str">
        <f>VLOOKUP(D3266,Products!A:C,2,FALSE)</f>
        <v>Knowledge Bags</v>
      </c>
      <c r="K3266" t="str">
        <f>VLOOKUP(D3266,Products!A:C,3,FALSE)</f>
        <v>Fashion</v>
      </c>
      <c r="L3266" t="str">
        <f>VLOOKUP(E3266,Stores!A:B,2,FALSE)</f>
        <v>MegaMart Jimenezborough</v>
      </c>
      <c r="M3266">
        <f>VLOOKUP(D3266,Products!A:E,5,FALSE)</f>
        <v>1396.22</v>
      </c>
      <c r="N3266" s="5">
        <f t="shared" si="50"/>
        <v>3769.7939999999999</v>
      </c>
    </row>
    <row r="3267" spans="1:14" x14ac:dyDescent="0.3">
      <c r="A3267" t="s">
        <v>4123</v>
      </c>
      <c r="B3267" s="2">
        <v>45460</v>
      </c>
      <c r="C3267" t="s">
        <v>127</v>
      </c>
      <c r="D3267" t="s">
        <v>747</v>
      </c>
      <c r="E3267" t="s">
        <v>835</v>
      </c>
      <c r="F3267">
        <v>5</v>
      </c>
      <c r="G3267">
        <v>0.05</v>
      </c>
      <c r="H3267" t="s">
        <v>865</v>
      </c>
      <c r="I3267" t="str">
        <f>VLOOKUP(C3267,Customers!A:C,2,FALSE)&amp;" "&amp;VLOOKUP(C3267,Customers!A:C,3,FALSE)</f>
        <v>Valerie Macdonald</v>
      </c>
      <c r="J3267" t="str">
        <f>VLOOKUP(D3267,Products!A:C,2,FALSE)</f>
        <v>World Watches</v>
      </c>
      <c r="K3267" t="str">
        <f>VLOOKUP(D3267,Products!A:C,3,FALSE)</f>
        <v>Fashion</v>
      </c>
      <c r="L3267" t="str">
        <f>VLOOKUP(E3267,Stores!A:B,2,FALSE)</f>
        <v>MegaMart Peckmouth</v>
      </c>
      <c r="M3267">
        <f>VLOOKUP(D3267,Products!A:E,5,FALSE)</f>
        <v>1134.8</v>
      </c>
      <c r="N3267" s="5">
        <f t="shared" ref="N3267:N3330" si="51">F3267*M3267*(1-G3267)</f>
        <v>5390.3</v>
      </c>
    </row>
    <row r="3268" spans="1:14" x14ac:dyDescent="0.3">
      <c r="A3268" t="s">
        <v>4124</v>
      </c>
      <c r="B3268" s="2">
        <v>45502</v>
      </c>
      <c r="C3268" t="s">
        <v>230</v>
      </c>
      <c r="D3268" t="s">
        <v>778</v>
      </c>
      <c r="E3268" t="s">
        <v>831</v>
      </c>
      <c r="F3268">
        <v>3</v>
      </c>
      <c r="G3268">
        <v>0.1</v>
      </c>
      <c r="H3268" t="s">
        <v>865</v>
      </c>
      <c r="I3268" t="str">
        <f>VLOOKUP(C3268,Customers!A:C,2,FALSE)&amp;" "&amp;VLOOKUP(C3268,Customers!A:C,3,FALSE)</f>
        <v>Anthony Conway</v>
      </c>
      <c r="J3268" t="str">
        <f>VLOOKUP(D3268,Products!A:C,2,FALSE)</f>
        <v>Behavior Dairy</v>
      </c>
      <c r="K3268" t="str">
        <f>VLOOKUP(D3268,Products!A:C,3,FALSE)</f>
        <v>Groceries</v>
      </c>
      <c r="L3268" t="str">
        <f>VLOOKUP(E3268,Stores!A:B,2,FALSE)</f>
        <v>MegaMart Jimenezborough</v>
      </c>
      <c r="M3268">
        <f>VLOOKUP(D3268,Products!A:E,5,FALSE)</f>
        <v>1015.76</v>
      </c>
      <c r="N3268" s="5">
        <f t="shared" si="51"/>
        <v>2742.5519999999997</v>
      </c>
    </row>
    <row r="3269" spans="1:14" x14ac:dyDescent="0.3">
      <c r="A3269" t="s">
        <v>4125</v>
      </c>
      <c r="B3269" s="2">
        <v>45615</v>
      </c>
      <c r="C3269" t="s">
        <v>647</v>
      </c>
      <c r="D3269" t="s">
        <v>798</v>
      </c>
      <c r="E3269" t="s">
        <v>846</v>
      </c>
      <c r="F3269">
        <v>5</v>
      </c>
      <c r="G3269">
        <v>0.1</v>
      </c>
      <c r="H3269" t="s">
        <v>855</v>
      </c>
      <c r="I3269" t="str">
        <f>VLOOKUP(C3269,Customers!A:C,2,FALSE)&amp;" "&amp;VLOOKUP(C3269,Customers!A:C,3,FALSE)</f>
        <v>Mary Dawson</v>
      </c>
      <c r="J3269" t="str">
        <f>VLOOKUP(D3269,Products!A:C,2,FALSE)</f>
        <v>New Watches</v>
      </c>
      <c r="K3269" t="str">
        <f>VLOOKUP(D3269,Products!A:C,3,FALSE)</f>
        <v>Fashion</v>
      </c>
      <c r="L3269" t="str">
        <f>VLOOKUP(E3269,Stores!A:B,2,FALSE)</f>
        <v>MegaMart Johnmouth</v>
      </c>
      <c r="M3269">
        <f>VLOOKUP(D3269,Products!A:E,5,FALSE)</f>
        <v>1501.46</v>
      </c>
      <c r="N3269" s="5">
        <f t="shared" si="51"/>
        <v>6756.5700000000006</v>
      </c>
    </row>
    <row r="3270" spans="1:14" x14ac:dyDescent="0.3">
      <c r="A3270" t="s">
        <v>4126</v>
      </c>
      <c r="B3270" s="2">
        <v>45862</v>
      </c>
      <c r="C3270" t="s">
        <v>105</v>
      </c>
      <c r="D3270" t="s">
        <v>794</v>
      </c>
      <c r="E3270" t="s">
        <v>842</v>
      </c>
      <c r="F3270">
        <v>1</v>
      </c>
      <c r="G3270">
        <v>0.1</v>
      </c>
      <c r="H3270" t="s">
        <v>858</v>
      </c>
      <c r="I3270" t="str">
        <f>VLOOKUP(C3270,Customers!A:C,2,FALSE)&amp;" "&amp;VLOOKUP(C3270,Customers!A:C,3,FALSE)</f>
        <v>Justin Macdonald</v>
      </c>
      <c r="J3270" t="str">
        <f>VLOOKUP(D3270,Products!A:C,2,FALSE)</f>
        <v>Everything Laptop</v>
      </c>
      <c r="K3270" t="str">
        <f>VLOOKUP(D3270,Products!A:C,3,FALSE)</f>
        <v>Electronics</v>
      </c>
      <c r="L3270" t="str">
        <f>VLOOKUP(E3270,Stores!A:B,2,FALSE)</f>
        <v>MegaMart Brianahaven</v>
      </c>
      <c r="M3270">
        <f>VLOOKUP(D3270,Products!A:E,5,FALSE)</f>
        <v>428.05</v>
      </c>
      <c r="N3270" s="5">
        <f t="shared" si="51"/>
        <v>385.245</v>
      </c>
    </row>
    <row r="3271" spans="1:14" x14ac:dyDescent="0.3">
      <c r="A3271" t="s">
        <v>4127</v>
      </c>
      <c r="B3271" s="2">
        <v>45702</v>
      </c>
      <c r="C3271" t="s">
        <v>97</v>
      </c>
      <c r="D3271" t="s">
        <v>796</v>
      </c>
      <c r="E3271" t="s">
        <v>839</v>
      </c>
      <c r="F3271">
        <v>3</v>
      </c>
      <c r="G3271">
        <v>0</v>
      </c>
      <c r="H3271" t="s">
        <v>861</v>
      </c>
      <c r="I3271" t="str">
        <f>VLOOKUP(C3271,Customers!A:C,2,FALSE)&amp;" "&amp;VLOOKUP(C3271,Customers!A:C,3,FALSE)</f>
        <v>Molly Murray</v>
      </c>
      <c r="J3271" t="str">
        <f>VLOOKUP(D3271,Products!A:C,2,FALSE)</f>
        <v>Chair Laptop</v>
      </c>
      <c r="K3271" t="str">
        <f>VLOOKUP(D3271,Products!A:C,3,FALSE)</f>
        <v>Electronics</v>
      </c>
      <c r="L3271" t="str">
        <f>VLOOKUP(E3271,Stores!A:B,2,FALSE)</f>
        <v>MegaMart New Michele</v>
      </c>
      <c r="M3271">
        <f>VLOOKUP(D3271,Products!A:E,5,FALSE)</f>
        <v>1562.43</v>
      </c>
      <c r="N3271" s="5">
        <f t="shared" si="51"/>
        <v>4687.29</v>
      </c>
    </row>
    <row r="3272" spans="1:14" x14ac:dyDescent="0.3">
      <c r="A3272" t="s">
        <v>4128</v>
      </c>
      <c r="B3272" s="2">
        <v>45907</v>
      </c>
      <c r="C3272" t="s">
        <v>74</v>
      </c>
      <c r="D3272" t="s">
        <v>822</v>
      </c>
      <c r="E3272" t="s">
        <v>831</v>
      </c>
      <c r="F3272">
        <v>5</v>
      </c>
      <c r="G3272">
        <v>0</v>
      </c>
      <c r="H3272" t="s">
        <v>865</v>
      </c>
      <c r="I3272" t="str">
        <f>VLOOKUP(C3272,Customers!A:C,2,FALSE)&amp;" "&amp;VLOOKUP(C3272,Customers!A:C,3,FALSE)</f>
        <v>Breanna Davis</v>
      </c>
      <c r="J3272" t="str">
        <f>VLOOKUP(D3272,Products!A:C,2,FALSE)</f>
        <v>Nor Bags</v>
      </c>
      <c r="K3272" t="str">
        <f>VLOOKUP(D3272,Products!A:C,3,FALSE)</f>
        <v>Fashion</v>
      </c>
      <c r="L3272" t="str">
        <f>VLOOKUP(E3272,Stores!A:B,2,FALSE)</f>
        <v>MegaMart Jimenezborough</v>
      </c>
      <c r="M3272">
        <f>VLOOKUP(D3272,Products!A:E,5,FALSE)</f>
        <v>1216.3599999999999</v>
      </c>
      <c r="N3272" s="5">
        <f t="shared" si="51"/>
        <v>6081.7999999999993</v>
      </c>
    </row>
    <row r="3273" spans="1:14" x14ac:dyDescent="0.3">
      <c r="A3273" t="s">
        <v>4129</v>
      </c>
      <c r="B3273" s="2">
        <v>45884</v>
      </c>
      <c r="C3273" t="s">
        <v>454</v>
      </c>
      <c r="D3273" t="s">
        <v>761</v>
      </c>
      <c r="E3273" t="s">
        <v>831</v>
      </c>
      <c r="F3273">
        <v>4</v>
      </c>
      <c r="G3273">
        <v>0.1</v>
      </c>
      <c r="H3273" t="s">
        <v>858</v>
      </c>
      <c r="I3273" t="str">
        <f>VLOOKUP(C3273,Customers!A:C,2,FALSE)&amp;" "&amp;VLOOKUP(C3273,Customers!A:C,3,FALSE)</f>
        <v>Peter Edwards</v>
      </c>
      <c r="J3273" t="str">
        <f>VLOOKUP(D3273,Products!A:C,2,FALSE)</f>
        <v>Traditional Laptop</v>
      </c>
      <c r="K3273" t="str">
        <f>VLOOKUP(D3273,Products!A:C,3,FALSE)</f>
        <v>Electronics</v>
      </c>
      <c r="L3273" t="str">
        <f>VLOOKUP(E3273,Stores!A:B,2,FALSE)</f>
        <v>MegaMart Jimenezborough</v>
      </c>
      <c r="M3273">
        <f>VLOOKUP(D3273,Products!A:E,5,FALSE)</f>
        <v>1762.92</v>
      </c>
      <c r="N3273" s="5">
        <f t="shared" si="51"/>
        <v>6346.5120000000006</v>
      </c>
    </row>
    <row r="3274" spans="1:14" x14ac:dyDescent="0.3">
      <c r="A3274" t="s">
        <v>4130</v>
      </c>
      <c r="B3274" s="2">
        <v>45226</v>
      </c>
      <c r="C3274" t="s">
        <v>505</v>
      </c>
      <c r="D3274" t="s">
        <v>822</v>
      </c>
      <c r="E3274" t="s">
        <v>831</v>
      </c>
      <c r="F3274">
        <v>3</v>
      </c>
      <c r="G3274">
        <v>0.05</v>
      </c>
      <c r="H3274" t="s">
        <v>861</v>
      </c>
      <c r="I3274" t="str">
        <f>VLOOKUP(C3274,Customers!A:C,2,FALSE)&amp;" "&amp;VLOOKUP(C3274,Customers!A:C,3,FALSE)</f>
        <v>Alexander Mcfarland</v>
      </c>
      <c r="J3274" t="str">
        <f>VLOOKUP(D3274,Products!A:C,2,FALSE)</f>
        <v>Nor Bags</v>
      </c>
      <c r="K3274" t="str">
        <f>VLOOKUP(D3274,Products!A:C,3,FALSE)</f>
        <v>Fashion</v>
      </c>
      <c r="L3274" t="str">
        <f>VLOOKUP(E3274,Stores!A:B,2,FALSE)</f>
        <v>MegaMart Jimenezborough</v>
      </c>
      <c r="M3274">
        <f>VLOOKUP(D3274,Products!A:E,5,FALSE)</f>
        <v>1216.3599999999999</v>
      </c>
      <c r="N3274" s="5">
        <f t="shared" si="51"/>
        <v>3466.6259999999997</v>
      </c>
    </row>
    <row r="3275" spans="1:14" x14ac:dyDescent="0.3">
      <c r="A3275" t="s">
        <v>4131</v>
      </c>
      <c r="B3275" s="2">
        <v>45506</v>
      </c>
      <c r="C3275" t="s">
        <v>85</v>
      </c>
      <c r="D3275" t="s">
        <v>798</v>
      </c>
      <c r="E3275" t="s">
        <v>839</v>
      </c>
      <c r="F3275">
        <v>2</v>
      </c>
      <c r="G3275">
        <v>0.05</v>
      </c>
      <c r="H3275" t="s">
        <v>865</v>
      </c>
      <c r="I3275" t="str">
        <f>VLOOKUP(C3275,Customers!A:C,2,FALSE)&amp;" "&amp;VLOOKUP(C3275,Customers!A:C,3,FALSE)</f>
        <v>Debbie Martin</v>
      </c>
      <c r="J3275" t="str">
        <f>VLOOKUP(D3275,Products!A:C,2,FALSE)</f>
        <v>New Watches</v>
      </c>
      <c r="K3275" t="str">
        <f>VLOOKUP(D3275,Products!A:C,3,FALSE)</f>
        <v>Fashion</v>
      </c>
      <c r="L3275" t="str">
        <f>VLOOKUP(E3275,Stores!A:B,2,FALSE)</f>
        <v>MegaMart New Michele</v>
      </c>
      <c r="M3275">
        <f>VLOOKUP(D3275,Products!A:E,5,FALSE)</f>
        <v>1501.46</v>
      </c>
      <c r="N3275" s="5">
        <f t="shared" si="51"/>
        <v>2852.7739999999999</v>
      </c>
    </row>
    <row r="3276" spans="1:14" x14ac:dyDescent="0.3">
      <c r="A3276" t="s">
        <v>4132</v>
      </c>
      <c r="B3276" s="2">
        <v>45767</v>
      </c>
      <c r="C3276" t="s">
        <v>579</v>
      </c>
      <c r="D3276" t="s">
        <v>745</v>
      </c>
      <c r="E3276" t="s">
        <v>831</v>
      </c>
      <c r="F3276">
        <v>4</v>
      </c>
      <c r="G3276">
        <v>0.05</v>
      </c>
      <c r="H3276" t="s">
        <v>861</v>
      </c>
      <c r="I3276" t="str">
        <f>VLOOKUP(C3276,Customers!A:C,2,FALSE)&amp;" "&amp;VLOOKUP(C3276,Customers!A:C,3,FALSE)</f>
        <v>Jill Roach</v>
      </c>
      <c r="J3276" t="str">
        <f>VLOOKUP(D3276,Products!A:C,2,FALSE)</f>
        <v>Above Camera</v>
      </c>
      <c r="K3276" t="str">
        <f>VLOOKUP(D3276,Products!A:C,3,FALSE)</f>
        <v>Electronics</v>
      </c>
      <c r="L3276" t="str">
        <f>VLOOKUP(E3276,Stores!A:B,2,FALSE)</f>
        <v>MegaMart Jimenezborough</v>
      </c>
      <c r="M3276">
        <f>VLOOKUP(D3276,Products!A:E,5,FALSE)</f>
        <v>1193.0899999999999</v>
      </c>
      <c r="N3276" s="5">
        <f t="shared" si="51"/>
        <v>4533.7419999999993</v>
      </c>
    </row>
    <row r="3277" spans="1:14" x14ac:dyDescent="0.3">
      <c r="A3277" t="s">
        <v>4133</v>
      </c>
      <c r="B3277" s="2">
        <v>45489</v>
      </c>
      <c r="C3277" t="s">
        <v>171</v>
      </c>
      <c r="D3277" t="s">
        <v>822</v>
      </c>
      <c r="E3277" t="s">
        <v>846</v>
      </c>
      <c r="F3277">
        <v>2</v>
      </c>
      <c r="G3277">
        <v>0.15</v>
      </c>
      <c r="H3277" t="s">
        <v>865</v>
      </c>
      <c r="I3277" t="str">
        <f>VLOOKUP(C3277,Customers!A:C,2,FALSE)&amp;" "&amp;VLOOKUP(C3277,Customers!A:C,3,FALSE)</f>
        <v>Parker Sparks</v>
      </c>
      <c r="J3277" t="str">
        <f>VLOOKUP(D3277,Products!A:C,2,FALSE)</f>
        <v>Nor Bags</v>
      </c>
      <c r="K3277" t="str">
        <f>VLOOKUP(D3277,Products!A:C,3,FALSE)</f>
        <v>Fashion</v>
      </c>
      <c r="L3277" t="str">
        <f>VLOOKUP(E3277,Stores!A:B,2,FALSE)</f>
        <v>MegaMart Johnmouth</v>
      </c>
      <c r="M3277">
        <f>VLOOKUP(D3277,Products!A:E,5,FALSE)</f>
        <v>1216.3599999999999</v>
      </c>
      <c r="N3277" s="5">
        <f t="shared" si="51"/>
        <v>2067.8119999999999</v>
      </c>
    </row>
    <row r="3278" spans="1:14" x14ac:dyDescent="0.3">
      <c r="A3278" t="s">
        <v>4134</v>
      </c>
      <c r="B3278" s="2">
        <v>45241</v>
      </c>
      <c r="C3278" t="s">
        <v>621</v>
      </c>
      <c r="D3278" t="s">
        <v>769</v>
      </c>
      <c r="E3278" t="s">
        <v>846</v>
      </c>
      <c r="F3278">
        <v>3</v>
      </c>
      <c r="G3278">
        <v>0.05</v>
      </c>
      <c r="H3278" t="s">
        <v>858</v>
      </c>
      <c r="I3278" t="str">
        <f>VLOOKUP(C3278,Customers!A:C,2,FALSE)&amp;" "&amp;VLOOKUP(C3278,Customers!A:C,3,FALSE)</f>
        <v>Stacey Thompson</v>
      </c>
      <c r="J3278" t="str">
        <f>VLOOKUP(D3278,Products!A:C,2,FALSE)</f>
        <v>How Vegetables</v>
      </c>
      <c r="K3278" t="str">
        <f>VLOOKUP(D3278,Products!A:C,3,FALSE)</f>
        <v>Groceries</v>
      </c>
      <c r="L3278" t="str">
        <f>VLOOKUP(E3278,Stores!A:B,2,FALSE)</f>
        <v>MegaMart Johnmouth</v>
      </c>
      <c r="M3278">
        <f>VLOOKUP(D3278,Products!A:E,5,FALSE)</f>
        <v>25.57</v>
      </c>
      <c r="N3278" s="5">
        <f t="shared" si="51"/>
        <v>72.874499999999998</v>
      </c>
    </row>
    <row r="3279" spans="1:14" x14ac:dyDescent="0.3">
      <c r="A3279" t="s">
        <v>4135</v>
      </c>
      <c r="B3279" s="2">
        <v>45252</v>
      </c>
      <c r="C3279" t="s">
        <v>512</v>
      </c>
      <c r="D3279" t="s">
        <v>778</v>
      </c>
      <c r="E3279" t="s">
        <v>835</v>
      </c>
      <c r="F3279">
        <v>1</v>
      </c>
      <c r="G3279">
        <v>0.15</v>
      </c>
      <c r="H3279" t="s">
        <v>861</v>
      </c>
      <c r="I3279" t="str">
        <f>VLOOKUP(C3279,Customers!A:C,2,FALSE)&amp;" "&amp;VLOOKUP(C3279,Customers!A:C,3,FALSE)</f>
        <v>Adam Lucas</v>
      </c>
      <c r="J3279" t="str">
        <f>VLOOKUP(D3279,Products!A:C,2,FALSE)</f>
        <v>Behavior Dairy</v>
      </c>
      <c r="K3279" t="str">
        <f>VLOOKUP(D3279,Products!A:C,3,FALSE)</f>
        <v>Groceries</v>
      </c>
      <c r="L3279" t="str">
        <f>VLOOKUP(E3279,Stores!A:B,2,FALSE)</f>
        <v>MegaMart Peckmouth</v>
      </c>
      <c r="M3279">
        <f>VLOOKUP(D3279,Products!A:E,5,FALSE)</f>
        <v>1015.76</v>
      </c>
      <c r="N3279" s="5">
        <f t="shared" si="51"/>
        <v>863.39599999999996</v>
      </c>
    </row>
    <row r="3280" spans="1:14" x14ac:dyDescent="0.3">
      <c r="A3280" t="s">
        <v>4136</v>
      </c>
      <c r="B3280" s="2">
        <v>45664</v>
      </c>
      <c r="C3280" t="s">
        <v>563</v>
      </c>
      <c r="D3280" t="s">
        <v>806</v>
      </c>
      <c r="E3280" t="s">
        <v>842</v>
      </c>
      <c r="F3280">
        <v>2</v>
      </c>
      <c r="G3280">
        <v>0.1</v>
      </c>
      <c r="H3280" t="s">
        <v>855</v>
      </c>
      <c r="I3280" t="str">
        <f>VLOOKUP(C3280,Customers!A:C,2,FALSE)&amp;" "&amp;VLOOKUP(C3280,Customers!A:C,3,FALSE)</f>
        <v>Connie Terry</v>
      </c>
      <c r="J3280" t="str">
        <f>VLOOKUP(D3280,Products!A:C,2,FALSE)</f>
        <v>Piece Headphones</v>
      </c>
      <c r="K3280" t="str">
        <f>VLOOKUP(D3280,Products!A:C,3,FALSE)</f>
        <v>Electronics</v>
      </c>
      <c r="L3280" t="str">
        <f>VLOOKUP(E3280,Stores!A:B,2,FALSE)</f>
        <v>MegaMart Brianahaven</v>
      </c>
      <c r="M3280">
        <f>VLOOKUP(D3280,Products!A:E,5,FALSE)</f>
        <v>1745.61</v>
      </c>
      <c r="N3280" s="5">
        <f t="shared" si="51"/>
        <v>3142.098</v>
      </c>
    </row>
    <row r="3281" spans="1:14" x14ac:dyDescent="0.3">
      <c r="A3281" t="s">
        <v>4137</v>
      </c>
      <c r="B3281" s="2">
        <v>45363</v>
      </c>
      <c r="C3281" t="s">
        <v>137</v>
      </c>
      <c r="D3281" t="s">
        <v>759</v>
      </c>
      <c r="E3281" t="s">
        <v>842</v>
      </c>
      <c r="F3281">
        <v>5</v>
      </c>
      <c r="G3281">
        <v>0.15</v>
      </c>
      <c r="H3281" t="s">
        <v>855</v>
      </c>
      <c r="I3281" t="str">
        <f>VLOOKUP(C3281,Customers!A:C,2,FALSE)&amp;" "&amp;VLOOKUP(C3281,Customers!A:C,3,FALSE)</f>
        <v>Kimberly King</v>
      </c>
      <c r="J3281" t="str">
        <f>VLOOKUP(D3281,Products!A:C,2,FALSE)</f>
        <v>Democratic Smartphone</v>
      </c>
      <c r="K3281" t="str">
        <f>VLOOKUP(D3281,Products!A:C,3,FALSE)</f>
        <v>Electronics</v>
      </c>
      <c r="L3281" t="str">
        <f>VLOOKUP(E3281,Stores!A:B,2,FALSE)</f>
        <v>MegaMart Brianahaven</v>
      </c>
      <c r="M3281">
        <f>VLOOKUP(D3281,Products!A:E,5,FALSE)</f>
        <v>1079.8900000000001</v>
      </c>
      <c r="N3281" s="5">
        <f t="shared" si="51"/>
        <v>4589.5325000000003</v>
      </c>
    </row>
    <row r="3282" spans="1:14" x14ac:dyDescent="0.3">
      <c r="A3282" t="s">
        <v>4138</v>
      </c>
      <c r="B3282" s="2">
        <v>45745</v>
      </c>
      <c r="C3282" t="s">
        <v>262</v>
      </c>
      <c r="D3282" t="s">
        <v>776</v>
      </c>
      <c r="E3282" t="s">
        <v>835</v>
      </c>
      <c r="F3282">
        <v>5</v>
      </c>
      <c r="G3282">
        <v>0</v>
      </c>
      <c r="H3282" t="s">
        <v>858</v>
      </c>
      <c r="I3282" t="str">
        <f>VLOOKUP(C3282,Customers!A:C,2,FALSE)&amp;" "&amp;VLOOKUP(C3282,Customers!A:C,3,FALSE)</f>
        <v>Gabriel Daugherty</v>
      </c>
      <c r="J3282" t="str">
        <f>VLOOKUP(D3282,Products!A:C,2,FALSE)</f>
        <v>Little Watches</v>
      </c>
      <c r="K3282" t="str">
        <f>VLOOKUP(D3282,Products!A:C,3,FALSE)</f>
        <v>Fashion</v>
      </c>
      <c r="L3282" t="str">
        <f>VLOOKUP(E3282,Stores!A:B,2,FALSE)</f>
        <v>MegaMart Peckmouth</v>
      </c>
      <c r="M3282">
        <f>VLOOKUP(D3282,Products!A:E,5,FALSE)</f>
        <v>429.15</v>
      </c>
      <c r="N3282" s="5">
        <f t="shared" si="51"/>
        <v>2145.75</v>
      </c>
    </row>
    <row r="3283" spans="1:14" x14ac:dyDescent="0.3">
      <c r="A3283" t="s">
        <v>4139</v>
      </c>
      <c r="B3283" s="2">
        <v>45235</v>
      </c>
      <c r="C3283" t="s">
        <v>250</v>
      </c>
      <c r="D3283" t="s">
        <v>792</v>
      </c>
      <c r="E3283" t="s">
        <v>846</v>
      </c>
      <c r="F3283">
        <v>4</v>
      </c>
      <c r="G3283">
        <v>0</v>
      </c>
      <c r="H3283" t="s">
        <v>865</v>
      </c>
      <c r="I3283" t="str">
        <f>VLOOKUP(C3283,Customers!A:C,2,FALSE)&amp;" "&amp;VLOOKUP(C3283,Customers!A:C,3,FALSE)</f>
        <v>Jason Jenkins</v>
      </c>
      <c r="J3283" t="str">
        <f>VLOOKUP(D3283,Products!A:C,2,FALSE)</f>
        <v>Beat Accessories</v>
      </c>
      <c r="K3283" t="str">
        <f>VLOOKUP(D3283,Products!A:C,3,FALSE)</f>
        <v>Fashion</v>
      </c>
      <c r="L3283" t="str">
        <f>VLOOKUP(E3283,Stores!A:B,2,FALSE)</f>
        <v>MegaMart Johnmouth</v>
      </c>
      <c r="M3283">
        <f>VLOOKUP(D3283,Products!A:E,5,FALSE)</f>
        <v>1798.97</v>
      </c>
      <c r="N3283" s="5">
        <f t="shared" si="51"/>
        <v>7195.88</v>
      </c>
    </row>
    <row r="3284" spans="1:14" x14ac:dyDescent="0.3">
      <c r="A3284" t="s">
        <v>4140</v>
      </c>
      <c r="B3284" s="2">
        <v>45864</v>
      </c>
      <c r="C3284" t="s">
        <v>390</v>
      </c>
      <c r="D3284" t="s">
        <v>790</v>
      </c>
      <c r="E3284" t="s">
        <v>846</v>
      </c>
      <c r="F3284">
        <v>2</v>
      </c>
      <c r="G3284">
        <v>0.1</v>
      </c>
      <c r="H3284" t="s">
        <v>861</v>
      </c>
      <c r="I3284" t="str">
        <f>VLOOKUP(C3284,Customers!A:C,2,FALSE)&amp;" "&amp;VLOOKUP(C3284,Customers!A:C,3,FALSE)</f>
        <v>Brenda Dean</v>
      </c>
      <c r="J3284" t="str">
        <f>VLOOKUP(D3284,Products!A:C,2,FALSE)</f>
        <v>Difficult Vegetables</v>
      </c>
      <c r="K3284" t="str">
        <f>VLOOKUP(D3284,Products!A:C,3,FALSE)</f>
        <v>Groceries</v>
      </c>
      <c r="L3284" t="str">
        <f>VLOOKUP(E3284,Stores!A:B,2,FALSE)</f>
        <v>MegaMart Johnmouth</v>
      </c>
      <c r="M3284">
        <f>VLOOKUP(D3284,Products!A:E,5,FALSE)</f>
        <v>304.70999999999998</v>
      </c>
      <c r="N3284" s="5">
        <f t="shared" si="51"/>
        <v>548.47799999999995</v>
      </c>
    </row>
    <row r="3285" spans="1:14" x14ac:dyDescent="0.3">
      <c r="A3285" t="s">
        <v>4141</v>
      </c>
      <c r="B3285" s="2">
        <v>45328</v>
      </c>
      <c r="C3285" t="s">
        <v>536</v>
      </c>
      <c r="D3285" t="s">
        <v>757</v>
      </c>
      <c r="E3285" t="s">
        <v>835</v>
      </c>
      <c r="F3285">
        <v>5</v>
      </c>
      <c r="G3285">
        <v>0</v>
      </c>
      <c r="H3285" t="s">
        <v>861</v>
      </c>
      <c r="I3285" t="str">
        <f>VLOOKUP(C3285,Customers!A:C,2,FALSE)&amp;" "&amp;VLOOKUP(C3285,Customers!A:C,3,FALSE)</f>
        <v>John Foster</v>
      </c>
      <c r="J3285" t="str">
        <f>VLOOKUP(D3285,Products!A:C,2,FALSE)</f>
        <v>Find Headphones</v>
      </c>
      <c r="K3285" t="str">
        <f>VLOOKUP(D3285,Products!A:C,3,FALSE)</f>
        <v>Electronics</v>
      </c>
      <c r="L3285" t="str">
        <f>VLOOKUP(E3285,Stores!A:B,2,FALSE)</f>
        <v>MegaMart Peckmouth</v>
      </c>
      <c r="M3285">
        <f>VLOOKUP(D3285,Products!A:E,5,FALSE)</f>
        <v>1246.1099999999999</v>
      </c>
      <c r="N3285" s="5">
        <f t="shared" si="51"/>
        <v>6230.5499999999993</v>
      </c>
    </row>
    <row r="3286" spans="1:14" x14ac:dyDescent="0.3">
      <c r="A3286" t="s">
        <v>4142</v>
      </c>
      <c r="B3286" s="2">
        <v>45180</v>
      </c>
      <c r="C3286" t="s">
        <v>134</v>
      </c>
      <c r="D3286" t="s">
        <v>732</v>
      </c>
      <c r="E3286" t="s">
        <v>831</v>
      </c>
      <c r="F3286">
        <v>2</v>
      </c>
      <c r="G3286">
        <v>0.05</v>
      </c>
      <c r="H3286" t="s">
        <v>865</v>
      </c>
      <c r="I3286" t="str">
        <f>VLOOKUP(C3286,Customers!A:C,2,FALSE)&amp;" "&amp;VLOOKUP(C3286,Customers!A:C,3,FALSE)</f>
        <v>Kari Miller</v>
      </c>
      <c r="J3286" t="str">
        <f>VLOOKUP(D3286,Products!A:C,2,FALSE)</f>
        <v>Understand Camera</v>
      </c>
      <c r="K3286" t="str">
        <f>VLOOKUP(D3286,Products!A:C,3,FALSE)</f>
        <v>Electronics</v>
      </c>
      <c r="L3286" t="str">
        <f>VLOOKUP(E3286,Stores!A:B,2,FALSE)</f>
        <v>MegaMart Jimenezborough</v>
      </c>
      <c r="M3286">
        <f>VLOOKUP(D3286,Products!A:E,5,FALSE)</f>
        <v>1474.12</v>
      </c>
      <c r="N3286" s="5">
        <f t="shared" si="51"/>
        <v>2800.8279999999995</v>
      </c>
    </row>
    <row r="3287" spans="1:14" x14ac:dyDescent="0.3">
      <c r="A3287" t="s">
        <v>4143</v>
      </c>
      <c r="B3287" s="2">
        <v>45888</v>
      </c>
      <c r="C3287" t="s">
        <v>664</v>
      </c>
      <c r="D3287" t="s">
        <v>788</v>
      </c>
      <c r="E3287" t="s">
        <v>831</v>
      </c>
      <c r="F3287">
        <v>4</v>
      </c>
      <c r="G3287">
        <v>0.05</v>
      </c>
      <c r="H3287" t="s">
        <v>861</v>
      </c>
      <c r="I3287" t="str">
        <f>VLOOKUP(C3287,Customers!A:C,2,FALSE)&amp;" "&amp;VLOOKUP(C3287,Customers!A:C,3,FALSE)</f>
        <v>Ryan Flores</v>
      </c>
      <c r="J3287" t="str">
        <f>VLOOKUP(D3287,Products!A:C,2,FALSE)</f>
        <v>Foot Snacks</v>
      </c>
      <c r="K3287" t="str">
        <f>VLOOKUP(D3287,Products!A:C,3,FALSE)</f>
        <v>Groceries</v>
      </c>
      <c r="L3287" t="str">
        <f>VLOOKUP(E3287,Stores!A:B,2,FALSE)</f>
        <v>MegaMart Jimenezborough</v>
      </c>
      <c r="M3287">
        <f>VLOOKUP(D3287,Products!A:E,5,FALSE)</f>
        <v>1095.72</v>
      </c>
      <c r="N3287" s="5">
        <f t="shared" si="51"/>
        <v>4163.7359999999999</v>
      </c>
    </row>
    <row r="3288" spans="1:14" x14ac:dyDescent="0.3">
      <c r="A3288" t="s">
        <v>4144</v>
      </c>
      <c r="B3288" s="2">
        <v>45703</v>
      </c>
      <c r="C3288" t="s">
        <v>270</v>
      </c>
      <c r="D3288" t="s">
        <v>794</v>
      </c>
      <c r="E3288" t="s">
        <v>831</v>
      </c>
      <c r="F3288">
        <v>5</v>
      </c>
      <c r="G3288">
        <v>0</v>
      </c>
      <c r="H3288" t="s">
        <v>861</v>
      </c>
      <c r="I3288" t="str">
        <f>VLOOKUP(C3288,Customers!A:C,2,FALSE)&amp;" "&amp;VLOOKUP(C3288,Customers!A:C,3,FALSE)</f>
        <v>Denise Gutierrez</v>
      </c>
      <c r="J3288" t="str">
        <f>VLOOKUP(D3288,Products!A:C,2,FALSE)</f>
        <v>Everything Laptop</v>
      </c>
      <c r="K3288" t="str">
        <f>VLOOKUP(D3288,Products!A:C,3,FALSE)</f>
        <v>Electronics</v>
      </c>
      <c r="L3288" t="str">
        <f>VLOOKUP(E3288,Stores!A:B,2,FALSE)</f>
        <v>MegaMart Jimenezborough</v>
      </c>
      <c r="M3288">
        <f>VLOOKUP(D3288,Products!A:E,5,FALSE)</f>
        <v>428.05</v>
      </c>
      <c r="N3288" s="5">
        <f t="shared" si="51"/>
        <v>2140.25</v>
      </c>
    </row>
    <row r="3289" spans="1:14" x14ac:dyDescent="0.3">
      <c r="A3289" t="s">
        <v>4145</v>
      </c>
      <c r="B3289" s="2">
        <v>45218</v>
      </c>
      <c r="C3289" t="s">
        <v>650</v>
      </c>
      <c r="D3289" t="s">
        <v>722</v>
      </c>
      <c r="E3289" t="s">
        <v>831</v>
      </c>
      <c r="F3289">
        <v>1</v>
      </c>
      <c r="G3289">
        <v>0.15</v>
      </c>
      <c r="H3289" t="s">
        <v>865</v>
      </c>
      <c r="I3289" t="str">
        <f>VLOOKUP(C3289,Customers!A:C,2,FALSE)&amp;" "&amp;VLOOKUP(C3289,Customers!A:C,3,FALSE)</f>
        <v>Daniel Mcintyre</v>
      </c>
      <c r="J3289" t="str">
        <f>VLOOKUP(D3289,Products!A:C,2,FALSE)</f>
        <v>Four Accessories</v>
      </c>
      <c r="K3289" t="str">
        <f>VLOOKUP(D3289,Products!A:C,3,FALSE)</f>
        <v>Fashion</v>
      </c>
      <c r="L3289" t="str">
        <f>VLOOKUP(E3289,Stores!A:B,2,FALSE)</f>
        <v>MegaMart Jimenezborough</v>
      </c>
      <c r="M3289">
        <f>VLOOKUP(D3289,Products!A:E,5,FALSE)</f>
        <v>1853.77</v>
      </c>
      <c r="N3289" s="5">
        <f t="shared" si="51"/>
        <v>1575.7045000000001</v>
      </c>
    </row>
    <row r="3290" spans="1:14" x14ac:dyDescent="0.3">
      <c r="A3290" t="s">
        <v>4146</v>
      </c>
      <c r="B3290" s="2">
        <v>45377</v>
      </c>
      <c r="C3290" t="s">
        <v>331</v>
      </c>
      <c r="D3290" t="s">
        <v>824</v>
      </c>
      <c r="E3290" t="s">
        <v>835</v>
      </c>
      <c r="F3290">
        <v>4</v>
      </c>
      <c r="G3290">
        <v>0.05</v>
      </c>
      <c r="H3290" t="s">
        <v>861</v>
      </c>
      <c r="I3290" t="str">
        <f>VLOOKUP(C3290,Customers!A:C,2,FALSE)&amp;" "&amp;VLOOKUP(C3290,Customers!A:C,3,FALSE)</f>
        <v>Brenda Costa</v>
      </c>
      <c r="J3290" t="str">
        <f>VLOOKUP(D3290,Products!A:C,2,FALSE)</f>
        <v>Possible Watches</v>
      </c>
      <c r="K3290" t="str">
        <f>VLOOKUP(D3290,Products!A:C,3,FALSE)</f>
        <v>Fashion</v>
      </c>
      <c r="L3290" t="str">
        <f>VLOOKUP(E3290,Stores!A:B,2,FALSE)</f>
        <v>MegaMart Peckmouth</v>
      </c>
      <c r="M3290">
        <f>VLOOKUP(D3290,Products!A:E,5,FALSE)</f>
        <v>388.26</v>
      </c>
      <c r="N3290" s="5">
        <f t="shared" si="51"/>
        <v>1475.3879999999999</v>
      </c>
    </row>
    <row r="3291" spans="1:14" x14ac:dyDescent="0.3">
      <c r="A3291" t="s">
        <v>4147</v>
      </c>
      <c r="B3291" s="2">
        <v>45896</v>
      </c>
      <c r="C3291" t="s">
        <v>657</v>
      </c>
      <c r="D3291" t="s">
        <v>766</v>
      </c>
      <c r="E3291" t="s">
        <v>831</v>
      </c>
      <c r="F3291">
        <v>3</v>
      </c>
      <c r="G3291">
        <v>0.1</v>
      </c>
      <c r="H3291" t="s">
        <v>858</v>
      </c>
      <c r="I3291" t="str">
        <f>VLOOKUP(C3291,Customers!A:C,2,FALSE)&amp;" "&amp;VLOOKUP(C3291,Customers!A:C,3,FALSE)</f>
        <v>Vicki Guzman</v>
      </c>
      <c r="J3291" t="str">
        <f>VLOOKUP(D3291,Products!A:C,2,FALSE)</f>
        <v>Firm Dairy</v>
      </c>
      <c r="K3291" t="str">
        <f>VLOOKUP(D3291,Products!A:C,3,FALSE)</f>
        <v>Groceries</v>
      </c>
      <c r="L3291" t="str">
        <f>VLOOKUP(E3291,Stores!A:B,2,FALSE)</f>
        <v>MegaMart Jimenezborough</v>
      </c>
      <c r="M3291">
        <f>VLOOKUP(D3291,Products!A:E,5,FALSE)</f>
        <v>1227.24</v>
      </c>
      <c r="N3291" s="5">
        <f t="shared" si="51"/>
        <v>3313.5480000000002</v>
      </c>
    </row>
    <row r="3292" spans="1:14" x14ac:dyDescent="0.3">
      <c r="A3292" t="s">
        <v>4148</v>
      </c>
      <c r="B3292" s="2">
        <v>45225</v>
      </c>
      <c r="C3292" t="s">
        <v>364</v>
      </c>
      <c r="D3292" t="s">
        <v>814</v>
      </c>
      <c r="E3292" t="s">
        <v>846</v>
      </c>
      <c r="F3292">
        <v>3</v>
      </c>
      <c r="G3292">
        <v>0.15</v>
      </c>
      <c r="H3292" t="s">
        <v>861</v>
      </c>
      <c r="I3292" t="str">
        <f>VLOOKUP(C3292,Customers!A:C,2,FALSE)&amp;" "&amp;VLOOKUP(C3292,Customers!A:C,3,FALSE)</f>
        <v>Evelyn Gray</v>
      </c>
      <c r="J3292" t="str">
        <f>VLOOKUP(D3292,Products!A:C,2,FALSE)</f>
        <v>Least Accessories</v>
      </c>
      <c r="K3292" t="str">
        <f>VLOOKUP(D3292,Products!A:C,3,FALSE)</f>
        <v>Fashion</v>
      </c>
      <c r="L3292" t="str">
        <f>VLOOKUP(E3292,Stores!A:B,2,FALSE)</f>
        <v>MegaMart Johnmouth</v>
      </c>
      <c r="M3292">
        <f>VLOOKUP(D3292,Products!A:E,5,FALSE)</f>
        <v>1286.55</v>
      </c>
      <c r="N3292" s="5">
        <f t="shared" si="51"/>
        <v>3280.7024999999994</v>
      </c>
    </row>
    <row r="3293" spans="1:14" x14ac:dyDescent="0.3">
      <c r="A3293" t="s">
        <v>4149</v>
      </c>
      <c r="B3293" s="2">
        <v>45326</v>
      </c>
      <c r="C3293" t="s">
        <v>582</v>
      </c>
      <c r="D3293" t="s">
        <v>810</v>
      </c>
      <c r="E3293" t="s">
        <v>835</v>
      </c>
      <c r="F3293">
        <v>2</v>
      </c>
      <c r="G3293">
        <v>0.15</v>
      </c>
      <c r="H3293" t="s">
        <v>855</v>
      </c>
      <c r="I3293" t="str">
        <f>VLOOKUP(C3293,Customers!A:C,2,FALSE)&amp;" "&amp;VLOOKUP(C3293,Customers!A:C,3,FALSE)</f>
        <v>Erin Rogers</v>
      </c>
      <c r="J3293" t="str">
        <f>VLOOKUP(D3293,Products!A:C,2,FALSE)</f>
        <v>Maybe Clothing</v>
      </c>
      <c r="K3293" t="str">
        <f>VLOOKUP(D3293,Products!A:C,3,FALSE)</f>
        <v>Fashion</v>
      </c>
      <c r="L3293" t="str">
        <f>VLOOKUP(E3293,Stores!A:B,2,FALSE)</f>
        <v>MegaMart Peckmouth</v>
      </c>
      <c r="M3293">
        <f>VLOOKUP(D3293,Products!A:E,5,FALSE)</f>
        <v>453.62</v>
      </c>
      <c r="N3293" s="5">
        <f t="shared" si="51"/>
        <v>771.154</v>
      </c>
    </row>
    <row r="3294" spans="1:14" x14ac:dyDescent="0.3">
      <c r="A3294" t="s">
        <v>4150</v>
      </c>
      <c r="B3294" s="2">
        <v>45790</v>
      </c>
      <c r="C3294" t="s">
        <v>191</v>
      </c>
      <c r="D3294" t="s">
        <v>769</v>
      </c>
      <c r="E3294" t="s">
        <v>835</v>
      </c>
      <c r="F3294">
        <v>4</v>
      </c>
      <c r="G3294">
        <v>0.15</v>
      </c>
      <c r="H3294" t="s">
        <v>855</v>
      </c>
      <c r="I3294" t="str">
        <f>VLOOKUP(C3294,Customers!A:C,2,FALSE)&amp;" "&amp;VLOOKUP(C3294,Customers!A:C,3,FALSE)</f>
        <v>Antonio Hamilton</v>
      </c>
      <c r="J3294" t="str">
        <f>VLOOKUP(D3294,Products!A:C,2,FALSE)</f>
        <v>How Vegetables</v>
      </c>
      <c r="K3294" t="str">
        <f>VLOOKUP(D3294,Products!A:C,3,FALSE)</f>
        <v>Groceries</v>
      </c>
      <c r="L3294" t="str">
        <f>VLOOKUP(E3294,Stores!A:B,2,FALSE)</f>
        <v>MegaMart Peckmouth</v>
      </c>
      <c r="M3294">
        <f>VLOOKUP(D3294,Products!A:E,5,FALSE)</f>
        <v>25.57</v>
      </c>
      <c r="N3294" s="5">
        <f t="shared" si="51"/>
        <v>86.938000000000002</v>
      </c>
    </row>
    <row r="3295" spans="1:14" x14ac:dyDescent="0.3">
      <c r="A3295" t="s">
        <v>4151</v>
      </c>
      <c r="B3295" s="2">
        <v>45718</v>
      </c>
      <c r="C3295" t="s">
        <v>419</v>
      </c>
      <c r="D3295" t="s">
        <v>794</v>
      </c>
      <c r="E3295" t="s">
        <v>831</v>
      </c>
      <c r="F3295">
        <v>3</v>
      </c>
      <c r="G3295">
        <v>0</v>
      </c>
      <c r="H3295" t="s">
        <v>858</v>
      </c>
      <c r="I3295" t="str">
        <f>VLOOKUP(C3295,Customers!A:C,2,FALSE)&amp;" "&amp;VLOOKUP(C3295,Customers!A:C,3,FALSE)</f>
        <v>Jeffrey Smith</v>
      </c>
      <c r="J3295" t="str">
        <f>VLOOKUP(D3295,Products!A:C,2,FALSE)</f>
        <v>Everything Laptop</v>
      </c>
      <c r="K3295" t="str">
        <f>VLOOKUP(D3295,Products!A:C,3,FALSE)</f>
        <v>Electronics</v>
      </c>
      <c r="L3295" t="str">
        <f>VLOOKUP(E3295,Stores!A:B,2,FALSE)</f>
        <v>MegaMart Jimenezborough</v>
      </c>
      <c r="M3295">
        <f>VLOOKUP(D3295,Products!A:E,5,FALSE)</f>
        <v>428.05</v>
      </c>
      <c r="N3295" s="5">
        <f t="shared" si="51"/>
        <v>1284.1500000000001</v>
      </c>
    </row>
    <row r="3296" spans="1:14" x14ac:dyDescent="0.3">
      <c r="A3296" t="s">
        <v>4152</v>
      </c>
      <c r="B3296" s="2">
        <v>45629</v>
      </c>
      <c r="C3296" t="s">
        <v>442</v>
      </c>
      <c r="D3296" t="s">
        <v>722</v>
      </c>
      <c r="E3296" t="s">
        <v>835</v>
      </c>
      <c r="F3296">
        <v>1</v>
      </c>
      <c r="G3296">
        <v>0</v>
      </c>
      <c r="H3296" t="s">
        <v>858</v>
      </c>
      <c r="I3296" t="str">
        <f>VLOOKUP(C3296,Customers!A:C,2,FALSE)&amp;" "&amp;VLOOKUP(C3296,Customers!A:C,3,FALSE)</f>
        <v>Jason Lloyd</v>
      </c>
      <c r="J3296" t="str">
        <f>VLOOKUP(D3296,Products!A:C,2,FALSE)</f>
        <v>Four Accessories</v>
      </c>
      <c r="K3296" t="str">
        <f>VLOOKUP(D3296,Products!A:C,3,FALSE)</f>
        <v>Fashion</v>
      </c>
      <c r="L3296" t="str">
        <f>VLOOKUP(E3296,Stores!A:B,2,FALSE)</f>
        <v>MegaMart Peckmouth</v>
      </c>
      <c r="M3296">
        <f>VLOOKUP(D3296,Products!A:E,5,FALSE)</f>
        <v>1853.77</v>
      </c>
      <c r="N3296" s="5">
        <f t="shared" si="51"/>
        <v>1853.77</v>
      </c>
    </row>
    <row r="3297" spans="1:14" x14ac:dyDescent="0.3">
      <c r="A3297" t="s">
        <v>4153</v>
      </c>
      <c r="B3297" s="2">
        <v>45697</v>
      </c>
      <c r="C3297" t="s">
        <v>494</v>
      </c>
      <c r="D3297" t="s">
        <v>824</v>
      </c>
      <c r="E3297" t="s">
        <v>839</v>
      </c>
      <c r="F3297">
        <v>2</v>
      </c>
      <c r="G3297">
        <v>0.15</v>
      </c>
      <c r="H3297" t="s">
        <v>865</v>
      </c>
      <c r="I3297" t="str">
        <f>VLOOKUP(C3297,Customers!A:C,2,FALSE)&amp;" "&amp;VLOOKUP(C3297,Customers!A:C,3,FALSE)</f>
        <v>Mario Cuevas</v>
      </c>
      <c r="J3297" t="str">
        <f>VLOOKUP(D3297,Products!A:C,2,FALSE)</f>
        <v>Possible Watches</v>
      </c>
      <c r="K3297" t="str">
        <f>VLOOKUP(D3297,Products!A:C,3,FALSE)</f>
        <v>Fashion</v>
      </c>
      <c r="L3297" t="str">
        <f>VLOOKUP(E3297,Stores!A:B,2,FALSE)</f>
        <v>MegaMart New Michele</v>
      </c>
      <c r="M3297">
        <f>VLOOKUP(D3297,Products!A:E,5,FALSE)</f>
        <v>388.26</v>
      </c>
      <c r="N3297" s="5">
        <f t="shared" si="51"/>
        <v>660.04199999999992</v>
      </c>
    </row>
    <row r="3298" spans="1:14" x14ac:dyDescent="0.3">
      <c r="A3298" t="s">
        <v>4154</v>
      </c>
      <c r="B3298" s="2">
        <v>45327</v>
      </c>
      <c r="C3298" t="s">
        <v>280</v>
      </c>
      <c r="D3298" t="s">
        <v>806</v>
      </c>
      <c r="E3298" t="s">
        <v>835</v>
      </c>
      <c r="F3298">
        <v>3</v>
      </c>
      <c r="G3298">
        <v>0.1</v>
      </c>
      <c r="H3298" t="s">
        <v>861</v>
      </c>
      <c r="I3298" t="str">
        <f>VLOOKUP(C3298,Customers!A:C,2,FALSE)&amp;" "&amp;VLOOKUP(C3298,Customers!A:C,3,FALSE)</f>
        <v>Jesus Singh</v>
      </c>
      <c r="J3298" t="str">
        <f>VLOOKUP(D3298,Products!A:C,2,FALSE)</f>
        <v>Piece Headphones</v>
      </c>
      <c r="K3298" t="str">
        <f>VLOOKUP(D3298,Products!A:C,3,FALSE)</f>
        <v>Electronics</v>
      </c>
      <c r="L3298" t="str">
        <f>VLOOKUP(E3298,Stores!A:B,2,FALSE)</f>
        <v>MegaMart Peckmouth</v>
      </c>
      <c r="M3298">
        <f>VLOOKUP(D3298,Products!A:E,5,FALSE)</f>
        <v>1745.61</v>
      </c>
      <c r="N3298" s="5">
        <f t="shared" si="51"/>
        <v>4713.1469999999999</v>
      </c>
    </row>
    <row r="3299" spans="1:14" x14ac:dyDescent="0.3">
      <c r="A3299" t="s">
        <v>4155</v>
      </c>
      <c r="B3299" s="2">
        <v>45233</v>
      </c>
      <c r="C3299" t="s">
        <v>411</v>
      </c>
      <c r="D3299" t="s">
        <v>816</v>
      </c>
      <c r="E3299" t="s">
        <v>831</v>
      </c>
      <c r="F3299">
        <v>4</v>
      </c>
      <c r="G3299">
        <v>0</v>
      </c>
      <c r="H3299" t="s">
        <v>858</v>
      </c>
      <c r="I3299" t="str">
        <f>VLOOKUP(C3299,Customers!A:C,2,FALSE)&amp;" "&amp;VLOOKUP(C3299,Customers!A:C,3,FALSE)</f>
        <v>Travis Peters</v>
      </c>
      <c r="J3299" t="str">
        <f>VLOOKUP(D3299,Products!A:C,2,FALSE)</f>
        <v>Set Dairy</v>
      </c>
      <c r="K3299" t="str">
        <f>VLOOKUP(D3299,Products!A:C,3,FALSE)</f>
        <v>Groceries</v>
      </c>
      <c r="L3299" t="str">
        <f>VLOOKUP(E3299,Stores!A:B,2,FALSE)</f>
        <v>MegaMart Jimenezborough</v>
      </c>
      <c r="M3299">
        <f>VLOOKUP(D3299,Products!A:E,5,FALSE)</f>
        <v>1879.08</v>
      </c>
      <c r="N3299" s="5">
        <f t="shared" si="51"/>
        <v>7516.32</v>
      </c>
    </row>
    <row r="3300" spans="1:14" x14ac:dyDescent="0.3">
      <c r="A3300" t="s">
        <v>4156</v>
      </c>
      <c r="B3300" s="2">
        <v>45833</v>
      </c>
      <c r="C3300" t="s">
        <v>339</v>
      </c>
      <c r="D3300" t="s">
        <v>806</v>
      </c>
      <c r="E3300" t="s">
        <v>839</v>
      </c>
      <c r="F3300">
        <v>2</v>
      </c>
      <c r="G3300">
        <v>0.15</v>
      </c>
      <c r="H3300" t="s">
        <v>861</v>
      </c>
      <c r="I3300" t="str">
        <f>VLOOKUP(C3300,Customers!A:C,2,FALSE)&amp;" "&amp;VLOOKUP(C3300,Customers!A:C,3,FALSE)</f>
        <v>Carrie Peterson</v>
      </c>
      <c r="J3300" t="str">
        <f>VLOOKUP(D3300,Products!A:C,2,FALSE)</f>
        <v>Piece Headphones</v>
      </c>
      <c r="K3300" t="str">
        <f>VLOOKUP(D3300,Products!A:C,3,FALSE)</f>
        <v>Electronics</v>
      </c>
      <c r="L3300" t="str">
        <f>VLOOKUP(E3300,Stores!A:B,2,FALSE)</f>
        <v>MegaMart New Michele</v>
      </c>
      <c r="M3300">
        <f>VLOOKUP(D3300,Products!A:E,5,FALSE)</f>
        <v>1745.61</v>
      </c>
      <c r="N3300" s="5">
        <f t="shared" si="51"/>
        <v>2967.5369999999998</v>
      </c>
    </row>
    <row r="3301" spans="1:14" x14ac:dyDescent="0.3">
      <c r="A3301" t="s">
        <v>4157</v>
      </c>
      <c r="B3301" s="2">
        <v>45251</v>
      </c>
      <c r="C3301" t="s">
        <v>627</v>
      </c>
      <c r="D3301" t="s">
        <v>798</v>
      </c>
      <c r="E3301" t="s">
        <v>839</v>
      </c>
      <c r="F3301">
        <v>4</v>
      </c>
      <c r="G3301">
        <v>0.15</v>
      </c>
      <c r="H3301" t="s">
        <v>855</v>
      </c>
      <c r="I3301" t="str">
        <f>VLOOKUP(C3301,Customers!A:C,2,FALSE)&amp;" "&amp;VLOOKUP(C3301,Customers!A:C,3,FALSE)</f>
        <v>Anthony Gould</v>
      </c>
      <c r="J3301" t="str">
        <f>VLOOKUP(D3301,Products!A:C,2,FALSE)</f>
        <v>New Watches</v>
      </c>
      <c r="K3301" t="str">
        <f>VLOOKUP(D3301,Products!A:C,3,FALSE)</f>
        <v>Fashion</v>
      </c>
      <c r="L3301" t="str">
        <f>VLOOKUP(E3301,Stores!A:B,2,FALSE)</f>
        <v>MegaMart New Michele</v>
      </c>
      <c r="M3301">
        <f>VLOOKUP(D3301,Products!A:E,5,FALSE)</f>
        <v>1501.46</v>
      </c>
      <c r="N3301" s="5">
        <f t="shared" si="51"/>
        <v>5104.9639999999999</v>
      </c>
    </row>
    <row r="3302" spans="1:14" x14ac:dyDescent="0.3">
      <c r="A3302" t="s">
        <v>4158</v>
      </c>
      <c r="B3302" s="2">
        <v>45775</v>
      </c>
      <c r="C3302" t="s">
        <v>163</v>
      </c>
      <c r="D3302" t="s">
        <v>812</v>
      </c>
      <c r="E3302" t="s">
        <v>842</v>
      </c>
      <c r="F3302">
        <v>2</v>
      </c>
      <c r="G3302">
        <v>0.15</v>
      </c>
      <c r="H3302" t="s">
        <v>861</v>
      </c>
      <c r="I3302" t="str">
        <f>VLOOKUP(C3302,Customers!A:C,2,FALSE)&amp;" "&amp;VLOOKUP(C3302,Customers!A:C,3,FALSE)</f>
        <v>Anna Andrews</v>
      </c>
      <c r="J3302" t="str">
        <f>VLOOKUP(D3302,Products!A:C,2,FALSE)</f>
        <v>Soon Accessories</v>
      </c>
      <c r="K3302" t="str">
        <f>VLOOKUP(D3302,Products!A:C,3,FALSE)</f>
        <v>Fashion</v>
      </c>
      <c r="L3302" t="str">
        <f>VLOOKUP(E3302,Stores!A:B,2,FALSE)</f>
        <v>MegaMart Brianahaven</v>
      </c>
      <c r="M3302">
        <f>VLOOKUP(D3302,Products!A:E,5,FALSE)</f>
        <v>564.41999999999996</v>
      </c>
      <c r="N3302" s="5">
        <f t="shared" si="51"/>
        <v>959.5139999999999</v>
      </c>
    </row>
    <row r="3303" spans="1:14" x14ac:dyDescent="0.3">
      <c r="A3303" t="s">
        <v>4159</v>
      </c>
      <c r="B3303" s="2">
        <v>45407</v>
      </c>
      <c r="C3303" t="s">
        <v>24</v>
      </c>
      <c r="D3303" t="s">
        <v>792</v>
      </c>
      <c r="E3303" t="s">
        <v>835</v>
      </c>
      <c r="F3303">
        <v>4</v>
      </c>
      <c r="G3303">
        <v>0.15</v>
      </c>
      <c r="H3303" t="s">
        <v>861</v>
      </c>
      <c r="I3303" t="str">
        <f>VLOOKUP(C3303,Customers!A:C,2,FALSE)&amp;" "&amp;VLOOKUP(C3303,Customers!A:C,3,FALSE)</f>
        <v>Jamie Salinas</v>
      </c>
      <c r="J3303" t="str">
        <f>VLOOKUP(D3303,Products!A:C,2,FALSE)</f>
        <v>Beat Accessories</v>
      </c>
      <c r="K3303" t="str">
        <f>VLOOKUP(D3303,Products!A:C,3,FALSE)</f>
        <v>Fashion</v>
      </c>
      <c r="L3303" t="str">
        <f>VLOOKUP(E3303,Stores!A:B,2,FALSE)</f>
        <v>MegaMart Peckmouth</v>
      </c>
      <c r="M3303">
        <f>VLOOKUP(D3303,Products!A:E,5,FALSE)</f>
        <v>1798.97</v>
      </c>
      <c r="N3303" s="5">
        <f t="shared" si="51"/>
        <v>6116.4979999999996</v>
      </c>
    </row>
    <row r="3304" spans="1:14" x14ac:dyDescent="0.3">
      <c r="A3304" t="s">
        <v>4160</v>
      </c>
      <c r="B3304" s="2">
        <v>45837</v>
      </c>
      <c r="C3304" t="s">
        <v>516</v>
      </c>
      <c r="D3304" t="s">
        <v>747</v>
      </c>
      <c r="E3304" t="s">
        <v>846</v>
      </c>
      <c r="F3304">
        <v>2</v>
      </c>
      <c r="G3304">
        <v>0</v>
      </c>
      <c r="H3304" t="s">
        <v>855</v>
      </c>
      <c r="I3304" t="str">
        <f>VLOOKUP(C3304,Customers!A:C,2,FALSE)&amp;" "&amp;VLOOKUP(C3304,Customers!A:C,3,FALSE)</f>
        <v>Suzanne Fox</v>
      </c>
      <c r="J3304" t="str">
        <f>VLOOKUP(D3304,Products!A:C,2,FALSE)</f>
        <v>World Watches</v>
      </c>
      <c r="K3304" t="str">
        <f>VLOOKUP(D3304,Products!A:C,3,FALSE)</f>
        <v>Fashion</v>
      </c>
      <c r="L3304" t="str">
        <f>VLOOKUP(E3304,Stores!A:B,2,FALSE)</f>
        <v>MegaMart Johnmouth</v>
      </c>
      <c r="M3304">
        <f>VLOOKUP(D3304,Products!A:E,5,FALSE)</f>
        <v>1134.8</v>
      </c>
      <c r="N3304" s="5">
        <f t="shared" si="51"/>
        <v>2269.6</v>
      </c>
    </row>
    <row r="3305" spans="1:14" x14ac:dyDescent="0.3">
      <c r="A3305" t="s">
        <v>4161</v>
      </c>
      <c r="B3305" s="2">
        <v>45799</v>
      </c>
      <c r="C3305" t="s">
        <v>653</v>
      </c>
      <c r="D3305" t="s">
        <v>806</v>
      </c>
      <c r="E3305" t="s">
        <v>839</v>
      </c>
      <c r="F3305">
        <v>5</v>
      </c>
      <c r="G3305">
        <v>0.1</v>
      </c>
      <c r="H3305" t="s">
        <v>865</v>
      </c>
      <c r="I3305" t="str">
        <f>VLOOKUP(C3305,Customers!A:C,2,FALSE)&amp;" "&amp;VLOOKUP(C3305,Customers!A:C,3,FALSE)</f>
        <v>Joe Vincent</v>
      </c>
      <c r="J3305" t="str">
        <f>VLOOKUP(D3305,Products!A:C,2,FALSE)</f>
        <v>Piece Headphones</v>
      </c>
      <c r="K3305" t="str">
        <f>VLOOKUP(D3305,Products!A:C,3,FALSE)</f>
        <v>Electronics</v>
      </c>
      <c r="L3305" t="str">
        <f>VLOOKUP(E3305,Stores!A:B,2,FALSE)</f>
        <v>MegaMart New Michele</v>
      </c>
      <c r="M3305">
        <f>VLOOKUP(D3305,Products!A:E,5,FALSE)</f>
        <v>1745.61</v>
      </c>
      <c r="N3305" s="5">
        <f t="shared" si="51"/>
        <v>7855.2449999999999</v>
      </c>
    </row>
    <row r="3306" spans="1:14" x14ac:dyDescent="0.3">
      <c r="A3306" t="s">
        <v>4162</v>
      </c>
      <c r="B3306" s="2">
        <v>45196</v>
      </c>
      <c r="C3306" t="s">
        <v>266</v>
      </c>
      <c r="D3306" t="s">
        <v>739</v>
      </c>
      <c r="E3306" t="s">
        <v>846</v>
      </c>
      <c r="F3306">
        <v>3</v>
      </c>
      <c r="G3306">
        <v>0.15</v>
      </c>
      <c r="H3306" t="s">
        <v>865</v>
      </c>
      <c r="I3306" t="str">
        <f>VLOOKUP(C3306,Customers!A:C,2,FALSE)&amp;" "&amp;VLOOKUP(C3306,Customers!A:C,3,FALSE)</f>
        <v>Eric Bryan</v>
      </c>
      <c r="J3306" t="str">
        <f>VLOOKUP(D3306,Products!A:C,2,FALSE)</f>
        <v>Step Smartphone</v>
      </c>
      <c r="K3306" t="str">
        <f>VLOOKUP(D3306,Products!A:C,3,FALSE)</f>
        <v>Electronics</v>
      </c>
      <c r="L3306" t="str">
        <f>VLOOKUP(E3306,Stores!A:B,2,FALSE)</f>
        <v>MegaMart Johnmouth</v>
      </c>
      <c r="M3306">
        <f>VLOOKUP(D3306,Products!A:E,5,FALSE)</f>
        <v>1194.1199999999999</v>
      </c>
      <c r="N3306" s="5">
        <f t="shared" si="51"/>
        <v>3045.0059999999999</v>
      </c>
    </row>
    <row r="3307" spans="1:14" x14ac:dyDescent="0.3">
      <c r="A3307" t="s">
        <v>4163</v>
      </c>
      <c r="B3307" s="2">
        <v>45851</v>
      </c>
      <c r="C3307" t="s">
        <v>71</v>
      </c>
      <c r="D3307" t="s">
        <v>786</v>
      </c>
      <c r="E3307" t="s">
        <v>846</v>
      </c>
      <c r="F3307">
        <v>1</v>
      </c>
      <c r="G3307">
        <v>0.05</v>
      </c>
      <c r="H3307" t="s">
        <v>855</v>
      </c>
      <c r="I3307" t="str">
        <f>VLOOKUP(C3307,Customers!A:C,2,FALSE)&amp;" "&amp;VLOOKUP(C3307,Customers!A:C,3,FALSE)</f>
        <v>Vanessa Anderson</v>
      </c>
      <c r="J3307" t="str">
        <f>VLOOKUP(D3307,Products!A:C,2,FALSE)</f>
        <v>National Watches</v>
      </c>
      <c r="K3307" t="str">
        <f>VLOOKUP(D3307,Products!A:C,3,FALSE)</f>
        <v>Fashion</v>
      </c>
      <c r="L3307" t="str">
        <f>VLOOKUP(E3307,Stores!A:B,2,FALSE)</f>
        <v>MegaMart Johnmouth</v>
      </c>
      <c r="M3307">
        <f>VLOOKUP(D3307,Products!A:E,5,FALSE)</f>
        <v>29.24</v>
      </c>
      <c r="N3307" s="5">
        <f t="shared" si="51"/>
        <v>27.777999999999999</v>
      </c>
    </row>
    <row r="3308" spans="1:14" x14ac:dyDescent="0.3">
      <c r="A3308" t="s">
        <v>4164</v>
      </c>
      <c r="B3308" s="2">
        <v>45456</v>
      </c>
      <c r="C3308" t="s">
        <v>247</v>
      </c>
      <c r="D3308" t="s">
        <v>786</v>
      </c>
      <c r="E3308" t="s">
        <v>835</v>
      </c>
      <c r="F3308">
        <v>5</v>
      </c>
      <c r="G3308">
        <v>0.05</v>
      </c>
      <c r="H3308" t="s">
        <v>858</v>
      </c>
      <c r="I3308" t="str">
        <f>VLOOKUP(C3308,Customers!A:C,2,FALSE)&amp;" "&amp;VLOOKUP(C3308,Customers!A:C,3,FALSE)</f>
        <v>Scott Duke</v>
      </c>
      <c r="J3308" t="str">
        <f>VLOOKUP(D3308,Products!A:C,2,FALSE)</f>
        <v>National Watches</v>
      </c>
      <c r="K3308" t="str">
        <f>VLOOKUP(D3308,Products!A:C,3,FALSE)</f>
        <v>Fashion</v>
      </c>
      <c r="L3308" t="str">
        <f>VLOOKUP(E3308,Stores!A:B,2,FALSE)</f>
        <v>MegaMart Peckmouth</v>
      </c>
      <c r="M3308">
        <f>VLOOKUP(D3308,Products!A:E,5,FALSE)</f>
        <v>29.24</v>
      </c>
      <c r="N3308" s="5">
        <f t="shared" si="51"/>
        <v>138.88999999999999</v>
      </c>
    </row>
    <row r="3309" spans="1:14" x14ac:dyDescent="0.3">
      <c r="A3309" t="s">
        <v>4165</v>
      </c>
      <c r="B3309" s="2">
        <v>45613</v>
      </c>
      <c r="C3309" t="s">
        <v>498</v>
      </c>
      <c r="D3309" t="s">
        <v>792</v>
      </c>
      <c r="E3309" t="s">
        <v>831</v>
      </c>
      <c r="F3309">
        <v>2</v>
      </c>
      <c r="G3309">
        <v>0</v>
      </c>
      <c r="H3309" t="s">
        <v>855</v>
      </c>
      <c r="I3309" t="str">
        <f>VLOOKUP(C3309,Customers!A:C,2,FALSE)&amp;" "&amp;VLOOKUP(C3309,Customers!A:C,3,FALSE)</f>
        <v>Amanda Garcia</v>
      </c>
      <c r="J3309" t="str">
        <f>VLOOKUP(D3309,Products!A:C,2,FALSE)</f>
        <v>Beat Accessories</v>
      </c>
      <c r="K3309" t="str">
        <f>VLOOKUP(D3309,Products!A:C,3,FALSE)</f>
        <v>Fashion</v>
      </c>
      <c r="L3309" t="str">
        <f>VLOOKUP(E3309,Stores!A:B,2,FALSE)</f>
        <v>MegaMart Jimenezborough</v>
      </c>
      <c r="M3309">
        <f>VLOOKUP(D3309,Products!A:E,5,FALSE)</f>
        <v>1798.97</v>
      </c>
      <c r="N3309" s="5">
        <f t="shared" si="51"/>
        <v>3597.94</v>
      </c>
    </row>
    <row r="3310" spans="1:14" x14ac:dyDescent="0.3">
      <c r="A3310" t="s">
        <v>4166</v>
      </c>
      <c r="B3310" s="2">
        <v>45666</v>
      </c>
      <c r="C3310" t="s">
        <v>693</v>
      </c>
      <c r="D3310" t="s">
        <v>810</v>
      </c>
      <c r="E3310" t="s">
        <v>846</v>
      </c>
      <c r="F3310">
        <v>4</v>
      </c>
      <c r="G3310">
        <v>0.1</v>
      </c>
      <c r="H3310" t="s">
        <v>865</v>
      </c>
      <c r="I3310" t="str">
        <f>VLOOKUP(C3310,Customers!A:C,2,FALSE)&amp;" "&amp;VLOOKUP(C3310,Customers!A:C,3,FALSE)</f>
        <v>Matthew Dixon</v>
      </c>
      <c r="J3310" t="str">
        <f>VLOOKUP(D3310,Products!A:C,2,FALSE)</f>
        <v>Maybe Clothing</v>
      </c>
      <c r="K3310" t="str">
        <f>VLOOKUP(D3310,Products!A:C,3,FALSE)</f>
        <v>Fashion</v>
      </c>
      <c r="L3310" t="str">
        <f>VLOOKUP(E3310,Stores!A:B,2,FALSE)</f>
        <v>MegaMart Johnmouth</v>
      </c>
      <c r="M3310">
        <f>VLOOKUP(D3310,Products!A:E,5,FALSE)</f>
        <v>453.62</v>
      </c>
      <c r="N3310" s="5">
        <f t="shared" si="51"/>
        <v>1633.0320000000002</v>
      </c>
    </row>
    <row r="3311" spans="1:14" x14ac:dyDescent="0.3">
      <c r="A3311" t="s">
        <v>4167</v>
      </c>
      <c r="B3311" s="2">
        <v>45860</v>
      </c>
      <c r="C3311" t="s">
        <v>458</v>
      </c>
      <c r="D3311" t="s">
        <v>810</v>
      </c>
      <c r="E3311" t="s">
        <v>835</v>
      </c>
      <c r="F3311">
        <v>2</v>
      </c>
      <c r="G3311">
        <v>0</v>
      </c>
      <c r="H3311" t="s">
        <v>855</v>
      </c>
      <c r="I3311" t="str">
        <f>VLOOKUP(C3311,Customers!A:C,2,FALSE)&amp;" "&amp;VLOOKUP(C3311,Customers!A:C,3,FALSE)</f>
        <v>Chad Roberts</v>
      </c>
      <c r="J3311" t="str">
        <f>VLOOKUP(D3311,Products!A:C,2,FALSE)</f>
        <v>Maybe Clothing</v>
      </c>
      <c r="K3311" t="str">
        <f>VLOOKUP(D3311,Products!A:C,3,FALSE)</f>
        <v>Fashion</v>
      </c>
      <c r="L3311" t="str">
        <f>VLOOKUP(E3311,Stores!A:B,2,FALSE)</f>
        <v>MegaMart Peckmouth</v>
      </c>
      <c r="M3311">
        <f>VLOOKUP(D3311,Products!A:E,5,FALSE)</f>
        <v>453.62</v>
      </c>
      <c r="N3311" s="5">
        <f t="shared" si="51"/>
        <v>907.24</v>
      </c>
    </row>
    <row r="3312" spans="1:14" x14ac:dyDescent="0.3">
      <c r="A3312" t="s">
        <v>4168</v>
      </c>
      <c r="B3312" s="2">
        <v>45568</v>
      </c>
      <c r="C3312" t="s">
        <v>653</v>
      </c>
      <c r="D3312" t="s">
        <v>802</v>
      </c>
      <c r="E3312" t="s">
        <v>842</v>
      </c>
      <c r="F3312">
        <v>3</v>
      </c>
      <c r="G3312">
        <v>0.1</v>
      </c>
      <c r="H3312" t="s">
        <v>861</v>
      </c>
      <c r="I3312" t="str">
        <f>VLOOKUP(C3312,Customers!A:C,2,FALSE)&amp;" "&amp;VLOOKUP(C3312,Customers!A:C,3,FALSE)</f>
        <v>Joe Vincent</v>
      </c>
      <c r="J3312" t="str">
        <f>VLOOKUP(D3312,Products!A:C,2,FALSE)</f>
        <v>Stage Footwear</v>
      </c>
      <c r="K3312" t="str">
        <f>VLOOKUP(D3312,Products!A:C,3,FALSE)</f>
        <v>Fashion</v>
      </c>
      <c r="L3312" t="str">
        <f>VLOOKUP(E3312,Stores!A:B,2,FALSE)</f>
        <v>MegaMart Brianahaven</v>
      </c>
      <c r="M3312">
        <f>VLOOKUP(D3312,Products!A:E,5,FALSE)</f>
        <v>366.93</v>
      </c>
      <c r="N3312" s="5">
        <f t="shared" si="51"/>
        <v>990.71100000000001</v>
      </c>
    </row>
    <row r="3313" spans="1:14" x14ac:dyDescent="0.3">
      <c r="A3313" t="s">
        <v>4169</v>
      </c>
      <c r="B3313" s="2">
        <v>45786</v>
      </c>
      <c r="C3313" t="s">
        <v>577</v>
      </c>
      <c r="D3313" t="s">
        <v>812</v>
      </c>
      <c r="E3313" t="s">
        <v>842</v>
      </c>
      <c r="F3313">
        <v>5</v>
      </c>
      <c r="G3313">
        <v>0.1</v>
      </c>
      <c r="H3313" t="s">
        <v>865</v>
      </c>
      <c r="I3313" t="str">
        <f>VLOOKUP(C3313,Customers!A:C,2,FALSE)&amp;" "&amp;VLOOKUP(C3313,Customers!A:C,3,FALSE)</f>
        <v>Michael Perez</v>
      </c>
      <c r="J3313" t="str">
        <f>VLOOKUP(D3313,Products!A:C,2,FALSE)</f>
        <v>Soon Accessories</v>
      </c>
      <c r="K3313" t="str">
        <f>VLOOKUP(D3313,Products!A:C,3,FALSE)</f>
        <v>Fashion</v>
      </c>
      <c r="L3313" t="str">
        <f>VLOOKUP(E3313,Stores!A:B,2,FALSE)</f>
        <v>MegaMart Brianahaven</v>
      </c>
      <c r="M3313">
        <f>VLOOKUP(D3313,Products!A:E,5,FALSE)</f>
        <v>564.41999999999996</v>
      </c>
      <c r="N3313" s="5">
        <f t="shared" si="51"/>
        <v>2539.89</v>
      </c>
    </row>
    <row r="3314" spans="1:14" x14ac:dyDescent="0.3">
      <c r="A3314" t="s">
        <v>4170</v>
      </c>
      <c r="B3314" s="2">
        <v>45231</v>
      </c>
      <c r="C3314" t="s">
        <v>368</v>
      </c>
      <c r="D3314" t="s">
        <v>794</v>
      </c>
      <c r="E3314" t="s">
        <v>842</v>
      </c>
      <c r="F3314">
        <v>5</v>
      </c>
      <c r="G3314">
        <v>0.05</v>
      </c>
      <c r="H3314" t="s">
        <v>861</v>
      </c>
      <c r="I3314" t="str">
        <f>VLOOKUP(C3314,Customers!A:C,2,FALSE)&amp;" "&amp;VLOOKUP(C3314,Customers!A:C,3,FALSE)</f>
        <v>Lisa Vega</v>
      </c>
      <c r="J3314" t="str">
        <f>VLOOKUP(D3314,Products!A:C,2,FALSE)</f>
        <v>Everything Laptop</v>
      </c>
      <c r="K3314" t="str">
        <f>VLOOKUP(D3314,Products!A:C,3,FALSE)</f>
        <v>Electronics</v>
      </c>
      <c r="L3314" t="str">
        <f>VLOOKUP(E3314,Stores!A:B,2,FALSE)</f>
        <v>MegaMart Brianahaven</v>
      </c>
      <c r="M3314">
        <f>VLOOKUP(D3314,Products!A:E,5,FALSE)</f>
        <v>428.05</v>
      </c>
      <c r="N3314" s="5">
        <f t="shared" si="51"/>
        <v>2033.2375</v>
      </c>
    </row>
    <row r="3315" spans="1:14" x14ac:dyDescent="0.3">
      <c r="A3315" t="s">
        <v>4171</v>
      </c>
      <c r="B3315" s="2">
        <v>45514</v>
      </c>
      <c r="C3315" t="s">
        <v>317</v>
      </c>
      <c r="D3315" t="s">
        <v>728</v>
      </c>
      <c r="E3315" t="s">
        <v>831</v>
      </c>
      <c r="F3315">
        <v>3</v>
      </c>
      <c r="G3315">
        <v>0.1</v>
      </c>
      <c r="H3315" t="s">
        <v>858</v>
      </c>
      <c r="I3315" t="str">
        <f>VLOOKUP(C3315,Customers!A:C,2,FALSE)&amp;" "&amp;VLOOKUP(C3315,Customers!A:C,3,FALSE)</f>
        <v>Amanda Lee</v>
      </c>
      <c r="J3315" t="str">
        <f>VLOOKUP(D3315,Products!A:C,2,FALSE)</f>
        <v>Company Fruits</v>
      </c>
      <c r="K3315" t="str">
        <f>VLOOKUP(D3315,Products!A:C,3,FALSE)</f>
        <v>Groceries</v>
      </c>
      <c r="L3315" t="str">
        <f>VLOOKUP(E3315,Stores!A:B,2,FALSE)</f>
        <v>MegaMart Jimenezborough</v>
      </c>
      <c r="M3315">
        <f>VLOOKUP(D3315,Products!A:E,5,FALSE)</f>
        <v>318.05</v>
      </c>
      <c r="N3315" s="5">
        <f t="shared" si="51"/>
        <v>858.73500000000013</v>
      </c>
    </row>
    <row r="3316" spans="1:14" x14ac:dyDescent="0.3">
      <c r="A3316" t="s">
        <v>4172</v>
      </c>
      <c r="B3316" s="2">
        <v>45876</v>
      </c>
      <c r="C3316" t="s">
        <v>687</v>
      </c>
      <c r="D3316" t="s">
        <v>753</v>
      </c>
      <c r="E3316" t="s">
        <v>835</v>
      </c>
      <c r="F3316">
        <v>5</v>
      </c>
      <c r="G3316">
        <v>0.1</v>
      </c>
      <c r="H3316" t="s">
        <v>858</v>
      </c>
      <c r="I3316" t="str">
        <f>VLOOKUP(C3316,Customers!A:C,2,FALSE)&amp;" "&amp;VLOOKUP(C3316,Customers!A:C,3,FALSE)</f>
        <v>James Mitchell</v>
      </c>
      <c r="J3316" t="str">
        <f>VLOOKUP(D3316,Products!A:C,2,FALSE)</f>
        <v>Whether Bags</v>
      </c>
      <c r="K3316" t="str">
        <f>VLOOKUP(D3316,Products!A:C,3,FALSE)</f>
        <v>Fashion</v>
      </c>
      <c r="L3316" t="str">
        <f>VLOOKUP(E3316,Stores!A:B,2,FALSE)</f>
        <v>MegaMart Peckmouth</v>
      </c>
      <c r="M3316">
        <f>VLOOKUP(D3316,Products!A:E,5,FALSE)</f>
        <v>270.45</v>
      </c>
      <c r="N3316" s="5">
        <f t="shared" si="51"/>
        <v>1217.0250000000001</v>
      </c>
    </row>
    <row r="3317" spans="1:14" x14ac:dyDescent="0.3">
      <c r="A3317" t="s">
        <v>4173</v>
      </c>
      <c r="B3317" s="2">
        <v>45184</v>
      </c>
      <c r="C3317" t="s">
        <v>228</v>
      </c>
      <c r="D3317" t="s">
        <v>745</v>
      </c>
      <c r="E3317" t="s">
        <v>842</v>
      </c>
      <c r="F3317">
        <v>5</v>
      </c>
      <c r="G3317">
        <v>0</v>
      </c>
      <c r="H3317" t="s">
        <v>865</v>
      </c>
      <c r="I3317" t="str">
        <f>VLOOKUP(C3317,Customers!A:C,2,FALSE)&amp;" "&amp;VLOOKUP(C3317,Customers!A:C,3,FALSE)</f>
        <v>Scott Wyatt</v>
      </c>
      <c r="J3317" t="str">
        <f>VLOOKUP(D3317,Products!A:C,2,FALSE)</f>
        <v>Above Camera</v>
      </c>
      <c r="K3317" t="str">
        <f>VLOOKUP(D3317,Products!A:C,3,FALSE)</f>
        <v>Electronics</v>
      </c>
      <c r="L3317" t="str">
        <f>VLOOKUP(E3317,Stores!A:B,2,FALSE)</f>
        <v>MegaMart Brianahaven</v>
      </c>
      <c r="M3317">
        <f>VLOOKUP(D3317,Products!A:E,5,FALSE)</f>
        <v>1193.0899999999999</v>
      </c>
      <c r="N3317" s="5">
        <f t="shared" si="51"/>
        <v>5965.45</v>
      </c>
    </row>
    <row r="3318" spans="1:14" x14ac:dyDescent="0.3">
      <c r="A3318" t="s">
        <v>4174</v>
      </c>
      <c r="B3318" s="2">
        <v>45467</v>
      </c>
      <c r="C3318" t="s">
        <v>109</v>
      </c>
      <c r="D3318" t="s">
        <v>792</v>
      </c>
      <c r="E3318" t="s">
        <v>846</v>
      </c>
      <c r="F3318">
        <v>2</v>
      </c>
      <c r="G3318">
        <v>0.05</v>
      </c>
      <c r="H3318" t="s">
        <v>858</v>
      </c>
      <c r="I3318" t="str">
        <f>VLOOKUP(C3318,Customers!A:C,2,FALSE)&amp;" "&amp;VLOOKUP(C3318,Customers!A:C,3,FALSE)</f>
        <v>Jacqueline Martin</v>
      </c>
      <c r="J3318" t="str">
        <f>VLOOKUP(D3318,Products!A:C,2,FALSE)</f>
        <v>Beat Accessories</v>
      </c>
      <c r="K3318" t="str">
        <f>VLOOKUP(D3318,Products!A:C,3,FALSE)</f>
        <v>Fashion</v>
      </c>
      <c r="L3318" t="str">
        <f>VLOOKUP(E3318,Stores!A:B,2,FALSE)</f>
        <v>MegaMart Johnmouth</v>
      </c>
      <c r="M3318">
        <f>VLOOKUP(D3318,Products!A:E,5,FALSE)</f>
        <v>1798.97</v>
      </c>
      <c r="N3318" s="5">
        <f t="shared" si="51"/>
        <v>3418.0429999999997</v>
      </c>
    </row>
    <row r="3319" spans="1:14" x14ac:dyDescent="0.3">
      <c r="A3319" t="s">
        <v>4175</v>
      </c>
      <c r="B3319" s="2">
        <v>45347</v>
      </c>
      <c r="C3319" t="s">
        <v>51</v>
      </c>
      <c r="D3319" t="s">
        <v>800</v>
      </c>
      <c r="E3319" t="s">
        <v>835</v>
      </c>
      <c r="F3319">
        <v>4</v>
      </c>
      <c r="G3319">
        <v>0.15</v>
      </c>
      <c r="H3319" t="s">
        <v>865</v>
      </c>
      <c r="I3319" t="str">
        <f>VLOOKUP(C3319,Customers!A:C,2,FALSE)&amp;" "&amp;VLOOKUP(C3319,Customers!A:C,3,FALSE)</f>
        <v>Dale Perry</v>
      </c>
      <c r="J3319" t="str">
        <f>VLOOKUP(D3319,Products!A:C,2,FALSE)</f>
        <v>Book Television</v>
      </c>
      <c r="K3319" t="str">
        <f>VLOOKUP(D3319,Products!A:C,3,FALSE)</f>
        <v>Electronics</v>
      </c>
      <c r="L3319" t="str">
        <f>VLOOKUP(E3319,Stores!A:B,2,FALSE)</f>
        <v>MegaMart Peckmouth</v>
      </c>
      <c r="M3319">
        <f>VLOOKUP(D3319,Products!A:E,5,FALSE)</f>
        <v>1952.65</v>
      </c>
      <c r="N3319" s="5">
        <f t="shared" si="51"/>
        <v>6639.01</v>
      </c>
    </row>
    <row r="3320" spans="1:14" x14ac:dyDescent="0.3">
      <c r="A3320" t="s">
        <v>4176</v>
      </c>
      <c r="B3320" s="2">
        <v>45217</v>
      </c>
      <c r="C3320" t="s">
        <v>109</v>
      </c>
      <c r="D3320" t="s">
        <v>824</v>
      </c>
      <c r="E3320" t="s">
        <v>846</v>
      </c>
      <c r="F3320">
        <v>4</v>
      </c>
      <c r="G3320">
        <v>0.05</v>
      </c>
      <c r="H3320" t="s">
        <v>861</v>
      </c>
      <c r="I3320" t="str">
        <f>VLOOKUP(C3320,Customers!A:C,2,FALSE)&amp;" "&amp;VLOOKUP(C3320,Customers!A:C,3,FALSE)</f>
        <v>Jacqueline Martin</v>
      </c>
      <c r="J3320" t="str">
        <f>VLOOKUP(D3320,Products!A:C,2,FALSE)</f>
        <v>Possible Watches</v>
      </c>
      <c r="K3320" t="str">
        <f>VLOOKUP(D3320,Products!A:C,3,FALSE)</f>
        <v>Fashion</v>
      </c>
      <c r="L3320" t="str">
        <f>VLOOKUP(E3320,Stores!A:B,2,FALSE)</f>
        <v>MegaMart Johnmouth</v>
      </c>
      <c r="M3320">
        <f>VLOOKUP(D3320,Products!A:E,5,FALSE)</f>
        <v>388.26</v>
      </c>
      <c r="N3320" s="5">
        <f t="shared" si="51"/>
        <v>1475.3879999999999</v>
      </c>
    </row>
    <row r="3321" spans="1:14" x14ac:dyDescent="0.3">
      <c r="A3321" t="s">
        <v>4177</v>
      </c>
      <c r="B3321" s="2">
        <v>45453</v>
      </c>
      <c r="C3321" t="s">
        <v>666</v>
      </c>
      <c r="D3321" t="s">
        <v>822</v>
      </c>
      <c r="E3321" t="s">
        <v>835</v>
      </c>
      <c r="F3321">
        <v>2</v>
      </c>
      <c r="G3321">
        <v>0.1</v>
      </c>
      <c r="H3321" t="s">
        <v>865</v>
      </c>
      <c r="I3321" t="str">
        <f>VLOOKUP(C3321,Customers!A:C,2,FALSE)&amp;" "&amp;VLOOKUP(C3321,Customers!A:C,3,FALSE)</f>
        <v>Steve Flynn</v>
      </c>
      <c r="J3321" t="str">
        <f>VLOOKUP(D3321,Products!A:C,2,FALSE)</f>
        <v>Nor Bags</v>
      </c>
      <c r="K3321" t="str">
        <f>VLOOKUP(D3321,Products!A:C,3,FALSE)</f>
        <v>Fashion</v>
      </c>
      <c r="L3321" t="str">
        <f>VLOOKUP(E3321,Stores!A:B,2,FALSE)</f>
        <v>MegaMart Peckmouth</v>
      </c>
      <c r="M3321">
        <f>VLOOKUP(D3321,Products!A:E,5,FALSE)</f>
        <v>1216.3599999999999</v>
      </c>
      <c r="N3321" s="5">
        <f t="shared" si="51"/>
        <v>2189.4479999999999</v>
      </c>
    </row>
    <row r="3322" spans="1:14" x14ac:dyDescent="0.3">
      <c r="A3322" t="s">
        <v>4178</v>
      </c>
      <c r="B3322" s="2">
        <v>45224</v>
      </c>
      <c r="C3322" t="s">
        <v>44</v>
      </c>
      <c r="D3322" t="s">
        <v>812</v>
      </c>
      <c r="E3322" t="s">
        <v>839</v>
      </c>
      <c r="F3322">
        <v>1</v>
      </c>
      <c r="G3322">
        <v>0.15</v>
      </c>
      <c r="H3322" t="s">
        <v>865</v>
      </c>
      <c r="I3322" t="str">
        <f>VLOOKUP(C3322,Customers!A:C,2,FALSE)&amp;" "&amp;VLOOKUP(C3322,Customers!A:C,3,FALSE)</f>
        <v>Catherine Rice</v>
      </c>
      <c r="J3322" t="str">
        <f>VLOOKUP(D3322,Products!A:C,2,FALSE)</f>
        <v>Soon Accessories</v>
      </c>
      <c r="K3322" t="str">
        <f>VLOOKUP(D3322,Products!A:C,3,FALSE)</f>
        <v>Fashion</v>
      </c>
      <c r="L3322" t="str">
        <f>VLOOKUP(E3322,Stores!A:B,2,FALSE)</f>
        <v>MegaMart New Michele</v>
      </c>
      <c r="M3322">
        <f>VLOOKUP(D3322,Products!A:E,5,FALSE)</f>
        <v>564.41999999999996</v>
      </c>
      <c r="N3322" s="5">
        <f t="shared" si="51"/>
        <v>479.75699999999995</v>
      </c>
    </row>
    <row r="3323" spans="1:14" x14ac:dyDescent="0.3">
      <c r="A3323" t="s">
        <v>4179</v>
      </c>
      <c r="B3323" s="2">
        <v>45885</v>
      </c>
      <c r="C3323" t="s">
        <v>274</v>
      </c>
      <c r="D3323" t="s">
        <v>772</v>
      </c>
      <c r="E3323" t="s">
        <v>846</v>
      </c>
      <c r="F3323">
        <v>4</v>
      </c>
      <c r="G3323">
        <v>0.05</v>
      </c>
      <c r="H3323" t="s">
        <v>865</v>
      </c>
      <c r="I3323" t="str">
        <f>VLOOKUP(C3323,Customers!A:C,2,FALSE)&amp;" "&amp;VLOOKUP(C3323,Customers!A:C,3,FALSE)</f>
        <v>Eric Watkins</v>
      </c>
      <c r="J3323" t="str">
        <f>VLOOKUP(D3323,Products!A:C,2,FALSE)</f>
        <v>And Footwear</v>
      </c>
      <c r="K3323" t="str">
        <f>VLOOKUP(D3323,Products!A:C,3,FALSE)</f>
        <v>Fashion</v>
      </c>
      <c r="L3323" t="str">
        <f>VLOOKUP(E3323,Stores!A:B,2,FALSE)</f>
        <v>MegaMart Johnmouth</v>
      </c>
      <c r="M3323">
        <f>VLOOKUP(D3323,Products!A:E,5,FALSE)</f>
        <v>1878.47</v>
      </c>
      <c r="N3323" s="5">
        <f t="shared" si="51"/>
        <v>7138.1859999999997</v>
      </c>
    </row>
    <row r="3324" spans="1:14" x14ac:dyDescent="0.3">
      <c r="A3324" t="s">
        <v>4180</v>
      </c>
      <c r="B3324" s="2">
        <v>45322</v>
      </c>
      <c r="C3324" t="s">
        <v>331</v>
      </c>
      <c r="D3324" t="s">
        <v>796</v>
      </c>
      <c r="E3324" t="s">
        <v>835</v>
      </c>
      <c r="F3324">
        <v>5</v>
      </c>
      <c r="G3324">
        <v>0</v>
      </c>
      <c r="H3324" t="s">
        <v>865</v>
      </c>
      <c r="I3324" t="str">
        <f>VLOOKUP(C3324,Customers!A:C,2,FALSE)&amp;" "&amp;VLOOKUP(C3324,Customers!A:C,3,FALSE)</f>
        <v>Brenda Costa</v>
      </c>
      <c r="J3324" t="str">
        <f>VLOOKUP(D3324,Products!A:C,2,FALSE)</f>
        <v>Chair Laptop</v>
      </c>
      <c r="K3324" t="str">
        <f>VLOOKUP(D3324,Products!A:C,3,FALSE)</f>
        <v>Electronics</v>
      </c>
      <c r="L3324" t="str">
        <f>VLOOKUP(E3324,Stores!A:B,2,FALSE)</f>
        <v>MegaMart Peckmouth</v>
      </c>
      <c r="M3324">
        <f>VLOOKUP(D3324,Products!A:E,5,FALSE)</f>
        <v>1562.43</v>
      </c>
      <c r="N3324" s="5">
        <f t="shared" si="51"/>
        <v>7812.1500000000005</v>
      </c>
    </row>
    <row r="3325" spans="1:14" x14ac:dyDescent="0.3">
      <c r="A3325" t="s">
        <v>4181</v>
      </c>
      <c r="B3325" s="2">
        <v>45544</v>
      </c>
      <c r="C3325" t="s">
        <v>247</v>
      </c>
      <c r="D3325" t="s">
        <v>772</v>
      </c>
      <c r="E3325" t="s">
        <v>846</v>
      </c>
      <c r="F3325">
        <v>5</v>
      </c>
      <c r="G3325">
        <v>0.05</v>
      </c>
      <c r="H3325" t="s">
        <v>865</v>
      </c>
      <c r="I3325" t="str">
        <f>VLOOKUP(C3325,Customers!A:C,2,FALSE)&amp;" "&amp;VLOOKUP(C3325,Customers!A:C,3,FALSE)</f>
        <v>Scott Duke</v>
      </c>
      <c r="J3325" t="str">
        <f>VLOOKUP(D3325,Products!A:C,2,FALSE)</f>
        <v>And Footwear</v>
      </c>
      <c r="K3325" t="str">
        <f>VLOOKUP(D3325,Products!A:C,3,FALSE)</f>
        <v>Fashion</v>
      </c>
      <c r="L3325" t="str">
        <f>VLOOKUP(E3325,Stores!A:B,2,FALSE)</f>
        <v>MegaMart Johnmouth</v>
      </c>
      <c r="M3325">
        <f>VLOOKUP(D3325,Products!A:E,5,FALSE)</f>
        <v>1878.47</v>
      </c>
      <c r="N3325" s="5">
        <f t="shared" si="51"/>
        <v>8922.7325000000001</v>
      </c>
    </row>
    <row r="3326" spans="1:14" x14ac:dyDescent="0.3">
      <c r="A3326" t="s">
        <v>4182</v>
      </c>
      <c r="B3326" s="2">
        <v>45858</v>
      </c>
      <c r="C3326" t="s">
        <v>452</v>
      </c>
      <c r="D3326" t="s">
        <v>824</v>
      </c>
      <c r="E3326" t="s">
        <v>839</v>
      </c>
      <c r="F3326">
        <v>5</v>
      </c>
      <c r="G3326">
        <v>0.05</v>
      </c>
      <c r="H3326" t="s">
        <v>865</v>
      </c>
      <c r="I3326" t="str">
        <f>VLOOKUP(C3326,Customers!A:C,2,FALSE)&amp;" "&amp;VLOOKUP(C3326,Customers!A:C,3,FALSE)</f>
        <v>Amy Smith</v>
      </c>
      <c r="J3326" t="str">
        <f>VLOOKUP(D3326,Products!A:C,2,FALSE)</f>
        <v>Possible Watches</v>
      </c>
      <c r="K3326" t="str">
        <f>VLOOKUP(D3326,Products!A:C,3,FALSE)</f>
        <v>Fashion</v>
      </c>
      <c r="L3326" t="str">
        <f>VLOOKUP(E3326,Stores!A:B,2,FALSE)</f>
        <v>MegaMart New Michele</v>
      </c>
      <c r="M3326">
        <f>VLOOKUP(D3326,Products!A:E,5,FALSE)</f>
        <v>388.26</v>
      </c>
      <c r="N3326" s="5">
        <f t="shared" si="51"/>
        <v>1844.2349999999999</v>
      </c>
    </row>
    <row r="3327" spans="1:14" x14ac:dyDescent="0.3">
      <c r="A3327" t="s">
        <v>4183</v>
      </c>
      <c r="B3327" s="2">
        <v>45236</v>
      </c>
      <c r="C3327" t="s">
        <v>464</v>
      </c>
      <c r="D3327" t="s">
        <v>715</v>
      </c>
      <c r="E3327" t="s">
        <v>835</v>
      </c>
      <c r="F3327">
        <v>4</v>
      </c>
      <c r="G3327">
        <v>0.1</v>
      </c>
      <c r="H3327" t="s">
        <v>865</v>
      </c>
      <c r="I3327" t="str">
        <f>VLOOKUP(C3327,Customers!A:C,2,FALSE)&amp;" "&amp;VLOOKUP(C3327,Customers!A:C,3,FALSE)</f>
        <v>Monique Johnson</v>
      </c>
      <c r="J3327" t="str">
        <f>VLOOKUP(D3327,Products!A:C,2,FALSE)</f>
        <v>Audience Television</v>
      </c>
      <c r="K3327" t="str">
        <f>VLOOKUP(D3327,Products!A:C,3,FALSE)</f>
        <v>Electronics</v>
      </c>
      <c r="L3327" t="str">
        <f>VLOOKUP(E3327,Stores!A:B,2,FALSE)</f>
        <v>MegaMart Peckmouth</v>
      </c>
      <c r="M3327">
        <f>VLOOKUP(D3327,Products!A:E,5,FALSE)</f>
        <v>818.76</v>
      </c>
      <c r="N3327" s="5">
        <f t="shared" si="51"/>
        <v>2947.5360000000001</v>
      </c>
    </row>
    <row r="3328" spans="1:14" x14ac:dyDescent="0.3">
      <c r="A3328" t="s">
        <v>4184</v>
      </c>
      <c r="B3328" s="2">
        <v>45755</v>
      </c>
      <c r="C3328" t="s">
        <v>93</v>
      </c>
      <c r="D3328" t="s">
        <v>820</v>
      </c>
      <c r="E3328" t="s">
        <v>846</v>
      </c>
      <c r="F3328">
        <v>5</v>
      </c>
      <c r="G3328">
        <v>0.05</v>
      </c>
      <c r="H3328" t="s">
        <v>855</v>
      </c>
      <c r="I3328" t="str">
        <f>VLOOKUP(C3328,Customers!A:C,2,FALSE)&amp;" "&amp;VLOOKUP(C3328,Customers!A:C,3,FALSE)</f>
        <v>Mark Martinez</v>
      </c>
      <c r="J3328" t="str">
        <f>VLOOKUP(D3328,Products!A:C,2,FALSE)</f>
        <v>Or Smartphone</v>
      </c>
      <c r="K3328" t="str">
        <f>VLOOKUP(D3328,Products!A:C,3,FALSE)</f>
        <v>Electronics</v>
      </c>
      <c r="L3328" t="str">
        <f>VLOOKUP(E3328,Stores!A:B,2,FALSE)</f>
        <v>MegaMart Johnmouth</v>
      </c>
      <c r="M3328">
        <f>VLOOKUP(D3328,Products!A:E,5,FALSE)</f>
        <v>1197.18</v>
      </c>
      <c r="N3328" s="5">
        <f t="shared" si="51"/>
        <v>5686.6050000000005</v>
      </c>
    </row>
    <row r="3329" spans="1:14" x14ac:dyDescent="0.3">
      <c r="A3329" t="s">
        <v>4185</v>
      </c>
      <c r="B3329" s="2">
        <v>45631</v>
      </c>
      <c r="C3329" t="s">
        <v>7</v>
      </c>
      <c r="D3329" t="s">
        <v>739</v>
      </c>
      <c r="E3329" t="s">
        <v>842</v>
      </c>
      <c r="F3329">
        <v>3</v>
      </c>
      <c r="G3329">
        <v>0.1</v>
      </c>
      <c r="H3329" t="s">
        <v>858</v>
      </c>
      <c r="I3329" t="str">
        <f>VLOOKUP(C3329,Customers!A:C,2,FALSE)&amp;" "&amp;VLOOKUP(C3329,Customers!A:C,3,FALSE)</f>
        <v>Michael Davis</v>
      </c>
      <c r="J3329" t="str">
        <f>VLOOKUP(D3329,Products!A:C,2,FALSE)</f>
        <v>Step Smartphone</v>
      </c>
      <c r="K3329" t="str">
        <f>VLOOKUP(D3329,Products!A:C,3,FALSE)</f>
        <v>Electronics</v>
      </c>
      <c r="L3329" t="str">
        <f>VLOOKUP(E3329,Stores!A:B,2,FALSE)</f>
        <v>MegaMart Brianahaven</v>
      </c>
      <c r="M3329">
        <f>VLOOKUP(D3329,Products!A:E,5,FALSE)</f>
        <v>1194.1199999999999</v>
      </c>
      <c r="N3329" s="5">
        <f t="shared" si="51"/>
        <v>3224.1239999999998</v>
      </c>
    </row>
    <row r="3330" spans="1:14" x14ac:dyDescent="0.3">
      <c r="A3330" t="s">
        <v>4186</v>
      </c>
      <c r="B3330" s="2">
        <v>45892</v>
      </c>
      <c r="C3330" t="s">
        <v>520</v>
      </c>
      <c r="D3330" t="s">
        <v>769</v>
      </c>
      <c r="E3330" t="s">
        <v>835</v>
      </c>
      <c r="F3330">
        <v>1</v>
      </c>
      <c r="G3330">
        <v>0</v>
      </c>
      <c r="H3330" t="s">
        <v>865</v>
      </c>
      <c r="I3330" t="str">
        <f>VLOOKUP(C3330,Customers!A:C,2,FALSE)&amp;" "&amp;VLOOKUP(C3330,Customers!A:C,3,FALSE)</f>
        <v>Cynthia Carlson</v>
      </c>
      <c r="J3330" t="str">
        <f>VLOOKUP(D3330,Products!A:C,2,FALSE)</f>
        <v>How Vegetables</v>
      </c>
      <c r="K3330" t="str">
        <f>VLOOKUP(D3330,Products!A:C,3,FALSE)</f>
        <v>Groceries</v>
      </c>
      <c r="L3330" t="str">
        <f>VLOOKUP(E3330,Stores!A:B,2,FALSE)</f>
        <v>MegaMart Peckmouth</v>
      </c>
      <c r="M3330">
        <f>VLOOKUP(D3330,Products!A:E,5,FALSE)</f>
        <v>25.57</v>
      </c>
      <c r="N3330" s="5">
        <f t="shared" si="51"/>
        <v>25.57</v>
      </c>
    </row>
    <row r="3331" spans="1:14" x14ac:dyDescent="0.3">
      <c r="A3331" t="s">
        <v>4187</v>
      </c>
      <c r="B3331" s="2">
        <v>45343</v>
      </c>
      <c r="C3331" t="s">
        <v>608</v>
      </c>
      <c r="D3331" t="s">
        <v>816</v>
      </c>
      <c r="E3331" t="s">
        <v>839</v>
      </c>
      <c r="F3331">
        <v>2</v>
      </c>
      <c r="G3331">
        <v>0.05</v>
      </c>
      <c r="H3331" t="s">
        <v>861</v>
      </c>
      <c r="I3331" t="str">
        <f>VLOOKUP(C3331,Customers!A:C,2,FALSE)&amp;" "&amp;VLOOKUP(C3331,Customers!A:C,3,FALSE)</f>
        <v>Christina Dominguez</v>
      </c>
      <c r="J3331" t="str">
        <f>VLOOKUP(D3331,Products!A:C,2,FALSE)</f>
        <v>Set Dairy</v>
      </c>
      <c r="K3331" t="str">
        <f>VLOOKUP(D3331,Products!A:C,3,FALSE)</f>
        <v>Groceries</v>
      </c>
      <c r="L3331" t="str">
        <f>VLOOKUP(E3331,Stores!A:B,2,FALSE)</f>
        <v>MegaMart New Michele</v>
      </c>
      <c r="M3331">
        <f>VLOOKUP(D3331,Products!A:E,5,FALSE)</f>
        <v>1879.08</v>
      </c>
      <c r="N3331" s="5">
        <f t="shared" ref="N3331:N3394" si="52">F3331*M3331*(1-G3331)</f>
        <v>3570.2519999999995</v>
      </c>
    </row>
    <row r="3332" spans="1:14" x14ac:dyDescent="0.3">
      <c r="A3332" t="s">
        <v>4188</v>
      </c>
      <c r="B3332" s="2">
        <v>45391</v>
      </c>
      <c r="C3332" t="s">
        <v>230</v>
      </c>
      <c r="D3332" t="s">
        <v>800</v>
      </c>
      <c r="E3332" t="s">
        <v>831</v>
      </c>
      <c r="F3332">
        <v>2</v>
      </c>
      <c r="G3332">
        <v>0.05</v>
      </c>
      <c r="H3332" t="s">
        <v>861</v>
      </c>
      <c r="I3332" t="str">
        <f>VLOOKUP(C3332,Customers!A:C,2,FALSE)&amp;" "&amp;VLOOKUP(C3332,Customers!A:C,3,FALSE)</f>
        <v>Anthony Conway</v>
      </c>
      <c r="J3332" t="str">
        <f>VLOOKUP(D3332,Products!A:C,2,FALSE)</f>
        <v>Book Television</v>
      </c>
      <c r="K3332" t="str">
        <f>VLOOKUP(D3332,Products!A:C,3,FALSE)</f>
        <v>Electronics</v>
      </c>
      <c r="L3332" t="str">
        <f>VLOOKUP(E3332,Stores!A:B,2,FALSE)</f>
        <v>MegaMart Jimenezborough</v>
      </c>
      <c r="M3332">
        <f>VLOOKUP(D3332,Products!A:E,5,FALSE)</f>
        <v>1952.65</v>
      </c>
      <c r="N3332" s="5">
        <f t="shared" si="52"/>
        <v>3710.0349999999999</v>
      </c>
    </row>
    <row r="3333" spans="1:14" x14ac:dyDescent="0.3">
      <c r="A3333" t="s">
        <v>4189</v>
      </c>
      <c r="B3333" s="2">
        <v>45295</v>
      </c>
      <c r="C3333" t="s">
        <v>198</v>
      </c>
      <c r="D3333" t="s">
        <v>764</v>
      </c>
      <c r="E3333" t="s">
        <v>835</v>
      </c>
      <c r="F3333">
        <v>3</v>
      </c>
      <c r="G3333">
        <v>0.15</v>
      </c>
      <c r="H3333" t="s">
        <v>865</v>
      </c>
      <c r="I3333" t="str">
        <f>VLOOKUP(C3333,Customers!A:C,2,FALSE)&amp;" "&amp;VLOOKUP(C3333,Customers!A:C,3,FALSE)</f>
        <v>Madison Sellers</v>
      </c>
      <c r="J3333" t="str">
        <f>VLOOKUP(D3333,Products!A:C,2,FALSE)</f>
        <v>Simple Accessories</v>
      </c>
      <c r="K3333" t="str">
        <f>VLOOKUP(D3333,Products!A:C,3,FALSE)</f>
        <v>Fashion</v>
      </c>
      <c r="L3333" t="str">
        <f>VLOOKUP(E3333,Stores!A:B,2,FALSE)</f>
        <v>MegaMart Peckmouth</v>
      </c>
      <c r="M3333">
        <f>VLOOKUP(D3333,Products!A:E,5,FALSE)</f>
        <v>323.92</v>
      </c>
      <c r="N3333" s="5">
        <f t="shared" si="52"/>
        <v>825.99599999999998</v>
      </c>
    </row>
    <row r="3334" spans="1:14" x14ac:dyDescent="0.3">
      <c r="A3334" t="s">
        <v>4190</v>
      </c>
      <c r="B3334" s="2">
        <v>45594</v>
      </c>
      <c r="C3334" t="s">
        <v>604</v>
      </c>
      <c r="D3334" t="s">
        <v>818</v>
      </c>
      <c r="E3334" t="s">
        <v>842</v>
      </c>
      <c r="F3334">
        <v>2</v>
      </c>
      <c r="G3334">
        <v>0.05</v>
      </c>
      <c r="H3334" t="s">
        <v>865</v>
      </c>
      <c r="I3334" t="str">
        <f>VLOOKUP(C3334,Customers!A:C,2,FALSE)&amp;" "&amp;VLOOKUP(C3334,Customers!A:C,3,FALSE)</f>
        <v>Amber Graham</v>
      </c>
      <c r="J3334" t="str">
        <f>VLOOKUP(D3334,Products!A:C,2,FALSE)</f>
        <v>Nature Clothing</v>
      </c>
      <c r="K3334" t="str">
        <f>VLOOKUP(D3334,Products!A:C,3,FALSE)</f>
        <v>Fashion</v>
      </c>
      <c r="L3334" t="str">
        <f>VLOOKUP(E3334,Stores!A:B,2,FALSE)</f>
        <v>MegaMart Brianahaven</v>
      </c>
      <c r="M3334">
        <f>VLOOKUP(D3334,Products!A:E,5,FALSE)</f>
        <v>1165.3699999999999</v>
      </c>
      <c r="N3334" s="5">
        <f t="shared" si="52"/>
        <v>2214.2029999999995</v>
      </c>
    </row>
    <row r="3335" spans="1:14" x14ac:dyDescent="0.3">
      <c r="A3335" t="s">
        <v>4191</v>
      </c>
      <c r="B3335" s="2">
        <v>45482</v>
      </c>
      <c r="C3335" t="s">
        <v>123</v>
      </c>
      <c r="D3335" t="s">
        <v>810</v>
      </c>
      <c r="E3335" t="s">
        <v>835</v>
      </c>
      <c r="F3335">
        <v>3</v>
      </c>
      <c r="G3335">
        <v>0.1</v>
      </c>
      <c r="H3335" t="s">
        <v>858</v>
      </c>
      <c r="I3335" t="str">
        <f>VLOOKUP(C3335,Customers!A:C,2,FALSE)&amp;" "&amp;VLOOKUP(C3335,Customers!A:C,3,FALSE)</f>
        <v>Ashley Gibson</v>
      </c>
      <c r="J3335" t="str">
        <f>VLOOKUP(D3335,Products!A:C,2,FALSE)</f>
        <v>Maybe Clothing</v>
      </c>
      <c r="K3335" t="str">
        <f>VLOOKUP(D3335,Products!A:C,3,FALSE)</f>
        <v>Fashion</v>
      </c>
      <c r="L3335" t="str">
        <f>VLOOKUP(E3335,Stores!A:B,2,FALSE)</f>
        <v>MegaMart Peckmouth</v>
      </c>
      <c r="M3335">
        <f>VLOOKUP(D3335,Products!A:E,5,FALSE)</f>
        <v>453.62</v>
      </c>
      <c r="N3335" s="5">
        <f t="shared" si="52"/>
        <v>1224.7740000000001</v>
      </c>
    </row>
    <row r="3336" spans="1:14" x14ac:dyDescent="0.3">
      <c r="A3336" t="s">
        <v>4192</v>
      </c>
      <c r="B3336" s="2">
        <v>45751</v>
      </c>
      <c r="C3336" t="s">
        <v>155</v>
      </c>
      <c r="D3336" t="s">
        <v>736</v>
      </c>
      <c r="E3336" t="s">
        <v>831</v>
      </c>
      <c r="F3336">
        <v>2</v>
      </c>
      <c r="G3336">
        <v>0.15</v>
      </c>
      <c r="H3336" t="s">
        <v>858</v>
      </c>
      <c r="I3336" t="str">
        <f>VLOOKUP(C3336,Customers!A:C,2,FALSE)&amp;" "&amp;VLOOKUP(C3336,Customers!A:C,3,FALSE)</f>
        <v>Scott Powell</v>
      </c>
      <c r="J3336" t="str">
        <f>VLOOKUP(D3336,Products!A:C,2,FALSE)</f>
        <v>Us Snacks</v>
      </c>
      <c r="K3336" t="str">
        <f>VLOOKUP(D3336,Products!A:C,3,FALSE)</f>
        <v>Groceries</v>
      </c>
      <c r="L3336" t="str">
        <f>VLOOKUP(E3336,Stores!A:B,2,FALSE)</f>
        <v>MegaMart Jimenezborough</v>
      </c>
      <c r="M3336">
        <f>VLOOKUP(D3336,Products!A:E,5,FALSE)</f>
        <v>123.19</v>
      </c>
      <c r="N3336" s="5">
        <f t="shared" si="52"/>
        <v>209.423</v>
      </c>
    </row>
    <row r="3337" spans="1:14" x14ac:dyDescent="0.3">
      <c r="A3337" t="s">
        <v>4193</v>
      </c>
      <c r="B3337" s="2">
        <v>45356</v>
      </c>
      <c r="C3337" t="s">
        <v>12</v>
      </c>
      <c r="D3337" t="s">
        <v>810</v>
      </c>
      <c r="E3337" t="s">
        <v>835</v>
      </c>
      <c r="F3337">
        <v>3</v>
      </c>
      <c r="G3337">
        <v>0</v>
      </c>
      <c r="H3337" t="s">
        <v>861</v>
      </c>
      <c r="I3337" t="str">
        <f>VLOOKUP(C3337,Customers!A:C,2,FALSE)&amp;" "&amp;VLOOKUP(C3337,Customers!A:C,3,FALSE)</f>
        <v>Michael Miller</v>
      </c>
      <c r="J3337" t="str">
        <f>VLOOKUP(D3337,Products!A:C,2,FALSE)</f>
        <v>Maybe Clothing</v>
      </c>
      <c r="K3337" t="str">
        <f>VLOOKUP(D3337,Products!A:C,3,FALSE)</f>
        <v>Fashion</v>
      </c>
      <c r="L3337" t="str">
        <f>VLOOKUP(E3337,Stores!A:B,2,FALSE)</f>
        <v>MegaMart Peckmouth</v>
      </c>
      <c r="M3337">
        <f>VLOOKUP(D3337,Products!A:E,5,FALSE)</f>
        <v>453.62</v>
      </c>
      <c r="N3337" s="5">
        <f t="shared" si="52"/>
        <v>1360.8600000000001</v>
      </c>
    </row>
    <row r="3338" spans="1:14" x14ac:dyDescent="0.3">
      <c r="A3338" t="s">
        <v>4194</v>
      </c>
      <c r="B3338" s="2">
        <v>45885</v>
      </c>
      <c r="C3338" t="s">
        <v>625</v>
      </c>
      <c r="D3338" t="s">
        <v>745</v>
      </c>
      <c r="E3338" t="s">
        <v>842</v>
      </c>
      <c r="F3338">
        <v>1</v>
      </c>
      <c r="G3338">
        <v>0</v>
      </c>
      <c r="H3338" t="s">
        <v>861</v>
      </c>
      <c r="I3338" t="str">
        <f>VLOOKUP(C3338,Customers!A:C,2,FALSE)&amp;" "&amp;VLOOKUP(C3338,Customers!A:C,3,FALSE)</f>
        <v>Peter Garcia</v>
      </c>
      <c r="J3338" t="str">
        <f>VLOOKUP(D3338,Products!A:C,2,FALSE)</f>
        <v>Above Camera</v>
      </c>
      <c r="K3338" t="str">
        <f>VLOOKUP(D3338,Products!A:C,3,FALSE)</f>
        <v>Electronics</v>
      </c>
      <c r="L3338" t="str">
        <f>VLOOKUP(E3338,Stores!A:B,2,FALSE)</f>
        <v>MegaMart Brianahaven</v>
      </c>
      <c r="M3338">
        <f>VLOOKUP(D3338,Products!A:E,5,FALSE)</f>
        <v>1193.0899999999999</v>
      </c>
      <c r="N3338" s="5">
        <f t="shared" si="52"/>
        <v>1193.0899999999999</v>
      </c>
    </row>
    <row r="3339" spans="1:14" x14ac:dyDescent="0.3">
      <c r="A3339" t="s">
        <v>4195</v>
      </c>
      <c r="B3339" s="2">
        <v>45445</v>
      </c>
      <c r="C3339" t="s">
        <v>213</v>
      </c>
      <c r="D3339" t="s">
        <v>774</v>
      </c>
      <c r="E3339" t="s">
        <v>831</v>
      </c>
      <c r="F3339">
        <v>2</v>
      </c>
      <c r="G3339">
        <v>0.15</v>
      </c>
      <c r="H3339" t="s">
        <v>865</v>
      </c>
      <c r="I3339" t="str">
        <f>VLOOKUP(C3339,Customers!A:C,2,FALSE)&amp;" "&amp;VLOOKUP(C3339,Customers!A:C,3,FALSE)</f>
        <v>Deborah Moody</v>
      </c>
      <c r="J3339" t="str">
        <f>VLOOKUP(D3339,Products!A:C,2,FALSE)</f>
        <v>Him Smartphone</v>
      </c>
      <c r="K3339" t="str">
        <f>VLOOKUP(D3339,Products!A:C,3,FALSE)</f>
        <v>Electronics</v>
      </c>
      <c r="L3339" t="str">
        <f>VLOOKUP(E3339,Stores!A:B,2,FALSE)</f>
        <v>MegaMart Jimenezborough</v>
      </c>
      <c r="M3339">
        <f>VLOOKUP(D3339,Products!A:E,5,FALSE)</f>
        <v>1487.41</v>
      </c>
      <c r="N3339" s="5">
        <f t="shared" si="52"/>
        <v>2528.5970000000002</v>
      </c>
    </row>
    <row r="3340" spans="1:14" x14ac:dyDescent="0.3">
      <c r="A3340" t="s">
        <v>4196</v>
      </c>
      <c r="B3340" s="2">
        <v>45656</v>
      </c>
      <c r="C3340" t="s">
        <v>419</v>
      </c>
      <c r="D3340" t="s">
        <v>800</v>
      </c>
      <c r="E3340" t="s">
        <v>835</v>
      </c>
      <c r="F3340">
        <v>2</v>
      </c>
      <c r="G3340">
        <v>0.1</v>
      </c>
      <c r="H3340" t="s">
        <v>855</v>
      </c>
      <c r="I3340" t="str">
        <f>VLOOKUP(C3340,Customers!A:C,2,FALSE)&amp;" "&amp;VLOOKUP(C3340,Customers!A:C,3,FALSE)</f>
        <v>Jeffrey Smith</v>
      </c>
      <c r="J3340" t="str">
        <f>VLOOKUP(D3340,Products!A:C,2,FALSE)</f>
        <v>Book Television</v>
      </c>
      <c r="K3340" t="str">
        <f>VLOOKUP(D3340,Products!A:C,3,FALSE)</f>
        <v>Electronics</v>
      </c>
      <c r="L3340" t="str">
        <f>VLOOKUP(E3340,Stores!A:B,2,FALSE)</f>
        <v>MegaMart Peckmouth</v>
      </c>
      <c r="M3340">
        <f>VLOOKUP(D3340,Products!A:E,5,FALSE)</f>
        <v>1952.65</v>
      </c>
      <c r="N3340" s="5">
        <f t="shared" si="52"/>
        <v>3514.7700000000004</v>
      </c>
    </row>
    <row r="3341" spans="1:14" x14ac:dyDescent="0.3">
      <c r="A3341" t="s">
        <v>4197</v>
      </c>
      <c r="B3341" s="2">
        <v>45468</v>
      </c>
      <c r="C3341" t="s">
        <v>432</v>
      </c>
      <c r="D3341" t="s">
        <v>776</v>
      </c>
      <c r="E3341" t="s">
        <v>835</v>
      </c>
      <c r="F3341">
        <v>5</v>
      </c>
      <c r="G3341">
        <v>0.05</v>
      </c>
      <c r="H3341" t="s">
        <v>858</v>
      </c>
      <c r="I3341" t="str">
        <f>VLOOKUP(C3341,Customers!A:C,2,FALSE)&amp;" "&amp;VLOOKUP(C3341,Customers!A:C,3,FALSE)</f>
        <v>Jamie Webb</v>
      </c>
      <c r="J3341" t="str">
        <f>VLOOKUP(D3341,Products!A:C,2,FALSE)</f>
        <v>Little Watches</v>
      </c>
      <c r="K3341" t="str">
        <f>VLOOKUP(D3341,Products!A:C,3,FALSE)</f>
        <v>Fashion</v>
      </c>
      <c r="L3341" t="str">
        <f>VLOOKUP(E3341,Stores!A:B,2,FALSE)</f>
        <v>MegaMart Peckmouth</v>
      </c>
      <c r="M3341">
        <f>VLOOKUP(D3341,Products!A:E,5,FALSE)</f>
        <v>429.15</v>
      </c>
      <c r="N3341" s="5">
        <f t="shared" si="52"/>
        <v>2038.4624999999999</v>
      </c>
    </row>
    <row r="3342" spans="1:14" x14ac:dyDescent="0.3">
      <c r="A3342" t="s">
        <v>4198</v>
      </c>
      <c r="B3342" s="2">
        <v>45715</v>
      </c>
      <c r="C3342" t="s">
        <v>407</v>
      </c>
      <c r="D3342" t="s">
        <v>812</v>
      </c>
      <c r="E3342" t="s">
        <v>835</v>
      </c>
      <c r="F3342">
        <v>5</v>
      </c>
      <c r="G3342">
        <v>0.15</v>
      </c>
      <c r="H3342" t="s">
        <v>855</v>
      </c>
      <c r="I3342" t="str">
        <f>VLOOKUP(C3342,Customers!A:C,2,FALSE)&amp;" "&amp;VLOOKUP(C3342,Customers!A:C,3,FALSE)</f>
        <v>Austin Hogan</v>
      </c>
      <c r="J3342" t="str">
        <f>VLOOKUP(D3342,Products!A:C,2,FALSE)</f>
        <v>Soon Accessories</v>
      </c>
      <c r="K3342" t="str">
        <f>VLOOKUP(D3342,Products!A:C,3,FALSE)</f>
        <v>Fashion</v>
      </c>
      <c r="L3342" t="str">
        <f>VLOOKUP(E3342,Stores!A:B,2,FALSE)</f>
        <v>MegaMart Peckmouth</v>
      </c>
      <c r="M3342">
        <f>VLOOKUP(D3342,Products!A:E,5,FALSE)</f>
        <v>564.41999999999996</v>
      </c>
      <c r="N3342" s="5">
        <f t="shared" si="52"/>
        <v>2398.7849999999999</v>
      </c>
    </row>
    <row r="3343" spans="1:14" x14ac:dyDescent="0.3">
      <c r="A3343" t="s">
        <v>4199</v>
      </c>
      <c r="B3343" s="2">
        <v>45379</v>
      </c>
      <c r="C3343" t="s">
        <v>306</v>
      </c>
      <c r="D3343" t="s">
        <v>747</v>
      </c>
      <c r="E3343" t="s">
        <v>839</v>
      </c>
      <c r="F3343">
        <v>5</v>
      </c>
      <c r="G3343">
        <v>0.05</v>
      </c>
      <c r="H3343" t="s">
        <v>865</v>
      </c>
      <c r="I3343" t="str">
        <f>VLOOKUP(C3343,Customers!A:C,2,FALSE)&amp;" "&amp;VLOOKUP(C3343,Customers!A:C,3,FALSE)</f>
        <v>Sarah Reynolds</v>
      </c>
      <c r="J3343" t="str">
        <f>VLOOKUP(D3343,Products!A:C,2,FALSE)</f>
        <v>World Watches</v>
      </c>
      <c r="K3343" t="str">
        <f>VLOOKUP(D3343,Products!A:C,3,FALSE)</f>
        <v>Fashion</v>
      </c>
      <c r="L3343" t="str">
        <f>VLOOKUP(E3343,Stores!A:B,2,FALSE)</f>
        <v>MegaMart New Michele</v>
      </c>
      <c r="M3343">
        <f>VLOOKUP(D3343,Products!A:E,5,FALSE)</f>
        <v>1134.8</v>
      </c>
      <c r="N3343" s="5">
        <f t="shared" si="52"/>
        <v>5390.3</v>
      </c>
    </row>
    <row r="3344" spans="1:14" x14ac:dyDescent="0.3">
      <c r="A3344" t="s">
        <v>4200</v>
      </c>
      <c r="B3344" s="2">
        <v>45769</v>
      </c>
      <c r="C3344" t="s">
        <v>198</v>
      </c>
      <c r="D3344" t="s">
        <v>816</v>
      </c>
      <c r="E3344" t="s">
        <v>842</v>
      </c>
      <c r="F3344">
        <v>3</v>
      </c>
      <c r="G3344">
        <v>0.15</v>
      </c>
      <c r="H3344" t="s">
        <v>858</v>
      </c>
      <c r="I3344" t="str">
        <f>VLOOKUP(C3344,Customers!A:C,2,FALSE)&amp;" "&amp;VLOOKUP(C3344,Customers!A:C,3,FALSE)</f>
        <v>Madison Sellers</v>
      </c>
      <c r="J3344" t="str">
        <f>VLOOKUP(D3344,Products!A:C,2,FALSE)</f>
        <v>Set Dairy</v>
      </c>
      <c r="K3344" t="str">
        <f>VLOOKUP(D3344,Products!A:C,3,FALSE)</f>
        <v>Groceries</v>
      </c>
      <c r="L3344" t="str">
        <f>VLOOKUP(E3344,Stores!A:B,2,FALSE)</f>
        <v>MegaMart Brianahaven</v>
      </c>
      <c r="M3344">
        <f>VLOOKUP(D3344,Products!A:E,5,FALSE)</f>
        <v>1879.08</v>
      </c>
      <c r="N3344" s="5">
        <f t="shared" si="52"/>
        <v>4791.6539999999995</v>
      </c>
    </row>
    <row r="3345" spans="1:14" x14ac:dyDescent="0.3">
      <c r="A3345" t="s">
        <v>4201</v>
      </c>
      <c r="B3345" s="2">
        <v>45490</v>
      </c>
      <c r="C3345" t="s">
        <v>97</v>
      </c>
      <c r="D3345" t="s">
        <v>804</v>
      </c>
      <c r="E3345" t="s">
        <v>846</v>
      </c>
      <c r="F3345">
        <v>1</v>
      </c>
      <c r="G3345">
        <v>0.05</v>
      </c>
      <c r="H3345" t="s">
        <v>865</v>
      </c>
      <c r="I3345" t="str">
        <f>VLOOKUP(C3345,Customers!A:C,2,FALSE)&amp;" "&amp;VLOOKUP(C3345,Customers!A:C,3,FALSE)</f>
        <v>Molly Murray</v>
      </c>
      <c r="J3345" t="str">
        <f>VLOOKUP(D3345,Products!A:C,2,FALSE)</f>
        <v>Church Clothing</v>
      </c>
      <c r="K3345" t="str">
        <f>VLOOKUP(D3345,Products!A:C,3,FALSE)</f>
        <v>Fashion</v>
      </c>
      <c r="L3345" t="str">
        <f>VLOOKUP(E3345,Stores!A:B,2,FALSE)</f>
        <v>MegaMart Johnmouth</v>
      </c>
      <c r="M3345">
        <f>VLOOKUP(D3345,Products!A:E,5,FALSE)</f>
        <v>540.94000000000005</v>
      </c>
      <c r="N3345" s="5">
        <f t="shared" si="52"/>
        <v>513.89300000000003</v>
      </c>
    </row>
    <row r="3346" spans="1:14" x14ac:dyDescent="0.3">
      <c r="A3346" t="s">
        <v>4202</v>
      </c>
      <c r="B3346" s="2">
        <v>45273</v>
      </c>
      <c r="C3346" t="s">
        <v>228</v>
      </c>
      <c r="D3346" t="s">
        <v>747</v>
      </c>
      <c r="E3346" t="s">
        <v>846</v>
      </c>
      <c r="F3346">
        <v>1</v>
      </c>
      <c r="G3346">
        <v>0.15</v>
      </c>
      <c r="H3346" t="s">
        <v>858</v>
      </c>
      <c r="I3346" t="str">
        <f>VLOOKUP(C3346,Customers!A:C,2,FALSE)&amp;" "&amp;VLOOKUP(C3346,Customers!A:C,3,FALSE)</f>
        <v>Scott Wyatt</v>
      </c>
      <c r="J3346" t="str">
        <f>VLOOKUP(D3346,Products!A:C,2,FALSE)</f>
        <v>World Watches</v>
      </c>
      <c r="K3346" t="str">
        <f>VLOOKUP(D3346,Products!A:C,3,FALSE)</f>
        <v>Fashion</v>
      </c>
      <c r="L3346" t="str">
        <f>VLOOKUP(E3346,Stores!A:B,2,FALSE)</f>
        <v>MegaMart Johnmouth</v>
      </c>
      <c r="M3346">
        <f>VLOOKUP(D3346,Products!A:E,5,FALSE)</f>
        <v>1134.8</v>
      </c>
      <c r="N3346" s="5">
        <f t="shared" si="52"/>
        <v>964.57999999999993</v>
      </c>
    </row>
    <row r="3347" spans="1:14" x14ac:dyDescent="0.3">
      <c r="A3347" t="s">
        <v>4203</v>
      </c>
      <c r="B3347" s="2">
        <v>45463</v>
      </c>
      <c r="C3347" t="s">
        <v>596</v>
      </c>
      <c r="D3347" t="s">
        <v>769</v>
      </c>
      <c r="E3347" t="s">
        <v>846</v>
      </c>
      <c r="F3347">
        <v>2</v>
      </c>
      <c r="G3347">
        <v>0</v>
      </c>
      <c r="H3347" t="s">
        <v>861</v>
      </c>
      <c r="I3347" t="str">
        <f>VLOOKUP(C3347,Customers!A:C,2,FALSE)&amp;" "&amp;VLOOKUP(C3347,Customers!A:C,3,FALSE)</f>
        <v>Kimberly Lin</v>
      </c>
      <c r="J3347" t="str">
        <f>VLOOKUP(D3347,Products!A:C,2,FALSE)</f>
        <v>How Vegetables</v>
      </c>
      <c r="K3347" t="str">
        <f>VLOOKUP(D3347,Products!A:C,3,FALSE)</f>
        <v>Groceries</v>
      </c>
      <c r="L3347" t="str">
        <f>VLOOKUP(E3347,Stores!A:B,2,FALSE)</f>
        <v>MegaMart Johnmouth</v>
      </c>
      <c r="M3347">
        <f>VLOOKUP(D3347,Products!A:E,5,FALSE)</f>
        <v>25.57</v>
      </c>
      <c r="N3347" s="5">
        <f t="shared" si="52"/>
        <v>51.14</v>
      </c>
    </row>
    <row r="3348" spans="1:14" x14ac:dyDescent="0.3">
      <c r="A3348" t="s">
        <v>4204</v>
      </c>
      <c r="B3348" s="2">
        <v>45536</v>
      </c>
      <c r="C3348" t="s">
        <v>503</v>
      </c>
      <c r="D3348" t="s">
        <v>739</v>
      </c>
      <c r="E3348" t="s">
        <v>835</v>
      </c>
      <c r="F3348">
        <v>2</v>
      </c>
      <c r="G3348">
        <v>0.05</v>
      </c>
      <c r="H3348" t="s">
        <v>865</v>
      </c>
      <c r="I3348" t="str">
        <f>VLOOKUP(C3348,Customers!A:C,2,FALSE)&amp;" "&amp;VLOOKUP(C3348,Customers!A:C,3,FALSE)</f>
        <v>Breanna Moore</v>
      </c>
      <c r="J3348" t="str">
        <f>VLOOKUP(D3348,Products!A:C,2,FALSE)</f>
        <v>Step Smartphone</v>
      </c>
      <c r="K3348" t="str">
        <f>VLOOKUP(D3348,Products!A:C,3,FALSE)</f>
        <v>Electronics</v>
      </c>
      <c r="L3348" t="str">
        <f>VLOOKUP(E3348,Stores!A:B,2,FALSE)</f>
        <v>MegaMart Peckmouth</v>
      </c>
      <c r="M3348">
        <f>VLOOKUP(D3348,Products!A:E,5,FALSE)</f>
        <v>1194.1199999999999</v>
      </c>
      <c r="N3348" s="5">
        <f t="shared" si="52"/>
        <v>2268.8279999999995</v>
      </c>
    </row>
    <row r="3349" spans="1:14" x14ac:dyDescent="0.3">
      <c r="A3349" t="s">
        <v>4205</v>
      </c>
      <c r="B3349" s="2">
        <v>45594</v>
      </c>
      <c r="C3349" t="s">
        <v>480</v>
      </c>
      <c r="D3349" t="s">
        <v>792</v>
      </c>
      <c r="E3349" t="s">
        <v>846</v>
      </c>
      <c r="F3349">
        <v>5</v>
      </c>
      <c r="G3349">
        <v>0</v>
      </c>
      <c r="H3349" t="s">
        <v>861</v>
      </c>
      <c r="I3349" t="str">
        <f>VLOOKUP(C3349,Customers!A:C,2,FALSE)&amp;" "&amp;VLOOKUP(C3349,Customers!A:C,3,FALSE)</f>
        <v>Denise Jackson</v>
      </c>
      <c r="J3349" t="str">
        <f>VLOOKUP(D3349,Products!A:C,2,FALSE)</f>
        <v>Beat Accessories</v>
      </c>
      <c r="K3349" t="str">
        <f>VLOOKUP(D3349,Products!A:C,3,FALSE)</f>
        <v>Fashion</v>
      </c>
      <c r="L3349" t="str">
        <f>VLOOKUP(E3349,Stores!A:B,2,FALSE)</f>
        <v>MegaMart Johnmouth</v>
      </c>
      <c r="M3349">
        <f>VLOOKUP(D3349,Products!A:E,5,FALSE)</f>
        <v>1798.97</v>
      </c>
      <c r="N3349" s="5">
        <f t="shared" si="52"/>
        <v>8994.85</v>
      </c>
    </row>
    <row r="3350" spans="1:14" x14ac:dyDescent="0.3">
      <c r="A3350" t="s">
        <v>4206</v>
      </c>
      <c r="B3350" s="2">
        <v>45670</v>
      </c>
      <c r="C3350" t="s">
        <v>503</v>
      </c>
      <c r="D3350" t="s">
        <v>750</v>
      </c>
      <c r="E3350" t="s">
        <v>846</v>
      </c>
      <c r="F3350">
        <v>1</v>
      </c>
      <c r="G3350">
        <v>0.1</v>
      </c>
      <c r="H3350" t="s">
        <v>865</v>
      </c>
      <c r="I3350" t="str">
        <f>VLOOKUP(C3350,Customers!A:C,2,FALSE)&amp;" "&amp;VLOOKUP(C3350,Customers!A:C,3,FALSE)</f>
        <v>Breanna Moore</v>
      </c>
      <c r="J3350" t="str">
        <f>VLOOKUP(D3350,Products!A:C,2,FALSE)</f>
        <v>Add Clothing</v>
      </c>
      <c r="K3350" t="str">
        <f>VLOOKUP(D3350,Products!A:C,3,FALSE)</f>
        <v>Fashion</v>
      </c>
      <c r="L3350" t="str">
        <f>VLOOKUP(E3350,Stores!A:B,2,FALSE)</f>
        <v>MegaMart Johnmouth</v>
      </c>
      <c r="M3350">
        <f>VLOOKUP(D3350,Products!A:E,5,FALSE)</f>
        <v>1342.75</v>
      </c>
      <c r="N3350" s="5">
        <f t="shared" si="52"/>
        <v>1208.4750000000001</v>
      </c>
    </row>
    <row r="3351" spans="1:14" x14ac:dyDescent="0.3">
      <c r="A3351" t="s">
        <v>4207</v>
      </c>
      <c r="B3351" s="2">
        <v>45402</v>
      </c>
      <c r="C3351" t="s">
        <v>254</v>
      </c>
      <c r="D3351" t="s">
        <v>820</v>
      </c>
      <c r="E3351" t="s">
        <v>839</v>
      </c>
      <c r="F3351">
        <v>3</v>
      </c>
      <c r="G3351">
        <v>0.05</v>
      </c>
      <c r="H3351" t="s">
        <v>861</v>
      </c>
      <c r="I3351" t="str">
        <f>VLOOKUP(C3351,Customers!A:C,2,FALSE)&amp;" "&amp;VLOOKUP(C3351,Customers!A:C,3,FALSE)</f>
        <v>Daniel Maldonado</v>
      </c>
      <c r="J3351" t="str">
        <f>VLOOKUP(D3351,Products!A:C,2,FALSE)</f>
        <v>Or Smartphone</v>
      </c>
      <c r="K3351" t="str">
        <f>VLOOKUP(D3351,Products!A:C,3,FALSE)</f>
        <v>Electronics</v>
      </c>
      <c r="L3351" t="str">
        <f>VLOOKUP(E3351,Stores!A:B,2,FALSE)</f>
        <v>MegaMart New Michele</v>
      </c>
      <c r="M3351">
        <f>VLOOKUP(D3351,Products!A:E,5,FALSE)</f>
        <v>1197.18</v>
      </c>
      <c r="N3351" s="5">
        <f t="shared" si="52"/>
        <v>3411.9629999999997</v>
      </c>
    </row>
    <row r="3352" spans="1:14" x14ac:dyDescent="0.3">
      <c r="A3352" t="s">
        <v>4208</v>
      </c>
      <c r="B3352" s="2">
        <v>45396</v>
      </c>
      <c r="C3352" t="s">
        <v>51</v>
      </c>
      <c r="D3352" t="s">
        <v>816</v>
      </c>
      <c r="E3352" t="s">
        <v>842</v>
      </c>
      <c r="F3352">
        <v>4</v>
      </c>
      <c r="G3352">
        <v>0.05</v>
      </c>
      <c r="H3352" t="s">
        <v>861</v>
      </c>
      <c r="I3352" t="str">
        <f>VLOOKUP(C3352,Customers!A:C,2,FALSE)&amp;" "&amp;VLOOKUP(C3352,Customers!A:C,3,FALSE)</f>
        <v>Dale Perry</v>
      </c>
      <c r="J3352" t="str">
        <f>VLOOKUP(D3352,Products!A:C,2,FALSE)</f>
        <v>Set Dairy</v>
      </c>
      <c r="K3352" t="str">
        <f>VLOOKUP(D3352,Products!A:C,3,FALSE)</f>
        <v>Groceries</v>
      </c>
      <c r="L3352" t="str">
        <f>VLOOKUP(E3352,Stores!A:B,2,FALSE)</f>
        <v>MegaMart Brianahaven</v>
      </c>
      <c r="M3352">
        <f>VLOOKUP(D3352,Products!A:E,5,FALSE)</f>
        <v>1879.08</v>
      </c>
      <c r="N3352" s="5">
        <f t="shared" si="52"/>
        <v>7140.503999999999</v>
      </c>
    </row>
    <row r="3353" spans="1:14" x14ac:dyDescent="0.3">
      <c r="A3353" t="s">
        <v>4209</v>
      </c>
      <c r="B3353" s="2">
        <v>45205</v>
      </c>
      <c r="C3353" t="s">
        <v>221</v>
      </c>
      <c r="D3353" t="s">
        <v>732</v>
      </c>
      <c r="E3353" t="s">
        <v>831</v>
      </c>
      <c r="F3353">
        <v>5</v>
      </c>
      <c r="G3353">
        <v>0.05</v>
      </c>
      <c r="H3353" t="s">
        <v>858</v>
      </c>
      <c r="I3353" t="str">
        <f>VLOOKUP(C3353,Customers!A:C,2,FALSE)&amp;" "&amp;VLOOKUP(C3353,Customers!A:C,3,FALSE)</f>
        <v>Julie Gibson</v>
      </c>
      <c r="J3353" t="str">
        <f>VLOOKUP(D3353,Products!A:C,2,FALSE)</f>
        <v>Understand Camera</v>
      </c>
      <c r="K3353" t="str">
        <f>VLOOKUP(D3353,Products!A:C,3,FALSE)</f>
        <v>Electronics</v>
      </c>
      <c r="L3353" t="str">
        <f>VLOOKUP(E3353,Stores!A:B,2,FALSE)</f>
        <v>MegaMart Jimenezborough</v>
      </c>
      <c r="M3353">
        <f>VLOOKUP(D3353,Products!A:E,5,FALSE)</f>
        <v>1474.12</v>
      </c>
      <c r="N3353" s="5">
        <f t="shared" si="52"/>
        <v>7002.0699999999988</v>
      </c>
    </row>
    <row r="3354" spans="1:14" x14ac:dyDescent="0.3">
      <c r="A3354" t="s">
        <v>4210</v>
      </c>
      <c r="B3354" s="2">
        <v>45390</v>
      </c>
      <c r="C3354" t="s">
        <v>77</v>
      </c>
      <c r="D3354" t="s">
        <v>769</v>
      </c>
      <c r="E3354" t="s">
        <v>842</v>
      </c>
      <c r="F3354">
        <v>5</v>
      </c>
      <c r="G3354">
        <v>0</v>
      </c>
      <c r="H3354" t="s">
        <v>855</v>
      </c>
      <c r="I3354" t="str">
        <f>VLOOKUP(C3354,Customers!A:C,2,FALSE)&amp;" "&amp;VLOOKUP(C3354,Customers!A:C,3,FALSE)</f>
        <v>John Smith</v>
      </c>
      <c r="J3354" t="str">
        <f>VLOOKUP(D3354,Products!A:C,2,FALSE)</f>
        <v>How Vegetables</v>
      </c>
      <c r="K3354" t="str">
        <f>VLOOKUP(D3354,Products!A:C,3,FALSE)</f>
        <v>Groceries</v>
      </c>
      <c r="L3354" t="str">
        <f>VLOOKUP(E3354,Stores!A:B,2,FALSE)</f>
        <v>MegaMart Brianahaven</v>
      </c>
      <c r="M3354">
        <f>VLOOKUP(D3354,Products!A:E,5,FALSE)</f>
        <v>25.57</v>
      </c>
      <c r="N3354" s="5">
        <f t="shared" si="52"/>
        <v>127.85</v>
      </c>
    </row>
    <row r="3355" spans="1:14" x14ac:dyDescent="0.3">
      <c r="A3355" t="s">
        <v>4211</v>
      </c>
      <c r="B3355" s="2">
        <v>45652</v>
      </c>
      <c r="C3355" t="s">
        <v>438</v>
      </c>
      <c r="D3355" t="s">
        <v>784</v>
      </c>
      <c r="E3355" t="s">
        <v>835</v>
      </c>
      <c r="F3355">
        <v>3</v>
      </c>
      <c r="G3355">
        <v>0.1</v>
      </c>
      <c r="H3355" t="s">
        <v>865</v>
      </c>
      <c r="I3355" t="str">
        <f>VLOOKUP(C3355,Customers!A:C,2,FALSE)&amp;" "&amp;VLOOKUP(C3355,Customers!A:C,3,FALSE)</f>
        <v>Gina Bradford</v>
      </c>
      <c r="J3355" t="str">
        <f>VLOOKUP(D3355,Products!A:C,2,FALSE)</f>
        <v>Road Clothing</v>
      </c>
      <c r="K3355" t="str">
        <f>VLOOKUP(D3355,Products!A:C,3,FALSE)</f>
        <v>Fashion</v>
      </c>
      <c r="L3355" t="str">
        <f>VLOOKUP(E3355,Stores!A:B,2,FALSE)</f>
        <v>MegaMart Peckmouth</v>
      </c>
      <c r="M3355">
        <f>VLOOKUP(D3355,Products!A:E,5,FALSE)</f>
        <v>1485.05</v>
      </c>
      <c r="N3355" s="5">
        <f t="shared" si="52"/>
        <v>4009.6349999999998</v>
      </c>
    </row>
    <row r="3356" spans="1:14" x14ac:dyDescent="0.3">
      <c r="A3356" t="s">
        <v>4212</v>
      </c>
      <c r="B3356" s="2">
        <v>45595</v>
      </c>
      <c r="C3356" t="s">
        <v>40</v>
      </c>
      <c r="D3356" t="s">
        <v>788</v>
      </c>
      <c r="E3356" t="s">
        <v>831</v>
      </c>
      <c r="F3356">
        <v>1</v>
      </c>
      <c r="G3356">
        <v>0</v>
      </c>
      <c r="H3356" t="s">
        <v>865</v>
      </c>
      <c r="I3356" t="str">
        <f>VLOOKUP(C3356,Customers!A:C,2,FALSE)&amp;" "&amp;VLOOKUP(C3356,Customers!A:C,3,FALSE)</f>
        <v>Richard Pacheco</v>
      </c>
      <c r="J3356" t="str">
        <f>VLOOKUP(D3356,Products!A:C,2,FALSE)</f>
        <v>Foot Snacks</v>
      </c>
      <c r="K3356" t="str">
        <f>VLOOKUP(D3356,Products!A:C,3,FALSE)</f>
        <v>Groceries</v>
      </c>
      <c r="L3356" t="str">
        <f>VLOOKUP(E3356,Stores!A:B,2,FALSE)</f>
        <v>MegaMart Jimenezborough</v>
      </c>
      <c r="M3356">
        <f>VLOOKUP(D3356,Products!A:E,5,FALSE)</f>
        <v>1095.72</v>
      </c>
      <c r="N3356" s="5">
        <f t="shared" si="52"/>
        <v>1095.72</v>
      </c>
    </row>
    <row r="3357" spans="1:14" x14ac:dyDescent="0.3">
      <c r="A3357" t="s">
        <v>4213</v>
      </c>
      <c r="B3357" s="2">
        <v>45594</v>
      </c>
      <c r="C3357" t="s">
        <v>89</v>
      </c>
      <c r="D3357" t="s">
        <v>732</v>
      </c>
      <c r="E3357" t="s">
        <v>839</v>
      </c>
      <c r="F3357">
        <v>2</v>
      </c>
      <c r="G3357">
        <v>0</v>
      </c>
      <c r="H3357" t="s">
        <v>865</v>
      </c>
      <c r="I3357" t="str">
        <f>VLOOKUP(C3357,Customers!A:C,2,FALSE)&amp;" "&amp;VLOOKUP(C3357,Customers!A:C,3,FALSE)</f>
        <v>Megan Velasquez</v>
      </c>
      <c r="J3357" t="str">
        <f>VLOOKUP(D3357,Products!A:C,2,FALSE)</f>
        <v>Understand Camera</v>
      </c>
      <c r="K3357" t="str">
        <f>VLOOKUP(D3357,Products!A:C,3,FALSE)</f>
        <v>Electronics</v>
      </c>
      <c r="L3357" t="str">
        <f>VLOOKUP(E3357,Stores!A:B,2,FALSE)</f>
        <v>MegaMart New Michele</v>
      </c>
      <c r="M3357">
        <f>VLOOKUP(D3357,Products!A:E,5,FALSE)</f>
        <v>1474.12</v>
      </c>
      <c r="N3357" s="5">
        <f t="shared" si="52"/>
        <v>2948.24</v>
      </c>
    </row>
    <row r="3358" spans="1:14" x14ac:dyDescent="0.3">
      <c r="A3358" t="s">
        <v>4214</v>
      </c>
      <c r="B3358" s="2">
        <v>45448</v>
      </c>
      <c r="C3358" t="s">
        <v>627</v>
      </c>
      <c r="D3358" t="s">
        <v>826</v>
      </c>
      <c r="E3358" t="s">
        <v>835</v>
      </c>
      <c r="F3358">
        <v>4</v>
      </c>
      <c r="G3358">
        <v>0</v>
      </c>
      <c r="H3358" t="s">
        <v>858</v>
      </c>
      <c r="I3358" t="str">
        <f>VLOOKUP(C3358,Customers!A:C,2,FALSE)&amp;" "&amp;VLOOKUP(C3358,Customers!A:C,3,FALSE)</f>
        <v>Anthony Gould</v>
      </c>
      <c r="J3358" t="str">
        <f>VLOOKUP(D3358,Products!A:C,2,FALSE)</f>
        <v>Maybe Footwear</v>
      </c>
      <c r="K3358" t="str">
        <f>VLOOKUP(D3358,Products!A:C,3,FALSE)</f>
        <v>Fashion</v>
      </c>
      <c r="L3358" t="str">
        <f>VLOOKUP(E3358,Stores!A:B,2,FALSE)</f>
        <v>MegaMart Peckmouth</v>
      </c>
      <c r="M3358">
        <f>VLOOKUP(D3358,Products!A:E,5,FALSE)</f>
        <v>1044.6400000000001</v>
      </c>
      <c r="N3358" s="5">
        <f t="shared" si="52"/>
        <v>4178.5600000000004</v>
      </c>
    </row>
    <row r="3359" spans="1:14" x14ac:dyDescent="0.3">
      <c r="A3359" t="s">
        <v>4215</v>
      </c>
      <c r="B3359" s="2">
        <v>45649</v>
      </c>
      <c r="C3359" t="s">
        <v>503</v>
      </c>
      <c r="D3359" t="s">
        <v>810</v>
      </c>
      <c r="E3359" t="s">
        <v>839</v>
      </c>
      <c r="F3359">
        <v>1</v>
      </c>
      <c r="G3359">
        <v>0</v>
      </c>
      <c r="H3359" t="s">
        <v>861</v>
      </c>
      <c r="I3359" t="str">
        <f>VLOOKUP(C3359,Customers!A:C,2,FALSE)&amp;" "&amp;VLOOKUP(C3359,Customers!A:C,3,FALSE)</f>
        <v>Breanna Moore</v>
      </c>
      <c r="J3359" t="str">
        <f>VLOOKUP(D3359,Products!A:C,2,FALSE)</f>
        <v>Maybe Clothing</v>
      </c>
      <c r="K3359" t="str">
        <f>VLOOKUP(D3359,Products!A:C,3,FALSE)</f>
        <v>Fashion</v>
      </c>
      <c r="L3359" t="str">
        <f>VLOOKUP(E3359,Stores!A:B,2,FALSE)</f>
        <v>MegaMart New Michele</v>
      </c>
      <c r="M3359">
        <f>VLOOKUP(D3359,Products!A:E,5,FALSE)</f>
        <v>453.62</v>
      </c>
      <c r="N3359" s="5">
        <f t="shared" si="52"/>
        <v>453.62</v>
      </c>
    </row>
    <row r="3360" spans="1:14" x14ac:dyDescent="0.3">
      <c r="A3360" t="s">
        <v>4216</v>
      </c>
      <c r="B3360" s="2">
        <v>45681</v>
      </c>
      <c r="C3360" t="s">
        <v>343</v>
      </c>
      <c r="D3360" t="s">
        <v>732</v>
      </c>
      <c r="E3360" t="s">
        <v>839</v>
      </c>
      <c r="F3360">
        <v>4</v>
      </c>
      <c r="G3360">
        <v>0</v>
      </c>
      <c r="H3360" t="s">
        <v>855</v>
      </c>
      <c r="I3360" t="str">
        <f>VLOOKUP(C3360,Customers!A:C,2,FALSE)&amp;" "&amp;VLOOKUP(C3360,Customers!A:C,3,FALSE)</f>
        <v>Brian Fowler</v>
      </c>
      <c r="J3360" t="str">
        <f>VLOOKUP(D3360,Products!A:C,2,FALSE)</f>
        <v>Understand Camera</v>
      </c>
      <c r="K3360" t="str">
        <f>VLOOKUP(D3360,Products!A:C,3,FALSE)</f>
        <v>Electronics</v>
      </c>
      <c r="L3360" t="str">
        <f>VLOOKUP(E3360,Stores!A:B,2,FALSE)</f>
        <v>MegaMart New Michele</v>
      </c>
      <c r="M3360">
        <f>VLOOKUP(D3360,Products!A:E,5,FALSE)</f>
        <v>1474.12</v>
      </c>
      <c r="N3360" s="5">
        <f t="shared" si="52"/>
        <v>5896.48</v>
      </c>
    </row>
    <row r="3361" spans="1:14" x14ac:dyDescent="0.3">
      <c r="A3361" t="s">
        <v>4217</v>
      </c>
      <c r="B3361" s="2">
        <v>45244</v>
      </c>
      <c r="C3361" t="s">
        <v>680</v>
      </c>
      <c r="D3361" t="s">
        <v>786</v>
      </c>
      <c r="E3361" t="s">
        <v>839</v>
      </c>
      <c r="F3361">
        <v>3</v>
      </c>
      <c r="G3361">
        <v>0.05</v>
      </c>
      <c r="H3361" t="s">
        <v>865</v>
      </c>
      <c r="I3361" t="str">
        <f>VLOOKUP(C3361,Customers!A:C,2,FALSE)&amp;" "&amp;VLOOKUP(C3361,Customers!A:C,3,FALSE)</f>
        <v>Donald Meza</v>
      </c>
      <c r="J3361" t="str">
        <f>VLOOKUP(D3361,Products!A:C,2,FALSE)</f>
        <v>National Watches</v>
      </c>
      <c r="K3361" t="str">
        <f>VLOOKUP(D3361,Products!A:C,3,FALSE)</f>
        <v>Fashion</v>
      </c>
      <c r="L3361" t="str">
        <f>VLOOKUP(E3361,Stores!A:B,2,FALSE)</f>
        <v>MegaMart New Michele</v>
      </c>
      <c r="M3361">
        <f>VLOOKUP(D3361,Products!A:E,5,FALSE)</f>
        <v>29.24</v>
      </c>
      <c r="N3361" s="5">
        <f t="shared" si="52"/>
        <v>83.333999999999989</v>
      </c>
    </row>
    <row r="3362" spans="1:14" x14ac:dyDescent="0.3">
      <c r="A3362" t="s">
        <v>4218</v>
      </c>
      <c r="B3362" s="2">
        <v>45758</v>
      </c>
      <c r="C3362" t="s">
        <v>509</v>
      </c>
      <c r="D3362" t="s">
        <v>715</v>
      </c>
      <c r="E3362" t="s">
        <v>835</v>
      </c>
      <c r="F3362">
        <v>5</v>
      </c>
      <c r="G3362">
        <v>0.15</v>
      </c>
      <c r="H3362" t="s">
        <v>855</v>
      </c>
      <c r="I3362" t="str">
        <f>VLOOKUP(C3362,Customers!A:C,2,FALSE)&amp;" "&amp;VLOOKUP(C3362,Customers!A:C,3,FALSE)</f>
        <v>Stacy Williams</v>
      </c>
      <c r="J3362" t="str">
        <f>VLOOKUP(D3362,Products!A:C,2,FALSE)</f>
        <v>Audience Television</v>
      </c>
      <c r="K3362" t="str">
        <f>VLOOKUP(D3362,Products!A:C,3,FALSE)</f>
        <v>Electronics</v>
      </c>
      <c r="L3362" t="str">
        <f>VLOOKUP(E3362,Stores!A:B,2,FALSE)</f>
        <v>MegaMart Peckmouth</v>
      </c>
      <c r="M3362">
        <f>VLOOKUP(D3362,Products!A:E,5,FALSE)</f>
        <v>818.76</v>
      </c>
      <c r="N3362" s="5">
        <f t="shared" si="52"/>
        <v>3479.73</v>
      </c>
    </row>
    <row r="3363" spans="1:14" x14ac:dyDescent="0.3">
      <c r="A3363" t="s">
        <v>4219</v>
      </c>
      <c r="B3363" s="2">
        <v>45797</v>
      </c>
      <c r="C3363" t="s">
        <v>464</v>
      </c>
      <c r="D3363" t="s">
        <v>734</v>
      </c>
      <c r="E3363" t="s">
        <v>846</v>
      </c>
      <c r="F3363">
        <v>1</v>
      </c>
      <c r="G3363">
        <v>0.05</v>
      </c>
      <c r="H3363" t="s">
        <v>861</v>
      </c>
      <c r="I3363" t="str">
        <f>VLOOKUP(C3363,Customers!A:C,2,FALSE)&amp;" "&amp;VLOOKUP(C3363,Customers!A:C,3,FALSE)</f>
        <v>Monique Johnson</v>
      </c>
      <c r="J3363" t="str">
        <f>VLOOKUP(D3363,Products!A:C,2,FALSE)</f>
        <v>Recognize Footwear</v>
      </c>
      <c r="K3363" t="str">
        <f>VLOOKUP(D3363,Products!A:C,3,FALSE)</f>
        <v>Fashion</v>
      </c>
      <c r="L3363" t="str">
        <f>VLOOKUP(E3363,Stores!A:B,2,FALSE)</f>
        <v>MegaMart Johnmouth</v>
      </c>
      <c r="M3363">
        <f>VLOOKUP(D3363,Products!A:E,5,FALSE)</f>
        <v>109.78</v>
      </c>
      <c r="N3363" s="5">
        <f t="shared" si="52"/>
        <v>104.291</v>
      </c>
    </row>
    <row r="3364" spans="1:14" x14ac:dyDescent="0.3">
      <c r="A3364" t="s">
        <v>4220</v>
      </c>
      <c r="B3364" s="2">
        <v>45315</v>
      </c>
      <c r="C3364" t="s">
        <v>690</v>
      </c>
      <c r="D3364" t="s">
        <v>788</v>
      </c>
      <c r="E3364" t="s">
        <v>839</v>
      </c>
      <c r="F3364">
        <v>5</v>
      </c>
      <c r="G3364">
        <v>0</v>
      </c>
      <c r="H3364" t="s">
        <v>855</v>
      </c>
      <c r="I3364" t="str">
        <f>VLOOKUP(C3364,Customers!A:C,2,FALSE)&amp;" "&amp;VLOOKUP(C3364,Customers!A:C,3,FALSE)</f>
        <v>James Noble</v>
      </c>
      <c r="J3364" t="str">
        <f>VLOOKUP(D3364,Products!A:C,2,FALSE)</f>
        <v>Foot Snacks</v>
      </c>
      <c r="K3364" t="str">
        <f>VLOOKUP(D3364,Products!A:C,3,FALSE)</f>
        <v>Groceries</v>
      </c>
      <c r="L3364" t="str">
        <f>VLOOKUP(E3364,Stores!A:B,2,FALSE)</f>
        <v>MegaMart New Michele</v>
      </c>
      <c r="M3364">
        <f>VLOOKUP(D3364,Products!A:E,5,FALSE)</f>
        <v>1095.72</v>
      </c>
      <c r="N3364" s="5">
        <f t="shared" si="52"/>
        <v>5478.6</v>
      </c>
    </row>
    <row r="3365" spans="1:14" x14ac:dyDescent="0.3">
      <c r="A3365" t="s">
        <v>4221</v>
      </c>
      <c r="B3365" s="2">
        <v>45626</v>
      </c>
      <c r="C3365" t="s">
        <v>368</v>
      </c>
      <c r="D3365" t="s">
        <v>806</v>
      </c>
      <c r="E3365" t="s">
        <v>842</v>
      </c>
      <c r="F3365">
        <v>1</v>
      </c>
      <c r="G3365">
        <v>0.15</v>
      </c>
      <c r="H3365" t="s">
        <v>858</v>
      </c>
      <c r="I3365" t="str">
        <f>VLOOKUP(C3365,Customers!A:C,2,FALSE)&amp;" "&amp;VLOOKUP(C3365,Customers!A:C,3,FALSE)</f>
        <v>Lisa Vega</v>
      </c>
      <c r="J3365" t="str">
        <f>VLOOKUP(D3365,Products!A:C,2,FALSE)</f>
        <v>Piece Headphones</v>
      </c>
      <c r="K3365" t="str">
        <f>VLOOKUP(D3365,Products!A:C,3,FALSE)</f>
        <v>Electronics</v>
      </c>
      <c r="L3365" t="str">
        <f>VLOOKUP(E3365,Stores!A:B,2,FALSE)</f>
        <v>MegaMart Brianahaven</v>
      </c>
      <c r="M3365">
        <f>VLOOKUP(D3365,Products!A:E,5,FALSE)</f>
        <v>1745.61</v>
      </c>
      <c r="N3365" s="5">
        <f t="shared" si="52"/>
        <v>1483.7684999999999</v>
      </c>
    </row>
    <row r="3366" spans="1:14" x14ac:dyDescent="0.3">
      <c r="A3366" t="s">
        <v>4222</v>
      </c>
      <c r="B3366" s="2">
        <v>45479</v>
      </c>
      <c r="C3366" t="s">
        <v>32</v>
      </c>
      <c r="D3366" t="s">
        <v>734</v>
      </c>
      <c r="E3366" t="s">
        <v>831</v>
      </c>
      <c r="F3366">
        <v>5</v>
      </c>
      <c r="G3366">
        <v>0</v>
      </c>
      <c r="H3366" t="s">
        <v>865</v>
      </c>
      <c r="I3366" t="str">
        <f>VLOOKUP(C3366,Customers!A:C,2,FALSE)&amp;" "&amp;VLOOKUP(C3366,Customers!A:C,3,FALSE)</f>
        <v>Erin Walker</v>
      </c>
      <c r="J3366" t="str">
        <f>VLOOKUP(D3366,Products!A:C,2,FALSE)</f>
        <v>Recognize Footwear</v>
      </c>
      <c r="K3366" t="str">
        <f>VLOOKUP(D3366,Products!A:C,3,FALSE)</f>
        <v>Fashion</v>
      </c>
      <c r="L3366" t="str">
        <f>VLOOKUP(E3366,Stores!A:B,2,FALSE)</f>
        <v>MegaMart Jimenezborough</v>
      </c>
      <c r="M3366">
        <f>VLOOKUP(D3366,Products!A:E,5,FALSE)</f>
        <v>109.78</v>
      </c>
      <c r="N3366" s="5">
        <f t="shared" si="52"/>
        <v>548.9</v>
      </c>
    </row>
    <row r="3367" spans="1:14" x14ac:dyDescent="0.3">
      <c r="A3367" t="s">
        <v>4223</v>
      </c>
      <c r="B3367" s="2">
        <v>45713</v>
      </c>
      <c r="C3367" t="s">
        <v>604</v>
      </c>
      <c r="D3367" t="s">
        <v>818</v>
      </c>
      <c r="E3367" t="s">
        <v>839</v>
      </c>
      <c r="F3367">
        <v>2</v>
      </c>
      <c r="G3367">
        <v>0.15</v>
      </c>
      <c r="H3367" t="s">
        <v>855</v>
      </c>
      <c r="I3367" t="str">
        <f>VLOOKUP(C3367,Customers!A:C,2,FALSE)&amp;" "&amp;VLOOKUP(C3367,Customers!A:C,3,FALSE)</f>
        <v>Amber Graham</v>
      </c>
      <c r="J3367" t="str">
        <f>VLOOKUP(D3367,Products!A:C,2,FALSE)</f>
        <v>Nature Clothing</v>
      </c>
      <c r="K3367" t="str">
        <f>VLOOKUP(D3367,Products!A:C,3,FALSE)</f>
        <v>Fashion</v>
      </c>
      <c r="L3367" t="str">
        <f>VLOOKUP(E3367,Stores!A:B,2,FALSE)</f>
        <v>MegaMart New Michele</v>
      </c>
      <c r="M3367">
        <f>VLOOKUP(D3367,Products!A:E,5,FALSE)</f>
        <v>1165.3699999999999</v>
      </c>
      <c r="N3367" s="5">
        <f t="shared" si="52"/>
        <v>1981.1289999999997</v>
      </c>
    </row>
    <row r="3368" spans="1:14" x14ac:dyDescent="0.3">
      <c r="A3368" t="s">
        <v>4224</v>
      </c>
      <c r="B3368" s="2">
        <v>45430</v>
      </c>
      <c r="C3368" t="s">
        <v>582</v>
      </c>
      <c r="D3368" t="s">
        <v>755</v>
      </c>
      <c r="E3368" t="s">
        <v>839</v>
      </c>
      <c r="F3368">
        <v>1</v>
      </c>
      <c r="G3368">
        <v>0.1</v>
      </c>
      <c r="H3368" t="s">
        <v>855</v>
      </c>
      <c r="I3368" t="str">
        <f>VLOOKUP(C3368,Customers!A:C,2,FALSE)&amp;" "&amp;VLOOKUP(C3368,Customers!A:C,3,FALSE)</f>
        <v>Erin Rogers</v>
      </c>
      <c r="J3368" t="str">
        <f>VLOOKUP(D3368,Products!A:C,2,FALSE)</f>
        <v>House Accessories</v>
      </c>
      <c r="K3368" t="str">
        <f>VLOOKUP(D3368,Products!A:C,3,FALSE)</f>
        <v>Fashion</v>
      </c>
      <c r="L3368" t="str">
        <f>VLOOKUP(E3368,Stores!A:B,2,FALSE)</f>
        <v>MegaMart New Michele</v>
      </c>
      <c r="M3368">
        <f>VLOOKUP(D3368,Products!A:E,5,FALSE)</f>
        <v>1858.75</v>
      </c>
      <c r="N3368" s="5">
        <f t="shared" si="52"/>
        <v>1672.875</v>
      </c>
    </row>
    <row r="3369" spans="1:14" x14ac:dyDescent="0.3">
      <c r="A3369" t="s">
        <v>4225</v>
      </c>
      <c r="B3369" s="2">
        <v>45381</v>
      </c>
      <c r="C3369" t="s">
        <v>498</v>
      </c>
      <c r="D3369" t="s">
        <v>818</v>
      </c>
      <c r="E3369" t="s">
        <v>835</v>
      </c>
      <c r="F3369">
        <v>4</v>
      </c>
      <c r="G3369">
        <v>0.15</v>
      </c>
      <c r="H3369" t="s">
        <v>865</v>
      </c>
      <c r="I3369" t="str">
        <f>VLOOKUP(C3369,Customers!A:C,2,FALSE)&amp;" "&amp;VLOOKUP(C3369,Customers!A:C,3,FALSE)</f>
        <v>Amanda Garcia</v>
      </c>
      <c r="J3369" t="str">
        <f>VLOOKUP(D3369,Products!A:C,2,FALSE)</f>
        <v>Nature Clothing</v>
      </c>
      <c r="K3369" t="str">
        <f>VLOOKUP(D3369,Products!A:C,3,FALSE)</f>
        <v>Fashion</v>
      </c>
      <c r="L3369" t="str">
        <f>VLOOKUP(E3369,Stores!A:B,2,FALSE)</f>
        <v>MegaMart Peckmouth</v>
      </c>
      <c r="M3369">
        <f>VLOOKUP(D3369,Products!A:E,5,FALSE)</f>
        <v>1165.3699999999999</v>
      </c>
      <c r="N3369" s="5">
        <f t="shared" si="52"/>
        <v>3962.2579999999994</v>
      </c>
    </row>
    <row r="3370" spans="1:14" x14ac:dyDescent="0.3">
      <c r="A3370" t="s">
        <v>4226</v>
      </c>
      <c r="B3370" s="2">
        <v>45591</v>
      </c>
      <c r="C3370" t="s">
        <v>234</v>
      </c>
      <c r="D3370" t="s">
        <v>759</v>
      </c>
      <c r="E3370" t="s">
        <v>842</v>
      </c>
      <c r="F3370">
        <v>2</v>
      </c>
      <c r="G3370">
        <v>0.1</v>
      </c>
      <c r="H3370" t="s">
        <v>861</v>
      </c>
      <c r="I3370" t="str">
        <f>VLOOKUP(C3370,Customers!A:C,2,FALSE)&amp;" "&amp;VLOOKUP(C3370,Customers!A:C,3,FALSE)</f>
        <v>Heather Russell</v>
      </c>
      <c r="J3370" t="str">
        <f>VLOOKUP(D3370,Products!A:C,2,FALSE)</f>
        <v>Democratic Smartphone</v>
      </c>
      <c r="K3370" t="str">
        <f>VLOOKUP(D3370,Products!A:C,3,FALSE)</f>
        <v>Electronics</v>
      </c>
      <c r="L3370" t="str">
        <f>VLOOKUP(E3370,Stores!A:B,2,FALSE)</f>
        <v>MegaMart Brianahaven</v>
      </c>
      <c r="M3370">
        <f>VLOOKUP(D3370,Products!A:E,5,FALSE)</f>
        <v>1079.8900000000001</v>
      </c>
      <c r="N3370" s="5">
        <f t="shared" si="52"/>
        <v>1943.8020000000001</v>
      </c>
    </row>
    <row r="3371" spans="1:14" x14ac:dyDescent="0.3">
      <c r="A3371" t="s">
        <v>4227</v>
      </c>
      <c r="B3371" s="2">
        <v>45308</v>
      </c>
      <c r="C3371" t="s">
        <v>313</v>
      </c>
      <c r="D3371" t="s">
        <v>804</v>
      </c>
      <c r="E3371" t="s">
        <v>839</v>
      </c>
      <c r="F3371">
        <v>1</v>
      </c>
      <c r="G3371">
        <v>0.1</v>
      </c>
      <c r="H3371" t="s">
        <v>855</v>
      </c>
      <c r="I3371" t="str">
        <f>VLOOKUP(C3371,Customers!A:C,2,FALSE)&amp;" "&amp;VLOOKUP(C3371,Customers!A:C,3,FALSE)</f>
        <v>Jeremy Robles</v>
      </c>
      <c r="J3371" t="str">
        <f>VLOOKUP(D3371,Products!A:C,2,FALSE)</f>
        <v>Church Clothing</v>
      </c>
      <c r="K3371" t="str">
        <f>VLOOKUP(D3371,Products!A:C,3,FALSE)</f>
        <v>Fashion</v>
      </c>
      <c r="L3371" t="str">
        <f>VLOOKUP(E3371,Stores!A:B,2,FALSE)</f>
        <v>MegaMart New Michele</v>
      </c>
      <c r="M3371">
        <f>VLOOKUP(D3371,Products!A:E,5,FALSE)</f>
        <v>540.94000000000005</v>
      </c>
      <c r="N3371" s="5">
        <f t="shared" si="52"/>
        <v>486.84600000000006</v>
      </c>
    </row>
    <row r="3372" spans="1:14" x14ac:dyDescent="0.3">
      <c r="A3372" t="s">
        <v>4228</v>
      </c>
      <c r="B3372" s="2">
        <v>45303</v>
      </c>
      <c r="C3372" t="s">
        <v>171</v>
      </c>
      <c r="D3372" t="s">
        <v>753</v>
      </c>
      <c r="E3372" t="s">
        <v>846</v>
      </c>
      <c r="F3372">
        <v>4</v>
      </c>
      <c r="G3372">
        <v>0</v>
      </c>
      <c r="H3372" t="s">
        <v>865</v>
      </c>
      <c r="I3372" t="str">
        <f>VLOOKUP(C3372,Customers!A:C,2,FALSE)&amp;" "&amp;VLOOKUP(C3372,Customers!A:C,3,FALSE)</f>
        <v>Parker Sparks</v>
      </c>
      <c r="J3372" t="str">
        <f>VLOOKUP(D3372,Products!A:C,2,FALSE)</f>
        <v>Whether Bags</v>
      </c>
      <c r="K3372" t="str">
        <f>VLOOKUP(D3372,Products!A:C,3,FALSE)</f>
        <v>Fashion</v>
      </c>
      <c r="L3372" t="str">
        <f>VLOOKUP(E3372,Stores!A:B,2,FALSE)</f>
        <v>MegaMart Johnmouth</v>
      </c>
      <c r="M3372">
        <f>VLOOKUP(D3372,Products!A:E,5,FALSE)</f>
        <v>270.45</v>
      </c>
      <c r="N3372" s="5">
        <f t="shared" si="52"/>
        <v>1081.8</v>
      </c>
    </row>
    <row r="3373" spans="1:14" x14ac:dyDescent="0.3">
      <c r="A3373" t="s">
        <v>4229</v>
      </c>
      <c r="B3373" s="2">
        <v>45729</v>
      </c>
      <c r="C3373" t="s">
        <v>577</v>
      </c>
      <c r="D3373" t="s">
        <v>782</v>
      </c>
      <c r="E3373" t="s">
        <v>842</v>
      </c>
      <c r="F3373">
        <v>1</v>
      </c>
      <c r="G3373">
        <v>0.15</v>
      </c>
      <c r="H3373" t="s">
        <v>861</v>
      </c>
      <c r="I3373" t="str">
        <f>VLOOKUP(C3373,Customers!A:C,2,FALSE)&amp;" "&amp;VLOOKUP(C3373,Customers!A:C,3,FALSE)</f>
        <v>Michael Perez</v>
      </c>
      <c r="J3373" t="str">
        <f>VLOOKUP(D3373,Products!A:C,2,FALSE)</f>
        <v>Deal Smartphone</v>
      </c>
      <c r="K3373" t="str">
        <f>VLOOKUP(D3373,Products!A:C,3,FALSE)</f>
        <v>Electronics</v>
      </c>
      <c r="L3373" t="str">
        <f>VLOOKUP(E3373,Stores!A:B,2,FALSE)</f>
        <v>MegaMart Brianahaven</v>
      </c>
      <c r="M3373">
        <f>VLOOKUP(D3373,Products!A:E,5,FALSE)</f>
        <v>673.78</v>
      </c>
      <c r="N3373" s="5">
        <f t="shared" si="52"/>
        <v>572.71299999999997</v>
      </c>
    </row>
    <row r="3374" spans="1:14" x14ac:dyDescent="0.3">
      <c r="A3374" t="s">
        <v>4230</v>
      </c>
      <c r="B3374" s="2">
        <v>45333</v>
      </c>
      <c r="C3374" t="s">
        <v>238</v>
      </c>
      <c r="D3374" t="s">
        <v>750</v>
      </c>
      <c r="E3374" t="s">
        <v>842</v>
      </c>
      <c r="F3374">
        <v>5</v>
      </c>
      <c r="G3374">
        <v>0.15</v>
      </c>
      <c r="H3374" t="s">
        <v>855</v>
      </c>
      <c r="I3374" t="str">
        <f>VLOOKUP(C3374,Customers!A:C,2,FALSE)&amp;" "&amp;VLOOKUP(C3374,Customers!A:C,3,FALSE)</f>
        <v>Susan Salinas</v>
      </c>
      <c r="J3374" t="str">
        <f>VLOOKUP(D3374,Products!A:C,2,FALSE)</f>
        <v>Add Clothing</v>
      </c>
      <c r="K3374" t="str">
        <f>VLOOKUP(D3374,Products!A:C,3,FALSE)</f>
        <v>Fashion</v>
      </c>
      <c r="L3374" t="str">
        <f>VLOOKUP(E3374,Stores!A:B,2,FALSE)</f>
        <v>MegaMart Brianahaven</v>
      </c>
      <c r="M3374">
        <f>VLOOKUP(D3374,Products!A:E,5,FALSE)</f>
        <v>1342.75</v>
      </c>
      <c r="N3374" s="5">
        <f t="shared" si="52"/>
        <v>5706.6875</v>
      </c>
    </row>
    <row r="3375" spans="1:14" x14ac:dyDescent="0.3">
      <c r="A3375" t="s">
        <v>4231</v>
      </c>
      <c r="B3375" s="2">
        <v>45433</v>
      </c>
      <c r="C3375" t="s">
        <v>24</v>
      </c>
      <c r="D3375" t="s">
        <v>780</v>
      </c>
      <c r="E3375" t="s">
        <v>846</v>
      </c>
      <c r="F3375">
        <v>5</v>
      </c>
      <c r="G3375">
        <v>0.05</v>
      </c>
      <c r="H3375" t="s">
        <v>861</v>
      </c>
      <c r="I3375" t="str">
        <f>VLOOKUP(C3375,Customers!A:C,2,FALSE)&amp;" "&amp;VLOOKUP(C3375,Customers!A:C,3,FALSE)</f>
        <v>Jamie Salinas</v>
      </c>
      <c r="J3375" t="str">
        <f>VLOOKUP(D3375,Products!A:C,2,FALSE)</f>
        <v>Hospital Smartphone</v>
      </c>
      <c r="K3375" t="str">
        <f>VLOOKUP(D3375,Products!A:C,3,FALSE)</f>
        <v>Electronics</v>
      </c>
      <c r="L3375" t="str">
        <f>VLOOKUP(E3375,Stores!A:B,2,FALSE)</f>
        <v>MegaMart Johnmouth</v>
      </c>
      <c r="M3375">
        <f>VLOOKUP(D3375,Products!A:E,5,FALSE)</f>
        <v>1272.23</v>
      </c>
      <c r="N3375" s="5">
        <f t="shared" si="52"/>
        <v>6043.0924999999997</v>
      </c>
    </row>
    <row r="3376" spans="1:14" x14ac:dyDescent="0.3">
      <c r="A3376" t="s">
        <v>4232</v>
      </c>
      <c r="B3376" s="2">
        <v>45601</v>
      </c>
      <c r="C3376" t="s">
        <v>71</v>
      </c>
      <c r="D3376" t="s">
        <v>745</v>
      </c>
      <c r="E3376" t="s">
        <v>831</v>
      </c>
      <c r="F3376">
        <v>3</v>
      </c>
      <c r="G3376">
        <v>0</v>
      </c>
      <c r="H3376" t="s">
        <v>865</v>
      </c>
      <c r="I3376" t="str">
        <f>VLOOKUP(C3376,Customers!A:C,2,FALSE)&amp;" "&amp;VLOOKUP(C3376,Customers!A:C,3,FALSE)</f>
        <v>Vanessa Anderson</v>
      </c>
      <c r="J3376" t="str">
        <f>VLOOKUP(D3376,Products!A:C,2,FALSE)</f>
        <v>Above Camera</v>
      </c>
      <c r="K3376" t="str">
        <f>VLOOKUP(D3376,Products!A:C,3,FALSE)</f>
        <v>Electronics</v>
      </c>
      <c r="L3376" t="str">
        <f>VLOOKUP(E3376,Stores!A:B,2,FALSE)</f>
        <v>MegaMart Jimenezborough</v>
      </c>
      <c r="M3376">
        <f>VLOOKUP(D3376,Products!A:E,5,FALSE)</f>
        <v>1193.0899999999999</v>
      </c>
      <c r="N3376" s="5">
        <f t="shared" si="52"/>
        <v>3579.2699999999995</v>
      </c>
    </row>
    <row r="3377" spans="1:14" x14ac:dyDescent="0.3">
      <c r="A3377" t="s">
        <v>4233</v>
      </c>
      <c r="B3377" s="2">
        <v>45328</v>
      </c>
      <c r="C3377" t="s">
        <v>379</v>
      </c>
      <c r="D3377" t="s">
        <v>747</v>
      </c>
      <c r="E3377" t="s">
        <v>839</v>
      </c>
      <c r="F3377">
        <v>5</v>
      </c>
      <c r="G3377">
        <v>0</v>
      </c>
      <c r="H3377" t="s">
        <v>865</v>
      </c>
      <c r="I3377" t="str">
        <f>VLOOKUP(C3377,Customers!A:C,2,FALSE)&amp;" "&amp;VLOOKUP(C3377,Customers!A:C,3,FALSE)</f>
        <v>William Pope</v>
      </c>
      <c r="J3377" t="str">
        <f>VLOOKUP(D3377,Products!A:C,2,FALSE)</f>
        <v>World Watches</v>
      </c>
      <c r="K3377" t="str">
        <f>VLOOKUP(D3377,Products!A:C,3,FALSE)</f>
        <v>Fashion</v>
      </c>
      <c r="L3377" t="str">
        <f>VLOOKUP(E3377,Stores!A:B,2,FALSE)</f>
        <v>MegaMart New Michele</v>
      </c>
      <c r="M3377">
        <f>VLOOKUP(D3377,Products!A:E,5,FALSE)</f>
        <v>1134.8</v>
      </c>
      <c r="N3377" s="5">
        <f t="shared" si="52"/>
        <v>5674</v>
      </c>
    </row>
    <row r="3378" spans="1:14" x14ac:dyDescent="0.3">
      <c r="A3378" t="s">
        <v>4234</v>
      </c>
      <c r="B3378" s="2">
        <v>45373</v>
      </c>
      <c r="C3378" t="s">
        <v>254</v>
      </c>
      <c r="D3378" t="s">
        <v>772</v>
      </c>
      <c r="E3378" t="s">
        <v>839</v>
      </c>
      <c r="F3378">
        <v>2</v>
      </c>
      <c r="G3378">
        <v>0.15</v>
      </c>
      <c r="H3378" t="s">
        <v>858</v>
      </c>
      <c r="I3378" t="str">
        <f>VLOOKUP(C3378,Customers!A:C,2,FALSE)&amp;" "&amp;VLOOKUP(C3378,Customers!A:C,3,FALSE)</f>
        <v>Daniel Maldonado</v>
      </c>
      <c r="J3378" t="str">
        <f>VLOOKUP(D3378,Products!A:C,2,FALSE)</f>
        <v>And Footwear</v>
      </c>
      <c r="K3378" t="str">
        <f>VLOOKUP(D3378,Products!A:C,3,FALSE)</f>
        <v>Fashion</v>
      </c>
      <c r="L3378" t="str">
        <f>VLOOKUP(E3378,Stores!A:B,2,FALSE)</f>
        <v>MegaMart New Michele</v>
      </c>
      <c r="M3378">
        <f>VLOOKUP(D3378,Products!A:E,5,FALSE)</f>
        <v>1878.47</v>
      </c>
      <c r="N3378" s="5">
        <f t="shared" si="52"/>
        <v>3193.3989999999999</v>
      </c>
    </row>
    <row r="3379" spans="1:14" x14ac:dyDescent="0.3">
      <c r="A3379" t="s">
        <v>4235</v>
      </c>
      <c r="B3379" s="2">
        <v>45535</v>
      </c>
      <c r="C3379" t="s">
        <v>243</v>
      </c>
      <c r="D3379" t="s">
        <v>736</v>
      </c>
      <c r="E3379" t="s">
        <v>846</v>
      </c>
      <c r="F3379">
        <v>2</v>
      </c>
      <c r="G3379">
        <v>0.15</v>
      </c>
      <c r="H3379" t="s">
        <v>861</v>
      </c>
      <c r="I3379" t="str">
        <f>VLOOKUP(C3379,Customers!A:C,2,FALSE)&amp;" "&amp;VLOOKUP(C3379,Customers!A:C,3,FALSE)</f>
        <v>Amanda Hoover</v>
      </c>
      <c r="J3379" t="str">
        <f>VLOOKUP(D3379,Products!A:C,2,FALSE)</f>
        <v>Us Snacks</v>
      </c>
      <c r="K3379" t="str">
        <f>VLOOKUP(D3379,Products!A:C,3,FALSE)</f>
        <v>Groceries</v>
      </c>
      <c r="L3379" t="str">
        <f>VLOOKUP(E3379,Stores!A:B,2,FALSE)</f>
        <v>MegaMart Johnmouth</v>
      </c>
      <c r="M3379">
        <f>VLOOKUP(D3379,Products!A:E,5,FALSE)</f>
        <v>123.19</v>
      </c>
      <c r="N3379" s="5">
        <f t="shared" si="52"/>
        <v>209.423</v>
      </c>
    </row>
    <row r="3380" spans="1:14" x14ac:dyDescent="0.3">
      <c r="A3380" t="s">
        <v>4236</v>
      </c>
      <c r="B3380" s="2">
        <v>45599</v>
      </c>
      <c r="C3380" t="s">
        <v>498</v>
      </c>
      <c r="D3380" t="s">
        <v>824</v>
      </c>
      <c r="E3380" t="s">
        <v>831</v>
      </c>
      <c r="F3380">
        <v>4</v>
      </c>
      <c r="G3380">
        <v>0.1</v>
      </c>
      <c r="H3380" t="s">
        <v>861</v>
      </c>
      <c r="I3380" t="str">
        <f>VLOOKUP(C3380,Customers!A:C,2,FALSE)&amp;" "&amp;VLOOKUP(C3380,Customers!A:C,3,FALSE)</f>
        <v>Amanda Garcia</v>
      </c>
      <c r="J3380" t="str">
        <f>VLOOKUP(D3380,Products!A:C,2,FALSE)</f>
        <v>Possible Watches</v>
      </c>
      <c r="K3380" t="str">
        <f>VLOOKUP(D3380,Products!A:C,3,FALSE)</f>
        <v>Fashion</v>
      </c>
      <c r="L3380" t="str">
        <f>VLOOKUP(E3380,Stores!A:B,2,FALSE)</f>
        <v>MegaMart Jimenezborough</v>
      </c>
      <c r="M3380">
        <f>VLOOKUP(D3380,Products!A:E,5,FALSE)</f>
        <v>388.26</v>
      </c>
      <c r="N3380" s="5">
        <f t="shared" si="52"/>
        <v>1397.7360000000001</v>
      </c>
    </row>
    <row r="3381" spans="1:14" x14ac:dyDescent="0.3">
      <c r="A3381" t="s">
        <v>4237</v>
      </c>
      <c r="B3381" s="2">
        <v>45903</v>
      </c>
      <c r="C3381" t="s">
        <v>155</v>
      </c>
      <c r="D3381" t="s">
        <v>766</v>
      </c>
      <c r="E3381" t="s">
        <v>831</v>
      </c>
      <c r="F3381">
        <v>2</v>
      </c>
      <c r="G3381">
        <v>0.15</v>
      </c>
      <c r="H3381" t="s">
        <v>855</v>
      </c>
      <c r="I3381" t="str">
        <f>VLOOKUP(C3381,Customers!A:C,2,FALSE)&amp;" "&amp;VLOOKUP(C3381,Customers!A:C,3,FALSE)</f>
        <v>Scott Powell</v>
      </c>
      <c r="J3381" t="str">
        <f>VLOOKUP(D3381,Products!A:C,2,FALSE)</f>
        <v>Firm Dairy</v>
      </c>
      <c r="K3381" t="str">
        <f>VLOOKUP(D3381,Products!A:C,3,FALSE)</f>
        <v>Groceries</v>
      </c>
      <c r="L3381" t="str">
        <f>VLOOKUP(E3381,Stores!A:B,2,FALSE)</f>
        <v>MegaMart Jimenezborough</v>
      </c>
      <c r="M3381">
        <f>VLOOKUP(D3381,Products!A:E,5,FALSE)</f>
        <v>1227.24</v>
      </c>
      <c r="N3381" s="5">
        <f t="shared" si="52"/>
        <v>2086.308</v>
      </c>
    </row>
    <row r="3382" spans="1:14" x14ac:dyDescent="0.3">
      <c r="A3382" t="s">
        <v>4238</v>
      </c>
      <c r="B3382" s="2">
        <v>45794</v>
      </c>
      <c r="C3382" t="s">
        <v>657</v>
      </c>
      <c r="D3382" t="s">
        <v>753</v>
      </c>
      <c r="E3382" t="s">
        <v>835</v>
      </c>
      <c r="F3382">
        <v>5</v>
      </c>
      <c r="G3382">
        <v>0.1</v>
      </c>
      <c r="H3382" t="s">
        <v>858</v>
      </c>
      <c r="I3382" t="str">
        <f>VLOOKUP(C3382,Customers!A:C,2,FALSE)&amp;" "&amp;VLOOKUP(C3382,Customers!A:C,3,FALSE)</f>
        <v>Vicki Guzman</v>
      </c>
      <c r="J3382" t="str">
        <f>VLOOKUP(D3382,Products!A:C,2,FALSE)</f>
        <v>Whether Bags</v>
      </c>
      <c r="K3382" t="str">
        <f>VLOOKUP(D3382,Products!A:C,3,FALSE)</f>
        <v>Fashion</v>
      </c>
      <c r="L3382" t="str">
        <f>VLOOKUP(E3382,Stores!A:B,2,FALSE)</f>
        <v>MegaMart Peckmouth</v>
      </c>
      <c r="M3382">
        <f>VLOOKUP(D3382,Products!A:E,5,FALSE)</f>
        <v>270.45</v>
      </c>
      <c r="N3382" s="5">
        <f t="shared" si="52"/>
        <v>1217.0250000000001</v>
      </c>
    </row>
    <row r="3383" spans="1:14" x14ac:dyDescent="0.3">
      <c r="A3383" t="s">
        <v>4239</v>
      </c>
      <c r="B3383" s="2">
        <v>45815</v>
      </c>
      <c r="C3383" t="s">
        <v>291</v>
      </c>
      <c r="D3383" t="s">
        <v>772</v>
      </c>
      <c r="E3383" t="s">
        <v>835</v>
      </c>
      <c r="F3383">
        <v>1</v>
      </c>
      <c r="G3383">
        <v>0.05</v>
      </c>
      <c r="H3383" t="s">
        <v>858</v>
      </c>
      <c r="I3383" t="str">
        <f>VLOOKUP(C3383,Customers!A:C,2,FALSE)&amp;" "&amp;VLOOKUP(C3383,Customers!A:C,3,FALSE)</f>
        <v>Matthew Juarez</v>
      </c>
      <c r="J3383" t="str">
        <f>VLOOKUP(D3383,Products!A:C,2,FALSE)</f>
        <v>And Footwear</v>
      </c>
      <c r="K3383" t="str">
        <f>VLOOKUP(D3383,Products!A:C,3,FALSE)</f>
        <v>Fashion</v>
      </c>
      <c r="L3383" t="str">
        <f>VLOOKUP(E3383,Stores!A:B,2,FALSE)</f>
        <v>MegaMart Peckmouth</v>
      </c>
      <c r="M3383">
        <f>VLOOKUP(D3383,Products!A:E,5,FALSE)</f>
        <v>1878.47</v>
      </c>
      <c r="N3383" s="5">
        <f t="shared" si="52"/>
        <v>1784.5464999999999</v>
      </c>
    </row>
    <row r="3384" spans="1:14" x14ac:dyDescent="0.3">
      <c r="A3384" t="s">
        <v>4240</v>
      </c>
      <c r="B3384" s="2">
        <v>45405</v>
      </c>
      <c r="C3384" t="s">
        <v>683</v>
      </c>
      <c r="D3384" t="s">
        <v>802</v>
      </c>
      <c r="E3384" t="s">
        <v>835</v>
      </c>
      <c r="F3384">
        <v>3</v>
      </c>
      <c r="G3384">
        <v>0.15</v>
      </c>
      <c r="H3384" t="s">
        <v>861</v>
      </c>
      <c r="I3384" t="str">
        <f>VLOOKUP(C3384,Customers!A:C,2,FALSE)&amp;" "&amp;VLOOKUP(C3384,Customers!A:C,3,FALSE)</f>
        <v>Ann West</v>
      </c>
      <c r="J3384" t="str">
        <f>VLOOKUP(D3384,Products!A:C,2,FALSE)</f>
        <v>Stage Footwear</v>
      </c>
      <c r="K3384" t="str">
        <f>VLOOKUP(D3384,Products!A:C,3,FALSE)</f>
        <v>Fashion</v>
      </c>
      <c r="L3384" t="str">
        <f>VLOOKUP(E3384,Stores!A:B,2,FALSE)</f>
        <v>MegaMart Peckmouth</v>
      </c>
      <c r="M3384">
        <f>VLOOKUP(D3384,Products!A:E,5,FALSE)</f>
        <v>366.93</v>
      </c>
      <c r="N3384" s="5">
        <f t="shared" si="52"/>
        <v>935.67149999999992</v>
      </c>
    </row>
    <row r="3385" spans="1:14" x14ac:dyDescent="0.3">
      <c r="A3385" t="s">
        <v>4241</v>
      </c>
      <c r="B3385" s="2">
        <v>45369</v>
      </c>
      <c r="C3385" t="s">
        <v>109</v>
      </c>
      <c r="D3385" t="s">
        <v>810</v>
      </c>
      <c r="E3385" t="s">
        <v>839</v>
      </c>
      <c r="F3385">
        <v>3</v>
      </c>
      <c r="G3385">
        <v>0</v>
      </c>
      <c r="H3385" t="s">
        <v>858</v>
      </c>
      <c r="I3385" t="str">
        <f>VLOOKUP(C3385,Customers!A:C,2,FALSE)&amp;" "&amp;VLOOKUP(C3385,Customers!A:C,3,FALSE)</f>
        <v>Jacqueline Martin</v>
      </c>
      <c r="J3385" t="str">
        <f>VLOOKUP(D3385,Products!A:C,2,FALSE)</f>
        <v>Maybe Clothing</v>
      </c>
      <c r="K3385" t="str">
        <f>VLOOKUP(D3385,Products!A:C,3,FALSE)</f>
        <v>Fashion</v>
      </c>
      <c r="L3385" t="str">
        <f>VLOOKUP(E3385,Stores!A:B,2,FALSE)</f>
        <v>MegaMart New Michele</v>
      </c>
      <c r="M3385">
        <f>VLOOKUP(D3385,Products!A:E,5,FALSE)</f>
        <v>453.62</v>
      </c>
      <c r="N3385" s="5">
        <f t="shared" si="52"/>
        <v>1360.8600000000001</v>
      </c>
    </row>
    <row r="3386" spans="1:14" x14ac:dyDescent="0.3">
      <c r="A3386" t="s">
        <v>4242</v>
      </c>
      <c r="B3386" s="2">
        <v>45424</v>
      </c>
      <c r="C3386" t="s">
        <v>48</v>
      </c>
      <c r="D3386" t="s">
        <v>742</v>
      </c>
      <c r="E3386" t="s">
        <v>842</v>
      </c>
      <c r="F3386">
        <v>3</v>
      </c>
      <c r="G3386">
        <v>0.15</v>
      </c>
      <c r="H3386" t="s">
        <v>861</v>
      </c>
      <c r="I3386" t="str">
        <f>VLOOKUP(C3386,Customers!A:C,2,FALSE)&amp;" "&amp;VLOOKUP(C3386,Customers!A:C,3,FALSE)</f>
        <v>Haley Williams</v>
      </c>
      <c r="J3386" t="str">
        <f>VLOOKUP(D3386,Products!A:C,2,FALSE)</f>
        <v>Either Headphones</v>
      </c>
      <c r="K3386" t="str">
        <f>VLOOKUP(D3386,Products!A:C,3,FALSE)</f>
        <v>Electronics</v>
      </c>
      <c r="L3386" t="str">
        <f>VLOOKUP(E3386,Stores!A:B,2,FALSE)</f>
        <v>MegaMart Brianahaven</v>
      </c>
      <c r="M3386">
        <f>VLOOKUP(D3386,Products!A:E,5,FALSE)</f>
        <v>248.57</v>
      </c>
      <c r="N3386" s="5">
        <f t="shared" si="52"/>
        <v>633.85350000000005</v>
      </c>
    </row>
    <row r="3387" spans="1:14" x14ac:dyDescent="0.3">
      <c r="A3387" t="s">
        <v>4243</v>
      </c>
      <c r="B3387" s="2">
        <v>45783</v>
      </c>
      <c r="C3387" t="s">
        <v>343</v>
      </c>
      <c r="D3387" t="s">
        <v>814</v>
      </c>
      <c r="E3387" t="s">
        <v>839</v>
      </c>
      <c r="F3387">
        <v>3</v>
      </c>
      <c r="G3387">
        <v>0</v>
      </c>
      <c r="H3387" t="s">
        <v>861</v>
      </c>
      <c r="I3387" t="str">
        <f>VLOOKUP(C3387,Customers!A:C,2,FALSE)&amp;" "&amp;VLOOKUP(C3387,Customers!A:C,3,FALSE)</f>
        <v>Brian Fowler</v>
      </c>
      <c r="J3387" t="str">
        <f>VLOOKUP(D3387,Products!A:C,2,FALSE)</f>
        <v>Least Accessories</v>
      </c>
      <c r="K3387" t="str">
        <f>VLOOKUP(D3387,Products!A:C,3,FALSE)</f>
        <v>Fashion</v>
      </c>
      <c r="L3387" t="str">
        <f>VLOOKUP(E3387,Stores!A:B,2,FALSE)</f>
        <v>MegaMart New Michele</v>
      </c>
      <c r="M3387">
        <f>VLOOKUP(D3387,Products!A:E,5,FALSE)</f>
        <v>1286.55</v>
      </c>
      <c r="N3387" s="5">
        <f t="shared" si="52"/>
        <v>3859.6499999999996</v>
      </c>
    </row>
    <row r="3388" spans="1:14" x14ac:dyDescent="0.3">
      <c r="A3388" t="s">
        <v>4244</v>
      </c>
      <c r="B3388" s="2">
        <v>45721</v>
      </c>
      <c r="C3388" t="s">
        <v>390</v>
      </c>
      <c r="D3388" t="s">
        <v>772</v>
      </c>
      <c r="E3388" t="s">
        <v>835</v>
      </c>
      <c r="F3388">
        <v>3</v>
      </c>
      <c r="G3388">
        <v>0.1</v>
      </c>
      <c r="H3388" t="s">
        <v>861</v>
      </c>
      <c r="I3388" t="str">
        <f>VLOOKUP(C3388,Customers!A:C,2,FALSE)&amp;" "&amp;VLOOKUP(C3388,Customers!A:C,3,FALSE)</f>
        <v>Brenda Dean</v>
      </c>
      <c r="J3388" t="str">
        <f>VLOOKUP(D3388,Products!A:C,2,FALSE)</f>
        <v>And Footwear</v>
      </c>
      <c r="K3388" t="str">
        <f>VLOOKUP(D3388,Products!A:C,3,FALSE)</f>
        <v>Fashion</v>
      </c>
      <c r="L3388" t="str">
        <f>VLOOKUP(E3388,Stores!A:B,2,FALSE)</f>
        <v>MegaMart Peckmouth</v>
      </c>
      <c r="M3388">
        <f>VLOOKUP(D3388,Products!A:E,5,FALSE)</f>
        <v>1878.47</v>
      </c>
      <c r="N3388" s="5">
        <f t="shared" si="52"/>
        <v>5071.8689999999997</v>
      </c>
    </row>
    <row r="3389" spans="1:14" x14ac:dyDescent="0.3">
      <c r="A3389" t="s">
        <v>4245</v>
      </c>
      <c r="B3389" s="2">
        <v>45375</v>
      </c>
      <c r="C3389" t="s">
        <v>287</v>
      </c>
      <c r="D3389" t="s">
        <v>814</v>
      </c>
      <c r="E3389" t="s">
        <v>835</v>
      </c>
      <c r="F3389">
        <v>1</v>
      </c>
      <c r="G3389">
        <v>0</v>
      </c>
      <c r="H3389" t="s">
        <v>858</v>
      </c>
      <c r="I3389" t="str">
        <f>VLOOKUP(C3389,Customers!A:C,2,FALSE)&amp;" "&amp;VLOOKUP(C3389,Customers!A:C,3,FALSE)</f>
        <v>Phyllis Durham</v>
      </c>
      <c r="J3389" t="str">
        <f>VLOOKUP(D3389,Products!A:C,2,FALSE)</f>
        <v>Least Accessories</v>
      </c>
      <c r="K3389" t="str">
        <f>VLOOKUP(D3389,Products!A:C,3,FALSE)</f>
        <v>Fashion</v>
      </c>
      <c r="L3389" t="str">
        <f>VLOOKUP(E3389,Stores!A:B,2,FALSE)</f>
        <v>MegaMart Peckmouth</v>
      </c>
      <c r="M3389">
        <f>VLOOKUP(D3389,Products!A:E,5,FALSE)</f>
        <v>1286.55</v>
      </c>
      <c r="N3389" s="5">
        <f t="shared" si="52"/>
        <v>1286.55</v>
      </c>
    </row>
    <row r="3390" spans="1:14" x14ac:dyDescent="0.3">
      <c r="A3390" t="s">
        <v>4246</v>
      </c>
      <c r="B3390" s="2">
        <v>45404</v>
      </c>
      <c r="C3390" t="s">
        <v>364</v>
      </c>
      <c r="D3390" t="s">
        <v>736</v>
      </c>
      <c r="E3390" t="s">
        <v>839</v>
      </c>
      <c r="F3390">
        <v>4</v>
      </c>
      <c r="G3390">
        <v>0.1</v>
      </c>
      <c r="H3390" t="s">
        <v>855</v>
      </c>
      <c r="I3390" t="str">
        <f>VLOOKUP(C3390,Customers!A:C,2,FALSE)&amp;" "&amp;VLOOKUP(C3390,Customers!A:C,3,FALSE)</f>
        <v>Evelyn Gray</v>
      </c>
      <c r="J3390" t="str">
        <f>VLOOKUP(D3390,Products!A:C,2,FALSE)</f>
        <v>Us Snacks</v>
      </c>
      <c r="K3390" t="str">
        <f>VLOOKUP(D3390,Products!A:C,3,FALSE)</f>
        <v>Groceries</v>
      </c>
      <c r="L3390" t="str">
        <f>VLOOKUP(E3390,Stores!A:B,2,FALSE)</f>
        <v>MegaMart New Michele</v>
      </c>
      <c r="M3390">
        <f>VLOOKUP(D3390,Products!A:E,5,FALSE)</f>
        <v>123.19</v>
      </c>
      <c r="N3390" s="5">
        <f t="shared" si="52"/>
        <v>443.48399999999998</v>
      </c>
    </row>
    <row r="3391" spans="1:14" x14ac:dyDescent="0.3">
      <c r="A3391" t="s">
        <v>4247</v>
      </c>
      <c r="B3391" s="2">
        <v>45645</v>
      </c>
      <c r="C3391" t="s">
        <v>483</v>
      </c>
      <c r="D3391" t="s">
        <v>766</v>
      </c>
      <c r="E3391" t="s">
        <v>846</v>
      </c>
      <c r="F3391">
        <v>5</v>
      </c>
      <c r="G3391">
        <v>0</v>
      </c>
      <c r="H3391" t="s">
        <v>861</v>
      </c>
      <c r="I3391" t="str">
        <f>VLOOKUP(C3391,Customers!A:C,2,FALSE)&amp;" "&amp;VLOOKUP(C3391,Customers!A:C,3,FALSE)</f>
        <v>Jared Ochoa</v>
      </c>
      <c r="J3391" t="str">
        <f>VLOOKUP(D3391,Products!A:C,2,FALSE)</f>
        <v>Firm Dairy</v>
      </c>
      <c r="K3391" t="str">
        <f>VLOOKUP(D3391,Products!A:C,3,FALSE)</f>
        <v>Groceries</v>
      </c>
      <c r="L3391" t="str">
        <f>VLOOKUP(E3391,Stores!A:B,2,FALSE)</f>
        <v>MegaMart Johnmouth</v>
      </c>
      <c r="M3391">
        <f>VLOOKUP(D3391,Products!A:E,5,FALSE)</f>
        <v>1227.24</v>
      </c>
      <c r="N3391" s="5">
        <f t="shared" si="52"/>
        <v>6136.2</v>
      </c>
    </row>
    <row r="3392" spans="1:14" x14ac:dyDescent="0.3">
      <c r="A3392" t="s">
        <v>4248</v>
      </c>
      <c r="B3392" s="2">
        <v>45862</v>
      </c>
      <c r="C3392" t="s">
        <v>664</v>
      </c>
      <c r="D3392" t="s">
        <v>732</v>
      </c>
      <c r="E3392" t="s">
        <v>831</v>
      </c>
      <c r="F3392">
        <v>3</v>
      </c>
      <c r="G3392">
        <v>0.05</v>
      </c>
      <c r="H3392" t="s">
        <v>861</v>
      </c>
      <c r="I3392" t="str">
        <f>VLOOKUP(C3392,Customers!A:C,2,FALSE)&amp;" "&amp;VLOOKUP(C3392,Customers!A:C,3,FALSE)</f>
        <v>Ryan Flores</v>
      </c>
      <c r="J3392" t="str">
        <f>VLOOKUP(D3392,Products!A:C,2,FALSE)</f>
        <v>Understand Camera</v>
      </c>
      <c r="K3392" t="str">
        <f>VLOOKUP(D3392,Products!A:C,3,FALSE)</f>
        <v>Electronics</v>
      </c>
      <c r="L3392" t="str">
        <f>VLOOKUP(E3392,Stores!A:B,2,FALSE)</f>
        <v>MegaMart Jimenezborough</v>
      </c>
      <c r="M3392">
        <f>VLOOKUP(D3392,Products!A:E,5,FALSE)</f>
        <v>1474.12</v>
      </c>
      <c r="N3392" s="5">
        <f t="shared" si="52"/>
        <v>4201.2419999999993</v>
      </c>
    </row>
    <row r="3393" spans="1:14" x14ac:dyDescent="0.3">
      <c r="A3393" t="s">
        <v>4249</v>
      </c>
      <c r="B3393" s="2">
        <v>45206</v>
      </c>
      <c r="C3393" t="s">
        <v>270</v>
      </c>
      <c r="D3393" t="s">
        <v>788</v>
      </c>
      <c r="E3393" t="s">
        <v>839</v>
      </c>
      <c r="F3393">
        <v>2</v>
      </c>
      <c r="G3393">
        <v>0.15</v>
      </c>
      <c r="H3393" t="s">
        <v>865</v>
      </c>
      <c r="I3393" t="str">
        <f>VLOOKUP(C3393,Customers!A:C,2,FALSE)&amp;" "&amp;VLOOKUP(C3393,Customers!A:C,3,FALSE)</f>
        <v>Denise Gutierrez</v>
      </c>
      <c r="J3393" t="str">
        <f>VLOOKUP(D3393,Products!A:C,2,FALSE)</f>
        <v>Foot Snacks</v>
      </c>
      <c r="K3393" t="str">
        <f>VLOOKUP(D3393,Products!A:C,3,FALSE)</f>
        <v>Groceries</v>
      </c>
      <c r="L3393" t="str">
        <f>VLOOKUP(E3393,Stores!A:B,2,FALSE)</f>
        <v>MegaMart New Michele</v>
      </c>
      <c r="M3393">
        <f>VLOOKUP(D3393,Products!A:E,5,FALSE)</f>
        <v>1095.72</v>
      </c>
      <c r="N3393" s="5">
        <f t="shared" si="52"/>
        <v>1862.7239999999999</v>
      </c>
    </row>
    <row r="3394" spans="1:14" x14ac:dyDescent="0.3">
      <c r="A3394" t="s">
        <v>4250</v>
      </c>
      <c r="B3394" s="2">
        <v>45186</v>
      </c>
      <c r="C3394" t="s">
        <v>615</v>
      </c>
      <c r="D3394" t="s">
        <v>732</v>
      </c>
      <c r="E3394" t="s">
        <v>839</v>
      </c>
      <c r="F3394">
        <v>1</v>
      </c>
      <c r="G3394">
        <v>0.1</v>
      </c>
      <c r="H3394" t="s">
        <v>865</v>
      </c>
      <c r="I3394" t="str">
        <f>VLOOKUP(C3394,Customers!A:C,2,FALSE)&amp;" "&amp;VLOOKUP(C3394,Customers!A:C,3,FALSE)</f>
        <v>Lisa Ruiz</v>
      </c>
      <c r="J3394" t="str">
        <f>VLOOKUP(D3394,Products!A:C,2,FALSE)</f>
        <v>Understand Camera</v>
      </c>
      <c r="K3394" t="str">
        <f>VLOOKUP(D3394,Products!A:C,3,FALSE)</f>
        <v>Electronics</v>
      </c>
      <c r="L3394" t="str">
        <f>VLOOKUP(E3394,Stores!A:B,2,FALSE)</f>
        <v>MegaMart New Michele</v>
      </c>
      <c r="M3394">
        <f>VLOOKUP(D3394,Products!A:E,5,FALSE)</f>
        <v>1474.12</v>
      </c>
      <c r="N3394" s="5">
        <f t="shared" si="52"/>
        <v>1326.7079999999999</v>
      </c>
    </row>
    <row r="3395" spans="1:14" x14ac:dyDescent="0.3">
      <c r="A3395" t="s">
        <v>4251</v>
      </c>
      <c r="B3395" s="2">
        <v>45812</v>
      </c>
      <c r="C3395" t="s">
        <v>284</v>
      </c>
      <c r="D3395" t="s">
        <v>824</v>
      </c>
      <c r="E3395" t="s">
        <v>835</v>
      </c>
      <c r="F3395">
        <v>2</v>
      </c>
      <c r="G3395">
        <v>0.05</v>
      </c>
      <c r="H3395" t="s">
        <v>861</v>
      </c>
      <c r="I3395" t="str">
        <f>VLOOKUP(C3395,Customers!A:C,2,FALSE)&amp;" "&amp;VLOOKUP(C3395,Customers!A:C,3,FALSE)</f>
        <v>Seth Moore</v>
      </c>
      <c r="J3395" t="str">
        <f>VLOOKUP(D3395,Products!A:C,2,FALSE)</f>
        <v>Possible Watches</v>
      </c>
      <c r="K3395" t="str">
        <f>VLOOKUP(D3395,Products!A:C,3,FALSE)</f>
        <v>Fashion</v>
      </c>
      <c r="L3395" t="str">
        <f>VLOOKUP(E3395,Stores!A:B,2,FALSE)</f>
        <v>MegaMart Peckmouth</v>
      </c>
      <c r="M3395">
        <f>VLOOKUP(D3395,Products!A:E,5,FALSE)</f>
        <v>388.26</v>
      </c>
      <c r="N3395" s="5">
        <f t="shared" ref="N3395:N3458" si="53">F3395*M3395*(1-G3395)</f>
        <v>737.69399999999996</v>
      </c>
    </row>
    <row r="3396" spans="1:14" x14ac:dyDescent="0.3">
      <c r="A3396" t="s">
        <v>4252</v>
      </c>
      <c r="B3396" s="2">
        <v>45680</v>
      </c>
      <c r="C3396" t="s">
        <v>690</v>
      </c>
      <c r="D3396" t="s">
        <v>718</v>
      </c>
      <c r="E3396" t="s">
        <v>839</v>
      </c>
      <c r="F3396">
        <v>2</v>
      </c>
      <c r="G3396">
        <v>0.1</v>
      </c>
      <c r="H3396" t="s">
        <v>855</v>
      </c>
      <c r="I3396" t="str">
        <f>VLOOKUP(C3396,Customers!A:C,2,FALSE)&amp;" "&amp;VLOOKUP(C3396,Customers!A:C,3,FALSE)</f>
        <v>James Noble</v>
      </c>
      <c r="J3396" t="str">
        <f>VLOOKUP(D3396,Products!A:C,2,FALSE)</f>
        <v>Here Footwear</v>
      </c>
      <c r="K3396" t="str">
        <f>VLOOKUP(D3396,Products!A:C,3,FALSE)</f>
        <v>Fashion</v>
      </c>
      <c r="L3396" t="str">
        <f>VLOOKUP(E3396,Stores!A:B,2,FALSE)</f>
        <v>MegaMart New Michele</v>
      </c>
      <c r="M3396">
        <f>VLOOKUP(D3396,Products!A:E,5,FALSE)</f>
        <v>337.63</v>
      </c>
      <c r="N3396" s="5">
        <f t="shared" si="53"/>
        <v>607.73400000000004</v>
      </c>
    </row>
    <row r="3397" spans="1:14" x14ac:dyDescent="0.3">
      <c r="A3397" t="s">
        <v>4253</v>
      </c>
      <c r="B3397" s="2">
        <v>45330</v>
      </c>
      <c r="C3397" t="s">
        <v>643</v>
      </c>
      <c r="D3397" t="s">
        <v>759</v>
      </c>
      <c r="E3397" t="s">
        <v>831</v>
      </c>
      <c r="F3397">
        <v>4</v>
      </c>
      <c r="G3397">
        <v>0.05</v>
      </c>
      <c r="H3397" t="s">
        <v>861</v>
      </c>
      <c r="I3397" t="str">
        <f>VLOOKUP(C3397,Customers!A:C,2,FALSE)&amp;" "&amp;VLOOKUP(C3397,Customers!A:C,3,FALSE)</f>
        <v>Meghan Wright</v>
      </c>
      <c r="J3397" t="str">
        <f>VLOOKUP(D3397,Products!A:C,2,FALSE)</f>
        <v>Democratic Smartphone</v>
      </c>
      <c r="K3397" t="str">
        <f>VLOOKUP(D3397,Products!A:C,3,FALSE)</f>
        <v>Electronics</v>
      </c>
      <c r="L3397" t="str">
        <f>VLOOKUP(E3397,Stores!A:B,2,FALSE)</f>
        <v>MegaMart Jimenezborough</v>
      </c>
      <c r="M3397">
        <f>VLOOKUP(D3397,Products!A:E,5,FALSE)</f>
        <v>1079.8900000000001</v>
      </c>
      <c r="N3397" s="5">
        <f t="shared" si="53"/>
        <v>4103.5820000000003</v>
      </c>
    </row>
    <row r="3398" spans="1:14" x14ac:dyDescent="0.3">
      <c r="A3398" t="s">
        <v>4254</v>
      </c>
      <c r="B3398" s="2">
        <v>45646</v>
      </c>
      <c r="C3398" t="s">
        <v>109</v>
      </c>
      <c r="D3398" t="s">
        <v>715</v>
      </c>
      <c r="E3398" t="s">
        <v>831</v>
      </c>
      <c r="F3398">
        <v>1</v>
      </c>
      <c r="G3398">
        <v>0.15</v>
      </c>
      <c r="H3398" t="s">
        <v>858</v>
      </c>
      <c r="I3398" t="str">
        <f>VLOOKUP(C3398,Customers!A:C,2,FALSE)&amp;" "&amp;VLOOKUP(C3398,Customers!A:C,3,FALSE)</f>
        <v>Jacqueline Martin</v>
      </c>
      <c r="J3398" t="str">
        <f>VLOOKUP(D3398,Products!A:C,2,FALSE)</f>
        <v>Audience Television</v>
      </c>
      <c r="K3398" t="str">
        <f>VLOOKUP(D3398,Products!A:C,3,FALSE)</f>
        <v>Electronics</v>
      </c>
      <c r="L3398" t="str">
        <f>VLOOKUP(E3398,Stores!A:B,2,FALSE)</f>
        <v>MegaMart Jimenezborough</v>
      </c>
      <c r="M3398">
        <f>VLOOKUP(D3398,Products!A:E,5,FALSE)</f>
        <v>818.76</v>
      </c>
      <c r="N3398" s="5">
        <f t="shared" si="53"/>
        <v>695.94600000000003</v>
      </c>
    </row>
    <row r="3399" spans="1:14" x14ac:dyDescent="0.3">
      <c r="A3399" t="s">
        <v>4255</v>
      </c>
      <c r="B3399" s="2">
        <v>45655</v>
      </c>
      <c r="C3399" t="s">
        <v>653</v>
      </c>
      <c r="D3399" t="s">
        <v>764</v>
      </c>
      <c r="E3399" t="s">
        <v>831</v>
      </c>
      <c r="F3399">
        <v>5</v>
      </c>
      <c r="G3399">
        <v>0</v>
      </c>
      <c r="H3399" t="s">
        <v>861</v>
      </c>
      <c r="I3399" t="str">
        <f>VLOOKUP(C3399,Customers!A:C,2,FALSE)&amp;" "&amp;VLOOKUP(C3399,Customers!A:C,3,FALSE)</f>
        <v>Joe Vincent</v>
      </c>
      <c r="J3399" t="str">
        <f>VLOOKUP(D3399,Products!A:C,2,FALSE)</f>
        <v>Simple Accessories</v>
      </c>
      <c r="K3399" t="str">
        <f>VLOOKUP(D3399,Products!A:C,3,FALSE)</f>
        <v>Fashion</v>
      </c>
      <c r="L3399" t="str">
        <f>VLOOKUP(E3399,Stores!A:B,2,FALSE)</f>
        <v>MegaMart Jimenezborough</v>
      </c>
      <c r="M3399">
        <f>VLOOKUP(D3399,Products!A:E,5,FALSE)</f>
        <v>323.92</v>
      </c>
      <c r="N3399" s="5">
        <f t="shared" si="53"/>
        <v>1619.6000000000001</v>
      </c>
    </row>
    <row r="3400" spans="1:14" x14ac:dyDescent="0.3">
      <c r="A3400" t="s">
        <v>4256</v>
      </c>
      <c r="B3400" s="2">
        <v>45240</v>
      </c>
      <c r="C3400" t="s">
        <v>238</v>
      </c>
      <c r="D3400" t="s">
        <v>715</v>
      </c>
      <c r="E3400" t="s">
        <v>846</v>
      </c>
      <c r="F3400">
        <v>1</v>
      </c>
      <c r="G3400">
        <v>0.05</v>
      </c>
      <c r="H3400" t="s">
        <v>858</v>
      </c>
      <c r="I3400" t="str">
        <f>VLOOKUP(C3400,Customers!A:C,2,FALSE)&amp;" "&amp;VLOOKUP(C3400,Customers!A:C,3,FALSE)</f>
        <v>Susan Salinas</v>
      </c>
      <c r="J3400" t="str">
        <f>VLOOKUP(D3400,Products!A:C,2,FALSE)</f>
        <v>Audience Television</v>
      </c>
      <c r="K3400" t="str">
        <f>VLOOKUP(D3400,Products!A:C,3,FALSE)</f>
        <v>Electronics</v>
      </c>
      <c r="L3400" t="str">
        <f>VLOOKUP(E3400,Stores!A:B,2,FALSE)</f>
        <v>MegaMart Johnmouth</v>
      </c>
      <c r="M3400">
        <f>VLOOKUP(D3400,Products!A:E,5,FALSE)</f>
        <v>818.76</v>
      </c>
      <c r="N3400" s="5">
        <f t="shared" si="53"/>
        <v>777.822</v>
      </c>
    </row>
    <row r="3401" spans="1:14" x14ac:dyDescent="0.3">
      <c r="A3401" t="s">
        <v>4257</v>
      </c>
      <c r="B3401" s="2">
        <v>45551</v>
      </c>
      <c r="C3401" t="s">
        <v>217</v>
      </c>
      <c r="D3401" t="s">
        <v>806</v>
      </c>
      <c r="E3401" t="s">
        <v>835</v>
      </c>
      <c r="F3401">
        <v>4</v>
      </c>
      <c r="G3401">
        <v>0.1</v>
      </c>
      <c r="H3401" t="s">
        <v>861</v>
      </c>
      <c r="I3401" t="str">
        <f>VLOOKUP(C3401,Customers!A:C,2,FALSE)&amp;" "&amp;VLOOKUP(C3401,Customers!A:C,3,FALSE)</f>
        <v>Carl Wyatt</v>
      </c>
      <c r="J3401" t="str">
        <f>VLOOKUP(D3401,Products!A:C,2,FALSE)</f>
        <v>Piece Headphones</v>
      </c>
      <c r="K3401" t="str">
        <f>VLOOKUP(D3401,Products!A:C,3,FALSE)</f>
        <v>Electronics</v>
      </c>
      <c r="L3401" t="str">
        <f>VLOOKUP(E3401,Stores!A:B,2,FALSE)</f>
        <v>MegaMart Peckmouth</v>
      </c>
      <c r="M3401">
        <f>VLOOKUP(D3401,Products!A:E,5,FALSE)</f>
        <v>1745.61</v>
      </c>
      <c r="N3401" s="5">
        <f t="shared" si="53"/>
        <v>6284.1959999999999</v>
      </c>
    </row>
    <row r="3402" spans="1:14" x14ac:dyDescent="0.3">
      <c r="A3402" t="s">
        <v>4258</v>
      </c>
      <c r="B3402" s="2">
        <v>45847</v>
      </c>
      <c r="C3402" t="s">
        <v>48</v>
      </c>
      <c r="D3402" t="s">
        <v>778</v>
      </c>
      <c r="E3402" t="s">
        <v>842</v>
      </c>
      <c r="F3402">
        <v>1</v>
      </c>
      <c r="G3402">
        <v>0</v>
      </c>
      <c r="H3402" t="s">
        <v>865</v>
      </c>
      <c r="I3402" t="str">
        <f>VLOOKUP(C3402,Customers!A:C,2,FALSE)&amp;" "&amp;VLOOKUP(C3402,Customers!A:C,3,FALSE)</f>
        <v>Haley Williams</v>
      </c>
      <c r="J3402" t="str">
        <f>VLOOKUP(D3402,Products!A:C,2,FALSE)</f>
        <v>Behavior Dairy</v>
      </c>
      <c r="K3402" t="str">
        <f>VLOOKUP(D3402,Products!A:C,3,FALSE)</f>
        <v>Groceries</v>
      </c>
      <c r="L3402" t="str">
        <f>VLOOKUP(E3402,Stores!A:B,2,FALSE)</f>
        <v>MegaMart Brianahaven</v>
      </c>
      <c r="M3402">
        <f>VLOOKUP(D3402,Products!A:E,5,FALSE)</f>
        <v>1015.76</v>
      </c>
      <c r="N3402" s="5">
        <f t="shared" si="53"/>
        <v>1015.76</v>
      </c>
    </row>
    <row r="3403" spans="1:14" x14ac:dyDescent="0.3">
      <c r="A3403" t="s">
        <v>4259</v>
      </c>
      <c r="B3403" s="2">
        <v>45447</v>
      </c>
      <c r="C3403" t="s">
        <v>680</v>
      </c>
      <c r="D3403" t="s">
        <v>804</v>
      </c>
      <c r="E3403" t="s">
        <v>846</v>
      </c>
      <c r="F3403">
        <v>5</v>
      </c>
      <c r="G3403">
        <v>0.15</v>
      </c>
      <c r="H3403" t="s">
        <v>855</v>
      </c>
      <c r="I3403" t="str">
        <f>VLOOKUP(C3403,Customers!A:C,2,FALSE)&amp;" "&amp;VLOOKUP(C3403,Customers!A:C,3,FALSE)</f>
        <v>Donald Meza</v>
      </c>
      <c r="J3403" t="str">
        <f>VLOOKUP(D3403,Products!A:C,2,FALSE)</f>
        <v>Church Clothing</v>
      </c>
      <c r="K3403" t="str">
        <f>VLOOKUP(D3403,Products!A:C,3,FALSE)</f>
        <v>Fashion</v>
      </c>
      <c r="L3403" t="str">
        <f>VLOOKUP(E3403,Stores!A:B,2,FALSE)</f>
        <v>MegaMart Johnmouth</v>
      </c>
      <c r="M3403">
        <f>VLOOKUP(D3403,Products!A:E,5,FALSE)</f>
        <v>540.94000000000005</v>
      </c>
      <c r="N3403" s="5">
        <f t="shared" si="53"/>
        <v>2298.9950000000003</v>
      </c>
    </row>
    <row r="3404" spans="1:14" x14ac:dyDescent="0.3">
      <c r="A3404" t="s">
        <v>4260</v>
      </c>
      <c r="B3404" s="2">
        <v>45638</v>
      </c>
      <c r="C3404" t="s">
        <v>375</v>
      </c>
      <c r="D3404" t="s">
        <v>784</v>
      </c>
      <c r="E3404" t="s">
        <v>831</v>
      </c>
      <c r="F3404">
        <v>4</v>
      </c>
      <c r="G3404">
        <v>0.15</v>
      </c>
      <c r="H3404" t="s">
        <v>865</v>
      </c>
      <c r="I3404" t="str">
        <f>VLOOKUP(C3404,Customers!A:C,2,FALSE)&amp;" "&amp;VLOOKUP(C3404,Customers!A:C,3,FALSE)</f>
        <v>Sean Hart</v>
      </c>
      <c r="J3404" t="str">
        <f>VLOOKUP(D3404,Products!A:C,2,FALSE)</f>
        <v>Road Clothing</v>
      </c>
      <c r="K3404" t="str">
        <f>VLOOKUP(D3404,Products!A:C,3,FALSE)</f>
        <v>Fashion</v>
      </c>
      <c r="L3404" t="str">
        <f>VLOOKUP(E3404,Stores!A:B,2,FALSE)</f>
        <v>MegaMart Jimenezborough</v>
      </c>
      <c r="M3404">
        <f>VLOOKUP(D3404,Products!A:E,5,FALSE)</f>
        <v>1485.05</v>
      </c>
      <c r="N3404" s="5">
        <f t="shared" si="53"/>
        <v>5049.17</v>
      </c>
    </row>
    <row r="3405" spans="1:14" x14ac:dyDescent="0.3">
      <c r="A3405" t="s">
        <v>4261</v>
      </c>
      <c r="B3405" s="2">
        <v>45879</v>
      </c>
      <c r="C3405" t="s">
        <v>15</v>
      </c>
      <c r="D3405" t="s">
        <v>747</v>
      </c>
      <c r="E3405" t="s">
        <v>835</v>
      </c>
      <c r="F3405">
        <v>2</v>
      </c>
      <c r="G3405">
        <v>0</v>
      </c>
      <c r="H3405" t="s">
        <v>865</v>
      </c>
      <c r="I3405" t="str">
        <f>VLOOKUP(C3405,Customers!A:C,2,FALSE)&amp;" "&amp;VLOOKUP(C3405,Customers!A:C,3,FALSE)</f>
        <v>Carol Hays</v>
      </c>
      <c r="J3405" t="str">
        <f>VLOOKUP(D3405,Products!A:C,2,FALSE)</f>
        <v>World Watches</v>
      </c>
      <c r="K3405" t="str">
        <f>VLOOKUP(D3405,Products!A:C,3,FALSE)</f>
        <v>Fashion</v>
      </c>
      <c r="L3405" t="str">
        <f>VLOOKUP(E3405,Stores!A:B,2,FALSE)</f>
        <v>MegaMart Peckmouth</v>
      </c>
      <c r="M3405">
        <f>VLOOKUP(D3405,Products!A:E,5,FALSE)</f>
        <v>1134.8</v>
      </c>
      <c r="N3405" s="5">
        <f t="shared" si="53"/>
        <v>2269.6</v>
      </c>
    </row>
    <row r="3406" spans="1:14" x14ac:dyDescent="0.3">
      <c r="A3406" t="s">
        <v>4262</v>
      </c>
      <c r="B3406" s="2">
        <v>45415</v>
      </c>
      <c r="C3406" t="s">
        <v>545</v>
      </c>
      <c r="D3406" t="s">
        <v>790</v>
      </c>
      <c r="E3406" t="s">
        <v>831</v>
      </c>
      <c r="F3406">
        <v>3</v>
      </c>
      <c r="G3406">
        <v>0.15</v>
      </c>
      <c r="H3406" t="s">
        <v>865</v>
      </c>
      <c r="I3406" t="str">
        <f>VLOOKUP(C3406,Customers!A:C,2,FALSE)&amp;" "&amp;VLOOKUP(C3406,Customers!A:C,3,FALSE)</f>
        <v>Dawn Fletcher</v>
      </c>
      <c r="J3406" t="str">
        <f>VLOOKUP(D3406,Products!A:C,2,FALSE)</f>
        <v>Difficult Vegetables</v>
      </c>
      <c r="K3406" t="str">
        <f>VLOOKUP(D3406,Products!A:C,3,FALSE)</f>
        <v>Groceries</v>
      </c>
      <c r="L3406" t="str">
        <f>VLOOKUP(E3406,Stores!A:B,2,FALSE)</f>
        <v>MegaMart Jimenezborough</v>
      </c>
      <c r="M3406">
        <f>VLOOKUP(D3406,Products!A:E,5,FALSE)</f>
        <v>304.70999999999998</v>
      </c>
      <c r="N3406" s="5">
        <f t="shared" si="53"/>
        <v>777.01049999999987</v>
      </c>
    </row>
    <row r="3407" spans="1:14" x14ac:dyDescent="0.3">
      <c r="A3407" t="s">
        <v>4263</v>
      </c>
      <c r="B3407" s="2">
        <v>45406</v>
      </c>
      <c r="C3407" t="s">
        <v>512</v>
      </c>
      <c r="D3407" t="s">
        <v>761</v>
      </c>
      <c r="E3407" t="s">
        <v>835</v>
      </c>
      <c r="F3407">
        <v>5</v>
      </c>
      <c r="G3407">
        <v>0</v>
      </c>
      <c r="H3407" t="s">
        <v>861</v>
      </c>
      <c r="I3407" t="str">
        <f>VLOOKUP(C3407,Customers!A:C,2,FALSE)&amp;" "&amp;VLOOKUP(C3407,Customers!A:C,3,FALSE)</f>
        <v>Adam Lucas</v>
      </c>
      <c r="J3407" t="str">
        <f>VLOOKUP(D3407,Products!A:C,2,FALSE)</f>
        <v>Traditional Laptop</v>
      </c>
      <c r="K3407" t="str">
        <f>VLOOKUP(D3407,Products!A:C,3,FALSE)</f>
        <v>Electronics</v>
      </c>
      <c r="L3407" t="str">
        <f>VLOOKUP(E3407,Stores!A:B,2,FALSE)</f>
        <v>MegaMart Peckmouth</v>
      </c>
      <c r="M3407">
        <f>VLOOKUP(D3407,Products!A:E,5,FALSE)</f>
        <v>1762.92</v>
      </c>
      <c r="N3407" s="5">
        <f t="shared" si="53"/>
        <v>8814.6</v>
      </c>
    </row>
    <row r="3408" spans="1:14" x14ac:dyDescent="0.3">
      <c r="A3408" t="s">
        <v>4264</v>
      </c>
      <c r="B3408" s="2">
        <v>45846</v>
      </c>
      <c r="C3408" t="s">
        <v>627</v>
      </c>
      <c r="D3408" t="s">
        <v>759</v>
      </c>
      <c r="E3408" t="s">
        <v>842</v>
      </c>
      <c r="F3408">
        <v>3</v>
      </c>
      <c r="G3408">
        <v>0.15</v>
      </c>
      <c r="H3408" t="s">
        <v>858</v>
      </c>
      <c r="I3408" t="str">
        <f>VLOOKUP(C3408,Customers!A:C,2,FALSE)&amp;" "&amp;VLOOKUP(C3408,Customers!A:C,3,FALSE)</f>
        <v>Anthony Gould</v>
      </c>
      <c r="J3408" t="str">
        <f>VLOOKUP(D3408,Products!A:C,2,FALSE)</f>
        <v>Democratic Smartphone</v>
      </c>
      <c r="K3408" t="str">
        <f>VLOOKUP(D3408,Products!A:C,3,FALSE)</f>
        <v>Electronics</v>
      </c>
      <c r="L3408" t="str">
        <f>VLOOKUP(E3408,Stores!A:B,2,FALSE)</f>
        <v>MegaMart Brianahaven</v>
      </c>
      <c r="M3408">
        <f>VLOOKUP(D3408,Products!A:E,5,FALSE)</f>
        <v>1079.8900000000001</v>
      </c>
      <c r="N3408" s="5">
        <f t="shared" si="53"/>
        <v>2753.7195000000002</v>
      </c>
    </row>
    <row r="3409" spans="1:14" x14ac:dyDescent="0.3">
      <c r="A3409" t="s">
        <v>4265</v>
      </c>
      <c r="B3409" s="2">
        <v>45762</v>
      </c>
      <c r="C3409" t="s">
        <v>258</v>
      </c>
      <c r="D3409" t="s">
        <v>778</v>
      </c>
      <c r="E3409" t="s">
        <v>839</v>
      </c>
      <c r="F3409">
        <v>5</v>
      </c>
      <c r="G3409">
        <v>0</v>
      </c>
      <c r="H3409" t="s">
        <v>858</v>
      </c>
      <c r="I3409" t="str">
        <f>VLOOKUP(C3409,Customers!A:C,2,FALSE)&amp;" "&amp;VLOOKUP(C3409,Customers!A:C,3,FALSE)</f>
        <v>Alexandra Montoya</v>
      </c>
      <c r="J3409" t="str">
        <f>VLOOKUP(D3409,Products!A:C,2,FALSE)</f>
        <v>Behavior Dairy</v>
      </c>
      <c r="K3409" t="str">
        <f>VLOOKUP(D3409,Products!A:C,3,FALSE)</f>
        <v>Groceries</v>
      </c>
      <c r="L3409" t="str">
        <f>VLOOKUP(E3409,Stores!A:B,2,FALSE)</f>
        <v>MegaMart New Michele</v>
      </c>
      <c r="M3409">
        <f>VLOOKUP(D3409,Products!A:E,5,FALSE)</f>
        <v>1015.76</v>
      </c>
      <c r="N3409" s="5">
        <f t="shared" si="53"/>
        <v>5078.8</v>
      </c>
    </row>
    <row r="3410" spans="1:14" x14ac:dyDescent="0.3">
      <c r="A3410" t="s">
        <v>4266</v>
      </c>
      <c r="B3410" s="2">
        <v>45906</v>
      </c>
      <c r="C3410" t="s">
        <v>7</v>
      </c>
      <c r="D3410" t="s">
        <v>761</v>
      </c>
      <c r="E3410" t="s">
        <v>846</v>
      </c>
      <c r="F3410">
        <v>2</v>
      </c>
      <c r="G3410">
        <v>0.15</v>
      </c>
      <c r="H3410" t="s">
        <v>855</v>
      </c>
      <c r="I3410" t="str">
        <f>VLOOKUP(C3410,Customers!A:C,2,FALSE)&amp;" "&amp;VLOOKUP(C3410,Customers!A:C,3,FALSE)</f>
        <v>Michael Davis</v>
      </c>
      <c r="J3410" t="str">
        <f>VLOOKUP(D3410,Products!A:C,2,FALSE)</f>
        <v>Traditional Laptop</v>
      </c>
      <c r="K3410" t="str">
        <f>VLOOKUP(D3410,Products!A:C,3,FALSE)</f>
        <v>Electronics</v>
      </c>
      <c r="L3410" t="str">
        <f>VLOOKUP(E3410,Stores!A:B,2,FALSE)</f>
        <v>MegaMart Johnmouth</v>
      </c>
      <c r="M3410">
        <f>VLOOKUP(D3410,Products!A:E,5,FALSE)</f>
        <v>1762.92</v>
      </c>
      <c r="N3410" s="5">
        <f t="shared" si="53"/>
        <v>2996.9639999999999</v>
      </c>
    </row>
    <row r="3411" spans="1:14" x14ac:dyDescent="0.3">
      <c r="A3411" t="s">
        <v>4267</v>
      </c>
      <c r="B3411" s="2">
        <v>45502</v>
      </c>
      <c r="C3411" t="s">
        <v>563</v>
      </c>
      <c r="D3411" t="s">
        <v>814</v>
      </c>
      <c r="E3411" t="s">
        <v>839</v>
      </c>
      <c r="F3411">
        <v>2</v>
      </c>
      <c r="G3411">
        <v>0</v>
      </c>
      <c r="H3411" t="s">
        <v>865</v>
      </c>
      <c r="I3411" t="str">
        <f>VLOOKUP(C3411,Customers!A:C,2,FALSE)&amp;" "&amp;VLOOKUP(C3411,Customers!A:C,3,FALSE)</f>
        <v>Connie Terry</v>
      </c>
      <c r="J3411" t="str">
        <f>VLOOKUP(D3411,Products!A:C,2,FALSE)</f>
        <v>Least Accessories</v>
      </c>
      <c r="K3411" t="str">
        <f>VLOOKUP(D3411,Products!A:C,3,FALSE)</f>
        <v>Fashion</v>
      </c>
      <c r="L3411" t="str">
        <f>VLOOKUP(E3411,Stores!A:B,2,FALSE)</f>
        <v>MegaMart New Michele</v>
      </c>
      <c r="M3411">
        <f>VLOOKUP(D3411,Products!A:E,5,FALSE)</f>
        <v>1286.55</v>
      </c>
      <c r="N3411" s="5">
        <f t="shared" si="53"/>
        <v>2573.1</v>
      </c>
    </row>
    <row r="3412" spans="1:14" x14ac:dyDescent="0.3">
      <c r="A3412" t="s">
        <v>4268</v>
      </c>
      <c r="B3412" s="2">
        <v>45618</v>
      </c>
      <c r="C3412" t="s">
        <v>302</v>
      </c>
      <c r="D3412" t="s">
        <v>822</v>
      </c>
      <c r="E3412" t="s">
        <v>846</v>
      </c>
      <c r="F3412">
        <v>1</v>
      </c>
      <c r="G3412">
        <v>0</v>
      </c>
      <c r="H3412" t="s">
        <v>855</v>
      </c>
      <c r="I3412" t="str">
        <f>VLOOKUP(C3412,Customers!A:C,2,FALSE)&amp;" "&amp;VLOOKUP(C3412,Customers!A:C,3,FALSE)</f>
        <v>Grace Garcia</v>
      </c>
      <c r="J3412" t="str">
        <f>VLOOKUP(D3412,Products!A:C,2,FALSE)</f>
        <v>Nor Bags</v>
      </c>
      <c r="K3412" t="str">
        <f>VLOOKUP(D3412,Products!A:C,3,FALSE)</f>
        <v>Fashion</v>
      </c>
      <c r="L3412" t="str">
        <f>VLOOKUP(E3412,Stores!A:B,2,FALSE)</f>
        <v>MegaMart Johnmouth</v>
      </c>
      <c r="M3412">
        <f>VLOOKUP(D3412,Products!A:E,5,FALSE)</f>
        <v>1216.3599999999999</v>
      </c>
      <c r="N3412" s="5">
        <f t="shared" si="53"/>
        <v>1216.3599999999999</v>
      </c>
    </row>
    <row r="3413" spans="1:14" x14ac:dyDescent="0.3">
      <c r="A3413" t="s">
        <v>4269</v>
      </c>
      <c r="B3413" s="2">
        <v>45825</v>
      </c>
      <c r="C3413" t="s">
        <v>112</v>
      </c>
      <c r="D3413" t="s">
        <v>778</v>
      </c>
      <c r="E3413" t="s">
        <v>846</v>
      </c>
      <c r="F3413">
        <v>3</v>
      </c>
      <c r="G3413">
        <v>0.05</v>
      </c>
      <c r="H3413" t="s">
        <v>861</v>
      </c>
      <c r="I3413" t="str">
        <f>VLOOKUP(C3413,Customers!A:C,2,FALSE)&amp;" "&amp;VLOOKUP(C3413,Customers!A:C,3,FALSE)</f>
        <v>John Carr</v>
      </c>
      <c r="J3413" t="str">
        <f>VLOOKUP(D3413,Products!A:C,2,FALSE)</f>
        <v>Behavior Dairy</v>
      </c>
      <c r="K3413" t="str">
        <f>VLOOKUP(D3413,Products!A:C,3,FALSE)</f>
        <v>Groceries</v>
      </c>
      <c r="L3413" t="str">
        <f>VLOOKUP(E3413,Stores!A:B,2,FALSE)</f>
        <v>MegaMart Johnmouth</v>
      </c>
      <c r="M3413">
        <f>VLOOKUP(D3413,Products!A:E,5,FALSE)</f>
        <v>1015.76</v>
      </c>
      <c r="N3413" s="5">
        <f t="shared" si="53"/>
        <v>2894.9159999999997</v>
      </c>
    </row>
    <row r="3414" spans="1:14" x14ac:dyDescent="0.3">
      <c r="A3414" t="s">
        <v>4270</v>
      </c>
      <c r="B3414" s="2">
        <v>45906</v>
      </c>
      <c r="C3414" t="s">
        <v>382</v>
      </c>
      <c r="D3414" t="s">
        <v>780</v>
      </c>
      <c r="E3414" t="s">
        <v>846</v>
      </c>
      <c r="F3414">
        <v>4</v>
      </c>
      <c r="G3414">
        <v>0.1</v>
      </c>
      <c r="H3414" t="s">
        <v>865</v>
      </c>
      <c r="I3414" t="str">
        <f>VLOOKUP(C3414,Customers!A:C,2,FALSE)&amp;" "&amp;VLOOKUP(C3414,Customers!A:C,3,FALSE)</f>
        <v>Carolyn Perez</v>
      </c>
      <c r="J3414" t="str">
        <f>VLOOKUP(D3414,Products!A:C,2,FALSE)</f>
        <v>Hospital Smartphone</v>
      </c>
      <c r="K3414" t="str">
        <f>VLOOKUP(D3414,Products!A:C,3,FALSE)</f>
        <v>Electronics</v>
      </c>
      <c r="L3414" t="str">
        <f>VLOOKUP(E3414,Stores!A:B,2,FALSE)</f>
        <v>MegaMart Johnmouth</v>
      </c>
      <c r="M3414">
        <f>VLOOKUP(D3414,Products!A:E,5,FALSE)</f>
        <v>1272.23</v>
      </c>
      <c r="N3414" s="5">
        <f t="shared" si="53"/>
        <v>4580.0280000000002</v>
      </c>
    </row>
    <row r="3415" spans="1:14" x14ac:dyDescent="0.3">
      <c r="A3415" t="s">
        <v>4271</v>
      </c>
      <c r="B3415" s="2">
        <v>45193</v>
      </c>
      <c r="C3415" t="s">
        <v>545</v>
      </c>
      <c r="D3415" t="s">
        <v>769</v>
      </c>
      <c r="E3415" t="s">
        <v>835</v>
      </c>
      <c r="F3415">
        <v>4</v>
      </c>
      <c r="G3415">
        <v>0.05</v>
      </c>
      <c r="H3415" t="s">
        <v>861</v>
      </c>
      <c r="I3415" t="str">
        <f>VLOOKUP(C3415,Customers!A:C,2,FALSE)&amp;" "&amp;VLOOKUP(C3415,Customers!A:C,3,FALSE)</f>
        <v>Dawn Fletcher</v>
      </c>
      <c r="J3415" t="str">
        <f>VLOOKUP(D3415,Products!A:C,2,FALSE)</f>
        <v>How Vegetables</v>
      </c>
      <c r="K3415" t="str">
        <f>VLOOKUP(D3415,Products!A:C,3,FALSE)</f>
        <v>Groceries</v>
      </c>
      <c r="L3415" t="str">
        <f>VLOOKUP(E3415,Stores!A:B,2,FALSE)</f>
        <v>MegaMart Peckmouth</v>
      </c>
      <c r="M3415">
        <f>VLOOKUP(D3415,Products!A:E,5,FALSE)</f>
        <v>25.57</v>
      </c>
      <c r="N3415" s="5">
        <f t="shared" si="53"/>
        <v>97.165999999999997</v>
      </c>
    </row>
    <row r="3416" spans="1:14" x14ac:dyDescent="0.3">
      <c r="A3416" t="s">
        <v>4272</v>
      </c>
      <c r="B3416" s="2">
        <v>45497</v>
      </c>
      <c r="C3416" t="s">
        <v>657</v>
      </c>
      <c r="D3416" t="s">
        <v>776</v>
      </c>
      <c r="E3416" t="s">
        <v>835</v>
      </c>
      <c r="F3416">
        <v>2</v>
      </c>
      <c r="G3416">
        <v>0.05</v>
      </c>
      <c r="H3416" t="s">
        <v>865</v>
      </c>
      <c r="I3416" t="str">
        <f>VLOOKUP(C3416,Customers!A:C,2,FALSE)&amp;" "&amp;VLOOKUP(C3416,Customers!A:C,3,FALSE)</f>
        <v>Vicki Guzman</v>
      </c>
      <c r="J3416" t="str">
        <f>VLOOKUP(D3416,Products!A:C,2,FALSE)</f>
        <v>Little Watches</v>
      </c>
      <c r="K3416" t="str">
        <f>VLOOKUP(D3416,Products!A:C,3,FALSE)</f>
        <v>Fashion</v>
      </c>
      <c r="L3416" t="str">
        <f>VLOOKUP(E3416,Stores!A:B,2,FALSE)</f>
        <v>MegaMart Peckmouth</v>
      </c>
      <c r="M3416">
        <f>VLOOKUP(D3416,Products!A:E,5,FALSE)</f>
        <v>429.15</v>
      </c>
      <c r="N3416" s="5">
        <f t="shared" si="53"/>
        <v>815.38499999999988</v>
      </c>
    </row>
    <row r="3417" spans="1:14" x14ac:dyDescent="0.3">
      <c r="A3417" t="s">
        <v>4273</v>
      </c>
      <c r="B3417" s="2">
        <v>45807</v>
      </c>
      <c r="C3417" t="s">
        <v>238</v>
      </c>
      <c r="D3417" t="s">
        <v>794</v>
      </c>
      <c r="E3417" t="s">
        <v>842</v>
      </c>
      <c r="F3417">
        <v>3</v>
      </c>
      <c r="G3417">
        <v>0.1</v>
      </c>
      <c r="H3417" t="s">
        <v>855</v>
      </c>
      <c r="I3417" t="str">
        <f>VLOOKUP(C3417,Customers!A:C,2,FALSE)&amp;" "&amp;VLOOKUP(C3417,Customers!A:C,3,FALSE)</f>
        <v>Susan Salinas</v>
      </c>
      <c r="J3417" t="str">
        <f>VLOOKUP(D3417,Products!A:C,2,FALSE)</f>
        <v>Everything Laptop</v>
      </c>
      <c r="K3417" t="str">
        <f>VLOOKUP(D3417,Products!A:C,3,FALSE)</f>
        <v>Electronics</v>
      </c>
      <c r="L3417" t="str">
        <f>VLOOKUP(E3417,Stores!A:B,2,FALSE)</f>
        <v>MegaMart Brianahaven</v>
      </c>
      <c r="M3417">
        <f>VLOOKUP(D3417,Products!A:E,5,FALSE)</f>
        <v>428.05</v>
      </c>
      <c r="N3417" s="5">
        <f t="shared" si="53"/>
        <v>1155.7350000000001</v>
      </c>
    </row>
    <row r="3418" spans="1:14" x14ac:dyDescent="0.3">
      <c r="A3418" t="s">
        <v>4274</v>
      </c>
      <c r="B3418" s="2">
        <v>45702</v>
      </c>
      <c r="C3418" t="s">
        <v>403</v>
      </c>
      <c r="D3418" t="s">
        <v>778</v>
      </c>
      <c r="E3418" t="s">
        <v>831</v>
      </c>
      <c r="F3418">
        <v>1</v>
      </c>
      <c r="G3418">
        <v>0.1</v>
      </c>
      <c r="H3418" t="s">
        <v>865</v>
      </c>
      <c r="I3418" t="str">
        <f>VLOOKUP(C3418,Customers!A:C,2,FALSE)&amp;" "&amp;VLOOKUP(C3418,Customers!A:C,3,FALSE)</f>
        <v>Samantha Hill</v>
      </c>
      <c r="J3418" t="str">
        <f>VLOOKUP(D3418,Products!A:C,2,FALSE)</f>
        <v>Behavior Dairy</v>
      </c>
      <c r="K3418" t="str">
        <f>VLOOKUP(D3418,Products!A:C,3,FALSE)</f>
        <v>Groceries</v>
      </c>
      <c r="L3418" t="str">
        <f>VLOOKUP(E3418,Stores!A:B,2,FALSE)</f>
        <v>MegaMart Jimenezborough</v>
      </c>
      <c r="M3418">
        <f>VLOOKUP(D3418,Products!A:E,5,FALSE)</f>
        <v>1015.76</v>
      </c>
      <c r="N3418" s="5">
        <f t="shared" si="53"/>
        <v>914.18399999999997</v>
      </c>
    </row>
    <row r="3419" spans="1:14" x14ac:dyDescent="0.3">
      <c r="A3419" t="s">
        <v>4275</v>
      </c>
      <c r="B3419" s="2">
        <v>45298</v>
      </c>
      <c r="C3419" t="s">
        <v>633</v>
      </c>
      <c r="D3419" t="s">
        <v>822</v>
      </c>
      <c r="E3419" t="s">
        <v>839</v>
      </c>
      <c r="F3419">
        <v>2</v>
      </c>
      <c r="G3419">
        <v>0.15</v>
      </c>
      <c r="H3419" t="s">
        <v>865</v>
      </c>
      <c r="I3419" t="str">
        <f>VLOOKUP(C3419,Customers!A:C,2,FALSE)&amp;" "&amp;VLOOKUP(C3419,Customers!A:C,3,FALSE)</f>
        <v>Dennis Wallace</v>
      </c>
      <c r="J3419" t="str">
        <f>VLOOKUP(D3419,Products!A:C,2,FALSE)</f>
        <v>Nor Bags</v>
      </c>
      <c r="K3419" t="str">
        <f>VLOOKUP(D3419,Products!A:C,3,FALSE)</f>
        <v>Fashion</v>
      </c>
      <c r="L3419" t="str">
        <f>VLOOKUP(E3419,Stores!A:B,2,FALSE)</f>
        <v>MegaMart New Michele</v>
      </c>
      <c r="M3419">
        <f>VLOOKUP(D3419,Products!A:E,5,FALSE)</f>
        <v>1216.3599999999999</v>
      </c>
      <c r="N3419" s="5">
        <f t="shared" si="53"/>
        <v>2067.8119999999999</v>
      </c>
    </row>
    <row r="3420" spans="1:14" x14ac:dyDescent="0.3">
      <c r="A3420" t="s">
        <v>4276</v>
      </c>
      <c r="B3420" s="2">
        <v>45374</v>
      </c>
      <c r="C3420" t="s">
        <v>355</v>
      </c>
      <c r="D3420" t="s">
        <v>802</v>
      </c>
      <c r="E3420" t="s">
        <v>831</v>
      </c>
      <c r="F3420">
        <v>3</v>
      </c>
      <c r="G3420">
        <v>0.05</v>
      </c>
      <c r="H3420" t="s">
        <v>858</v>
      </c>
      <c r="I3420" t="str">
        <f>VLOOKUP(C3420,Customers!A:C,2,FALSE)&amp;" "&amp;VLOOKUP(C3420,Customers!A:C,3,FALSE)</f>
        <v>Kimberly Stokes</v>
      </c>
      <c r="J3420" t="str">
        <f>VLOOKUP(D3420,Products!A:C,2,FALSE)</f>
        <v>Stage Footwear</v>
      </c>
      <c r="K3420" t="str">
        <f>VLOOKUP(D3420,Products!A:C,3,FALSE)</f>
        <v>Fashion</v>
      </c>
      <c r="L3420" t="str">
        <f>VLOOKUP(E3420,Stores!A:B,2,FALSE)</f>
        <v>MegaMart Jimenezborough</v>
      </c>
      <c r="M3420">
        <f>VLOOKUP(D3420,Products!A:E,5,FALSE)</f>
        <v>366.93</v>
      </c>
      <c r="N3420" s="5">
        <f t="shared" si="53"/>
        <v>1045.7504999999999</v>
      </c>
    </row>
    <row r="3421" spans="1:14" x14ac:dyDescent="0.3">
      <c r="A3421" t="s">
        <v>4277</v>
      </c>
      <c r="B3421" s="2">
        <v>45720</v>
      </c>
      <c r="C3421" t="s">
        <v>382</v>
      </c>
      <c r="D3421" t="s">
        <v>772</v>
      </c>
      <c r="E3421" t="s">
        <v>842</v>
      </c>
      <c r="F3421">
        <v>4</v>
      </c>
      <c r="G3421">
        <v>0</v>
      </c>
      <c r="H3421" t="s">
        <v>865</v>
      </c>
      <c r="I3421" t="str">
        <f>VLOOKUP(C3421,Customers!A:C,2,FALSE)&amp;" "&amp;VLOOKUP(C3421,Customers!A:C,3,FALSE)</f>
        <v>Carolyn Perez</v>
      </c>
      <c r="J3421" t="str">
        <f>VLOOKUP(D3421,Products!A:C,2,FALSE)</f>
        <v>And Footwear</v>
      </c>
      <c r="K3421" t="str">
        <f>VLOOKUP(D3421,Products!A:C,3,FALSE)</f>
        <v>Fashion</v>
      </c>
      <c r="L3421" t="str">
        <f>VLOOKUP(E3421,Stores!A:B,2,FALSE)</f>
        <v>MegaMart Brianahaven</v>
      </c>
      <c r="M3421">
        <f>VLOOKUP(D3421,Products!A:E,5,FALSE)</f>
        <v>1878.47</v>
      </c>
      <c r="N3421" s="5">
        <f t="shared" si="53"/>
        <v>7513.88</v>
      </c>
    </row>
    <row r="3422" spans="1:14" x14ac:dyDescent="0.3">
      <c r="A3422" t="s">
        <v>4278</v>
      </c>
      <c r="B3422" s="2">
        <v>45838</v>
      </c>
      <c r="C3422" t="s">
        <v>119</v>
      </c>
      <c r="D3422" t="s">
        <v>800</v>
      </c>
      <c r="E3422" t="s">
        <v>835</v>
      </c>
      <c r="F3422">
        <v>4</v>
      </c>
      <c r="G3422">
        <v>0</v>
      </c>
      <c r="H3422" t="s">
        <v>865</v>
      </c>
      <c r="I3422" t="str">
        <f>VLOOKUP(C3422,Customers!A:C,2,FALSE)&amp;" "&amp;VLOOKUP(C3422,Customers!A:C,3,FALSE)</f>
        <v>Lacey Hall</v>
      </c>
      <c r="J3422" t="str">
        <f>VLOOKUP(D3422,Products!A:C,2,FALSE)</f>
        <v>Book Television</v>
      </c>
      <c r="K3422" t="str">
        <f>VLOOKUP(D3422,Products!A:C,3,FALSE)</f>
        <v>Electronics</v>
      </c>
      <c r="L3422" t="str">
        <f>VLOOKUP(E3422,Stores!A:B,2,FALSE)</f>
        <v>MegaMart Peckmouth</v>
      </c>
      <c r="M3422">
        <f>VLOOKUP(D3422,Products!A:E,5,FALSE)</f>
        <v>1952.65</v>
      </c>
      <c r="N3422" s="5">
        <f t="shared" si="53"/>
        <v>7810.6</v>
      </c>
    </row>
    <row r="3423" spans="1:14" x14ac:dyDescent="0.3">
      <c r="A3423" t="s">
        <v>4279</v>
      </c>
      <c r="B3423" s="2">
        <v>45450</v>
      </c>
      <c r="C3423" t="s">
        <v>195</v>
      </c>
      <c r="D3423" t="s">
        <v>739</v>
      </c>
      <c r="E3423" t="s">
        <v>831</v>
      </c>
      <c r="F3423">
        <v>5</v>
      </c>
      <c r="G3423">
        <v>0.05</v>
      </c>
      <c r="H3423" t="s">
        <v>855</v>
      </c>
      <c r="I3423" t="str">
        <f>VLOOKUP(C3423,Customers!A:C,2,FALSE)&amp;" "&amp;VLOOKUP(C3423,Customers!A:C,3,FALSE)</f>
        <v>Kelly Mcmillan</v>
      </c>
      <c r="J3423" t="str">
        <f>VLOOKUP(D3423,Products!A:C,2,FALSE)</f>
        <v>Step Smartphone</v>
      </c>
      <c r="K3423" t="str">
        <f>VLOOKUP(D3423,Products!A:C,3,FALSE)</f>
        <v>Electronics</v>
      </c>
      <c r="L3423" t="str">
        <f>VLOOKUP(E3423,Stores!A:B,2,FALSE)</f>
        <v>MegaMart Jimenezborough</v>
      </c>
      <c r="M3423">
        <f>VLOOKUP(D3423,Products!A:E,5,FALSE)</f>
        <v>1194.1199999999999</v>
      </c>
      <c r="N3423" s="5">
        <f t="shared" si="53"/>
        <v>5672.0699999999988</v>
      </c>
    </row>
    <row r="3424" spans="1:14" x14ac:dyDescent="0.3">
      <c r="A3424" t="s">
        <v>4280</v>
      </c>
      <c r="B3424" s="2">
        <v>45346</v>
      </c>
      <c r="C3424" t="s">
        <v>375</v>
      </c>
      <c r="D3424" t="s">
        <v>796</v>
      </c>
      <c r="E3424" t="s">
        <v>842</v>
      </c>
      <c r="F3424">
        <v>5</v>
      </c>
      <c r="G3424">
        <v>0</v>
      </c>
      <c r="H3424" t="s">
        <v>865</v>
      </c>
      <c r="I3424" t="str">
        <f>VLOOKUP(C3424,Customers!A:C,2,FALSE)&amp;" "&amp;VLOOKUP(C3424,Customers!A:C,3,FALSE)</f>
        <v>Sean Hart</v>
      </c>
      <c r="J3424" t="str">
        <f>VLOOKUP(D3424,Products!A:C,2,FALSE)</f>
        <v>Chair Laptop</v>
      </c>
      <c r="K3424" t="str">
        <f>VLOOKUP(D3424,Products!A:C,3,FALSE)</f>
        <v>Electronics</v>
      </c>
      <c r="L3424" t="str">
        <f>VLOOKUP(E3424,Stores!A:B,2,FALSE)</f>
        <v>MegaMart Brianahaven</v>
      </c>
      <c r="M3424">
        <f>VLOOKUP(D3424,Products!A:E,5,FALSE)</f>
        <v>1562.43</v>
      </c>
      <c r="N3424" s="5">
        <f t="shared" si="53"/>
        <v>7812.1500000000005</v>
      </c>
    </row>
    <row r="3425" spans="1:14" x14ac:dyDescent="0.3">
      <c r="A3425" t="s">
        <v>4281</v>
      </c>
      <c r="B3425" s="2">
        <v>45212</v>
      </c>
      <c r="C3425" t="s">
        <v>372</v>
      </c>
      <c r="D3425" t="s">
        <v>774</v>
      </c>
      <c r="E3425" t="s">
        <v>835</v>
      </c>
      <c r="F3425">
        <v>4</v>
      </c>
      <c r="G3425">
        <v>0</v>
      </c>
      <c r="H3425" t="s">
        <v>855</v>
      </c>
      <c r="I3425" t="str">
        <f>VLOOKUP(C3425,Customers!A:C,2,FALSE)&amp;" "&amp;VLOOKUP(C3425,Customers!A:C,3,FALSE)</f>
        <v>Kimberly Jones</v>
      </c>
      <c r="J3425" t="str">
        <f>VLOOKUP(D3425,Products!A:C,2,FALSE)</f>
        <v>Him Smartphone</v>
      </c>
      <c r="K3425" t="str">
        <f>VLOOKUP(D3425,Products!A:C,3,FALSE)</f>
        <v>Electronics</v>
      </c>
      <c r="L3425" t="str">
        <f>VLOOKUP(E3425,Stores!A:B,2,FALSE)</f>
        <v>MegaMart Peckmouth</v>
      </c>
      <c r="M3425">
        <f>VLOOKUP(D3425,Products!A:E,5,FALSE)</f>
        <v>1487.41</v>
      </c>
      <c r="N3425" s="5">
        <f t="shared" si="53"/>
        <v>5949.64</v>
      </c>
    </row>
    <row r="3426" spans="1:14" x14ac:dyDescent="0.3">
      <c r="A3426" t="s">
        <v>4282</v>
      </c>
      <c r="B3426" s="2">
        <v>45427</v>
      </c>
      <c r="C3426" t="s">
        <v>673</v>
      </c>
      <c r="D3426" t="s">
        <v>753</v>
      </c>
      <c r="E3426" t="s">
        <v>835</v>
      </c>
      <c r="F3426">
        <v>1</v>
      </c>
      <c r="G3426">
        <v>0.05</v>
      </c>
      <c r="H3426" t="s">
        <v>861</v>
      </c>
      <c r="I3426" t="str">
        <f>VLOOKUP(C3426,Customers!A:C,2,FALSE)&amp;" "&amp;VLOOKUP(C3426,Customers!A:C,3,FALSE)</f>
        <v>Karen Quinn</v>
      </c>
      <c r="J3426" t="str">
        <f>VLOOKUP(D3426,Products!A:C,2,FALSE)</f>
        <v>Whether Bags</v>
      </c>
      <c r="K3426" t="str">
        <f>VLOOKUP(D3426,Products!A:C,3,FALSE)</f>
        <v>Fashion</v>
      </c>
      <c r="L3426" t="str">
        <f>VLOOKUP(E3426,Stores!A:B,2,FALSE)</f>
        <v>MegaMart Peckmouth</v>
      </c>
      <c r="M3426">
        <f>VLOOKUP(D3426,Products!A:E,5,FALSE)</f>
        <v>270.45</v>
      </c>
      <c r="N3426" s="5">
        <f t="shared" si="53"/>
        <v>256.92749999999995</v>
      </c>
    </row>
    <row r="3427" spans="1:14" x14ac:dyDescent="0.3">
      <c r="A3427" t="s">
        <v>4283</v>
      </c>
      <c r="B3427" s="2">
        <v>45558</v>
      </c>
      <c r="C3427" t="s">
        <v>250</v>
      </c>
      <c r="D3427" t="s">
        <v>739</v>
      </c>
      <c r="E3427" t="s">
        <v>839</v>
      </c>
      <c r="F3427">
        <v>3</v>
      </c>
      <c r="G3427">
        <v>0</v>
      </c>
      <c r="H3427" t="s">
        <v>858</v>
      </c>
      <c r="I3427" t="str">
        <f>VLOOKUP(C3427,Customers!A:C,2,FALSE)&amp;" "&amp;VLOOKUP(C3427,Customers!A:C,3,FALSE)</f>
        <v>Jason Jenkins</v>
      </c>
      <c r="J3427" t="str">
        <f>VLOOKUP(D3427,Products!A:C,2,FALSE)</f>
        <v>Step Smartphone</v>
      </c>
      <c r="K3427" t="str">
        <f>VLOOKUP(D3427,Products!A:C,3,FALSE)</f>
        <v>Electronics</v>
      </c>
      <c r="L3427" t="str">
        <f>VLOOKUP(E3427,Stores!A:B,2,FALSE)</f>
        <v>MegaMart New Michele</v>
      </c>
      <c r="M3427">
        <f>VLOOKUP(D3427,Products!A:E,5,FALSE)</f>
        <v>1194.1199999999999</v>
      </c>
      <c r="N3427" s="5">
        <f t="shared" si="53"/>
        <v>3582.3599999999997</v>
      </c>
    </row>
    <row r="3428" spans="1:14" x14ac:dyDescent="0.3">
      <c r="A3428" t="s">
        <v>4284</v>
      </c>
      <c r="B3428" s="2">
        <v>45905</v>
      </c>
      <c r="C3428" t="s">
        <v>480</v>
      </c>
      <c r="D3428" t="s">
        <v>814</v>
      </c>
      <c r="E3428" t="s">
        <v>846</v>
      </c>
      <c r="F3428">
        <v>2</v>
      </c>
      <c r="G3428">
        <v>0.15</v>
      </c>
      <c r="H3428" t="s">
        <v>865</v>
      </c>
      <c r="I3428" t="str">
        <f>VLOOKUP(C3428,Customers!A:C,2,FALSE)&amp;" "&amp;VLOOKUP(C3428,Customers!A:C,3,FALSE)</f>
        <v>Denise Jackson</v>
      </c>
      <c r="J3428" t="str">
        <f>VLOOKUP(D3428,Products!A:C,2,FALSE)</f>
        <v>Least Accessories</v>
      </c>
      <c r="K3428" t="str">
        <f>VLOOKUP(D3428,Products!A:C,3,FALSE)</f>
        <v>Fashion</v>
      </c>
      <c r="L3428" t="str">
        <f>VLOOKUP(E3428,Stores!A:B,2,FALSE)</f>
        <v>MegaMart Johnmouth</v>
      </c>
      <c r="M3428">
        <f>VLOOKUP(D3428,Products!A:E,5,FALSE)</f>
        <v>1286.55</v>
      </c>
      <c r="N3428" s="5">
        <f t="shared" si="53"/>
        <v>2187.1349999999998</v>
      </c>
    </row>
    <row r="3429" spans="1:14" x14ac:dyDescent="0.3">
      <c r="A3429" t="s">
        <v>4285</v>
      </c>
      <c r="B3429" s="2">
        <v>45406</v>
      </c>
      <c r="C3429" t="s">
        <v>462</v>
      </c>
      <c r="D3429" t="s">
        <v>736</v>
      </c>
      <c r="E3429" t="s">
        <v>842</v>
      </c>
      <c r="F3429">
        <v>4</v>
      </c>
      <c r="G3429">
        <v>0.05</v>
      </c>
      <c r="H3429" t="s">
        <v>861</v>
      </c>
      <c r="I3429" t="str">
        <f>VLOOKUP(C3429,Customers!A:C,2,FALSE)&amp;" "&amp;VLOOKUP(C3429,Customers!A:C,3,FALSE)</f>
        <v>Kimberly Parker</v>
      </c>
      <c r="J3429" t="str">
        <f>VLOOKUP(D3429,Products!A:C,2,FALSE)</f>
        <v>Us Snacks</v>
      </c>
      <c r="K3429" t="str">
        <f>VLOOKUP(D3429,Products!A:C,3,FALSE)</f>
        <v>Groceries</v>
      </c>
      <c r="L3429" t="str">
        <f>VLOOKUP(E3429,Stores!A:B,2,FALSE)</f>
        <v>MegaMart Brianahaven</v>
      </c>
      <c r="M3429">
        <f>VLOOKUP(D3429,Products!A:E,5,FALSE)</f>
        <v>123.19</v>
      </c>
      <c r="N3429" s="5">
        <f t="shared" si="53"/>
        <v>468.12199999999996</v>
      </c>
    </row>
    <row r="3430" spans="1:14" x14ac:dyDescent="0.3">
      <c r="A3430" t="s">
        <v>4286</v>
      </c>
      <c r="B3430" s="2">
        <v>45387</v>
      </c>
      <c r="C3430" t="s">
        <v>494</v>
      </c>
      <c r="D3430" t="s">
        <v>796</v>
      </c>
      <c r="E3430" t="s">
        <v>839</v>
      </c>
      <c r="F3430">
        <v>3</v>
      </c>
      <c r="G3430">
        <v>0</v>
      </c>
      <c r="H3430" t="s">
        <v>865</v>
      </c>
      <c r="I3430" t="str">
        <f>VLOOKUP(C3430,Customers!A:C,2,FALSE)&amp;" "&amp;VLOOKUP(C3430,Customers!A:C,3,FALSE)</f>
        <v>Mario Cuevas</v>
      </c>
      <c r="J3430" t="str">
        <f>VLOOKUP(D3430,Products!A:C,2,FALSE)</f>
        <v>Chair Laptop</v>
      </c>
      <c r="K3430" t="str">
        <f>VLOOKUP(D3430,Products!A:C,3,FALSE)</f>
        <v>Electronics</v>
      </c>
      <c r="L3430" t="str">
        <f>VLOOKUP(E3430,Stores!A:B,2,FALSE)</f>
        <v>MegaMart New Michele</v>
      </c>
      <c r="M3430">
        <f>VLOOKUP(D3430,Products!A:E,5,FALSE)</f>
        <v>1562.43</v>
      </c>
      <c r="N3430" s="5">
        <f t="shared" si="53"/>
        <v>4687.29</v>
      </c>
    </row>
    <row r="3431" spans="1:14" x14ac:dyDescent="0.3">
      <c r="A3431" t="s">
        <v>4287</v>
      </c>
      <c r="B3431" s="2">
        <v>45513</v>
      </c>
      <c r="C3431" t="s">
        <v>238</v>
      </c>
      <c r="D3431" t="s">
        <v>788</v>
      </c>
      <c r="E3431" t="s">
        <v>839</v>
      </c>
      <c r="F3431">
        <v>5</v>
      </c>
      <c r="G3431">
        <v>0</v>
      </c>
      <c r="H3431" t="s">
        <v>858</v>
      </c>
      <c r="I3431" t="str">
        <f>VLOOKUP(C3431,Customers!A:C,2,FALSE)&amp;" "&amp;VLOOKUP(C3431,Customers!A:C,3,FALSE)</f>
        <v>Susan Salinas</v>
      </c>
      <c r="J3431" t="str">
        <f>VLOOKUP(D3431,Products!A:C,2,FALSE)</f>
        <v>Foot Snacks</v>
      </c>
      <c r="K3431" t="str">
        <f>VLOOKUP(D3431,Products!A:C,3,FALSE)</f>
        <v>Groceries</v>
      </c>
      <c r="L3431" t="str">
        <f>VLOOKUP(E3431,Stores!A:B,2,FALSE)</f>
        <v>MegaMart New Michele</v>
      </c>
      <c r="M3431">
        <f>VLOOKUP(D3431,Products!A:E,5,FALSE)</f>
        <v>1095.72</v>
      </c>
      <c r="N3431" s="5">
        <f t="shared" si="53"/>
        <v>5478.6</v>
      </c>
    </row>
    <row r="3432" spans="1:14" x14ac:dyDescent="0.3">
      <c r="A3432" t="s">
        <v>4288</v>
      </c>
      <c r="B3432" s="2">
        <v>45770</v>
      </c>
      <c r="C3432" t="s">
        <v>702</v>
      </c>
      <c r="D3432" t="s">
        <v>784</v>
      </c>
      <c r="E3432" t="s">
        <v>835</v>
      </c>
      <c r="F3432">
        <v>3</v>
      </c>
      <c r="G3432">
        <v>0.1</v>
      </c>
      <c r="H3432" t="s">
        <v>861</v>
      </c>
      <c r="I3432" t="str">
        <f>VLOOKUP(C3432,Customers!A:C,2,FALSE)&amp;" "&amp;VLOOKUP(C3432,Customers!A:C,3,FALSE)</f>
        <v>Ronald Haley</v>
      </c>
      <c r="J3432" t="str">
        <f>VLOOKUP(D3432,Products!A:C,2,FALSE)</f>
        <v>Road Clothing</v>
      </c>
      <c r="K3432" t="str">
        <f>VLOOKUP(D3432,Products!A:C,3,FALSE)</f>
        <v>Fashion</v>
      </c>
      <c r="L3432" t="str">
        <f>VLOOKUP(E3432,Stores!A:B,2,FALSE)</f>
        <v>MegaMart Peckmouth</v>
      </c>
      <c r="M3432">
        <f>VLOOKUP(D3432,Products!A:E,5,FALSE)</f>
        <v>1485.05</v>
      </c>
      <c r="N3432" s="5">
        <f t="shared" si="53"/>
        <v>4009.6349999999998</v>
      </c>
    </row>
    <row r="3433" spans="1:14" x14ac:dyDescent="0.3">
      <c r="A3433" t="s">
        <v>4289</v>
      </c>
      <c r="B3433" s="2">
        <v>45490</v>
      </c>
      <c r="C3433" t="s">
        <v>454</v>
      </c>
      <c r="D3433" t="s">
        <v>725</v>
      </c>
      <c r="E3433" t="s">
        <v>846</v>
      </c>
      <c r="F3433">
        <v>5</v>
      </c>
      <c r="G3433">
        <v>0.05</v>
      </c>
      <c r="H3433" t="s">
        <v>858</v>
      </c>
      <c r="I3433" t="str">
        <f>VLOOKUP(C3433,Customers!A:C,2,FALSE)&amp;" "&amp;VLOOKUP(C3433,Customers!A:C,3,FALSE)</f>
        <v>Peter Edwards</v>
      </c>
      <c r="J3433" t="str">
        <f>VLOOKUP(D3433,Products!A:C,2,FALSE)</f>
        <v>Knowledge Bags</v>
      </c>
      <c r="K3433" t="str">
        <f>VLOOKUP(D3433,Products!A:C,3,FALSE)</f>
        <v>Fashion</v>
      </c>
      <c r="L3433" t="str">
        <f>VLOOKUP(E3433,Stores!A:B,2,FALSE)</f>
        <v>MegaMart Johnmouth</v>
      </c>
      <c r="M3433">
        <f>VLOOKUP(D3433,Products!A:E,5,FALSE)</f>
        <v>1396.22</v>
      </c>
      <c r="N3433" s="5">
        <f t="shared" si="53"/>
        <v>6632.0450000000001</v>
      </c>
    </row>
    <row r="3434" spans="1:14" x14ac:dyDescent="0.3">
      <c r="A3434" t="s">
        <v>4290</v>
      </c>
      <c r="B3434" s="2">
        <v>45544</v>
      </c>
      <c r="C3434" t="s">
        <v>51</v>
      </c>
      <c r="D3434" t="s">
        <v>822</v>
      </c>
      <c r="E3434" t="s">
        <v>835</v>
      </c>
      <c r="F3434">
        <v>2</v>
      </c>
      <c r="G3434">
        <v>0.1</v>
      </c>
      <c r="H3434" t="s">
        <v>865</v>
      </c>
      <c r="I3434" t="str">
        <f>VLOOKUP(C3434,Customers!A:C,2,FALSE)&amp;" "&amp;VLOOKUP(C3434,Customers!A:C,3,FALSE)</f>
        <v>Dale Perry</v>
      </c>
      <c r="J3434" t="str">
        <f>VLOOKUP(D3434,Products!A:C,2,FALSE)</f>
        <v>Nor Bags</v>
      </c>
      <c r="K3434" t="str">
        <f>VLOOKUP(D3434,Products!A:C,3,FALSE)</f>
        <v>Fashion</v>
      </c>
      <c r="L3434" t="str">
        <f>VLOOKUP(E3434,Stores!A:B,2,FALSE)</f>
        <v>MegaMart Peckmouth</v>
      </c>
      <c r="M3434">
        <f>VLOOKUP(D3434,Products!A:E,5,FALSE)</f>
        <v>1216.3599999999999</v>
      </c>
      <c r="N3434" s="5">
        <f t="shared" si="53"/>
        <v>2189.4479999999999</v>
      </c>
    </row>
    <row r="3435" spans="1:14" x14ac:dyDescent="0.3">
      <c r="A3435" t="s">
        <v>4291</v>
      </c>
      <c r="B3435" s="2">
        <v>45405</v>
      </c>
      <c r="C3435" t="s">
        <v>59</v>
      </c>
      <c r="D3435" t="s">
        <v>794</v>
      </c>
      <c r="E3435" t="s">
        <v>831</v>
      </c>
      <c r="F3435">
        <v>3</v>
      </c>
      <c r="G3435">
        <v>0.15</v>
      </c>
      <c r="H3435" t="s">
        <v>865</v>
      </c>
      <c r="I3435" t="str">
        <f>VLOOKUP(C3435,Customers!A:C,2,FALSE)&amp;" "&amp;VLOOKUP(C3435,Customers!A:C,3,FALSE)</f>
        <v>Brittany Green</v>
      </c>
      <c r="J3435" t="str">
        <f>VLOOKUP(D3435,Products!A:C,2,FALSE)</f>
        <v>Everything Laptop</v>
      </c>
      <c r="K3435" t="str">
        <f>VLOOKUP(D3435,Products!A:C,3,FALSE)</f>
        <v>Electronics</v>
      </c>
      <c r="L3435" t="str">
        <f>VLOOKUP(E3435,Stores!A:B,2,FALSE)</f>
        <v>MegaMart Jimenezborough</v>
      </c>
      <c r="M3435">
        <f>VLOOKUP(D3435,Products!A:E,5,FALSE)</f>
        <v>428.05</v>
      </c>
      <c r="N3435" s="5">
        <f t="shared" si="53"/>
        <v>1091.5275000000001</v>
      </c>
    </row>
    <row r="3436" spans="1:14" x14ac:dyDescent="0.3">
      <c r="A3436" t="s">
        <v>4292</v>
      </c>
      <c r="B3436" s="2">
        <v>45265</v>
      </c>
      <c r="C3436" t="s">
        <v>560</v>
      </c>
      <c r="D3436" t="s">
        <v>745</v>
      </c>
      <c r="E3436" t="s">
        <v>831</v>
      </c>
      <c r="F3436">
        <v>5</v>
      </c>
      <c r="G3436">
        <v>0.1</v>
      </c>
      <c r="H3436" t="s">
        <v>865</v>
      </c>
      <c r="I3436" t="str">
        <f>VLOOKUP(C3436,Customers!A:C,2,FALSE)&amp;" "&amp;VLOOKUP(C3436,Customers!A:C,3,FALSE)</f>
        <v>George Young</v>
      </c>
      <c r="J3436" t="str">
        <f>VLOOKUP(D3436,Products!A:C,2,FALSE)</f>
        <v>Above Camera</v>
      </c>
      <c r="K3436" t="str">
        <f>VLOOKUP(D3436,Products!A:C,3,FALSE)</f>
        <v>Electronics</v>
      </c>
      <c r="L3436" t="str">
        <f>VLOOKUP(E3436,Stores!A:B,2,FALSE)</f>
        <v>MegaMart Jimenezborough</v>
      </c>
      <c r="M3436">
        <f>VLOOKUP(D3436,Products!A:E,5,FALSE)</f>
        <v>1193.0899999999999</v>
      </c>
      <c r="N3436" s="5">
        <f t="shared" si="53"/>
        <v>5368.9049999999997</v>
      </c>
    </row>
    <row r="3437" spans="1:14" x14ac:dyDescent="0.3">
      <c r="A3437" t="s">
        <v>4293</v>
      </c>
      <c r="B3437" s="2">
        <v>45846</v>
      </c>
      <c r="C3437" t="s">
        <v>284</v>
      </c>
      <c r="D3437" t="s">
        <v>824</v>
      </c>
      <c r="E3437" t="s">
        <v>839</v>
      </c>
      <c r="F3437">
        <v>5</v>
      </c>
      <c r="G3437">
        <v>0.05</v>
      </c>
      <c r="H3437" t="s">
        <v>865</v>
      </c>
      <c r="I3437" t="str">
        <f>VLOOKUP(C3437,Customers!A:C,2,FALSE)&amp;" "&amp;VLOOKUP(C3437,Customers!A:C,3,FALSE)</f>
        <v>Seth Moore</v>
      </c>
      <c r="J3437" t="str">
        <f>VLOOKUP(D3437,Products!A:C,2,FALSE)</f>
        <v>Possible Watches</v>
      </c>
      <c r="K3437" t="str">
        <f>VLOOKUP(D3437,Products!A:C,3,FALSE)</f>
        <v>Fashion</v>
      </c>
      <c r="L3437" t="str">
        <f>VLOOKUP(E3437,Stores!A:B,2,FALSE)</f>
        <v>MegaMart New Michele</v>
      </c>
      <c r="M3437">
        <f>VLOOKUP(D3437,Products!A:E,5,FALSE)</f>
        <v>388.26</v>
      </c>
      <c r="N3437" s="5">
        <f t="shared" si="53"/>
        <v>1844.2349999999999</v>
      </c>
    </row>
    <row r="3438" spans="1:14" x14ac:dyDescent="0.3">
      <c r="A3438" t="s">
        <v>4294</v>
      </c>
      <c r="B3438" s="2">
        <v>45820</v>
      </c>
      <c r="C3438" t="s">
        <v>647</v>
      </c>
      <c r="D3438" t="s">
        <v>822</v>
      </c>
      <c r="E3438" t="s">
        <v>842</v>
      </c>
      <c r="F3438">
        <v>3</v>
      </c>
      <c r="G3438">
        <v>0.05</v>
      </c>
      <c r="H3438" t="s">
        <v>858</v>
      </c>
      <c r="I3438" t="str">
        <f>VLOOKUP(C3438,Customers!A:C,2,FALSE)&amp;" "&amp;VLOOKUP(C3438,Customers!A:C,3,FALSE)</f>
        <v>Mary Dawson</v>
      </c>
      <c r="J3438" t="str">
        <f>VLOOKUP(D3438,Products!A:C,2,FALSE)</f>
        <v>Nor Bags</v>
      </c>
      <c r="K3438" t="str">
        <f>VLOOKUP(D3438,Products!A:C,3,FALSE)</f>
        <v>Fashion</v>
      </c>
      <c r="L3438" t="str">
        <f>VLOOKUP(E3438,Stores!A:B,2,FALSE)</f>
        <v>MegaMart Brianahaven</v>
      </c>
      <c r="M3438">
        <f>VLOOKUP(D3438,Products!A:E,5,FALSE)</f>
        <v>1216.3599999999999</v>
      </c>
      <c r="N3438" s="5">
        <f t="shared" si="53"/>
        <v>3466.6259999999997</v>
      </c>
    </row>
    <row r="3439" spans="1:14" x14ac:dyDescent="0.3">
      <c r="A3439" t="s">
        <v>4295</v>
      </c>
      <c r="B3439" s="2">
        <v>45677</v>
      </c>
      <c r="C3439" t="s">
        <v>683</v>
      </c>
      <c r="D3439" t="s">
        <v>718</v>
      </c>
      <c r="E3439" t="s">
        <v>846</v>
      </c>
      <c r="F3439">
        <v>5</v>
      </c>
      <c r="G3439">
        <v>0.15</v>
      </c>
      <c r="H3439" t="s">
        <v>858</v>
      </c>
      <c r="I3439" t="str">
        <f>VLOOKUP(C3439,Customers!A:C,2,FALSE)&amp;" "&amp;VLOOKUP(C3439,Customers!A:C,3,FALSE)</f>
        <v>Ann West</v>
      </c>
      <c r="J3439" t="str">
        <f>VLOOKUP(D3439,Products!A:C,2,FALSE)</f>
        <v>Here Footwear</v>
      </c>
      <c r="K3439" t="str">
        <f>VLOOKUP(D3439,Products!A:C,3,FALSE)</f>
        <v>Fashion</v>
      </c>
      <c r="L3439" t="str">
        <f>VLOOKUP(E3439,Stores!A:B,2,FALSE)</f>
        <v>MegaMart Johnmouth</v>
      </c>
      <c r="M3439">
        <f>VLOOKUP(D3439,Products!A:E,5,FALSE)</f>
        <v>337.63</v>
      </c>
      <c r="N3439" s="5">
        <f t="shared" si="53"/>
        <v>1434.9275</v>
      </c>
    </row>
    <row r="3440" spans="1:14" x14ac:dyDescent="0.3">
      <c r="A3440" t="s">
        <v>4296</v>
      </c>
      <c r="B3440" s="2">
        <v>45791</v>
      </c>
      <c r="C3440" t="s">
        <v>702</v>
      </c>
      <c r="D3440" t="s">
        <v>774</v>
      </c>
      <c r="E3440" t="s">
        <v>839</v>
      </c>
      <c r="F3440">
        <v>5</v>
      </c>
      <c r="G3440">
        <v>0.15</v>
      </c>
      <c r="H3440" t="s">
        <v>865</v>
      </c>
      <c r="I3440" t="str">
        <f>VLOOKUP(C3440,Customers!A:C,2,FALSE)&amp;" "&amp;VLOOKUP(C3440,Customers!A:C,3,FALSE)</f>
        <v>Ronald Haley</v>
      </c>
      <c r="J3440" t="str">
        <f>VLOOKUP(D3440,Products!A:C,2,FALSE)</f>
        <v>Him Smartphone</v>
      </c>
      <c r="K3440" t="str">
        <f>VLOOKUP(D3440,Products!A:C,3,FALSE)</f>
        <v>Electronics</v>
      </c>
      <c r="L3440" t="str">
        <f>VLOOKUP(E3440,Stores!A:B,2,FALSE)</f>
        <v>MegaMart New Michele</v>
      </c>
      <c r="M3440">
        <f>VLOOKUP(D3440,Products!A:E,5,FALSE)</f>
        <v>1487.41</v>
      </c>
      <c r="N3440" s="5">
        <f t="shared" si="53"/>
        <v>6321.4925000000003</v>
      </c>
    </row>
    <row r="3441" spans="1:14" x14ac:dyDescent="0.3">
      <c r="A3441" t="s">
        <v>4297</v>
      </c>
      <c r="B3441" s="2">
        <v>45295</v>
      </c>
      <c r="C3441" t="s">
        <v>491</v>
      </c>
      <c r="D3441" t="s">
        <v>798</v>
      </c>
      <c r="E3441" t="s">
        <v>839</v>
      </c>
      <c r="F3441">
        <v>2</v>
      </c>
      <c r="G3441">
        <v>0.1</v>
      </c>
      <c r="H3441" t="s">
        <v>858</v>
      </c>
      <c r="I3441" t="str">
        <f>VLOOKUP(C3441,Customers!A:C,2,FALSE)&amp;" "&amp;VLOOKUP(C3441,Customers!A:C,3,FALSE)</f>
        <v>Emily Hart</v>
      </c>
      <c r="J3441" t="str">
        <f>VLOOKUP(D3441,Products!A:C,2,FALSE)</f>
        <v>New Watches</v>
      </c>
      <c r="K3441" t="str">
        <f>VLOOKUP(D3441,Products!A:C,3,FALSE)</f>
        <v>Fashion</v>
      </c>
      <c r="L3441" t="str">
        <f>VLOOKUP(E3441,Stores!A:B,2,FALSE)</f>
        <v>MegaMart New Michele</v>
      </c>
      <c r="M3441">
        <f>VLOOKUP(D3441,Products!A:E,5,FALSE)</f>
        <v>1501.46</v>
      </c>
      <c r="N3441" s="5">
        <f t="shared" si="53"/>
        <v>2702.6280000000002</v>
      </c>
    </row>
    <row r="3442" spans="1:14" x14ac:dyDescent="0.3">
      <c r="A3442" t="s">
        <v>4298</v>
      </c>
      <c r="B3442" s="2">
        <v>45499</v>
      </c>
      <c r="C3442" t="s">
        <v>585</v>
      </c>
      <c r="D3442" t="s">
        <v>796</v>
      </c>
      <c r="E3442" t="s">
        <v>846</v>
      </c>
      <c r="F3442">
        <v>2</v>
      </c>
      <c r="G3442">
        <v>0.05</v>
      </c>
      <c r="H3442" t="s">
        <v>855</v>
      </c>
      <c r="I3442" t="str">
        <f>VLOOKUP(C3442,Customers!A:C,2,FALSE)&amp;" "&amp;VLOOKUP(C3442,Customers!A:C,3,FALSE)</f>
        <v>Linda Vasquez</v>
      </c>
      <c r="J3442" t="str">
        <f>VLOOKUP(D3442,Products!A:C,2,FALSE)</f>
        <v>Chair Laptop</v>
      </c>
      <c r="K3442" t="str">
        <f>VLOOKUP(D3442,Products!A:C,3,FALSE)</f>
        <v>Electronics</v>
      </c>
      <c r="L3442" t="str">
        <f>VLOOKUP(E3442,Stores!A:B,2,FALSE)</f>
        <v>MegaMart Johnmouth</v>
      </c>
      <c r="M3442">
        <f>VLOOKUP(D3442,Products!A:E,5,FALSE)</f>
        <v>1562.43</v>
      </c>
      <c r="N3442" s="5">
        <f t="shared" si="53"/>
        <v>2968.6170000000002</v>
      </c>
    </row>
    <row r="3443" spans="1:14" x14ac:dyDescent="0.3">
      <c r="A3443" t="s">
        <v>4299</v>
      </c>
      <c r="B3443" s="2">
        <v>45816</v>
      </c>
      <c r="C3443" t="s">
        <v>527</v>
      </c>
      <c r="D3443" t="s">
        <v>728</v>
      </c>
      <c r="E3443" t="s">
        <v>831</v>
      </c>
      <c r="F3443">
        <v>3</v>
      </c>
      <c r="G3443">
        <v>0</v>
      </c>
      <c r="H3443" t="s">
        <v>855</v>
      </c>
      <c r="I3443" t="str">
        <f>VLOOKUP(C3443,Customers!A:C,2,FALSE)&amp;" "&amp;VLOOKUP(C3443,Customers!A:C,3,FALSE)</f>
        <v>Paige Osborne</v>
      </c>
      <c r="J3443" t="str">
        <f>VLOOKUP(D3443,Products!A:C,2,FALSE)</f>
        <v>Company Fruits</v>
      </c>
      <c r="K3443" t="str">
        <f>VLOOKUP(D3443,Products!A:C,3,FALSE)</f>
        <v>Groceries</v>
      </c>
      <c r="L3443" t="str">
        <f>VLOOKUP(E3443,Stores!A:B,2,FALSE)</f>
        <v>MegaMart Jimenezborough</v>
      </c>
      <c r="M3443">
        <f>VLOOKUP(D3443,Products!A:E,5,FALSE)</f>
        <v>318.05</v>
      </c>
      <c r="N3443" s="5">
        <f t="shared" si="53"/>
        <v>954.15000000000009</v>
      </c>
    </row>
    <row r="3444" spans="1:14" x14ac:dyDescent="0.3">
      <c r="A3444" t="s">
        <v>4300</v>
      </c>
      <c r="B3444" s="2">
        <v>45395</v>
      </c>
      <c r="C3444" t="s">
        <v>531</v>
      </c>
      <c r="D3444" t="s">
        <v>774</v>
      </c>
      <c r="E3444" t="s">
        <v>846</v>
      </c>
      <c r="F3444">
        <v>2</v>
      </c>
      <c r="G3444">
        <v>0.05</v>
      </c>
      <c r="H3444" t="s">
        <v>861</v>
      </c>
      <c r="I3444" t="str">
        <f>VLOOKUP(C3444,Customers!A:C,2,FALSE)&amp;" "&amp;VLOOKUP(C3444,Customers!A:C,3,FALSE)</f>
        <v>John Johnson</v>
      </c>
      <c r="J3444" t="str">
        <f>VLOOKUP(D3444,Products!A:C,2,FALSE)</f>
        <v>Him Smartphone</v>
      </c>
      <c r="K3444" t="str">
        <f>VLOOKUP(D3444,Products!A:C,3,FALSE)</f>
        <v>Electronics</v>
      </c>
      <c r="L3444" t="str">
        <f>VLOOKUP(E3444,Stores!A:B,2,FALSE)</f>
        <v>MegaMart Johnmouth</v>
      </c>
      <c r="M3444">
        <f>VLOOKUP(D3444,Products!A:E,5,FALSE)</f>
        <v>1487.41</v>
      </c>
      <c r="N3444" s="5">
        <f t="shared" si="53"/>
        <v>2826.0790000000002</v>
      </c>
    </row>
    <row r="3445" spans="1:14" x14ac:dyDescent="0.3">
      <c r="A3445" t="s">
        <v>4301</v>
      </c>
      <c r="B3445" s="2">
        <v>45635</v>
      </c>
      <c r="C3445" t="s">
        <v>112</v>
      </c>
      <c r="D3445" t="s">
        <v>753</v>
      </c>
      <c r="E3445" t="s">
        <v>835</v>
      </c>
      <c r="F3445">
        <v>2</v>
      </c>
      <c r="G3445">
        <v>0.1</v>
      </c>
      <c r="H3445" t="s">
        <v>861</v>
      </c>
      <c r="I3445" t="str">
        <f>VLOOKUP(C3445,Customers!A:C,2,FALSE)&amp;" "&amp;VLOOKUP(C3445,Customers!A:C,3,FALSE)</f>
        <v>John Carr</v>
      </c>
      <c r="J3445" t="str">
        <f>VLOOKUP(D3445,Products!A:C,2,FALSE)</f>
        <v>Whether Bags</v>
      </c>
      <c r="K3445" t="str">
        <f>VLOOKUP(D3445,Products!A:C,3,FALSE)</f>
        <v>Fashion</v>
      </c>
      <c r="L3445" t="str">
        <f>VLOOKUP(E3445,Stores!A:B,2,FALSE)</f>
        <v>MegaMart Peckmouth</v>
      </c>
      <c r="M3445">
        <f>VLOOKUP(D3445,Products!A:E,5,FALSE)</f>
        <v>270.45</v>
      </c>
      <c r="N3445" s="5">
        <f t="shared" si="53"/>
        <v>486.81</v>
      </c>
    </row>
    <row r="3446" spans="1:14" x14ac:dyDescent="0.3">
      <c r="A3446" t="s">
        <v>4302</v>
      </c>
      <c r="B3446" s="2">
        <v>45765</v>
      </c>
      <c r="C3446" t="s">
        <v>700</v>
      </c>
      <c r="D3446" t="s">
        <v>804</v>
      </c>
      <c r="E3446" t="s">
        <v>842</v>
      </c>
      <c r="F3446">
        <v>4</v>
      </c>
      <c r="G3446">
        <v>0</v>
      </c>
      <c r="H3446" t="s">
        <v>858</v>
      </c>
      <c r="I3446" t="str">
        <f>VLOOKUP(C3446,Customers!A:C,2,FALSE)&amp;" "&amp;VLOOKUP(C3446,Customers!A:C,3,FALSE)</f>
        <v>Juan Johnson</v>
      </c>
      <c r="J3446" t="str">
        <f>VLOOKUP(D3446,Products!A:C,2,FALSE)</f>
        <v>Church Clothing</v>
      </c>
      <c r="K3446" t="str">
        <f>VLOOKUP(D3446,Products!A:C,3,FALSE)</f>
        <v>Fashion</v>
      </c>
      <c r="L3446" t="str">
        <f>VLOOKUP(E3446,Stores!A:B,2,FALSE)</f>
        <v>MegaMart Brianahaven</v>
      </c>
      <c r="M3446">
        <f>VLOOKUP(D3446,Products!A:E,5,FALSE)</f>
        <v>540.94000000000005</v>
      </c>
      <c r="N3446" s="5">
        <f t="shared" si="53"/>
        <v>2163.7600000000002</v>
      </c>
    </row>
    <row r="3447" spans="1:14" x14ac:dyDescent="0.3">
      <c r="A3447" t="s">
        <v>4303</v>
      </c>
      <c r="B3447" s="2">
        <v>45814</v>
      </c>
      <c r="C3447" t="s">
        <v>574</v>
      </c>
      <c r="D3447" t="s">
        <v>755</v>
      </c>
      <c r="E3447" t="s">
        <v>831</v>
      </c>
      <c r="F3447">
        <v>5</v>
      </c>
      <c r="G3447">
        <v>0.15</v>
      </c>
      <c r="H3447" t="s">
        <v>861</v>
      </c>
      <c r="I3447" t="str">
        <f>VLOOKUP(C3447,Customers!A:C,2,FALSE)&amp;" "&amp;VLOOKUP(C3447,Customers!A:C,3,FALSE)</f>
        <v>Meagan Macdonald</v>
      </c>
      <c r="J3447" t="str">
        <f>VLOOKUP(D3447,Products!A:C,2,FALSE)</f>
        <v>House Accessories</v>
      </c>
      <c r="K3447" t="str">
        <f>VLOOKUP(D3447,Products!A:C,3,FALSE)</f>
        <v>Fashion</v>
      </c>
      <c r="L3447" t="str">
        <f>VLOOKUP(E3447,Stores!A:B,2,FALSE)</f>
        <v>MegaMart Jimenezborough</v>
      </c>
      <c r="M3447">
        <f>VLOOKUP(D3447,Products!A:E,5,FALSE)</f>
        <v>1858.75</v>
      </c>
      <c r="N3447" s="5">
        <f t="shared" si="53"/>
        <v>7899.6875</v>
      </c>
    </row>
    <row r="3448" spans="1:14" x14ac:dyDescent="0.3">
      <c r="A3448" t="s">
        <v>4304</v>
      </c>
      <c r="B3448" s="2">
        <v>45834</v>
      </c>
      <c r="C3448" t="s">
        <v>382</v>
      </c>
      <c r="D3448" t="s">
        <v>808</v>
      </c>
      <c r="E3448" t="s">
        <v>831</v>
      </c>
      <c r="F3448">
        <v>4</v>
      </c>
      <c r="G3448">
        <v>0.15</v>
      </c>
      <c r="H3448" t="s">
        <v>865</v>
      </c>
      <c r="I3448" t="str">
        <f>VLOOKUP(C3448,Customers!A:C,2,FALSE)&amp;" "&amp;VLOOKUP(C3448,Customers!A:C,3,FALSE)</f>
        <v>Carolyn Perez</v>
      </c>
      <c r="J3448" t="str">
        <f>VLOOKUP(D3448,Products!A:C,2,FALSE)</f>
        <v>Present Television</v>
      </c>
      <c r="K3448" t="str">
        <f>VLOOKUP(D3448,Products!A:C,3,FALSE)</f>
        <v>Electronics</v>
      </c>
      <c r="L3448" t="str">
        <f>VLOOKUP(E3448,Stores!A:B,2,FALSE)</f>
        <v>MegaMart Jimenezborough</v>
      </c>
      <c r="M3448">
        <f>VLOOKUP(D3448,Products!A:E,5,FALSE)</f>
        <v>1635.01</v>
      </c>
      <c r="N3448" s="5">
        <f t="shared" si="53"/>
        <v>5559.0339999999997</v>
      </c>
    </row>
    <row r="3449" spans="1:14" x14ac:dyDescent="0.3">
      <c r="A3449" t="s">
        <v>4305</v>
      </c>
      <c r="B3449" s="2">
        <v>45716</v>
      </c>
      <c r="C3449" t="s">
        <v>589</v>
      </c>
      <c r="D3449" t="s">
        <v>786</v>
      </c>
      <c r="E3449" t="s">
        <v>842</v>
      </c>
      <c r="F3449">
        <v>2</v>
      </c>
      <c r="G3449">
        <v>0.05</v>
      </c>
      <c r="H3449" t="s">
        <v>855</v>
      </c>
      <c r="I3449" t="str">
        <f>VLOOKUP(C3449,Customers!A:C,2,FALSE)&amp;" "&amp;VLOOKUP(C3449,Customers!A:C,3,FALSE)</f>
        <v>Tanya Mueller</v>
      </c>
      <c r="J3449" t="str">
        <f>VLOOKUP(D3449,Products!A:C,2,FALSE)</f>
        <v>National Watches</v>
      </c>
      <c r="K3449" t="str">
        <f>VLOOKUP(D3449,Products!A:C,3,FALSE)</f>
        <v>Fashion</v>
      </c>
      <c r="L3449" t="str">
        <f>VLOOKUP(E3449,Stores!A:B,2,FALSE)</f>
        <v>MegaMart Brianahaven</v>
      </c>
      <c r="M3449">
        <f>VLOOKUP(D3449,Products!A:E,5,FALSE)</f>
        <v>29.24</v>
      </c>
      <c r="N3449" s="5">
        <f t="shared" si="53"/>
        <v>55.555999999999997</v>
      </c>
    </row>
    <row r="3450" spans="1:14" x14ac:dyDescent="0.3">
      <c r="A3450" t="s">
        <v>4306</v>
      </c>
      <c r="B3450" s="2">
        <v>45702</v>
      </c>
      <c r="C3450" t="s">
        <v>524</v>
      </c>
      <c r="D3450" t="s">
        <v>804</v>
      </c>
      <c r="E3450" t="s">
        <v>835</v>
      </c>
      <c r="F3450">
        <v>5</v>
      </c>
      <c r="G3450">
        <v>0.05</v>
      </c>
      <c r="H3450" t="s">
        <v>855</v>
      </c>
      <c r="I3450" t="str">
        <f>VLOOKUP(C3450,Customers!A:C,2,FALSE)&amp;" "&amp;VLOOKUP(C3450,Customers!A:C,3,FALSE)</f>
        <v>Betty Johnson</v>
      </c>
      <c r="J3450" t="str">
        <f>VLOOKUP(D3450,Products!A:C,2,FALSE)</f>
        <v>Church Clothing</v>
      </c>
      <c r="K3450" t="str">
        <f>VLOOKUP(D3450,Products!A:C,3,FALSE)</f>
        <v>Fashion</v>
      </c>
      <c r="L3450" t="str">
        <f>VLOOKUP(E3450,Stores!A:B,2,FALSE)</f>
        <v>MegaMart Peckmouth</v>
      </c>
      <c r="M3450">
        <f>VLOOKUP(D3450,Products!A:E,5,FALSE)</f>
        <v>540.94000000000005</v>
      </c>
      <c r="N3450" s="5">
        <f t="shared" si="53"/>
        <v>2569.4650000000001</v>
      </c>
    </row>
    <row r="3451" spans="1:14" x14ac:dyDescent="0.3">
      <c r="A3451" t="s">
        <v>4307</v>
      </c>
      <c r="B3451" s="2">
        <v>45334</v>
      </c>
      <c r="C3451" t="s">
        <v>612</v>
      </c>
      <c r="D3451" t="s">
        <v>806</v>
      </c>
      <c r="E3451" t="s">
        <v>846</v>
      </c>
      <c r="F3451">
        <v>3</v>
      </c>
      <c r="G3451">
        <v>0.05</v>
      </c>
      <c r="H3451" t="s">
        <v>861</v>
      </c>
      <c r="I3451" t="str">
        <f>VLOOKUP(C3451,Customers!A:C,2,FALSE)&amp;" "&amp;VLOOKUP(C3451,Customers!A:C,3,FALSE)</f>
        <v>Michelle Smith</v>
      </c>
      <c r="J3451" t="str">
        <f>VLOOKUP(D3451,Products!A:C,2,FALSE)</f>
        <v>Piece Headphones</v>
      </c>
      <c r="K3451" t="str">
        <f>VLOOKUP(D3451,Products!A:C,3,FALSE)</f>
        <v>Electronics</v>
      </c>
      <c r="L3451" t="str">
        <f>VLOOKUP(E3451,Stores!A:B,2,FALSE)</f>
        <v>MegaMart Johnmouth</v>
      </c>
      <c r="M3451">
        <f>VLOOKUP(D3451,Products!A:E,5,FALSE)</f>
        <v>1745.61</v>
      </c>
      <c r="N3451" s="5">
        <f t="shared" si="53"/>
        <v>4974.9884999999995</v>
      </c>
    </row>
    <row r="3452" spans="1:14" x14ac:dyDescent="0.3">
      <c r="A3452" t="s">
        <v>4308</v>
      </c>
      <c r="B3452" s="2">
        <v>45192</v>
      </c>
      <c r="C3452" t="s">
        <v>601</v>
      </c>
      <c r="D3452" t="s">
        <v>753</v>
      </c>
      <c r="E3452" t="s">
        <v>846</v>
      </c>
      <c r="F3452">
        <v>1</v>
      </c>
      <c r="G3452">
        <v>0.1</v>
      </c>
      <c r="H3452" t="s">
        <v>865</v>
      </c>
      <c r="I3452" t="str">
        <f>VLOOKUP(C3452,Customers!A:C,2,FALSE)&amp;" "&amp;VLOOKUP(C3452,Customers!A:C,3,FALSE)</f>
        <v>Travis Watson</v>
      </c>
      <c r="J3452" t="str">
        <f>VLOOKUP(D3452,Products!A:C,2,FALSE)</f>
        <v>Whether Bags</v>
      </c>
      <c r="K3452" t="str">
        <f>VLOOKUP(D3452,Products!A:C,3,FALSE)</f>
        <v>Fashion</v>
      </c>
      <c r="L3452" t="str">
        <f>VLOOKUP(E3452,Stores!A:B,2,FALSE)</f>
        <v>MegaMart Johnmouth</v>
      </c>
      <c r="M3452">
        <f>VLOOKUP(D3452,Products!A:E,5,FALSE)</f>
        <v>270.45</v>
      </c>
      <c r="N3452" s="5">
        <f t="shared" si="53"/>
        <v>243.405</v>
      </c>
    </row>
    <row r="3453" spans="1:14" x14ac:dyDescent="0.3">
      <c r="A3453" t="s">
        <v>4309</v>
      </c>
      <c r="B3453" s="2">
        <v>45371</v>
      </c>
      <c r="C3453" t="s">
        <v>335</v>
      </c>
      <c r="D3453" t="s">
        <v>753</v>
      </c>
      <c r="E3453" t="s">
        <v>842</v>
      </c>
      <c r="F3453">
        <v>1</v>
      </c>
      <c r="G3453">
        <v>0.05</v>
      </c>
      <c r="H3453" t="s">
        <v>858</v>
      </c>
      <c r="I3453" t="str">
        <f>VLOOKUP(C3453,Customers!A:C,2,FALSE)&amp;" "&amp;VLOOKUP(C3453,Customers!A:C,3,FALSE)</f>
        <v>William Warner</v>
      </c>
      <c r="J3453" t="str">
        <f>VLOOKUP(D3453,Products!A:C,2,FALSE)</f>
        <v>Whether Bags</v>
      </c>
      <c r="K3453" t="str">
        <f>VLOOKUP(D3453,Products!A:C,3,FALSE)</f>
        <v>Fashion</v>
      </c>
      <c r="L3453" t="str">
        <f>VLOOKUP(E3453,Stores!A:B,2,FALSE)</f>
        <v>MegaMart Brianahaven</v>
      </c>
      <c r="M3453">
        <f>VLOOKUP(D3453,Products!A:E,5,FALSE)</f>
        <v>270.45</v>
      </c>
      <c r="N3453" s="5">
        <f t="shared" si="53"/>
        <v>256.92749999999995</v>
      </c>
    </row>
    <row r="3454" spans="1:14" x14ac:dyDescent="0.3">
      <c r="A3454" t="s">
        <v>4310</v>
      </c>
      <c r="B3454" s="2">
        <v>45785</v>
      </c>
      <c r="C3454" t="s">
        <v>331</v>
      </c>
      <c r="D3454" t="s">
        <v>826</v>
      </c>
      <c r="E3454" t="s">
        <v>831</v>
      </c>
      <c r="F3454">
        <v>5</v>
      </c>
      <c r="G3454">
        <v>0.05</v>
      </c>
      <c r="H3454" t="s">
        <v>858</v>
      </c>
      <c r="I3454" t="str">
        <f>VLOOKUP(C3454,Customers!A:C,2,FALSE)&amp;" "&amp;VLOOKUP(C3454,Customers!A:C,3,FALSE)</f>
        <v>Brenda Costa</v>
      </c>
      <c r="J3454" t="str">
        <f>VLOOKUP(D3454,Products!A:C,2,FALSE)</f>
        <v>Maybe Footwear</v>
      </c>
      <c r="K3454" t="str">
        <f>VLOOKUP(D3454,Products!A:C,3,FALSE)</f>
        <v>Fashion</v>
      </c>
      <c r="L3454" t="str">
        <f>VLOOKUP(E3454,Stores!A:B,2,FALSE)</f>
        <v>MegaMart Jimenezborough</v>
      </c>
      <c r="M3454">
        <f>VLOOKUP(D3454,Products!A:E,5,FALSE)</f>
        <v>1044.6400000000001</v>
      </c>
      <c r="N3454" s="5">
        <f t="shared" si="53"/>
        <v>4962.0400000000009</v>
      </c>
    </row>
    <row r="3455" spans="1:14" x14ac:dyDescent="0.3">
      <c r="A3455" t="s">
        <v>4311</v>
      </c>
      <c r="B3455" s="2">
        <v>45537</v>
      </c>
      <c r="C3455" t="s">
        <v>549</v>
      </c>
      <c r="D3455" t="s">
        <v>812</v>
      </c>
      <c r="E3455" t="s">
        <v>839</v>
      </c>
      <c r="F3455">
        <v>5</v>
      </c>
      <c r="G3455">
        <v>0.05</v>
      </c>
      <c r="H3455" t="s">
        <v>858</v>
      </c>
      <c r="I3455" t="str">
        <f>VLOOKUP(C3455,Customers!A:C,2,FALSE)&amp;" "&amp;VLOOKUP(C3455,Customers!A:C,3,FALSE)</f>
        <v>Brittany Green</v>
      </c>
      <c r="J3455" t="str">
        <f>VLOOKUP(D3455,Products!A:C,2,FALSE)</f>
        <v>Soon Accessories</v>
      </c>
      <c r="K3455" t="str">
        <f>VLOOKUP(D3455,Products!A:C,3,FALSE)</f>
        <v>Fashion</v>
      </c>
      <c r="L3455" t="str">
        <f>VLOOKUP(E3455,Stores!A:B,2,FALSE)</f>
        <v>MegaMart New Michele</v>
      </c>
      <c r="M3455">
        <f>VLOOKUP(D3455,Products!A:E,5,FALSE)</f>
        <v>564.41999999999996</v>
      </c>
      <c r="N3455" s="5">
        <f t="shared" si="53"/>
        <v>2680.9949999999999</v>
      </c>
    </row>
    <row r="3456" spans="1:14" x14ac:dyDescent="0.3">
      <c r="A3456" t="s">
        <v>4312</v>
      </c>
      <c r="B3456" s="2">
        <v>45476</v>
      </c>
      <c r="C3456" t="s">
        <v>604</v>
      </c>
      <c r="D3456" t="s">
        <v>820</v>
      </c>
      <c r="E3456" t="s">
        <v>839</v>
      </c>
      <c r="F3456">
        <v>1</v>
      </c>
      <c r="G3456">
        <v>0.15</v>
      </c>
      <c r="H3456" t="s">
        <v>858</v>
      </c>
      <c r="I3456" t="str">
        <f>VLOOKUP(C3456,Customers!A:C,2,FALSE)&amp;" "&amp;VLOOKUP(C3456,Customers!A:C,3,FALSE)</f>
        <v>Amber Graham</v>
      </c>
      <c r="J3456" t="str">
        <f>VLOOKUP(D3456,Products!A:C,2,FALSE)</f>
        <v>Or Smartphone</v>
      </c>
      <c r="K3456" t="str">
        <f>VLOOKUP(D3456,Products!A:C,3,FALSE)</f>
        <v>Electronics</v>
      </c>
      <c r="L3456" t="str">
        <f>VLOOKUP(E3456,Stores!A:B,2,FALSE)</f>
        <v>MegaMart New Michele</v>
      </c>
      <c r="M3456">
        <f>VLOOKUP(D3456,Products!A:E,5,FALSE)</f>
        <v>1197.18</v>
      </c>
      <c r="N3456" s="5">
        <f t="shared" si="53"/>
        <v>1017.6030000000001</v>
      </c>
    </row>
    <row r="3457" spans="1:14" x14ac:dyDescent="0.3">
      <c r="A3457" t="s">
        <v>4313</v>
      </c>
      <c r="B3457" s="2">
        <v>45201</v>
      </c>
      <c r="C3457" t="s">
        <v>335</v>
      </c>
      <c r="D3457" t="s">
        <v>814</v>
      </c>
      <c r="E3457" t="s">
        <v>842</v>
      </c>
      <c r="F3457">
        <v>1</v>
      </c>
      <c r="G3457">
        <v>0.05</v>
      </c>
      <c r="H3457" t="s">
        <v>865</v>
      </c>
      <c r="I3457" t="str">
        <f>VLOOKUP(C3457,Customers!A:C,2,FALSE)&amp;" "&amp;VLOOKUP(C3457,Customers!A:C,3,FALSE)</f>
        <v>William Warner</v>
      </c>
      <c r="J3457" t="str">
        <f>VLOOKUP(D3457,Products!A:C,2,FALSE)</f>
        <v>Least Accessories</v>
      </c>
      <c r="K3457" t="str">
        <f>VLOOKUP(D3457,Products!A:C,3,FALSE)</f>
        <v>Fashion</v>
      </c>
      <c r="L3457" t="str">
        <f>VLOOKUP(E3457,Stores!A:B,2,FALSE)</f>
        <v>MegaMart Brianahaven</v>
      </c>
      <c r="M3457">
        <f>VLOOKUP(D3457,Products!A:E,5,FALSE)</f>
        <v>1286.55</v>
      </c>
      <c r="N3457" s="5">
        <f t="shared" si="53"/>
        <v>1222.2224999999999</v>
      </c>
    </row>
    <row r="3458" spans="1:14" x14ac:dyDescent="0.3">
      <c r="A3458" t="s">
        <v>4314</v>
      </c>
      <c r="B3458" s="2">
        <v>45591</v>
      </c>
      <c r="C3458" t="s">
        <v>524</v>
      </c>
      <c r="D3458" t="s">
        <v>796</v>
      </c>
      <c r="E3458" t="s">
        <v>842</v>
      </c>
      <c r="F3458">
        <v>4</v>
      </c>
      <c r="G3458">
        <v>0</v>
      </c>
      <c r="H3458" t="s">
        <v>861</v>
      </c>
      <c r="I3458" t="str">
        <f>VLOOKUP(C3458,Customers!A:C,2,FALSE)&amp;" "&amp;VLOOKUP(C3458,Customers!A:C,3,FALSE)</f>
        <v>Betty Johnson</v>
      </c>
      <c r="J3458" t="str">
        <f>VLOOKUP(D3458,Products!A:C,2,FALSE)</f>
        <v>Chair Laptop</v>
      </c>
      <c r="K3458" t="str">
        <f>VLOOKUP(D3458,Products!A:C,3,FALSE)</f>
        <v>Electronics</v>
      </c>
      <c r="L3458" t="str">
        <f>VLOOKUP(E3458,Stores!A:B,2,FALSE)</f>
        <v>MegaMart Brianahaven</v>
      </c>
      <c r="M3458">
        <f>VLOOKUP(D3458,Products!A:E,5,FALSE)</f>
        <v>1562.43</v>
      </c>
      <c r="N3458" s="5">
        <f t="shared" si="53"/>
        <v>6249.72</v>
      </c>
    </row>
    <row r="3459" spans="1:14" x14ac:dyDescent="0.3">
      <c r="A3459" t="s">
        <v>4315</v>
      </c>
      <c r="B3459" s="2">
        <v>45439</v>
      </c>
      <c r="C3459" t="s">
        <v>693</v>
      </c>
      <c r="D3459" t="s">
        <v>747</v>
      </c>
      <c r="E3459" t="s">
        <v>835</v>
      </c>
      <c r="F3459">
        <v>5</v>
      </c>
      <c r="G3459">
        <v>0.1</v>
      </c>
      <c r="H3459" t="s">
        <v>855</v>
      </c>
      <c r="I3459" t="str">
        <f>VLOOKUP(C3459,Customers!A:C,2,FALSE)&amp;" "&amp;VLOOKUP(C3459,Customers!A:C,3,FALSE)</f>
        <v>Matthew Dixon</v>
      </c>
      <c r="J3459" t="str">
        <f>VLOOKUP(D3459,Products!A:C,2,FALSE)</f>
        <v>World Watches</v>
      </c>
      <c r="K3459" t="str">
        <f>VLOOKUP(D3459,Products!A:C,3,FALSE)</f>
        <v>Fashion</v>
      </c>
      <c r="L3459" t="str">
        <f>VLOOKUP(E3459,Stores!A:B,2,FALSE)</f>
        <v>MegaMart Peckmouth</v>
      </c>
      <c r="M3459">
        <f>VLOOKUP(D3459,Products!A:E,5,FALSE)</f>
        <v>1134.8</v>
      </c>
      <c r="N3459" s="5">
        <f t="shared" ref="N3459:N3522" si="54">F3459*M3459*(1-G3459)</f>
        <v>5106.6000000000004</v>
      </c>
    </row>
    <row r="3460" spans="1:14" x14ac:dyDescent="0.3">
      <c r="A3460" t="s">
        <v>4316</v>
      </c>
      <c r="B3460" s="2">
        <v>45868</v>
      </c>
      <c r="C3460" t="s">
        <v>680</v>
      </c>
      <c r="D3460" t="s">
        <v>792</v>
      </c>
      <c r="E3460" t="s">
        <v>831</v>
      </c>
      <c r="F3460">
        <v>3</v>
      </c>
      <c r="G3460">
        <v>0.05</v>
      </c>
      <c r="H3460" t="s">
        <v>855</v>
      </c>
      <c r="I3460" t="str">
        <f>VLOOKUP(C3460,Customers!A:C,2,FALSE)&amp;" "&amp;VLOOKUP(C3460,Customers!A:C,3,FALSE)</f>
        <v>Donald Meza</v>
      </c>
      <c r="J3460" t="str">
        <f>VLOOKUP(D3460,Products!A:C,2,FALSE)</f>
        <v>Beat Accessories</v>
      </c>
      <c r="K3460" t="str">
        <f>VLOOKUP(D3460,Products!A:C,3,FALSE)</f>
        <v>Fashion</v>
      </c>
      <c r="L3460" t="str">
        <f>VLOOKUP(E3460,Stores!A:B,2,FALSE)</f>
        <v>MegaMart Jimenezborough</v>
      </c>
      <c r="M3460">
        <f>VLOOKUP(D3460,Products!A:E,5,FALSE)</f>
        <v>1798.97</v>
      </c>
      <c r="N3460" s="5">
        <f t="shared" si="54"/>
        <v>5127.0644999999995</v>
      </c>
    </row>
    <row r="3461" spans="1:14" x14ac:dyDescent="0.3">
      <c r="A3461" t="s">
        <v>4317</v>
      </c>
      <c r="B3461" s="2">
        <v>45277</v>
      </c>
      <c r="C3461" t="s">
        <v>386</v>
      </c>
      <c r="D3461" t="s">
        <v>739</v>
      </c>
      <c r="E3461" t="s">
        <v>846</v>
      </c>
      <c r="F3461">
        <v>2</v>
      </c>
      <c r="G3461">
        <v>0.05</v>
      </c>
      <c r="H3461" t="s">
        <v>855</v>
      </c>
      <c r="I3461" t="str">
        <f>VLOOKUP(C3461,Customers!A:C,2,FALSE)&amp;" "&amp;VLOOKUP(C3461,Customers!A:C,3,FALSE)</f>
        <v>David Burns</v>
      </c>
      <c r="J3461" t="str">
        <f>VLOOKUP(D3461,Products!A:C,2,FALSE)</f>
        <v>Step Smartphone</v>
      </c>
      <c r="K3461" t="str">
        <f>VLOOKUP(D3461,Products!A:C,3,FALSE)</f>
        <v>Electronics</v>
      </c>
      <c r="L3461" t="str">
        <f>VLOOKUP(E3461,Stores!A:B,2,FALSE)</f>
        <v>MegaMart Johnmouth</v>
      </c>
      <c r="M3461">
        <f>VLOOKUP(D3461,Products!A:E,5,FALSE)</f>
        <v>1194.1199999999999</v>
      </c>
      <c r="N3461" s="5">
        <f t="shared" si="54"/>
        <v>2268.8279999999995</v>
      </c>
    </row>
    <row r="3462" spans="1:14" x14ac:dyDescent="0.3">
      <c r="A3462" t="s">
        <v>4318</v>
      </c>
      <c r="B3462" s="2">
        <v>45290</v>
      </c>
      <c r="C3462" t="s">
        <v>480</v>
      </c>
      <c r="D3462" t="s">
        <v>784</v>
      </c>
      <c r="E3462" t="s">
        <v>839</v>
      </c>
      <c r="F3462">
        <v>1</v>
      </c>
      <c r="G3462">
        <v>0</v>
      </c>
      <c r="H3462" t="s">
        <v>861</v>
      </c>
      <c r="I3462" t="str">
        <f>VLOOKUP(C3462,Customers!A:C,2,FALSE)&amp;" "&amp;VLOOKUP(C3462,Customers!A:C,3,FALSE)</f>
        <v>Denise Jackson</v>
      </c>
      <c r="J3462" t="str">
        <f>VLOOKUP(D3462,Products!A:C,2,FALSE)</f>
        <v>Road Clothing</v>
      </c>
      <c r="K3462" t="str">
        <f>VLOOKUP(D3462,Products!A:C,3,FALSE)</f>
        <v>Fashion</v>
      </c>
      <c r="L3462" t="str">
        <f>VLOOKUP(E3462,Stores!A:B,2,FALSE)</f>
        <v>MegaMart New Michele</v>
      </c>
      <c r="M3462">
        <f>VLOOKUP(D3462,Products!A:E,5,FALSE)</f>
        <v>1485.05</v>
      </c>
      <c r="N3462" s="5">
        <f t="shared" si="54"/>
        <v>1485.05</v>
      </c>
    </row>
    <row r="3463" spans="1:14" x14ac:dyDescent="0.3">
      <c r="A3463" t="s">
        <v>4319</v>
      </c>
      <c r="B3463" s="2">
        <v>45870</v>
      </c>
      <c r="C3463" t="s">
        <v>454</v>
      </c>
      <c r="D3463" t="s">
        <v>824</v>
      </c>
      <c r="E3463" t="s">
        <v>835</v>
      </c>
      <c r="F3463">
        <v>1</v>
      </c>
      <c r="G3463">
        <v>0</v>
      </c>
      <c r="H3463" t="s">
        <v>858</v>
      </c>
      <c r="I3463" t="str">
        <f>VLOOKUP(C3463,Customers!A:C,2,FALSE)&amp;" "&amp;VLOOKUP(C3463,Customers!A:C,3,FALSE)</f>
        <v>Peter Edwards</v>
      </c>
      <c r="J3463" t="str">
        <f>VLOOKUP(D3463,Products!A:C,2,FALSE)</f>
        <v>Possible Watches</v>
      </c>
      <c r="K3463" t="str">
        <f>VLOOKUP(D3463,Products!A:C,3,FALSE)</f>
        <v>Fashion</v>
      </c>
      <c r="L3463" t="str">
        <f>VLOOKUP(E3463,Stores!A:B,2,FALSE)</f>
        <v>MegaMart Peckmouth</v>
      </c>
      <c r="M3463">
        <f>VLOOKUP(D3463,Products!A:E,5,FALSE)</f>
        <v>388.26</v>
      </c>
      <c r="N3463" s="5">
        <f t="shared" si="54"/>
        <v>388.26</v>
      </c>
    </row>
    <row r="3464" spans="1:14" x14ac:dyDescent="0.3">
      <c r="A3464" t="s">
        <v>4320</v>
      </c>
      <c r="B3464" s="2">
        <v>45768</v>
      </c>
      <c r="C3464" t="s">
        <v>554</v>
      </c>
      <c r="D3464" t="s">
        <v>772</v>
      </c>
      <c r="E3464" t="s">
        <v>842</v>
      </c>
      <c r="F3464">
        <v>4</v>
      </c>
      <c r="G3464">
        <v>0</v>
      </c>
      <c r="H3464" t="s">
        <v>865</v>
      </c>
      <c r="I3464" t="str">
        <f>VLOOKUP(C3464,Customers!A:C,2,FALSE)&amp;" "&amp;VLOOKUP(C3464,Customers!A:C,3,FALSE)</f>
        <v>Lisa Martinez</v>
      </c>
      <c r="J3464" t="str">
        <f>VLOOKUP(D3464,Products!A:C,2,FALSE)</f>
        <v>And Footwear</v>
      </c>
      <c r="K3464" t="str">
        <f>VLOOKUP(D3464,Products!A:C,3,FALSE)</f>
        <v>Fashion</v>
      </c>
      <c r="L3464" t="str">
        <f>VLOOKUP(E3464,Stores!A:B,2,FALSE)</f>
        <v>MegaMart Brianahaven</v>
      </c>
      <c r="M3464">
        <f>VLOOKUP(D3464,Products!A:E,5,FALSE)</f>
        <v>1878.47</v>
      </c>
      <c r="N3464" s="5">
        <f t="shared" si="54"/>
        <v>7513.88</v>
      </c>
    </row>
    <row r="3465" spans="1:14" x14ac:dyDescent="0.3">
      <c r="A3465" t="s">
        <v>4321</v>
      </c>
      <c r="B3465" s="2">
        <v>45594</v>
      </c>
      <c r="C3465" t="s">
        <v>119</v>
      </c>
      <c r="D3465" t="s">
        <v>757</v>
      </c>
      <c r="E3465" t="s">
        <v>842</v>
      </c>
      <c r="F3465">
        <v>5</v>
      </c>
      <c r="G3465">
        <v>0.05</v>
      </c>
      <c r="H3465" t="s">
        <v>865</v>
      </c>
      <c r="I3465" t="str">
        <f>VLOOKUP(C3465,Customers!A:C,2,FALSE)&amp;" "&amp;VLOOKUP(C3465,Customers!A:C,3,FALSE)</f>
        <v>Lacey Hall</v>
      </c>
      <c r="J3465" t="str">
        <f>VLOOKUP(D3465,Products!A:C,2,FALSE)</f>
        <v>Find Headphones</v>
      </c>
      <c r="K3465" t="str">
        <f>VLOOKUP(D3465,Products!A:C,3,FALSE)</f>
        <v>Electronics</v>
      </c>
      <c r="L3465" t="str">
        <f>VLOOKUP(E3465,Stores!A:B,2,FALSE)</f>
        <v>MegaMart Brianahaven</v>
      </c>
      <c r="M3465">
        <f>VLOOKUP(D3465,Products!A:E,5,FALSE)</f>
        <v>1246.1099999999999</v>
      </c>
      <c r="N3465" s="5">
        <f t="shared" si="54"/>
        <v>5919.0224999999991</v>
      </c>
    </row>
    <row r="3466" spans="1:14" x14ac:dyDescent="0.3">
      <c r="A3466" t="s">
        <v>4322</v>
      </c>
      <c r="B3466" s="2">
        <v>45341</v>
      </c>
      <c r="C3466" t="s">
        <v>85</v>
      </c>
      <c r="D3466" t="s">
        <v>802</v>
      </c>
      <c r="E3466" t="s">
        <v>835</v>
      </c>
      <c r="F3466">
        <v>5</v>
      </c>
      <c r="G3466">
        <v>0.1</v>
      </c>
      <c r="H3466" t="s">
        <v>865</v>
      </c>
      <c r="I3466" t="str">
        <f>VLOOKUP(C3466,Customers!A:C,2,FALSE)&amp;" "&amp;VLOOKUP(C3466,Customers!A:C,3,FALSE)</f>
        <v>Debbie Martin</v>
      </c>
      <c r="J3466" t="str">
        <f>VLOOKUP(D3466,Products!A:C,2,FALSE)</f>
        <v>Stage Footwear</v>
      </c>
      <c r="K3466" t="str">
        <f>VLOOKUP(D3466,Products!A:C,3,FALSE)</f>
        <v>Fashion</v>
      </c>
      <c r="L3466" t="str">
        <f>VLOOKUP(E3466,Stores!A:B,2,FALSE)</f>
        <v>MegaMart Peckmouth</v>
      </c>
      <c r="M3466">
        <f>VLOOKUP(D3466,Products!A:E,5,FALSE)</f>
        <v>366.93</v>
      </c>
      <c r="N3466" s="5">
        <f t="shared" si="54"/>
        <v>1651.1850000000002</v>
      </c>
    </row>
    <row r="3467" spans="1:14" x14ac:dyDescent="0.3">
      <c r="A3467" t="s">
        <v>4323</v>
      </c>
      <c r="B3467" s="2">
        <v>45883</v>
      </c>
      <c r="C3467" t="s">
        <v>55</v>
      </c>
      <c r="D3467" t="s">
        <v>753</v>
      </c>
      <c r="E3467" t="s">
        <v>831</v>
      </c>
      <c r="F3467">
        <v>4</v>
      </c>
      <c r="G3467">
        <v>0</v>
      </c>
      <c r="H3467" t="s">
        <v>855</v>
      </c>
      <c r="I3467" t="str">
        <f>VLOOKUP(C3467,Customers!A:C,2,FALSE)&amp;" "&amp;VLOOKUP(C3467,Customers!A:C,3,FALSE)</f>
        <v>Robert Anderson</v>
      </c>
      <c r="J3467" t="str">
        <f>VLOOKUP(D3467,Products!A:C,2,FALSE)</f>
        <v>Whether Bags</v>
      </c>
      <c r="K3467" t="str">
        <f>VLOOKUP(D3467,Products!A:C,3,FALSE)</f>
        <v>Fashion</v>
      </c>
      <c r="L3467" t="str">
        <f>VLOOKUP(E3467,Stores!A:B,2,FALSE)</f>
        <v>MegaMart Jimenezborough</v>
      </c>
      <c r="M3467">
        <f>VLOOKUP(D3467,Products!A:E,5,FALSE)</f>
        <v>270.45</v>
      </c>
      <c r="N3467" s="5">
        <f t="shared" si="54"/>
        <v>1081.8</v>
      </c>
    </row>
    <row r="3468" spans="1:14" x14ac:dyDescent="0.3">
      <c r="A3468" t="s">
        <v>4324</v>
      </c>
      <c r="B3468" s="2">
        <v>45247</v>
      </c>
      <c r="C3468" t="s">
        <v>85</v>
      </c>
      <c r="D3468" t="s">
        <v>757</v>
      </c>
      <c r="E3468" t="s">
        <v>839</v>
      </c>
      <c r="F3468">
        <v>5</v>
      </c>
      <c r="G3468">
        <v>0</v>
      </c>
      <c r="H3468" t="s">
        <v>855</v>
      </c>
      <c r="I3468" t="str">
        <f>VLOOKUP(C3468,Customers!A:C,2,FALSE)&amp;" "&amp;VLOOKUP(C3468,Customers!A:C,3,FALSE)</f>
        <v>Debbie Martin</v>
      </c>
      <c r="J3468" t="str">
        <f>VLOOKUP(D3468,Products!A:C,2,FALSE)</f>
        <v>Find Headphones</v>
      </c>
      <c r="K3468" t="str">
        <f>VLOOKUP(D3468,Products!A:C,3,FALSE)</f>
        <v>Electronics</v>
      </c>
      <c r="L3468" t="str">
        <f>VLOOKUP(E3468,Stores!A:B,2,FALSE)</f>
        <v>MegaMart New Michele</v>
      </c>
      <c r="M3468">
        <f>VLOOKUP(D3468,Products!A:E,5,FALSE)</f>
        <v>1246.1099999999999</v>
      </c>
      <c r="N3468" s="5">
        <f t="shared" si="54"/>
        <v>6230.5499999999993</v>
      </c>
    </row>
    <row r="3469" spans="1:14" x14ac:dyDescent="0.3">
      <c r="A3469" t="s">
        <v>4325</v>
      </c>
      <c r="B3469" s="2">
        <v>45253</v>
      </c>
      <c r="C3469" t="s">
        <v>59</v>
      </c>
      <c r="D3469" t="s">
        <v>728</v>
      </c>
      <c r="E3469" t="s">
        <v>842</v>
      </c>
      <c r="F3469">
        <v>4</v>
      </c>
      <c r="G3469">
        <v>0.05</v>
      </c>
      <c r="H3469" t="s">
        <v>861</v>
      </c>
      <c r="I3469" t="str">
        <f>VLOOKUP(C3469,Customers!A:C,2,FALSE)&amp;" "&amp;VLOOKUP(C3469,Customers!A:C,3,FALSE)</f>
        <v>Brittany Green</v>
      </c>
      <c r="J3469" t="str">
        <f>VLOOKUP(D3469,Products!A:C,2,FALSE)</f>
        <v>Company Fruits</v>
      </c>
      <c r="K3469" t="str">
        <f>VLOOKUP(D3469,Products!A:C,3,FALSE)</f>
        <v>Groceries</v>
      </c>
      <c r="L3469" t="str">
        <f>VLOOKUP(E3469,Stores!A:B,2,FALSE)</f>
        <v>MegaMart Brianahaven</v>
      </c>
      <c r="M3469">
        <f>VLOOKUP(D3469,Products!A:E,5,FALSE)</f>
        <v>318.05</v>
      </c>
      <c r="N3469" s="5">
        <f t="shared" si="54"/>
        <v>1208.5899999999999</v>
      </c>
    </row>
    <row r="3470" spans="1:14" x14ac:dyDescent="0.3">
      <c r="A3470" t="s">
        <v>4326</v>
      </c>
      <c r="B3470" s="2">
        <v>45308</v>
      </c>
      <c r="C3470" t="s">
        <v>542</v>
      </c>
      <c r="D3470" t="s">
        <v>794</v>
      </c>
      <c r="E3470" t="s">
        <v>842</v>
      </c>
      <c r="F3470">
        <v>4</v>
      </c>
      <c r="G3470">
        <v>0.05</v>
      </c>
      <c r="H3470" t="s">
        <v>865</v>
      </c>
      <c r="I3470" t="str">
        <f>VLOOKUP(C3470,Customers!A:C,2,FALSE)&amp;" "&amp;VLOOKUP(C3470,Customers!A:C,3,FALSE)</f>
        <v>Francis Hernandez</v>
      </c>
      <c r="J3470" t="str">
        <f>VLOOKUP(D3470,Products!A:C,2,FALSE)</f>
        <v>Everything Laptop</v>
      </c>
      <c r="K3470" t="str">
        <f>VLOOKUP(D3470,Products!A:C,3,FALSE)</f>
        <v>Electronics</v>
      </c>
      <c r="L3470" t="str">
        <f>VLOOKUP(E3470,Stores!A:B,2,FALSE)</f>
        <v>MegaMart Brianahaven</v>
      </c>
      <c r="M3470">
        <f>VLOOKUP(D3470,Products!A:E,5,FALSE)</f>
        <v>428.05</v>
      </c>
      <c r="N3470" s="5">
        <f t="shared" si="54"/>
        <v>1626.59</v>
      </c>
    </row>
    <row r="3471" spans="1:14" x14ac:dyDescent="0.3">
      <c r="A3471" t="s">
        <v>4327</v>
      </c>
      <c r="B3471" s="2">
        <v>45388</v>
      </c>
      <c r="C3471" t="s">
        <v>661</v>
      </c>
      <c r="D3471" t="s">
        <v>814</v>
      </c>
      <c r="E3471" t="s">
        <v>839</v>
      </c>
      <c r="F3471">
        <v>2</v>
      </c>
      <c r="G3471">
        <v>0.1</v>
      </c>
      <c r="H3471" t="s">
        <v>855</v>
      </c>
      <c r="I3471" t="str">
        <f>VLOOKUP(C3471,Customers!A:C,2,FALSE)&amp;" "&amp;VLOOKUP(C3471,Customers!A:C,3,FALSE)</f>
        <v>Cynthia Cherry</v>
      </c>
      <c r="J3471" t="str">
        <f>VLOOKUP(D3471,Products!A:C,2,FALSE)</f>
        <v>Least Accessories</v>
      </c>
      <c r="K3471" t="str">
        <f>VLOOKUP(D3471,Products!A:C,3,FALSE)</f>
        <v>Fashion</v>
      </c>
      <c r="L3471" t="str">
        <f>VLOOKUP(E3471,Stores!A:B,2,FALSE)</f>
        <v>MegaMart New Michele</v>
      </c>
      <c r="M3471">
        <f>VLOOKUP(D3471,Products!A:E,5,FALSE)</f>
        <v>1286.55</v>
      </c>
      <c r="N3471" s="5">
        <f t="shared" si="54"/>
        <v>2315.79</v>
      </c>
    </row>
    <row r="3472" spans="1:14" x14ac:dyDescent="0.3">
      <c r="A3472" t="s">
        <v>4328</v>
      </c>
      <c r="B3472" s="2">
        <v>45504</v>
      </c>
      <c r="C3472" t="s">
        <v>24</v>
      </c>
      <c r="D3472" t="s">
        <v>794</v>
      </c>
      <c r="E3472" t="s">
        <v>842</v>
      </c>
      <c r="F3472">
        <v>4</v>
      </c>
      <c r="G3472">
        <v>0.15</v>
      </c>
      <c r="H3472" t="s">
        <v>855</v>
      </c>
      <c r="I3472" t="str">
        <f>VLOOKUP(C3472,Customers!A:C,2,FALSE)&amp;" "&amp;VLOOKUP(C3472,Customers!A:C,3,FALSE)</f>
        <v>Jamie Salinas</v>
      </c>
      <c r="J3472" t="str">
        <f>VLOOKUP(D3472,Products!A:C,2,FALSE)</f>
        <v>Everything Laptop</v>
      </c>
      <c r="K3472" t="str">
        <f>VLOOKUP(D3472,Products!A:C,3,FALSE)</f>
        <v>Electronics</v>
      </c>
      <c r="L3472" t="str">
        <f>VLOOKUP(E3472,Stores!A:B,2,FALSE)</f>
        <v>MegaMart Brianahaven</v>
      </c>
      <c r="M3472">
        <f>VLOOKUP(D3472,Products!A:E,5,FALSE)</f>
        <v>428.05</v>
      </c>
      <c r="N3472" s="5">
        <f t="shared" si="54"/>
        <v>1455.37</v>
      </c>
    </row>
    <row r="3473" spans="1:14" x14ac:dyDescent="0.3">
      <c r="A3473" t="s">
        <v>4329</v>
      </c>
      <c r="B3473" s="2">
        <v>45909</v>
      </c>
      <c r="C3473" t="s">
        <v>379</v>
      </c>
      <c r="D3473" t="s">
        <v>772</v>
      </c>
      <c r="E3473" t="s">
        <v>835</v>
      </c>
      <c r="F3473">
        <v>1</v>
      </c>
      <c r="G3473">
        <v>0.15</v>
      </c>
      <c r="H3473" t="s">
        <v>861</v>
      </c>
      <c r="I3473" t="str">
        <f>VLOOKUP(C3473,Customers!A:C,2,FALSE)&amp;" "&amp;VLOOKUP(C3473,Customers!A:C,3,FALSE)</f>
        <v>William Pope</v>
      </c>
      <c r="J3473" t="str">
        <f>VLOOKUP(D3473,Products!A:C,2,FALSE)</f>
        <v>And Footwear</v>
      </c>
      <c r="K3473" t="str">
        <f>VLOOKUP(D3473,Products!A:C,3,FALSE)</f>
        <v>Fashion</v>
      </c>
      <c r="L3473" t="str">
        <f>VLOOKUP(E3473,Stores!A:B,2,FALSE)</f>
        <v>MegaMart Peckmouth</v>
      </c>
      <c r="M3473">
        <f>VLOOKUP(D3473,Products!A:E,5,FALSE)</f>
        <v>1878.47</v>
      </c>
      <c r="N3473" s="5">
        <f t="shared" si="54"/>
        <v>1596.6994999999999</v>
      </c>
    </row>
    <row r="3474" spans="1:14" x14ac:dyDescent="0.3">
      <c r="A3474" t="s">
        <v>4330</v>
      </c>
      <c r="B3474" s="2">
        <v>45364</v>
      </c>
      <c r="C3474" t="s">
        <v>657</v>
      </c>
      <c r="D3474" t="s">
        <v>747</v>
      </c>
      <c r="E3474" t="s">
        <v>842</v>
      </c>
      <c r="F3474">
        <v>4</v>
      </c>
      <c r="G3474">
        <v>0.05</v>
      </c>
      <c r="H3474" t="s">
        <v>861</v>
      </c>
      <c r="I3474" t="str">
        <f>VLOOKUP(C3474,Customers!A:C,2,FALSE)&amp;" "&amp;VLOOKUP(C3474,Customers!A:C,3,FALSE)</f>
        <v>Vicki Guzman</v>
      </c>
      <c r="J3474" t="str">
        <f>VLOOKUP(D3474,Products!A:C,2,FALSE)</f>
        <v>World Watches</v>
      </c>
      <c r="K3474" t="str">
        <f>VLOOKUP(D3474,Products!A:C,3,FALSE)</f>
        <v>Fashion</v>
      </c>
      <c r="L3474" t="str">
        <f>VLOOKUP(E3474,Stores!A:B,2,FALSE)</f>
        <v>MegaMart Brianahaven</v>
      </c>
      <c r="M3474">
        <f>VLOOKUP(D3474,Products!A:E,5,FALSE)</f>
        <v>1134.8</v>
      </c>
      <c r="N3474" s="5">
        <f t="shared" si="54"/>
        <v>4312.24</v>
      </c>
    </row>
    <row r="3475" spans="1:14" x14ac:dyDescent="0.3">
      <c r="A3475" t="s">
        <v>4331</v>
      </c>
      <c r="B3475" s="2">
        <v>45485</v>
      </c>
      <c r="C3475" t="s">
        <v>335</v>
      </c>
      <c r="D3475" t="s">
        <v>798</v>
      </c>
      <c r="E3475" t="s">
        <v>831</v>
      </c>
      <c r="F3475">
        <v>5</v>
      </c>
      <c r="G3475">
        <v>0</v>
      </c>
      <c r="H3475" t="s">
        <v>858</v>
      </c>
      <c r="I3475" t="str">
        <f>VLOOKUP(C3475,Customers!A:C,2,FALSE)&amp;" "&amp;VLOOKUP(C3475,Customers!A:C,3,FALSE)</f>
        <v>William Warner</v>
      </c>
      <c r="J3475" t="str">
        <f>VLOOKUP(D3475,Products!A:C,2,FALSE)</f>
        <v>New Watches</v>
      </c>
      <c r="K3475" t="str">
        <f>VLOOKUP(D3475,Products!A:C,3,FALSE)</f>
        <v>Fashion</v>
      </c>
      <c r="L3475" t="str">
        <f>VLOOKUP(E3475,Stores!A:B,2,FALSE)</f>
        <v>MegaMart Jimenezborough</v>
      </c>
      <c r="M3475">
        <f>VLOOKUP(D3475,Products!A:E,5,FALSE)</f>
        <v>1501.46</v>
      </c>
      <c r="N3475" s="5">
        <f t="shared" si="54"/>
        <v>7507.3</v>
      </c>
    </row>
    <row r="3476" spans="1:14" x14ac:dyDescent="0.3">
      <c r="A3476" t="s">
        <v>4332</v>
      </c>
      <c r="B3476" s="2">
        <v>45361</v>
      </c>
      <c r="C3476" t="s">
        <v>657</v>
      </c>
      <c r="D3476" t="s">
        <v>796</v>
      </c>
      <c r="E3476" t="s">
        <v>842</v>
      </c>
      <c r="F3476">
        <v>4</v>
      </c>
      <c r="G3476">
        <v>0</v>
      </c>
      <c r="H3476" t="s">
        <v>861</v>
      </c>
      <c r="I3476" t="str">
        <f>VLOOKUP(C3476,Customers!A:C,2,FALSE)&amp;" "&amp;VLOOKUP(C3476,Customers!A:C,3,FALSE)</f>
        <v>Vicki Guzman</v>
      </c>
      <c r="J3476" t="str">
        <f>VLOOKUP(D3476,Products!A:C,2,FALSE)</f>
        <v>Chair Laptop</v>
      </c>
      <c r="K3476" t="str">
        <f>VLOOKUP(D3476,Products!A:C,3,FALSE)</f>
        <v>Electronics</v>
      </c>
      <c r="L3476" t="str">
        <f>VLOOKUP(E3476,Stores!A:B,2,FALSE)</f>
        <v>MegaMart Brianahaven</v>
      </c>
      <c r="M3476">
        <f>VLOOKUP(D3476,Products!A:E,5,FALSE)</f>
        <v>1562.43</v>
      </c>
      <c r="N3476" s="5">
        <f t="shared" si="54"/>
        <v>6249.72</v>
      </c>
    </row>
    <row r="3477" spans="1:14" x14ac:dyDescent="0.3">
      <c r="A3477" t="s">
        <v>4333</v>
      </c>
      <c r="B3477" s="2">
        <v>45867</v>
      </c>
      <c r="C3477" t="s">
        <v>527</v>
      </c>
      <c r="D3477" t="s">
        <v>732</v>
      </c>
      <c r="E3477" t="s">
        <v>846</v>
      </c>
      <c r="F3477">
        <v>1</v>
      </c>
      <c r="G3477">
        <v>0.1</v>
      </c>
      <c r="H3477" t="s">
        <v>865</v>
      </c>
      <c r="I3477" t="str">
        <f>VLOOKUP(C3477,Customers!A:C,2,FALSE)&amp;" "&amp;VLOOKUP(C3477,Customers!A:C,3,FALSE)</f>
        <v>Paige Osborne</v>
      </c>
      <c r="J3477" t="str">
        <f>VLOOKUP(D3477,Products!A:C,2,FALSE)</f>
        <v>Understand Camera</v>
      </c>
      <c r="K3477" t="str">
        <f>VLOOKUP(D3477,Products!A:C,3,FALSE)</f>
        <v>Electronics</v>
      </c>
      <c r="L3477" t="str">
        <f>VLOOKUP(E3477,Stores!A:B,2,FALSE)</f>
        <v>MegaMart Johnmouth</v>
      </c>
      <c r="M3477">
        <f>VLOOKUP(D3477,Products!A:E,5,FALSE)</f>
        <v>1474.12</v>
      </c>
      <c r="N3477" s="5">
        <f t="shared" si="54"/>
        <v>1326.7079999999999</v>
      </c>
    </row>
    <row r="3478" spans="1:14" x14ac:dyDescent="0.3">
      <c r="A3478" t="s">
        <v>4334</v>
      </c>
      <c r="B3478" s="2">
        <v>45821</v>
      </c>
      <c r="C3478" t="s">
        <v>382</v>
      </c>
      <c r="D3478" t="s">
        <v>822</v>
      </c>
      <c r="E3478" t="s">
        <v>846</v>
      </c>
      <c r="F3478">
        <v>5</v>
      </c>
      <c r="G3478">
        <v>0.1</v>
      </c>
      <c r="H3478" t="s">
        <v>865</v>
      </c>
      <c r="I3478" t="str">
        <f>VLOOKUP(C3478,Customers!A:C,2,FALSE)&amp;" "&amp;VLOOKUP(C3478,Customers!A:C,3,FALSE)</f>
        <v>Carolyn Perez</v>
      </c>
      <c r="J3478" t="str">
        <f>VLOOKUP(D3478,Products!A:C,2,FALSE)</f>
        <v>Nor Bags</v>
      </c>
      <c r="K3478" t="str">
        <f>VLOOKUP(D3478,Products!A:C,3,FALSE)</f>
        <v>Fashion</v>
      </c>
      <c r="L3478" t="str">
        <f>VLOOKUP(E3478,Stores!A:B,2,FALSE)</f>
        <v>MegaMart Johnmouth</v>
      </c>
      <c r="M3478">
        <f>VLOOKUP(D3478,Products!A:E,5,FALSE)</f>
        <v>1216.3599999999999</v>
      </c>
      <c r="N3478" s="5">
        <f t="shared" si="54"/>
        <v>5473.62</v>
      </c>
    </row>
    <row r="3479" spans="1:14" x14ac:dyDescent="0.3">
      <c r="A3479" t="s">
        <v>4335</v>
      </c>
      <c r="B3479" s="2">
        <v>45447</v>
      </c>
      <c r="C3479" t="s">
        <v>195</v>
      </c>
      <c r="D3479" t="s">
        <v>826</v>
      </c>
      <c r="E3479" t="s">
        <v>835</v>
      </c>
      <c r="F3479">
        <v>2</v>
      </c>
      <c r="G3479">
        <v>0.15</v>
      </c>
      <c r="H3479" t="s">
        <v>861</v>
      </c>
      <c r="I3479" t="str">
        <f>VLOOKUP(C3479,Customers!A:C,2,FALSE)&amp;" "&amp;VLOOKUP(C3479,Customers!A:C,3,FALSE)</f>
        <v>Kelly Mcmillan</v>
      </c>
      <c r="J3479" t="str">
        <f>VLOOKUP(D3479,Products!A:C,2,FALSE)</f>
        <v>Maybe Footwear</v>
      </c>
      <c r="K3479" t="str">
        <f>VLOOKUP(D3479,Products!A:C,3,FALSE)</f>
        <v>Fashion</v>
      </c>
      <c r="L3479" t="str">
        <f>VLOOKUP(E3479,Stores!A:B,2,FALSE)</f>
        <v>MegaMart Peckmouth</v>
      </c>
      <c r="M3479">
        <f>VLOOKUP(D3479,Products!A:E,5,FALSE)</f>
        <v>1044.6400000000001</v>
      </c>
      <c r="N3479" s="5">
        <f t="shared" si="54"/>
        <v>1775.8880000000001</v>
      </c>
    </row>
    <row r="3480" spans="1:14" x14ac:dyDescent="0.3">
      <c r="A3480" t="s">
        <v>4336</v>
      </c>
      <c r="B3480" s="2">
        <v>45215</v>
      </c>
      <c r="C3480" t="s">
        <v>93</v>
      </c>
      <c r="D3480" t="s">
        <v>784</v>
      </c>
      <c r="E3480" t="s">
        <v>835</v>
      </c>
      <c r="F3480">
        <v>3</v>
      </c>
      <c r="G3480">
        <v>0.1</v>
      </c>
      <c r="H3480" t="s">
        <v>861</v>
      </c>
      <c r="I3480" t="str">
        <f>VLOOKUP(C3480,Customers!A:C,2,FALSE)&amp;" "&amp;VLOOKUP(C3480,Customers!A:C,3,FALSE)</f>
        <v>Mark Martinez</v>
      </c>
      <c r="J3480" t="str">
        <f>VLOOKUP(D3480,Products!A:C,2,FALSE)</f>
        <v>Road Clothing</v>
      </c>
      <c r="K3480" t="str">
        <f>VLOOKUP(D3480,Products!A:C,3,FALSE)</f>
        <v>Fashion</v>
      </c>
      <c r="L3480" t="str">
        <f>VLOOKUP(E3480,Stores!A:B,2,FALSE)</f>
        <v>MegaMart Peckmouth</v>
      </c>
      <c r="M3480">
        <f>VLOOKUP(D3480,Products!A:E,5,FALSE)</f>
        <v>1485.05</v>
      </c>
      <c r="N3480" s="5">
        <f t="shared" si="54"/>
        <v>4009.6349999999998</v>
      </c>
    </row>
    <row r="3481" spans="1:14" x14ac:dyDescent="0.3">
      <c r="A3481" t="s">
        <v>4337</v>
      </c>
      <c r="B3481" s="2">
        <v>45666</v>
      </c>
      <c r="C3481" t="s">
        <v>202</v>
      </c>
      <c r="D3481" t="s">
        <v>790</v>
      </c>
      <c r="E3481" t="s">
        <v>839</v>
      </c>
      <c r="F3481">
        <v>4</v>
      </c>
      <c r="G3481">
        <v>0</v>
      </c>
      <c r="H3481" t="s">
        <v>858</v>
      </c>
      <c r="I3481" t="str">
        <f>VLOOKUP(C3481,Customers!A:C,2,FALSE)&amp;" "&amp;VLOOKUP(C3481,Customers!A:C,3,FALSE)</f>
        <v>Billy Hernandez</v>
      </c>
      <c r="J3481" t="str">
        <f>VLOOKUP(D3481,Products!A:C,2,FALSE)</f>
        <v>Difficult Vegetables</v>
      </c>
      <c r="K3481" t="str">
        <f>VLOOKUP(D3481,Products!A:C,3,FALSE)</f>
        <v>Groceries</v>
      </c>
      <c r="L3481" t="str">
        <f>VLOOKUP(E3481,Stores!A:B,2,FALSE)</f>
        <v>MegaMart New Michele</v>
      </c>
      <c r="M3481">
        <f>VLOOKUP(D3481,Products!A:E,5,FALSE)</f>
        <v>304.70999999999998</v>
      </c>
      <c r="N3481" s="5">
        <f t="shared" si="54"/>
        <v>1218.8399999999999</v>
      </c>
    </row>
    <row r="3482" spans="1:14" x14ac:dyDescent="0.3">
      <c r="A3482" t="s">
        <v>4338</v>
      </c>
      <c r="B3482" s="2">
        <v>45427</v>
      </c>
      <c r="C3482" t="s">
        <v>509</v>
      </c>
      <c r="D3482" t="s">
        <v>826</v>
      </c>
      <c r="E3482" t="s">
        <v>831</v>
      </c>
      <c r="F3482">
        <v>4</v>
      </c>
      <c r="G3482">
        <v>0</v>
      </c>
      <c r="H3482" t="s">
        <v>861</v>
      </c>
      <c r="I3482" t="str">
        <f>VLOOKUP(C3482,Customers!A:C,2,FALSE)&amp;" "&amp;VLOOKUP(C3482,Customers!A:C,3,FALSE)</f>
        <v>Stacy Williams</v>
      </c>
      <c r="J3482" t="str">
        <f>VLOOKUP(D3482,Products!A:C,2,FALSE)</f>
        <v>Maybe Footwear</v>
      </c>
      <c r="K3482" t="str">
        <f>VLOOKUP(D3482,Products!A:C,3,FALSE)</f>
        <v>Fashion</v>
      </c>
      <c r="L3482" t="str">
        <f>VLOOKUP(E3482,Stores!A:B,2,FALSE)</f>
        <v>MegaMart Jimenezborough</v>
      </c>
      <c r="M3482">
        <f>VLOOKUP(D3482,Products!A:E,5,FALSE)</f>
        <v>1044.6400000000001</v>
      </c>
      <c r="N3482" s="5">
        <f t="shared" si="54"/>
        <v>4178.5600000000004</v>
      </c>
    </row>
    <row r="3483" spans="1:14" x14ac:dyDescent="0.3">
      <c r="A3483" t="s">
        <v>4339</v>
      </c>
      <c r="B3483" s="2">
        <v>45183</v>
      </c>
      <c r="C3483" t="s">
        <v>167</v>
      </c>
      <c r="D3483" t="s">
        <v>722</v>
      </c>
      <c r="E3483" t="s">
        <v>831</v>
      </c>
      <c r="F3483">
        <v>1</v>
      </c>
      <c r="G3483">
        <v>0.05</v>
      </c>
      <c r="H3483" t="s">
        <v>865</v>
      </c>
      <c r="I3483" t="str">
        <f>VLOOKUP(C3483,Customers!A:C,2,FALSE)&amp;" "&amp;VLOOKUP(C3483,Customers!A:C,3,FALSE)</f>
        <v>Kenneth Allen</v>
      </c>
      <c r="J3483" t="str">
        <f>VLOOKUP(D3483,Products!A:C,2,FALSE)</f>
        <v>Four Accessories</v>
      </c>
      <c r="K3483" t="str">
        <f>VLOOKUP(D3483,Products!A:C,3,FALSE)</f>
        <v>Fashion</v>
      </c>
      <c r="L3483" t="str">
        <f>VLOOKUP(E3483,Stores!A:B,2,FALSE)</f>
        <v>MegaMart Jimenezborough</v>
      </c>
      <c r="M3483">
        <f>VLOOKUP(D3483,Products!A:E,5,FALSE)</f>
        <v>1853.77</v>
      </c>
      <c r="N3483" s="5">
        <f t="shared" si="54"/>
        <v>1761.0815</v>
      </c>
    </row>
    <row r="3484" spans="1:14" x14ac:dyDescent="0.3">
      <c r="A3484" t="s">
        <v>4340</v>
      </c>
      <c r="B3484" s="2">
        <v>45709</v>
      </c>
      <c r="C3484" t="s">
        <v>368</v>
      </c>
      <c r="D3484" t="s">
        <v>802</v>
      </c>
      <c r="E3484" t="s">
        <v>831</v>
      </c>
      <c r="F3484">
        <v>2</v>
      </c>
      <c r="G3484">
        <v>0.15</v>
      </c>
      <c r="H3484" t="s">
        <v>861</v>
      </c>
      <c r="I3484" t="str">
        <f>VLOOKUP(C3484,Customers!A:C,2,FALSE)&amp;" "&amp;VLOOKUP(C3484,Customers!A:C,3,FALSE)</f>
        <v>Lisa Vega</v>
      </c>
      <c r="J3484" t="str">
        <f>VLOOKUP(D3484,Products!A:C,2,FALSE)</f>
        <v>Stage Footwear</v>
      </c>
      <c r="K3484" t="str">
        <f>VLOOKUP(D3484,Products!A:C,3,FALSE)</f>
        <v>Fashion</v>
      </c>
      <c r="L3484" t="str">
        <f>VLOOKUP(E3484,Stores!A:B,2,FALSE)</f>
        <v>MegaMart Jimenezborough</v>
      </c>
      <c r="M3484">
        <f>VLOOKUP(D3484,Products!A:E,5,FALSE)</f>
        <v>366.93</v>
      </c>
      <c r="N3484" s="5">
        <f t="shared" si="54"/>
        <v>623.78099999999995</v>
      </c>
    </row>
    <row r="3485" spans="1:14" x14ac:dyDescent="0.3">
      <c r="A3485" t="s">
        <v>4341</v>
      </c>
      <c r="B3485" s="2">
        <v>45410</v>
      </c>
      <c r="C3485" t="s">
        <v>483</v>
      </c>
      <c r="D3485" t="s">
        <v>728</v>
      </c>
      <c r="E3485" t="s">
        <v>839</v>
      </c>
      <c r="F3485">
        <v>2</v>
      </c>
      <c r="G3485">
        <v>0.15</v>
      </c>
      <c r="H3485" t="s">
        <v>858</v>
      </c>
      <c r="I3485" t="str">
        <f>VLOOKUP(C3485,Customers!A:C,2,FALSE)&amp;" "&amp;VLOOKUP(C3485,Customers!A:C,3,FALSE)</f>
        <v>Jared Ochoa</v>
      </c>
      <c r="J3485" t="str">
        <f>VLOOKUP(D3485,Products!A:C,2,FALSE)</f>
        <v>Company Fruits</v>
      </c>
      <c r="K3485" t="str">
        <f>VLOOKUP(D3485,Products!A:C,3,FALSE)</f>
        <v>Groceries</v>
      </c>
      <c r="L3485" t="str">
        <f>VLOOKUP(E3485,Stores!A:B,2,FALSE)</f>
        <v>MegaMart New Michele</v>
      </c>
      <c r="M3485">
        <f>VLOOKUP(D3485,Products!A:E,5,FALSE)</f>
        <v>318.05</v>
      </c>
      <c r="N3485" s="5">
        <f t="shared" si="54"/>
        <v>540.68500000000006</v>
      </c>
    </row>
    <row r="3486" spans="1:14" x14ac:dyDescent="0.3">
      <c r="A3486" t="s">
        <v>4342</v>
      </c>
      <c r="B3486" s="2">
        <v>45236</v>
      </c>
      <c r="C3486" t="s">
        <v>509</v>
      </c>
      <c r="D3486" t="s">
        <v>755</v>
      </c>
      <c r="E3486" t="s">
        <v>846</v>
      </c>
      <c r="F3486">
        <v>3</v>
      </c>
      <c r="G3486">
        <v>0.15</v>
      </c>
      <c r="H3486" t="s">
        <v>865</v>
      </c>
      <c r="I3486" t="str">
        <f>VLOOKUP(C3486,Customers!A:C,2,FALSE)&amp;" "&amp;VLOOKUP(C3486,Customers!A:C,3,FALSE)</f>
        <v>Stacy Williams</v>
      </c>
      <c r="J3486" t="str">
        <f>VLOOKUP(D3486,Products!A:C,2,FALSE)</f>
        <v>House Accessories</v>
      </c>
      <c r="K3486" t="str">
        <f>VLOOKUP(D3486,Products!A:C,3,FALSE)</f>
        <v>Fashion</v>
      </c>
      <c r="L3486" t="str">
        <f>VLOOKUP(E3486,Stores!A:B,2,FALSE)</f>
        <v>MegaMart Johnmouth</v>
      </c>
      <c r="M3486">
        <f>VLOOKUP(D3486,Products!A:E,5,FALSE)</f>
        <v>1858.75</v>
      </c>
      <c r="N3486" s="5">
        <f t="shared" si="54"/>
        <v>4739.8125</v>
      </c>
    </row>
    <row r="3487" spans="1:14" x14ac:dyDescent="0.3">
      <c r="A3487" t="s">
        <v>4343</v>
      </c>
      <c r="B3487" s="2">
        <v>45271</v>
      </c>
      <c r="C3487" t="s">
        <v>191</v>
      </c>
      <c r="D3487" t="s">
        <v>792</v>
      </c>
      <c r="E3487" t="s">
        <v>835</v>
      </c>
      <c r="F3487">
        <v>4</v>
      </c>
      <c r="G3487">
        <v>0</v>
      </c>
      <c r="H3487" t="s">
        <v>855</v>
      </c>
      <c r="I3487" t="str">
        <f>VLOOKUP(C3487,Customers!A:C,2,FALSE)&amp;" "&amp;VLOOKUP(C3487,Customers!A:C,3,FALSE)</f>
        <v>Antonio Hamilton</v>
      </c>
      <c r="J3487" t="str">
        <f>VLOOKUP(D3487,Products!A:C,2,FALSE)</f>
        <v>Beat Accessories</v>
      </c>
      <c r="K3487" t="str">
        <f>VLOOKUP(D3487,Products!A:C,3,FALSE)</f>
        <v>Fashion</v>
      </c>
      <c r="L3487" t="str">
        <f>VLOOKUP(E3487,Stores!A:B,2,FALSE)</f>
        <v>MegaMart Peckmouth</v>
      </c>
      <c r="M3487">
        <f>VLOOKUP(D3487,Products!A:E,5,FALSE)</f>
        <v>1798.97</v>
      </c>
      <c r="N3487" s="5">
        <f t="shared" si="54"/>
        <v>7195.88</v>
      </c>
    </row>
    <row r="3488" spans="1:14" x14ac:dyDescent="0.3">
      <c r="A3488" t="s">
        <v>4344</v>
      </c>
      <c r="B3488" s="2">
        <v>45380</v>
      </c>
      <c r="C3488" t="s">
        <v>298</v>
      </c>
      <c r="D3488" t="s">
        <v>790</v>
      </c>
      <c r="E3488" t="s">
        <v>839</v>
      </c>
      <c r="F3488">
        <v>5</v>
      </c>
      <c r="G3488">
        <v>0</v>
      </c>
      <c r="H3488" t="s">
        <v>861</v>
      </c>
      <c r="I3488" t="str">
        <f>VLOOKUP(C3488,Customers!A:C,2,FALSE)&amp;" "&amp;VLOOKUP(C3488,Customers!A:C,3,FALSE)</f>
        <v>Donald Marsh</v>
      </c>
      <c r="J3488" t="str">
        <f>VLOOKUP(D3488,Products!A:C,2,FALSE)</f>
        <v>Difficult Vegetables</v>
      </c>
      <c r="K3488" t="str">
        <f>VLOOKUP(D3488,Products!A:C,3,FALSE)</f>
        <v>Groceries</v>
      </c>
      <c r="L3488" t="str">
        <f>VLOOKUP(E3488,Stores!A:B,2,FALSE)</f>
        <v>MegaMart New Michele</v>
      </c>
      <c r="M3488">
        <f>VLOOKUP(D3488,Products!A:E,5,FALSE)</f>
        <v>304.70999999999998</v>
      </c>
      <c r="N3488" s="5">
        <f t="shared" si="54"/>
        <v>1523.55</v>
      </c>
    </row>
    <row r="3489" spans="1:14" x14ac:dyDescent="0.3">
      <c r="A3489" t="s">
        <v>4345</v>
      </c>
      <c r="B3489" s="2">
        <v>45437</v>
      </c>
      <c r="C3489" t="s">
        <v>539</v>
      </c>
      <c r="D3489" t="s">
        <v>736</v>
      </c>
      <c r="E3489" t="s">
        <v>839</v>
      </c>
      <c r="F3489">
        <v>1</v>
      </c>
      <c r="G3489">
        <v>0.05</v>
      </c>
      <c r="H3489" t="s">
        <v>858</v>
      </c>
      <c r="I3489" t="str">
        <f>VLOOKUP(C3489,Customers!A:C,2,FALSE)&amp;" "&amp;VLOOKUP(C3489,Customers!A:C,3,FALSE)</f>
        <v>Melissa Torres</v>
      </c>
      <c r="J3489" t="str">
        <f>VLOOKUP(D3489,Products!A:C,2,FALSE)</f>
        <v>Us Snacks</v>
      </c>
      <c r="K3489" t="str">
        <f>VLOOKUP(D3489,Products!A:C,3,FALSE)</f>
        <v>Groceries</v>
      </c>
      <c r="L3489" t="str">
        <f>VLOOKUP(E3489,Stores!A:B,2,FALSE)</f>
        <v>MegaMart New Michele</v>
      </c>
      <c r="M3489">
        <f>VLOOKUP(D3489,Products!A:E,5,FALSE)</f>
        <v>123.19</v>
      </c>
      <c r="N3489" s="5">
        <f t="shared" si="54"/>
        <v>117.03049999999999</v>
      </c>
    </row>
    <row r="3490" spans="1:14" x14ac:dyDescent="0.3">
      <c r="A3490" t="s">
        <v>4346</v>
      </c>
      <c r="B3490" s="2">
        <v>45289</v>
      </c>
      <c r="C3490" t="s">
        <v>287</v>
      </c>
      <c r="D3490" t="s">
        <v>764</v>
      </c>
      <c r="E3490" t="s">
        <v>846</v>
      </c>
      <c r="F3490">
        <v>1</v>
      </c>
      <c r="G3490">
        <v>0</v>
      </c>
      <c r="H3490" t="s">
        <v>858</v>
      </c>
      <c r="I3490" t="str">
        <f>VLOOKUP(C3490,Customers!A:C,2,FALSE)&amp;" "&amp;VLOOKUP(C3490,Customers!A:C,3,FALSE)</f>
        <v>Phyllis Durham</v>
      </c>
      <c r="J3490" t="str">
        <f>VLOOKUP(D3490,Products!A:C,2,FALSE)</f>
        <v>Simple Accessories</v>
      </c>
      <c r="K3490" t="str">
        <f>VLOOKUP(D3490,Products!A:C,3,FALSE)</f>
        <v>Fashion</v>
      </c>
      <c r="L3490" t="str">
        <f>VLOOKUP(E3490,Stores!A:B,2,FALSE)</f>
        <v>MegaMart Johnmouth</v>
      </c>
      <c r="M3490">
        <f>VLOOKUP(D3490,Products!A:E,5,FALSE)</f>
        <v>323.92</v>
      </c>
      <c r="N3490" s="5">
        <f t="shared" si="54"/>
        <v>323.92</v>
      </c>
    </row>
    <row r="3491" spans="1:14" x14ac:dyDescent="0.3">
      <c r="A3491" t="s">
        <v>4347</v>
      </c>
      <c r="B3491" s="2">
        <v>45376</v>
      </c>
      <c r="C3491" t="s">
        <v>270</v>
      </c>
      <c r="D3491" t="s">
        <v>824</v>
      </c>
      <c r="E3491" t="s">
        <v>839</v>
      </c>
      <c r="F3491">
        <v>1</v>
      </c>
      <c r="G3491">
        <v>0.05</v>
      </c>
      <c r="H3491" t="s">
        <v>858</v>
      </c>
      <c r="I3491" t="str">
        <f>VLOOKUP(C3491,Customers!A:C,2,FALSE)&amp;" "&amp;VLOOKUP(C3491,Customers!A:C,3,FALSE)</f>
        <v>Denise Gutierrez</v>
      </c>
      <c r="J3491" t="str">
        <f>VLOOKUP(D3491,Products!A:C,2,FALSE)</f>
        <v>Possible Watches</v>
      </c>
      <c r="K3491" t="str">
        <f>VLOOKUP(D3491,Products!A:C,3,FALSE)</f>
        <v>Fashion</v>
      </c>
      <c r="L3491" t="str">
        <f>VLOOKUP(E3491,Stores!A:B,2,FALSE)</f>
        <v>MegaMart New Michele</v>
      </c>
      <c r="M3491">
        <f>VLOOKUP(D3491,Products!A:E,5,FALSE)</f>
        <v>388.26</v>
      </c>
      <c r="N3491" s="5">
        <f t="shared" si="54"/>
        <v>368.84699999999998</v>
      </c>
    </row>
    <row r="3492" spans="1:14" x14ac:dyDescent="0.3">
      <c r="A3492" t="s">
        <v>4348</v>
      </c>
      <c r="B3492" s="2">
        <v>45488</v>
      </c>
      <c r="C3492" t="s">
        <v>206</v>
      </c>
      <c r="D3492" t="s">
        <v>800</v>
      </c>
      <c r="E3492" t="s">
        <v>839</v>
      </c>
      <c r="F3492">
        <v>1</v>
      </c>
      <c r="G3492">
        <v>0.15</v>
      </c>
      <c r="H3492" t="s">
        <v>858</v>
      </c>
      <c r="I3492" t="str">
        <f>VLOOKUP(C3492,Customers!A:C,2,FALSE)&amp;" "&amp;VLOOKUP(C3492,Customers!A:C,3,FALSE)</f>
        <v>Felicia Morgan</v>
      </c>
      <c r="J3492" t="str">
        <f>VLOOKUP(D3492,Products!A:C,2,FALSE)</f>
        <v>Book Television</v>
      </c>
      <c r="K3492" t="str">
        <f>VLOOKUP(D3492,Products!A:C,3,FALSE)</f>
        <v>Electronics</v>
      </c>
      <c r="L3492" t="str">
        <f>VLOOKUP(E3492,Stores!A:B,2,FALSE)</f>
        <v>MegaMart New Michele</v>
      </c>
      <c r="M3492">
        <f>VLOOKUP(D3492,Products!A:E,5,FALSE)</f>
        <v>1952.65</v>
      </c>
      <c r="N3492" s="5">
        <f t="shared" si="54"/>
        <v>1659.7525000000001</v>
      </c>
    </row>
    <row r="3493" spans="1:14" x14ac:dyDescent="0.3">
      <c r="A3493" t="s">
        <v>4349</v>
      </c>
      <c r="B3493" s="2">
        <v>45366</v>
      </c>
      <c r="C3493" t="s">
        <v>500</v>
      </c>
      <c r="D3493" t="s">
        <v>824</v>
      </c>
      <c r="E3493" t="s">
        <v>831</v>
      </c>
      <c r="F3493">
        <v>2</v>
      </c>
      <c r="G3493">
        <v>0.15</v>
      </c>
      <c r="H3493" t="s">
        <v>858</v>
      </c>
      <c r="I3493" t="str">
        <f>VLOOKUP(C3493,Customers!A:C,2,FALSE)&amp;" "&amp;VLOOKUP(C3493,Customers!A:C,3,FALSE)</f>
        <v>Gary Lopez</v>
      </c>
      <c r="J3493" t="str">
        <f>VLOOKUP(D3493,Products!A:C,2,FALSE)</f>
        <v>Possible Watches</v>
      </c>
      <c r="K3493" t="str">
        <f>VLOOKUP(D3493,Products!A:C,3,FALSE)</f>
        <v>Fashion</v>
      </c>
      <c r="L3493" t="str">
        <f>VLOOKUP(E3493,Stores!A:B,2,FALSE)</f>
        <v>MegaMart Jimenezborough</v>
      </c>
      <c r="M3493">
        <f>VLOOKUP(D3493,Products!A:E,5,FALSE)</f>
        <v>388.26</v>
      </c>
      <c r="N3493" s="5">
        <f t="shared" si="54"/>
        <v>660.04199999999992</v>
      </c>
    </row>
    <row r="3494" spans="1:14" x14ac:dyDescent="0.3">
      <c r="A3494" t="s">
        <v>4350</v>
      </c>
      <c r="B3494" s="2">
        <v>45403</v>
      </c>
      <c r="C3494" t="s">
        <v>608</v>
      </c>
      <c r="D3494" t="s">
        <v>792</v>
      </c>
      <c r="E3494" t="s">
        <v>846</v>
      </c>
      <c r="F3494">
        <v>2</v>
      </c>
      <c r="G3494">
        <v>0.05</v>
      </c>
      <c r="H3494" t="s">
        <v>865</v>
      </c>
      <c r="I3494" t="str">
        <f>VLOOKUP(C3494,Customers!A:C,2,FALSE)&amp;" "&amp;VLOOKUP(C3494,Customers!A:C,3,FALSE)</f>
        <v>Christina Dominguez</v>
      </c>
      <c r="J3494" t="str">
        <f>VLOOKUP(D3494,Products!A:C,2,FALSE)</f>
        <v>Beat Accessories</v>
      </c>
      <c r="K3494" t="str">
        <f>VLOOKUP(D3494,Products!A:C,3,FALSE)</f>
        <v>Fashion</v>
      </c>
      <c r="L3494" t="str">
        <f>VLOOKUP(E3494,Stores!A:B,2,FALSE)</f>
        <v>MegaMart Johnmouth</v>
      </c>
      <c r="M3494">
        <f>VLOOKUP(D3494,Products!A:E,5,FALSE)</f>
        <v>1798.97</v>
      </c>
      <c r="N3494" s="5">
        <f t="shared" si="54"/>
        <v>3418.0429999999997</v>
      </c>
    </row>
    <row r="3495" spans="1:14" x14ac:dyDescent="0.3">
      <c r="A3495" t="s">
        <v>4351</v>
      </c>
      <c r="B3495" s="2">
        <v>45268</v>
      </c>
      <c r="C3495" t="s">
        <v>20</v>
      </c>
      <c r="D3495" t="s">
        <v>759</v>
      </c>
      <c r="E3495" t="s">
        <v>835</v>
      </c>
      <c r="F3495">
        <v>1</v>
      </c>
      <c r="G3495">
        <v>0.15</v>
      </c>
      <c r="H3495" t="s">
        <v>861</v>
      </c>
      <c r="I3495" t="str">
        <f>VLOOKUP(C3495,Customers!A:C,2,FALSE)&amp;" "&amp;VLOOKUP(C3495,Customers!A:C,3,FALSE)</f>
        <v>Joseph Ward</v>
      </c>
      <c r="J3495" t="str">
        <f>VLOOKUP(D3495,Products!A:C,2,FALSE)</f>
        <v>Democratic Smartphone</v>
      </c>
      <c r="K3495" t="str">
        <f>VLOOKUP(D3495,Products!A:C,3,FALSE)</f>
        <v>Electronics</v>
      </c>
      <c r="L3495" t="str">
        <f>VLOOKUP(E3495,Stores!A:B,2,FALSE)</f>
        <v>MegaMart Peckmouth</v>
      </c>
      <c r="M3495">
        <f>VLOOKUP(D3495,Products!A:E,5,FALSE)</f>
        <v>1079.8900000000001</v>
      </c>
      <c r="N3495" s="5">
        <f t="shared" si="54"/>
        <v>917.90650000000005</v>
      </c>
    </row>
    <row r="3496" spans="1:14" x14ac:dyDescent="0.3">
      <c r="A3496" t="s">
        <v>4352</v>
      </c>
      <c r="B3496" s="2">
        <v>45750</v>
      </c>
      <c r="C3496" t="s">
        <v>109</v>
      </c>
      <c r="D3496" t="s">
        <v>806</v>
      </c>
      <c r="E3496" t="s">
        <v>835</v>
      </c>
      <c r="F3496">
        <v>3</v>
      </c>
      <c r="G3496">
        <v>0.15</v>
      </c>
      <c r="H3496" t="s">
        <v>861</v>
      </c>
      <c r="I3496" t="str">
        <f>VLOOKUP(C3496,Customers!A:C,2,FALSE)&amp;" "&amp;VLOOKUP(C3496,Customers!A:C,3,FALSE)</f>
        <v>Jacqueline Martin</v>
      </c>
      <c r="J3496" t="str">
        <f>VLOOKUP(D3496,Products!A:C,2,FALSE)</f>
        <v>Piece Headphones</v>
      </c>
      <c r="K3496" t="str">
        <f>VLOOKUP(D3496,Products!A:C,3,FALSE)</f>
        <v>Electronics</v>
      </c>
      <c r="L3496" t="str">
        <f>VLOOKUP(E3496,Stores!A:B,2,FALSE)</f>
        <v>MegaMart Peckmouth</v>
      </c>
      <c r="M3496">
        <f>VLOOKUP(D3496,Products!A:E,5,FALSE)</f>
        <v>1745.61</v>
      </c>
      <c r="N3496" s="5">
        <f t="shared" si="54"/>
        <v>4451.3054999999995</v>
      </c>
    </row>
    <row r="3497" spans="1:14" x14ac:dyDescent="0.3">
      <c r="A3497" t="s">
        <v>4353</v>
      </c>
      <c r="B3497" s="2">
        <v>45629</v>
      </c>
      <c r="C3497" t="s">
        <v>533</v>
      </c>
      <c r="D3497" t="s">
        <v>764</v>
      </c>
      <c r="E3497" t="s">
        <v>846</v>
      </c>
      <c r="F3497">
        <v>3</v>
      </c>
      <c r="G3497">
        <v>0.15</v>
      </c>
      <c r="H3497" t="s">
        <v>858</v>
      </c>
      <c r="I3497" t="str">
        <f>VLOOKUP(C3497,Customers!A:C,2,FALSE)&amp;" "&amp;VLOOKUP(C3497,Customers!A:C,3,FALSE)</f>
        <v>Crystal Garrison</v>
      </c>
      <c r="J3497" t="str">
        <f>VLOOKUP(D3497,Products!A:C,2,FALSE)</f>
        <v>Simple Accessories</v>
      </c>
      <c r="K3497" t="str">
        <f>VLOOKUP(D3497,Products!A:C,3,FALSE)</f>
        <v>Fashion</v>
      </c>
      <c r="L3497" t="str">
        <f>VLOOKUP(E3497,Stores!A:B,2,FALSE)</f>
        <v>MegaMart Johnmouth</v>
      </c>
      <c r="M3497">
        <f>VLOOKUP(D3497,Products!A:E,5,FALSE)</f>
        <v>323.92</v>
      </c>
      <c r="N3497" s="5">
        <f t="shared" si="54"/>
        <v>825.99599999999998</v>
      </c>
    </row>
    <row r="3498" spans="1:14" x14ac:dyDescent="0.3">
      <c r="A3498" t="s">
        <v>4354</v>
      </c>
      <c r="B3498" s="2">
        <v>45362</v>
      </c>
      <c r="C3498" t="s">
        <v>230</v>
      </c>
      <c r="D3498" t="s">
        <v>820</v>
      </c>
      <c r="E3498" t="s">
        <v>842</v>
      </c>
      <c r="F3498">
        <v>2</v>
      </c>
      <c r="G3498">
        <v>0.05</v>
      </c>
      <c r="H3498" t="s">
        <v>865</v>
      </c>
      <c r="I3498" t="str">
        <f>VLOOKUP(C3498,Customers!A:C,2,FALSE)&amp;" "&amp;VLOOKUP(C3498,Customers!A:C,3,FALSE)</f>
        <v>Anthony Conway</v>
      </c>
      <c r="J3498" t="str">
        <f>VLOOKUP(D3498,Products!A:C,2,FALSE)</f>
        <v>Or Smartphone</v>
      </c>
      <c r="K3498" t="str">
        <f>VLOOKUP(D3498,Products!A:C,3,FALSE)</f>
        <v>Electronics</v>
      </c>
      <c r="L3498" t="str">
        <f>VLOOKUP(E3498,Stores!A:B,2,FALSE)</f>
        <v>MegaMart Brianahaven</v>
      </c>
      <c r="M3498">
        <f>VLOOKUP(D3498,Products!A:E,5,FALSE)</f>
        <v>1197.18</v>
      </c>
      <c r="N3498" s="5">
        <f t="shared" si="54"/>
        <v>2274.6419999999998</v>
      </c>
    </row>
    <row r="3499" spans="1:14" x14ac:dyDescent="0.3">
      <c r="A3499" t="s">
        <v>4355</v>
      </c>
      <c r="B3499" s="2">
        <v>45879</v>
      </c>
      <c r="C3499" t="s">
        <v>483</v>
      </c>
      <c r="D3499" t="s">
        <v>750</v>
      </c>
      <c r="E3499" t="s">
        <v>835</v>
      </c>
      <c r="F3499">
        <v>5</v>
      </c>
      <c r="G3499">
        <v>0.1</v>
      </c>
      <c r="H3499" t="s">
        <v>858</v>
      </c>
      <c r="I3499" t="str">
        <f>VLOOKUP(C3499,Customers!A:C,2,FALSE)&amp;" "&amp;VLOOKUP(C3499,Customers!A:C,3,FALSE)</f>
        <v>Jared Ochoa</v>
      </c>
      <c r="J3499" t="str">
        <f>VLOOKUP(D3499,Products!A:C,2,FALSE)</f>
        <v>Add Clothing</v>
      </c>
      <c r="K3499" t="str">
        <f>VLOOKUP(D3499,Products!A:C,3,FALSE)</f>
        <v>Fashion</v>
      </c>
      <c r="L3499" t="str">
        <f>VLOOKUP(E3499,Stores!A:B,2,FALSE)</f>
        <v>MegaMart Peckmouth</v>
      </c>
      <c r="M3499">
        <f>VLOOKUP(D3499,Products!A:E,5,FALSE)</f>
        <v>1342.75</v>
      </c>
      <c r="N3499" s="5">
        <f t="shared" si="54"/>
        <v>6042.375</v>
      </c>
    </row>
    <row r="3500" spans="1:14" x14ac:dyDescent="0.3">
      <c r="A3500" t="s">
        <v>4356</v>
      </c>
      <c r="B3500" s="2">
        <v>45759</v>
      </c>
      <c r="C3500" t="s">
        <v>36</v>
      </c>
      <c r="D3500" t="s">
        <v>788</v>
      </c>
      <c r="E3500" t="s">
        <v>839</v>
      </c>
      <c r="F3500">
        <v>2</v>
      </c>
      <c r="G3500">
        <v>0.15</v>
      </c>
      <c r="H3500" t="s">
        <v>865</v>
      </c>
      <c r="I3500" t="str">
        <f>VLOOKUP(C3500,Customers!A:C,2,FALSE)&amp;" "&amp;VLOOKUP(C3500,Customers!A:C,3,FALSE)</f>
        <v>Isaiah Williams</v>
      </c>
      <c r="J3500" t="str">
        <f>VLOOKUP(D3500,Products!A:C,2,FALSE)</f>
        <v>Foot Snacks</v>
      </c>
      <c r="K3500" t="str">
        <f>VLOOKUP(D3500,Products!A:C,3,FALSE)</f>
        <v>Groceries</v>
      </c>
      <c r="L3500" t="str">
        <f>VLOOKUP(E3500,Stores!A:B,2,FALSE)</f>
        <v>MegaMart New Michele</v>
      </c>
      <c r="M3500">
        <f>VLOOKUP(D3500,Products!A:E,5,FALSE)</f>
        <v>1095.72</v>
      </c>
      <c r="N3500" s="5">
        <f t="shared" si="54"/>
        <v>1862.7239999999999</v>
      </c>
    </row>
    <row r="3501" spans="1:14" x14ac:dyDescent="0.3">
      <c r="A3501" t="s">
        <v>4357</v>
      </c>
      <c r="B3501" s="2">
        <v>45886</v>
      </c>
      <c r="C3501" t="s">
        <v>467</v>
      </c>
      <c r="D3501" t="s">
        <v>790</v>
      </c>
      <c r="E3501" t="s">
        <v>846</v>
      </c>
      <c r="F3501">
        <v>5</v>
      </c>
      <c r="G3501">
        <v>0.15</v>
      </c>
      <c r="H3501" t="s">
        <v>858</v>
      </c>
      <c r="I3501" t="str">
        <f>VLOOKUP(C3501,Customers!A:C,2,FALSE)&amp;" "&amp;VLOOKUP(C3501,Customers!A:C,3,FALSE)</f>
        <v>John Allen</v>
      </c>
      <c r="J3501" t="str">
        <f>VLOOKUP(D3501,Products!A:C,2,FALSE)</f>
        <v>Difficult Vegetables</v>
      </c>
      <c r="K3501" t="str">
        <f>VLOOKUP(D3501,Products!A:C,3,FALSE)</f>
        <v>Groceries</v>
      </c>
      <c r="L3501" t="str">
        <f>VLOOKUP(E3501,Stores!A:B,2,FALSE)</f>
        <v>MegaMart Johnmouth</v>
      </c>
      <c r="M3501">
        <f>VLOOKUP(D3501,Products!A:E,5,FALSE)</f>
        <v>304.70999999999998</v>
      </c>
      <c r="N3501" s="5">
        <f t="shared" si="54"/>
        <v>1295.0174999999999</v>
      </c>
    </row>
    <row r="3502" spans="1:14" x14ac:dyDescent="0.3">
      <c r="A3502" t="s">
        <v>4358</v>
      </c>
      <c r="B3502" s="2">
        <v>45526</v>
      </c>
      <c r="C3502" t="s">
        <v>621</v>
      </c>
      <c r="D3502" t="s">
        <v>784</v>
      </c>
      <c r="E3502" t="s">
        <v>831</v>
      </c>
      <c r="F3502">
        <v>4</v>
      </c>
      <c r="G3502">
        <v>0.15</v>
      </c>
      <c r="H3502" t="s">
        <v>865</v>
      </c>
      <c r="I3502" t="str">
        <f>VLOOKUP(C3502,Customers!A:C,2,FALSE)&amp;" "&amp;VLOOKUP(C3502,Customers!A:C,3,FALSE)</f>
        <v>Stacey Thompson</v>
      </c>
      <c r="J3502" t="str">
        <f>VLOOKUP(D3502,Products!A:C,2,FALSE)</f>
        <v>Road Clothing</v>
      </c>
      <c r="K3502" t="str">
        <f>VLOOKUP(D3502,Products!A:C,3,FALSE)</f>
        <v>Fashion</v>
      </c>
      <c r="L3502" t="str">
        <f>VLOOKUP(E3502,Stores!A:B,2,FALSE)</f>
        <v>MegaMart Jimenezborough</v>
      </c>
      <c r="M3502">
        <f>VLOOKUP(D3502,Products!A:E,5,FALSE)</f>
        <v>1485.05</v>
      </c>
      <c r="N3502" s="5">
        <f t="shared" si="54"/>
        <v>5049.17</v>
      </c>
    </row>
    <row r="3503" spans="1:14" x14ac:dyDescent="0.3">
      <c r="A3503" t="s">
        <v>4359</v>
      </c>
      <c r="B3503" s="2">
        <v>45702</v>
      </c>
      <c r="C3503" t="s">
        <v>390</v>
      </c>
      <c r="D3503" t="s">
        <v>824</v>
      </c>
      <c r="E3503" t="s">
        <v>842</v>
      </c>
      <c r="F3503">
        <v>2</v>
      </c>
      <c r="G3503">
        <v>0.15</v>
      </c>
      <c r="H3503" t="s">
        <v>861</v>
      </c>
      <c r="I3503" t="str">
        <f>VLOOKUP(C3503,Customers!A:C,2,FALSE)&amp;" "&amp;VLOOKUP(C3503,Customers!A:C,3,FALSE)</f>
        <v>Brenda Dean</v>
      </c>
      <c r="J3503" t="str">
        <f>VLOOKUP(D3503,Products!A:C,2,FALSE)</f>
        <v>Possible Watches</v>
      </c>
      <c r="K3503" t="str">
        <f>VLOOKUP(D3503,Products!A:C,3,FALSE)</f>
        <v>Fashion</v>
      </c>
      <c r="L3503" t="str">
        <f>VLOOKUP(E3503,Stores!A:B,2,FALSE)</f>
        <v>MegaMart Brianahaven</v>
      </c>
      <c r="M3503">
        <f>VLOOKUP(D3503,Products!A:E,5,FALSE)</f>
        <v>388.26</v>
      </c>
      <c r="N3503" s="5">
        <f t="shared" si="54"/>
        <v>660.04199999999992</v>
      </c>
    </row>
    <row r="3504" spans="1:14" x14ac:dyDescent="0.3">
      <c r="A3504" t="s">
        <v>4360</v>
      </c>
      <c r="B3504" s="2">
        <v>45906</v>
      </c>
      <c r="C3504" t="s">
        <v>20</v>
      </c>
      <c r="D3504" t="s">
        <v>820</v>
      </c>
      <c r="E3504" t="s">
        <v>839</v>
      </c>
      <c r="F3504">
        <v>1</v>
      </c>
      <c r="G3504">
        <v>0.15</v>
      </c>
      <c r="H3504" t="s">
        <v>861</v>
      </c>
      <c r="I3504" t="str">
        <f>VLOOKUP(C3504,Customers!A:C,2,FALSE)&amp;" "&amp;VLOOKUP(C3504,Customers!A:C,3,FALSE)</f>
        <v>Joseph Ward</v>
      </c>
      <c r="J3504" t="str">
        <f>VLOOKUP(D3504,Products!A:C,2,FALSE)</f>
        <v>Or Smartphone</v>
      </c>
      <c r="K3504" t="str">
        <f>VLOOKUP(D3504,Products!A:C,3,FALSE)</f>
        <v>Electronics</v>
      </c>
      <c r="L3504" t="str">
        <f>VLOOKUP(E3504,Stores!A:B,2,FALSE)</f>
        <v>MegaMart New Michele</v>
      </c>
      <c r="M3504">
        <f>VLOOKUP(D3504,Products!A:E,5,FALSE)</f>
        <v>1197.18</v>
      </c>
      <c r="N3504" s="5">
        <f t="shared" si="54"/>
        <v>1017.6030000000001</v>
      </c>
    </row>
    <row r="3505" spans="1:14" x14ac:dyDescent="0.3">
      <c r="A3505" t="s">
        <v>4361</v>
      </c>
      <c r="B3505" s="2">
        <v>45736</v>
      </c>
      <c r="C3505" t="s">
        <v>89</v>
      </c>
      <c r="D3505" t="s">
        <v>788</v>
      </c>
      <c r="E3505" t="s">
        <v>835</v>
      </c>
      <c r="F3505">
        <v>2</v>
      </c>
      <c r="G3505">
        <v>0.05</v>
      </c>
      <c r="H3505" t="s">
        <v>855</v>
      </c>
      <c r="I3505" t="str">
        <f>VLOOKUP(C3505,Customers!A:C,2,FALSE)&amp;" "&amp;VLOOKUP(C3505,Customers!A:C,3,FALSE)</f>
        <v>Megan Velasquez</v>
      </c>
      <c r="J3505" t="str">
        <f>VLOOKUP(D3505,Products!A:C,2,FALSE)</f>
        <v>Foot Snacks</v>
      </c>
      <c r="K3505" t="str">
        <f>VLOOKUP(D3505,Products!A:C,3,FALSE)</f>
        <v>Groceries</v>
      </c>
      <c r="L3505" t="str">
        <f>VLOOKUP(E3505,Stores!A:B,2,FALSE)</f>
        <v>MegaMart Peckmouth</v>
      </c>
      <c r="M3505">
        <f>VLOOKUP(D3505,Products!A:E,5,FALSE)</f>
        <v>1095.72</v>
      </c>
      <c r="N3505" s="5">
        <f t="shared" si="54"/>
        <v>2081.8679999999999</v>
      </c>
    </row>
    <row r="3506" spans="1:14" x14ac:dyDescent="0.3">
      <c r="A3506" t="s">
        <v>4362</v>
      </c>
      <c r="B3506" s="2">
        <v>45762</v>
      </c>
      <c r="C3506" t="s">
        <v>317</v>
      </c>
      <c r="D3506" t="s">
        <v>784</v>
      </c>
      <c r="E3506" t="s">
        <v>835</v>
      </c>
      <c r="F3506">
        <v>1</v>
      </c>
      <c r="G3506">
        <v>0.15</v>
      </c>
      <c r="H3506" t="s">
        <v>855</v>
      </c>
      <c r="I3506" t="str">
        <f>VLOOKUP(C3506,Customers!A:C,2,FALSE)&amp;" "&amp;VLOOKUP(C3506,Customers!A:C,3,FALSE)</f>
        <v>Amanda Lee</v>
      </c>
      <c r="J3506" t="str">
        <f>VLOOKUP(D3506,Products!A:C,2,FALSE)</f>
        <v>Road Clothing</v>
      </c>
      <c r="K3506" t="str">
        <f>VLOOKUP(D3506,Products!A:C,3,FALSE)</f>
        <v>Fashion</v>
      </c>
      <c r="L3506" t="str">
        <f>VLOOKUP(E3506,Stores!A:B,2,FALSE)</f>
        <v>MegaMart Peckmouth</v>
      </c>
      <c r="M3506">
        <f>VLOOKUP(D3506,Products!A:E,5,FALSE)</f>
        <v>1485.05</v>
      </c>
      <c r="N3506" s="5">
        <f t="shared" si="54"/>
        <v>1262.2925</v>
      </c>
    </row>
    <row r="3507" spans="1:14" x14ac:dyDescent="0.3">
      <c r="A3507" t="s">
        <v>4363</v>
      </c>
      <c r="B3507" s="2">
        <v>45720</v>
      </c>
      <c r="C3507" t="s">
        <v>20</v>
      </c>
      <c r="D3507" t="s">
        <v>816</v>
      </c>
      <c r="E3507" t="s">
        <v>839</v>
      </c>
      <c r="F3507">
        <v>5</v>
      </c>
      <c r="G3507">
        <v>0.15</v>
      </c>
      <c r="H3507" t="s">
        <v>865</v>
      </c>
      <c r="I3507" t="str">
        <f>VLOOKUP(C3507,Customers!A:C,2,FALSE)&amp;" "&amp;VLOOKUP(C3507,Customers!A:C,3,FALSE)</f>
        <v>Joseph Ward</v>
      </c>
      <c r="J3507" t="str">
        <f>VLOOKUP(D3507,Products!A:C,2,FALSE)</f>
        <v>Set Dairy</v>
      </c>
      <c r="K3507" t="str">
        <f>VLOOKUP(D3507,Products!A:C,3,FALSE)</f>
        <v>Groceries</v>
      </c>
      <c r="L3507" t="str">
        <f>VLOOKUP(E3507,Stores!A:B,2,FALSE)</f>
        <v>MegaMart New Michele</v>
      </c>
      <c r="M3507">
        <f>VLOOKUP(D3507,Products!A:E,5,FALSE)</f>
        <v>1879.08</v>
      </c>
      <c r="N3507" s="5">
        <f t="shared" si="54"/>
        <v>7986.0899999999992</v>
      </c>
    </row>
    <row r="3508" spans="1:14" x14ac:dyDescent="0.3">
      <c r="A3508" t="s">
        <v>4364</v>
      </c>
      <c r="B3508" s="2">
        <v>45543</v>
      </c>
      <c r="C3508" t="s">
        <v>625</v>
      </c>
      <c r="D3508" t="s">
        <v>725</v>
      </c>
      <c r="E3508" t="s">
        <v>839</v>
      </c>
      <c r="F3508">
        <v>4</v>
      </c>
      <c r="G3508">
        <v>0.05</v>
      </c>
      <c r="H3508" t="s">
        <v>865</v>
      </c>
      <c r="I3508" t="str">
        <f>VLOOKUP(C3508,Customers!A:C,2,FALSE)&amp;" "&amp;VLOOKUP(C3508,Customers!A:C,3,FALSE)</f>
        <v>Peter Garcia</v>
      </c>
      <c r="J3508" t="str">
        <f>VLOOKUP(D3508,Products!A:C,2,FALSE)</f>
        <v>Knowledge Bags</v>
      </c>
      <c r="K3508" t="str">
        <f>VLOOKUP(D3508,Products!A:C,3,FALSE)</f>
        <v>Fashion</v>
      </c>
      <c r="L3508" t="str">
        <f>VLOOKUP(E3508,Stores!A:B,2,FALSE)</f>
        <v>MegaMart New Michele</v>
      </c>
      <c r="M3508">
        <f>VLOOKUP(D3508,Products!A:E,5,FALSE)</f>
        <v>1396.22</v>
      </c>
      <c r="N3508" s="5">
        <f t="shared" si="54"/>
        <v>5305.6359999999995</v>
      </c>
    </row>
    <row r="3509" spans="1:14" x14ac:dyDescent="0.3">
      <c r="A3509" t="s">
        <v>4365</v>
      </c>
      <c r="B3509" s="2">
        <v>45585</v>
      </c>
      <c r="C3509" t="s">
        <v>491</v>
      </c>
      <c r="D3509" t="s">
        <v>774</v>
      </c>
      <c r="E3509" t="s">
        <v>835</v>
      </c>
      <c r="F3509">
        <v>1</v>
      </c>
      <c r="G3509">
        <v>0.05</v>
      </c>
      <c r="H3509" t="s">
        <v>855</v>
      </c>
      <c r="I3509" t="str">
        <f>VLOOKUP(C3509,Customers!A:C,2,FALSE)&amp;" "&amp;VLOOKUP(C3509,Customers!A:C,3,FALSE)</f>
        <v>Emily Hart</v>
      </c>
      <c r="J3509" t="str">
        <f>VLOOKUP(D3509,Products!A:C,2,FALSE)</f>
        <v>Him Smartphone</v>
      </c>
      <c r="K3509" t="str">
        <f>VLOOKUP(D3509,Products!A:C,3,FALSE)</f>
        <v>Electronics</v>
      </c>
      <c r="L3509" t="str">
        <f>VLOOKUP(E3509,Stores!A:B,2,FALSE)</f>
        <v>MegaMart Peckmouth</v>
      </c>
      <c r="M3509">
        <f>VLOOKUP(D3509,Products!A:E,5,FALSE)</f>
        <v>1487.41</v>
      </c>
      <c r="N3509" s="5">
        <f t="shared" si="54"/>
        <v>1413.0395000000001</v>
      </c>
    </row>
    <row r="3510" spans="1:14" x14ac:dyDescent="0.3">
      <c r="A3510" t="s">
        <v>4366</v>
      </c>
      <c r="B3510" s="2">
        <v>45331</v>
      </c>
      <c r="C3510" t="s">
        <v>531</v>
      </c>
      <c r="D3510" t="s">
        <v>804</v>
      </c>
      <c r="E3510" t="s">
        <v>842</v>
      </c>
      <c r="F3510">
        <v>4</v>
      </c>
      <c r="G3510">
        <v>0</v>
      </c>
      <c r="H3510" t="s">
        <v>855</v>
      </c>
      <c r="I3510" t="str">
        <f>VLOOKUP(C3510,Customers!A:C,2,FALSE)&amp;" "&amp;VLOOKUP(C3510,Customers!A:C,3,FALSE)</f>
        <v>John Johnson</v>
      </c>
      <c r="J3510" t="str">
        <f>VLOOKUP(D3510,Products!A:C,2,FALSE)</f>
        <v>Church Clothing</v>
      </c>
      <c r="K3510" t="str">
        <f>VLOOKUP(D3510,Products!A:C,3,FALSE)</f>
        <v>Fashion</v>
      </c>
      <c r="L3510" t="str">
        <f>VLOOKUP(E3510,Stores!A:B,2,FALSE)</f>
        <v>MegaMart Brianahaven</v>
      </c>
      <c r="M3510">
        <f>VLOOKUP(D3510,Products!A:E,5,FALSE)</f>
        <v>540.94000000000005</v>
      </c>
      <c r="N3510" s="5">
        <f t="shared" si="54"/>
        <v>2163.7600000000002</v>
      </c>
    </row>
    <row r="3511" spans="1:14" x14ac:dyDescent="0.3">
      <c r="A3511" t="s">
        <v>4367</v>
      </c>
      <c r="B3511" s="2">
        <v>45340</v>
      </c>
      <c r="C3511" t="s">
        <v>234</v>
      </c>
      <c r="D3511" t="s">
        <v>822</v>
      </c>
      <c r="E3511" t="s">
        <v>842</v>
      </c>
      <c r="F3511">
        <v>5</v>
      </c>
      <c r="G3511">
        <v>0.1</v>
      </c>
      <c r="H3511" t="s">
        <v>865</v>
      </c>
      <c r="I3511" t="str">
        <f>VLOOKUP(C3511,Customers!A:C,2,FALSE)&amp;" "&amp;VLOOKUP(C3511,Customers!A:C,3,FALSE)</f>
        <v>Heather Russell</v>
      </c>
      <c r="J3511" t="str">
        <f>VLOOKUP(D3511,Products!A:C,2,FALSE)</f>
        <v>Nor Bags</v>
      </c>
      <c r="K3511" t="str">
        <f>VLOOKUP(D3511,Products!A:C,3,FALSE)</f>
        <v>Fashion</v>
      </c>
      <c r="L3511" t="str">
        <f>VLOOKUP(E3511,Stores!A:B,2,FALSE)</f>
        <v>MegaMart Brianahaven</v>
      </c>
      <c r="M3511">
        <f>VLOOKUP(D3511,Products!A:E,5,FALSE)</f>
        <v>1216.3599999999999</v>
      </c>
      <c r="N3511" s="5">
        <f t="shared" si="54"/>
        <v>5473.62</v>
      </c>
    </row>
    <row r="3512" spans="1:14" x14ac:dyDescent="0.3">
      <c r="A3512" t="s">
        <v>4368</v>
      </c>
      <c r="B3512" s="2">
        <v>45413</v>
      </c>
      <c r="C3512" t="s">
        <v>159</v>
      </c>
      <c r="D3512" t="s">
        <v>728</v>
      </c>
      <c r="E3512" t="s">
        <v>835</v>
      </c>
      <c r="F3512">
        <v>1</v>
      </c>
      <c r="G3512">
        <v>0.1</v>
      </c>
      <c r="H3512" t="s">
        <v>865</v>
      </c>
      <c r="I3512" t="str">
        <f>VLOOKUP(C3512,Customers!A:C,2,FALSE)&amp;" "&amp;VLOOKUP(C3512,Customers!A:C,3,FALSE)</f>
        <v>Melissa Rodgers</v>
      </c>
      <c r="J3512" t="str">
        <f>VLOOKUP(D3512,Products!A:C,2,FALSE)</f>
        <v>Company Fruits</v>
      </c>
      <c r="K3512" t="str">
        <f>VLOOKUP(D3512,Products!A:C,3,FALSE)</f>
        <v>Groceries</v>
      </c>
      <c r="L3512" t="str">
        <f>VLOOKUP(E3512,Stores!A:B,2,FALSE)</f>
        <v>MegaMart Peckmouth</v>
      </c>
      <c r="M3512">
        <f>VLOOKUP(D3512,Products!A:E,5,FALSE)</f>
        <v>318.05</v>
      </c>
      <c r="N3512" s="5">
        <f t="shared" si="54"/>
        <v>286.245</v>
      </c>
    </row>
    <row r="3513" spans="1:14" x14ac:dyDescent="0.3">
      <c r="A3513" t="s">
        <v>4369</v>
      </c>
      <c r="B3513" s="2">
        <v>45598</v>
      </c>
      <c r="C3513" t="s">
        <v>556</v>
      </c>
      <c r="D3513" t="s">
        <v>772</v>
      </c>
      <c r="E3513" t="s">
        <v>835</v>
      </c>
      <c r="F3513">
        <v>5</v>
      </c>
      <c r="G3513">
        <v>0.15</v>
      </c>
      <c r="H3513" t="s">
        <v>855</v>
      </c>
      <c r="I3513" t="str">
        <f>VLOOKUP(C3513,Customers!A:C,2,FALSE)&amp;" "&amp;VLOOKUP(C3513,Customers!A:C,3,FALSE)</f>
        <v>Jill Mcconnell</v>
      </c>
      <c r="J3513" t="str">
        <f>VLOOKUP(D3513,Products!A:C,2,FALSE)</f>
        <v>And Footwear</v>
      </c>
      <c r="K3513" t="str">
        <f>VLOOKUP(D3513,Products!A:C,3,FALSE)</f>
        <v>Fashion</v>
      </c>
      <c r="L3513" t="str">
        <f>VLOOKUP(E3513,Stores!A:B,2,FALSE)</f>
        <v>MegaMart Peckmouth</v>
      </c>
      <c r="M3513">
        <f>VLOOKUP(D3513,Products!A:E,5,FALSE)</f>
        <v>1878.47</v>
      </c>
      <c r="N3513" s="5">
        <f t="shared" si="54"/>
        <v>7983.4975000000004</v>
      </c>
    </row>
    <row r="3514" spans="1:14" x14ac:dyDescent="0.3">
      <c r="A3514" t="s">
        <v>4370</v>
      </c>
      <c r="B3514" s="2">
        <v>45663</v>
      </c>
      <c r="C3514" t="s">
        <v>476</v>
      </c>
      <c r="D3514" t="s">
        <v>790</v>
      </c>
      <c r="E3514" t="s">
        <v>839</v>
      </c>
      <c r="F3514">
        <v>2</v>
      </c>
      <c r="G3514">
        <v>0.1</v>
      </c>
      <c r="H3514" t="s">
        <v>855</v>
      </c>
      <c r="I3514" t="str">
        <f>VLOOKUP(C3514,Customers!A:C,2,FALSE)&amp;" "&amp;VLOOKUP(C3514,Customers!A:C,3,FALSE)</f>
        <v>Aaron Bailey</v>
      </c>
      <c r="J3514" t="str">
        <f>VLOOKUP(D3514,Products!A:C,2,FALSE)</f>
        <v>Difficult Vegetables</v>
      </c>
      <c r="K3514" t="str">
        <f>VLOOKUP(D3514,Products!A:C,3,FALSE)</f>
        <v>Groceries</v>
      </c>
      <c r="L3514" t="str">
        <f>VLOOKUP(E3514,Stores!A:B,2,FALSE)</f>
        <v>MegaMart New Michele</v>
      </c>
      <c r="M3514">
        <f>VLOOKUP(D3514,Products!A:E,5,FALSE)</f>
        <v>304.70999999999998</v>
      </c>
      <c r="N3514" s="5">
        <f t="shared" si="54"/>
        <v>548.47799999999995</v>
      </c>
    </row>
    <row r="3515" spans="1:14" x14ac:dyDescent="0.3">
      <c r="A3515" t="s">
        <v>4371</v>
      </c>
      <c r="B3515" s="2">
        <v>45714</v>
      </c>
      <c r="C3515" t="s">
        <v>666</v>
      </c>
      <c r="D3515" t="s">
        <v>794</v>
      </c>
      <c r="E3515" t="s">
        <v>846</v>
      </c>
      <c r="F3515">
        <v>5</v>
      </c>
      <c r="G3515">
        <v>0</v>
      </c>
      <c r="H3515" t="s">
        <v>865</v>
      </c>
      <c r="I3515" t="str">
        <f>VLOOKUP(C3515,Customers!A:C,2,FALSE)&amp;" "&amp;VLOOKUP(C3515,Customers!A:C,3,FALSE)</f>
        <v>Steve Flynn</v>
      </c>
      <c r="J3515" t="str">
        <f>VLOOKUP(D3515,Products!A:C,2,FALSE)</f>
        <v>Everything Laptop</v>
      </c>
      <c r="K3515" t="str">
        <f>VLOOKUP(D3515,Products!A:C,3,FALSE)</f>
        <v>Electronics</v>
      </c>
      <c r="L3515" t="str">
        <f>VLOOKUP(E3515,Stores!A:B,2,FALSE)</f>
        <v>MegaMart Johnmouth</v>
      </c>
      <c r="M3515">
        <f>VLOOKUP(D3515,Products!A:E,5,FALSE)</f>
        <v>428.05</v>
      </c>
      <c r="N3515" s="5">
        <f t="shared" si="54"/>
        <v>2140.25</v>
      </c>
    </row>
    <row r="3516" spans="1:14" x14ac:dyDescent="0.3">
      <c r="A3516" t="s">
        <v>4372</v>
      </c>
      <c r="B3516" s="2">
        <v>45452</v>
      </c>
      <c r="C3516" t="s">
        <v>277</v>
      </c>
      <c r="D3516" t="s">
        <v>747</v>
      </c>
      <c r="E3516" t="s">
        <v>839</v>
      </c>
      <c r="F3516">
        <v>4</v>
      </c>
      <c r="G3516">
        <v>0.15</v>
      </c>
      <c r="H3516" t="s">
        <v>865</v>
      </c>
      <c r="I3516" t="str">
        <f>VLOOKUP(C3516,Customers!A:C,2,FALSE)&amp;" "&amp;VLOOKUP(C3516,Customers!A:C,3,FALSE)</f>
        <v>Carl Armstrong</v>
      </c>
      <c r="J3516" t="str">
        <f>VLOOKUP(D3516,Products!A:C,2,FALSE)</f>
        <v>World Watches</v>
      </c>
      <c r="K3516" t="str">
        <f>VLOOKUP(D3516,Products!A:C,3,FALSE)</f>
        <v>Fashion</v>
      </c>
      <c r="L3516" t="str">
        <f>VLOOKUP(E3516,Stores!A:B,2,FALSE)</f>
        <v>MegaMart New Michele</v>
      </c>
      <c r="M3516">
        <f>VLOOKUP(D3516,Products!A:E,5,FALSE)</f>
        <v>1134.8</v>
      </c>
      <c r="N3516" s="5">
        <f t="shared" si="54"/>
        <v>3858.3199999999997</v>
      </c>
    </row>
    <row r="3517" spans="1:14" x14ac:dyDescent="0.3">
      <c r="A3517" t="s">
        <v>4373</v>
      </c>
      <c r="B3517" s="2">
        <v>45688</v>
      </c>
      <c r="C3517" t="s">
        <v>630</v>
      </c>
      <c r="D3517" t="s">
        <v>780</v>
      </c>
      <c r="E3517" t="s">
        <v>842</v>
      </c>
      <c r="F3517">
        <v>1</v>
      </c>
      <c r="G3517">
        <v>0.1</v>
      </c>
      <c r="H3517" t="s">
        <v>861</v>
      </c>
      <c r="I3517" t="str">
        <f>VLOOKUP(C3517,Customers!A:C,2,FALSE)&amp;" "&amp;VLOOKUP(C3517,Customers!A:C,3,FALSE)</f>
        <v>Mark Mcdonald</v>
      </c>
      <c r="J3517" t="str">
        <f>VLOOKUP(D3517,Products!A:C,2,FALSE)</f>
        <v>Hospital Smartphone</v>
      </c>
      <c r="K3517" t="str">
        <f>VLOOKUP(D3517,Products!A:C,3,FALSE)</f>
        <v>Electronics</v>
      </c>
      <c r="L3517" t="str">
        <f>VLOOKUP(E3517,Stores!A:B,2,FALSE)</f>
        <v>MegaMart Brianahaven</v>
      </c>
      <c r="M3517">
        <f>VLOOKUP(D3517,Products!A:E,5,FALSE)</f>
        <v>1272.23</v>
      </c>
      <c r="N3517" s="5">
        <f t="shared" si="54"/>
        <v>1145.0070000000001</v>
      </c>
    </row>
    <row r="3518" spans="1:14" x14ac:dyDescent="0.3">
      <c r="A3518" t="s">
        <v>4374</v>
      </c>
      <c r="B3518" s="2">
        <v>45349</v>
      </c>
      <c r="C3518" t="s">
        <v>234</v>
      </c>
      <c r="D3518" t="s">
        <v>739</v>
      </c>
      <c r="E3518" t="s">
        <v>846</v>
      </c>
      <c r="F3518">
        <v>4</v>
      </c>
      <c r="G3518">
        <v>0.15</v>
      </c>
      <c r="H3518" t="s">
        <v>858</v>
      </c>
      <c r="I3518" t="str">
        <f>VLOOKUP(C3518,Customers!A:C,2,FALSE)&amp;" "&amp;VLOOKUP(C3518,Customers!A:C,3,FALSE)</f>
        <v>Heather Russell</v>
      </c>
      <c r="J3518" t="str">
        <f>VLOOKUP(D3518,Products!A:C,2,FALSE)</f>
        <v>Step Smartphone</v>
      </c>
      <c r="K3518" t="str">
        <f>VLOOKUP(D3518,Products!A:C,3,FALSE)</f>
        <v>Electronics</v>
      </c>
      <c r="L3518" t="str">
        <f>VLOOKUP(E3518,Stores!A:B,2,FALSE)</f>
        <v>MegaMart Johnmouth</v>
      </c>
      <c r="M3518">
        <f>VLOOKUP(D3518,Products!A:E,5,FALSE)</f>
        <v>1194.1199999999999</v>
      </c>
      <c r="N3518" s="5">
        <f t="shared" si="54"/>
        <v>4060.0079999999994</v>
      </c>
    </row>
    <row r="3519" spans="1:14" x14ac:dyDescent="0.3">
      <c r="A3519" t="s">
        <v>4375</v>
      </c>
      <c r="B3519" s="2">
        <v>45357</v>
      </c>
      <c r="C3519" t="s">
        <v>454</v>
      </c>
      <c r="D3519" t="s">
        <v>753</v>
      </c>
      <c r="E3519" t="s">
        <v>835</v>
      </c>
      <c r="F3519">
        <v>5</v>
      </c>
      <c r="G3519">
        <v>0.05</v>
      </c>
      <c r="H3519" t="s">
        <v>865</v>
      </c>
      <c r="I3519" t="str">
        <f>VLOOKUP(C3519,Customers!A:C,2,FALSE)&amp;" "&amp;VLOOKUP(C3519,Customers!A:C,3,FALSE)</f>
        <v>Peter Edwards</v>
      </c>
      <c r="J3519" t="str">
        <f>VLOOKUP(D3519,Products!A:C,2,FALSE)</f>
        <v>Whether Bags</v>
      </c>
      <c r="K3519" t="str">
        <f>VLOOKUP(D3519,Products!A:C,3,FALSE)</f>
        <v>Fashion</v>
      </c>
      <c r="L3519" t="str">
        <f>VLOOKUP(E3519,Stores!A:B,2,FALSE)</f>
        <v>MegaMart Peckmouth</v>
      </c>
      <c r="M3519">
        <f>VLOOKUP(D3519,Products!A:E,5,FALSE)</f>
        <v>270.45</v>
      </c>
      <c r="N3519" s="5">
        <f t="shared" si="54"/>
        <v>1284.6375</v>
      </c>
    </row>
    <row r="3520" spans="1:14" x14ac:dyDescent="0.3">
      <c r="A3520" t="s">
        <v>4376</v>
      </c>
      <c r="B3520" s="2">
        <v>45766</v>
      </c>
      <c r="C3520" t="s">
        <v>567</v>
      </c>
      <c r="D3520" t="s">
        <v>711</v>
      </c>
      <c r="E3520" t="s">
        <v>842</v>
      </c>
      <c r="F3520">
        <v>3</v>
      </c>
      <c r="G3520">
        <v>0.15</v>
      </c>
      <c r="H3520" t="s">
        <v>865</v>
      </c>
      <c r="I3520" t="str">
        <f>VLOOKUP(C3520,Customers!A:C,2,FALSE)&amp;" "&amp;VLOOKUP(C3520,Customers!A:C,3,FALSE)</f>
        <v>Crystal Aguirre</v>
      </c>
      <c r="J3520" t="str">
        <f>VLOOKUP(D3520,Products!A:C,2,FALSE)</f>
        <v>Like Camera</v>
      </c>
      <c r="K3520" t="str">
        <f>VLOOKUP(D3520,Products!A:C,3,FALSE)</f>
        <v>Electronics</v>
      </c>
      <c r="L3520" t="str">
        <f>VLOOKUP(E3520,Stores!A:B,2,FALSE)</f>
        <v>MegaMart Brianahaven</v>
      </c>
      <c r="M3520">
        <f>VLOOKUP(D3520,Products!A:E,5,FALSE)</f>
        <v>1673.69</v>
      </c>
      <c r="N3520" s="5">
        <f t="shared" si="54"/>
        <v>4267.9094999999998</v>
      </c>
    </row>
    <row r="3521" spans="1:14" x14ac:dyDescent="0.3">
      <c r="A3521" t="s">
        <v>4377</v>
      </c>
      <c r="B3521" s="2">
        <v>45364</v>
      </c>
      <c r="C3521" t="s">
        <v>567</v>
      </c>
      <c r="D3521" t="s">
        <v>808</v>
      </c>
      <c r="E3521" t="s">
        <v>831</v>
      </c>
      <c r="F3521">
        <v>4</v>
      </c>
      <c r="G3521">
        <v>0.15</v>
      </c>
      <c r="H3521" t="s">
        <v>858</v>
      </c>
      <c r="I3521" t="str">
        <f>VLOOKUP(C3521,Customers!A:C,2,FALSE)&amp;" "&amp;VLOOKUP(C3521,Customers!A:C,3,FALSE)</f>
        <v>Crystal Aguirre</v>
      </c>
      <c r="J3521" t="str">
        <f>VLOOKUP(D3521,Products!A:C,2,FALSE)</f>
        <v>Present Television</v>
      </c>
      <c r="K3521" t="str">
        <f>VLOOKUP(D3521,Products!A:C,3,FALSE)</f>
        <v>Electronics</v>
      </c>
      <c r="L3521" t="str">
        <f>VLOOKUP(E3521,Stores!A:B,2,FALSE)</f>
        <v>MegaMart Jimenezborough</v>
      </c>
      <c r="M3521">
        <f>VLOOKUP(D3521,Products!A:E,5,FALSE)</f>
        <v>1635.01</v>
      </c>
      <c r="N3521" s="5">
        <f t="shared" si="54"/>
        <v>5559.0339999999997</v>
      </c>
    </row>
    <row r="3522" spans="1:14" x14ac:dyDescent="0.3">
      <c r="A3522" t="s">
        <v>4378</v>
      </c>
      <c r="B3522" s="2">
        <v>45712</v>
      </c>
      <c r="C3522" t="s">
        <v>372</v>
      </c>
      <c r="D3522" t="s">
        <v>826</v>
      </c>
      <c r="E3522" t="s">
        <v>846</v>
      </c>
      <c r="F3522">
        <v>2</v>
      </c>
      <c r="G3522">
        <v>0.15</v>
      </c>
      <c r="H3522" t="s">
        <v>858</v>
      </c>
      <c r="I3522" t="str">
        <f>VLOOKUP(C3522,Customers!A:C,2,FALSE)&amp;" "&amp;VLOOKUP(C3522,Customers!A:C,3,FALSE)</f>
        <v>Kimberly Jones</v>
      </c>
      <c r="J3522" t="str">
        <f>VLOOKUP(D3522,Products!A:C,2,FALSE)</f>
        <v>Maybe Footwear</v>
      </c>
      <c r="K3522" t="str">
        <f>VLOOKUP(D3522,Products!A:C,3,FALSE)</f>
        <v>Fashion</v>
      </c>
      <c r="L3522" t="str">
        <f>VLOOKUP(E3522,Stores!A:B,2,FALSE)</f>
        <v>MegaMart Johnmouth</v>
      </c>
      <c r="M3522">
        <f>VLOOKUP(D3522,Products!A:E,5,FALSE)</f>
        <v>1044.6400000000001</v>
      </c>
      <c r="N3522" s="5">
        <f t="shared" si="54"/>
        <v>1775.8880000000001</v>
      </c>
    </row>
    <row r="3523" spans="1:14" x14ac:dyDescent="0.3">
      <c r="A3523" t="s">
        <v>4379</v>
      </c>
      <c r="B3523" s="2">
        <v>45534</v>
      </c>
      <c r="C3523" t="s">
        <v>650</v>
      </c>
      <c r="D3523" t="s">
        <v>766</v>
      </c>
      <c r="E3523" t="s">
        <v>835</v>
      </c>
      <c r="F3523">
        <v>2</v>
      </c>
      <c r="G3523">
        <v>0.1</v>
      </c>
      <c r="H3523" t="s">
        <v>861</v>
      </c>
      <c r="I3523" t="str">
        <f>VLOOKUP(C3523,Customers!A:C,2,FALSE)&amp;" "&amp;VLOOKUP(C3523,Customers!A:C,3,FALSE)</f>
        <v>Daniel Mcintyre</v>
      </c>
      <c r="J3523" t="str">
        <f>VLOOKUP(D3523,Products!A:C,2,FALSE)</f>
        <v>Firm Dairy</v>
      </c>
      <c r="K3523" t="str">
        <f>VLOOKUP(D3523,Products!A:C,3,FALSE)</f>
        <v>Groceries</v>
      </c>
      <c r="L3523" t="str">
        <f>VLOOKUP(E3523,Stores!A:B,2,FALSE)</f>
        <v>MegaMart Peckmouth</v>
      </c>
      <c r="M3523">
        <f>VLOOKUP(D3523,Products!A:E,5,FALSE)</f>
        <v>1227.24</v>
      </c>
      <c r="N3523" s="5">
        <f t="shared" ref="N3523:N3586" si="55">F3523*M3523*(1-G3523)</f>
        <v>2209.0320000000002</v>
      </c>
    </row>
    <row r="3524" spans="1:14" x14ac:dyDescent="0.3">
      <c r="A3524" t="s">
        <v>4380</v>
      </c>
      <c r="B3524" s="2">
        <v>45321</v>
      </c>
      <c r="C3524" t="s">
        <v>467</v>
      </c>
      <c r="D3524" t="s">
        <v>824</v>
      </c>
      <c r="E3524" t="s">
        <v>831</v>
      </c>
      <c r="F3524">
        <v>5</v>
      </c>
      <c r="G3524">
        <v>0.1</v>
      </c>
      <c r="H3524" t="s">
        <v>865</v>
      </c>
      <c r="I3524" t="str">
        <f>VLOOKUP(C3524,Customers!A:C,2,FALSE)&amp;" "&amp;VLOOKUP(C3524,Customers!A:C,3,FALSE)</f>
        <v>John Allen</v>
      </c>
      <c r="J3524" t="str">
        <f>VLOOKUP(D3524,Products!A:C,2,FALSE)</f>
        <v>Possible Watches</v>
      </c>
      <c r="K3524" t="str">
        <f>VLOOKUP(D3524,Products!A:C,3,FALSE)</f>
        <v>Fashion</v>
      </c>
      <c r="L3524" t="str">
        <f>VLOOKUP(E3524,Stores!A:B,2,FALSE)</f>
        <v>MegaMart Jimenezborough</v>
      </c>
      <c r="M3524">
        <f>VLOOKUP(D3524,Products!A:E,5,FALSE)</f>
        <v>388.26</v>
      </c>
      <c r="N3524" s="5">
        <f t="shared" si="55"/>
        <v>1747.17</v>
      </c>
    </row>
    <row r="3525" spans="1:14" x14ac:dyDescent="0.3">
      <c r="A3525" t="s">
        <v>4381</v>
      </c>
      <c r="B3525" s="2">
        <v>45899</v>
      </c>
      <c r="C3525" t="s">
        <v>386</v>
      </c>
      <c r="D3525" t="s">
        <v>806</v>
      </c>
      <c r="E3525" t="s">
        <v>835</v>
      </c>
      <c r="F3525">
        <v>2</v>
      </c>
      <c r="G3525">
        <v>0.1</v>
      </c>
      <c r="H3525" t="s">
        <v>865</v>
      </c>
      <c r="I3525" t="str">
        <f>VLOOKUP(C3525,Customers!A:C,2,FALSE)&amp;" "&amp;VLOOKUP(C3525,Customers!A:C,3,FALSE)</f>
        <v>David Burns</v>
      </c>
      <c r="J3525" t="str">
        <f>VLOOKUP(D3525,Products!A:C,2,FALSE)</f>
        <v>Piece Headphones</v>
      </c>
      <c r="K3525" t="str">
        <f>VLOOKUP(D3525,Products!A:C,3,FALSE)</f>
        <v>Electronics</v>
      </c>
      <c r="L3525" t="str">
        <f>VLOOKUP(E3525,Stores!A:B,2,FALSE)</f>
        <v>MegaMart Peckmouth</v>
      </c>
      <c r="M3525">
        <f>VLOOKUP(D3525,Products!A:E,5,FALSE)</f>
        <v>1745.61</v>
      </c>
      <c r="N3525" s="5">
        <f t="shared" si="55"/>
        <v>3142.098</v>
      </c>
    </row>
    <row r="3526" spans="1:14" x14ac:dyDescent="0.3">
      <c r="A3526" t="s">
        <v>4382</v>
      </c>
      <c r="B3526" s="2">
        <v>45379</v>
      </c>
      <c r="C3526" t="s">
        <v>633</v>
      </c>
      <c r="D3526" t="s">
        <v>804</v>
      </c>
      <c r="E3526" t="s">
        <v>839</v>
      </c>
      <c r="F3526">
        <v>1</v>
      </c>
      <c r="G3526">
        <v>0.1</v>
      </c>
      <c r="H3526" t="s">
        <v>858</v>
      </c>
      <c r="I3526" t="str">
        <f>VLOOKUP(C3526,Customers!A:C,2,FALSE)&amp;" "&amp;VLOOKUP(C3526,Customers!A:C,3,FALSE)</f>
        <v>Dennis Wallace</v>
      </c>
      <c r="J3526" t="str">
        <f>VLOOKUP(D3526,Products!A:C,2,FALSE)</f>
        <v>Church Clothing</v>
      </c>
      <c r="K3526" t="str">
        <f>VLOOKUP(D3526,Products!A:C,3,FALSE)</f>
        <v>Fashion</v>
      </c>
      <c r="L3526" t="str">
        <f>VLOOKUP(E3526,Stores!A:B,2,FALSE)</f>
        <v>MegaMart New Michele</v>
      </c>
      <c r="M3526">
        <f>VLOOKUP(D3526,Products!A:E,5,FALSE)</f>
        <v>540.94000000000005</v>
      </c>
      <c r="N3526" s="5">
        <f t="shared" si="55"/>
        <v>486.84600000000006</v>
      </c>
    </row>
    <row r="3527" spans="1:14" x14ac:dyDescent="0.3">
      <c r="A3527" t="s">
        <v>4383</v>
      </c>
      <c r="B3527" s="2">
        <v>45715</v>
      </c>
      <c r="C3527" t="s">
        <v>368</v>
      </c>
      <c r="D3527" t="s">
        <v>796</v>
      </c>
      <c r="E3527" t="s">
        <v>846</v>
      </c>
      <c r="F3527">
        <v>3</v>
      </c>
      <c r="G3527">
        <v>0.15</v>
      </c>
      <c r="H3527" t="s">
        <v>865</v>
      </c>
      <c r="I3527" t="str">
        <f>VLOOKUP(C3527,Customers!A:C,2,FALSE)&amp;" "&amp;VLOOKUP(C3527,Customers!A:C,3,FALSE)</f>
        <v>Lisa Vega</v>
      </c>
      <c r="J3527" t="str">
        <f>VLOOKUP(D3527,Products!A:C,2,FALSE)</f>
        <v>Chair Laptop</v>
      </c>
      <c r="K3527" t="str">
        <f>VLOOKUP(D3527,Products!A:C,3,FALSE)</f>
        <v>Electronics</v>
      </c>
      <c r="L3527" t="str">
        <f>VLOOKUP(E3527,Stores!A:B,2,FALSE)</f>
        <v>MegaMart Johnmouth</v>
      </c>
      <c r="M3527">
        <f>VLOOKUP(D3527,Products!A:E,5,FALSE)</f>
        <v>1562.43</v>
      </c>
      <c r="N3527" s="5">
        <f t="shared" si="55"/>
        <v>3984.1965</v>
      </c>
    </row>
    <row r="3528" spans="1:14" x14ac:dyDescent="0.3">
      <c r="A3528" t="s">
        <v>4384</v>
      </c>
      <c r="B3528" s="2">
        <v>45464</v>
      </c>
      <c r="C3528" t="s">
        <v>36</v>
      </c>
      <c r="D3528" t="s">
        <v>757</v>
      </c>
      <c r="E3528" t="s">
        <v>831</v>
      </c>
      <c r="F3528">
        <v>2</v>
      </c>
      <c r="G3528">
        <v>0.1</v>
      </c>
      <c r="H3528" t="s">
        <v>861</v>
      </c>
      <c r="I3528" t="str">
        <f>VLOOKUP(C3528,Customers!A:C,2,FALSE)&amp;" "&amp;VLOOKUP(C3528,Customers!A:C,3,FALSE)</f>
        <v>Isaiah Williams</v>
      </c>
      <c r="J3528" t="str">
        <f>VLOOKUP(D3528,Products!A:C,2,FALSE)</f>
        <v>Find Headphones</v>
      </c>
      <c r="K3528" t="str">
        <f>VLOOKUP(D3528,Products!A:C,3,FALSE)</f>
        <v>Electronics</v>
      </c>
      <c r="L3528" t="str">
        <f>VLOOKUP(E3528,Stores!A:B,2,FALSE)</f>
        <v>MegaMart Jimenezborough</v>
      </c>
      <c r="M3528">
        <f>VLOOKUP(D3528,Products!A:E,5,FALSE)</f>
        <v>1246.1099999999999</v>
      </c>
      <c r="N3528" s="5">
        <f t="shared" si="55"/>
        <v>2242.998</v>
      </c>
    </row>
    <row r="3529" spans="1:14" x14ac:dyDescent="0.3">
      <c r="A3529" t="s">
        <v>4385</v>
      </c>
      <c r="B3529" s="2">
        <v>45622</v>
      </c>
      <c r="C3529" t="s">
        <v>702</v>
      </c>
      <c r="D3529" t="s">
        <v>806</v>
      </c>
      <c r="E3529" t="s">
        <v>839</v>
      </c>
      <c r="F3529">
        <v>3</v>
      </c>
      <c r="G3529">
        <v>0.1</v>
      </c>
      <c r="H3529" t="s">
        <v>855</v>
      </c>
      <c r="I3529" t="str">
        <f>VLOOKUP(C3529,Customers!A:C,2,FALSE)&amp;" "&amp;VLOOKUP(C3529,Customers!A:C,3,FALSE)</f>
        <v>Ronald Haley</v>
      </c>
      <c r="J3529" t="str">
        <f>VLOOKUP(D3529,Products!A:C,2,FALSE)</f>
        <v>Piece Headphones</v>
      </c>
      <c r="K3529" t="str">
        <f>VLOOKUP(D3529,Products!A:C,3,FALSE)</f>
        <v>Electronics</v>
      </c>
      <c r="L3529" t="str">
        <f>VLOOKUP(E3529,Stores!A:B,2,FALSE)</f>
        <v>MegaMart New Michele</v>
      </c>
      <c r="M3529">
        <f>VLOOKUP(D3529,Products!A:E,5,FALSE)</f>
        <v>1745.61</v>
      </c>
      <c r="N3529" s="5">
        <f t="shared" si="55"/>
        <v>4713.1469999999999</v>
      </c>
    </row>
    <row r="3530" spans="1:14" x14ac:dyDescent="0.3">
      <c r="A3530" t="s">
        <v>4386</v>
      </c>
      <c r="B3530" s="2">
        <v>45776</v>
      </c>
      <c r="C3530" t="s">
        <v>183</v>
      </c>
      <c r="D3530" t="s">
        <v>734</v>
      </c>
      <c r="E3530" t="s">
        <v>846</v>
      </c>
      <c r="F3530">
        <v>4</v>
      </c>
      <c r="G3530">
        <v>0.15</v>
      </c>
      <c r="H3530" t="s">
        <v>858</v>
      </c>
      <c r="I3530" t="str">
        <f>VLOOKUP(C3530,Customers!A:C,2,FALSE)&amp;" "&amp;VLOOKUP(C3530,Customers!A:C,3,FALSE)</f>
        <v>Mary Decker</v>
      </c>
      <c r="J3530" t="str">
        <f>VLOOKUP(D3530,Products!A:C,2,FALSE)</f>
        <v>Recognize Footwear</v>
      </c>
      <c r="K3530" t="str">
        <f>VLOOKUP(D3530,Products!A:C,3,FALSE)</f>
        <v>Fashion</v>
      </c>
      <c r="L3530" t="str">
        <f>VLOOKUP(E3530,Stores!A:B,2,FALSE)</f>
        <v>MegaMart Johnmouth</v>
      </c>
      <c r="M3530">
        <f>VLOOKUP(D3530,Products!A:E,5,FALSE)</f>
        <v>109.78</v>
      </c>
      <c r="N3530" s="5">
        <f t="shared" si="55"/>
        <v>373.25200000000001</v>
      </c>
    </row>
    <row r="3531" spans="1:14" x14ac:dyDescent="0.3">
      <c r="A3531" t="s">
        <v>4387</v>
      </c>
      <c r="B3531" s="2">
        <v>45463</v>
      </c>
      <c r="C3531" t="s">
        <v>198</v>
      </c>
      <c r="D3531" t="s">
        <v>757</v>
      </c>
      <c r="E3531" t="s">
        <v>835</v>
      </c>
      <c r="F3531">
        <v>3</v>
      </c>
      <c r="G3531">
        <v>0.1</v>
      </c>
      <c r="H3531" t="s">
        <v>861</v>
      </c>
      <c r="I3531" t="str">
        <f>VLOOKUP(C3531,Customers!A:C,2,FALSE)&amp;" "&amp;VLOOKUP(C3531,Customers!A:C,3,FALSE)</f>
        <v>Madison Sellers</v>
      </c>
      <c r="J3531" t="str">
        <f>VLOOKUP(D3531,Products!A:C,2,FALSE)</f>
        <v>Find Headphones</v>
      </c>
      <c r="K3531" t="str">
        <f>VLOOKUP(D3531,Products!A:C,3,FALSE)</f>
        <v>Electronics</v>
      </c>
      <c r="L3531" t="str">
        <f>VLOOKUP(E3531,Stores!A:B,2,FALSE)</f>
        <v>MegaMart Peckmouth</v>
      </c>
      <c r="M3531">
        <f>VLOOKUP(D3531,Products!A:E,5,FALSE)</f>
        <v>1246.1099999999999</v>
      </c>
      <c r="N3531" s="5">
        <f t="shared" si="55"/>
        <v>3364.4969999999998</v>
      </c>
    </row>
    <row r="3532" spans="1:14" x14ac:dyDescent="0.3">
      <c r="A3532" t="s">
        <v>4388</v>
      </c>
      <c r="B3532" s="2">
        <v>45331</v>
      </c>
      <c r="C3532" t="s">
        <v>585</v>
      </c>
      <c r="D3532" t="s">
        <v>784</v>
      </c>
      <c r="E3532" t="s">
        <v>835</v>
      </c>
      <c r="F3532">
        <v>2</v>
      </c>
      <c r="G3532">
        <v>0.1</v>
      </c>
      <c r="H3532" t="s">
        <v>858</v>
      </c>
      <c r="I3532" t="str">
        <f>VLOOKUP(C3532,Customers!A:C,2,FALSE)&amp;" "&amp;VLOOKUP(C3532,Customers!A:C,3,FALSE)</f>
        <v>Linda Vasquez</v>
      </c>
      <c r="J3532" t="str">
        <f>VLOOKUP(D3532,Products!A:C,2,FALSE)</f>
        <v>Road Clothing</v>
      </c>
      <c r="K3532" t="str">
        <f>VLOOKUP(D3532,Products!A:C,3,FALSE)</f>
        <v>Fashion</v>
      </c>
      <c r="L3532" t="str">
        <f>VLOOKUP(E3532,Stores!A:B,2,FALSE)</f>
        <v>MegaMart Peckmouth</v>
      </c>
      <c r="M3532">
        <f>VLOOKUP(D3532,Products!A:E,5,FALSE)</f>
        <v>1485.05</v>
      </c>
      <c r="N3532" s="5">
        <f t="shared" si="55"/>
        <v>2673.09</v>
      </c>
    </row>
    <row r="3533" spans="1:14" x14ac:dyDescent="0.3">
      <c r="A3533" t="s">
        <v>4389</v>
      </c>
      <c r="B3533" s="2">
        <v>45723</v>
      </c>
      <c r="C3533" t="s">
        <v>221</v>
      </c>
      <c r="D3533" t="s">
        <v>761</v>
      </c>
      <c r="E3533" t="s">
        <v>835</v>
      </c>
      <c r="F3533">
        <v>5</v>
      </c>
      <c r="G3533">
        <v>0</v>
      </c>
      <c r="H3533" t="s">
        <v>855</v>
      </c>
      <c r="I3533" t="str">
        <f>VLOOKUP(C3533,Customers!A:C,2,FALSE)&amp;" "&amp;VLOOKUP(C3533,Customers!A:C,3,FALSE)</f>
        <v>Julie Gibson</v>
      </c>
      <c r="J3533" t="str">
        <f>VLOOKUP(D3533,Products!A:C,2,FALSE)</f>
        <v>Traditional Laptop</v>
      </c>
      <c r="K3533" t="str">
        <f>VLOOKUP(D3533,Products!A:C,3,FALSE)</f>
        <v>Electronics</v>
      </c>
      <c r="L3533" t="str">
        <f>VLOOKUP(E3533,Stores!A:B,2,FALSE)</f>
        <v>MegaMart Peckmouth</v>
      </c>
      <c r="M3533">
        <f>VLOOKUP(D3533,Products!A:E,5,FALSE)</f>
        <v>1762.92</v>
      </c>
      <c r="N3533" s="5">
        <f t="shared" si="55"/>
        <v>8814.6</v>
      </c>
    </row>
    <row r="3534" spans="1:14" x14ac:dyDescent="0.3">
      <c r="A3534" t="s">
        <v>4390</v>
      </c>
      <c r="B3534" s="2">
        <v>45254</v>
      </c>
      <c r="C3534" t="s">
        <v>390</v>
      </c>
      <c r="D3534" t="s">
        <v>810</v>
      </c>
      <c r="E3534" t="s">
        <v>835</v>
      </c>
      <c r="F3534">
        <v>3</v>
      </c>
      <c r="G3534">
        <v>0</v>
      </c>
      <c r="H3534" t="s">
        <v>855</v>
      </c>
      <c r="I3534" t="str">
        <f>VLOOKUP(C3534,Customers!A:C,2,FALSE)&amp;" "&amp;VLOOKUP(C3534,Customers!A:C,3,FALSE)</f>
        <v>Brenda Dean</v>
      </c>
      <c r="J3534" t="str">
        <f>VLOOKUP(D3534,Products!A:C,2,FALSE)</f>
        <v>Maybe Clothing</v>
      </c>
      <c r="K3534" t="str">
        <f>VLOOKUP(D3534,Products!A:C,3,FALSE)</f>
        <v>Fashion</v>
      </c>
      <c r="L3534" t="str">
        <f>VLOOKUP(E3534,Stores!A:B,2,FALSE)</f>
        <v>MegaMart Peckmouth</v>
      </c>
      <c r="M3534">
        <f>VLOOKUP(D3534,Products!A:E,5,FALSE)</f>
        <v>453.62</v>
      </c>
      <c r="N3534" s="5">
        <f t="shared" si="55"/>
        <v>1360.8600000000001</v>
      </c>
    </row>
    <row r="3535" spans="1:14" x14ac:dyDescent="0.3">
      <c r="A3535" t="s">
        <v>4391</v>
      </c>
      <c r="B3535" s="2">
        <v>45524</v>
      </c>
      <c r="C3535" t="s">
        <v>187</v>
      </c>
      <c r="D3535" t="s">
        <v>769</v>
      </c>
      <c r="E3535" t="s">
        <v>846</v>
      </c>
      <c r="F3535">
        <v>3</v>
      </c>
      <c r="G3535">
        <v>0.15</v>
      </c>
      <c r="H3535" t="s">
        <v>861</v>
      </c>
      <c r="I3535" t="str">
        <f>VLOOKUP(C3535,Customers!A:C,2,FALSE)&amp;" "&amp;VLOOKUP(C3535,Customers!A:C,3,FALSE)</f>
        <v>Alexis Crane</v>
      </c>
      <c r="J3535" t="str">
        <f>VLOOKUP(D3535,Products!A:C,2,FALSE)</f>
        <v>How Vegetables</v>
      </c>
      <c r="K3535" t="str">
        <f>VLOOKUP(D3535,Products!A:C,3,FALSE)</f>
        <v>Groceries</v>
      </c>
      <c r="L3535" t="str">
        <f>VLOOKUP(E3535,Stores!A:B,2,FALSE)</f>
        <v>MegaMart Johnmouth</v>
      </c>
      <c r="M3535">
        <f>VLOOKUP(D3535,Products!A:E,5,FALSE)</f>
        <v>25.57</v>
      </c>
      <c r="N3535" s="5">
        <f t="shared" si="55"/>
        <v>65.203500000000005</v>
      </c>
    </row>
    <row r="3536" spans="1:14" x14ac:dyDescent="0.3">
      <c r="A3536" t="s">
        <v>4392</v>
      </c>
      <c r="B3536" s="2">
        <v>45826</v>
      </c>
      <c r="C3536" t="s">
        <v>331</v>
      </c>
      <c r="D3536" t="s">
        <v>774</v>
      </c>
      <c r="E3536" t="s">
        <v>842</v>
      </c>
      <c r="F3536">
        <v>2</v>
      </c>
      <c r="G3536">
        <v>0.05</v>
      </c>
      <c r="H3536" t="s">
        <v>858</v>
      </c>
      <c r="I3536" t="str">
        <f>VLOOKUP(C3536,Customers!A:C,2,FALSE)&amp;" "&amp;VLOOKUP(C3536,Customers!A:C,3,FALSE)</f>
        <v>Brenda Costa</v>
      </c>
      <c r="J3536" t="str">
        <f>VLOOKUP(D3536,Products!A:C,2,FALSE)</f>
        <v>Him Smartphone</v>
      </c>
      <c r="K3536" t="str">
        <f>VLOOKUP(D3536,Products!A:C,3,FALSE)</f>
        <v>Electronics</v>
      </c>
      <c r="L3536" t="str">
        <f>VLOOKUP(E3536,Stores!A:B,2,FALSE)</f>
        <v>MegaMart Brianahaven</v>
      </c>
      <c r="M3536">
        <f>VLOOKUP(D3536,Products!A:E,5,FALSE)</f>
        <v>1487.41</v>
      </c>
      <c r="N3536" s="5">
        <f t="shared" si="55"/>
        <v>2826.0790000000002</v>
      </c>
    </row>
    <row r="3537" spans="1:14" x14ac:dyDescent="0.3">
      <c r="A3537" t="s">
        <v>4393</v>
      </c>
      <c r="B3537" s="2">
        <v>45294</v>
      </c>
      <c r="C3537" t="s">
        <v>545</v>
      </c>
      <c r="D3537" t="s">
        <v>788</v>
      </c>
      <c r="E3537" t="s">
        <v>835</v>
      </c>
      <c r="F3537">
        <v>2</v>
      </c>
      <c r="G3537">
        <v>0.1</v>
      </c>
      <c r="H3537" t="s">
        <v>855</v>
      </c>
      <c r="I3537" t="str">
        <f>VLOOKUP(C3537,Customers!A:C,2,FALSE)&amp;" "&amp;VLOOKUP(C3537,Customers!A:C,3,FALSE)</f>
        <v>Dawn Fletcher</v>
      </c>
      <c r="J3537" t="str">
        <f>VLOOKUP(D3537,Products!A:C,2,FALSE)</f>
        <v>Foot Snacks</v>
      </c>
      <c r="K3537" t="str">
        <f>VLOOKUP(D3537,Products!A:C,3,FALSE)</f>
        <v>Groceries</v>
      </c>
      <c r="L3537" t="str">
        <f>VLOOKUP(E3537,Stores!A:B,2,FALSE)</f>
        <v>MegaMart Peckmouth</v>
      </c>
      <c r="M3537">
        <f>VLOOKUP(D3537,Products!A:E,5,FALSE)</f>
        <v>1095.72</v>
      </c>
      <c r="N3537" s="5">
        <f t="shared" si="55"/>
        <v>1972.296</v>
      </c>
    </row>
    <row r="3538" spans="1:14" x14ac:dyDescent="0.3">
      <c r="A3538" t="s">
        <v>4394</v>
      </c>
      <c r="B3538" s="2">
        <v>45319</v>
      </c>
      <c r="C3538" t="s">
        <v>109</v>
      </c>
      <c r="D3538" t="s">
        <v>818</v>
      </c>
      <c r="E3538" t="s">
        <v>835</v>
      </c>
      <c r="F3538">
        <v>5</v>
      </c>
      <c r="G3538">
        <v>0</v>
      </c>
      <c r="H3538" t="s">
        <v>858</v>
      </c>
      <c r="I3538" t="str">
        <f>VLOOKUP(C3538,Customers!A:C,2,FALSE)&amp;" "&amp;VLOOKUP(C3538,Customers!A:C,3,FALSE)</f>
        <v>Jacqueline Martin</v>
      </c>
      <c r="J3538" t="str">
        <f>VLOOKUP(D3538,Products!A:C,2,FALSE)</f>
        <v>Nature Clothing</v>
      </c>
      <c r="K3538" t="str">
        <f>VLOOKUP(D3538,Products!A:C,3,FALSE)</f>
        <v>Fashion</v>
      </c>
      <c r="L3538" t="str">
        <f>VLOOKUP(E3538,Stores!A:B,2,FALSE)</f>
        <v>MegaMart Peckmouth</v>
      </c>
      <c r="M3538">
        <f>VLOOKUP(D3538,Products!A:E,5,FALSE)</f>
        <v>1165.3699999999999</v>
      </c>
      <c r="N3538" s="5">
        <f t="shared" si="55"/>
        <v>5826.8499999999995</v>
      </c>
    </row>
    <row r="3539" spans="1:14" x14ac:dyDescent="0.3">
      <c r="A3539" t="s">
        <v>4395</v>
      </c>
      <c r="B3539" s="2">
        <v>45187</v>
      </c>
      <c r="C3539" t="s">
        <v>358</v>
      </c>
      <c r="D3539" t="s">
        <v>826</v>
      </c>
      <c r="E3539" t="s">
        <v>839</v>
      </c>
      <c r="F3539">
        <v>1</v>
      </c>
      <c r="G3539">
        <v>0.15</v>
      </c>
      <c r="H3539" t="s">
        <v>855</v>
      </c>
      <c r="I3539" t="str">
        <f>VLOOKUP(C3539,Customers!A:C,2,FALSE)&amp;" "&amp;VLOOKUP(C3539,Customers!A:C,3,FALSE)</f>
        <v>Kevin Snyder</v>
      </c>
      <c r="J3539" t="str">
        <f>VLOOKUP(D3539,Products!A:C,2,FALSE)</f>
        <v>Maybe Footwear</v>
      </c>
      <c r="K3539" t="str">
        <f>VLOOKUP(D3539,Products!A:C,3,FALSE)</f>
        <v>Fashion</v>
      </c>
      <c r="L3539" t="str">
        <f>VLOOKUP(E3539,Stores!A:B,2,FALSE)</f>
        <v>MegaMart New Michele</v>
      </c>
      <c r="M3539">
        <f>VLOOKUP(D3539,Products!A:E,5,FALSE)</f>
        <v>1044.6400000000001</v>
      </c>
      <c r="N3539" s="5">
        <f t="shared" si="55"/>
        <v>887.94400000000007</v>
      </c>
    </row>
    <row r="3540" spans="1:14" x14ac:dyDescent="0.3">
      <c r="A3540" t="s">
        <v>4396</v>
      </c>
      <c r="B3540" s="2">
        <v>45780</v>
      </c>
      <c r="C3540" t="s">
        <v>372</v>
      </c>
      <c r="D3540" t="s">
        <v>728</v>
      </c>
      <c r="E3540" t="s">
        <v>846</v>
      </c>
      <c r="F3540">
        <v>3</v>
      </c>
      <c r="G3540">
        <v>0</v>
      </c>
      <c r="H3540" t="s">
        <v>855</v>
      </c>
      <c r="I3540" t="str">
        <f>VLOOKUP(C3540,Customers!A:C,2,FALSE)&amp;" "&amp;VLOOKUP(C3540,Customers!A:C,3,FALSE)</f>
        <v>Kimberly Jones</v>
      </c>
      <c r="J3540" t="str">
        <f>VLOOKUP(D3540,Products!A:C,2,FALSE)</f>
        <v>Company Fruits</v>
      </c>
      <c r="K3540" t="str">
        <f>VLOOKUP(D3540,Products!A:C,3,FALSE)</f>
        <v>Groceries</v>
      </c>
      <c r="L3540" t="str">
        <f>VLOOKUP(E3540,Stores!A:B,2,FALSE)</f>
        <v>MegaMart Johnmouth</v>
      </c>
      <c r="M3540">
        <f>VLOOKUP(D3540,Products!A:E,5,FALSE)</f>
        <v>318.05</v>
      </c>
      <c r="N3540" s="5">
        <f t="shared" si="55"/>
        <v>954.15000000000009</v>
      </c>
    </row>
    <row r="3541" spans="1:14" x14ac:dyDescent="0.3">
      <c r="A3541" t="s">
        <v>4397</v>
      </c>
      <c r="B3541" s="2">
        <v>45710</v>
      </c>
      <c r="C3541" t="s">
        <v>683</v>
      </c>
      <c r="D3541" t="s">
        <v>818</v>
      </c>
      <c r="E3541" t="s">
        <v>842</v>
      </c>
      <c r="F3541">
        <v>3</v>
      </c>
      <c r="G3541">
        <v>0.1</v>
      </c>
      <c r="H3541" t="s">
        <v>861</v>
      </c>
      <c r="I3541" t="str">
        <f>VLOOKUP(C3541,Customers!A:C,2,FALSE)&amp;" "&amp;VLOOKUP(C3541,Customers!A:C,3,FALSE)</f>
        <v>Ann West</v>
      </c>
      <c r="J3541" t="str">
        <f>VLOOKUP(D3541,Products!A:C,2,FALSE)</f>
        <v>Nature Clothing</v>
      </c>
      <c r="K3541" t="str">
        <f>VLOOKUP(D3541,Products!A:C,3,FALSE)</f>
        <v>Fashion</v>
      </c>
      <c r="L3541" t="str">
        <f>VLOOKUP(E3541,Stores!A:B,2,FALSE)</f>
        <v>MegaMart Brianahaven</v>
      </c>
      <c r="M3541">
        <f>VLOOKUP(D3541,Products!A:E,5,FALSE)</f>
        <v>1165.3699999999999</v>
      </c>
      <c r="N3541" s="5">
        <f t="shared" si="55"/>
        <v>3146.4989999999998</v>
      </c>
    </row>
    <row r="3542" spans="1:14" x14ac:dyDescent="0.3">
      <c r="A3542" t="s">
        <v>4398</v>
      </c>
      <c r="B3542" s="2">
        <v>45364</v>
      </c>
      <c r="C3542" t="s">
        <v>12</v>
      </c>
      <c r="D3542" t="s">
        <v>790</v>
      </c>
      <c r="E3542" t="s">
        <v>835</v>
      </c>
      <c r="F3542">
        <v>3</v>
      </c>
      <c r="G3542">
        <v>0</v>
      </c>
      <c r="H3542" t="s">
        <v>865</v>
      </c>
      <c r="I3542" t="str">
        <f>VLOOKUP(C3542,Customers!A:C,2,FALSE)&amp;" "&amp;VLOOKUP(C3542,Customers!A:C,3,FALSE)</f>
        <v>Michael Miller</v>
      </c>
      <c r="J3542" t="str">
        <f>VLOOKUP(D3542,Products!A:C,2,FALSE)</f>
        <v>Difficult Vegetables</v>
      </c>
      <c r="K3542" t="str">
        <f>VLOOKUP(D3542,Products!A:C,3,FALSE)</f>
        <v>Groceries</v>
      </c>
      <c r="L3542" t="str">
        <f>VLOOKUP(E3542,Stores!A:B,2,FALSE)</f>
        <v>MegaMart Peckmouth</v>
      </c>
      <c r="M3542">
        <f>VLOOKUP(D3542,Products!A:E,5,FALSE)</f>
        <v>304.70999999999998</v>
      </c>
      <c r="N3542" s="5">
        <f t="shared" si="55"/>
        <v>914.12999999999988</v>
      </c>
    </row>
    <row r="3543" spans="1:14" x14ac:dyDescent="0.3">
      <c r="A3543" t="s">
        <v>4399</v>
      </c>
      <c r="B3543" s="2">
        <v>45758</v>
      </c>
      <c r="C3543" t="s">
        <v>115</v>
      </c>
      <c r="D3543" t="s">
        <v>750</v>
      </c>
      <c r="E3543" t="s">
        <v>842</v>
      </c>
      <c r="F3543">
        <v>5</v>
      </c>
      <c r="G3543">
        <v>0.15</v>
      </c>
      <c r="H3543" t="s">
        <v>861</v>
      </c>
      <c r="I3543" t="str">
        <f>VLOOKUP(C3543,Customers!A:C,2,FALSE)&amp;" "&amp;VLOOKUP(C3543,Customers!A:C,3,FALSE)</f>
        <v>Tyler Levine</v>
      </c>
      <c r="J3543" t="str">
        <f>VLOOKUP(D3543,Products!A:C,2,FALSE)</f>
        <v>Add Clothing</v>
      </c>
      <c r="K3543" t="str">
        <f>VLOOKUP(D3543,Products!A:C,3,FALSE)</f>
        <v>Fashion</v>
      </c>
      <c r="L3543" t="str">
        <f>VLOOKUP(E3543,Stores!A:B,2,FALSE)</f>
        <v>MegaMart Brianahaven</v>
      </c>
      <c r="M3543">
        <f>VLOOKUP(D3543,Products!A:E,5,FALSE)</f>
        <v>1342.75</v>
      </c>
      <c r="N3543" s="5">
        <f t="shared" si="55"/>
        <v>5706.6875</v>
      </c>
    </row>
    <row r="3544" spans="1:14" x14ac:dyDescent="0.3">
      <c r="A3544" t="s">
        <v>4400</v>
      </c>
      <c r="B3544" s="2">
        <v>45189</v>
      </c>
      <c r="C3544" t="s">
        <v>55</v>
      </c>
      <c r="D3544" t="s">
        <v>753</v>
      </c>
      <c r="E3544" t="s">
        <v>835</v>
      </c>
      <c r="F3544">
        <v>5</v>
      </c>
      <c r="G3544">
        <v>0.1</v>
      </c>
      <c r="H3544" t="s">
        <v>861</v>
      </c>
      <c r="I3544" t="str">
        <f>VLOOKUP(C3544,Customers!A:C,2,FALSE)&amp;" "&amp;VLOOKUP(C3544,Customers!A:C,3,FALSE)</f>
        <v>Robert Anderson</v>
      </c>
      <c r="J3544" t="str">
        <f>VLOOKUP(D3544,Products!A:C,2,FALSE)</f>
        <v>Whether Bags</v>
      </c>
      <c r="K3544" t="str">
        <f>VLOOKUP(D3544,Products!A:C,3,FALSE)</f>
        <v>Fashion</v>
      </c>
      <c r="L3544" t="str">
        <f>VLOOKUP(E3544,Stores!A:B,2,FALSE)</f>
        <v>MegaMart Peckmouth</v>
      </c>
      <c r="M3544">
        <f>VLOOKUP(D3544,Products!A:E,5,FALSE)</f>
        <v>270.45</v>
      </c>
      <c r="N3544" s="5">
        <f t="shared" si="55"/>
        <v>1217.0250000000001</v>
      </c>
    </row>
    <row r="3545" spans="1:14" x14ac:dyDescent="0.3">
      <c r="A3545" t="s">
        <v>4401</v>
      </c>
      <c r="B3545" s="2">
        <v>45282</v>
      </c>
      <c r="C3545" t="s">
        <v>262</v>
      </c>
      <c r="D3545" t="s">
        <v>800</v>
      </c>
      <c r="E3545" t="s">
        <v>831</v>
      </c>
      <c r="F3545">
        <v>1</v>
      </c>
      <c r="G3545">
        <v>0.1</v>
      </c>
      <c r="H3545" t="s">
        <v>861</v>
      </c>
      <c r="I3545" t="str">
        <f>VLOOKUP(C3545,Customers!A:C,2,FALSE)&amp;" "&amp;VLOOKUP(C3545,Customers!A:C,3,FALSE)</f>
        <v>Gabriel Daugherty</v>
      </c>
      <c r="J3545" t="str">
        <f>VLOOKUP(D3545,Products!A:C,2,FALSE)</f>
        <v>Book Television</v>
      </c>
      <c r="K3545" t="str">
        <f>VLOOKUP(D3545,Products!A:C,3,FALSE)</f>
        <v>Electronics</v>
      </c>
      <c r="L3545" t="str">
        <f>VLOOKUP(E3545,Stores!A:B,2,FALSE)</f>
        <v>MegaMart Jimenezborough</v>
      </c>
      <c r="M3545">
        <f>VLOOKUP(D3545,Products!A:E,5,FALSE)</f>
        <v>1952.65</v>
      </c>
      <c r="N3545" s="5">
        <f t="shared" si="55"/>
        <v>1757.3850000000002</v>
      </c>
    </row>
    <row r="3546" spans="1:14" x14ac:dyDescent="0.3">
      <c r="A3546" t="s">
        <v>4402</v>
      </c>
      <c r="B3546" s="2">
        <v>45821</v>
      </c>
      <c r="C3546" t="s">
        <v>379</v>
      </c>
      <c r="D3546" t="s">
        <v>774</v>
      </c>
      <c r="E3546" t="s">
        <v>839</v>
      </c>
      <c r="F3546">
        <v>1</v>
      </c>
      <c r="G3546">
        <v>0.1</v>
      </c>
      <c r="H3546" t="s">
        <v>855</v>
      </c>
      <c r="I3546" t="str">
        <f>VLOOKUP(C3546,Customers!A:C,2,FALSE)&amp;" "&amp;VLOOKUP(C3546,Customers!A:C,3,FALSE)</f>
        <v>William Pope</v>
      </c>
      <c r="J3546" t="str">
        <f>VLOOKUP(D3546,Products!A:C,2,FALSE)</f>
        <v>Him Smartphone</v>
      </c>
      <c r="K3546" t="str">
        <f>VLOOKUP(D3546,Products!A:C,3,FALSE)</f>
        <v>Electronics</v>
      </c>
      <c r="L3546" t="str">
        <f>VLOOKUP(E3546,Stores!A:B,2,FALSE)</f>
        <v>MegaMart New Michele</v>
      </c>
      <c r="M3546">
        <f>VLOOKUP(D3546,Products!A:E,5,FALSE)</f>
        <v>1487.41</v>
      </c>
      <c r="N3546" s="5">
        <f t="shared" si="55"/>
        <v>1338.6690000000001</v>
      </c>
    </row>
    <row r="3547" spans="1:14" x14ac:dyDescent="0.3">
      <c r="A3547" t="s">
        <v>4403</v>
      </c>
      <c r="B3547" s="2">
        <v>45216</v>
      </c>
      <c r="C3547" t="s">
        <v>435</v>
      </c>
      <c r="D3547" t="s">
        <v>753</v>
      </c>
      <c r="E3547" t="s">
        <v>831</v>
      </c>
      <c r="F3547">
        <v>3</v>
      </c>
      <c r="G3547">
        <v>0.1</v>
      </c>
      <c r="H3547" t="s">
        <v>861</v>
      </c>
      <c r="I3547" t="str">
        <f>VLOOKUP(C3547,Customers!A:C,2,FALSE)&amp;" "&amp;VLOOKUP(C3547,Customers!A:C,3,FALSE)</f>
        <v>Timothy Beck</v>
      </c>
      <c r="J3547" t="str">
        <f>VLOOKUP(D3547,Products!A:C,2,FALSE)</f>
        <v>Whether Bags</v>
      </c>
      <c r="K3547" t="str">
        <f>VLOOKUP(D3547,Products!A:C,3,FALSE)</f>
        <v>Fashion</v>
      </c>
      <c r="L3547" t="str">
        <f>VLOOKUP(E3547,Stores!A:B,2,FALSE)</f>
        <v>MegaMart Jimenezborough</v>
      </c>
      <c r="M3547">
        <f>VLOOKUP(D3547,Products!A:E,5,FALSE)</f>
        <v>270.45</v>
      </c>
      <c r="N3547" s="5">
        <f t="shared" si="55"/>
        <v>730.21499999999992</v>
      </c>
    </row>
    <row r="3548" spans="1:14" x14ac:dyDescent="0.3">
      <c r="A3548" t="s">
        <v>4404</v>
      </c>
      <c r="B3548" s="2">
        <v>45468</v>
      </c>
      <c r="C3548" t="s">
        <v>112</v>
      </c>
      <c r="D3548" t="s">
        <v>776</v>
      </c>
      <c r="E3548" t="s">
        <v>835</v>
      </c>
      <c r="F3548">
        <v>2</v>
      </c>
      <c r="G3548">
        <v>0.1</v>
      </c>
      <c r="H3548" t="s">
        <v>861</v>
      </c>
      <c r="I3548" t="str">
        <f>VLOOKUP(C3548,Customers!A:C,2,FALSE)&amp;" "&amp;VLOOKUP(C3548,Customers!A:C,3,FALSE)</f>
        <v>John Carr</v>
      </c>
      <c r="J3548" t="str">
        <f>VLOOKUP(D3548,Products!A:C,2,FALSE)</f>
        <v>Little Watches</v>
      </c>
      <c r="K3548" t="str">
        <f>VLOOKUP(D3548,Products!A:C,3,FALSE)</f>
        <v>Fashion</v>
      </c>
      <c r="L3548" t="str">
        <f>VLOOKUP(E3548,Stores!A:B,2,FALSE)</f>
        <v>MegaMart Peckmouth</v>
      </c>
      <c r="M3548">
        <f>VLOOKUP(D3548,Products!A:E,5,FALSE)</f>
        <v>429.15</v>
      </c>
      <c r="N3548" s="5">
        <f t="shared" si="55"/>
        <v>772.47</v>
      </c>
    </row>
    <row r="3549" spans="1:14" x14ac:dyDescent="0.3">
      <c r="A3549" t="s">
        <v>4405</v>
      </c>
      <c r="B3549" s="2">
        <v>45632</v>
      </c>
      <c r="C3549" t="s">
        <v>403</v>
      </c>
      <c r="D3549" t="s">
        <v>766</v>
      </c>
      <c r="E3549" t="s">
        <v>842</v>
      </c>
      <c r="F3549">
        <v>5</v>
      </c>
      <c r="G3549">
        <v>0</v>
      </c>
      <c r="H3549" t="s">
        <v>861</v>
      </c>
      <c r="I3549" t="str">
        <f>VLOOKUP(C3549,Customers!A:C,2,FALSE)&amp;" "&amp;VLOOKUP(C3549,Customers!A:C,3,FALSE)</f>
        <v>Samantha Hill</v>
      </c>
      <c r="J3549" t="str">
        <f>VLOOKUP(D3549,Products!A:C,2,FALSE)</f>
        <v>Firm Dairy</v>
      </c>
      <c r="K3549" t="str">
        <f>VLOOKUP(D3549,Products!A:C,3,FALSE)</f>
        <v>Groceries</v>
      </c>
      <c r="L3549" t="str">
        <f>VLOOKUP(E3549,Stores!A:B,2,FALSE)</f>
        <v>MegaMart Brianahaven</v>
      </c>
      <c r="M3549">
        <f>VLOOKUP(D3549,Products!A:E,5,FALSE)</f>
        <v>1227.24</v>
      </c>
      <c r="N3549" s="5">
        <f t="shared" si="55"/>
        <v>6136.2</v>
      </c>
    </row>
    <row r="3550" spans="1:14" x14ac:dyDescent="0.3">
      <c r="A3550" t="s">
        <v>4406</v>
      </c>
      <c r="B3550" s="2">
        <v>45565</v>
      </c>
      <c r="C3550" t="s">
        <v>411</v>
      </c>
      <c r="D3550" t="s">
        <v>715</v>
      </c>
      <c r="E3550" t="s">
        <v>842</v>
      </c>
      <c r="F3550">
        <v>3</v>
      </c>
      <c r="G3550">
        <v>0</v>
      </c>
      <c r="H3550" t="s">
        <v>865</v>
      </c>
      <c r="I3550" t="str">
        <f>VLOOKUP(C3550,Customers!A:C,2,FALSE)&amp;" "&amp;VLOOKUP(C3550,Customers!A:C,3,FALSE)</f>
        <v>Travis Peters</v>
      </c>
      <c r="J3550" t="str">
        <f>VLOOKUP(D3550,Products!A:C,2,FALSE)</f>
        <v>Audience Television</v>
      </c>
      <c r="K3550" t="str">
        <f>VLOOKUP(D3550,Products!A:C,3,FALSE)</f>
        <v>Electronics</v>
      </c>
      <c r="L3550" t="str">
        <f>VLOOKUP(E3550,Stores!A:B,2,FALSE)</f>
        <v>MegaMart Brianahaven</v>
      </c>
      <c r="M3550">
        <f>VLOOKUP(D3550,Products!A:E,5,FALSE)</f>
        <v>818.76</v>
      </c>
      <c r="N3550" s="5">
        <f t="shared" si="55"/>
        <v>2456.2799999999997</v>
      </c>
    </row>
    <row r="3551" spans="1:14" x14ac:dyDescent="0.3">
      <c r="A3551" t="s">
        <v>4407</v>
      </c>
      <c r="B3551" s="2">
        <v>45662</v>
      </c>
      <c r="C3551" t="s">
        <v>570</v>
      </c>
      <c r="D3551" t="s">
        <v>818</v>
      </c>
      <c r="E3551" t="s">
        <v>839</v>
      </c>
      <c r="F3551">
        <v>2</v>
      </c>
      <c r="G3551">
        <v>0</v>
      </c>
      <c r="H3551" t="s">
        <v>855</v>
      </c>
      <c r="I3551" t="str">
        <f>VLOOKUP(C3551,Customers!A:C,2,FALSE)&amp;" "&amp;VLOOKUP(C3551,Customers!A:C,3,FALSE)</f>
        <v>Thomas Chung</v>
      </c>
      <c r="J3551" t="str">
        <f>VLOOKUP(D3551,Products!A:C,2,FALSE)</f>
        <v>Nature Clothing</v>
      </c>
      <c r="K3551" t="str">
        <f>VLOOKUP(D3551,Products!A:C,3,FALSE)</f>
        <v>Fashion</v>
      </c>
      <c r="L3551" t="str">
        <f>VLOOKUP(E3551,Stores!A:B,2,FALSE)</f>
        <v>MegaMart New Michele</v>
      </c>
      <c r="M3551">
        <f>VLOOKUP(D3551,Products!A:E,5,FALSE)</f>
        <v>1165.3699999999999</v>
      </c>
      <c r="N3551" s="5">
        <f t="shared" si="55"/>
        <v>2330.7399999999998</v>
      </c>
    </row>
    <row r="3552" spans="1:14" x14ac:dyDescent="0.3">
      <c r="A3552" t="s">
        <v>4408</v>
      </c>
      <c r="B3552" s="2">
        <v>45863</v>
      </c>
      <c r="C3552" t="s">
        <v>696</v>
      </c>
      <c r="D3552" t="s">
        <v>715</v>
      </c>
      <c r="E3552" t="s">
        <v>831</v>
      </c>
      <c r="F3552">
        <v>1</v>
      </c>
      <c r="G3552">
        <v>0.1</v>
      </c>
      <c r="H3552" t="s">
        <v>861</v>
      </c>
      <c r="I3552" t="str">
        <f>VLOOKUP(C3552,Customers!A:C,2,FALSE)&amp;" "&amp;VLOOKUP(C3552,Customers!A:C,3,FALSE)</f>
        <v>Jessica Mullins</v>
      </c>
      <c r="J3552" t="str">
        <f>VLOOKUP(D3552,Products!A:C,2,FALSE)</f>
        <v>Audience Television</v>
      </c>
      <c r="K3552" t="str">
        <f>VLOOKUP(D3552,Products!A:C,3,FALSE)</f>
        <v>Electronics</v>
      </c>
      <c r="L3552" t="str">
        <f>VLOOKUP(E3552,Stores!A:B,2,FALSE)</f>
        <v>MegaMart Jimenezborough</v>
      </c>
      <c r="M3552">
        <f>VLOOKUP(D3552,Products!A:E,5,FALSE)</f>
        <v>818.76</v>
      </c>
      <c r="N3552" s="5">
        <f t="shared" si="55"/>
        <v>736.88400000000001</v>
      </c>
    </row>
    <row r="3553" spans="1:14" x14ac:dyDescent="0.3">
      <c r="A3553" t="s">
        <v>4409</v>
      </c>
      <c r="B3553" s="2">
        <v>45887</v>
      </c>
      <c r="C3553" t="s">
        <v>435</v>
      </c>
      <c r="D3553" t="s">
        <v>800</v>
      </c>
      <c r="E3553" t="s">
        <v>842</v>
      </c>
      <c r="F3553">
        <v>5</v>
      </c>
      <c r="G3553">
        <v>0</v>
      </c>
      <c r="H3553" t="s">
        <v>858</v>
      </c>
      <c r="I3553" t="str">
        <f>VLOOKUP(C3553,Customers!A:C,2,FALSE)&amp;" "&amp;VLOOKUP(C3553,Customers!A:C,3,FALSE)</f>
        <v>Timothy Beck</v>
      </c>
      <c r="J3553" t="str">
        <f>VLOOKUP(D3553,Products!A:C,2,FALSE)</f>
        <v>Book Television</v>
      </c>
      <c r="K3553" t="str">
        <f>VLOOKUP(D3553,Products!A:C,3,FALSE)</f>
        <v>Electronics</v>
      </c>
      <c r="L3553" t="str">
        <f>VLOOKUP(E3553,Stores!A:B,2,FALSE)</f>
        <v>MegaMart Brianahaven</v>
      </c>
      <c r="M3553">
        <f>VLOOKUP(D3553,Products!A:E,5,FALSE)</f>
        <v>1952.65</v>
      </c>
      <c r="N3553" s="5">
        <f t="shared" si="55"/>
        <v>9763.25</v>
      </c>
    </row>
    <row r="3554" spans="1:14" x14ac:dyDescent="0.3">
      <c r="A3554" t="s">
        <v>4410</v>
      </c>
      <c r="B3554" s="2">
        <v>45344</v>
      </c>
      <c r="C3554" t="s">
        <v>524</v>
      </c>
      <c r="D3554" t="s">
        <v>780</v>
      </c>
      <c r="E3554" t="s">
        <v>831</v>
      </c>
      <c r="F3554">
        <v>5</v>
      </c>
      <c r="G3554">
        <v>0.05</v>
      </c>
      <c r="H3554" t="s">
        <v>858</v>
      </c>
      <c r="I3554" t="str">
        <f>VLOOKUP(C3554,Customers!A:C,2,FALSE)&amp;" "&amp;VLOOKUP(C3554,Customers!A:C,3,FALSE)</f>
        <v>Betty Johnson</v>
      </c>
      <c r="J3554" t="str">
        <f>VLOOKUP(D3554,Products!A:C,2,FALSE)</f>
        <v>Hospital Smartphone</v>
      </c>
      <c r="K3554" t="str">
        <f>VLOOKUP(D3554,Products!A:C,3,FALSE)</f>
        <v>Electronics</v>
      </c>
      <c r="L3554" t="str">
        <f>VLOOKUP(E3554,Stores!A:B,2,FALSE)</f>
        <v>MegaMart Jimenezborough</v>
      </c>
      <c r="M3554">
        <f>VLOOKUP(D3554,Products!A:E,5,FALSE)</f>
        <v>1272.23</v>
      </c>
      <c r="N3554" s="5">
        <f t="shared" si="55"/>
        <v>6043.0924999999997</v>
      </c>
    </row>
    <row r="3555" spans="1:14" x14ac:dyDescent="0.3">
      <c r="A3555" t="s">
        <v>4411</v>
      </c>
      <c r="B3555" s="2">
        <v>45248</v>
      </c>
      <c r="C3555" t="s">
        <v>12</v>
      </c>
      <c r="D3555" t="s">
        <v>769</v>
      </c>
      <c r="E3555" t="s">
        <v>839</v>
      </c>
      <c r="F3555">
        <v>3</v>
      </c>
      <c r="G3555">
        <v>0.05</v>
      </c>
      <c r="H3555" t="s">
        <v>861</v>
      </c>
      <c r="I3555" t="str">
        <f>VLOOKUP(C3555,Customers!A:C,2,FALSE)&amp;" "&amp;VLOOKUP(C3555,Customers!A:C,3,FALSE)</f>
        <v>Michael Miller</v>
      </c>
      <c r="J3555" t="str">
        <f>VLOOKUP(D3555,Products!A:C,2,FALSE)</f>
        <v>How Vegetables</v>
      </c>
      <c r="K3555" t="str">
        <f>VLOOKUP(D3555,Products!A:C,3,FALSE)</f>
        <v>Groceries</v>
      </c>
      <c r="L3555" t="str">
        <f>VLOOKUP(E3555,Stores!A:B,2,FALSE)</f>
        <v>MegaMart New Michele</v>
      </c>
      <c r="M3555">
        <f>VLOOKUP(D3555,Products!A:E,5,FALSE)</f>
        <v>25.57</v>
      </c>
      <c r="N3555" s="5">
        <f t="shared" si="55"/>
        <v>72.874499999999998</v>
      </c>
    </row>
    <row r="3556" spans="1:14" x14ac:dyDescent="0.3">
      <c r="A3556" t="s">
        <v>4412</v>
      </c>
      <c r="B3556" s="2">
        <v>45577</v>
      </c>
      <c r="C3556" t="s">
        <v>483</v>
      </c>
      <c r="D3556" t="s">
        <v>757</v>
      </c>
      <c r="E3556" t="s">
        <v>846</v>
      </c>
      <c r="F3556">
        <v>5</v>
      </c>
      <c r="G3556">
        <v>0.1</v>
      </c>
      <c r="H3556" t="s">
        <v>858</v>
      </c>
      <c r="I3556" t="str">
        <f>VLOOKUP(C3556,Customers!A:C,2,FALSE)&amp;" "&amp;VLOOKUP(C3556,Customers!A:C,3,FALSE)</f>
        <v>Jared Ochoa</v>
      </c>
      <c r="J3556" t="str">
        <f>VLOOKUP(D3556,Products!A:C,2,FALSE)</f>
        <v>Find Headphones</v>
      </c>
      <c r="K3556" t="str">
        <f>VLOOKUP(D3556,Products!A:C,3,FALSE)</f>
        <v>Electronics</v>
      </c>
      <c r="L3556" t="str">
        <f>VLOOKUP(E3556,Stores!A:B,2,FALSE)</f>
        <v>MegaMart Johnmouth</v>
      </c>
      <c r="M3556">
        <f>VLOOKUP(D3556,Products!A:E,5,FALSE)</f>
        <v>1246.1099999999999</v>
      </c>
      <c r="N3556" s="5">
        <f t="shared" si="55"/>
        <v>5607.4949999999999</v>
      </c>
    </row>
    <row r="3557" spans="1:14" x14ac:dyDescent="0.3">
      <c r="A3557" t="s">
        <v>4413</v>
      </c>
      <c r="B3557" s="2">
        <v>45711</v>
      </c>
      <c r="C3557" t="s">
        <v>163</v>
      </c>
      <c r="D3557" t="s">
        <v>784</v>
      </c>
      <c r="E3557" t="s">
        <v>835</v>
      </c>
      <c r="F3557">
        <v>3</v>
      </c>
      <c r="G3557">
        <v>0.15</v>
      </c>
      <c r="H3557" t="s">
        <v>858</v>
      </c>
      <c r="I3557" t="str">
        <f>VLOOKUP(C3557,Customers!A:C,2,FALSE)&amp;" "&amp;VLOOKUP(C3557,Customers!A:C,3,FALSE)</f>
        <v>Anna Andrews</v>
      </c>
      <c r="J3557" t="str">
        <f>VLOOKUP(D3557,Products!A:C,2,FALSE)</f>
        <v>Road Clothing</v>
      </c>
      <c r="K3557" t="str">
        <f>VLOOKUP(D3557,Products!A:C,3,FALSE)</f>
        <v>Fashion</v>
      </c>
      <c r="L3557" t="str">
        <f>VLOOKUP(E3557,Stores!A:B,2,FALSE)</f>
        <v>MegaMart Peckmouth</v>
      </c>
      <c r="M3557">
        <f>VLOOKUP(D3557,Products!A:E,5,FALSE)</f>
        <v>1485.05</v>
      </c>
      <c r="N3557" s="5">
        <f t="shared" si="55"/>
        <v>3786.8774999999996</v>
      </c>
    </row>
    <row r="3558" spans="1:14" x14ac:dyDescent="0.3">
      <c r="A3558" t="s">
        <v>4414</v>
      </c>
      <c r="B3558" s="2">
        <v>45326</v>
      </c>
      <c r="C3558" t="s">
        <v>63</v>
      </c>
      <c r="D3558" t="s">
        <v>747</v>
      </c>
      <c r="E3558" t="s">
        <v>839</v>
      </c>
      <c r="F3558">
        <v>5</v>
      </c>
      <c r="G3558">
        <v>0.15</v>
      </c>
      <c r="H3558" t="s">
        <v>858</v>
      </c>
      <c r="I3558" t="str">
        <f>VLOOKUP(C3558,Customers!A:C,2,FALSE)&amp;" "&amp;VLOOKUP(C3558,Customers!A:C,3,FALSE)</f>
        <v>Matthew Molina</v>
      </c>
      <c r="J3558" t="str">
        <f>VLOOKUP(D3558,Products!A:C,2,FALSE)</f>
        <v>World Watches</v>
      </c>
      <c r="K3558" t="str">
        <f>VLOOKUP(D3558,Products!A:C,3,FALSE)</f>
        <v>Fashion</v>
      </c>
      <c r="L3558" t="str">
        <f>VLOOKUP(E3558,Stores!A:B,2,FALSE)</f>
        <v>MegaMart New Michele</v>
      </c>
      <c r="M3558">
        <f>VLOOKUP(D3558,Products!A:E,5,FALSE)</f>
        <v>1134.8</v>
      </c>
      <c r="N3558" s="5">
        <f t="shared" si="55"/>
        <v>4822.8999999999996</v>
      </c>
    </row>
    <row r="3559" spans="1:14" x14ac:dyDescent="0.3">
      <c r="A3559" t="s">
        <v>4415</v>
      </c>
      <c r="B3559" s="2">
        <v>45455</v>
      </c>
      <c r="C3559" t="s">
        <v>503</v>
      </c>
      <c r="D3559" t="s">
        <v>780</v>
      </c>
      <c r="E3559" t="s">
        <v>842</v>
      </c>
      <c r="F3559">
        <v>3</v>
      </c>
      <c r="G3559">
        <v>0.1</v>
      </c>
      <c r="H3559" t="s">
        <v>861</v>
      </c>
      <c r="I3559" t="str">
        <f>VLOOKUP(C3559,Customers!A:C,2,FALSE)&amp;" "&amp;VLOOKUP(C3559,Customers!A:C,3,FALSE)</f>
        <v>Breanna Moore</v>
      </c>
      <c r="J3559" t="str">
        <f>VLOOKUP(D3559,Products!A:C,2,FALSE)</f>
        <v>Hospital Smartphone</v>
      </c>
      <c r="K3559" t="str">
        <f>VLOOKUP(D3559,Products!A:C,3,FALSE)</f>
        <v>Electronics</v>
      </c>
      <c r="L3559" t="str">
        <f>VLOOKUP(E3559,Stores!A:B,2,FALSE)</f>
        <v>MegaMart Brianahaven</v>
      </c>
      <c r="M3559">
        <f>VLOOKUP(D3559,Products!A:E,5,FALSE)</f>
        <v>1272.23</v>
      </c>
      <c r="N3559" s="5">
        <f t="shared" si="55"/>
        <v>3435.0210000000002</v>
      </c>
    </row>
    <row r="3560" spans="1:14" x14ac:dyDescent="0.3">
      <c r="A3560" t="s">
        <v>4416</v>
      </c>
      <c r="B3560" s="2">
        <v>45425</v>
      </c>
      <c r="C3560" t="s">
        <v>141</v>
      </c>
      <c r="D3560" t="s">
        <v>718</v>
      </c>
      <c r="E3560" t="s">
        <v>842</v>
      </c>
      <c r="F3560">
        <v>3</v>
      </c>
      <c r="G3560">
        <v>0.1</v>
      </c>
      <c r="H3560" t="s">
        <v>855</v>
      </c>
      <c r="I3560" t="str">
        <f>VLOOKUP(C3560,Customers!A:C,2,FALSE)&amp;" "&amp;VLOOKUP(C3560,Customers!A:C,3,FALSE)</f>
        <v>Michael Cervantes</v>
      </c>
      <c r="J3560" t="str">
        <f>VLOOKUP(D3560,Products!A:C,2,FALSE)</f>
        <v>Here Footwear</v>
      </c>
      <c r="K3560" t="str">
        <f>VLOOKUP(D3560,Products!A:C,3,FALSE)</f>
        <v>Fashion</v>
      </c>
      <c r="L3560" t="str">
        <f>VLOOKUP(E3560,Stores!A:B,2,FALSE)</f>
        <v>MegaMart Brianahaven</v>
      </c>
      <c r="M3560">
        <f>VLOOKUP(D3560,Products!A:E,5,FALSE)</f>
        <v>337.63</v>
      </c>
      <c r="N3560" s="5">
        <f t="shared" si="55"/>
        <v>911.601</v>
      </c>
    </row>
    <row r="3561" spans="1:14" x14ac:dyDescent="0.3">
      <c r="A3561" t="s">
        <v>4417</v>
      </c>
      <c r="B3561" s="2">
        <v>45320</v>
      </c>
      <c r="C3561" t="s">
        <v>505</v>
      </c>
      <c r="D3561" t="s">
        <v>747</v>
      </c>
      <c r="E3561" t="s">
        <v>839</v>
      </c>
      <c r="F3561">
        <v>5</v>
      </c>
      <c r="G3561">
        <v>0.15</v>
      </c>
      <c r="H3561" t="s">
        <v>855</v>
      </c>
      <c r="I3561" t="str">
        <f>VLOOKUP(C3561,Customers!A:C,2,FALSE)&amp;" "&amp;VLOOKUP(C3561,Customers!A:C,3,FALSE)</f>
        <v>Alexander Mcfarland</v>
      </c>
      <c r="J3561" t="str">
        <f>VLOOKUP(D3561,Products!A:C,2,FALSE)</f>
        <v>World Watches</v>
      </c>
      <c r="K3561" t="str">
        <f>VLOOKUP(D3561,Products!A:C,3,FALSE)</f>
        <v>Fashion</v>
      </c>
      <c r="L3561" t="str">
        <f>VLOOKUP(E3561,Stores!A:B,2,FALSE)</f>
        <v>MegaMart New Michele</v>
      </c>
      <c r="M3561">
        <f>VLOOKUP(D3561,Products!A:E,5,FALSE)</f>
        <v>1134.8</v>
      </c>
      <c r="N3561" s="5">
        <f t="shared" si="55"/>
        <v>4822.8999999999996</v>
      </c>
    </row>
    <row r="3562" spans="1:14" x14ac:dyDescent="0.3">
      <c r="A3562" t="s">
        <v>4418</v>
      </c>
      <c r="B3562" s="2">
        <v>45514</v>
      </c>
      <c r="C3562" t="s">
        <v>310</v>
      </c>
      <c r="D3562" t="s">
        <v>786</v>
      </c>
      <c r="E3562" t="s">
        <v>846</v>
      </c>
      <c r="F3562">
        <v>3</v>
      </c>
      <c r="G3562">
        <v>0.05</v>
      </c>
      <c r="H3562" t="s">
        <v>861</v>
      </c>
      <c r="I3562" t="str">
        <f>VLOOKUP(C3562,Customers!A:C,2,FALSE)&amp;" "&amp;VLOOKUP(C3562,Customers!A:C,3,FALSE)</f>
        <v>Amy Haley</v>
      </c>
      <c r="J3562" t="str">
        <f>VLOOKUP(D3562,Products!A:C,2,FALSE)</f>
        <v>National Watches</v>
      </c>
      <c r="K3562" t="str">
        <f>VLOOKUP(D3562,Products!A:C,3,FALSE)</f>
        <v>Fashion</v>
      </c>
      <c r="L3562" t="str">
        <f>VLOOKUP(E3562,Stores!A:B,2,FALSE)</f>
        <v>MegaMart Johnmouth</v>
      </c>
      <c r="M3562">
        <f>VLOOKUP(D3562,Products!A:E,5,FALSE)</f>
        <v>29.24</v>
      </c>
      <c r="N3562" s="5">
        <f t="shared" si="55"/>
        <v>83.333999999999989</v>
      </c>
    </row>
    <row r="3563" spans="1:14" x14ac:dyDescent="0.3">
      <c r="A3563" t="s">
        <v>4419</v>
      </c>
      <c r="B3563" s="2">
        <v>45896</v>
      </c>
      <c r="C3563" t="s">
        <v>294</v>
      </c>
      <c r="D3563" t="s">
        <v>788</v>
      </c>
      <c r="E3563" t="s">
        <v>846</v>
      </c>
      <c r="F3563">
        <v>1</v>
      </c>
      <c r="G3563">
        <v>0</v>
      </c>
      <c r="H3563" t="s">
        <v>858</v>
      </c>
      <c r="I3563" t="str">
        <f>VLOOKUP(C3563,Customers!A:C,2,FALSE)&amp;" "&amp;VLOOKUP(C3563,Customers!A:C,3,FALSE)</f>
        <v>Jeanne Young</v>
      </c>
      <c r="J3563" t="str">
        <f>VLOOKUP(D3563,Products!A:C,2,FALSE)</f>
        <v>Foot Snacks</v>
      </c>
      <c r="K3563" t="str">
        <f>VLOOKUP(D3563,Products!A:C,3,FALSE)</f>
        <v>Groceries</v>
      </c>
      <c r="L3563" t="str">
        <f>VLOOKUP(E3563,Stores!A:B,2,FALSE)</f>
        <v>MegaMart Johnmouth</v>
      </c>
      <c r="M3563">
        <f>VLOOKUP(D3563,Products!A:E,5,FALSE)</f>
        <v>1095.72</v>
      </c>
      <c r="N3563" s="5">
        <f t="shared" si="55"/>
        <v>1095.72</v>
      </c>
    </row>
    <row r="3564" spans="1:14" x14ac:dyDescent="0.3">
      <c r="A3564" t="s">
        <v>4420</v>
      </c>
      <c r="B3564" s="2">
        <v>45252</v>
      </c>
      <c r="C3564" t="s">
        <v>324</v>
      </c>
      <c r="D3564" t="s">
        <v>802</v>
      </c>
      <c r="E3564" t="s">
        <v>831</v>
      </c>
      <c r="F3564">
        <v>2</v>
      </c>
      <c r="G3564">
        <v>0</v>
      </c>
      <c r="H3564" t="s">
        <v>865</v>
      </c>
      <c r="I3564" t="str">
        <f>VLOOKUP(C3564,Customers!A:C,2,FALSE)&amp;" "&amp;VLOOKUP(C3564,Customers!A:C,3,FALSE)</f>
        <v>Lawrence Hunter</v>
      </c>
      <c r="J3564" t="str">
        <f>VLOOKUP(D3564,Products!A:C,2,FALSE)</f>
        <v>Stage Footwear</v>
      </c>
      <c r="K3564" t="str">
        <f>VLOOKUP(D3564,Products!A:C,3,FALSE)</f>
        <v>Fashion</v>
      </c>
      <c r="L3564" t="str">
        <f>VLOOKUP(E3564,Stores!A:B,2,FALSE)</f>
        <v>MegaMart Jimenezborough</v>
      </c>
      <c r="M3564">
        <f>VLOOKUP(D3564,Products!A:E,5,FALSE)</f>
        <v>366.93</v>
      </c>
      <c r="N3564" s="5">
        <f t="shared" si="55"/>
        <v>733.86</v>
      </c>
    </row>
    <row r="3565" spans="1:14" x14ac:dyDescent="0.3">
      <c r="A3565" t="s">
        <v>4421</v>
      </c>
      <c r="B3565" s="2">
        <v>45765</v>
      </c>
      <c r="C3565" t="s">
        <v>48</v>
      </c>
      <c r="D3565" t="s">
        <v>788</v>
      </c>
      <c r="E3565" t="s">
        <v>835</v>
      </c>
      <c r="F3565">
        <v>3</v>
      </c>
      <c r="G3565">
        <v>0.1</v>
      </c>
      <c r="H3565" t="s">
        <v>861</v>
      </c>
      <c r="I3565" t="str">
        <f>VLOOKUP(C3565,Customers!A:C,2,FALSE)&amp;" "&amp;VLOOKUP(C3565,Customers!A:C,3,FALSE)</f>
        <v>Haley Williams</v>
      </c>
      <c r="J3565" t="str">
        <f>VLOOKUP(D3565,Products!A:C,2,FALSE)</f>
        <v>Foot Snacks</v>
      </c>
      <c r="K3565" t="str">
        <f>VLOOKUP(D3565,Products!A:C,3,FALSE)</f>
        <v>Groceries</v>
      </c>
      <c r="L3565" t="str">
        <f>VLOOKUP(E3565,Stores!A:B,2,FALSE)</f>
        <v>MegaMart Peckmouth</v>
      </c>
      <c r="M3565">
        <f>VLOOKUP(D3565,Products!A:E,5,FALSE)</f>
        <v>1095.72</v>
      </c>
      <c r="N3565" s="5">
        <f t="shared" si="55"/>
        <v>2958.444</v>
      </c>
    </row>
    <row r="3566" spans="1:14" x14ac:dyDescent="0.3">
      <c r="A3566" t="s">
        <v>4422</v>
      </c>
      <c r="B3566" s="2">
        <v>45662</v>
      </c>
      <c r="C3566" t="s">
        <v>545</v>
      </c>
      <c r="D3566" t="s">
        <v>790</v>
      </c>
      <c r="E3566" t="s">
        <v>835</v>
      </c>
      <c r="F3566">
        <v>1</v>
      </c>
      <c r="G3566">
        <v>0.05</v>
      </c>
      <c r="H3566" t="s">
        <v>861</v>
      </c>
      <c r="I3566" t="str">
        <f>VLOOKUP(C3566,Customers!A:C,2,FALSE)&amp;" "&amp;VLOOKUP(C3566,Customers!A:C,3,FALSE)</f>
        <v>Dawn Fletcher</v>
      </c>
      <c r="J3566" t="str">
        <f>VLOOKUP(D3566,Products!A:C,2,FALSE)</f>
        <v>Difficult Vegetables</v>
      </c>
      <c r="K3566" t="str">
        <f>VLOOKUP(D3566,Products!A:C,3,FALSE)</f>
        <v>Groceries</v>
      </c>
      <c r="L3566" t="str">
        <f>VLOOKUP(E3566,Stores!A:B,2,FALSE)</f>
        <v>MegaMart Peckmouth</v>
      </c>
      <c r="M3566">
        <f>VLOOKUP(D3566,Products!A:E,5,FALSE)</f>
        <v>304.70999999999998</v>
      </c>
      <c r="N3566" s="5">
        <f t="shared" si="55"/>
        <v>289.47449999999998</v>
      </c>
    </row>
    <row r="3567" spans="1:14" x14ac:dyDescent="0.3">
      <c r="A3567" t="s">
        <v>4423</v>
      </c>
      <c r="B3567" s="2">
        <v>45675</v>
      </c>
      <c r="C3567" t="s">
        <v>589</v>
      </c>
      <c r="D3567" t="s">
        <v>732</v>
      </c>
      <c r="E3567" t="s">
        <v>831</v>
      </c>
      <c r="F3567">
        <v>3</v>
      </c>
      <c r="G3567">
        <v>0.1</v>
      </c>
      <c r="H3567" t="s">
        <v>865</v>
      </c>
      <c r="I3567" t="str">
        <f>VLOOKUP(C3567,Customers!A:C,2,FALSE)&amp;" "&amp;VLOOKUP(C3567,Customers!A:C,3,FALSE)</f>
        <v>Tanya Mueller</v>
      </c>
      <c r="J3567" t="str">
        <f>VLOOKUP(D3567,Products!A:C,2,FALSE)</f>
        <v>Understand Camera</v>
      </c>
      <c r="K3567" t="str">
        <f>VLOOKUP(D3567,Products!A:C,3,FALSE)</f>
        <v>Electronics</v>
      </c>
      <c r="L3567" t="str">
        <f>VLOOKUP(E3567,Stores!A:B,2,FALSE)</f>
        <v>MegaMart Jimenezborough</v>
      </c>
      <c r="M3567">
        <f>VLOOKUP(D3567,Products!A:E,5,FALSE)</f>
        <v>1474.12</v>
      </c>
      <c r="N3567" s="5">
        <f t="shared" si="55"/>
        <v>3980.1239999999998</v>
      </c>
    </row>
    <row r="3568" spans="1:14" x14ac:dyDescent="0.3">
      <c r="A3568" t="s">
        <v>4424</v>
      </c>
      <c r="B3568" s="2">
        <v>45628</v>
      </c>
      <c r="C3568" t="s">
        <v>210</v>
      </c>
      <c r="D3568" t="s">
        <v>794</v>
      </c>
      <c r="E3568" t="s">
        <v>831</v>
      </c>
      <c r="F3568">
        <v>3</v>
      </c>
      <c r="G3568">
        <v>0.1</v>
      </c>
      <c r="H3568" t="s">
        <v>858</v>
      </c>
      <c r="I3568" t="str">
        <f>VLOOKUP(C3568,Customers!A:C,2,FALSE)&amp;" "&amp;VLOOKUP(C3568,Customers!A:C,3,FALSE)</f>
        <v>Crystal Johnson</v>
      </c>
      <c r="J3568" t="str">
        <f>VLOOKUP(D3568,Products!A:C,2,FALSE)</f>
        <v>Everything Laptop</v>
      </c>
      <c r="K3568" t="str">
        <f>VLOOKUP(D3568,Products!A:C,3,FALSE)</f>
        <v>Electronics</v>
      </c>
      <c r="L3568" t="str">
        <f>VLOOKUP(E3568,Stores!A:B,2,FALSE)</f>
        <v>MegaMart Jimenezborough</v>
      </c>
      <c r="M3568">
        <f>VLOOKUP(D3568,Products!A:E,5,FALSE)</f>
        <v>428.05</v>
      </c>
      <c r="N3568" s="5">
        <f t="shared" si="55"/>
        <v>1155.7350000000001</v>
      </c>
    </row>
    <row r="3569" spans="1:14" x14ac:dyDescent="0.3">
      <c r="A3569" t="s">
        <v>4425</v>
      </c>
      <c r="B3569" s="2">
        <v>45796</v>
      </c>
      <c r="C3569" t="s">
        <v>40</v>
      </c>
      <c r="D3569" t="s">
        <v>753</v>
      </c>
      <c r="E3569" t="s">
        <v>846</v>
      </c>
      <c r="F3569">
        <v>2</v>
      </c>
      <c r="G3569">
        <v>0.15</v>
      </c>
      <c r="H3569" t="s">
        <v>861</v>
      </c>
      <c r="I3569" t="str">
        <f>VLOOKUP(C3569,Customers!A:C,2,FALSE)&amp;" "&amp;VLOOKUP(C3569,Customers!A:C,3,FALSE)</f>
        <v>Richard Pacheco</v>
      </c>
      <c r="J3569" t="str">
        <f>VLOOKUP(D3569,Products!A:C,2,FALSE)</f>
        <v>Whether Bags</v>
      </c>
      <c r="K3569" t="str">
        <f>VLOOKUP(D3569,Products!A:C,3,FALSE)</f>
        <v>Fashion</v>
      </c>
      <c r="L3569" t="str">
        <f>VLOOKUP(E3569,Stores!A:B,2,FALSE)</f>
        <v>MegaMart Johnmouth</v>
      </c>
      <c r="M3569">
        <f>VLOOKUP(D3569,Products!A:E,5,FALSE)</f>
        <v>270.45</v>
      </c>
      <c r="N3569" s="5">
        <f t="shared" si="55"/>
        <v>459.76499999999999</v>
      </c>
    </row>
    <row r="3570" spans="1:14" x14ac:dyDescent="0.3">
      <c r="A3570" t="s">
        <v>4426</v>
      </c>
      <c r="B3570" s="2">
        <v>45876</v>
      </c>
      <c r="C3570" t="s">
        <v>621</v>
      </c>
      <c r="D3570" t="s">
        <v>759</v>
      </c>
      <c r="E3570" t="s">
        <v>831</v>
      </c>
      <c r="F3570">
        <v>3</v>
      </c>
      <c r="G3570">
        <v>0.1</v>
      </c>
      <c r="H3570" t="s">
        <v>855</v>
      </c>
      <c r="I3570" t="str">
        <f>VLOOKUP(C3570,Customers!A:C,2,FALSE)&amp;" "&amp;VLOOKUP(C3570,Customers!A:C,3,FALSE)</f>
        <v>Stacey Thompson</v>
      </c>
      <c r="J3570" t="str">
        <f>VLOOKUP(D3570,Products!A:C,2,FALSE)</f>
        <v>Democratic Smartphone</v>
      </c>
      <c r="K3570" t="str">
        <f>VLOOKUP(D3570,Products!A:C,3,FALSE)</f>
        <v>Electronics</v>
      </c>
      <c r="L3570" t="str">
        <f>VLOOKUP(E3570,Stores!A:B,2,FALSE)</f>
        <v>MegaMart Jimenezborough</v>
      </c>
      <c r="M3570">
        <f>VLOOKUP(D3570,Products!A:E,5,FALSE)</f>
        <v>1079.8900000000001</v>
      </c>
      <c r="N3570" s="5">
        <f t="shared" si="55"/>
        <v>2915.703</v>
      </c>
    </row>
    <row r="3571" spans="1:14" x14ac:dyDescent="0.3">
      <c r="A3571" t="s">
        <v>4427</v>
      </c>
      <c r="B3571" s="2">
        <v>45534</v>
      </c>
      <c r="C3571" t="s">
        <v>491</v>
      </c>
      <c r="D3571" t="s">
        <v>715</v>
      </c>
      <c r="E3571" t="s">
        <v>846</v>
      </c>
      <c r="F3571">
        <v>5</v>
      </c>
      <c r="G3571">
        <v>0.15</v>
      </c>
      <c r="H3571" t="s">
        <v>858</v>
      </c>
      <c r="I3571" t="str">
        <f>VLOOKUP(C3571,Customers!A:C,2,FALSE)&amp;" "&amp;VLOOKUP(C3571,Customers!A:C,3,FALSE)</f>
        <v>Emily Hart</v>
      </c>
      <c r="J3571" t="str">
        <f>VLOOKUP(D3571,Products!A:C,2,FALSE)</f>
        <v>Audience Television</v>
      </c>
      <c r="K3571" t="str">
        <f>VLOOKUP(D3571,Products!A:C,3,FALSE)</f>
        <v>Electronics</v>
      </c>
      <c r="L3571" t="str">
        <f>VLOOKUP(E3571,Stores!A:B,2,FALSE)</f>
        <v>MegaMart Johnmouth</v>
      </c>
      <c r="M3571">
        <f>VLOOKUP(D3571,Products!A:E,5,FALSE)</f>
        <v>818.76</v>
      </c>
      <c r="N3571" s="5">
        <f t="shared" si="55"/>
        <v>3479.73</v>
      </c>
    </row>
    <row r="3572" spans="1:14" x14ac:dyDescent="0.3">
      <c r="A3572" t="s">
        <v>4428</v>
      </c>
      <c r="B3572" s="2">
        <v>45658</v>
      </c>
      <c r="C3572" t="s">
        <v>545</v>
      </c>
      <c r="D3572" t="s">
        <v>806</v>
      </c>
      <c r="E3572" t="s">
        <v>846</v>
      </c>
      <c r="F3572">
        <v>4</v>
      </c>
      <c r="G3572">
        <v>0.05</v>
      </c>
      <c r="H3572" t="s">
        <v>858</v>
      </c>
      <c r="I3572" t="str">
        <f>VLOOKUP(C3572,Customers!A:C,2,FALSE)&amp;" "&amp;VLOOKUP(C3572,Customers!A:C,3,FALSE)</f>
        <v>Dawn Fletcher</v>
      </c>
      <c r="J3572" t="str">
        <f>VLOOKUP(D3572,Products!A:C,2,FALSE)</f>
        <v>Piece Headphones</v>
      </c>
      <c r="K3572" t="str">
        <f>VLOOKUP(D3572,Products!A:C,3,FALSE)</f>
        <v>Electronics</v>
      </c>
      <c r="L3572" t="str">
        <f>VLOOKUP(E3572,Stores!A:B,2,FALSE)</f>
        <v>MegaMart Johnmouth</v>
      </c>
      <c r="M3572">
        <f>VLOOKUP(D3572,Products!A:E,5,FALSE)</f>
        <v>1745.61</v>
      </c>
      <c r="N3572" s="5">
        <f t="shared" si="55"/>
        <v>6633.3179999999993</v>
      </c>
    </row>
    <row r="3573" spans="1:14" x14ac:dyDescent="0.3">
      <c r="A3573" t="s">
        <v>4429</v>
      </c>
      <c r="B3573" s="2">
        <v>45861</v>
      </c>
      <c r="C3573" t="s">
        <v>627</v>
      </c>
      <c r="D3573" t="s">
        <v>766</v>
      </c>
      <c r="E3573" t="s">
        <v>835</v>
      </c>
      <c r="F3573">
        <v>4</v>
      </c>
      <c r="G3573">
        <v>0.15</v>
      </c>
      <c r="H3573" t="s">
        <v>858</v>
      </c>
      <c r="I3573" t="str">
        <f>VLOOKUP(C3573,Customers!A:C,2,FALSE)&amp;" "&amp;VLOOKUP(C3573,Customers!A:C,3,FALSE)</f>
        <v>Anthony Gould</v>
      </c>
      <c r="J3573" t="str">
        <f>VLOOKUP(D3573,Products!A:C,2,FALSE)</f>
        <v>Firm Dairy</v>
      </c>
      <c r="K3573" t="str">
        <f>VLOOKUP(D3573,Products!A:C,3,FALSE)</f>
        <v>Groceries</v>
      </c>
      <c r="L3573" t="str">
        <f>VLOOKUP(E3573,Stores!A:B,2,FALSE)</f>
        <v>MegaMart Peckmouth</v>
      </c>
      <c r="M3573">
        <f>VLOOKUP(D3573,Products!A:E,5,FALSE)</f>
        <v>1227.24</v>
      </c>
      <c r="N3573" s="5">
        <f t="shared" si="55"/>
        <v>4172.616</v>
      </c>
    </row>
    <row r="3574" spans="1:14" x14ac:dyDescent="0.3">
      <c r="A3574" t="s">
        <v>4430</v>
      </c>
      <c r="B3574" s="2">
        <v>45537</v>
      </c>
      <c r="C3574" t="s">
        <v>653</v>
      </c>
      <c r="D3574" t="s">
        <v>742</v>
      </c>
      <c r="E3574" t="s">
        <v>839</v>
      </c>
      <c r="F3574">
        <v>4</v>
      </c>
      <c r="G3574">
        <v>0.05</v>
      </c>
      <c r="H3574" t="s">
        <v>865</v>
      </c>
      <c r="I3574" t="str">
        <f>VLOOKUP(C3574,Customers!A:C,2,FALSE)&amp;" "&amp;VLOOKUP(C3574,Customers!A:C,3,FALSE)</f>
        <v>Joe Vincent</v>
      </c>
      <c r="J3574" t="str">
        <f>VLOOKUP(D3574,Products!A:C,2,FALSE)</f>
        <v>Either Headphones</v>
      </c>
      <c r="K3574" t="str">
        <f>VLOOKUP(D3574,Products!A:C,3,FALSE)</f>
        <v>Electronics</v>
      </c>
      <c r="L3574" t="str">
        <f>VLOOKUP(E3574,Stores!A:B,2,FALSE)</f>
        <v>MegaMart New Michele</v>
      </c>
      <c r="M3574">
        <f>VLOOKUP(D3574,Products!A:E,5,FALSE)</f>
        <v>248.57</v>
      </c>
      <c r="N3574" s="5">
        <f t="shared" si="55"/>
        <v>944.56599999999992</v>
      </c>
    </row>
    <row r="3575" spans="1:14" x14ac:dyDescent="0.3">
      <c r="A3575" t="s">
        <v>4431</v>
      </c>
      <c r="B3575" s="2">
        <v>45636</v>
      </c>
      <c r="C3575" t="s">
        <v>134</v>
      </c>
      <c r="D3575" t="s">
        <v>822</v>
      </c>
      <c r="E3575" t="s">
        <v>839</v>
      </c>
      <c r="F3575">
        <v>5</v>
      </c>
      <c r="G3575">
        <v>0.05</v>
      </c>
      <c r="H3575" t="s">
        <v>855</v>
      </c>
      <c r="I3575" t="str">
        <f>VLOOKUP(C3575,Customers!A:C,2,FALSE)&amp;" "&amp;VLOOKUP(C3575,Customers!A:C,3,FALSE)</f>
        <v>Kari Miller</v>
      </c>
      <c r="J3575" t="str">
        <f>VLOOKUP(D3575,Products!A:C,2,FALSE)</f>
        <v>Nor Bags</v>
      </c>
      <c r="K3575" t="str">
        <f>VLOOKUP(D3575,Products!A:C,3,FALSE)</f>
        <v>Fashion</v>
      </c>
      <c r="L3575" t="str">
        <f>VLOOKUP(E3575,Stores!A:B,2,FALSE)</f>
        <v>MegaMart New Michele</v>
      </c>
      <c r="M3575">
        <f>VLOOKUP(D3575,Products!A:E,5,FALSE)</f>
        <v>1216.3599999999999</v>
      </c>
      <c r="N3575" s="5">
        <f t="shared" si="55"/>
        <v>5777.7099999999991</v>
      </c>
    </row>
    <row r="3576" spans="1:14" x14ac:dyDescent="0.3">
      <c r="A3576" t="s">
        <v>4432</v>
      </c>
      <c r="B3576" s="2">
        <v>45737</v>
      </c>
      <c r="C3576" t="s">
        <v>280</v>
      </c>
      <c r="D3576" t="s">
        <v>715</v>
      </c>
      <c r="E3576" t="s">
        <v>835</v>
      </c>
      <c r="F3576">
        <v>1</v>
      </c>
      <c r="G3576">
        <v>0.05</v>
      </c>
      <c r="H3576" t="s">
        <v>861</v>
      </c>
      <c r="I3576" t="str">
        <f>VLOOKUP(C3576,Customers!A:C,2,FALSE)&amp;" "&amp;VLOOKUP(C3576,Customers!A:C,3,FALSE)</f>
        <v>Jesus Singh</v>
      </c>
      <c r="J3576" t="str">
        <f>VLOOKUP(D3576,Products!A:C,2,FALSE)</f>
        <v>Audience Television</v>
      </c>
      <c r="K3576" t="str">
        <f>VLOOKUP(D3576,Products!A:C,3,FALSE)</f>
        <v>Electronics</v>
      </c>
      <c r="L3576" t="str">
        <f>VLOOKUP(E3576,Stores!A:B,2,FALSE)</f>
        <v>MegaMart Peckmouth</v>
      </c>
      <c r="M3576">
        <f>VLOOKUP(D3576,Products!A:E,5,FALSE)</f>
        <v>818.76</v>
      </c>
      <c r="N3576" s="5">
        <f t="shared" si="55"/>
        <v>777.822</v>
      </c>
    </row>
    <row r="3577" spans="1:14" x14ac:dyDescent="0.3">
      <c r="A3577" t="s">
        <v>4433</v>
      </c>
      <c r="B3577" s="2">
        <v>45444</v>
      </c>
      <c r="C3577" t="s">
        <v>643</v>
      </c>
      <c r="D3577" t="s">
        <v>772</v>
      </c>
      <c r="E3577" t="s">
        <v>846</v>
      </c>
      <c r="F3577">
        <v>1</v>
      </c>
      <c r="G3577">
        <v>0.05</v>
      </c>
      <c r="H3577" t="s">
        <v>861</v>
      </c>
      <c r="I3577" t="str">
        <f>VLOOKUP(C3577,Customers!A:C,2,FALSE)&amp;" "&amp;VLOOKUP(C3577,Customers!A:C,3,FALSE)</f>
        <v>Meghan Wright</v>
      </c>
      <c r="J3577" t="str">
        <f>VLOOKUP(D3577,Products!A:C,2,FALSE)</f>
        <v>And Footwear</v>
      </c>
      <c r="K3577" t="str">
        <f>VLOOKUP(D3577,Products!A:C,3,FALSE)</f>
        <v>Fashion</v>
      </c>
      <c r="L3577" t="str">
        <f>VLOOKUP(E3577,Stores!A:B,2,FALSE)</f>
        <v>MegaMart Johnmouth</v>
      </c>
      <c r="M3577">
        <f>VLOOKUP(D3577,Products!A:E,5,FALSE)</f>
        <v>1878.47</v>
      </c>
      <c r="N3577" s="5">
        <f t="shared" si="55"/>
        <v>1784.5464999999999</v>
      </c>
    </row>
    <row r="3578" spans="1:14" x14ac:dyDescent="0.3">
      <c r="A3578" t="s">
        <v>4434</v>
      </c>
      <c r="B3578" s="2">
        <v>45317</v>
      </c>
      <c r="C3578" t="s">
        <v>71</v>
      </c>
      <c r="D3578" t="s">
        <v>782</v>
      </c>
      <c r="E3578" t="s">
        <v>835</v>
      </c>
      <c r="F3578">
        <v>2</v>
      </c>
      <c r="G3578">
        <v>0.05</v>
      </c>
      <c r="H3578" t="s">
        <v>865</v>
      </c>
      <c r="I3578" t="str">
        <f>VLOOKUP(C3578,Customers!A:C,2,FALSE)&amp;" "&amp;VLOOKUP(C3578,Customers!A:C,3,FALSE)</f>
        <v>Vanessa Anderson</v>
      </c>
      <c r="J3578" t="str">
        <f>VLOOKUP(D3578,Products!A:C,2,FALSE)</f>
        <v>Deal Smartphone</v>
      </c>
      <c r="K3578" t="str">
        <f>VLOOKUP(D3578,Products!A:C,3,FALSE)</f>
        <v>Electronics</v>
      </c>
      <c r="L3578" t="str">
        <f>VLOOKUP(E3578,Stores!A:B,2,FALSE)</f>
        <v>MegaMart Peckmouth</v>
      </c>
      <c r="M3578">
        <f>VLOOKUP(D3578,Products!A:E,5,FALSE)</f>
        <v>673.78</v>
      </c>
      <c r="N3578" s="5">
        <f t="shared" si="55"/>
        <v>1280.1819999999998</v>
      </c>
    </row>
    <row r="3579" spans="1:14" x14ac:dyDescent="0.3">
      <c r="A3579" t="s">
        <v>4435</v>
      </c>
      <c r="B3579" s="2">
        <v>45344</v>
      </c>
      <c r="C3579" t="s">
        <v>577</v>
      </c>
      <c r="D3579" t="s">
        <v>808</v>
      </c>
      <c r="E3579" t="s">
        <v>839</v>
      </c>
      <c r="F3579">
        <v>5</v>
      </c>
      <c r="G3579">
        <v>0</v>
      </c>
      <c r="H3579" t="s">
        <v>865</v>
      </c>
      <c r="I3579" t="str">
        <f>VLOOKUP(C3579,Customers!A:C,2,FALSE)&amp;" "&amp;VLOOKUP(C3579,Customers!A:C,3,FALSE)</f>
        <v>Michael Perez</v>
      </c>
      <c r="J3579" t="str">
        <f>VLOOKUP(D3579,Products!A:C,2,FALSE)</f>
        <v>Present Television</v>
      </c>
      <c r="K3579" t="str">
        <f>VLOOKUP(D3579,Products!A:C,3,FALSE)</f>
        <v>Electronics</v>
      </c>
      <c r="L3579" t="str">
        <f>VLOOKUP(E3579,Stores!A:B,2,FALSE)</f>
        <v>MegaMart New Michele</v>
      </c>
      <c r="M3579">
        <f>VLOOKUP(D3579,Products!A:E,5,FALSE)</f>
        <v>1635.01</v>
      </c>
      <c r="N3579" s="5">
        <f t="shared" si="55"/>
        <v>8175.05</v>
      </c>
    </row>
    <row r="3580" spans="1:14" x14ac:dyDescent="0.3">
      <c r="A3580" t="s">
        <v>4436</v>
      </c>
      <c r="B3580" s="2">
        <v>45191</v>
      </c>
      <c r="C3580" t="s">
        <v>364</v>
      </c>
      <c r="D3580" t="s">
        <v>794</v>
      </c>
      <c r="E3580" t="s">
        <v>831</v>
      </c>
      <c r="F3580">
        <v>1</v>
      </c>
      <c r="G3580">
        <v>0.05</v>
      </c>
      <c r="H3580" t="s">
        <v>858</v>
      </c>
      <c r="I3580" t="str">
        <f>VLOOKUP(C3580,Customers!A:C,2,FALSE)&amp;" "&amp;VLOOKUP(C3580,Customers!A:C,3,FALSE)</f>
        <v>Evelyn Gray</v>
      </c>
      <c r="J3580" t="str">
        <f>VLOOKUP(D3580,Products!A:C,2,FALSE)</f>
        <v>Everything Laptop</v>
      </c>
      <c r="K3580" t="str">
        <f>VLOOKUP(D3580,Products!A:C,3,FALSE)</f>
        <v>Electronics</v>
      </c>
      <c r="L3580" t="str">
        <f>VLOOKUP(E3580,Stores!A:B,2,FALSE)</f>
        <v>MegaMart Jimenezborough</v>
      </c>
      <c r="M3580">
        <f>VLOOKUP(D3580,Products!A:E,5,FALSE)</f>
        <v>428.05</v>
      </c>
      <c r="N3580" s="5">
        <f t="shared" si="55"/>
        <v>406.64749999999998</v>
      </c>
    </row>
    <row r="3581" spans="1:14" x14ac:dyDescent="0.3">
      <c r="A3581" t="s">
        <v>4437</v>
      </c>
      <c r="B3581" s="2">
        <v>45512</v>
      </c>
      <c r="C3581" t="s">
        <v>258</v>
      </c>
      <c r="D3581" t="s">
        <v>745</v>
      </c>
      <c r="E3581" t="s">
        <v>842</v>
      </c>
      <c r="F3581">
        <v>2</v>
      </c>
      <c r="G3581">
        <v>0.05</v>
      </c>
      <c r="H3581" t="s">
        <v>858</v>
      </c>
      <c r="I3581" t="str">
        <f>VLOOKUP(C3581,Customers!A:C,2,FALSE)&amp;" "&amp;VLOOKUP(C3581,Customers!A:C,3,FALSE)</f>
        <v>Alexandra Montoya</v>
      </c>
      <c r="J3581" t="str">
        <f>VLOOKUP(D3581,Products!A:C,2,FALSE)</f>
        <v>Above Camera</v>
      </c>
      <c r="K3581" t="str">
        <f>VLOOKUP(D3581,Products!A:C,3,FALSE)</f>
        <v>Electronics</v>
      </c>
      <c r="L3581" t="str">
        <f>VLOOKUP(E3581,Stores!A:B,2,FALSE)</f>
        <v>MegaMart Brianahaven</v>
      </c>
      <c r="M3581">
        <f>VLOOKUP(D3581,Products!A:E,5,FALSE)</f>
        <v>1193.0899999999999</v>
      </c>
      <c r="N3581" s="5">
        <f t="shared" si="55"/>
        <v>2266.8709999999996</v>
      </c>
    </row>
    <row r="3582" spans="1:14" x14ac:dyDescent="0.3">
      <c r="A3582" t="s">
        <v>4438</v>
      </c>
      <c r="B3582" s="2">
        <v>45378</v>
      </c>
      <c r="C3582" t="s">
        <v>335</v>
      </c>
      <c r="D3582" t="s">
        <v>822</v>
      </c>
      <c r="E3582" t="s">
        <v>831</v>
      </c>
      <c r="F3582">
        <v>5</v>
      </c>
      <c r="G3582">
        <v>0.05</v>
      </c>
      <c r="H3582" t="s">
        <v>858</v>
      </c>
      <c r="I3582" t="str">
        <f>VLOOKUP(C3582,Customers!A:C,2,FALSE)&amp;" "&amp;VLOOKUP(C3582,Customers!A:C,3,FALSE)</f>
        <v>William Warner</v>
      </c>
      <c r="J3582" t="str">
        <f>VLOOKUP(D3582,Products!A:C,2,FALSE)</f>
        <v>Nor Bags</v>
      </c>
      <c r="K3582" t="str">
        <f>VLOOKUP(D3582,Products!A:C,3,FALSE)</f>
        <v>Fashion</v>
      </c>
      <c r="L3582" t="str">
        <f>VLOOKUP(E3582,Stores!A:B,2,FALSE)</f>
        <v>MegaMart Jimenezborough</v>
      </c>
      <c r="M3582">
        <f>VLOOKUP(D3582,Products!A:E,5,FALSE)</f>
        <v>1216.3599999999999</v>
      </c>
      <c r="N3582" s="5">
        <f t="shared" si="55"/>
        <v>5777.7099999999991</v>
      </c>
    </row>
    <row r="3583" spans="1:14" x14ac:dyDescent="0.3">
      <c r="A3583" t="s">
        <v>4439</v>
      </c>
      <c r="B3583" s="2">
        <v>45526</v>
      </c>
      <c r="C3583" t="s">
        <v>390</v>
      </c>
      <c r="D3583" t="s">
        <v>745</v>
      </c>
      <c r="E3583" t="s">
        <v>846</v>
      </c>
      <c r="F3583">
        <v>1</v>
      </c>
      <c r="G3583">
        <v>0.15</v>
      </c>
      <c r="H3583" t="s">
        <v>861</v>
      </c>
      <c r="I3583" t="str">
        <f>VLOOKUP(C3583,Customers!A:C,2,FALSE)&amp;" "&amp;VLOOKUP(C3583,Customers!A:C,3,FALSE)</f>
        <v>Brenda Dean</v>
      </c>
      <c r="J3583" t="str">
        <f>VLOOKUP(D3583,Products!A:C,2,FALSE)</f>
        <v>Above Camera</v>
      </c>
      <c r="K3583" t="str">
        <f>VLOOKUP(D3583,Products!A:C,3,FALSE)</f>
        <v>Electronics</v>
      </c>
      <c r="L3583" t="str">
        <f>VLOOKUP(E3583,Stores!A:B,2,FALSE)</f>
        <v>MegaMart Johnmouth</v>
      </c>
      <c r="M3583">
        <f>VLOOKUP(D3583,Products!A:E,5,FALSE)</f>
        <v>1193.0899999999999</v>
      </c>
      <c r="N3583" s="5">
        <f t="shared" si="55"/>
        <v>1014.1264999999999</v>
      </c>
    </row>
    <row r="3584" spans="1:14" x14ac:dyDescent="0.3">
      <c r="A3584" t="s">
        <v>4440</v>
      </c>
      <c r="B3584" s="2">
        <v>45302</v>
      </c>
      <c r="C3584" t="s">
        <v>183</v>
      </c>
      <c r="D3584" t="s">
        <v>739</v>
      </c>
      <c r="E3584" t="s">
        <v>839</v>
      </c>
      <c r="F3584">
        <v>4</v>
      </c>
      <c r="G3584">
        <v>0.15</v>
      </c>
      <c r="H3584" t="s">
        <v>855</v>
      </c>
      <c r="I3584" t="str">
        <f>VLOOKUP(C3584,Customers!A:C,2,FALSE)&amp;" "&amp;VLOOKUP(C3584,Customers!A:C,3,FALSE)</f>
        <v>Mary Decker</v>
      </c>
      <c r="J3584" t="str">
        <f>VLOOKUP(D3584,Products!A:C,2,FALSE)</f>
        <v>Step Smartphone</v>
      </c>
      <c r="K3584" t="str">
        <f>VLOOKUP(D3584,Products!A:C,3,FALSE)</f>
        <v>Electronics</v>
      </c>
      <c r="L3584" t="str">
        <f>VLOOKUP(E3584,Stores!A:B,2,FALSE)</f>
        <v>MegaMart New Michele</v>
      </c>
      <c r="M3584">
        <f>VLOOKUP(D3584,Products!A:E,5,FALSE)</f>
        <v>1194.1199999999999</v>
      </c>
      <c r="N3584" s="5">
        <f t="shared" si="55"/>
        <v>4060.0079999999994</v>
      </c>
    </row>
    <row r="3585" spans="1:14" x14ac:dyDescent="0.3">
      <c r="A3585" t="s">
        <v>4441</v>
      </c>
      <c r="B3585" s="2">
        <v>45341</v>
      </c>
      <c r="C3585" t="s">
        <v>254</v>
      </c>
      <c r="D3585" t="s">
        <v>769</v>
      </c>
      <c r="E3585" t="s">
        <v>839</v>
      </c>
      <c r="F3585">
        <v>5</v>
      </c>
      <c r="G3585">
        <v>0.1</v>
      </c>
      <c r="H3585" t="s">
        <v>858</v>
      </c>
      <c r="I3585" t="str">
        <f>VLOOKUP(C3585,Customers!A:C,2,FALSE)&amp;" "&amp;VLOOKUP(C3585,Customers!A:C,3,FALSE)</f>
        <v>Daniel Maldonado</v>
      </c>
      <c r="J3585" t="str">
        <f>VLOOKUP(D3585,Products!A:C,2,FALSE)</f>
        <v>How Vegetables</v>
      </c>
      <c r="K3585" t="str">
        <f>VLOOKUP(D3585,Products!A:C,3,FALSE)</f>
        <v>Groceries</v>
      </c>
      <c r="L3585" t="str">
        <f>VLOOKUP(E3585,Stores!A:B,2,FALSE)</f>
        <v>MegaMart New Michele</v>
      </c>
      <c r="M3585">
        <f>VLOOKUP(D3585,Products!A:E,5,FALSE)</f>
        <v>25.57</v>
      </c>
      <c r="N3585" s="5">
        <f t="shared" si="55"/>
        <v>115.065</v>
      </c>
    </row>
    <row r="3586" spans="1:14" x14ac:dyDescent="0.3">
      <c r="A3586" t="s">
        <v>4442</v>
      </c>
      <c r="B3586" s="2">
        <v>45501</v>
      </c>
      <c r="C3586" t="s">
        <v>137</v>
      </c>
      <c r="D3586" t="s">
        <v>732</v>
      </c>
      <c r="E3586" t="s">
        <v>842</v>
      </c>
      <c r="F3586">
        <v>2</v>
      </c>
      <c r="G3586">
        <v>0</v>
      </c>
      <c r="H3586" t="s">
        <v>855</v>
      </c>
      <c r="I3586" t="str">
        <f>VLOOKUP(C3586,Customers!A:C,2,FALSE)&amp;" "&amp;VLOOKUP(C3586,Customers!A:C,3,FALSE)</f>
        <v>Kimberly King</v>
      </c>
      <c r="J3586" t="str">
        <f>VLOOKUP(D3586,Products!A:C,2,FALSE)</f>
        <v>Understand Camera</v>
      </c>
      <c r="K3586" t="str">
        <f>VLOOKUP(D3586,Products!A:C,3,FALSE)</f>
        <v>Electronics</v>
      </c>
      <c r="L3586" t="str">
        <f>VLOOKUP(E3586,Stores!A:B,2,FALSE)</f>
        <v>MegaMart Brianahaven</v>
      </c>
      <c r="M3586">
        <f>VLOOKUP(D3586,Products!A:E,5,FALSE)</f>
        <v>1474.12</v>
      </c>
      <c r="N3586" s="5">
        <f t="shared" si="55"/>
        <v>2948.24</v>
      </c>
    </row>
    <row r="3587" spans="1:14" x14ac:dyDescent="0.3">
      <c r="A3587" t="s">
        <v>4443</v>
      </c>
      <c r="B3587" s="2">
        <v>45662</v>
      </c>
      <c r="C3587" t="s">
        <v>144</v>
      </c>
      <c r="D3587" t="s">
        <v>736</v>
      </c>
      <c r="E3587" t="s">
        <v>846</v>
      </c>
      <c r="F3587">
        <v>1</v>
      </c>
      <c r="G3587">
        <v>0.15</v>
      </c>
      <c r="H3587" t="s">
        <v>858</v>
      </c>
      <c r="I3587" t="str">
        <f>VLOOKUP(C3587,Customers!A:C,2,FALSE)&amp;" "&amp;VLOOKUP(C3587,Customers!A:C,3,FALSE)</f>
        <v>Miranda Nelson</v>
      </c>
      <c r="J3587" t="str">
        <f>VLOOKUP(D3587,Products!A:C,2,FALSE)</f>
        <v>Us Snacks</v>
      </c>
      <c r="K3587" t="str">
        <f>VLOOKUP(D3587,Products!A:C,3,FALSE)</f>
        <v>Groceries</v>
      </c>
      <c r="L3587" t="str">
        <f>VLOOKUP(E3587,Stores!A:B,2,FALSE)</f>
        <v>MegaMart Johnmouth</v>
      </c>
      <c r="M3587">
        <f>VLOOKUP(D3587,Products!A:E,5,FALSE)</f>
        <v>123.19</v>
      </c>
      <c r="N3587" s="5">
        <f t="shared" ref="N3587:N3650" si="56">F3587*M3587*(1-G3587)</f>
        <v>104.7115</v>
      </c>
    </row>
    <row r="3588" spans="1:14" x14ac:dyDescent="0.3">
      <c r="A3588" t="s">
        <v>4444</v>
      </c>
      <c r="B3588" s="2">
        <v>45468</v>
      </c>
      <c r="C3588" t="s">
        <v>601</v>
      </c>
      <c r="D3588" t="s">
        <v>769</v>
      </c>
      <c r="E3588" t="s">
        <v>846</v>
      </c>
      <c r="F3588">
        <v>2</v>
      </c>
      <c r="G3588">
        <v>0</v>
      </c>
      <c r="H3588" t="s">
        <v>858</v>
      </c>
      <c r="I3588" t="str">
        <f>VLOOKUP(C3588,Customers!A:C,2,FALSE)&amp;" "&amp;VLOOKUP(C3588,Customers!A:C,3,FALSE)</f>
        <v>Travis Watson</v>
      </c>
      <c r="J3588" t="str">
        <f>VLOOKUP(D3588,Products!A:C,2,FALSE)</f>
        <v>How Vegetables</v>
      </c>
      <c r="K3588" t="str">
        <f>VLOOKUP(D3588,Products!A:C,3,FALSE)</f>
        <v>Groceries</v>
      </c>
      <c r="L3588" t="str">
        <f>VLOOKUP(E3588,Stores!A:B,2,FALSE)</f>
        <v>MegaMart Johnmouth</v>
      </c>
      <c r="M3588">
        <f>VLOOKUP(D3588,Products!A:E,5,FALSE)</f>
        <v>25.57</v>
      </c>
      <c r="N3588" s="5">
        <f t="shared" si="56"/>
        <v>51.14</v>
      </c>
    </row>
    <row r="3589" spans="1:14" x14ac:dyDescent="0.3">
      <c r="A3589" t="s">
        <v>4445</v>
      </c>
      <c r="B3589" s="2">
        <v>45415</v>
      </c>
      <c r="C3589" t="s">
        <v>59</v>
      </c>
      <c r="D3589" t="s">
        <v>764</v>
      </c>
      <c r="E3589" t="s">
        <v>846</v>
      </c>
      <c r="F3589">
        <v>2</v>
      </c>
      <c r="G3589">
        <v>0.15</v>
      </c>
      <c r="H3589" t="s">
        <v>865</v>
      </c>
      <c r="I3589" t="str">
        <f>VLOOKUP(C3589,Customers!A:C,2,FALSE)&amp;" "&amp;VLOOKUP(C3589,Customers!A:C,3,FALSE)</f>
        <v>Brittany Green</v>
      </c>
      <c r="J3589" t="str">
        <f>VLOOKUP(D3589,Products!A:C,2,FALSE)</f>
        <v>Simple Accessories</v>
      </c>
      <c r="K3589" t="str">
        <f>VLOOKUP(D3589,Products!A:C,3,FALSE)</f>
        <v>Fashion</v>
      </c>
      <c r="L3589" t="str">
        <f>VLOOKUP(E3589,Stores!A:B,2,FALSE)</f>
        <v>MegaMart Johnmouth</v>
      </c>
      <c r="M3589">
        <f>VLOOKUP(D3589,Products!A:E,5,FALSE)</f>
        <v>323.92</v>
      </c>
      <c r="N3589" s="5">
        <f t="shared" si="56"/>
        <v>550.66399999999999</v>
      </c>
    </row>
    <row r="3590" spans="1:14" x14ac:dyDescent="0.3">
      <c r="A3590" t="s">
        <v>4446</v>
      </c>
      <c r="B3590" s="2">
        <v>45210</v>
      </c>
      <c r="C3590" t="s">
        <v>593</v>
      </c>
      <c r="D3590" t="s">
        <v>742</v>
      </c>
      <c r="E3590" t="s">
        <v>842</v>
      </c>
      <c r="F3590">
        <v>2</v>
      </c>
      <c r="G3590">
        <v>0</v>
      </c>
      <c r="H3590" t="s">
        <v>858</v>
      </c>
      <c r="I3590" t="str">
        <f>VLOOKUP(C3590,Customers!A:C,2,FALSE)&amp;" "&amp;VLOOKUP(C3590,Customers!A:C,3,FALSE)</f>
        <v>Meagan Ali</v>
      </c>
      <c r="J3590" t="str">
        <f>VLOOKUP(D3590,Products!A:C,2,FALSE)</f>
        <v>Either Headphones</v>
      </c>
      <c r="K3590" t="str">
        <f>VLOOKUP(D3590,Products!A:C,3,FALSE)</f>
        <v>Electronics</v>
      </c>
      <c r="L3590" t="str">
        <f>VLOOKUP(E3590,Stores!A:B,2,FALSE)</f>
        <v>MegaMart Brianahaven</v>
      </c>
      <c r="M3590">
        <f>VLOOKUP(D3590,Products!A:E,5,FALSE)</f>
        <v>248.57</v>
      </c>
      <c r="N3590" s="5">
        <f t="shared" si="56"/>
        <v>497.14</v>
      </c>
    </row>
    <row r="3591" spans="1:14" x14ac:dyDescent="0.3">
      <c r="A3591" t="s">
        <v>4447</v>
      </c>
      <c r="B3591" s="2">
        <v>45189</v>
      </c>
      <c r="C3591" t="s">
        <v>625</v>
      </c>
      <c r="D3591" t="s">
        <v>755</v>
      </c>
      <c r="E3591" t="s">
        <v>835</v>
      </c>
      <c r="F3591">
        <v>2</v>
      </c>
      <c r="G3591">
        <v>0.15</v>
      </c>
      <c r="H3591" t="s">
        <v>861</v>
      </c>
      <c r="I3591" t="str">
        <f>VLOOKUP(C3591,Customers!A:C,2,FALSE)&amp;" "&amp;VLOOKUP(C3591,Customers!A:C,3,FALSE)</f>
        <v>Peter Garcia</v>
      </c>
      <c r="J3591" t="str">
        <f>VLOOKUP(D3591,Products!A:C,2,FALSE)</f>
        <v>House Accessories</v>
      </c>
      <c r="K3591" t="str">
        <f>VLOOKUP(D3591,Products!A:C,3,FALSE)</f>
        <v>Fashion</v>
      </c>
      <c r="L3591" t="str">
        <f>VLOOKUP(E3591,Stores!A:B,2,FALSE)</f>
        <v>MegaMart Peckmouth</v>
      </c>
      <c r="M3591">
        <f>VLOOKUP(D3591,Products!A:E,5,FALSE)</f>
        <v>1858.75</v>
      </c>
      <c r="N3591" s="5">
        <f t="shared" si="56"/>
        <v>3159.875</v>
      </c>
    </row>
    <row r="3592" spans="1:14" x14ac:dyDescent="0.3">
      <c r="A3592" t="s">
        <v>4448</v>
      </c>
      <c r="B3592" s="2">
        <v>45695</v>
      </c>
      <c r="C3592" t="s">
        <v>527</v>
      </c>
      <c r="D3592" t="s">
        <v>747</v>
      </c>
      <c r="E3592" t="s">
        <v>846</v>
      </c>
      <c r="F3592">
        <v>2</v>
      </c>
      <c r="G3592">
        <v>0</v>
      </c>
      <c r="H3592" t="s">
        <v>855</v>
      </c>
      <c r="I3592" t="str">
        <f>VLOOKUP(C3592,Customers!A:C,2,FALSE)&amp;" "&amp;VLOOKUP(C3592,Customers!A:C,3,FALSE)</f>
        <v>Paige Osborne</v>
      </c>
      <c r="J3592" t="str">
        <f>VLOOKUP(D3592,Products!A:C,2,FALSE)</f>
        <v>World Watches</v>
      </c>
      <c r="K3592" t="str">
        <f>VLOOKUP(D3592,Products!A:C,3,FALSE)</f>
        <v>Fashion</v>
      </c>
      <c r="L3592" t="str">
        <f>VLOOKUP(E3592,Stores!A:B,2,FALSE)</f>
        <v>MegaMart Johnmouth</v>
      </c>
      <c r="M3592">
        <f>VLOOKUP(D3592,Products!A:E,5,FALSE)</f>
        <v>1134.8</v>
      </c>
      <c r="N3592" s="5">
        <f t="shared" si="56"/>
        <v>2269.6</v>
      </c>
    </row>
    <row r="3593" spans="1:14" x14ac:dyDescent="0.3">
      <c r="A3593" t="s">
        <v>4449</v>
      </c>
      <c r="B3593" s="2">
        <v>45748</v>
      </c>
      <c r="C3593" t="s">
        <v>183</v>
      </c>
      <c r="D3593" t="s">
        <v>772</v>
      </c>
      <c r="E3593" t="s">
        <v>835</v>
      </c>
      <c r="F3593">
        <v>2</v>
      </c>
      <c r="G3593">
        <v>0.05</v>
      </c>
      <c r="H3593" t="s">
        <v>858</v>
      </c>
      <c r="I3593" t="str">
        <f>VLOOKUP(C3593,Customers!A:C,2,FALSE)&amp;" "&amp;VLOOKUP(C3593,Customers!A:C,3,FALSE)</f>
        <v>Mary Decker</v>
      </c>
      <c r="J3593" t="str">
        <f>VLOOKUP(D3593,Products!A:C,2,FALSE)</f>
        <v>And Footwear</v>
      </c>
      <c r="K3593" t="str">
        <f>VLOOKUP(D3593,Products!A:C,3,FALSE)</f>
        <v>Fashion</v>
      </c>
      <c r="L3593" t="str">
        <f>VLOOKUP(E3593,Stores!A:B,2,FALSE)</f>
        <v>MegaMart Peckmouth</v>
      </c>
      <c r="M3593">
        <f>VLOOKUP(D3593,Products!A:E,5,FALSE)</f>
        <v>1878.47</v>
      </c>
      <c r="N3593" s="5">
        <f t="shared" si="56"/>
        <v>3569.0929999999998</v>
      </c>
    </row>
    <row r="3594" spans="1:14" x14ac:dyDescent="0.3">
      <c r="A3594" t="s">
        <v>4450</v>
      </c>
      <c r="B3594" s="2">
        <v>45611</v>
      </c>
      <c r="C3594" t="s">
        <v>171</v>
      </c>
      <c r="D3594" t="s">
        <v>822</v>
      </c>
      <c r="E3594" t="s">
        <v>831</v>
      </c>
      <c r="F3594">
        <v>4</v>
      </c>
      <c r="G3594">
        <v>0.1</v>
      </c>
      <c r="H3594" t="s">
        <v>865</v>
      </c>
      <c r="I3594" t="str">
        <f>VLOOKUP(C3594,Customers!A:C,2,FALSE)&amp;" "&amp;VLOOKUP(C3594,Customers!A:C,3,FALSE)</f>
        <v>Parker Sparks</v>
      </c>
      <c r="J3594" t="str">
        <f>VLOOKUP(D3594,Products!A:C,2,FALSE)</f>
        <v>Nor Bags</v>
      </c>
      <c r="K3594" t="str">
        <f>VLOOKUP(D3594,Products!A:C,3,FALSE)</f>
        <v>Fashion</v>
      </c>
      <c r="L3594" t="str">
        <f>VLOOKUP(E3594,Stores!A:B,2,FALSE)</f>
        <v>MegaMart Jimenezborough</v>
      </c>
      <c r="M3594">
        <f>VLOOKUP(D3594,Products!A:E,5,FALSE)</f>
        <v>1216.3599999999999</v>
      </c>
      <c r="N3594" s="5">
        <f t="shared" si="56"/>
        <v>4378.8959999999997</v>
      </c>
    </row>
    <row r="3595" spans="1:14" x14ac:dyDescent="0.3">
      <c r="A3595" t="s">
        <v>4451</v>
      </c>
      <c r="B3595" s="2">
        <v>45837</v>
      </c>
      <c r="C3595" t="s">
        <v>585</v>
      </c>
      <c r="D3595" t="s">
        <v>761</v>
      </c>
      <c r="E3595" t="s">
        <v>839</v>
      </c>
      <c r="F3595">
        <v>2</v>
      </c>
      <c r="G3595">
        <v>0.05</v>
      </c>
      <c r="H3595" t="s">
        <v>861</v>
      </c>
      <c r="I3595" t="str">
        <f>VLOOKUP(C3595,Customers!A:C,2,FALSE)&amp;" "&amp;VLOOKUP(C3595,Customers!A:C,3,FALSE)</f>
        <v>Linda Vasquez</v>
      </c>
      <c r="J3595" t="str">
        <f>VLOOKUP(D3595,Products!A:C,2,FALSE)</f>
        <v>Traditional Laptop</v>
      </c>
      <c r="K3595" t="str">
        <f>VLOOKUP(D3595,Products!A:C,3,FALSE)</f>
        <v>Electronics</v>
      </c>
      <c r="L3595" t="str">
        <f>VLOOKUP(E3595,Stores!A:B,2,FALSE)</f>
        <v>MegaMart New Michele</v>
      </c>
      <c r="M3595">
        <f>VLOOKUP(D3595,Products!A:E,5,FALSE)</f>
        <v>1762.92</v>
      </c>
      <c r="N3595" s="5">
        <f t="shared" si="56"/>
        <v>3349.5479999999998</v>
      </c>
    </row>
    <row r="3596" spans="1:14" x14ac:dyDescent="0.3">
      <c r="A3596" t="s">
        <v>4452</v>
      </c>
      <c r="B3596" s="2">
        <v>45772</v>
      </c>
      <c r="C3596" t="s">
        <v>167</v>
      </c>
      <c r="D3596" t="s">
        <v>774</v>
      </c>
      <c r="E3596" t="s">
        <v>839</v>
      </c>
      <c r="F3596">
        <v>3</v>
      </c>
      <c r="G3596">
        <v>0.05</v>
      </c>
      <c r="H3596" t="s">
        <v>861</v>
      </c>
      <c r="I3596" t="str">
        <f>VLOOKUP(C3596,Customers!A:C,2,FALSE)&amp;" "&amp;VLOOKUP(C3596,Customers!A:C,3,FALSE)</f>
        <v>Kenneth Allen</v>
      </c>
      <c r="J3596" t="str">
        <f>VLOOKUP(D3596,Products!A:C,2,FALSE)</f>
        <v>Him Smartphone</v>
      </c>
      <c r="K3596" t="str">
        <f>VLOOKUP(D3596,Products!A:C,3,FALSE)</f>
        <v>Electronics</v>
      </c>
      <c r="L3596" t="str">
        <f>VLOOKUP(E3596,Stores!A:B,2,FALSE)</f>
        <v>MegaMart New Michele</v>
      </c>
      <c r="M3596">
        <f>VLOOKUP(D3596,Products!A:E,5,FALSE)</f>
        <v>1487.41</v>
      </c>
      <c r="N3596" s="5">
        <f t="shared" si="56"/>
        <v>4239.1185000000005</v>
      </c>
    </row>
    <row r="3597" spans="1:14" x14ac:dyDescent="0.3">
      <c r="A3597" t="s">
        <v>4453</v>
      </c>
      <c r="B3597" s="2">
        <v>45887</v>
      </c>
      <c r="C3597" t="s">
        <v>310</v>
      </c>
      <c r="D3597" t="s">
        <v>804</v>
      </c>
      <c r="E3597" t="s">
        <v>846</v>
      </c>
      <c r="F3597">
        <v>3</v>
      </c>
      <c r="G3597">
        <v>0.1</v>
      </c>
      <c r="H3597" t="s">
        <v>858</v>
      </c>
      <c r="I3597" t="str">
        <f>VLOOKUP(C3597,Customers!A:C,2,FALSE)&amp;" "&amp;VLOOKUP(C3597,Customers!A:C,3,FALSE)</f>
        <v>Amy Haley</v>
      </c>
      <c r="J3597" t="str">
        <f>VLOOKUP(D3597,Products!A:C,2,FALSE)</f>
        <v>Church Clothing</v>
      </c>
      <c r="K3597" t="str">
        <f>VLOOKUP(D3597,Products!A:C,3,FALSE)</f>
        <v>Fashion</v>
      </c>
      <c r="L3597" t="str">
        <f>VLOOKUP(E3597,Stores!A:B,2,FALSE)</f>
        <v>MegaMart Johnmouth</v>
      </c>
      <c r="M3597">
        <f>VLOOKUP(D3597,Products!A:E,5,FALSE)</f>
        <v>540.94000000000005</v>
      </c>
      <c r="N3597" s="5">
        <f t="shared" si="56"/>
        <v>1460.5380000000002</v>
      </c>
    </row>
    <row r="3598" spans="1:14" x14ac:dyDescent="0.3">
      <c r="A3598" t="s">
        <v>4454</v>
      </c>
      <c r="B3598" s="2">
        <v>45325</v>
      </c>
      <c r="C3598" t="s">
        <v>127</v>
      </c>
      <c r="D3598" t="s">
        <v>792</v>
      </c>
      <c r="E3598" t="s">
        <v>842</v>
      </c>
      <c r="F3598">
        <v>4</v>
      </c>
      <c r="G3598">
        <v>0.15</v>
      </c>
      <c r="H3598" t="s">
        <v>861</v>
      </c>
      <c r="I3598" t="str">
        <f>VLOOKUP(C3598,Customers!A:C,2,FALSE)&amp;" "&amp;VLOOKUP(C3598,Customers!A:C,3,FALSE)</f>
        <v>Valerie Macdonald</v>
      </c>
      <c r="J3598" t="str">
        <f>VLOOKUP(D3598,Products!A:C,2,FALSE)</f>
        <v>Beat Accessories</v>
      </c>
      <c r="K3598" t="str">
        <f>VLOOKUP(D3598,Products!A:C,3,FALSE)</f>
        <v>Fashion</v>
      </c>
      <c r="L3598" t="str">
        <f>VLOOKUP(E3598,Stores!A:B,2,FALSE)</f>
        <v>MegaMart Brianahaven</v>
      </c>
      <c r="M3598">
        <f>VLOOKUP(D3598,Products!A:E,5,FALSE)</f>
        <v>1798.97</v>
      </c>
      <c r="N3598" s="5">
        <f t="shared" si="56"/>
        <v>6116.4979999999996</v>
      </c>
    </row>
    <row r="3599" spans="1:14" x14ac:dyDescent="0.3">
      <c r="A3599" t="s">
        <v>4455</v>
      </c>
      <c r="B3599" s="2">
        <v>45547</v>
      </c>
      <c r="C3599" t="s">
        <v>163</v>
      </c>
      <c r="D3599" t="s">
        <v>816</v>
      </c>
      <c r="E3599" t="s">
        <v>842</v>
      </c>
      <c r="F3599">
        <v>3</v>
      </c>
      <c r="G3599">
        <v>0.05</v>
      </c>
      <c r="H3599" t="s">
        <v>865</v>
      </c>
      <c r="I3599" t="str">
        <f>VLOOKUP(C3599,Customers!A:C,2,FALSE)&amp;" "&amp;VLOOKUP(C3599,Customers!A:C,3,FALSE)</f>
        <v>Anna Andrews</v>
      </c>
      <c r="J3599" t="str">
        <f>VLOOKUP(D3599,Products!A:C,2,FALSE)</f>
        <v>Set Dairy</v>
      </c>
      <c r="K3599" t="str">
        <f>VLOOKUP(D3599,Products!A:C,3,FALSE)</f>
        <v>Groceries</v>
      </c>
      <c r="L3599" t="str">
        <f>VLOOKUP(E3599,Stores!A:B,2,FALSE)</f>
        <v>MegaMart Brianahaven</v>
      </c>
      <c r="M3599">
        <f>VLOOKUP(D3599,Products!A:E,5,FALSE)</f>
        <v>1879.08</v>
      </c>
      <c r="N3599" s="5">
        <f t="shared" si="56"/>
        <v>5355.3779999999997</v>
      </c>
    </row>
    <row r="3600" spans="1:14" x14ac:dyDescent="0.3">
      <c r="A3600" t="s">
        <v>4456</v>
      </c>
      <c r="B3600" s="2">
        <v>45756</v>
      </c>
      <c r="C3600" t="s">
        <v>533</v>
      </c>
      <c r="D3600" t="s">
        <v>728</v>
      </c>
      <c r="E3600" t="s">
        <v>839</v>
      </c>
      <c r="F3600">
        <v>3</v>
      </c>
      <c r="G3600">
        <v>0.1</v>
      </c>
      <c r="H3600" t="s">
        <v>858</v>
      </c>
      <c r="I3600" t="str">
        <f>VLOOKUP(C3600,Customers!A:C,2,FALSE)&amp;" "&amp;VLOOKUP(C3600,Customers!A:C,3,FALSE)</f>
        <v>Crystal Garrison</v>
      </c>
      <c r="J3600" t="str">
        <f>VLOOKUP(D3600,Products!A:C,2,FALSE)</f>
        <v>Company Fruits</v>
      </c>
      <c r="K3600" t="str">
        <f>VLOOKUP(D3600,Products!A:C,3,FALSE)</f>
        <v>Groceries</v>
      </c>
      <c r="L3600" t="str">
        <f>VLOOKUP(E3600,Stores!A:B,2,FALSE)</f>
        <v>MegaMart New Michele</v>
      </c>
      <c r="M3600">
        <f>VLOOKUP(D3600,Products!A:E,5,FALSE)</f>
        <v>318.05</v>
      </c>
      <c r="N3600" s="5">
        <f t="shared" si="56"/>
        <v>858.73500000000013</v>
      </c>
    </row>
    <row r="3601" spans="1:14" x14ac:dyDescent="0.3">
      <c r="A3601" t="s">
        <v>4457</v>
      </c>
      <c r="B3601" s="2">
        <v>45363</v>
      </c>
      <c r="C3601" t="s">
        <v>563</v>
      </c>
      <c r="D3601" t="s">
        <v>715</v>
      </c>
      <c r="E3601" t="s">
        <v>831</v>
      </c>
      <c r="F3601">
        <v>2</v>
      </c>
      <c r="G3601">
        <v>0.15</v>
      </c>
      <c r="H3601" t="s">
        <v>858</v>
      </c>
      <c r="I3601" t="str">
        <f>VLOOKUP(C3601,Customers!A:C,2,FALSE)&amp;" "&amp;VLOOKUP(C3601,Customers!A:C,3,FALSE)</f>
        <v>Connie Terry</v>
      </c>
      <c r="J3601" t="str">
        <f>VLOOKUP(D3601,Products!A:C,2,FALSE)</f>
        <v>Audience Television</v>
      </c>
      <c r="K3601" t="str">
        <f>VLOOKUP(D3601,Products!A:C,3,FALSE)</f>
        <v>Electronics</v>
      </c>
      <c r="L3601" t="str">
        <f>VLOOKUP(E3601,Stores!A:B,2,FALSE)</f>
        <v>MegaMart Jimenezborough</v>
      </c>
      <c r="M3601">
        <f>VLOOKUP(D3601,Products!A:E,5,FALSE)</f>
        <v>818.76</v>
      </c>
      <c r="N3601" s="5">
        <f t="shared" si="56"/>
        <v>1391.8920000000001</v>
      </c>
    </row>
    <row r="3602" spans="1:14" x14ac:dyDescent="0.3">
      <c r="A3602" t="s">
        <v>4458</v>
      </c>
      <c r="B3602" s="2">
        <v>45453</v>
      </c>
      <c r="C3602" t="s">
        <v>7</v>
      </c>
      <c r="D3602" t="s">
        <v>784</v>
      </c>
      <c r="E3602" t="s">
        <v>835</v>
      </c>
      <c r="F3602">
        <v>5</v>
      </c>
      <c r="G3602">
        <v>0.05</v>
      </c>
      <c r="H3602" t="s">
        <v>858</v>
      </c>
      <c r="I3602" t="str">
        <f>VLOOKUP(C3602,Customers!A:C,2,FALSE)&amp;" "&amp;VLOOKUP(C3602,Customers!A:C,3,FALSE)</f>
        <v>Michael Davis</v>
      </c>
      <c r="J3602" t="str">
        <f>VLOOKUP(D3602,Products!A:C,2,FALSE)</f>
        <v>Road Clothing</v>
      </c>
      <c r="K3602" t="str">
        <f>VLOOKUP(D3602,Products!A:C,3,FALSE)</f>
        <v>Fashion</v>
      </c>
      <c r="L3602" t="str">
        <f>VLOOKUP(E3602,Stores!A:B,2,FALSE)</f>
        <v>MegaMart Peckmouth</v>
      </c>
      <c r="M3602">
        <f>VLOOKUP(D3602,Products!A:E,5,FALSE)</f>
        <v>1485.05</v>
      </c>
      <c r="N3602" s="5">
        <f t="shared" si="56"/>
        <v>7053.9874999999993</v>
      </c>
    </row>
    <row r="3603" spans="1:14" x14ac:dyDescent="0.3">
      <c r="A3603" t="s">
        <v>4459</v>
      </c>
      <c r="B3603" s="2">
        <v>45711</v>
      </c>
      <c r="C3603" t="s">
        <v>74</v>
      </c>
      <c r="D3603" t="s">
        <v>728</v>
      </c>
      <c r="E3603" t="s">
        <v>835</v>
      </c>
      <c r="F3603">
        <v>1</v>
      </c>
      <c r="G3603">
        <v>0.1</v>
      </c>
      <c r="H3603" t="s">
        <v>861</v>
      </c>
      <c r="I3603" t="str">
        <f>VLOOKUP(C3603,Customers!A:C,2,FALSE)&amp;" "&amp;VLOOKUP(C3603,Customers!A:C,3,FALSE)</f>
        <v>Breanna Davis</v>
      </c>
      <c r="J3603" t="str">
        <f>VLOOKUP(D3603,Products!A:C,2,FALSE)</f>
        <v>Company Fruits</v>
      </c>
      <c r="K3603" t="str">
        <f>VLOOKUP(D3603,Products!A:C,3,FALSE)</f>
        <v>Groceries</v>
      </c>
      <c r="L3603" t="str">
        <f>VLOOKUP(E3603,Stores!A:B,2,FALSE)</f>
        <v>MegaMart Peckmouth</v>
      </c>
      <c r="M3603">
        <f>VLOOKUP(D3603,Products!A:E,5,FALSE)</f>
        <v>318.05</v>
      </c>
      <c r="N3603" s="5">
        <f t="shared" si="56"/>
        <v>286.245</v>
      </c>
    </row>
    <row r="3604" spans="1:14" x14ac:dyDescent="0.3">
      <c r="A3604" t="s">
        <v>4460</v>
      </c>
      <c r="B3604" s="2">
        <v>45480</v>
      </c>
      <c r="C3604" t="s">
        <v>608</v>
      </c>
      <c r="D3604" t="s">
        <v>769</v>
      </c>
      <c r="E3604" t="s">
        <v>846</v>
      </c>
      <c r="F3604">
        <v>4</v>
      </c>
      <c r="G3604">
        <v>0.15</v>
      </c>
      <c r="H3604" t="s">
        <v>865</v>
      </c>
      <c r="I3604" t="str">
        <f>VLOOKUP(C3604,Customers!A:C,2,FALSE)&amp;" "&amp;VLOOKUP(C3604,Customers!A:C,3,FALSE)</f>
        <v>Christina Dominguez</v>
      </c>
      <c r="J3604" t="str">
        <f>VLOOKUP(D3604,Products!A:C,2,FALSE)</f>
        <v>How Vegetables</v>
      </c>
      <c r="K3604" t="str">
        <f>VLOOKUP(D3604,Products!A:C,3,FALSE)</f>
        <v>Groceries</v>
      </c>
      <c r="L3604" t="str">
        <f>VLOOKUP(E3604,Stores!A:B,2,FALSE)</f>
        <v>MegaMart Johnmouth</v>
      </c>
      <c r="M3604">
        <f>VLOOKUP(D3604,Products!A:E,5,FALSE)</f>
        <v>25.57</v>
      </c>
      <c r="N3604" s="5">
        <f t="shared" si="56"/>
        <v>86.938000000000002</v>
      </c>
    </row>
    <row r="3605" spans="1:14" x14ac:dyDescent="0.3">
      <c r="A3605" t="s">
        <v>4461</v>
      </c>
      <c r="B3605" s="2">
        <v>45788</v>
      </c>
      <c r="C3605" t="s">
        <v>213</v>
      </c>
      <c r="D3605" t="s">
        <v>794</v>
      </c>
      <c r="E3605" t="s">
        <v>842</v>
      </c>
      <c r="F3605">
        <v>3</v>
      </c>
      <c r="G3605">
        <v>0.05</v>
      </c>
      <c r="H3605" t="s">
        <v>861</v>
      </c>
      <c r="I3605" t="str">
        <f>VLOOKUP(C3605,Customers!A:C,2,FALSE)&amp;" "&amp;VLOOKUP(C3605,Customers!A:C,3,FALSE)</f>
        <v>Deborah Moody</v>
      </c>
      <c r="J3605" t="str">
        <f>VLOOKUP(D3605,Products!A:C,2,FALSE)</f>
        <v>Everything Laptop</v>
      </c>
      <c r="K3605" t="str">
        <f>VLOOKUP(D3605,Products!A:C,3,FALSE)</f>
        <v>Electronics</v>
      </c>
      <c r="L3605" t="str">
        <f>VLOOKUP(E3605,Stores!A:B,2,FALSE)</f>
        <v>MegaMart Brianahaven</v>
      </c>
      <c r="M3605">
        <f>VLOOKUP(D3605,Products!A:E,5,FALSE)</f>
        <v>428.05</v>
      </c>
      <c r="N3605" s="5">
        <f t="shared" si="56"/>
        <v>1219.9425000000001</v>
      </c>
    </row>
    <row r="3606" spans="1:14" x14ac:dyDescent="0.3">
      <c r="A3606" t="s">
        <v>4462</v>
      </c>
      <c r="B3606" s="2">
        <v>45823</v>
      </c>
      <c r="C3606" t="s">
        <v>134</v>
      </c>
      <c r="D3606" t="s">
        <v>766</v>
      </c>
      <c r="E3606" t="s">
        <v>835</v>
      </c>
      <c r="F3606">
        <v>1</v>
      </c>
      <c r="G3606">
        <v>0</v>
      </c>
      <c r="H3606" t="s">
        <v>861</v>
      </c>
      <c r="I3606" t="str">
        <f>VLOOKUP(C3606,Customers!A:C,2,FALSE)&amp;" "&amp;VLOOKUP(C3606,Customers!A:C,3,FALSE)</f>
        <v>Kari Miller</v>
      </c>
      <c r="J3606" t="str">
        <f>VLOOKUP(D3606,Products!A:C,2,FALSE)</f>
        <v>Firm Dairy</v>
      </c>
      <c r="K3606" t="str">
        <f>VLOOKUP(D3606,Products!A:C,3,FALSE)</f>
        <v>Groceries</v>
      </c>
      <c r="L3606" t="str">
        <f>VLOOKUP(E3606,Stores!A:B,2,FALSE)</f>
        <v>MegaMart Peckmouth</v>
      </c>
      <c r="M3606">
        <f>VLOOKUP(D3606,Products!A:E,5,FALSE)</f>
        <v>1227.24</v>
      </c>
      <c r="N3606" s="5">
        <f t="shared" si="56"/>
        <v>1227.24</v>
      </c>
    </row>
    <row r="3607" spans="1:14" x14ac:dyDescent="0.3">
      <c r="A3607" t="s">
        <v>4463</v>
      </c>
      <c r="B3607" s="2">
        <v>45698</v>
      </c>
      <c r="C3607" t="s">
        <v>355</v>
      </c>
      <c r="D3607" t="s">
        <v>774</v>
      </c>
      <c r="E3607" t="s">
        <v>842</v>
      </c>
      <c r="F3607">
        <v>1</v>
      </c>
      <c r="G3607">
        <v>0.05</v>
      </c>
      <c r="H3607" t="s">
        <v>861</v>
      </c>
      <c r="I3607" t="str">
        <f>VLOOKUP(C3607,Customers!A:C,2,FALSE)&amp;" "&amp;VLOOKUP(C3607,Customers!A:C,3,FALSE)</f>
        <v>Kimberly Stokes</v>
      </c>
      <c r="J3607" t="str">
        <f>VLOOKUP(D3607,Products!A:C,2,FALSE)</f>
        <v>Him Smartphone</v>
      </c>
      <c r="K3607" t="str">
        <f>VLOOKUP(D3607,Products!A:C,3,FALSE)</f>
        <v>Electronics</v>
      </c>
      <c r="L3607" t="str">
        <f>VLOOKUP(E3607,Stores!A:B,2,FALSE)</f>
        <v>MegaMart Brianahaven</v>
      </c>
      <c r="M3607">
        <f>VLOOKUP(D3607,Products!A:E,5,FALSE)</f>
        <v>1487.41</v>
      </c>
      <c r="N3607" s="5">
        <f t="shared" si="56"/>
        <v>1413.0395000000001</v>
      </c>
    </row>
    <row r="3608" spans="1:14" x14ac:dyDescent="0.3">
      <c r="A3608" t="s">
        <v>4464</v>
      </c>
      <c r="B3608" s="2">
        <v>45750</v>
      </c>
      <c r="C3608" t="s">
        <v>44</v>
      </c>
      <c r="D3608" t="s">
        <v>820</v>
      </c>
      <c r="E3608" t="s">
        <v>831</v>
      </c>
      <c r="F3608">
        <v>3</v>
      </c>
      <c r="G3608">
        <v>0.15</v>
      </c>
      <c r="H3608" t="s">
        <v>858</v>
      </c>
      <c r="I3608" t="str">
        <f>VLOOKUP(C3608,Customers!A:C,2,FALSE)&amp;" "&amp;VLOOKUP(C3608,Customers!A:C,3,FALSE)</f>
        <v>Catherine Rice</v>
      </c>
      <c r="J3608" t="str">
        <f>VLOOKUP(D3608,Products!A:C,2,FALSE)</f>
        <v>Or Smartphone</v>
      </c>
      <c r="K3608" t="str">
        <f>VLOOKUP(D3608,Products!A:C,3,FALSE)</f>
        <v>Electronics</v>
      </c>
      <c r="L3608" t="str">
        <f>VLOOKUP(E3608,Stores!A:B,2,FALSE)</f>
        <v>MegaMart Jimenezborough</v>
      </c>
      <c r="M3608">
        <f>VLOOKUP(D3608,Products!A:E,5,FALSE)</f>
        <v>1197.18</v>
      </c>
      <c r="N3608" s="5">
        <f t="shared" si="56"/>
        <v>3052.8089999999997</v>
      </c>
    </row>
    <row r="3609" spans="1:14" x14ac:dyDescent="0.3">
      <c r="A3609" t="s">
        <v>4465</v>
      </c>
      <c r="B3609" s="2">
        <v>45771</v>
      </c>
      <c r="C3609" t="s">
        <v>487</v>
      </c>
      <c r="D3609" t="s">
        <v>788</v>
      </c>
      <c r="E3609" t="s">
        <v>846</v>
      </c>
      <c r="F3609">
        <v>5</v>
      </c>
      <c r="G3609">
        <v>0.15</v>
      </c>
      <c r="H3609" t="s">
        <v>855</v>
      </c>
      <c r="I3609" t="str">
        <f>VLOOKUP(C3609,Customers!A:C,2,FALSE)&amp;" "&amp;VLOOKUP(C3609,Customers!A:C,3,FALSE)</f>
        <v>Yvette Roth</v>
      </c>
      <c r="J3609" t="str">
        <f>VLOOKUP(D3609,Products!A:C,2,FALSE)</f>
        <v>Foot Snacks</v>
      </c>
      <c r="K3609" t="str">
        <f>VLOOKUP(D3609,Products!A:C,3,FALSE)</f>
        <v>Groceries</v>
      </c>
      <c r="L3609" t="str">
        <f>VLOOKUP(E3609,Stores!A:B,2,FALSE)</f>
        <v>MegaMart Johnmouth</v>
      </c>
      <c r="M3609">
        <f>VLOOKUP(D3609,Products!A:E,5,FALSE)</f>
        <v>1095.72</v>
      </c>
      <c r="N3609" s="5">
        <f t="shared" si="56"/>
        <v>4656.8100000000004</v>
      </c>
    </row>
    <row r="3610" spans="1:14" x14ac:dyDescent="0.3">
      <c r="A3610" t="s">
        <v>4466</v>
      </c>
      <c r="B3610" s="2">
        <v>45259</v>
      </c>
      <c r="C3610" t="s">
        <v>625</v>
      </c>
      <c r="D3610" t="s">
        <v>750</v>
      </c>
      <c r="E3610" t="s">
        <v>835</v>
      </c>
      <c r="F3610">
        <v>3</v>
      </c>
      <c r="G3610">
        <v>0.1</v>
      </c>
      <c r="H3610" t="s">
        <v>861</v>
      </c>
      <c r="I3610" t="str">
        <f>VLOOKUP(C3610,Customers!A:C,2,FALSE)&amp;" "&amp;VLOOKUP(C3610,Customers!A:C,3,FALSE)</f>
        <v>Peter Garcia</v>
      </c>
      <c r="J3610" t="str">
        <f>VLOOKUP(D3610,Products!A:C,2,FALSE)</f>
        <v>Add Clothing</v>
      </c>
      <c r="K3610" t="str">
        <f>VLOOKUP(D3610,Products!A:C,3,FALSE)</f>
        <v>Fashion</v>
      </c>
      <c r="L3610" t="str">
        <f>VLOOKUP(E3610,Stores!A:B,2,FALSE)</f>
        <v>MegaMart Peckmouth</v>
      </c>
      <c r="M3610">
        <f>VLOOKUP(D3610,Products!A:E,5,FALSE)</f>
        <v>1342.75</v>
      </c>
      <c r="N3610" s="5">
        <f t="shared" si="56"/>
        <v>3625.4250000000002</v>
      </c>
    </row>
    <row r="3611" spans="1:14" x14ac:dyDescent="0.3">
      <c r="A3611" t="s">
        <v>4467</v>
      </c>
      <c r="B3611" s="2">
        <v>45265</v>
      </c>
      <c r="C3611" t="s">
        <v>234</v>
      </c>
      <c r="D3611" t="s">
        <v>742</v>
      </c>
      <c r="E3611" t="s">
        <v>846</v>
      </c>
      <c r="F3611">
        <v>4</v>
      </c>
      <c r="G3611">
        <v>0</v>
      </c>
      <c r="H3611" t="s">
        <v>865</v>
      </c>
      <c r="I3611" t="str">
        <f>VLOOKUP(C3611,Customers!A:C,2,FALSE)&amp;" "&amp;VLOOKUP(C3611,Customers!A:C,3,FALSE)</f>
        <v>Heather Russell</v>
      </c>
      <c r="J3611" t="str">
        <f>VLOOKUP(D3611,Products!A:C,2,FALSE)</f>
        <v>Either Headphones</v>
      </c>
      <c r="K3611" t="str">
        <f>VLOOKUP(D3611,Products!A:C,3,FALSE)</f>
        <v>Electronics</v>
      </c>
      <c r="L3611" t="str">
        <f>VLOOKUP(E3611,Stores!A:B,2,FALSE)</f>
        <v>MegaMart Johnmouth</v>
      </c>
      <c r="M3611">
        <f>VLOOKUP(D3611,Products!A:E,5,FALSE)</f>
        <v>248.57</v>
      </c>
      <c r="N3611" s="5">
        <f t="shared" si="56"/>
        <v>994.28</v>
      </c>
    </row>
    <row r="3612" spans="1:14" x14ac:dyDescent="0.3">
      <c r="A3612" t="s">
        <v>4468</v>
      </c>
      <c r="B3612" s="2">
        <v>45393</v>
      </c>
      <c r="C3612" t="s">
        <v>202</v>
      </c>
      <c r="D3612" t="s">
        <v>796</v>
      </c>
      <c r="E3612" t="s">
        <v>831</v>
      </c>
      <c r="F3612">
        <v>3</v>
      </c>
      <c r="G3612">
        <v>0.1</v>
      </c>
      <c r="H3612" t="s">
        <v>861</v>
      </c>
      <c r="I3612" t="str">
        <f>VLOOKUP(C3612,Customers!A:C,2,FALSE)&amp;" "&amp;VLOOKUP(C3612,Customers!A:C,3,FALSE)</f>
        <v>Billy Hernandez</v>
      </c>
      <c r="J3612" t="str">
        <f>VLOOKUP(D3612,Products!A:C,2,FALSE)</f>
        <v>Chair Laptop</v>
      </c>
      <c r="K3612" t="str">
        <f>VLOOKUP(D3612,Products!A:C,3,FALSE)</f>
        <v>Electronics</v>
      </c>
      <c r="L3612" t="str">
        <f>VLOOKUP(E3612,Stores!A:B,2,FALSE)</f>
        <v>MegaMart Jimenezborough</v>
      </c>
      <c r="M3612">
        <f>VLOOKUP(D3612,Products!A:E,5,FALSE)</f>
        <v>1562.43</v>
      </c>
      <c r="N3612" s="5">
        <f t="shared" si="56"/>
        <v>4218.5609999999997</v>
      </c>
    </row>
    <row r="3613" spans="1:14" x14ac:dyDescent="0.3">
      <c r="A3613" t="s">
        <v>4469</v>
      </c>
      <c r="B3613" s="2">
        <v>45617</v>
      </c>
      <c r="C3613" t="s">
        <v>375</v>
      </c>
      <c r="D3613" t="s">
        <v>750</v>
      </c>
      <c r="E3613" t="s">
        <v>831</v>
      </c>
      <c r="F3613">
        <v>5</v>
      </c>
      <c r="G3613">
        <v>0.1</v>
      </c>
      <c r="H3613" t="s">
        <v>865</v>
      </c>
      <c r="I3613" t="str">
        <f>VLOOKUP(C3613,Customers!A:C,2,FALSE)&amp;" "&amp;VLOOKUP(C3613,Customers!A:C,3,FALSE)</f>
        <v>Sean Hart</v>
      </c>
      <c r="J3613" t="str">
        <f>VLOOKUP(D3613,Products!A:C,2,FALSE)</f>
        <v>Add Clothing</v>
      </c>
      <c r="K3613" t="str">
        <f>VLOOKUP(D3613,Products!A:C,3,FALSE)</f>
        <v>Fashion</v>
      </c>
      <c r="L3613" t="str">
        <f>VLOOKUP(E3613,Stores!A:B,2,FALSE)</f>
        <v>MegaMart Jimenezborough</v>
      </c>
      <c r="M3613">
        <f>VLOOKUP(D3613,Products!A:E,5,FALSE)</f>
        <v>1342.75</v>
      </c>
      <c r="N3613" s="5">
        <f t="shared" si="56"/>
        <v>6042.375</v>
      </c>
    </row>
    <row r="3614" spans="1:14" x14ac:dyDescent="0.3">
      <c r="A3614" t="s">
        <v>4470</v>
      </c>
      <c r="B3614" s="2">
        <v>45239</v>
      </c>
      <c r="C3614" t="s">
        <v>438</v>
      </c>
      <c r="D3614" t="s">
        <v>745</v>
      </c>
      <c r="E3614" t="s">
        <v>831</v>
      </c>
      <c r="F3614">
        <v>3</v>
      </c>
      <c r="G3614">
        <v>0.05</v>
      </c>
      <c r="H3614" t="s">
        <v>861</v>
      </c>
      <c r="I3614" t="str">
        <f>VLOOKUP(C3614,Customers!A:C,2,FALSE)&amp;" "&amp;VLOOKUP(C3614,Customers!A:C,3,FALSE)</f>
        <v>Gina Bradford</v>
      </c>
      <c r="J3614" t="str">
        <f>VLOOKUP(D3614,Products!A:C,2,FALSE)</f>
        <v>Above Camera</v>
      </c>
      <c r="K3614" t="str">
        <f>VLOOKUP(D3614,Products!A:C,3,FALSE)</f>
        <v>Electronics</v>
      </c>
      <c r="L3614" t="str">
        <f>VLOOKUP(E3614,Stores!A:B,2,FALSE)</f>
        <v>MegaMart Jimenezborough</v>
      </c>
      <c r="M3614">
        <f>VLOOKUP(D3614,Products!A:E,5,FALSE)</f>
        <v>1193.0899999999999</v>
      </c>
      <c r="N3614" s="5">
        <f t="shared" si="56"/>
        <v>3400.3064999999992</v>
      </c>
    </row>
    <row r="3615" spans="1:14" x14ac:dyDescent="0.3">
      <c r="A3615" t="s">
        <v>4471</v>
      </c>
      <c r="B3615" s="2">
        <v>45881</v>
      </c>
      <c r="C3615" t="s">
        <v>661</v>
      </c>
      <c r="D3615" t="s">
        <v>764</v>
      </c>
      <c r="E3615" t="s">
        <v>846</v>
      </c>
      <c r="F3615">
        <v>1</v>
      </c>
      <c r="G3615">
        <v>0</v>
      </c>
      <c r="H3615" t="s">
        <v>861</v>
      </c>
      <c r="I3615" t="str">
        <f>VLOOKUP(C3615,Customers!A:C,2,FALSE)&amp;" "&amp;VLOOKUP(C3615,Customers!A:C,3,FALSE)</f>
        <v>Cynthia Cherry</v>
      </c>
      <c r="J3615" t="str">
        <f>VLOOKUP(D3615,Products!A:C,2,FALSE)</f>
        <v>Simple Accessories</v>
      </c>
      <c r="K3615" t="str">
        <f>VLOOKUP(D3615,Products!A:C,3,FALSE)</f>
        <v>Fashion</v>
      </c>
      <c r="L3615" t="str">
        <f>VLOOKUP(E3615,Stores!A:B,2,FALSE)</f>
        <v>MegaMart Johnmouth</v>
      </c>
      <c r="M3615">
        <f>VLOOKUP(D3615,Products!A:E,5,FALSE)</f>
        <v>323.92</v>
      </c>
      <c r="N3615" s="5">
        <f t="shared" si="56"/>
        <v>323.92</v>
      </c>
    </row>
    <row r="3616" spans="1:14" x14ac:dyDescent="0.3">
      <c r="A3616" t="s">
        <v>4472</v>
      </c>
      <c r="B3616" s="2">
        <v>45200</v>
      </c>
      <c r="C3616" t="s">
        <v>589</v>
      </c>
      <c r="D3616" t="s">
        <v>778</v>
      </c>
      <c r="E3616" t="s">
        <v>846</v>
      </c>
      <c r="F3616">
        <v>2</v>
      </c>
      <c r="G3616">
        <v>0.1</v>
      </c>
      <c r="H3616" t="s">
        <v>865</v>
      </c>
      <c r="I3616" t="str">
        <f>VLOOKUP(C3616,Customers!A:C,2,FALSE)&amp;" "&amp;VLOOKUP(C3616,Customers!A:C,3,FALSE)</f>
        <v>Tanya Mueller</v>
      </c>
      <c r="J3616" t="str">
        <f>VLOOKUP(D3616,Products!A:C,2,FALSE)</f>
        <v>Behavior Dairy</v>
      </c>
      <c r="K3616" t="str">
        <f>VLOOKUP(D3616,Products!A:C,3,FALSE)</f>
        <v>Groceries</v>
      </c>
      <c r="L3616" t="str">
        <f>VLOOKUP(E3616,Stores!A:B,2,FALSE)</f>
        <v>MegaMart Johnmouth</v>
      </c>
      <c r="M3616">
        <f>VLOOKUP(D3616,Products!A:E,5,FALSE)</f>
        <v>1015.76</v>
      </c>
      <c r="N3616" s="5">
        <f t="shared" si="56"/>
        <v>1828.3679999999999</v>
      </c>
    </row>
    <row r="3617" spans="1:14" x14ac:dyDescent="0.3">
      <c r="A3617" t="s">
        <v>4473</v>
      </c>
      <c r="B3617" s="2">
        <v>45570</v>
      </c>
      <c r="C3617" t="s">
        <v>97</v>
      </c>
      <c r="D3617" t="s">
        <v>808</v>
      </c>
      <c r="E3617" t="s">
        <v>839</v>
      </c>
      <c r="F3617">
        <v>2</v>
      </c>
      <c r="G3617">
        <v>0.15</v>
      </c>
      <c r="H3617" t="s">
        <v>855</v>
      </c>
      <c r="I3617" t="str">
        <f>VLOOKUP(C3617,Customers!A:C,2,FALSE)&amp;" "&amp;VLOOKUP(C3617,Customers!A:C,3,FALSE)</f>
        <v>Molly Murray</v>
      </c>
      <c r="J3617" t="str">
        <f>VLOOKUP(D3617,Products!A:C,2,FALSE)</f>
        <v>Present Television</v>
      </c>
      <c r="K3617" t="str">
        <f>VLOOKUP(D3617,Products!A:C,3,FALSE)</f>
        <v>Electronics</v>
      </c>
      <c r="L3617" t="str">
        <f>VLOOKUP(E3617,Stores!A:B,2,FALSE)</f>
        <v>MegaMart New Michele</v>
      </c>
      <c r="M3617">
        <f>VLOOKUP(D3617,Products!A:E,5,FALSE)</f>
        <v>1635.01</v>
      </c>
      <c r="N3617" s="5">
        <f t="shared" si="56"/>
        <v>2779.5169999999998</v>
      </c>
    </row>
    <row r="3618" spans="1:14" x14ac:dyDescent="0.3">
      <c r="A3618" t="s">
        <v>4474</v>
      </c>
      <c r="B3618" s="2">
        <v>45567</v>
      </c>
      <c r="C3618" t="s">
        <v>599</v>
      </c>
      <c r="D3618" t="s">
        <v>822</v>
      </c>
      <c r="E3618" t="s">
        <v>846</v>
      </c>
      <c r="F3618">
        <v>2</v>
      </c>
      <c r="G3618">
        <v>0</v>
      </c>
      <c r="H3618" t="s">
        <v>861</v>
      </c>
      <c r="I3618" t="str">
        <f>VLOOKUP(C3618,Customers!A:C,2,FALSE)&amp;" "&amp;VLOOKUP(C3618,Customers!A:C,3,FALSE)</f>
        <v>Richard Jones</v>
      </c>
      <c r="J3618" t="str">
        <f>VLOOKUP(D3618,Products!A:C,2,FALSE)</f>
        <v>Nor Bags</v>
      </c>
      <c r="K3618" t="str">
        <f>VLOOKUP(D3618,Products!A:C,3,FALSE)</f>
        <v>Fashion</v>
      </c>
      <c r="L3618" t="str">
        <f>VLOOKUP(E3618,Stores!A:B,2,FALSE)</f>
        <v>MegaMart Johnmouth</v>
      </c>
      <c r="M3618">
        <f>VLOOKUP(D3618,Products!A:E,5,FALSE)</f>
        <v>1216.3599999999999</v>
      </c>
      <c r="N3618" s="5">
        <f t="shared" si="56"/>
        <v>2432.7199999999998</v>
      </c>
    </row>
    <row r="3619" spans="1:14" x14ac:dyDescent="0.3">
      <c r="A3619" t="s">
        <v>4475</v>
      </c>
      <c r="B3619" s="2">
        <v>45411</v>
      </c>
      <c r="C3619" t="s">
        <v>12</v>
      </c>
      <c r="D3619" t="s">
        <v>755</v>
      </c>
      <c r="E3619" t="s">
        <v>846</v>
      </c>
      <c r="F3619">
        <v>4</v>
      </c>
      <c r="G3619">
        <v>0.15</v>
      </c>
      <c r="H3619" t="s">
        <v>865</v>
      </c>
      <c r="I3619" t="str">
        <f>VLOOKUP(C3619,Customers!A:C,2,FALSE)&amp;" "&amp;VLOOKUP(C3619,Customers!A:C,3,FALSE)</f>
        <v>Michael Miller</v>
      </c>
      <c r="J3619" t="str">
        <f>VLOOKUP(D3619,Products!A:C,2,FALSE)</f>
        <v>House Accessories</v>
      </c>
      <c r="K3619" t="str">
        <f>VLOOKUP(D3619,Products!A:C,3,FALSE)</f>
        <v>Fashion</v>
      </c>
      <c r="L3619" t="str">
        <f>VLOOKUP(E3619,Stores!A:B,2,FALSE)</f>
        <v>MegaMart Johnmouth</v>
      </c>
      <c r="M3619">
        <f>VLOOKUP(D3619,Products!A:E,5,FALSE)</f>
        <v>1858.75</v>
      </c>
      <c r="N3619" s="5">
        <f t="shared" si="56"/>
        <v>6319.75</v>
      </c>
    </row>
    <row r="3620" spans="1:14" x14ac:dyDescent="0.3">
      <c r="A3620" t="s">
        <v>4476</v>
      </c>
      <c r="B3620" s="2">
        <v>45453</v>
      </c>
      <c r="C3620" t="s">
        <v>210</v>
      </c>
      <c r="D3620" t="s">
        <v>711</v>
      </c>
      <c r="E3620" t="s">
        <v>846</v>
      </c>
      <c r="F3620">
        <v>4</v>
      </c>
      <c r="G3620">
        <v>0</v>
      </c>
      <c r="H3620" t="s">
        <v>865</v>
      </c>
      <c r="I3620" t="str">
        <f>VLOOKUP(C3620,Customers!A:C,2,FALSE)&amp;" "&amp;VLOOKUP(C3620,Customers!A:C,3,FALSE)</f>
        <v>Crystal Johnson</v>
      </c>
      <c r="J3620" t="str">
        <f>VLOOKUP(D3620,Products!A:C,2,FALSE)</f>
        <v>Like Camera</v>
      </c>
      <c r="K3620" t="str">
        <f>VLOOKUP(D3620,Products!A:C,3,FALSE)</f>
        <v>Electronics</v>
      </c>
      <c r="L3620" t="str">
        <f>VLOOKUP(E3620,Stores!A:B,2,FALSE)</f>
        <v>MegaMart Johnmouth</v>
      </c>
      <c r="M3620">
        <f>VLOOKUP(D3620,Products!A:E,5,FALSE)</f>
        <v>1673.69</v>
      </c>
      <c r="N3620" s="5">
        <f t="shared" si="56"/>
        <v>6694.76</v>
      </c>
    </row>
    <row r="3621" spans="1:14" x14ac:dyDescent="0.3">
      <c r="A3621" t="s">
        <v>4477</v>
      </c>
      <c r="B3621" s="2">
        <v>45331</v>
      </c>
      <c r="C3621" t="s">
        <v>148</v>
      </c>
      <c r="D3621" t="s">
        <v>814</v>
      </c>
      <c r="E3621" t="s">
        <v>842</v>
      </c>
      <c r="F3621">
        <v>1</v>
      </c>
      <c r="G3621">
        <v>0.05</v>
      </c>
      <c r="H3621" t="s">
        <v>861</v>
      </c>
      <c r="I3621" t="str">
        <f>VLOOKUP(C3621,Customers!A:C,2,FALSE)&amp;" "&amp;VLOOKUP(C3621,Customers!A:C,3,FALSE)</f>
        <v>Tracey Davis</v>
      </c>
      <c r="J3621" t="str">
        <f>VLOOKUP(D3621,Products!A:C,2,FALSE)</f>
        <v>Least Accessories</v>
      </c>
      <c r="K3621" t="str">
        <f>VLOOKUP(D3621,Products!A:C,3,FALSE)</f>
        <v>Fashion</v>
      </c>
      <c r="L3621" t="str">
        <f>VLOOKUP(E3621,Stores!A:B,2,FALSE)</f>
        <v>MegaMart Brianahaven</v>
      </c>
      <c r="M3621">
        <f>VLOOKUP(D3621,Products!A:E,5,FALSE)</f>
        <v>1286.55</v>
      </c>
      <c r="N3621" s="5">
        <f t="shared" si="56"/>
        <v>1222.2224999999999</v>
      </c>
    </row>
    <row r="3622" spans="1:14" x14ac:dyDescent="0.3">
      <c r="A3622" t="s">
        <v>4478</v>
      </c>
      <c r="B3622" s="2">
        <v>45533</v>
      </c>
      <c r="C3622" t="s">
        <v>119</v>
      </c>
      <c r="D3622" t="s">
        <v>734</v>
      </c>
      <c r="E3622" t="s">
        <v>835</v>
      </c>
      <c r="F3622">
        <v>2</v>
      </c>
      <c r="G3622">
        <v>0</v>
      </c>
      <c r="H3622" t="s">
        <v>858</v>
      </c>
      <c r="I3622" t="str">
        <f>VLOOKUP(C3622,Customers!A:C,2,FALSE)&amp;" "&amp;VLOOKUP(C3622,Customers!A:C,3,FALSE)</f>
        <v>Lacey Hall</v>
      </c>
      <c r="J3622" t="str">
        <f>VLOOKUP(D3622,Products!A:C,2,FALSE)</f>
        <v>Recognize Footwear</v>
      </c>
      <c r="K3622" t="str">
        <f>VLOOKUP(D3622,Products!A:C,3,FALSE)</f>
        <v>Fashion</v>
      </c>
      <c r="L3622" t="str">
        <f>VLOOKUP(E3622,Stores!A:B,2,FALSE)</f>
        <v>MegaMart Peckmouth</v>
      </c>
      <c r="M3622">
        <f>VLOOKUP(D3622,Products!A:E,5,FALSE)</f>
        <v>109.78</v>
      </c>
      <c r="N3622" s="5">
        <f t="shared" si="56"/>
        <v>219.56</v>
      </c>
    </row>
    <row r="3623" spans="1:14" x14ac:dyDescent="0.3">
      <c r="A3623" t="s">
        <v>4479</v>
      </c>
      <c r="B3623" s="2">
        <v>45599</v>
      </c>
      <c r="C3623" t="s">
        <v>393</v>
      </c>
      <c r="D3623" t="s">
        <v>824</v>
      </c>
      <c r="E3623" t="s">
        <v>842</v>
      </c>
      <c r="F3623">
        <v>2</v>
      </c>
      <c r="G3623">
        <v>0</v>
      </c>
      <c r="H3623" t="s">
        <v>865</v>
      </c>
      <c r="I3623" t="str">
        <f>VLOOKUP(C3623,Customers!A:C,2,FALSE)&amp;" "&amp;VLOOKUP(C3623,Customers!A:C,3,FALSE)</f>
        <v>Kenneth Berg</v>
      </c>
      <c r="J3623" t="str">
        <f>VLOOKUP(D3623,Products!A:C,2,FALSE)</f>
        <v>Possible Watches</v>
      </c>
      <c r="K3623" t="str">
        <f>VLOOKUP(D3623,Products!A:C,3,FALSE)</f>
        <v>Fashion</v>
      </c>
      <c r="L3623" t="str">
        <f>VLOOKUP(E3623,Stores!A:B,2,FALSE)</f>
        <v>MegaMart Brianahaven</v>
      </c>
      <c r="M3623">
        <f>VLOOKUP(D3623,Products!A:E,5,FALSE)</f>
        <v>388.26</v>
      </c>
      <c r="N3623" s="5">
        <f t="shared" si="56"/>
        <v>776.52</v>
      </c>
    </row>
    <row r="3624" spans="1:14" x14ac:dyDescent="0.3">
      <c r="A3624" t="s">
        <v>4480</v>
      </c>
      <c r="B3624" s="2">
        <v>45790</v>
      </c>
      <c r="C3624" t="s">
        <v>560</v>
      </c>
      <c r="D3624" t="s">
        <v>764</v>
      </c>
      <c r="E3624" t="s">
        <v>831</v>
      </c>
      <c r="F3624">
        <v>1</v>
      </c>
      <c r="G3624">
        <v>0</v>
      </c>
      <c r="H3624" t="s">
        <v>858</v>
      </c>
      <c r="I3624" t="str">
        <f>VLOOKUP(C3624,Customers!A:C,2,FALSE)&amp;" "&amp;VLOOKUP(C3624,Customers!A:C,3,FALSE)</f>
        <v>George Young</v>
      </c>
      <c r="J3624" t="str">
        <f>VLOOKUP(D3624,Products!A:C,2,FALSE)</f>
        <v>Simple Accessories</v>
      </c>
      <c r="K3624" t="str">
        <f>VLOOKUP(D3624,Products!A:C,3,FALSE)</f>
        <v>Fashion</v>
      </c>
      <c r="L3624" t="str">
        <f>VLOOKUP(E3624,Stores!A:B,2,FALSE)</f>
        <v>MegaMart Jimenezborough</v>
      </c>
      <c r="M3624">
        <f>VLOOKUP(D3624,Products!A:E,5,FALSE)</f>
        <v>323.92</v>
      </c>
      <c r="N3624" s="5">
        <f t="shared" si="56"/>
        <v>323.92</v>
      </c>
    </row>
    <row r="3625" spans="1:14" x14ac:dyDescent="0.3">
      <c r="A3625" t="s">
        <v>4481</v>
      </c>
      <c r="B3625" s="2">
        <v>45438</v>
      </c>
      <c r="C3625" t="s">
        <v>390</v>
      </c>
      <c r="D3625" t="s">
        <v>778</v>
      </c>
      <c r="E3625" t="s">
        <v>831</v>
      </c>
      <c r="F3625">
        <v>2</v>
      </c>
      <c r="G3625">
        <v>0.05</v>
      </c>
      <c r="H3625" t="s">
        <v>865</v>
      </c>
      <c r="I3625" t="str">
        <f>VLOOKUP(C3625,Customers!A:C,2,FALSE)&amp;" "&amp;VLOOKUP(C3625,Customers!A:C,3,FALSE)</f>
        <v>Brenda Dean</v>
      </c>
      <c r="J3625" t="str">
        <f>VLOOKUP(D3625,Products!A:C,2,FALSE)</f>
        <v>Behavior Dairy</v>
      </c>
      <c r="K3625" t="str">
        <f>VLOOKUP(D3625,Products!A:C,3,FALSE)</f>
        <v>Groceries</v>
      </c>
      <c r="L3625" t="str">
        <f>VLOOKUP(E3625,Stores!A:B,2,FALSE)</f>
        <v>MegaMart Jimenezborough</v>
      </c>
      <c r="M3625">
        <f>VLOOKUP(D3625,Products!A:E,5,FALSE)</f>
        <v>1015.76</v>
      </c>
      <c r="N3625" s="5">
        <f t="shared" si="56"/>
        <v>1929.944</v>
      </c>
    </row>
    <row r="3626" spans="1:14" x14ac:dyDescent="0.3">
      <c r="A3626" t="s">
        <v>4482</v>
      </c>
      <c r="B3626" s="2">
        <v>45438</v>
      </c>
      <c r="C3626" t="s">
        <v>123</v>
      </c>
      <c r="D3626" t="s">
        <v>753</v>
      </c>
      <c r="E3626" t="s">
        <v>846</v>
      </c>
      <c r="F3626">
        <v>1</v>
      </c>
      <c r="G3626">
        <v>0.15</v>
      </c>
      <c r="H3626" t="s">
        <v>861</v>
      </c>
      <c r="I3626" t="str">
        <f>VLOOKUP(C3626,Customers!A:C,2,FALSE)&amp;" "&amp;VLOOKUP(C3626,Customers!A:C,3,FALSE)</f>
        <v>Ashley Gibson</v>
      </c>
      <c r="J3626" t="str">
        <f>VLOOKUP(D3626,Products!A:C,2,FALSE)</f>
        <v>Whether Bags</v>
      </c>
      <c r="K3626" t="str">
        <f>VLOOKUP(D3626,Products!A:C,3,FALSE)</f>
        <v>Fashion</v>
      </c>
      <c r="L3626" t="str">
        <f>VLOOKUP(E3626,Stores!A:B,2,FALSE)</f>
        <v>MegaMart Johnmouth</v>
      </c>
      <c r="M3626">
        <f>VLOOKUP(D3626,Products!A:E,5,FALSE)</f>
        <v>270.45</v>
      </c>
      <c r="N3626" s="5">
        <f t="shared" si="56"/>
        <v>229.88249999999999</v>
      </c>
    </row>
    <row r="3627" spans="1:14" x14ac:dyDescent="0.3">
      <c r="A3627" t="s">
        <v>4483</v>
      </c>
      <c r="B3627" s="2">
        <v>45456</v>
      </c>
      <c r="C3627" t="s">
        <v>657</v>
      </c>
      <c r="D3627" t="s">
        <v>711</v>
      </c>
      <c r="E3627" t="s">
        <v>839</v>
      </c>
      <c r="F3627">
        <v>5</v>
      </c>
      <c r="G3627">
        <v>0.15</v>
      </c>
      <c r="H3627" t="s">
        <v>861</v>
      </c>
      <c r="I3627" t="str">
        <f>VLOOKUP(C3627,Customers!A:C,2,FALSE)&amp;" "&amp;VLOOKUP(C3627,Customers!A:C,3,FALSE)</f>
        <v>Vicki Guzman</v>
      </c>
      <c r="J3627" t="str">
        <f>VLOOKUP(D3627,Products!A:C,2,FALSE)</f>
        <v>Like Camera</v>
      </c>
      <c r="K3627" t="str">
        <f>VLOOKUP(D3627,Products!A:C,3,FALSE)</f>
        <v>Electronics</v>
      </c>
      <c r="L3627" t="str">
        <f>VLOOKUP(E3627,Stores!A:B,2,FALSE)</f>
        <v>MegaMart New Michele</v>
      </c>
      <c r="M3627">
        <f>VLOOKUP(D3627,Products!A:E,5,FALSE)</f>
        <v>1673.69</v>
      </c>
      <c r="N3627" s="5">
        <f t="shared" si="56"/>
        <v>7113.1825000000008</v>
      </c>
    </row>
    <row r="3628" spans="1:14" x14ac:dyDescent="0.3">
      <c r="A3628" t="s">
        <v>4484</v>
      </c>
      <c r="B3628" s="2">
        <v>45865</v>
      </c>
      <c r="C3628" t="s">
        <v>198</v>
      </c>
      <c r="D3628" t="s">
        <v>772</v>
      </c>
      <c r="E3628" t="s">
        <v>846</v>
      </c>
      <c r="F3628">
        <v>2</v>
      </c>
      <c r="G3628">
        <v>0</v>
      </c>
      <c r="H3628" t="s">
        <v>855</v>
      </c>
      <c r="I3628" t="str">
        <f>VLOOKUP(C3628,Customers!A:C,2,FALSE)&amp;" "&amp;VLOOKUP(C3628,Customers!A:C,3,FALSE)</f>
        <v>Madison Sellers</v>
      </c>
      <c r="J3628" t="str">
        <f>VLOOKUP(D3628,Products!A:C,2,FALSE)</f>
        <v>And Footwear</v>
      </c>
      <c r="K3628" t="str">
        <f>VLOOKUP(D3628,Products!A:C,3,FALSE)</f>
        <v>Fashion</v>
      </c>
      <c r="L3628" t="str">
        <f>VLOOKUP(E3628,Stores!A:B,2,FALSE)</f>
        <v>MegaMart Johnmouth</v>
      </c>
      <c r="M3628">
        <f>VLOOKUP(D3628,Products!A:E,5,FALSE)</f>
        <v>1878.47</v>
      </c>
      <c r="N3628" s="5">
        <f t="shared" si="56"/>
        <v>3756.94</v>
      </c>
    </row>
    <row r="3629" spans="1:14" x14ac:dyDescent="0.3">
      <c r="A3629" t="s">
        <v>4485</v>
      </c>
      <c r="B3629" s="2">
        <v>45554</v>
      </c>
      <c r="C3629" t="s">
        <v>533</v>
      </c>
      <c r="D3629" t="s">
        <v>732</v>
      </c>
      <c r="E3629" t="s">
        <v>835</v>
      </c>
      <c r="F3629">
        <v>4</v>
      </c>
      <c r="G3629">
        <v>0.15</v>
      </c>
      <c r="H3629" t="s">
        <v>855</v>
      </c>
      <c r="I3629" t="str">
        <f>VLOOKUP(C3629,Customers!A:C,2,FALSE)&amp;" "&amp;VLOOKUP(C3629,Customers!A:C,3,FALSE)</f>
        <v>Crystal Garrison</v>
      </c>
      <c r="J3629" t="str">
        <f>VLOOKUP(D3629,Products!A:C,2,FALSE)</f>
        <v>Understand Camera</v>
      </c>
      <c r="K3629" t="str">
        <f>VLOOKUP(D3629,Products!A:C,3,FALSE)</f>
        <v>Electronics</v>
      </c>
      <c r="L3629" t="str">
        <f>VLOOKUP(E3629,Stores!A:B,2,FALSE)</f>
        <v>MegaMart Peckmouth</v>
      </c>
      <c r="M3629">
        <f>VLOOKUP(D3629,Products!A:E,5,FALSE)</f>
        <v>1474.12</v>
      </c>
      <c r="N3629" s="5">
        <f t="shared" si="56"/>
        <v>5012.0079999999998</v>
      </c>
    </row>
    <row r="3630" spans="1:14" x14ac:dyDescent="0.3">
      <c r="A3630" t="s">
        <v>4486</v>
      </c>
      <c r="B3630" s="2">
        <v>45358</v>
      </c>
      <c r="C3630" t="s">
        <v>210</v>
      </c>
      <c r="D3630" t="s">
        <v>820</v>
      </c>
      <c r="E3630" t="s">
        <v>846</v>
      </c>
      <c r="F3630">
        <v>1</v>
      </c>
      <c r="G3630">
        <v>0.05</v>
      </c>
      <c r="H3630" t="s">
        <v>858</v>
      </c>
      <c r="I3630" t="str">
        <f>VLOOKUP(C3630,Customers!A:C,2,FALSE)&amp;" "&amp;VLOOKUP(C3630,Customers!A:C,3,FALSE)</f>
        <v>Crystal Johnson</v>
      </c>
      <c r="J3630" t="str">
        <f>VLOOKUP(D3630,Products!A:C,2,FALSE)</f>
        <v>Or Smartphone</v>
      </c>
      <c r="K3630" t="str">
        <f>VLOOKUP(D3630,Products!A:C,3,FALSE)</f>
        <v>Electronics</v>
      </c>
      <c r="L3630" t="str">
        <f>VLOOKUP(E3630,Stores!A:B,2,FALSE)</f>
        <v>MegaMart Johnmouth</v>
      </c>
      <c r="M3630">
        <f>VLOOKUP(D3630,Products!A:E,5,FALSE)</f>
        <v>1197.18</v>
      </c>
      <c r="N3630" s="5">
        <f t="shared" si="56"/>
        <v>1137.3209999999999</v>
      </c>
    </row>
    <row r="3631" spans="1:14" x14ac:dyDescent="0.3">
      <c r="A3631" t="s">
        <v>4487</v>
      </c>
      <c r="B3631" s="2">
        <v>45651</v>
      </c>
      <c r="C3631" t="s">
        <v>596</v>
      </c>
      <c r="D3631" t="s">
        <v>757</v>
      </c>
      <c r="E3631" t="s">
        <v>839</v>
      </c>
      <c r="F3631">
        <v>5</v>
      </c>
      <c r="G3631">
        <v>0</v>
      </c>
      <c r="H3631" t="s">
        <v>861</v>
      </c>
      <c r="I3631" t="str">
        <f>VLOOKUP(C3631,Customers!A:C,2,FALSE)&amp;" "&amp;VLOOKUP(C3631,Customers!A:C,3,FALSE)</f>
        <v>Kimberly Lin</v>
      </c>
      <c r="J3631" t="str">
        <f>VLOOKUP(D3631,Products!A:C,2,FALSE)</f>
        <v>Find Headphones</v>
      </c>
      <c r="K3631" t="str">
        <f>VLOOKUP(D3631,Products!A:C,3,FALSE)</f>
        <v>Electronics</v>
      </c>
      <c r="L3631" t="str">
        <f>VLOOKUP(E3631,Stores!A:B,2,FALSE)</f>
        <v>MegaMart New Michele</v>
      </c>
      <c r="M3631">
        <f>VLOOKUP(D3631,Products!A:E,5,FALSE)</f>
        <v>1246.1099999999999</v>
      </c>
      <c r="N3631" s="5">
        <f t="shared" si="56"/>
        <v>6230.5499999999993</v>
      </c>
    </row>
    <row r="3632" spans="1:14" x14ac:dyDescent="0.3">
      <c r="A3632" t="s">
        <v>4488</v>
      </c>
      <c r="B3632" s="2">
        <v>45490</v>
      </c>
      <c r="C3632" t="s">
        <v>690</v>
      </c>
      <c r="D3632" t="s">
        <v>769</v>
      </c>
      <c r="E3632" t="s">
        <v>839</v>
      </c>
      <c r="F3632">
        <v>2</v>
      </c>
      <c r="G3632">
        <v>0</v>
      </c>
      <c r="H3632" t="s">
        <v>865</v>
      </c>
      <c r="I3632" t="str">
        <f>VLOOKUP(C3632,Customers!A:C,2,FALSE)&amp;" "&amp;VLOOKUP(C3632,Customers!A:C,3,FALSE)</f>
        <v>James Noble</v>
      </c>
      <c r="J3632" t="str">
        <f>VLOOKUP(D3632,Products!A:C,2,FALSE)</f>
        <v>How Vegetables</v>
      </c>
      <c r="K3632" t="str">
        <f>VLOOKUP(D3632,Products!A:C,3,FALSE)</f>
        <v>Groceries</v>
      </c>
      <c r="L3632" t="str">
        <f>VLOOKUP(E3632,Stores!A:B,2,FALSE)</f>
        <v>MegaMart New Michele</v>
      </c>
      <c r="M3632">
        <f>VLOOKUP(D3632,Products!A:E,5,FALSE)</f>
        <v>25.57</v>
      </c>
      <c r="N3632" s="5">
        <f t="shared" si="56"/>
        <v>51.14</v>
      </c>
    </row>
    <row r="3633" spans="1:14" x14ac:dyDescent="0.3">
      <c r="A3633" t="s">
        <v>4489</v>
      </c>
      <c r="B3633" s="2">
        <v>45709</v>
      </c>
      <c r="C3633" t="s">
        <v>277</v>
      </c>
      <c r="D3633" t="s">
        <v>786</v>
      </c>
      <c r="E3633" t="s">
        <v>831</v>
      </c>
      <c r="F3633">
        <v>5</v>
      </c>
      <c r="G3633">
        <v>0.15</v>
      </c>
      <c r="H3633" t="s">
        <v>861</v>
      </c>
      <c r="I3633" t="str">
        <f>VLOOKUP(C3633,Customers!A:C,2,FALSE)&amp;" "&amp;VLOOKUP(C3633,Customers!A:C,3,FALSE)</f>
        <v>Carl Armstrong</v>
      </c>
      <c r="J3633" t="str">
        <f>VLOOKUP(D3633,Products!A:C,2,FALSE)</f>
        <v>National Watches</v>
      </c>
      <c r="K3633" t="str">
        <f>VLOOKUP(D3633,Products!A:C,3,FALSE)</f>
        <v>Fashion</v>
      </c>
      <c r="L3633" t="str">
        <f>VLOOKUP(E3633,Stores!A:B,2,FALSE)</f>
        <v>MegaMart Jimenezborough</v>
      </c>
      <c r="M3633">
        <f>VLOOKUP(D3633,Products!A:E,5,FALSE)</f>
        <v>29.24</v>
      </c>
      <c r="N3633" s="5">
        <f t="shared" si="56"/>
        <v>124.26999999999998</v>
      </c>
    </row>
    <row r="3634" spans="1:14" x14ac:dyDescent="0.3">
      <c r="A3634" t="s">
        <v>4490</v>
      </c>
      <c r="B3634" s="2">
        <v>45227</v>
      </c>
      <c r="C3634" t="s">
        <v>327</v>
      </c>
      <c r="D3634" t="s">
        <v>764</v>
      </c>
      <c r="E3634" t="s">
        <v>831</v>
      </c>
      <c r="F3634">
        <v>5</v>
      </c>
      <c r="G3634">
        <v>0.1</v>
      </c>
      <c r="H3634" t="s">
        <v>861</v>
      </c>
      <c r="I3634" t="str">
        <f>VLOOKUP(C3634,Customers!A:C,2,FALSE)&amp;" "&amp;VLOOKUP(C3634,Customers!A:C,3,FALSE)</f>
        <v>Laurie Mason</v>
      </c>
      <c r="J3634" t="str">
        <f>VLOOKUP(D3634,Products!A:C,2,FALSE)</f>
        <v>Simple Accessories</v>
      </c>
      <c r="K3634" t="str">
        <f>VLOOKUP(D3634,Products!A:C,3,FALSE)</f>
        <v>Fashion</v>
      </c>
      <c r="L3634" t="str">
        <f>VLOOKUP(E3634,Stores!A:B,2,FALSE)</f>
        <v>MegaMart Jimenezborough</v>
      </c>
      <c r="M3634">
        <f>VLOOKUP(D3634,Products!A:E,5,FALSE)</f>
        <v>323.92</v>
      </c>
      <c r="N3634" s="5">
        <f t="shared" si="56"/>
        <v>1457.64</v>
      </c>
    </row>
    <row r="3635" spans="1:14" x14ac:dyDescent="0.3">
      <c r="A3635" t="s">
        <v>4491</v>
      </c>
      <c r="B3635" s="2">
        <v>45838</v>
      </c>
      <c r="C3635" t="s">
        <v>151</v>
      </c>
      <c r="D3635" t="s">
        <v>759</v>
      </c>
      <c r="E3635" t="s">
        <v>846</v>
      </c>
      <c r="F3635">
        <v>3</v>
      </c>
      <c r="G3635">
        <v>0.15</v>
      </c>
      <c r="H3635" t="s">
        <v>861</v>
      </c>
      <c r="I3635" t="str">
        <f>VLOOKUP(C3635,Customers!A:C,2,FALSE)&amp;" "&amp;VLOOKUP(C3635,Customers!A:C,3,FALSE)</f>
        <v>Nancy Savage</v>
      </c>
      <c r="J3635" t="str">
        <f>VLOOKUP(D3635,Products!A:C,2,FALSE)</f>
        <v>Democratic Smartphone</v>
      </c>
      <c r="K3635" t="str">
        <f>VLOOKUP(D3635,Products!A:C,3,FALSE)</f>
        <v>Electronics</v>
      </c>
      <c r="L3635" t="str">
        <f>VLOOKUP(E3635,Stores!A:B,2,FALSE)</f>
        <v>MegaMart Johnmouth</v>
      </c>
      <c r="M3635">
        <f>VLOOKUP(D3635,Products!A:E,5,FALSE)</f>
        <v>1079.8900000000001</v>
      </c>
      <c r="N3635" s="5">
        <f t="shared" si="56"/>
        <v>2753.7195000000002</v>
      </c>
    </row>
    <row r="3636" spans="1:14" x14ac:dyDescent="0.3">
      <c r="A3636" t="s">
        <v>4492</v>
      </c>
      <c r="B3636" s="2">
        <v>45617</v>
      </c>
      <c r="C3636" t="s">
        <v>24</v>
      </c>
      <c r="D3636" t="s">
        <v>759</v>
      </c>
      <c r="E3636" t="s">
        <v>846</v>
      </c>
      <c r="F3636">
        <v>2</v>
      </c>
      <c r="G3636">
        <v>0.1</v>
      </c>
      <c r="H3636" t="s">
        <v>855</v>
      </c>
      <c r="I3636" t="str">
        <f>VLOOKUP(C3636,Customers!A:C,2,FALSE)&amp;" "&amp;VLOOKUP(C3636,Customers!A:C,3,FALSE)</f>
        <v>Jamie Salinas</v>
      </c>
      <c r="J3636" t="str">
        <f>VLOOKUP(D3636,Products!A:C,2,FALSE)</f>
        <v>Democratic Smartphone</v>
      </c>
      <c r="K3636" t="str">
        <f>VLOOKUP(D3636,Products!A:C,3,FALSE)</f>
        <v>Electronics</v>
      </c>
      <c r="L3636" t="str">
        <f>VLOOKUP(E3636,Stores!A:B,2,FALSE)</f>
        <v>MegaMart Johnmouth</v>
      </c>
      <c r="M3636">
        <f>VLOOKUP(D3636,Products!A:E,5,FALSE)</f>
        <v>1079.8900000000001</v>
      </c>
      <c r="N3636" s="5">
        <f t="shared" si="56"/>
        <v>1943.8020000000001</v>
      </c>
    </row>
    <row r="3637" spans="1:14" x14ac:dyDescent="0.3">
      <c r="A3637" t="s">
        <v>4493</v>
      </c>
      <c r="B3637" s="2">
        <v>45676</v>
      </c>
      <c r="C3637" t="s">
        <v>653</v>
      </c>
      <c r="D3637" t="s">
        <v>747</v>
      </c>
      <c r="E3637" t="s">
        <v>842</v>
      </c>
      <c r="F3637">
        <v>1</v>
      </c>
      <c r="G3637">
        <v>0</v>
      </c>
      <c r="H3637" t="s">
        <v>861</v>
      </c>
      <c r="I3637" t="str">
        <f>VLOOKUP(C3637,Customers!A:C,2,FALSE)&amp;" "&amp;VLOOKUP(C3637,Customers!A:C,3,FALSE)</f>
        <v>Joe Vincent</v>
      </c>
      <c r="J3637" t="str">
        <f>VLOOKUP(D3637,Products!A:C,2,FALSE)</f>
        <v>World Watches</v>
      </c>
      <c r="K3637" t="str">
        <f>VLOOKUP(D3637,Products!A:C,3,FALSE)</f>
        <v>Fashion</v>
      </c>
      <c r="L3637" t="str">
        <f>VLOOKUP(E3637,Stores!A:B,2,FALSE)</f>
        <v>MegaMart Brianahaven</v>
      </c>
      <c r="M3637">
        <f>VLOOKUP(D3637,Products!A:E,5,FALSE)</f>
        <v>1134.8</v>
      </c>
      <c r="N3637" s="5">
        <f t="shared" si="56"/>
        <v>1134.8</v>
      </c>
    </row>
    <row r="3638" spans="1:14" x14ac:dyDescent="0.3">
      <c r="A3638" t="s">
        <v>4494</v>
      </c>
      <c r="B3638" s="2">
        <v>45482</v>
      </c>
      <c r="C3638" t="s">
        <v>650</v>
      </c>
      <c r="D3638" t="s">
        <v>722</v>
      </c>
      <c r="E3638" t="s">
        <v>846</v>
      </c>
      <c r="F3638">
        <v>5</v>
      </c>
      <c r="G3638">
        <v>0.1</v>
      </c>
      <c r="H3638" t="s">
        <v>861</v>
      </c>
      <c r="I3638" t="str">
        <f>VLOOKUP(C3638,Customers!A:C,2,FALSE)&amp;" "&amp;VLOOKUP(C3638,Customers!A:C,3,FALSE)</f>
        <v>Daniel Mcintyre</v>
      </c>
      <c r="J3638" t="str">
        <f>VLOOKUP(D3638,Products!A:C,2,FALSE)</f>
        <v>Four Accessories</v>
      </c>
      <c r="K3638" t="str">
        <f>VLOOKUP(D3638,Products!A:C,3,FALSE)</f>
        <v>Fashion</v>
      </c>
      <c r="L3638" t="str">
        <f>VLOOKUP(E3638,Stores!A:B,2,FALSE)</f>
        <v>MegaMart Johnmouth</v>
      </c>
      <c r="M3638">
        <f>VLOOKUP(D3638,Products!A:E,5,FALSE)</f>
        <v>1853.77</v>
      </c>
      <c r="N3638" s="5">
        <f t="shared" si="56"/>
        <v>8341.9650000000001</v>
      </c>
    </row>
    <row r="3639" spans="1:14" x14ac:dyDescent="0.3">
      <c r="A3639" t="s">
        <v>4495</v>
      </c>
      <c r="B3639" s="2">
        <v>45552</v>
      </c>
      <c r="C3639" t="s">
        <v>702</v>
      </c>
      <c r="D3639" t="s">
        <v>798</v>
      </c>
      <c r="E3639" t="s">
        <v>846</v>
      </c>
      <c r="F3639">
        <v>4</v>
      </c>
      <c r="G3639">
        <v>0</v>
      </c>
      <c r="H3639" t="s">
        <v>865</v>
      </c>
      <c r="I3639" t="str">
        <f>VLOOKUP(C3639,Customers!A:C,2,FALSE)&amp;" "&amp;VLOOKUP(C3639,Customers!A:C,3,FALSE)</f>
        <v>Ronald Haley</v>
      </c>
      <c r="J3639" t="str">
        <f>VLOOKUP(D3639,Products!A:C,2,FALSE)</f>
        <v>New Watches</v>
      </c>
      <c r="K3639" t="str">
        <f>VLOOKUP(D3639,Products!A:C,3,FALSE)</f>
        <v>Fashion</v>
      </c>
      <c r="L3639" t="str">
        <f>VLOOKUP(E3639,Stores!A:B,2,FALSE)</f>
        <v>MegaMart Johnmouth</v>
      </c>
      <c r="M3639">
        <f>VLOOKUP(D3639,Products!A:E,5,FALSE)</f>
        <v>1501.46</v>
      </c>
      <c r="N3639" s="5">
        <f t="shared" si="56"/>
        <v>6005.84</v>
      </c>
    </row>
    <row r="3640" spans="1:14" x14ac:dyDescent="0.3">
      <c r="A3640" t="s">
        <v>4496</v>
      </c>
      <c r="B3640" s="2">
        <v>45756</v>
      </c>
      <c r="C3640" t="s">
        <v>228</v>
      </c>
      <c r="D3640" t="s">
        <v>826</v>
      </c>
      <c r="E3640" t="s">
        <v>842</v>
      </c>
      <c r="F3640">
        <v>1</v>
      </c>
      <c r="G3640">
        <v>0.05</v>
      </c>
      <c r="H3640" t="s">
        <v>855</v>
      </c>
      <c r="I3640" t="str">
        <f>VLOOKUP(C3640,Customers!A:C,2,FALSE)&amp;" "&amp;VLOOKUP(C3640,Customers!A:C,3,FALSE)</f>
        <v>Scott Wyatt</v>
      </c>
      <c r="J3640" t="str">
        <f>VLOOKUP(D3640,Products!A:C,2,FALSE)</f>
        <v>Maybe Footwear</v>
      </c>
      <c r="K3640" t="str">
        <f>VLOOKUP(D3640,Products!A:C,3,FALSE)</f>
        <v>Fashion</v>
      </c>
      <c r="L3640" t="str">
        <f>VLOOKUP(E3640,Stores!A:B,2,FALSE)</f>
        <v>MegaMart Brianahaven</v>
      </c>
      <c r="M3640">
        <f>VLOOKUP(D3640,Products!A:E,5,FALSE)</f>
        <v>1044.6400000000001</v>
      </c>
      <c r="N3640" s="5">
        <f t="shared" si="56"/>
        <v>992.40800000000002</v>
      </c>
    </row>
    <row r="3641" spans="1:14" x14ac:dyDescent="0.3">
      <c r="A3641" t="s">
        <v>4497</v>
      </c>
      <c r="B3641" s="2">
        <v>45818</v>
      </c>
      <c r="C3641" t="s">
        <v>191</v>
      </c>
      <c r="D3641" t="s">
        <v>796</v>
      </c>
      <c r="E3641" t="s">
        <v>842</v>
      </c>
      <c r="F3641">
        <v>3</v>
      </c>
      <c r="G3641">
        <v>0.1</v>
      </c>
      <c r="H3641" t="s">
        <v>855</v>
      </c>
      <c r="I3641" t="str">
        <f>VLOOKUP(C3641,Customers!A:C,2,FALSE)&amp;" "&amp;VLOOKUP(C3641,Customers!A:C,3,FALSE)</f>
        <v>Antonio Hamilton</v>
      </c>
      <c r="J3641" t="str">
        <f>VLOOKUP(D3641,Products!A:C,2,FALSE)</f>
        <v>Chair Laptop</v>
      </c>
      <c r="K3641" t="str">
        <f>VLOOKUP(D3641,Products!A:C,3,FALSE)</f>
        <v>Electronics</v>
      </c>
      <c r="L3641" t="str">
        <f>VLOOKUP(E3641,Stores!A:B,2,FALSE)</f>
        <v>MegaMart Brianahaven</v>
      </c>
      <c r="M3641">
        <f>VLOOKUP(D3641,Products!A:E,5,FALSE)</f>
        <v>1562.43</v>
      </c>
      <c r="N3641" s="5">
        <f t="shared" si="56"/>
        <v>4218.5609999999997</v>
      </c>
    </row>
    <row r="3642" spans="1:14" x14ac:dyDescent="0.3">
      <c r="A3642" t="s">
        <v>4498</v>
      </c>
      <c r="B3642" s="2">
        <v>45248</v>
      </c>
      <c r="C3642" t="s">
        <v>375</v>
      </c>
      <c r="D3642" t="s">
        <v>818</v>
      </c>
      <c r="E3642" t="s">
        <v>839</v>
      </c>
      <c r="F3642">
        <v>2</v>
      </c>
      <c r="G3642">
        <v>0.05</v>
      </c>
      <c r="H3642" t="s">
        <v>865</v>
      </c>
      <c r="I3642" t="str">
        <f>VLOOKUP(C3642,Customers!A:C,2,FALSE)&amp;" "&amp;VLOOKUP(C3642,Customers!A:C,3,FALSE)</f>
        <v>Sean Hart</v>
      </c>
      <c r="J3642" t="str">
        <f>VLOOKUP(D3642,Products!A:C,2,FALSE)</f>
        <v>Nature Clothing</v>
      </c>
      <c r="K3642" t="str">
        <f>VLOOKUP(D3642,Products!A:C,3,FALSE)</f>
        <v>Fashion</v>
      </c>
      <c r="L3642" t="str">
        <f>VLOOKUP(E3642,Stores!A:B,2,FALSE)</f>
        <v>MegaMart New Michele</v>
      </c>
      <c r="M3642">
        <f>VLOOKUP(D3642,Products!A:E,5,FALSE)</f>
        <v>1165.3699999999999</v>
      </c>
      <c r="N3642" s="5">
        <f t="shared" si="56"/>
        <v>2214.2029999999995</v>
      </c>
    </row>
    <row r="3643" spans="1:14" x14ac:dyDescent="0.3">
      <c r="A3643" t="s">
        <v>4499</v>
      </c>
      <c r="B3643" s="2">
        <v>45412</v>
      </c>
      <c r="C3643" t="s">
        <v>254</v>
      </c>
      <c r="D3643" t="s">
        <v>776</v>
      </c>
      <c r="E3643" t="s">
        <v>831</v>
      </c>
      <c r="F3643">
        <v>2</v>
      </c>
      <c r="G3643">
        <v>0</v>
      </c>
      <c r="H3643" t="s">
        <v>861</v>
      </c>
      <c r="I3643" t="str">
        <f>VLOOKUP(C3643,Customers!A:C,2,FALSE)&amp;" "&amp;VLOOKUP(C3643,Customers!A:C,3,FALSE)</f>
        <v>Daniel Maldonado</v>
      </c>
      <c r="J3643" t="str">
        <f>VLOOKUP(D3643,Products!A:C,2,FALSE)</f>
        <v>Little Watches</v>
      </c>
      <c r="K3643" t="str">
        <f>VLOOKUP(D3643,Products!A:C,3,FALSE)</f>
        <v>Fashion</v>
      </c>
      <c r="L3643" t="str">
        <f>VLOOKUP(E3643,Stores!A:B,2,FALSE)</f>
        <v>MegaMart Jimenezborough</v>
      </c>
      <c r="M3643">
        <f>VLOOKUP(D3643,Products!A:E,5,FALSE)</f>
        <v>429.15</v>
      </c>
      <c r="N3643" s="5">
        <f t="shared" si="56"/>
        <v>858.3</v>
      </c>
    </row>
    <row r="3644" spans="1:14" x14ac:dyDescent="0.3">
      <c r="A3644" t="s">
        <v>4500</v>
      </c>
      <c r="B3644" s="2">
        <v>45289</v>
      </c>
      <c r="C3644" t="s">
        <v>458</v>
      </c>
      <c r="D3644" t="s">
        <v>747</v>
      </c>
      <c r="E3644" t="s">
        <v>831</v>
      </c>
      <c r="F3644">
        <v>4</v>
      </c>
      <c r="G3644">
        <v>0</v>
      </c>
      <c r="H3644" t="s">
        <v>855</v>
      </c>
      <c r="I3644" t="str">
        <f>VLOOKUP(C3644,Customers!A:C,2,FALSE)&amp;" "&amp;VLOOKUP(C3644,Customers!A:C,3,FALSE)</f>
        <v>Chad Roberts</v>
      </c>
      <c r="J3644" t="str">
        <f>VLOOKUP(D3644,Products!A:C,2,FALSE)</f>
        <v>World Watches</v>
      </c>
      <c r="K3644" t="str">
        <f>VLOOKUP(D3644,Products!A:C,3,FALSE)</f>
        <v>Fashion</v>
      </c>
      <c r="L3644" t="str">
        <f>VLOOKUP(E3644,Stores!A:B,2,FALSE)</f>
        <v>MegaMart Jimenezborough</v>
      </c>
      <c r="M3644">
        <f>VLOOKUP(D3644,Products!A:E,5,FALSE)</f>
        <v>1134.8</v>
      </c>
      <c r="N3644" s="5">
        <f t="shared" si="56"/>
        <v>4539.2</v>
      </c>
    </row>
    <row r="3645" spans="1:14" x14ac:dyDescent="0.3">
      <c r="A3645" t="s">
        <v>4501</v>
      </c>
      <c r="B3645" s="2">
        <v>45618</v>
      </c>
      <c r="C3645" t="s">
        <v>567</v>
      </c>
      <c r="D3645" t="s">
        <v>808</v>
      </c>
      <c r="E3645" t="s">
        <v>835</v>
      </c>
      <c r="F3645">
        <v>4</v>
      </c>
      <c r="G3645">
        <v>0.05</v>
      </c>
      <c r="H3645" t="s">
        <v>858</v>
      </c>
      <c r="I3645" t="str">
        <f>VLOOKUP(C3645,Customers!A:C,2,FALSE)&amp;" "&amp;VLOOKUP(C3645,Customers!A:C,3,FALSE)</f>
        <v>Crystal Aguirre</v>
      </c>
      <c r="J3645" t="str">
        <f>VLOOKUP(D3645,Products!A:C,2,FALSE)</f>
        <v>Present Television</v>
      </c>
      <c r="K3645" t="str">
        <f>VLOOKUP(D3645,Products!A:C,3,FALSE)</f>
        <v>Electronics</v>
      </c>
      <c r="L3645" t="str">
        <f>VLOOKUP(E3645,Stores!A:B,2,FALSE)</f>
        <v>MegaMart Peckmouth</v>
      </c>
      <c r="M3645">
        <f>VLOOKUP(D3645,Products!A:E,5,FALSE)</f>
        <v>1635.01</v>
      </c>
      <c r="N3645" s="5">
        <f t="shared" si="56"/>
        <v>6213.0379999999996</v>
      </c>
    </row>
    <row r="3646" spans="1:14" x14ac:dyDescent="0.3">
      <c r="A3646" t="s">
        <v>4502</v>
      </c>
      <c r="B3646" s="2">
        <v>45490</v>
      </c>
      <c r="C3646" t="s">
        <v>274</v>
      </c>
      <c r="D3646" t="s">
        <v>798</v>
      </c>
      <c r="E3646" t="s">
        <v>831</v>
      </c>
      <c r="F3646">
        <v>2</v>
      </c>
      <c r="G3646">
        <v>0</v>
      </c>
      <c r="H3646" t="s">
        <v>858</v>
      </c>
      <c r="I3646" t="str">
        <f>VLOOKUP(C3646,Customers!A:C,2,FALSE)&amp;" "&amp;VLOOKUP(C3646,Customers!A:C,3,FALSE)</f>
        <v>Eric Watkins</v>
      </c>
      <c r="J3646" t="str">
        <f>VLOOKUP(D3646,Products!A:C,2,FALSE)</f>
        <v>New Watches</v>
      </c>
      <c r="K3646" t="str">
        <f>VLOOKUP(D3646,Products!A:C,3,FALSE)</f>
        <v>Fashion</v>
      </c>
      <c r="L3646" t="str">
        <f>VLOOKUP(E3646,Stores!A:B,2,FALSE)</f>
        <v>MegaMart Jimenezborough</v>
      </c>
      <c r="M3646">
        <f>VLOOKUP(D3646,Products!A:E,5,FALSE)</f>
        <v>1501.46</v>
      </c>
      <c r="N3646" s="5">
        <f t="shared" si="56"/>
        <v>3002.92</v>
      </c>
    </row>
    <row r="3647" spans="1:14" x14ac:dyDescent="0.3">
      <c r="A3647" t="s">
        <v>4503</v>
      </c>
      <c r="B3647" s="2">
        <v>45582</v>
      </c>
      <c r="C3647" t="s">
        <v>653</v>
      </c>
      <c r="D3647" t="s">
        <v>732</v>
      </c>
      <c r="E3647" t="s">
        <v>831</v>
      </c>
      <c r="F3647">
        <v>4</v>
      </c>
      <c r="G3647">
        <v>0.15</v>
      </c>
      <c r="H3647" t="s">
        <v>865</v>
      </c>
      <c r="I3647" t="str">
        <f>VLOOKUP(C3647,Customers!A:C,2,FALSE)&amp;" "&amp;VLOOKUP(C3647,Customers!A:C,3,FALSE)</f>
        <v>Joe Vincent</v>
      </c>
      <c r="J3647" t="str">
        <f>VLOOKUP(D3647,Products!A:C,2,FALSE)</f>
        <v>Understand Camera</v>
      </c>
      <c r="K3647" t="str">
        <f>VLOOKUP(D3647,Products!A:C,3,FALSE)</f>
        <v>Electronics</v>
      </c>
      <c r="L3647" t="str">
        <f>VLOOKUP(E3647,Stores!A:B,2,FALSE)</f>
        <v>MegaMart Jimenezborough</v>
      </c>
      <c r="M3647">
        <f>VLOOKUP(D3647,Products!A:E,5,FALSE)</f>
        <v>1474.12</v>
      </c>
      <c r="N3647" s="5">
        <f t="shared" si="56"/>
        <v>5012.0079999999998</v>
      </c>
    </row>
    <row r="3648" spans="1:14" x14ac:dyDescent="0.3">
      <c r="A3648" t="s">
        <v>4504</v>
      </c>
      <c r="B3648" s="2">
        <v>45380</v>
      </c>
      <c r="C3648" t="s">
        <v>396</v>
      </c>
      <c r="D3648" t="s">
        <v>750</v>
      </c>
      <c r="E3648" t="s">
        <v>835</v>
      </c>
      <c r="F3648">
        <v>2</v>
      </c>
      <c r="G3648">
        <v>0.05</v>
      </c>
      <c r="H3648" t="s">
        <v>855</v>
      </c>
      <c r="I3648" t="str">
        <f>VLOOKUP(C3648,Customers!A:C,2,FALSE)&amp;" "&amp;VLOOKUP(C3648,Customers!A:C,3,FALSE)</f>
        <v>Kevin Flores</v>
      </c>
      <c r="J3648" t="str">
        <f>VLOOKUP(D3648,Products!A:C,2,FALSE)</f>
        <v>Add Clothing</v>
      </c>
      <c r="K3648" t="str">
        <f>VLOOKUP(D3648,Products!A:C,3,FALSE)</f>
        <v>Fashion</v>
      </c>
      <c r="L3648" t="str">
        <f>VLOOKUP(E3648,Stores!A:B,2,FALSE)</f>
        <v>MegaMart Peckmouth</v>
      </c>
      <c r="M3648">
        <f>VLOOKUP(D3648,Products!A:E,5,FALSE)</f>
        <v>1342.75</v>
      </c>
      <c r="N3648" s="5">
        <f t="shared" si="56"/>
        <v>2551.2249999999999</v>
      </c>
    </row>
    <row r="3649" spans="1:14" x14ac:dyDescent="0.3">
      <c r="A3649" t="s">
        <v>4505</v>
      </c>
      <c r="B3649" s="2">
        <v>45190</v>
      </c>
      <c r="C3649" t="s">
        <v>498</v>
      </c>
      <c r="D3649" t="s">
        <v>774</v>
      </c>
      <c r="E3649" t="s">
        <v>831</v>
      </c>
      <c r="F3649">
        <v>3</v>
      </c>
      <c r="G3649">
        <v>0.1</v>
      </c>
      <c r="H3649" t="s">
        <v>855</v>
      </c>
      <c r="I3649" t="str">
        <f>VLOOKUP(C3649,Customers!A:C,2,FALSE)&amp;" "&amp;VLOOKUP(C3649,Customers!A:C,3,FALSE)</f>
        <v>Amanda Garcia</v>
      </c>
      <c r="J3649" t="str">
        <f>VLOOKUP(D3649,Products!A:C,2,FALSE)</f>
        <v>Him Smartphone</v>
      </c>
      <c r="K3649" t="str">
        <f>VLOOKUP(D3649,Products!A:C,3,FALSE)</f>
        <v>Electronics</v>
      </c>
      <c r="L3649" t="str">
        <f>VLOOKUP(E3649,Stores!A:B,2,FALSE)</f>
        <v>MegaMart Jimenezborough</v>
      </c>
      <c r="M3649">
        <f>VLOOKUP(D3649,Products!A:E,5,FALSE)</f>
        <v>1487.41</v>
      </c>
      <c r="N3649" s="5">
        <f t="shared" si="56"/>
        <v>4016.0070000000005</v>
      </c>
    </row>
    <row r="3650" spans="1:14" x14ac:dyDescent="0.3">
      <c r="A3650" t="s">
        <v>4506</v>
      </c>
      <c r="B3650" s="2">
        <v>45340</v>
      </c>
      <c r="C3650" t="s">
        <v>159</v>
      </c>
      <c r="D3650" t="s">
        <v>718</v>
      </c>
      <c r="E3650" t="s">
        <v>831</v>
      </c>
      <c r="F3650">
        <v>2</v>
      </c>
      <c r="G3650">
        <v>0.1</v>
      </c>
      <c r="H3650" t="s">
        <v>865</v>
      </c>
      <c r="I3650" t="str">
        <f>VLOOKUP(C3650,Customers!A:C,2,FALSE)&amp;" "&amp;VLOOKUP(C3650,Customers!A:C,3,FALSE)</f>
        <v>Melissa Rodgers</v>
      </c>
      <c r="J3650" t="str">
        <f>VLOOKUP(D3650,Products!A:C,2,FALSE)</f>
        <v>Here Footwear</v>
      </c>
      <c r="K3650" t="str">
        <f>VLOOKUP(D3650,Products!A:C,3,FALSE)</f>
        <v>Fashion</v>
      </c>
      <c r="L3650" t="str">
        <f>VLOOKUP(E3650,Stores!A:B,2,FALSE)</f>
        <v>MegaMart Jimenezborough</v>
      </c>
      <c r="M3650">
        <f>VLOOKUP(D3650,Products!A:E,5,FALSE)</f>
        <v>337.63</v>
      </c>
      <c r="N3650" s="5">
        <f t="shared" si="56"/>
        <v>607.73400000000004</v>
      </c>
    </row>
    <row r="3651" spans="1:14" x14ac:dyDescent="0.3">
      <c r="A3651" t="s">
        <v>4507</v>
      </c>
      <c r="B3651" s="2">
        <v>45557</v>
      </c>
      <c r="C3651" t="s">
        <v>243</v>
      </c>
      <c r="D3651" t="s">
        <v>784</v>
      </c>
      <c r="E3651" t="s">
        <v>831</v>
      </c>
      <c r="F3651">
        <v>1</v>
      </c>
      <c r="G3651">
        <v>0</v>
      </c>
      <c r="H3651" t="s">
        <v>855</v>
      </c>
      <c r="I3651" t="str">
        <f>VLOOKUP(C3651,Customers!A:C,2,FALSE)&amp;" "&amp;VLOOKUP(C3651,Customers!A:C,3,FALSE)</f>
        <v>Amanda Hoover</v>
      </c>
      <c r="J3651" t="str">
        <f>VLOOKUP(D3651,Products!A:C,2,FALSE)</f>
        <v>Road Clothing</v>
      </c>
      <c r="K3651" t="str">
        <f>VLOOKUP(D3651,Products!A:C,3,FALSE)</f>
        <v>Fashion</v>
      </c>
      <c r="L3651" t="str">
        <f>VLOOKUP(E3651,Stores!A:B,2,FALSE)</f>
        <v>MegaMart Jimenezborough</v>
      </c>
      <c r="M3651">
        <f>VLOOKUP(D3651,Products!A:E,5,FALSE)</f>
        <v>1485.05</v>
      </c>
      <c r="N3651" s="5">
        <f t="shared" ref="N3651:N3714" si="57">F3651*M3651*(1-G3651)</f>
        <v>1485.05</v>
      </c>
    </row>
    <row r="3652" spans="1:14" x14ac:dyDescent="0.3">
      <c r="A3652" t="s">
        <v>4508</v>
      </c>
      <c r="B3652" s="2">
        <v>45305</v>
      </c>
      <c r="C3652" t="s">
        <v>390</v>
      </c>
      <c r="D3652" t="s">
        <v>794</v>
      </c>
      <c r="E3652" t="s">
        <v>842</v>
      </c>
      <c r="F3652">
        <v>5</v>
      </c>
      <c r="G3652">
        <v>0.15</v>
      </c>
      <c r="H3652" t="s">
        <v>855</v>
      </c>
      <c r="I3652" t="str">
        <f>VLOOKUP(C3652,Customers!A:C,2,FALSE)&amp;" "&amp;VLOOKUP(C3652,Customers!A:C,3,FALSE)</f>
        <v>Brenda Dean</v>
      </c>
      <c r="J3652" t="str">
        <f>VLOOKUP(D3652,Products!A:C,2,FALSE)</f>
        <v>Everything Laptop</v>
      </c>
      <c r="K3652" t="str">
        <f>VLOOKUP(D3652,Products!A:C,3,FALSE)</f>
        <v>Electronics</v>
      </c>
      <c r="L3652" t="str">
        <f>VLOOKUP(E3652,Stores!A:B,2,FALSE)</f>
        <v>MegaMart Brianahaven</v>
      </c>
      <c r="M3652">
        <f>VLOOKUP(D3652,Products!A:E,5,FALSE)</f>
        <v>428.05</v>
      </c>
      <c r="N3652" s="5">
        <f t="shared" si="57"/>
        <v>1819.2124999999999</v>
      </c>
    </row>
    <row r="3653" spans="1:14" x14ac:dyDescent="0.3">
      <c r="A3653" t="s">
        <v>4509</v>
      </c>
      <c r="B3653" s="2">
        <v>45426</v>
      </c>
      <c r="C3653" t="s">
        <v>407</v>
      </c>
      <c r="D3653" t="s">
        <v>734</v>
      </c>
      <c r="E3653" t="s">
        <v>839</v>
      </c>
      <c r="F3653">
        <v>5</v>
      </c>
      <c r="G3653">
        <v>0</v>
      </c>
      <c r="H3653" t="s">
        <v>855</v>
      </c>
      <c r="I3653" t="str">
        <f>VLOOKUP(C3653,Customers!A:C,2,FALSE)&amp;" "&amp;VLOOKUP(C3653,Customers!A:C,3,FALSE)</f>
        <v>Austin Hogan</v>
      </c>
      <c r="J3653" t="str">
        <f>VLOOKUP(D3653,Products!A:C,2,FALSE)</f>
        <v>Recognize Footwear</v>
      </c>
      <c r="K3653" t="str">
        <f>VLOOKUP(D3653,Products!A:C,3,FALSE)</f>
        <v>Fashion</v>
      </c>
      <c r="L3653" t="str">
        <f>VLOOKUP(E3653,Stores!A:B,2,FALSE)</f>
        <v>MegaMart New Michele</v>
      </c>
      <c r="M3653">
        <f>VLOOKUP(D3653,Products!A:E,5,FALSE)</f>
        <v>109.78</v>
      </c>
      <c r="N3653" s="5">
        <f t="shared" si="57"/>
        <v>548.9</v>
      </c>
    </row>
    <row r="3654" spans="1:14" x14ac:dyDescent="0.3">
      <c r="A3654" t="s">
        <v>4510</v>
      </c>
      <c r="B3654" s="2">
        <v>45541</v>
      </c>
      <c r="C3654" t="s">
        <v>426</v>
      </c>
      <c r="D3654" t="s">
        <v>812</v>
      </c>
      <c r="E3654" t="s">
        <v>846</v>
      </c>
      <c r="F3654">
        <v>3</v>
      </c>
      <c r="G3654">
        <v>0.1</v>
      </c>
      <c r="H3654" t="s">
        <v>855</v>
      </c>
      <c r="I3654" t="str">
        <f>VLOOKUP(C3654,Customers!A:C,2,FALSE)&amp;" "&amp;VLOOKUP(C3654,Customers!A:C,3,FALSE)</f>
        <v>Miranda Rodriguez</v>
      </c>
      <c r="J3654" t="str">
        <f>VLOOKUP(D3654,Products!A:C,2,FALSE)</f>
        <v>Soon Accessories</v>
      </c>
      <c r="K3654" t="str">
        <f>VLOOKUP(D3654,Products!A:C,3,FALSE)</f>
        <v>Fashion</v>
      </c>
      <c r="L3654" t="str">
        <f>VLOOKUP(E3654,Stores!A:B,2,FALSE)</f>
        <v>MegaMart Johnmouth</v>
      </c>
      <c r="M3654">
        <f>VLOOKUP(D3654,Products!A:E,5,FALSE)</f>
        <v>564.41999999999996</v>
      </c>
      <c r="N3654" s="5">
        <f t="shared" si="57"/>
        <v>1523.9339999999997</v>
      </c>
    </row>
    <row r="3655" spans="1:14" x14ac:dyDescent="0.3">
      <c r="A3655" t="s">
        <v>4511</v>
      </c>
      <c r="B3655" s="2">
        <v>45683</v>
      </c>
      <c r="C3655" t="s">
        <v>407</v>
      </c>
      <c r="D3655" t="s">
        <v>734</v>
      </c>
      <c r="E3655" t="s">
        <v>835</v>
      </c>
      <c r="F3655">
        <v>2</v>
      </c>
      <c r="G3655">
        <v>0.1</v>
      </c>
      <c r="H3655" t="s">
        <v>858</v>
      </c>
      <c r="I3655" t="str">
        <f>VLOOKUP(C3655,Customers!A:C,2,FALSE)&amp;" "&amp;VLOOKUP(C3655,Customers!A:C,3,FALSE)</f>
        <v>Austin Hogan</v>
      </c>
      <c r="J3655" t="str">
        <f>VLOOKUP(D3655,Products!A:C,2,FALSE)</f>
        <v>Recognize Footwear</v>
      </c>
      <c r="K3655" t="str">
        <f>VLOOKUP(D3655,Products!A:C,3,FALSE)</f>
        <v>Fashion</v>
      </c>
      <c r="L3655" t="str">
        <f>VLOOKUP(E3655,Stores!A:B,2,FALSE)</f>
        <v>MegaMart Peckmouth</v>
      </c>
      <c r="M3655">
        <f>VLOOKUP(D3655,Products!A:E,5,FALSE)</f>
        <v>109.78</v>
      </c>
      <c r="N3655" s="5">
        <f t="shared" si="57"/>
        <v>197.60400000000001</v>
      </c>
    </row>
    <row r="3656" spans="1:14" x14ac:dyDescent="0.3">
      <c r="A3656" t="s">
        <v>4512</v>
      </c>
      <c r="B3656" s="2">
        <v>45686</v>
      </c>
      <c r="C3656" t="s">
        <v>112</v>
      </c>
      <c r="D3656" t="s">
        <v>820</v>
      </c>
      <c r="E3656" t="s">
        <v>835</v>
      </c>
      <c r="F3656">
        <v>3</v>
      </c>
      <c r="G3656">
        <v>0.15</v>
      </c>
      <c r="H3656" t="s">
        <v>858</v>
      </c>
      <c r="I3656" t="str">
        <f>VLOOKUP(C3656,Customers!A:C,2,FALSE)&amp;" "&amp;VLOOKUP(C3656,Customers!A:C,3,FALSE)</f>
        <v>John Carr</v>
      </c>
      <c r="J3656" t="str">
        <f>VLOOKUP(D3656,Products!A:C,2,FALSE)</f>
        <v>Or Smartphone</v>
      </c>
      <c r="K3656" t="str">
        <f>VLOOKUP(D3656,Products!A:C,3,FALSE)</f>
        <v>Electronics</v>
      </c>
      <c r="L3656" t="str">
        <f>VLOOKUP(E3656,Stores!A:B,2,FALSE)</f>
        <v>MegaMart Peckmouth</v>
      </c>
      <c r="M3656">
        <f>VLOOKUP(D3656,Products!A:E,5,FALSE)</f>
        <v>1197.18</v>
      </c>
      <c r="N3656" s="5">
        <f t="shared" si="57"/>
        <v>3052.8089999999997</v>
      </c>
    </row>
    <row r="3657" spans="1:14" x14ac:dyDescent="0.3">
      <c r="A3657" t="s">
        <v>4513</v>
      </c>
      <c r="B3657" s="2">
        <v>45559</v>
      </c>
      <c r="C3657" t="s">
        <v>7</v>
      </c>
      <c r="D3657" t="s">
        <v>778</v>
      </c>
      <c r="E3657" t="s">
        <v>831</v>
      </c>
      <c r="F3657">
        <v>1</v>
      </c>
      <c r="G3657">
        <v>0</v>
      </c>
      <c r="H3657" t="s">
        <v>865</v>
      </c>
      <c r="I3657" t="str">
        <f>VLOOKUP(C3657,Customers!A:C,2,FALSE)&amp;" "&amp;VLOOKUP(C3657,Customers!A:C,3,FALSE)</f>
        <v>Michael Davis</v>
      </c>
      <c r="J3657" t="str">
        <f>VLOOKUP(D3657,Products!A:C,2,FALSE)</f>
        <v>Behavior Dairy</v>
      </c>
      <c r="K3657" t="str">
        <f>VLOOKUP(D3657,Products!A:C,3,FALSE)</f>
        <v>Groceries</v>
      </c>
      <c r="L3657" t="str">
        <f>VLOOKUP(E3657,Stores!A:B,2,FALSE)</f>
        <v>MegaMart Jimenezborough</v>
      </c>
      <c r="M3657">
        <f>VLOOKUP(D3657,Products!A:E,5,FALSE)</f>
        <v>1015.76</v>
      </c>
      <c r="N3657" s="5">
        <f t="shared" si="57"/>
        <v>1015.76</v>
      </c>
    </row>
    <row r="3658" spans="1:14" x14ac:dyDescent="0.3">
      <c r="A3658" t="s">
        <v>4514</v>
      </c>
      <c r="B3658" s="2">
        <v>45898</v>
      </c>
      <c r="C3658" t="s">
        <v>483</v>
      </c>
      <c r="D3658" t="s">
        <v>818</v>
      </c>
      <c r="E3658" t="s">
        <v>831</v>
      </c>
      <c r="F3658">
        <v>1</v>
      </c>
      <c r="G3658">
        <v>0.05</v>
      </c>
      <c r="H3658" t="s">
        <v>865</v>
      </c>
      <c r="I3658" t="str">
        <f>VLOOKUP(C3658,Customers!A:C,2,FALSE)&amp;" "&amp;VLOOKUP(C3658,Customers!A:C,3,FALSE)</f>
        <v>Jared Ochoa</v>
      </c>
      <c r="J3658" t="str">
        <f>VLOOKUP(D3658,Products!A:C,2,FALSE)</f>
        <v>Nature Clothing</v>
      </c>
      <c r="K3658" t="str">
        <f>VLOOKUP(D3658,Products!A:C,3,FALSE)</f>
        <v>Fashion</v>
      </c>
      <c r="L3658" t="str">
        <f>VLOOKUP(E3658,Stores!A:B,2,FALSE)</f>
        <v>MegaMart Jimenezborough</v>
      </c>
      <c r="M3658">
        <f>VLOOKUP(D3658,Products!A:E,5,FALSE)</f>
        <v>1165.3699999999999</v>
      </c>
      <c r="N3658" s="5">
        <f t="shared" si="57"/>
        <v>1107.1014999999998</v>
      </c>
    </row>
    <row r="3659" spans="1:14" x14ac:dyDescent="0.3">
      <c r="A3659" t="s">
        <v>4515</v>
      </c>
      <c r="B3659" s="2">
        <v>45868</v>
      </c>
      <c r="C3659" t="s">
        <v>666</v>
      </c>
      <c r="D3659" t="s">
        <v>804</v>
      </c>
      <c r="E3659" t="s">
        <v>842</v>
      </c>
      <c r="F3659">
        <v>5</v>
      </c>
      <c r="G3659">
        <v>0.05</v>
      </c>
      <c r="H3659" t="s">
        <v>865</v>
      </c>
      <c r="I3659" t="str">
        <f>VLOOKUP(C3659,Customers!A:C,2,FALSE)&amp;" "&amp;VLOOKUP(C3659,Customers!A:C,3,FALSE)</f>
        <v>Steve Flynn</v>
      </c>
      <c r="J3659" t="str">
        <f>VLOOKUP(D3659,Products!A:C,2,FALSE)</f>
        <v>Church Clothing</v>
      </c>
      <c r="K3659" t="str">
        <f>VLOOKUP(D3659,Products!A:C,3,FALSE)</f>
        <v>Fashion</v>
      </c>
      <c r="L3659" t="str">
        <f>VLOOKUP(E3659,Stores!A:B,2,FALSE)</f>
        <v>MegaMart Brianahaven</v>
      </c>
      <c r="M3659">
        <f>VLOOKUP(D3659,Products!A:E,5,FALSE)</f>
        <v>540.94000000000005</v>
      </c>
      <c r="N3659" s="5">
        <f t="shared" si="57"/>
        <v>2569.4650000000001</v>
      </c>
    </row>
    <row r="3660" spans="1:14" x14ac:dyDescent="0.3">
      <c r="A3660" t="s">
        <v>4516</v>
      </c>
      <c r="B3660" s="2">
        <v>45326</v>
      </c>
      <c r="C3660" t="s">
        <v>432</v>
      </c>
      <c r="D3660" t="s">
        <v>732</v>
      </c>
      <c r="E3660" t="s">
        <v>842</v>
      </c>
      <c r="F3660">
        <v>3</v>
      </c>
      <c r="G3660">
        <v>0</v>
      </c>
      <c r="H3660" t="s">
        <v>858</v>
      </c>
      <c r="I3660" t="str">
        <f>VLOOKUP(C3660,Customers!A:C,2,FALSE)&amp;" "&amp;VLOOKUP(C3660,Customers!A:C,3,FALSE)</f>
        <v>Jamie Webb</v>
      </c>
      <c r="J3660" t="str">
        <f>VLOOKUP(D3660,Products!A:C,2,FALSE)</f>
        <v>Understand Camera</v>
      </c>
      <c r="K3660" t="str">
        <f>VLOOKUP(D3660,Products!A:C,3,FALSE)</f>
        <v>Electronics</v>
      </c>
      <c r="L3660" t="str">
        <f>VLOOKUP(E3660,Stores!A:B,2,FALSE)</f>
        <v>MegaMart Brianahaven</v>
      </c>
      <c r="M3660">
        <f>VLOOKUP(D3660,Products!A:E,5,FALSE)</f>
        <v>1474.12</v>
      </c>
      <c r="N3660" s="5">
        <f t="shared" si="57"/>
        <v>4422.3599999999997</v>
      </c>
    </row>
    <row r="3661" spans="1:14" x14ac:dyDescent="0.3">
      <c r="A3661" t="s">
        <v>4517</v>
      </c>
      <c r="B3661" s="2">
        <v>45789</v>
      </c>
      <c r="C3661" t="s">
        <v>163</v>
      </c>
      <c r="D3661" t="s">
        <v>810</v>
      </c>
      <c r="E3661" t="s">
        <v>842</v>
      </c>
      <c r="F3661">
        <v>5</v>
      </c>
      <c r="G3661">
        <v>0</v>
      </c>
      <c r="H3661" t="s">
        <v>865</v>
      </c>
      <c r="I3661" t="str">
        <f>VLOOKUP(C3661,Customers!A:C,2,FALSE)&amp;" "&amp;VLOOKUP(C3661,Customers!A:C,3,FALSE)</f>
        <v>Anna Andrews</v>
      </c>
      <c r="J3661" t="str">
        <f>VLOOKUP(D3661,Products!A:C,2,FALSE)</f>
        <v>Maybe Clothing</v>
      </c>
      <c r="K3661" t="str">
        <f>VLOOKUP(D3661,Products!A:C,3,FALSE)</f>
        <v>Fashion</v>
      </c>
      <c r="L3661" t="str">
        <f>VLOOKUP(E3661,Stores!A:B,2,FALSE)</f>
        <v>MegaMart Brianahaven</v>
      </c>
      <c r="M3661">
        <f>VLOOKUP(D3661,Products!A:E,5,FALSE)</f>
        <v>453.62</v>
      </c>
      <c r="N3661" s="5">
        <f t="shared" si="57"/>
        <v>2268.1</v>
      </c>
    </row>
    <row r="3662" spans="1:14" x14ac:dyDescent="0.3">
      <c r="A3662" t="s">
        <v>4518</v>
      </c>
      <c r="B3662" s="2">
        <v>45494</v>
      </c>
      <c r="C3662" t="s">
        <v>487</v>
      </c>
      <c r="D3662" t="s">
        <v>810</v>
      </c>
      <c r="E3662" t="s">
        <v>831</v>
      </c>
      <c r="F3662">
        <v>3</v>
      </c>
      <c r="G3662">
        <v>0.15</v>
      </c>
      <c r="H3662" t="s">
        <v>865</v>
      </c>
      <c r="I3662" t="str">
        <f>VLOOKUP(C3662,Customers!A:C,2,FALSE)&amp;" "&amp;VLOOKUP(C3662,Customers!A:C,3,FALSE)</f>
        <v>Yvette Roth</v>
      </c>
      <c r="J3662" t="str">
        <f>VLOOKUP(D3662,Products!A:C,2,FALSE)</f>
        <v>Maybe Clothing</v>
      </c>
      <c r="K3662" t="str">
        <f>VLOOKUP(D3662,Products!A:C,3,FALSE)</f>
        <v>Fashion</v>
      </c>
      <c r="L3662" t="str">
        <f>VLOOKUP(E3662,Stores!A:B,2,FALSE)</f>
        <v>MegaMart Jimenezborough</v>
      </c>
      <c r="M3662">
        <f>VLOOKUP(D3662,Products!A:E,5,FALSE)</f>
        <v>453.62</v>
      </c>
      <c r="N3662" s="5">
        <f t="shared" si="57"/>
        <v>1156.731</v>
      </c>
    </row>
    <row r="3663" spans="1:14" x14ac:dyDescent="0.3">
      <c r="A3663" t="s">
        <v>4519</v>
      </c>
      <c r="B3663" s="2">
        <v>45451</v>
      </c>
      <c r="C3663" t="s">
        <v>148</v>
      </c>
      <c r="D3663" t="s">
        <v>784</v>
      </c>
      <c r="E3663" t="s">
        <v>846</v>
      </c>
      <c r="F3663">
        <v>1</v>
      </c>
      <c r="G3663">
        <v>0</v>
      </c>
      <c r="H3663" t="s">
        <v>855</v>
      </c>
      <c r="I3663" t="str">
        <f>VLOOKUP(C3663,Customers!A:C,2,FALSE)&amp;" "&amp;VLOOKUP(C3663,Customers!A:C,3,FALSE)</f>
        <v>Tracey Davis</v>
      </c>
      <c r="J3663" t="str">
        <f>VLOOKUP(D3663,Products!A:C,2,FALSE)</f>
        <v>Road Clothing</v>
      </c>
      <c r="K3663" t="str">
        <f>VLOOKUP(D3663,Products!A:C,3,FALSE)</f>
        <v>Fashion</v>
      </c>
      <c r="L3663" t="str">
        <f>VLOOKUP(E3663,Stores!A:B,2,FALSE)</f>
        <v>MegaMart Johnmouth</v>
      </c>
      <c r="M3663">
        <f>VLOOKUP(D3663,Products!A:E,5,FALSE)</f>
        <v>1485.05</v>
      </c>
      <c r="N3663" s="5">
        <f t="shared" si="57"/>
        <v>1485.05</v>
      </c>
    </row>
    <row r="3664" spans="1:14" x14ac:dyDescent="0.3">
      <c r="A3664" t="s">
        <v>4520</v>
      </c>
      <c r="B3664" s="2">
        <v>45458</v>
      </c>
      <c r="C3664" t="s">
        <v>640</v>
      </c>
      <c r="D3664" t="s">
        <v>826</v>
      </c>
      <c r="E3664" t="s">
        <v>831</v>
      </c>
      <c r="F3664">
        <v>4</v>
      </c>
      <c r="G3664">
        <v>0</v>
      </c>
      <c r="H3664" t="s">
        <v>861</v>
      </c>
      <c r="I3664" t="str">
        <f>VLOOKUP(C3664,Customers!A:C,2,FALSE)&amp;" "&amp;VLOOKUP(C3664,Customers!A:C,3,FALSE)</f>
        <v>Brittany Oneal</v>
      </c>
      <c r="J3664" t="str">
        <f>VLOOKUP(D3664,Products!A:C,2,FALSE)</f>
        <v>Maybe Footwear</v>
      </c>
      <c r="K3664" t="str">
        <f>VLOOKUP(D3664,Products!A:C,3,FALSE)</f>
        <v>Fashion</v>
      </c>
      <c r="L3664" t="str">
        <f>VLOOKUP(E3664,Stores!A:B,2,FALSE)</f>
        <v>MegaMart Jimenezborough</v>
      </c>
      <c r="M3664">
        <f>VLOOKUP(D3664,Products!A:E,5,FALSE)</f>
        <v>1044.6400000000001</v>
      </c>
      <c r="N3664" s="5">
        <f t="shared" si="57"/>
        <v>4178.5600000000004</v>
      </c>
    </row>
    <row r="3665" spans="1:14" x14ac:dyDescent="0.3">
      <c r="A3665" t="s">
        <v>4521</v>
      </c>
      <c r="B3665" s="2">
        <v>45504</v>
      </c>
      <c r="C3665" t="s">
        <v>480</v>
      </c>
      <c r="D3665" t="s">
        <v>790</v>
      </c>
      <c r="E3665" t="s">
        <v>831</v>
      </c>
      <c r="F3665">
        <v>4</v>
      </c>
      <c r="G3665">
        <v>0.15</v>
      </c>
      <c r="H3665" t="s">
        <v>865</v>
      </c>
      <c r="I3665" t="str">
        <f>VLOOKUP(C3665,Customers!A:C,2,FALSE)&amp;" "&amp;VLOOKUP(C3665,Customers!A:C,3,FALSE)</f>
        <v>Denise Jackson</v>
      </c>
      <c r="J3665" t="str">
        <f>VLOOKUP(D3665,Products!A:C,2,FALSE)</f>
        <v>Difficult Vegetables</v>
      </c>
      <c r="K3665" t="str">
        <f>VLOOKUP(D3665,Products!A:C,3,FALSE)</f>
        <v>Groceries</v>
      </c>
      <c r="L3665" t="str">
        <f>VLOOKUP(E3665,Stores!A:B,2,FALSE)</f>
        <v>MegaMart Jimenezborough</v>
      </c>
      <c r="M3665">
        <f>VLOOKUP(D3665,Products!A:E,5,FALSE)</f>
        <v>304.70999999999998</v>
      </c>
      <c r="N3665" s="5">
        <f t="shared" si="57"/>
        <v>1036.0139999999999</v>
      </c>
    </row>
    <row r="3666" spans="1:14" x14ac:dyDescent="0.3">
      <c r="A3666" t="s">
        <v>4522</v>
      </c>
      <c r="B3666" s="2">
        <v>45803</v>
      </c>
      <c r="C3666" t="s">
        <v>243</v>
      </c>
      <c r="D3666" t="s">
        <v>772</v>
      </c>
      <c r="E3666" t="s">
        <v>831</v>
      </c>
      <c r="F3666">
        <v>4</v>
      </c>
      <c r="G3666">
        <v>0.05</v>
      </c>
      <c r="H3666" t="s">
        <v>855</v>
      </c>
      <c r="I3666" t="str">
        <f>VLOOKUP(C3666,Customers!A:C,2,FALSE)&amp;" "&amp;VLOOKUP(C3666,Customers!A:C,3,FALSE)</f>
        <v>Amanda Hoover</v>
      </c>
      <c r="J3666" t="str">
        <f>VLOOKUP(D3666,Products!A:C,2,FALSE)</f>
        <v>And Footwear</v>
      </c>
      <c r="K3666" t="str">
        <f>VLOOKUP(D3666,Products!A:C,3,FALSE)</f>
        <v>Fashion</v>
      </c>
      <c r="L3666" t="str">
        <f>VLOOKUP(E3666,Stores!A:B,2,FALSE)</f>
        <v>MegaMart Jimenezborough</v>
      </c>
      <c r="M3666">
        <f>VLOOKUP(D3666,Products!A:E,5,FALSE)</f>
        <v>1878.47</v>
      </c>
      <c r="N3666" s="5">
        <f t="shared" si="57"/>
        <v>7138.1859999999997</v>
      </c>
    </row>
    <row r="3667" spans="1:14" x14ac:dyDescent="0.3">
      <c r="A3667" t="s">
        <v>4523</v>
      </c>
      <c r="B3667" s="2">
        <v>45204</v>
      </c>
      <c r="C3667" t="s">
        <v>85</v>
      </c>
      <c r="D3667" t="s">
        <v>802</v>
      </c>
      <c r="E3667" t="s">
        <v>831</v>
      </c>
      <c r="F3667">
        <v>3</v>
      </c>
      <c r="G3667">
        <v>0.1</v>
      </c>
      <c r="H3667" t="s">
        <v>855</v>
      </c>
      <c r="I3667" t="str">
        <f>VLOOKUP(C3667,Customers!A:C,2,FALSE)&amp;" "&amp;VLOOKUP(C3667,Customers!A:C,3,FALSE)</f>
        <v>Debbie Martin</v>
      </c>
      <c r="J3667" t="str">
        <f>VLOOKUP(D3667,Products!A:C,2,FALSE)</f>
        <v>Stage Footwear</v>
      </c>
      <c r="K3667" t="str">
        <f>VLOOKUP(D3667,Products!A:C,3,FALSE)</f>
        <v>Fashion</v>
      </c>
      <c r="L3667" t="str">
        <f>VLOOKUP(E3667,Stores!A:B,2,FALSE)</f>
        <v>MegaMart Jimenezborough</v>
      </c>
      <c r="M3667">
        <f>VLOOKUP(D3667,Products!A:E,5,FALSE)</f>
        <v>366.93</v>
      </c>
      <c r="N3667" s="5">
        <f t="shared" si="57"/>
        <v>990.71100000000001</v>
      </c>
    </row>
    <row r="3668" spans="1:14" x14ac:dyDescent="0.3">
      <c r="A3668" t="s">
        <v>4524</v>
      </c>
      <c r="B3668" s="2">
        <v>45200</v>
      </c>
      <c r="C3668" t="s">
        <v>464</v>
      </c>
      <c r="D3668" t="s">
        <v>810</v>
      </c>
      <c r="E3668" t="s">
        <v>839</v>
      </c>
      <c r="F3668">
        <v>2</v>
      </c>
      <c r="G3668">
        <v>0.15</v>
      </c>
      <c r="H3668" t="s">
        <v>861</v>
      </c>
      <c r="I3668" t="str">
        <f>VLOOKUP(C3668,Customers!A:C,2,FALSE)&amp;" "&amp;VLOOKUP(C3668,Customers!A:C,3,FALSE)</f>
        <v>Monique Johnson</v>
      </c>
      <c r="J3668" t="str">
        <f>VLOOKUP(D3668,Products!A:C,2,FALSE)</f>
        <v>Maybe Clothing</v>
      </c>
      <c r="K3668" t="str">
        <f>VLOOKUP(D3668,Products!A:C,3,FALSE)</f>
        <v>Fashion</v>
      </c>
      <c r="L3668" t="str">
        <f>VLOOKUP(E3668,Stores!A:B,2,FALSE)</f>
        <v>MegaMart New Michele</v>
      </c>
      <c r="M3668">
        <f>VLOOKUP(D3668,Products!A:E,5,FALSE)</f>
        <v>453.62</v>
      </c>
      <c r="N3668" s="5">
        <f t="shared" si="57"/>
        <v>771.154</v>
      </c>
    </row>
    <row r="3669" spans="1:14" x14ac:dyDescent="0.3">
      <c r="A3669" t="s">
        <v>4525</v>
      </c>
      <c r="B3669" s="2">
        <v>45795</v>
      </c>
      <c r="C3669" t="s">
        <v>119</v>
      </c>
      <c r="D3669" t="s">
        <v>753</v>
      </c>
      <c r="E3669" t="s">
        <v>835</v>
      </c>
      <c r="F3669">
        <v>1</v>
      </c>
      <c r="G3669">
        <v>0</v>
      </c>
      <c r="H3669" t="s">
        <v>858</v>
      </c>
      <c r="I3669" t="str">
        <f>VLOOKUP(C3669,Customers!A:C,2,FALSE)&amp;" "&amp;VLOOKUP(C3669,Customers!A:C,3,FALSE)</f>
        <v>Lacey Hall</v>
      </c>
      <c r="J3669" t="str">
        <f>VLOOKUP(D3669,Products!A:C,2,FALSE)</f>
        <v>Whether Bags</v>
      </c>
      <c r="K3669" t="str">
        <f>VLOOKUP(D3669,Products!A:C,3,FALSE)</f>
        <v>Fashion</v>
      </c>
      <c r="L3669" t="str">
        <f>VLOOKUP(E3669,Stores!A:B,2,FALSE)</f>
        <v>MegaMart Peckmouth</v>
      </c>
      <c r="M3669">
        <f>VLOOKUP(D3669,Products!A:E,5,FALSE)</f>
        <v>270.45</v>
      </c>
      <c r="N3669" s="5">
        <f t="shared" si="57"/>
        <v>270.45</v>
      </c>
    </row>
    <row r="3670" spans="1:14" x14ac:dyDescent="0.3">
      <c r="A3670" t="s">
        <v>4526</v>
      </c>
      <c r="B3670" s="2">
        <v>45334</v>
      </c>
      <c r="C3670" t="s">
        <v>183</v>
      </c>
      <c r="D3670" t="s">
        <v>818</v>
      </c>
      <c r="E3670" t="s">
        <v>839</v>
      </c>
      <c r="F3670">
        <v>5</v>
      </c>
      <c r="G3670">
        <v>0.1</v>
      </c>
      <c r="H3670" t="s">
        <v>858</v>
      </c>
      <c r="I3670" t="str">
        <f>VLOOKUP(C3670,Customers!A:C,2,FALSE)&amp;" "&amp;VLOOKUP(C3670,Customers!A:C,3,FALSE)</f>
        <v>Mary Decker</v>
      </c>
      <c r="J3670" t="str">
        <f>VLOOKUP(D3670,Products!A:C,2,FALSE)</f>
        <v>Nature Clothing</v>
      </c>
      <c r="K3670" t="str">
        <f>VLOOKUP(D3670,Products!A:C,3,FALSE)</f>
        <v>Fashion</v>
      </c>
      <c r="L3670" t="str">
        <f>VLOOKUP(E3670,Stores!A:B,2,FALSE)</f>
        <v>MegaMart New Michele</v>
      </c>
      <c r="M3670">
        <f>VLOOKUP(D3670,Products!A:E,5,FALSE)</f>
        <v>1165.3699999999999</v>
      </c>
      <c r="N3670" s="5">
        <f t="shared" si="57"/>
        <v>5244.165</v>
      </c>
    </row>
    <row r="3671" spans="1:14" x14ac:dyDescent="0.3">
      <c r="A3671" t="s">
        <v>4527</v>
      </c>
      <c r="B3671" s="2">
        <v>45664</v>
      </c>
      <c r="C3671" t="s">
        <v>411</v>
      </c>
      <c r="D3671" t="s">
        <v>782</v>
      </c>
      <c r="E3671" t="s">
        <v>842</v>
      </c>
      <c r="F3671">
        <v>5</v>
      </c>
      <c r="G3671">
        <v>0.1</v>
      </c>
      <c r="H3671" t="s">
        <v>858</v>
      </c>
      <c r="I3671" t="str">
        <f>VLOOKUP(C3671,Customers!A:C,2,FALSE)&amp;" "&amp;VLOOKUP(C3671,Customers!A:C,3,FALSE)</f>
        <v>Travis Peters</v>
      </c>
      <c r="J3671" t="str">
        <f>VLOOKUP(D3671,Products!A:C,2,FALSE)</f>
        <v>Deal Smartphone</v>
      </c>
      <c r="K3671" t="str">
        <f>VLOOKUP(D3671,Products!A:C,3,FALSE)</f>
        <v>Electronics</v>
      </c>
      <c r="L3671" t="str">
        <f>VLOOKUP(E3671,Stores!A:B,2,FALSE)</f>
        <v>MegaMart Brianahaven</v>
      </c>
      <c r="M3671">
        <f>VLOOKUP(D3671,Products!A:E,5,FALSE)</f>
        <v>673.78</v>
      </c>
      <c r="N3671" s="5">
        <f t="shared" si="57"/>
        <v>3032.0099999999998</v>
      </c>
    </row>
    <row r="3672" spans="1:14" x14ac:dyDescent="0.3">
      <c r="A3672" t="s">
        <v>4528</v>
      </c>
      <c r="B3672" s="2">
        <v>45884</v>
      </c>
      <c r="C3672" t="s">
        <v>36</v>
      </c>
      <c r="D3672" t="s">
        <v>822</v>
      </c>
      <c r="E3672" t="s">
        <v>835</v>
      </c>
      <c r="F3672">
        <v>1</v>
      </c>
      <c r="G3672">
        <v>0</v>
      </c>
      <c r="H3672" t="s">
        <v>855</v>
      </c>
      <c r="I3672" t="str">
        <f>VLOOKUP(C3672,Customers!A:C,2,FALSE)&amp;" "&amp;VLOOKUP(C3672,Customers!A:C,3,FALSE)</f>
        <v>Isaiah Williams</v>
      </c>
      <c r="J3672" t="str">
        <f>VLOOKUP(D3672,Products!A:C,2,FALSE)</f>
        <v>Nor Bags</v>
      </c>
      <c r="K3672" t="str">
        <f>VLOOKUP(D3672,Products!A:C,3,FALSE)</f>
        <v>Fashion</v>
      </c>
      <c r="L3672" t="str">
        <f>VLOOKUP(E3672,Stores!A:B,2,FALSE)</f>
        <v>MegaMart Peckmouth</v>
      </c>
      <c r="M3672">
        <f>VLOOKUP(D3672,Products!A:E,5,FALSE)</f>
        <v>1216.3599999999999</v>
      </c>
      <c r="N3672" s="5">
        <f t="shared" si="57"/>
        <v>1216.3599999999999</v>
      </c>
    </row>
    <row r="3673" spans="1:14" x14ac:dyDescent="0.3">
      <c r="A3673" t="s">
        <v>4529</v>
      </c>
      <c r="B3673" s="2">
        <v>45561</v>
      </c>
      <c r="C3673" t="s">
        <v>198</v>
      </c>
      <c r="D3673" t="s">
        <v>796</v>
      </c>
      <c r="E3673" t="s">
        <v>835</v>
      </c>
      <c r="F3673">
        <v>5</v>
      </c>
      <c r="G3673">
        <v>0.15</v>
      </c>
      <c r="H3673" t="s">
        <v>861</v>
      </c>
      <c r="I3673" t="str">
        <f>VLOOKUP(C3673,Customers!A:C,2,FALSE)&amp;" "&amp;VLOOKUP(C3673,Customers!A:C,3,FALSE)</f>
        <v>Madison Sellers</v>
      </c>
      <c r="J3673" t="str">
        <f>VLOOKUP(D3673,Products!A:C,2,FALSE)</f>
        <v>Chair Laptop</v>
      </c>
      <c r="K3673" t="str">
        <f>VLOOKUP(D3673,Products!A:C,3,FALSE)</f>
        <v>Electronics</v>
      </c>
      <c r="L3673" t="str">
        <f>VLOOKUP(E3673,Stores!A:B,2,FALSE)</f>
        <v>MegaMart Peckmouth</v>
      </c>
      <c r="M3673">
        <f>VLOOKUP(D3673,Products!A:E,5,FALSE)</f>
        <v>1562.43</v>
      </c>
      <c r="N3673" s="5">
        <f t="shared" si="57"/>
        <v>6640.3275000000003</v>
      </c>
    </row>
    <row r="3674" spans="1:14" x14ac:dyDescent="0.3">
      <c r="A3674" t="s">
        <v>4530</v>
      </c>
      <c r="B3674" s="2">
        <v>45829</v>
      </c>
      <c r="C3674" t="s">
        <v>422</v>
      </c>
      <c r="D3674" t="s">
        <v>769</v>
      </c>
      <c r="E3674" t="s">
        <v>839</v>
      </c>
      <c r="F3674">
        <v>4</v>
      </c>
      <c r="G3674">
        <v>0.15</v>
      </c>
      <c r="H3674" t="s">
        <v>858</v>
      </c>
      <c r="I3674" t="str">
        <f>VLOOKUP(C3674,Customers!A:C,2,FALSE)&amp;" "&amp;VLOOKUP(C3674,Customers!A:C,3,FALSE)</f>
        <v>Heidi Wilson</v>
      </c>
      <c r="J3674" t="str">
        <f>VLOOKUP(D3674,Products!A:C,2,FALSE)</f>
        <v>How Vegetables</v>
      </c>
      <c r="K3674" t="str">
        <f>VLOOKUP(D3674,Products!A:C,3,FALSE)</f>
        <v>Groceries</v>
      </c>
      <c r="L3674" t="str">
        <f>VLOOKUP(E3674,Stores!A:B,2,FALSE)</f>
        <v>MegaMart New Michele</v>
      </c>
      <c r="M3674">
        <f>VLOOKUP(D3674,Products!A:E,5,FALSE)</f>
        <v>25.57</v>
      </c>
      <c r="N3674" s="5">
        <f t="shared" si="57"/>
        <v>86.938000000000002</v>
      </c>
    </row>
    <row r="3675" spans="1:14" x14ac:dyDescent="0.3">
      <c r="A3675" t="s">
        <v>4531</v>
      </c>
      <c r="B3675" s="2">
        <v>45798</v>
      </c>
      <c r="C3675" t="s">
        <v>151</v>
      </c>
      <c r="D3675" t="s">
        <v>778</v>
      </c>
      <c r="E3675" t="s">
        <v>831</v>
      </c>
      <c r="F3675">
        <v>3</v>
      </c>
      <c r="G3675">
        <v>0</v>
      </c>
      <c r="H3675" t="s">
        <v>861</v>
      </c>
      <c r="I3675" t="str">
        <f>VLOOKUP(C3675,Customers!A:C,2,FALSE)&amp;" "&amp;VLOOKUP(C3675,Customers!A:C,3,FALSE)</f>
        <v>Nancy Savage</v>
      </c>
      <c r="J3675" t="str">
        <f>VLOOKUP(D3675,Products!A:C,2,FALSE)</f>
        <v>Behavior Dairy</v>
      </c>
      <c r="K3675" t="str">
        <f>VLOOKUP(D3675,Products!A:C,3,FALSE)</f>
        <v>Groceries</v>
      </c>
      <c r="L3675" t="str">
        <f>VLOOKUP(E3675,Stores!A:B,2,FALSE)</f>
        <v>MegaMart Jimenezborough</v>
      </c>
      <c r="M3675">
        <f>VLOOKUP(D3675,Products!A:E,5,FALSE)</f>
        <v>1015.76</v>
      </c>
      <c r="N3675" s="5">
        <f t="shared" si="57"/>
        <v>3047.2799999999997</v>
      </c>
    </row>
    <row r="3676" spans="1:14" x14ac:dyDescent="0.3">
      <c r="A3676" t="s">
        <v>4532</v>
      </c>
      <c r="B3676" s="2">
        <v>45618</v>
      </c>
      <c r="C3676" t="s">
        <v>141</v>
      </c>
      <c r="D3676" t="s">
        <v>718</v>
      </c>
      <c r="E3676" t="s">
        <v>842</v>
      </c>
      <c r="F3676">
        <v>1</v>
      </c>
      <c r="G3676">
        <v>0</v>
      </c>
      <c r="H3676" t="s">
        <v>865</v>
      </c>
      <c r="I3676" t="str">
        <f>VLOOKUP(C3676,Customers!A:C,2,FALSE)&amp;" "&amp;VLOOKUP(C3676,Customers!A:C,3,FALSE)</f>
        <v>Michael Cervantes</v>
      </c>
      <c r="J3676" t="str">
        <f>VLOOKUP(D3676,Products!A:C,2,FALSE)</f>
        <v>Here Footwear</v>
      </c>
      <c r="K3676" t="str">
        <f>VLOOKUP(D3676,Products!A:C,3,FALSE)</f>
        <v>Fashion</v>
      </c>
      <c r="L3676" t="str">
        <f>VLOOKUP(E3676,Stores!A:B,2,FALSE)</f>
        <v>MegaMart Brianahaven</v>
      </c>
      <c r="M3676">
        <f>VLOOKUP(D3676,Products!A:E,5,FALSE)</f>
        <v>337.63</v>
      </c>
      <c r="N3676" s="5">
        <f t="shared" si="57"/>
        <v>337.63</v>
      </c>
    </row>
    <row r="3677" spans="1:14" x14ac:dyDescent="0.3">
      <c r="A3677" t="s">
        <v>4533</v>
      </c>
      <c r="B3677" s="2">
        <v>45517</v>
      </c>
      <c r="C3677" t="s">
        <v>262</v>
      </c>
      <c r="D3677" t="s">
        <v>804</v>
      </c>
      <c r="E3677" t="s">
        <v>842</v>
      </c>
      <c r="F3677">
        <v>4</v>
      </c>
      <c r="G3677">
        <v>0.15</v>
      </c>
      <c r="H3677" t="s">
        <v>865</v>
      </c>
      <c r="I3677" t="str">
        <f>VLOOKUP(C3677,Customers!A:C,2,FALSE)&amp;" "&amp;VLOOKUP(C3677,Customers!A:C,3,FALSE)</f>
        <v>Gabriel Daugherty</v>
      </c>
      <c r="J3677" t="str">
        <f>VLOOKUP(D3677,Products!A:C,2,FALSE)</f>
        <v>Church Clothing</v>
      </c>
      <c r="K3677" t="str">
        <f>VLOOKUP(D3677,Products!A:C,3,FALSE)</f>
        <v>Fashion</v>
      </c>
      <c r="L3677" t="str">
        <f>VLOOKUP(E3677,Stores!A:B,2,FALSE)</f>
        <v>MegaMart Brianahaven</v>
      </c>
      <c r="M3677">
        <f>VLOOKUP(D3677,Products!A:E,5,FALSE)</f>
        <v>540.94000000000005</v>
      </c>
      <c r="N3677" s="5">
        <f t="shared" si="57"/>
        <v>1839.1960000000001</v>
      </c>
    </row>
    <row r="3678" spans="1:14" x14ac:dyDescent="0.3">
      <c r="A3678" t="s">
        <v>4534</v>
      </c>
      <c r="B3678" s="2">
        <v>45595</v>
      </c>
      <c r="C3678" t="s">
        <v>302</v>
      </c>
      <c r="D3678" t="s">
        <v>790</v>
      </c>
      <c r="E3678" t="s">
        <v>839</v>
      </c>
      <c r="F3678">
        <v>5</v>
      </c>
      <c r="G3678">
        <v>0</v>
      </c>
      <c r="H3678" t="s">
        <v>865</v>
      </c>
      <c r="I3678" t="str">
        <f>VLOOKUP(C3678,Customers!A:C,2,FALSE)&amp;" "&amp;VLOOKUP(C3678,Customers!A:C,3,FALSE)</f>
        <v>Grace Garcia</v>
      </c>
      <c r="J3678" t="str">
        <f>VLOOKUP(D3678,Products!A:C,2,FALSE)</f>
        <v>Difficult Vegetables</v>
      </c>
      <c r="K3678" t="str">
        <f>VLOOKUP(D3678,Products!A:C,3,FALSE)</f>
        <v>Groceries</v>
      </c>
      <c r="L3678" t="str">
        <f>VLOOKUP(E3678,Stores!A:B,2,FALSE)</f>
        <v>MegaMart New Michele</v>
      </c>
      <c r="M3678">
        <f>VLOOKUP(D3678,Products!A:E,5,FALSE)</f>
        <v>304.70999999999998</v>
      </c>
      <c r="N3678" s="5">
        <f t="shared" si="57"/>
        <v>1523.55</v>
      </c>
    </row>
    <row r="3679" spans="1:14" x14ac:dyDescent="0.3">
      <c r="A3679" t="s">
        <v>4535</v>
      </c>
      <c r="B3679" s="2">
        <v>45366</v>
      </c>
      <c r="C3679" t="s">
        <v>119</v>
      </c>
      <c r="D3679" t="s">
        <v>750</v>
      </c>
      <c r="E3679" t="s">
        <v>831</v>
      </c>
      <c r="F3679">
        <v>4</v>
      </c>
      <c r="G3679">
        <v>0.15</v>
      </c>
      <c r="H3679" t="s">
        <v>858</v>
      </c>
      <c r="I3679" t="str">
        <f>VLOOKUP(C3679,Customers!A:C,2,FALSE)&amp;" "&amp;VLOOKUP(C3679,Customers!A:C,3,FALSE)</f>
        <v>Lacey Hall</v>
      </c>
      <c r="J3679" t="str">
        <f>VLOOKUP(D3679,Products!A:C,2,FALSE)</f>
        <v>Add Clothing</v>
      </c>
      <c r="K3679" t="str">
        <f>VLOOKUP(D3679,Products!A:C,3,FALSE)</f>
        <v>Fashion</v>
      </c>
      <c r="L3679" t="str">
        <f>VLOOKUP(E3679,Stores!A:B,2,FALSE)</f>
        <v>MegaMart Jimenezborough</v>
      </c>
      <c r="M3679">
        <f>VLOOKUP(D3679,Products!A:E,5,FALSE)</f>
        <v>1342.75</v>
      </c>
      <c r="N3679" s="5">
        <f t="shared" si="57"/>
        <v>4565.3499999999995</v>
      </c>
    </row>
    <row r="3680" spans="1:14" x14ac:dyDescent="0.3">
      <c r="A3680" t="s">
        <v>4536</v>
      </c>
      <c r="B3680" s="2">
        <v>45718</v>
      </c>
      <c r="C3680" t="s">
        <v>127</v>
      </c>
      <c r="D3680" t="s">
        <v>784</v>
      </c>
      <c r="E3680" t="s">
        <v>839</v>
      </c>
      <c r="F3680">
        <v>1</v>
      </c>
      <c r="G3680">
        <v>0</v>
      </c>
      <c r="H3680" t="s">
        <v>855</v>
      </c>
      <c r="I3680" t="str">
        <f>VLOOKUP(C3680,Customers!A:C,2,FALSE)&amp;" "&amp;VLOOKUP(C3680,Customers!A:C,3,FALSE)</f>
        <v>Valerie Macdonald</v>
      </c>
      <c r="J3680" t="str">
        <f>VLOOKUP(D3680,Products!A:C,2,FALSE)</f>
        <v>Road Clothing</v>
      </c>
      <c r="K3680" t="str">
        <f>VLOOKUP(D3680,Products!A:C,3,FALSE)</f>
        <v>Fashion</v>
      </c>
      <c r="L3680" t="str">
        <f>VLOOKUP(E3680,Stores!A:B,2,FALSE)</f>
        <v>MegaMart New Michele</v>
      </c>
      <c r="M3680">
        <f>VLOOKUP(D3680,Products!A:E,5,FALSE)</f>
        <v>1485.05</v>
      </c>
      <c r="N3680" s="5">
        <f t="shared" si="57"/>
        <v>1485.05</v>
      </c>
    </row>
    <row r="3681" spans="1:14" x14ac:dyDescent="0.3">
      <c r="A3681" t="s">
        <v>4537</v>
      </c>
      <c r="B3681" s="2">
        <v>45261</v>
      </c>
      <c r="C3681" t="s">
        <v>542</v>
      </c>
      <c r="D3681" t="s">
        <v>759</v>
      </c>
      <c r="E3681" t="s">
        <v>835</v>
      </c>
      <c r="F3681">
        <v>5</v>
      </c>
      <c r="G3681">
        <v>0</v>
      </c>
      <c r="H3681" t="s">
        <v>855</v>
      </c>
      <c r="I3681" t="str">
        <f>VLOOKUP(C3681,Customers!A:C,2,FALSE)&amp;" "&amp;VLOOKUP(C3681,Customers!A:C,3,FALSE)</f>
        <v>Francis Hernandez</v>
      </c>
      <c r="J3681" t="str">
        <f>VLOOKUP(D3681,Products!A:C,2,FALSE)</f>
        <v>Democratic Smartphone</v>
      </c>
      <c r="K3681" t="str">
        <f>VLOOKUP(D3681,Products!A:C,3,FALSE)</f>
        <v>Electronics</v>
      </c>
      <c r="L3681" t="str">
        <f>VLOOKUP(E3681,Stores!A:B,2,FALSE)</f>
        <v>MegaMart Peckmouth</v>
      </c>
      <c r="M3681">
        <f>VLOOKUP(D3681,Products!A:E,5,FALSE)</f>
        <v>1079.8900000000001</v>
      </c>
      <c r="N3681" s="5">
        <f t="shared" si="57"/>
        <v>5399.4500000000007</v>
      </c>
    </row>
    <row r="3682" spans="1:14" x14ac:dyDescent="0.3">
      <c r="A3682" t="s">
        <v>4538</v>
      </c>
      <c r="B3682" s="2">
        <v>45761</v>
      </c>
      <c r="C3682" t="s">
        <v>533</v>
      </c>
      <c r="D3682" t="s">
        <v>784</v>
      </c>
      <c r="E3682" t="s">
        <v>831</v>
      </c>
      <c r="F3682">
        <v>3</v>
      </c>
      <c r="G3682">
        <v>0.05</v>
      </c>
      <c r="H3682" t="s">
        <v>865</v>
      </c>
      <c r="I3682" t="str">
        <f>VLOOKUP(C3682,Customers!A:C,2,FALSE)&amp;" "&amp;VLOOKUP(C3682,Customers!A:C,3,FALSE)</f>
        <v>Crystal Garrison</v>
      </c>
      <c r="J3682" t="str">
        <f>VLOOKUP(D3682,Products!A:C,2,FALSE)</f>
        <v>Road Clothing</v>
      </c>
      <c r="K3682" t="str">
        <f>VLOOKUP(D3682,Products!A:C,3,FALSE)</f>
        <v>Fashion</v>
      </c>
      <c r="L3682" t="str">
        <f>VLOOKUP(E3682,Stores!A:B,2,FALSE)</f>
        <v>MegaMart Jimenezborough</v>
      </c>
      <c r="M3682">
        <f>VLOOKUP(D3682,Products!A:E,5,FALSE)</f>
        <v>1485.05</v>
      </c>
      <c r="N3682" s="5">
        <f t="shared" si="57"/>
        <v>4232.392499999999</v>
      </c>
    </row>
    <row r="3683" spans="1:14" x14ac:dyDescent="0.3">
      <c r="A3683" t="s">
        <v>4539</v>
      </c>
      <c r="B3683" s="2">
        <v>45525</v>
      </c>
      <c r="C3683" t="s">
        <v>310</v>
      </c>
      <c r="D3683" t="s">
        <v>776</v>
      </c>
      <c r="E3683" t="s">
        <v>835</v>
      </c>
      <c r="F3683">
        <v>1</v>
      </c>
      <c r="G3683">
        <v>0.1</v>
      </c>
      <c r="H3683" t="s">
        <v>865</v>
      </c>
      <c r="I3683" t="str">
        <f>VLOOKUP(C3683,Customers!A:C,2,FALSE)&amp;" "&amp;VLOOKUP(C3683,Customers!A:C,3,FALSE)</f>
        <v>Amy Haley</v>
      </c>
      <c r="J3683" t="str">
        <f>VLOOKUP(D3683,Products!A:C,2,FALSE)</f>
        <v>Little Watches</v>
      </c>
      <c r="K3683" t="str">
        <f>VLOOKUP(D3683,Products!A:C,3,FALSE)</f>
        <v>Fashion</v>
      </c>
      <c r="L3683" t="str">
        <f>VLOOKUP(E3683,Stores!A:B,2,FALSE)</f>
        <v>MegaMart Peckmouth</v>
      </c>
      <c r="M3683">
        <f>VLOOKUP(D3683,Products!A:E,5,FALSE)</f>
        <v>429.15</v>
      </c>
      <c r="N3683" s="5">
        <f t="shared" si="57"/>
        <v>386.23500000000001</v>
      </c>
    </row>
    <row r="3684" spans="1:14" x14ac:dyDescent="0.3">
      <c r="A3684" t="s">
        <v>4540</v>
      </c>
      <c r="B3684" s="2">
        <v>45592</v>
      </c>
      <c r="C3684" t="s">
        <v>545</v>
      </c>
      <c r="D3684" t="s">
        <v>753</v>
      </c>
      <c r="E3684" t="s">
        <v>839</v>
      </c>
      <c r="F3684">
        <v>5</v>
      </c>
      <c r="G3684">
        <v>0.15</v>
      </c>
      <c r="H3684" t="s">
        <v>858</v>
      </c>
      <c r="I3684" t="str">
        <f>VLOOKUP(C3684,Customers!A:C,2,FALSE)&amp;" "&amp;VLOOKUP(C3684,Customers!A:C,3,FALSE)</f>
        <v>Dawn Fletcher</v>
      </c>
      <c r="J3684" t="str">
        <f>VLOOKUP(D3684,Products!A:C,2,FALSE)</f>
        <v>Whether Bags</v>
      </c>
      <c r="K3684" t="str">
        <f>VLOOKUP(D3684,Products!A:C,3,FALSE)</f>
        <v>Fashion</v>
      </c>
      <c r="L3684" t="str">
        <f>VLOOKUP(E3684,Stores!A:B,2,FALSE)</f>
        <v>MegaMart New Michele</v>
      </c>
      <c r="M3684">
        <f>VLOOKUP(D3684,Products!A:E,5,FALSE)</f>
        <v>270.45</v>
      </c>
      <c r="N3684" s="5">
        <f t="shared" si="57"/>
        <v>1149.4124999999999</v>
      </c>
    </row>
    <row r="3685" spans="1:14" x14ac:dyDescent="0.3">
      <c r="A3685" t="s">
        <v>4541</v>
      </c>
      <c r="B3685" s="2">
        <v>45768</v>
      </c>
      <c r="C3685" t="s">
        <v>560</v>
      </c>
      <c r="D3685" t="s">
        <v>822</v>
      </c>
      <c r="E3685" t="s">
        <v>846</v>
      </c>
      <c r="F3685">
        <v>4</v>
      </c>
      <c r="G3685">
        <v>0.05</v>
      </c>
      <c r="H3685" t="s">
        <v>865</v>
      </c>
      <c r="I3685" t="str">
        <f>VLOOKUP(C3685,Customers!A:C,2,FALSE)&amp;" "&amp;VLOOKUP(C3685,Customers!A:C,3,FALSE)</f>
        <v>George Young</v>
      </c>
      <c r="J3685" t="str">
        <f>VLOOKUP(D3685,Products!A:C,2,FALSE)</f>
        <v>Nor Bags</v>
      </c>
      <c r="K3685" t="str">
        <f>VLOOKUP(D3685,Products!A:C,3,FALSE)</f>
        <v>Fashion</v>
      </c>
      <c r="L3685" t="str">
        <f>VLOOKUP(E3685,Stores!A:B,2,FALSE)</f>
        <v>MegaMart Johnmouth</v>
      </c>
      <c r="M3685">
        <f>VLOOKUP(D3685,Products!A:E,5,FALSE)</f>
        <v>1216.3599999999999</v>
      </c>
      <c r="N3685" s="5">
        <f t="shared" si="57"/>
        <v>4622.1679999999997</v>
      </c>
    </row>
    <row r="3686" spans="1:14" x14ac:dyDescent="0.3">
      <c r="A3686" t="s">
        <v>4542</v>
      </c>
      <c r="B3686" s="2">
        <v>45844</v>
      </c>
      <c r="C3686" t="s">
        <v>198</v>
      </c>
      <c r="D3686" t="s">
        <v>782</v>
      </c>
      <c r="E3686" t="s">
        <v>842</v>
      </c>
      <c r="F3686">
        <v>5</v>
      </c>
      <c r="G3686">
        <v>0.15</v>
      </c>
      <c r="H3686" t="s">
        <v>865</v>
      </c>
      <c r="I3686" t="str">
        <f>VLOOKUP(C3686,Customers!A:C,2,FALSE)&amp;" "&amp;VLOOKUP(C3686,Customers!A:C,3,FALSE)</f>
        <v>Madison Sellers</v>
      </c>
      <c r="J3686" t="str">
        <f>VLOOKUP(D3686,Products!A:C,2,FALSE)</f>
        <v>Deal Smartphone</v>
      </c>
      <c r="K3686" t="str">
        <f>VLOOKUP(D3686,Products!A:C,3,FALSE)</f>
        <v>Electronics</v>
      </c>
      <c r="L3686" t="str">
        <f>VLOOKUP(E3686,Stores!A:B,2,FALSE)</f>
        <v>MegaMart Brianahaven</v>
      </c>
      <c r="M3686">
        <f>VLOOKUP(D3686,Products!A:E,5,FALSE)</f>
        <v>673.78</v>
      </c>
      <c r="N3686" s="5">
        <f t="shared" si="57"/>
        <v>2863.5649999999996</v>
      </c>
    </row>
    <row r="3687" spans="1:14" x14ac:dyDescent="0.3">
      <c r="A3687" t="s">
        <v>4543</v>
      </c>
      <c r="B3687" s="2">
        <v>45828</v>
      </c>
      <c r="C3687" t="s">
        <v>399</v>
      </c>
      <c r="D3687" t="s">
        <v>822</v>
      </c>
      <c r="E3687" t="s">
        <v>842</v>
      </c>
      <c r="F3687">
        <v>5</v>
      </c>
      <c r="G3687">
        <v>0.1</v>
      </c>
      <c r="H3687" t="s">
        <v>865</v>
      </c>
      <c r="I3687" t="str">
        <f>VLOOKUP(C3687,Customers!A:C,2,FALSE)&amp;" "&amp;VLOOKUP(C3687,Customers!A:C,3,FALSE)</f>
        <v>Victoria Hansen</v>
      </c>
      <c r="J3687" t="str">
        <f>VLOOKUP(D3687,Products!A:C,2,FALSE)</f>
        <v>Nor Bags</v>
      </c>
      <c r="K3687" t="str">
        <f>VLOOKUP(D3687,Products!A:C,3,FALSE)</f>
        <v>Fashion</v>
      </c>
      <c r="L3687" t="str">
        <f>VLOOKUP(E3687,Stores!A:B,2,FALSE)</f>
        <v>MegaMart Brianahaven</v>
      </c>
      <c r="M3687">
        <f>VLOOKUP(D3687,Products!A:E,5,FALSE)</f>
        <v>1216.3599999999999</v>
      </c>
      <c r="N3687" s="5">
        <f t="shared" si="57"/>
        <v>5473.62</v>
      </c>
    </row>
    <row r="3688" spans="1:14" x14ac:dyDescent="0.3">
      <c r="A3688" t="s">
        <v>4544</v>
      </c>
      <c r="B3688" s="2">
        <v>45362</v>
      </c>
      <c r="C3688" t="s">
        <v>396</v>
      </c>
      <c r="D3688" t="s">
        <v>755</v>
      </c>
      <c r="E3688" t="s">
        <v>842</v>
      </c>
      <c r="F3688">
        <v>1</v>
      </c>
      <c r="G3688">
        <v>0.05</v>
      </c>
      <c r="H3688" t="s">
        <v>861</v>
      </c>
      <c r="I3688" t="str">
        <f>VLOOKUP(C3688,Customers!A:C,2,FALSE)&amp;" "&amp;VLOOKUP(C3688,Customers!A:C,3,FALSE)</f>
        <v>Kevin Flores</v>
      </c>
      <c r="J3688" t="str">
        <f>VLOOKUP(D3688,Products!A:C,2,FALSE)</f>
        <v>House Accessories</v>
      </c>
      <c r="K3688" t="str">
        <f>VLOOKUP(D3688,Products!A:C,3,FALSE)</f>
        <v>Fashion</v>
      </c>
      <c r="L3688" t="str">
        <f>VLOOKUP(E3688,Stores!A:B,2,FALSE)</f>
        <v>MegaMart Brianahaven</v>
      </c>
      <c r="M3688">
        <f>VLOOKUP(D3688,Products!A:E,5,FALSE)</f>
        <v>1858.75</v>
      </c>
      <c r="N3688" s="5">
        <f t="shared" si="57"/>
        <v>1765.8125</v>
      </c>
    </row>
    <row r="3689" spans="1:14" x14ac:dyDescent="0.3">
      <c r="A3689" t="s">
        <v>4545</v>
      </c>
      <c r="B3689" s="2">
        <v>45196</v>
      </c>
      <c r="C3689" t="s">
        <v>462</v>
      </c>
      <c r="D3689" t="s">
        <v>798</v>
      </c>
      <c r="E3689" t="s">
        <v>839</v>
      </c>
      <c r="F3689">
        <v>1</v>
      </c>
      <c r="G3689">
        <v>0.15</v>
      </c>
      <c r="H3689" t="s">
        <v>858</v>
      </c>
      <c r="I3689" t="str">
        <f>VLOOKUP(C3689,Customers!A:C,2,FALSE)&amp;" "&amp;VLOOKUP(C3689,Customers!A:C,3,FALSE)</f>
        <v>Kimberly Parker</v>
      </c>
      <c r="J3689" t="str">
        <f>VLOOKUP(D3689,Products!A:C,2,FALSE)</f>
        <v>New Watches</v>
      </c>
      <c r="K3689" t="str">
        <f>VLOOKUP(D3689,Products!A:C,3,FALSE)</f>
        <v>Fashion</v>
      </c>
      <c r="L3689" t="str">
        <f>VLOOKUP(E3689,Stores!A:B,2,FALSE)</f>
        <v>MegaMart New Michele</v>
      </c>
      <c r="M3689">
        <f>VLOOKUP(D3689,Products!A:E,5,FALSE)</f>
        <v>1501.46</v>
      </c>
      <c r="N3689" s="5">
        <f t="shared" si="57"/>
        <v>1276.241</v>
      </c>
    </row>
    <row r="3690" spans="1:14" x14ac:dyDescent="0.3">
      <c r="A3690" t="s">
        <v>4546</v>
      </c>
      <c r="B3690" s="2">
        <v>45824</v>
      </c>
      <c r="C3690" t="s">
        <v>533</v>
      </c>
      <c r="D3690" t="s">
        <v>747</v>
      </c>
      <c r="E3690" t="s">
        <v>839</v>
      </c>
      <c r="F3690">
        <v>2</v>
      </c>
      <c r="G3690">
        <v>0.05</v>
      </c>
      <c r="H3690" t="s">
        <v>861</v>
      </c>
      <c r="I3690" t="str">
        <f>VLOOKUP(C3690,Customers!A:C,2,FALSE)&amp;" "&amp;VLOOKUP(C3690,Customers!A:C,3,FALSE)</f>
        <v>Crystal Garrison</v>
      </c>
      <c r="J3690" t="str">
        <f>VLOOKUP(D3690,Products!A:C,2,FALSE)</f>
        <v>World Watches</v>
      </c>
      <c r="K3690" t="str">
        <f>VLOOKUP(D3690,Products!A:C,3,FALSE)</f>
        <v>Fashion</v>
      </c>
      <c r="L3690" t="str">
        <f>VLOOKUP(E3690,Stores!A:B,2,FALSE)</f>
        <v>MegaMart New Michele</v>
      </c>
      <c r="M3690">
        <f>VLOOKUP(D3690,Products!A:E,5,FALSE)</f>
        <v>1134.8</v>
      </c>
      <c r="N3690" s="5">
        <f t="shared" si="57"/>
        <v>2156.12</v>
      </c>
    </row>
    <row r="3691" spans="1:14" x14ac:dyDescent="0.3">
      <c r="A3691" t="s">
        <v>4547</v>
      </c>
      <c r="B3691" s="2">
        <v>45831</v>
      </c>
      <c r="C3691" t="s">
        <v>690</v>
      </c>
      <c r="D3691" t="s">
        <v>816</v>
      </c>
      <c r="E3691" t="s">
        <v>839</v>
      </c>
      <c r="F3691">
        <v>4</v>
      </c>
      <c r="G3691">
        <v>0.05</v>
      </c>
      <c r="H3691" t="s">
        <v>861</v>
      </c>
      <c r="I3691" t="str">
        <f>VLOOKUP(C3691,Customers!A:C,2,FALSE)&amp;" "&amp;VLOOKUP(C3691,Customers!A:C,3,FALSE)</f>
        <v>James Noble</v>
      </c>
      <c r="J3691" t="str">
        <f>VLOOKUP(D3691,Products!A:C,2,FALSE)</f>
        <v>Set Dairy</v>
      </c>
      <c r="K3691" t="str">
        <f>VLOOKUP(D3691,Products!A:C,3,FALSE)</f>
        <v>Groceries</v>
      </c>
      <c r="L3691" t="str">
        <f>VLOOKUP(E3691,Stores!A:B,2,FALSE)</f>
        <v>MegaMart New Michele</v>
      </c>
      <c r="M3691">
        <f>VLOOKUP(D3691,Products!A:E,5,FALSE)</f>
        <v>1879.08</v>
      </c>
      <c r="N3691" s="5">
        <f t="shared" si="57"/>
        <v>7140.503999999999</v>
      </c>
    </row>
    <row r="3692" spans="1:14" x14ac:dyDescent="0.3">
      <c r="A3692" t="s">
        <v>4548</v>
      </c>
      <c r="B3692" s="2">
        <v>45689</v>
      </c>
      <c r="C3692" t="s">
        <v>666</v>
      </c>
      <c r="D3692" t="s">
        <v>761</v>
      </c>
      <c r="E3692" t="s">
        <v>846</v>
      </c>
      <c r="F3692">
        <v>5</v>
      </c>
      <c r="G3692">
        <v>0.1</v>
      </c>
      <c r="H3692" t="s">
        <v>865</v>
      </c>
      <c r="I3692" t="str">
        <f>VLOOKUP(C3692,Customers!A:C,2,FALSE)&amp;" "&amp;VLOOKUP(C3692,Customers!A:C,3,FALSE)</f>
        <v>Steve Flynn</v>
      </c>
      <c r="J3692" t="str">
        <f>VLOOKUP(D3692,Products!A:C,2,FALSE)</f>
        <v>Traditional Laptop</v>
      </c>
      <c r="K3692" t="str">
        <f>VLOOKUP(D3692,Products!A:C,3,FALSE)</f>
        <v>Electronics</v>
      </c>
      <c r="L3692" t="str">
        <f>VLOOKUP(E3692,Stores!A:B,2,FALSE)</f>
        <v>MegaMart Johnmouth</v>
      </c>
      <c r="M3692">
        <f>VLOOKUP(D3692,Products!A:E,5,FALSE)</f>
        <v>1762.92</v>
      </c>
      <c r="N3692" s="5">
        <f t="shared" si="57"/>
        <v>7933.14</v>
      </c>
    </row>
    <row r="3693" spans="1:14" x14ac:dyDescent="0.3">
      <c r="A3693" t="s">
        <v>4549</v>
      </c>
      <c r="B3693" s="2">
        <v>45672</v>
      </c>
      <c r="C3693" t="s">
        <v>563</v>
      </c>
      <c r="D3693" t="s">
        <v>718</v>
      </c>
      <c r="E3693" t="s">
        <v>842</v>
      </c>
      <c r="F3693">
        <v>1</v>
      </c>
      <c r="G3693">
        <v>0</v>
      </c>
      <c r="H3693" t="s">
        <v>855</v>
      </c>
      <c r="I3693" t="str">
        <f>VLOOKUP(C3693,Customers!A:C,2,FALSE)&amp;" "&amp;VLOOKUP(C3693,Customers!A:C,3,FALSE)</f>
        <v>Connie Terry</v>
      </c>
      <c r="J3693" t="str">
        <f>VLOOKUP(D3693,Products!A:C,2,FALSE)</f>
        <v>Here Footwear</v>
      </c>
      <c r="K3693" t="str">
        <f>VLOOKUP(D3693,Products!A:C,3,FALSE)</f>
        <v>Fashion</v>
      </c>
      <c r="L3693" t="str">
        <f>VLOOKUP(E3693,Stores!A:B,2,FALSE)</f>
        <v>MegaMart Brianahaven</v>
      </c>
      <c r="M3693">
        <f>VLOOKUP(D3693,Products!A:E,5,FALSE)</f>
        <v>337.63</v>
      </c>
      <c r="N3693" s="5">
        <f t="shared" si="57"/>
        <v>337.63</v>
      </c>
    </row>
    <row r="3694" spans="1:14" x14ac:dyDescent="0.3">
      <c r="A3694" t="s">
        <v>4550</v>
      </c>
      <c r="B3694" s="2">
        <v>45576</v>
      </c>
      <c r="C3694" t="s">
        <v>167</v>
      </c>
      <c r="D3694" t="s">
        <v>782</v>
      </c>
      <c r="E3694" t="s">
        <v>842</v>
      </c>
      <c r="F3694">
        <v>2</v>
      </c>
      <c r="G3694">
        <v>0</v>
      </c>
      <c r="H3694" t="s">
        <v>861</v>
      </c>
      <c r="I3694" t="str">
        <f>VLOOKUP(C3694,Customers!A:C,2,FALSE)&amp;" "&amp;VLOOKUP(C3694,Customers!A:C,3,FALSE)</f>
        <v>Kenneth Allen</v>
      </c>
      <c r="J3694" t="str">
        <f>VLOOKUP(D3694,Products!A:C,2,FALSE)</f>
        <v>Deal Smartphone</v>
      </c>
      <c r="K3694" t="str">
        <f>VLOOKUP(D3694,Products!A:C,3,FALSE)</f>
        <v>Electronics</v>
      </c>
      <c r="L3694" t="str">
        <f>VLOOKUP(E3694,Stores!A:B,2,FALSE)</f>
        <v>MegaMart Brianahaven</v>
      </c>
      <c r="M3694">
        <f>VLOOKUP(D3694,Products!A:E,5,FALSE)</f>
        <v>673.78</v>
      </c>
      <c r="N3694" s="5">
        <f t="shared" si="57"/>
        <v>1347.56</v>
      </c>
    </row>
    <row r="3695" spans="1:14" x14ac:dyDescent="0.3">
      <c r="A3695" t="s">
        <v>4551</v>
      </c>
      <c r="B3695" s="2">
        <v>45771</v>
      </c>
      <c r="C3695" t="s">
        <v>445</v>
      </c>
      <c r="D3695" t="s">
        <v>826</v>
      </c>
      <c r="E3695" t="s">
        <v>831</v>
      </c>
      <c r="F3695">
        <v>5</v>
      </c>
      <c r="G3695">
        <v>0.15</v>
      </c>
      <c r="H3695" t="s">
        <v>861</v>
      </c>
      <c r="I3695" t="str">
        <f>VLOOKUP(C3695,Customers!A:C,2,FALSE)&amp;" "&amp;VLOOKUP(C3695,Customers!A:C,3,FALSE)</f>
        <v>Curtis Faulkner</v>
      </c>
      <c r="J3695" t="str">
        <f>VLOOKUP(D3695,Products!A:C,2,FALSE)</f>
        <v>Maybe Footwear</v>
      </c>
      <c r="K3695" t="str">
        <f>VLOOKUP(D3695,Products!A:C,3,FALSE)</f>
        <v>Fashion</v>
      </c>
      <c r="L3695" t="str">
        <f>VLOOKUP(E3695,Stores!A:B,2,FALSE)</f>
        <v>MegaMart Jimenezborough</v>
      </c>
      <c r="M3695">
        <f>VLOOKUP(D3695,Products!A:E,5,FALSE)</f>
        <v>1044.6400000000001</v>
      </c>
      <c r="N3695" s="5">
        <f t="shared" si="57"/>
        <v>4439.72</v>
      </c>
    </row>
    <row r="3696" spans="1:14" x14ac:dyDescent="0.3">
      <c r="A3696" t="s">
        <v>4552</v>
      </c>
      <c r="B3696" s="2">
        <v>45730</v>
      </c>
      <c r="C3696" t="s">
        <v>112</v>
      </c>
      <c r="D3696" t="s">
        <v>782</v>
      </c>
      <c r="E3696" t="s">
        <v>831</v>
      </c>
      <c r="F3696">
        <v>4</v>
      </c>
      <c r="G3696">
        <v>0</v>
      </c>
      <c r="H3696" t="s">
        <v>861</v>
      </c>
      <c r="I3696" t="str">
        <f>VLOOKUP(C3696,Customers!A:C,2,FALSE)&amp;" "&amp;VLOOKUP(C3696,Customers!A:C,3,FALSE)</f>
        <v>John Carr</v>
      </c>
      <c r="J3696" t="str">
        <f>VLOOKUP(D3696,Products!A:C,2,FALSE)</f>
        <v>Deal Smartphone</v>
      </c>
      <c r="K3696" t="str">
        <f>VLOOKUP(D3696,Products!A:C,3,FALSE)</f>
        <v>Electronics</v>
      </c>
      <c r="L3696" t="str">
        <f>VLOOKUP(E3696,Stores!A:B,2,FALSE)</f>
        <v>MegaMart Jimenezborough</v>
      </c>
      <c r="M3696">
        <f>VLOOKUP(D3696,Products!A:E,5,FALSE)</f>
        <v>673.78</v>
      </c>
      <c r="N3696" s="5">
        <f t="shared" si="57"/>
        <v>2695.12</v>
      </c>
    </row>
    <row r="3697" spans="1:14" x14ac:dyDescent="0.3">
      <c r="A3697" t="s">
        <v>4553</v>
      </c>
      <c r="B3697" s="2">
        <v>45387</v>
      </c>
      <c r="C3697" t="s">
        <v>604</v>
      </c>
      <c r="D3697" t="s">
        <v>766</v>
      </c>
      <c r="E3697" t="s">
        <v>831</v>
      </c>
      <c r="F3697">
        <v>3</v>
      </c>
      <c r="G3697">
        <v>0</v>
      </c>
      <c r="H3697" t="s">
        <v>865</v>
      </c>
      <c r="I3697" t="str">
        <f>VLOOKUP(C3697,Customers!A:C,2,FALSE)&amp;" "&amp;VLOOKUP(C3697,Customers!A:C,3,FALSE)</f>
        <v>Amber Graham</v>
      </c>
      <c r="J3697" t="str">
        <f>VLOOKUP(D3697,Products!A:C,2,FALSE)</f>
        <v>Firm Dairy</v>
      </c>
      <c r="K3697" t="str">
        <f>VLOOKUP(D3697,Products!A:C,3,FALSE)</f>
        <v>Groceries</v>
      </c>
      <c r="L3697" t="str">
        <f>VLOOKUP(E3697,Stores!A:B,2,FALSE)</f>
        <v>MegaMart Jimenezborough</v>
      </c>
      <c r="M3697">
        <f>VLOOKUP(D3697,Products!A:E,5,FALSE)</f>
        <v>1227.24</v>
      </c>
      <c r="N3697" s="5">
        <f t="shared" si="57"/>
        <v>3681.7200000000003</v>
      </c>
    </row>
    <row r="3698" spans="1:14" x14ac:dyDescent="0.3">
      <c r="A3698" t="s">
        <v>4554</v>
      </c>
      <c r="B3698" s="2">
        <v>45300</v>
      </c>
      <c r="C3698" t="s">
        <v>234</v>
      </c>
      <c r="D3698" t="s">
        <v>732</v>
      </c>
      <c r="E3698" t="s">
        <v>839</v>
      </c>
      <c r="F3698">
        <v>5</v>
      </c>
      <c r="G3698">
        <v>0.15</v>
      </c>
      <c r="H3698" t="s">
        <v>861</v>
      </c>
      <c r="I3698" t="str">
        <f>VLOOKUP(C3698,Customers!A:C,2,FALSE)&amp;" "&amp;VLOOKUP(C3698,Customers!A:C,3,FALSE)</f>
        <v>Heather Russell</v>
      </c>
      <c r="J3698" t="str">
        <f>VLOOKUP(D3698,Products!A:C,2,FALSE)</f>
        <v>Understand Camera</v>
      </c>
      <c r="K3698" t="str">
        <f>VLOOKUP(D3698,Products!A:C,3,FALSE)</f>
        <v>Electronics</v>
      </c>
      <c r="L3698" t="str">
        <f>VLOOKUP(E3698,Stores!A:B,2,FALSE)</f>
        <v>MegaMart New Michele</v>
      </c>
      <c r="M3698">
        <f>VLOOKUP(D3698,Products!A:E,5,FALSE)</f>
        <v>1474.12</v>
      </c>
      <c r="N3698" s="5">
        <f t="shared" si="57"/>
        <v>6265.0099999999993</v>
      </c>
    </row>
    <row r="3699" spans="1:14" x14ac:dyDescent="0.3">
      <c r="A3699" t="s">
        <v>4555</v>
      </c>
      <c r="B3699" s="2">
        <v>45677</v>
      </c>
      <c r="C3699" t="s">
        <v>115</v>
      </c>
      <c r="D3699" t="s">
        <v>816</v>
      </c>
      <c r="E3699" t="s">
        <v>831</v>
      </c>
      <c r="F3699">
        <v>4</v>
      </c>
      <c r="G3699">
        <v>0</v>
      </c>
      <c r="H3699" t="s">
        <v>855</v>
      </c>
      <c r="I3699" t="str">
        <f>VLOOKUP(C3699,Customers!A:C,2,FALSE)&amp;" "&amp;VLOOKUP(C3699,Customers!A:C,3,FALSE)</f>
        <v>Tyler Levine</v>
      </c>
      <c r="J3699" t="str">
        <f>VLOOKUP(D3699,Products!A:C,2,FALSE)</f>
        <v>Set Dairy</v>
      </c>
      <c r="K3699" t="str">
        <f>VLOOKUP(D3699,Products!A:C,3,FALSE)</f>
        <v>Groceries</v>
      </c>
      <c r="L3699" t="str">
        <f>VLOOKUP(E3699,Stores!A:B,2,FALSE)</f>
        <v>MegaMart Jimenezborough</v>
      </c>
      <c r="M3699">
        <f>VLOOKUP(D3699,Products!A:E,5,FALSE)</f>
        <v>1879.08</v>
      </c>
      <c r="N3699" s="5">
        <f t="shared" si="57"/>
        <v>7516.32</v>
      </c>
    </row>
    <row r="3700" spans="1:14" x14ac:dyDescent="0.3">
      <c r="A3700" t="s">
        <v>4556</v>
      </c>
      <c r="B3700" s="2">
        <v>45723</v>
      </c>
      <c r="C3700" t="s">
        <v>604</v>
      </c>
      <c r="D3700" t="s">
        <v>769</v>
      </c>
      <c r="E3700" t="s">
        <v>846</v>
      </c>
      <c r="F3700">
        <v>1</v>
      </c>
      <c r="G3700">
        <v>0</v>
      </c>
      <c r="H3700" t="s">
        <v>858</v>
      </c>
      <c r="I3700" t="str">
        <f>VLOOKUP(C3700,Customers!A:C,2,FALSE)&amp;" "&amp;VLOOKUP(C3700,Customers!A:C,3,FALSE)</f>
        <v>Amber Graham</v>
      </c>
      <c r="J3700" t="str">
        <f>VLOOKUP(D3700,Products!A:C,2,FALSE)</f>
        <v>How Vegetables</v>
      </c>
      <c r="K3700" t="str">
        <f>VLOOKUP(D3700,Products!A:C,3,FALSE)</f>
        <v>Groceries</v>
      </c>
      <c r="L3700" t="str">
        <f>VLOOKUP(E3700,Stores!A:B,2,FALSE)</f>
        <v>MegaMart Johnmouth</v>
      </c>
      <c r="M3700">
        <f>VLOOKUP(D3700,Products!A:E,5,FALSE)</f>
        <v>25.57</v>
      </c>
      <c r="N3700" s="5">
        <f t="shared" si="57"/>
        <v>25.57</v>
      </c>
    </row>
    <row r="3701" spans="1:14" x14ac:dyDescent="0.3">
      <c r="A3701" t="s">
        <v>4557</v>
      </c>
      <c r="B3701" s="2">
        <v>45285</v>
      </c>
      <c r="C3701" t="s">
        <v>254</v>
      </c>
      <c r="D3701" t="s">
        <v>715</v>
      </c>
      <c r="E3701" t="s">
        <v>839</v>
      </c>
      <c r="F3701">
        <v>5</v>
      </c>
      <c r="G3701">
        <v>0.05</v>
      </c>
      <c r="H3701" t="s">
        <v>861</v>
      </c>
      <c r="I3701" t="str">
        <f>VLOOKUP(C3701,Customers!A:C,2,FALSE)&amp;" "&amp;VLOOKUP(C3701,Customers!A:C,3,FALSE)</f>
        <v>Daniel Maldonado</v>
      </c>
      <c r="J3701" t="str">
        <f>VLOOKUP(D3701,Products!A:C,2,FALSE)</f>
        <v>Audience Television</v>
      </c>
      <c r="K3701" t="str">
        <f>VLOOKUP(D3701,Products!A:C,3,FALSE)</f>
        <v>Electronics</v>
      </c>
      <c r="L3701" t="str">
        <f>VLOOKUP(E3701,Stores!A:B,2,FALSE)</f>
        <v>MegaMart New Michele</v>
      </c>
      <c r="M3701">
        <f>VLOOKUP(D3701,Products!A:E,5,FALSE)</f>
        <v>818.76</v>
      </c>
      <c r="N3701" s="5">
        <f t="shared" si="57"/>
        <v>3889.11</v>
      </c>
    </row>
    <row r="3702" spans="1:14" x14ac:dyDescent="0.3">
      <c r="A3702" t="s">
        <v>4558</v>
      </c>
      <c r="B3702" s="2">
        <v>45187</v>
      </c>
      <c r="C3702" t="s">
        <v>687</v>
      </c>
      <c r="D3702" t="s">
        <v>822</v>
      </c>
      <c r="E3702" t="s">
        <v>831</v>
      </c>
      <c r="F3702">
        <v>4</v>
      </c>
      <c r="G3702">
        <v>0.1</v>
      </c>
      <c r="H3702" t="s">
        <v>861</v>
      </c>
      <c r="I3702" t="str">
        <f>VLOOKUP(C3702,Customers!A:C,2,FALSE)&amp;" "&amp;VLOOKUP(C3702,Customers!A:C,3,FALSE)</f>
        <v>James Mitchell</v>
      </c>
      <c r="J3702" t="str">
        <f>VLOOKUP(D3702,Products!A:C,2,FALSE)</f>
        <v>Nor Bags</v>
      </c>
      <c r="K3702" t="str">
        <f>VLOOKUP(D3702,Products!A:C,3,FALSE)</f>
        <v>Fashion</v>
      </c>
      <c r="L3702" t="str">
        <f>VLOOKUP(E3702,Stores!A:B,2,FALSE)</f>
        <v>MegaMart Jimenezborough</v>
      </c>
      <c r="M3702">
        <f>VLOOKUP(D3702,Products!A:E,5,FALSE)</f>
        <v>1216.3599999999999</v>
      </c>
      <c r="N3702" s="5">
        <f t="shared" si="57"/>
        <v>4378.8959999999997</v>
      </c>
    </row>
    <row r="3703" spans="1:14" x14ac:dyDescent="0.3">
      <c r="A3703" t="s">
        <v>4559</v>
      </c>
      <c r="B3703" s="2">
        <v>45578</v>
      </c>
      <c r="C3703" t="s">
        <v>533</v>
      </c>
      <c r="D3703" t="s">
        <v>778</v>
      </c>
      <c r="E3703" t="s">
        <v>842</v>
      </c>
      <c r="F3703">
        <v>5</v>
      </c>
      <c r="G3703">
        <v>0.1</v>
      </c>
      <c r="H3703" t="s">
        <v>858</v>
      </c>
      <c r="I3703" t="str">
        <f>VLOOKUP(C3703,Customers!A:C,2,FALSE)&amp;" "&amp;VLOOKUP(C3703,Customers!A:C,3,FALSE)</f>
        <v>Crystal Garrison</v>
      </c>
      <c r="J3703" t="str">
        <f>VLOOKUP(D3703,Products!A:C,2,FALSE)</f>
        <v>Behavior Dairy</v>
      </c>
      <c r="K3703" t="str">
        <f>VLOOKUP(D3703,Products!A:C,3,FALSE)</f>
        <v>Groceries</v>
      </c>
      <c r="L3703" t="str">
        <f>VLOOKUP(E3703,Stores!A:B,2,FALSE)</f>
        <v>MegaMart Brianahaven</v>
      </c>
      <c r="M3703">
        <f>VLOOKUP(D3703,Products!A:E,5,FALSE)</f>
        <v>1015.76</v>
      </c>
      <c r="N3703" s="5">
        <f t="shared" si="57"/>
        <v>4570.92</v>
      </c>
    </row>
    <row r="3704" spans="1:14" x14ac:dyDescent="0.3">
      <c r="A3704" t="s">
        <v>4560</v>
      </c>
      <c r="B3704" s="2">
        <v>45277</v>
      </c>
      <c r="C3704" t="s">
        <v>15</v>
      </c>
      <c r="D3704" t="s">
        <v>818</v>
      </c>
      <c r="E3704" t="s">
        <v>846</v>
      </c>
      <c r="F3704">
        <v>2</v>
      </c>
      <c r="G3704">
        <v>0</v>
      </c>
      <c r="H3704" t="s">
        <v>865</v>
      </c>
      <c r="I3704" t="str">
        <f>VLOOKUP(C3704,Customers!A:C,2,FALSE)&amp;" "&amp;VLOOKUP(C3704,Customers!A:C,3,FALSE)</f>
        <v>Carol Hays</v>
      </c>
      <c r="J3704" t="str">
        <f>VLOOKUP(D3704,Products!A:C,2,FALSE)</f>
        <v>Nature Clothing</v>
      </c>
      <c r="K3704" t="str">
        <f>VLOOKUP(D3704,Products!A:C,3,FALSE)</f>
        <v>Fashion</v>
      </c>
      <c r="L3704" t="str">
        <f>VLOOKUP(E3704,Stores!A:B,2,FALSE)</f>
        <v>MegaMart Johnmouth</v>
      </c>
      <c r="M3704">
        <f>VLOOKUP(D3704,Products!A:E,5,FALSE)</f>
        <v>1165.3699999999999</v>
      </c>
      <c r="N3704" s="5">
        <f t="shared" si="57"/>
        <v>2330.7399999999998</v>
      </c>
    </row>
    <row r="3705" spans="1:14" x14ac:dyDescent="0.3">
      <c r="A3705" t="s">
        <v>4561</v>
      </c>
      <c r="B3705" s="2">
        <v>45668</v>
      </c>
      <c r="C3705" t="s">
        <v>254</v>
      </c>
      <c r="D3705" t="s">
        <v>774</v>
      </c>
      <c r="E3705" t="s">
        <v>846</v>
      </c>
      <c r="F3705">
        <v>1</v>
      </c>
      <c r="G3705">
        <v>0.15</v>
      </c>
      <c r="H3705" t="s">
        <v>858</v>
      </c>
      <c r="I3705" t="str">
        <f>VLOOKUP(C3705,Customers!A:C,2,FALSE)&amp;" "&amp;VLOOKUP(C3705,Customers!A:C,3,FALSE)</f>
        <v>Daniel Maldonado</v>
      </c>
      <c r="J3705" t="str">
        <f>VLOOKUP(D3705,Products!A:C,2,FALSE)</f>
        <v>Him Smartphone</v>
      </c>
      <c r="K3705" t="str">
        <f>VLOOKUP(D3705,Products!A:C,3,FALSE)</f>
        <v>Electronics</v>
      </c>
      <c r="L3705" t="str">
        <f>VLOOKUP(E3705,Stores!A:B,2,FALSE)</f>
        <v>MegaMart Johnmouth</v>
      </c>
      <c r="M3705">
        <f>VLOOKUP(D3705,Products!A:E,5,FALSE)</f>
        <v>1487.41</v>
      </c>
      <c r="N3705" s="5">
        <f t="shared" si="57"/>
        <v>1264.2985000000001</v>
      </c>
    </row>
    <row r="3706" spans="1:14" x14ac:dyDescent="0.3">
      <c r="A3706" t="s">
        <v>4562</v>
      </c>
      <c r="B3706" s="2">
        <v>45339</v>
      </c>
      <c r="C3706" t="s">
        <v>310</v>
      </c>
      <c r="D3706" t="s">
        <v>778</v>
      </c>
      <c r="E3706" t="s">
        <v>842</v>
      </c>
      <c r="F3706">
        <v>1</v>
      </c>
      <c r="G3706">
        <v>0.05</v>
      </c>
      <c r="H3706" t="s">
        <v>861</v>
      </c>
      <c r="I3706" t="str">
        <f>VLOOKUP(C3706,Customers!A:C,2,FALSE)&amp;" "&amp;VLOOKUP(C3706,Customers!A:C,3,FALSE)</f>
        <v>Amy Haley</v>
      </c>
      <c r="J3706" t="str">
        <f>VLOOKUP(D3706,Products!A:C,2,FALSE)</f>
        <v>Behavior Dairy</v>
      </c>
      <c r="K3706" t="str">
        <f>VLOOKUP(D3706,Products!A:C,3,FALSE)</f>
        <v>Groceries</v>
      </c>
      <c r="L3706" t="str">
        <f>VLOOKUP(E3706,Stores!A:B,2,FALSE)</f>
        <v>MegaMart Brianahaven</v>
      </c>
      <c r="M3706">
        <f>VLOOKUP(D3706,Products!A:E,5,FALSE)</f>
        <v>1015.76</v>
      </c>
      <c r="N3706" s="5">
        <f t="shared" si="57"/>
        <v>964.97199999999998</v>
      </c>
    </row>
    <row r="3707" spans="1:14" x14ac:dyDescent="0.3">
      <c r="A3707" t="s">
        <v>4563</v>
      </c>
      <c r="B3707" s="2">
        <v>45198</v>
      </c>
      <c r="C3707" t="s">
        <v>368</v>
      </c>
      <c r="D3707" t="s">
        <v>820</v>
      </c>
      <c r="E3707" t="s">
        <v>846</v>
      </c>
      <c r="F3707">
        <v>1</v>
      </c>
      <c r="G3707">
        <v>0.1</v>
      </c>
      <c r="H3707" t="s">
        <v>858</v>
      </c>
      <c r="I3707" t="str">
        <f>VLOOKUP(C3707,Customers!A:C,2,FALSE)&amp;" "&amp;VLOOKUP(C3707,Customers!A:C,3,FALSE)</f>
        <v>Lisa Vega</v>
      </c>
      <c r="J3707" t="str">
        <f>VLOOKUP(D3707,Products!A:C,2,FALSE)</f>
        <v>Or Smartphone</v>
      </c>
      <c r="K3707" t="str">
        <f>VLOOKUP(D3707,Products!A:C,3,FALSE)</f>
        <v>Electronics</v>
      </c>
      <c r="L3707" t="str">
        <f>VLOOKUP(E3707,Stores!A:B,2,FALSE)</f>
        <v>MegaMart Johnmouth</v>
      </c>
      <c r="M3707">
        <f>VLOOKUP(D3707,Products!A:E,5,FALSE)</f>
        <v>1197.18</v>
      </c>
      <c r="N3707" s="5">
        <f t="shared" si="57"/>
        <v>1077.462</v>
      </c>
    </row>
    <row r="3708" spans="1:14" x14ac:dyDescent="0.3">
      <c r="A3708" t="s">
        <v>4564</v>
      </c>
      <c r="B3708" s="2">
        <v>45330</v>
      </c>
      <c r="C3708" t="s">
        <v>97</v>
      </c>
      <c r="D3708" t="s">
        <v>711</v>
      </c>
      <c r="E3708" t="s">
        <v>831</v>
      </c>
      <c r="F3708">
        <v>2</v>
      </c>
      <c r="G3708">
        <v>0.15</v>
      </c>
      <c r="H3708" t="s">
        <v>855</v>
      </c>
      <c r="I3708" t="str">
        <f>VLOOKUP(C3708,Customers!A:C,2,FALSE)&amp;" "&amp;VLOOKUP(C3708,Customers!A:C,3,FALSE)</f>
        <v>Molly Murray</v>
      </c>
      <c r="J3708" t="str">
        <f>VLOOKUP(D3708,Products!A:C,2,FALSE)</f>
        <v>Like Camera</v>
      </c>
      <c r="K3708" t="str">
        <f>VLOOKUP(D3708,Products!A:C,3,FALSE)</f>
        <v>Electronics</v>
      </c>
      <c r="L3708" t="str">
        <f>VLOOKUP(E3708,Stores!A:B,2,FALSE)</f>
        <v>MegaMart Jimenezborough</v>
      </c>
      <c r="M3708">
        <f>VLOOKUP(D3708,Products!A:E,5,FALSE)</f>
        <v>1673.69</v>
      </c>
      <c r="N3708" s="5">
        <f t="shared" si="57"/>
        <v>2845.2730000000001</v>
      </c>
    </row>
    <row r="3709" spans="1:14" x14ac:dyDescent="0.3">
      <c r="A3709" t="s">
        <v>4565</v>
      </c>
      <c r="B3709" s="2">
        <v>45518</v>
      </c>
      <c r="C3709" t="s">
        <v>167</v>
      </c>
      <c r="D3709" t="s">
        <v>742</v>
      </c>
      <c r="E3709" t="s">
        <v>846</v>
      </c>
      <c r="F3709">
        <v>4</v>
      </c>
      <c r="G3709">
        <v>0.05</v>
      </c>
      <c r="H3709" t="s">
        <v>858</v>
      </c>
      <c r="I3709" t="str">
        <f>VLOOKUP(C3709,Customers!A:C,2,FALSE)&amp;" "&amp;VLOOKUP(C3709,Customers!A:C,3,FALSE)</f>
        <v>Kenneth Allen</v>
      </c>
      <c r="J3709" t="str">
        <f>VLOOKUP(D3709,Products!A:C,2,FALSE)</f>
        <v>Either Headphones</v>
      </c>
      <c r="K3709" t="str">
        <f>VLOOKUP(D3709,Products!A:C,3,FALSE)</f>
        <v>Electronics</v>
      </c>
      <c r="L3709" t="str">
        <f>VLOOKUP(E3709,Stores!A:B,2,FALSE)</f>
        <v>MegaMart Johnmouth</v>
      </c>
      <c r="M3709">
        <f>VLOOKUP(D3709,Products!A:E,5,FALSE)</f>
        <v>248.57</v>
      </c>
      <c r="N3709" s="5">
        <f t="shared" si="57"/>
        <v>944.56599999999992</v>
      </c>
    </row>
    <row r="3710" spans="1:14" x14ac:dyDescent="0.3">
      <c r="A3710" t="s">
        <v>4566</v>
      </c>
      <c r="B3710" s="2">
        <v>45840</v>
      </c>
      <c r="C3710" t="s">
        <v>657</v>
      </c>
      <c r="D3710" t="s">
        <v>814</v>
      </c>
      <c r="E3710" t="s">
        <v>842</v>
      </c>
      <c r="F3710">
        <v>5</v>
      </c>
      <c r="G3710">
        <v>0.15</v>
      </c>
      <c r="H3710" t="s">
        <v>865</v>
      </c>
      <c r="I3710" t="str">
        <f>VLOOKUP(C3710,Customers!A:C,2,FALSE)&amp;" "&amp;VLOOKUP(C3710,Customers!A:C,3,FALSE)</f>
        <v>Vicki Guzman</v>
      </c>
      <c r="J3710" t="str">
        <f>VLOOKUP(D3710,Products!A:C,2,FALSE)</f>
        <v>Least Accessories</v>
      </c>
      <c r="K3710" t="str">
        <f>VLOOKUP(D3710,Products!A:C,3,FALSE)</f>
        <v>Fashion</v>
      </c>
      <c r="L3710" t="str">
        <f>VLOOKUP(E3710,Stores!A:B,2,FALSE)</f>
        <v>MegaMart Brianahaven</v>
      </c>
      <c r="M3710">
        <f>VLOOKUP(D3710,Products!A:E,5,FALSE)</f>
        <v>1286.55</v>
      </c>
      <c r="N3710" s="5">
        <f t="shared" si="57"/>
        <v>5467.8374999999996</v>
      </c>
    </row>
    <row r="3711" spans="1:14" x14ac:dyDescent="0.3">
      <c r="A3711" t="s">
        <v>4567</v>
      </c>
      <c r="B3711" s="2">
        <v>45665</v>
      </c>
      <c r="C3711" t="s">
        <v>262</v>
      </c>
      <c r="D3711" t="s">
        <v>755</v>
      </c>
      <c r="E3711" t="s">
        <v>831</v>
      </c>
      <c r="F3711">
        <v>5</v>
      </c>
      <c r="G3711">
        <v>0.1</v>
      </c>
      <c r="H3711" t="s">
        <v>861</v>
      </c>
      <c r="I3711" t="str">
        <f>VLOOKUP(C3711,Customers!A:C,2,FALSE)&amp;" "&amp;VLOOKUP(C3711,Customers!A:C,3,FALSE)</f>
        <v>Gabriel Daugherty</v>
      </c>
      <c r="J3711" t="str">
        <f>VLOOKUP(D3711,Products!A:C,2,FALSE)</f>
        <v>House Accessories</v>
      </c>
      <c r="K3711" t="str">
        <f>VLOOKUP(D3711,Products!A:C,3,FALSE)</f>
        <v>Fashion</v>
      </c>
      <c r="L3711" t="str">
        <f>VLOOKUP(E3711,Stores!A:B,2,FALSE)</f>
        <v>MegaMart Jimenezborough</v>
      </c>
      <c r="M3711">
        <f>VLOOKUP(D3711,Products!A:E,5,FALSE)</f>
        <v>1858.75</v>
      </c>
      <c r="N3711" s="5">
        <f t="shared" si="57"/>
        <v>8364.375</v>
      </c>
    </row>
    <row r="3712" spans="1:14" x14ac:dyDescent="0.3">
      <c r="A3712" t="s">
        <v>4568</v>
      </c>
      <c r="B3712" s="2">
        <v>45617</v>
      </c>
      <c r="C3712" t="s">
        <v>647</v>
      </c>
      <c r="D3712" t="s">
        <v>782</v>
      </c>
      <c r="E3712" t="s">
        <v>831</v>
      </c>
      <c r="F3712">
        <v>3</v>
      </c>
      <c r="G3712">
        <v>0</v>
      </c>
      <c r="H3712" t="s">
        <v>858</v>
      </c>
      <c r="I3712" t="str">
        <f>VLOOKUP(C3712,Customers!A:C,2,FALSE)&amp;" "&amp;VLOOKUP(C3712,Customers!A:C,3,FALSE)</f>
        <v>Mary Dawson</v>
      </c>
      <c r="J3712" t="str">
        <f>VLOOKUP(D3712,Products!A:C,2,FALSE)</f>
        <v>Deal Smartphone</v>
      </c>
      <c r="K3712" t="str">
        <f>VLOOKUP(D3712,Products!A:C,3,FALSE)</f>
        <v>Electronics</v>
      </c>
      <c r="L3712" t="str">
        <f>VLOOKUP(E3712,Stores!A:B,2,FALSE)</f>
        <v>MegaMart Jimenezborough</v>
      </c>
      <c r="M3712">
        <f>VLOOKUP(D3712,Products!A:E,5,FALSE)</f>
        <v>673.78</v>
      </c>
      <c r="N3712" s="5">
        <f t="shared" si="57"/>
        <v>2021.34</v>
      </c>
    </row>
    <row r="3713" spans="1:14" x14ac:dyDescent="0.3">
      <c r="A3713" t="s">
        <v>4569</v>
      </c>
      <c r="B3713" s="2">
        <v>45549</v>
      </c>
      <c r="C3713" t="s">
        <v>115</v>
      </c>
      <c r="D3713" t="s">
        <v>736</v>
      </c>
      <c r="E3713" t="s">
        <v>839</v>
      </c>
      <c r="F3713">
        <v>4</v>
      </c>
      <c r="G3713">
        <v>0</v>
      </c>
      <c r="H3713" t="s">
        <v>858</v>
      </c>
      <c r="I3713" t="str">
        <f>VLOOKUP(C3713,Customers!A:C,2,FALSE)&amp;" "&amp;VLOOKUP(C3713,Customers!A:C,3,FALSE)</f>
        <v>Tyler Levine</v>
      </c>
      <c r="J3713" t="str">
        <f>VLOOKUP(D3713,Products!A:C,2,FALSE)</f>
        <v>Us Snacks</v>
      </c>
      <c r="K3713" t="str">
        <f>VLOOKUP(D3713,Products!A:C,3,FALSE)</f>
        <v>Groceries</v>
      </c>
      <c r="L3713" t="str">
        <f>VLOOKUP(E3713,Stores!A:B,2,FALSE)</f>
        <v>MegaMart New Michele</v>
      </c>
      <c r="M3713">
        <f>VLOOKUP(D3713,Products!A:E,5,FALSE)</f>
        <v>123.19</v>
      </c>
      <c r="N3713" s="5">
        <f t="shared" si="57"/>
        <v>492.76</v>
      </c>
    </row>
    <row r="3714" spans="1:14" x14ac:dyDescent="0.3">
      <c r="A3714" t="s">
        <v>4570</v>
      </c>
      <c r="B3714" s="2">
        <v>45622</v>
      </c>
      <c r="C3714" t="s">
        <v>516</v>
      </c>
      <c r="D3714" t="s">
        <v>790</v>
      </c>
      <c r="E3714" t="s">
        <v>835</v>
      </c>
      <c r="F3714">
        <v>2</v>
      </c>
      <c r="G3714">
        <v>0.15</v>
      </c>
      <c r="H3714" t="s">
        <v>855</v>
      </c>
      <c r="I3714" t="str">
        <f>VLOOKUP(C3714,Customers!A:C,2,FALSE)&amp;" "&amp;VLOOKUP(C3714,Customers!A:C,3,FALSE)</f>
        <v>Suzanne Fox</v>
      </c>
      <c r="J3714" t="str">
        <f>VLOOKUP(D3714,Products!A:C,2,FALSE)</f>
        <v>Difficult Vegetables</v>
      </c>
      <c r="K3714" t="str">
        <f>VLOOKUP(D3714,Products!A:C,3,FALSE)</f>
        <v>Groceries</v>
      </c>
      <c r="L3714" t="str">
        <f>VLOOKUP(E3714,Stores!A:B,2,FALSE)</f>
        <v>MegaMart Peckmouth</v>
      </c>
      <c r="M3714">
        <f>VLOOKUP(D3714,Products!A:E,5,FALSE)</f>
        <v>304.70999999999998</v>
      </c>
      <c r="N3714" s="5">
        <f t="shared" si="57"/>
        <v>518.00699999999995</v>
      </c>
    </row>
    <row r="3715" spans="1:14" x14ac:dyDescent="0.3">
      <c r="A3715" t="s">
        <v>4571</v>
      </c>
      <c r="B3715" s="2">
        <v>45843</v>
      </c>
      <c r="C3715" t="s">
        <v>615</v>
      </c>
      <c r="D3715" t="s">
        <v>818</v>
      </c>
      <c r="E3715" t="s">
        <v>846</v>
      </c>
      <c r="F3715">
        <v>5</v>
      </c>
      <c r="G3715">
        <v>0.05</v>
      </c>
      <c r="H3715" t="s">
        <v>855</v>
      </c>
      <c r="I3715" t="str">
        <f>VLOOKUP(C3715,Customers!A:C,2,FALSE)&amp;" "&amp;VLOOKUP(C3715,Customers!A:C,3,FALSE)</f>
        <v>Lisa Ruiz</v>
      </c>
      <c r="J3715" t="str">
        <f>VLOOKUP(D3715,Products!A:C,2,FALSE)</f>
        <v>Nature Clothing</v>
      </c>
      <c r="K3715" t="str">
        <f>VLOOKUP(D3715,Products!A:C,3,FALSE)</f>
        <v>Fashion</v>
      </c>
      <c r="L3715" t="str">
        <f>VLOOKUP(E3715,Stores!A:B,2,FALSE)</f>
        <v>MegaMart Johnmouth</v>
      </c>
      <c r="M3715">
        <f>VLOOKUP(D3715,Products!A:E,5,FALSE)</f>
        <v>1165.3699999999999</v>
      </c>
      <c r="N3715" s="5">
        <f t="shared" ref="N3715:N3778" si="58">F3715*M3715*(1-G3715)</f>
        <v>5535.5074999999988</v>
      </c>
    </row>
    <row r="3716" spans="1:14" x14ac:dyDescent="0.3">
      <c r="A3716" t="s">
        <v>4572</v>
      </c>
      <c r="B3716" s="2">
        <v>45824</v>
      </c>
      <c r="C3716" t="s">
        <v>657</v>
      </c>
      <c r="D3716" t="s">
        <v>820</v>
      </c>
      <c r="E3716" t="s">
        <v>842</v>
      </c>
      <c r="F3716">
        <v>3</v>
      </c>
      <c r="G3716">
        <v>0</v>
      </c>
      <c r="H3716" t="s">
        <v>858</v>
      </c>
      <c r="I3716" t="str">
        <f>VLOOKUP(C3716,Customers!A:C,2,FALSE)&amp;" "&amp;VLOOKUP(C3716,Customers!A:C,3,FALSE)</f>
        <v>Vicki Guzman</v>
      </c>
      <c r="J3716" t="str">
        <f>VLOOKUP(D3716,Products!A:C,2,FALSE)</f>
        <v>Or Smartphone</v>
      </c>
      <c r="K3716" t="str">
        <f>VLOOKUP(D3716,Products!A:C,3,FALSE)</f>
        <v>Electronics</v>
      </c>
      <c r="L3716" t="str">
        <f>VLOOKUP(E3716,Stores!A:B,2,FALSE)</f>
        <v>MegaMart Brianahaven</v>
      </c>
      <c r="M3716">
        <f>VLOOKUP(D3716,Products!A:E,5,FALSE)</f>
        <v>1197.18</v>
      </c>
      <c r="N3716" s="5">
        <f t="shared" si="58"/>
        <v>3591.54</v>
      </c>
    </row>
    <row r="3717" spans="1:14" x14ac:dyDescent="0.3">
      <c r="A3717" t="s">
        <v>4573</v>
      </c>
      <c r="B3717" s="2">
        <v>45291</v>
      </c>
      <c r="C3717" t="s">
        <v>539</v>
      </c>
      <c r="D3717" t="s">
        <v>745</v>
      </c>
      <c r="E3717" t="s">
        <v>842</v>
      </c>
      <c r="F3717">
        <v>2</v>
      </c>
      <c r="G3717">
        <v>0.1</v>
      </c>
      <c r="H3717" t="s">
        <v>865</v>
      </c>
      <c r="I3717" t="str">
        <f>VLOOKUP(C3717,Customers!A:C,2,FALSE)&amp;" "&amp;VLOOKUP(C3717,Customers!A:C,3,FALSE)</f>
        <v>Melissa Torres</v>
      </c>
      <c r="J3717" t="str">
        <f>VLOOKUP(D3717,Products!A:C,2,FALSE)</f>
        <v>Above Camera</v>
      </c>
      <c r="K3717" t="str">
        <f>VLOOKUP(D3717,Products!A:C,3,FALSE)</f>
        <v>Electronics</v>
      </c>
      <c r="L3717" t="str">
        <f>VLOOKUP(E3717,Stores!A:B,2,FALSE)</f>
        <v>MegaMart Brianahaven</v>
      </c>
      <c r="M3717">
        <f>VLOOKUP(D3717,Products!A:E,5,FALSE)</f>
        <v>1193.0899999999999</v>
      </c>
      <c r="N3717" s="5">
        <f t="shared" si="58"/>
        <v>2147.5619999999999</v>
      </c>
    </row>
    <row r="3718" spans="1:14" x14ac:dyDescent="0.3">
      <c r="A3718" t="s">
        <v>4574</v>
      </c>
      <c r="B3718" s="2">
        <v>45196</v>
      </c>
      <c r="C3718" t="s">
        <v>556</v>
      </c>
      <c r="D3718" t="s">
        <v>759</v>
      </c>
      <c r="E3718" t="s">
        <v>842</v>
      </c>
      <c r="F3718">
        <v>3</v>
      </c>
      <c r="G3718">
        <v>0.15</v>
      </c>
      <c r="H3718" t="s">
        <v>858</v>
      </c>
      <c r="I3718" t="str">
        <f>VLOOKUP(C3718,Customers!A:C,2,FALSE)&amp;" "&amp;VLOOKUP(C3718,Customers!A:C,3,FALSE)</f>
        <v>Jill Mcconnell</v>
      </c>
      <c r="J3718" t="str">
        <f>VLOOKUP(D3718,Products!A:C,2,FALSE)</f>
        <v>Democratic Smartphone</v>
      </c>
      <c r="K3718" t="str">
        <f>VLOOKUP(D3718,Products!A:C,3,FALSE)</f>
        <v>Electronics</v>
      </c>
      <c r="L3718" t="str">
        <f>VLOOKUP(E3718,Stores!A:B,2,FALSE)</f>
        <v>MegaMart Brianahaven</v>
      </c>
      <c r="M3718">
        <f>VLOOKUP(D3718,Products!A:E,5,FALSE)</f>
        <v>1079.8900000000001</v>
      </c>
      <c r="N3718" s="5">
        <f t="shared" si="58"/>
        <v>2753.7195000000002</v>
      </c>
    </row>
    <row r="3719" spans="1:14" x14ac:dyDescent="0.3">
      <c r="A3719" t="s">
        <v>4575</v>
      </c>
      <c r="B3719" s="2">
        <v>45675</v>
      </c>
      <c r="C3719" t="s">
        <v>509</v>
      </c>
      <c r="D3719" t="s">
        <v>778</v>
      </c>
      <c r="E3719" t="s">
        <v>835</v>
      </c>
      <c r="F3719">
        <v>3</v>
      </c>
      <c r="G3719">
        <v>0.15</v>
      </c>
      <c r="H3719" t="s">
        <v>865</v>
      </c>
      <c r="I3719" t="str">
        <f>VLOOKUP(C3719,Customers!A:C,2,FALSE)&amp;" "&amp;VLOOKUP(C3719,Customers!A:C,3,FALSE)</f>
        <v>Stacy Williams</v>
      </c>
      <c r="J3719" t="str">
        <f>VLOOKUP(D3719,Products!A:C,2,FALSE)</f>
        <v>Behavior Dairy</v>
      </c>
      <c r="K3719" t="str">
        <f>VLOOKUP(D3719,Products!A:C,3,FALSE)</f>
        <v>Groceries</v>
      </c>
      <c r="L3719" t="str">
        <f>VLOOKUP(E3719,Stores!A:B,2,FALSE)</f>
        <v>MegaMart Peckmouth</v>
      </c>
      <c r="M3719">
        <f>VLOOKUP(D3719,Products!A:E,5,FALSE)</f>
        <v>1015.76</v>
      </c>
      <c r="N3719" s="5">
        <f t="shared" si="58"/>
        <v>2590.1879999999996</v>
      </c>
    </row>
    <row r="3720" spans="1:14" x14ac:dyDescent="0.3">
      <c r="A3720" t="s">
        <v>4576</v>
      </c>
      <c r="B3720" s="2">
        <v>45826</v>
      </c>
      <c r="C3720" t="s">
        <v>262</v>
      </c>
      <c r="D3720" t="s">
        <v>786</v>
      </c>
      <c r="E3720" t="s">
        <v>842</v>
      </c>
      <c r="F3720">
        <v>5</v>
      </c>
      <c r="G3720">
        <v>0.1</v>
      </c>
      <c r="H3720" t="s">
        <v>861</v>
      </c>
      <c r="I3720" t="str">
        <f>VLOOKUP(C3720,Customers!A:C,2,FALSE)&amp;" "&amp;VLOOKUP(C3720,Customers!A:C,3,FALSE)</f>
        <v>Gabriel Daugherty</v>
      </c>
      <c r="J3720" t="str">
        <f>VLOOKUP(D3720,Products!A:C,2,FALSE)</f>
        <v>National Watches</v>
      </c>
      <c r="K3720" t="str">
        <f>VLOOKUP(D3720,Products!A:C,3,FALSE)</f>
        <v>Fashion</v>
      </c>
      <c r="L3720" t="str">
        <f>VLOOKUP(E3720,Stores!A:B,2,FALSE)</f>
        <v>MegaMart Brianahaven</v>
      </c>
      <c r="M3720">
        <f>VLOOKUP(D3720,Products!A:E,5,FALSE)</f>
        <v>29.24</v>
      </c>
      <c r="N3720" s="5">
        <f t="shared" si="58"/>
        <v>131.57999999999998</v>
      </c>
    </row>
    <row r="3721" spans="1:14" x14ac:dyDescent="0.3">
      <c r="A3721" t="s">
        <v>4577</v>
      </c>
      <c r="B3721" s="2">
        <v>45734</v>
      </c>
      <c r="C3721" t="s">
        <v>71</v>
      </c>
      <c r="D3721" t="s">
        <v>800</v>
      </c>
      <c r="E3721" t="s">
        <v>842</v>
      </c>
      <c r="F3721">
        <v>1</v>
      </c>
      <c r="G3721">
        <v>0.05</v>
      </c>
      <c r="H3721" t="s">
        <v>855</v>
      </c>
      <c r="I3721" t="str">
        <f>VLOOKUP(C3721,Customers!A:C,2,FALSE)&amp;" "&amp;VLOOKUP(C3721,Customers!A:C,3,FALSE)</f>
        <v>Vanessa Anderson</v>
      </c>
      <c r="J3721" t="str">
        <f>VLOOKUP(D3721,Products!A:C,2,FALSE)</f>
        <v>Book Television</v>
      </c>
      <c r="K3721" t="str">
        <f>VLOOKUP(D3721,Products!A:C,3,FALSE)</f>
        <v>Electronics</v>
      </c>
      <c r="L3721" t="str">
        <f>VLOOKUP(E3721,Stores!A:B,2,FALSE)</f>
        <v>MegaMart Brianahaven</v>
      </c>
      <c r="M3721">
        <f>VLOOKUP(D3721,Products!A:E,5,FALSE)</f>
        <v>1952.65</v>
      </c>
      <c r="N3721" s="5">
        <f t="shared" si="58"/>
        <v>1855.0174999999999</v>
      </c>
    </row>
    <row r="3722" spans="1:14" x14ac:dyDescent="0.3">
      <c r="A3722" t="s">
        <v>4578</v>
      </c>
      <c r="B3722" s="2">
        <v>45732</v>
      </c>
      <c r="C3722" t="s">
        <v>109</v>
      </c>
      <c r="D3722" t="s">
        <v>718</v>
      </c>
      <c r="E3722" t="s">
        <v>842</v>
      </c>
      <c r="F3722">
        <v>2</v>
      </c>
      <c r="G3722">
        <v>0.05</v>
      </c>
      <c r="H3722" t="s">
        <v>855</v>
      </c>
      <c r="I3722" t="str">
        <f>VLOOKUP(C3722,Customers!A:C,2,FALSE)&amp;" "&amp;VLOOKUP(C3722,Customers!A:C,3,FALSE)</f>
        <v>Jacqueline Martin</v>
      </c>
      <c r="J3722" t="str">
        <f>VLOOKUP(D3722,Products!A:C,2,FALSE)</f>
        <v>Here Footwear</v>
      </c>
      <c r="K3722" t="str">
        <f>VLOOKUP(D3722,Products!A:C,3,FALSE)</f>
        <v>Fashion</v>
      </c>
      <c r="L3722" t="str">
        <f>VLOOKUP(E3722,Stores!A:B,2,FALSE)</f>
        <v>MegaMart Brianahaven</v>
      </c>
      <c r="M3722">
        <f>VLOOKUP(D3722,Products!A:E,5,FALSE)</f>
        <v>337.63</v>
      </c>
      <c r="N3722" s="5">
        <f t="shared" si="58"/>
        <v>641.49699999999996</v>
      </c>
    </row>
    <row r="3723" spans="1:14" x14ac:dyDescent="0.3">
      <c r="A3723" t="s">
        <v>4579</v>
      </c>
      <c r="B3723" s="2">
        <v>45534</v>
      </c>
      <c r="C3723" t="s">
        <v>539</v>
      </c>
      <c r="D3723" t="s">
        <v>734</v>
      </c>
      <c r="E3723" t="s">
        <v>835</v>
      </c>
      <c r="F3723">
        <v>4</v>
      </c>
      <c r="G3723">
        <v>0.1</v>
      </c>
      <c r="H3723" t="s">
        <v>861</v>
      </c>
      <c r="I3723" t="str">
        <f>VLOOKUP(C3723,Customers!A:C,2,FALSE)&amp;" "&amp;VLOOKUP(C3723,Customers!A:C,3,FALSE)</f>
        <v>Melissa Torres</v>
      </c>
      <c r="J3723" t="str">
        <f>VLOOKUP(D3723,Products!A:C,2,FALSE)</f>
        <v>Recognize Footwear</v>
      </c>
      <c r="K3723" t="str">
        <f>VLOOKUP(D3723,Products!A:C,3,FALSE)</f>
        <v>Fashion</v>
      </c>
      <c r="L3723" t="str">
        <f>VLOOKUP(E3723,Stores!A:B,2,FALSE)</f>
        <v>MegaMart Peckmouth</v>
      </c>
      <c r="M3723">
        <f>VLOOKUP(D3723,Products!A:E,5,FALSE)</f>
        <v>109.78</v>
      </c>
      <c r="N3723" s="5">
        <f t="shared" si="58"/>
        <v>395.20800000000003</v>
      </c>
    </row>
    <row r="3724" spans="1:14" x14ac:dyDescent="0.3">
      <c r="A3724" t="s">
        <v>4580</v>
      </c>
      <c r="B3724" s="2">
        <v>45902</v>
      </c>
      <c r="C3724" t="s">
        <v>7</v>
      </c>
      <c r="D3724" t="s">
        <v>750</v>
      </c>
      <c r="E3724" t="s">
        <v>846</v>
      </c>
      <c r="F3724">
        <v>5</v>
      </c>
      <c r="G3724">
        <v>0.05</v>
      </c>
      <c r="H3724" t="s">
        <v>855</v>
      </c>
      <c r="I3724" t="str">
        <f>VLOOKUP(C3724,Customers!A:C,2,FALSE)&amp;" "&amp;VLOOKUP(C3724,Customers!A:C,3,FALSE)</f>
        <v>Michael Davis</v>
      </c>
      <c r="J3724" t="str">
        <f>VLOOKUP(D3724,Products!A:C,2,FALSE)</f>
        <v>Add Clothing</v>
      </c>
      <c r="K3724" t="str">
        <f>VLOOKUP(D3724,Products!A:C,3,FALSE)</f>
        <v>Fashion</v>
      </c>
      <c r="L3724" t="str">
        <f>VLOOKUP(E3724,Stores!A:B,2,FALSE)</f>
        <v>MegaMart Johnmouth</v>
      </c>
      <c r="M3724">
        <f>VLOOKUP(D3724,Products!A:E,5,FALSE)</f>
        <v>1342.75</v>
      </c>
      <c r="N3724" s="5">
        <f t="shared" si="58"/>
        <v>6378.0625</v>
      </c>
    </row>
    <row r="3725" spans="1:14" x14ac:dyDescent="0.3">
      <c r="A3725" t="s">
        <v>4581</v>
      </c>
      <c r="B3725" s="2">
        <v>45856</v>
      </c>
      <c r="C3725" t="s">
        <v>500</v>
      </c>
      <c r="D3725" t="s">
        <v>816</v>
      </c>
      <c r="E3725" t="s">
        <v>842</v>
      </c>
      <c r="F3725">
        <v>5</v>
      </c>
      <c r="G3725">
        <v>0.05</v>
      </c>
      <c r="H3725" t="s">
        <v>865</v>
      </c>
      <c r="I3725" t="str">
        <f>VLOOKUP(C3725,Customers!A:C,2,FALSE)&amp;" "&amp;VLOOKUP(C3725,Customers!A:C,3,FALSE)</f>
        <v>Gary Lopez</v>
      </c>
      <c r="J3725" t="str">
        <f>VLOOKUP(D3725,Products!A:C,2,FALSE)</f>
        <v>Set Dairy</v>
      </c>
      <c r="K3725" t="str">
        <f>VLOOKUP(D3725,Products!A:C,3,FALSE)</f>
        <v>Groceries</v>
      </c>
      <c r="L3725" t="str">
        <f>VLOOKUP(E3725,Stores!A:B,2,FALSE)</f>
        <v>MegaMart Brianahaven</v>
      </c>
      <c r="M3725">
        <f>VLOOKUP(D3725,Products!A:E,5,FALSE)</f>
        <v>1879.08</v>
      </c>
      <c r="N3725" s="5">
        <f t="shared" si="58"/>
        <v>8925.6299999999992</v>
      </c>
    </row>
    <row r="3726" spans="1:14" x14ac:dyDescent="0.3">
      <c r="A3726" t="s">
        <v>4582</v>
      </c>
      <c r="B3726" s="2">
        <v>45343</v>
      </c>
      <c r="C3726" t="s">
        <v>419</v>
      </c>
      <c r="D3726" t="s">
        <v>820</v>
      </c>
      <c r="E3726" t="s">
        <v>835</v>
      </c>
      <c r="F3726">
        <v>3</v>
      </c>
      <c r="G3726">
        <v>0.15</v>
      </c>
      <c r="H3726" t="s">
        <v>858</v>
      </c>
      <c r="I3726" t="str">
        <f>VLOOKUP(C3726,Customers!A:C,2,FALSE)&amp;" "&amp;VLOOKUP(C3726,Customers!A:C,3,FALSE)</f>
        <v>Jeffrey Smith</v>
      </c>
      <c r="J3726" t="str">
        <f>VLOOKUP(D3726,Products!A:C,2,FALSE)</f>
        <v>Or Smartphone</v>
      </c>
      <c r="K3726" t="str">
        <f>VLOOKUP(D3726,Products!A:C,3,FALSE)</f>
        <v>Electronics</v>
      </c>
      <c r="L3726" t="str">
        <f>VLOOKUP(E3726,Stores!A:B,2,FALSE)</f>
        <v>MegaMart Peckmouth</v>
      </c>
      <c r="M3726">
        <f>VLOOKUP(D3726,Products!A:E,5,FALSE)</f>
        <v>1197.18</v>
      </c>
      <c r="N3726" s="5">
        <f t="shared" si="58"/>
        <v>3052.8089999999997</v>
      </c>
    </row>
    <row r="3727" spans="1:14" x14ac:dyDescent="0.3">
      <c r="A3727" t="s">
        <v>4583</v>
      </c>
      <c r="B3727" s="2">
        <v>45599</v>
      </c>
      <c r="C3727" t="s">
        <v>151</v>
      </c>
      <c r="D3727" t="s">
        <v>742</v>
      </c>
      <c r="E3727" t="s">
        <v>846</v>
      </c>
      <c r="F3727">
        <v>4</v>
      </c>
      <c r="G3727">
        <v>0</v>
      </c>
      <c r="H3727" t="s">
        <v>858</v>
      </c>
      <c r="I3727" t="str">
        <f>VLOOKUP(C3727,Customers!A:C,2,FALSE)&amp;" "&amp;VLOOKUP(C3727,Customers!A:C,3,FALSE)</f>
        <v>Nancy Savage</v>
      </c>
      <c r="J3727" t="str">
        <f>VLOOKUP(D3727,Products!A:C,2,FALSE)</f>
        <v>Either Headphones</v>
      </c>
      <c r="K3727" t="str">
        <f>VLOOKUP(D3727,Products!A:C,3,FALSE)</f>
        <v>Electronics</v>
      </c>
      <c r="L3727" t="str">
        <f>VLOOKUP(E3727,Stores!A:B,2,FALSE)</f>
        <v>MegaMart Johnmouth</v>
      </c>
      <c r="M3727">
        <f>VLOOKUP(D3727,Products!A:E,5,FALSE)</f>
        <v>248.57</v>
      </c>
      <c r="N3727" s="5">
        <f t="shared" si="58"/>
        <v>994.28</v>
      </c>
    </row>
    <row r="3728" spans="1:14" x14ac:dyDescent="0.3">
      <c r="A3728" t="s">
        <v>4584</v>
      </c>
      <c r="B3728" s="2">
        <v>45581</v>
      </c>
      <c r="C3728" t="s">
        <v>28</v>
      </c>
      <c r="D3728" t="s">
        <v>739</v>
      </c>
      <c r="E3728" t="s">
        <v>846</v>
      </c>
      <c r="F3728">
        <v>1</v>
      </c>
      <c r="G3728">
        <v>0</v>
      </c>
      <c r="H3728" t="s">
        <v>855</v>
      </c>
      <c r="I3728" t="str">
        <f>VLOOKUP(C3728,Customers!A:C,2,FALSE)&amp;" "&amp;VLOOKUP(C3728,Customers!A:C,3,FALSE)</f>
        <v>Danny Moore</v>
      </c>
      <c r="J3728" t="str">
        <f>VLOOKUP(D3728,Products!A:C,2,FALSE)</f>
        <v>Step Smartphone</v>
      </c>
      <c r="K3728" t="str">
        <f>VLOOKUP(D3728,Products!A:C,3,FALSE)</f>
        <v>Electronics</v>
      </c>
      <c r="L3728" t="str">
        <f>VLOOKUP(E3728,Stores!A:B,2,FALSE)</f>
        <v>MegaMart Johnmouth</v>
      </c>
      <c r="M3728">
        <f>VLOOKUP(D3728,Products!A:E,5,FALSE)</f>
        <v>1194.1199999999999</v>
      </c>
      <c r="N3728" s="5">
        <f t="shared" si="58"/>
        <v>1194.1199999999999</v>
      </c>
    </row>
    <row r="3729" spans="1:14" x14ac:dyDescent="0.3">
      <c r="A3729" t="s">
        <v>4585</v>
      </c>
      <c r="B3729" s="2">
        <v>45698</v>
      </c>
      <c r="C3729" t="s">
        <v>77</v>
      </c>
      <c r="D3729" t="s">
        <v>814</v>
      </c>
      <c r="E3729" t="s">
        <v>835</v>
      </c>
      <c r="F3729">
        <v>1</v>
      </c>
      <c r="G3729">
        <v>0.05</v>
      </c>
      <c r="H3729" t="s">
        <v>855</v>
      </c>
      <c r="I3729" t="str">
        <f>VLOOKUP(C3729,Customers!A:C,2,FALSE)&amp;" "&amp;VLOOKUP(C3729,Customers!A:C,3,FALSE)</f>
        <v>John Smith</v>
      </c>
      <c r="J3729" t="str">
        <f>VLOOKUP(D3729,Products!A:C,2,FALSE)</f>
        <v>Least Accessories</v>
      </c>
      <c r="K3729" t="str">
        <f>VLOOKUP(D3729,Products!A:C,3,FALSE)</f>
        <v>Fashion</v>
      </c>
      <c r="L3729" t="str">
        <f>VLOOKUP(E3729,Stores!A:B,2,FALSE)</f>
        <v>MegaMart Peckmouth</v>
      </c>
      <c r="M3729">
        <f>VLOOKUP(D3729,Products!A:E,5,FALSE)</f>
        <v>1286.55</v>
      </c>
      <c r="N3729" s="5">
        <f t="shared" si="58"/>
        <v>1222.2224999999999</v>
      </c>
    </row>
    <row r="3730" spans="1:14" x14ac:dyDescent="0.3">
      <c r="A3730" t="s">
        <v>4586</v>
      </c>
      <c r="B3730" s="2">
        <v>45440</v>
      </c>
      <c r="C3730" t="s">
        <v>604</v>
      </c>
      <c r="D3730" t="s">
        <v>800</v>
      </c>
      <c r="E3730" t="s">
        <v>846</v>
      </c>
      <c r="F3730">
        <v>2</v>
      </c>
      <c r="G3730">
        <v>0.05</v>
      </c>
      <c r="H3730" t="s">
        <v>858</v>
      </c>
      <c r="I3730" t="str">
        <f>VLOOKUP(C3730,Customers!A:C,2,FALSE)&amp;" "&amp;VLOOKUP(C3730,Customers!A:C,3,FALSE)</f>
        <v>Amber Graham</v>
      </c>
      <c r="J3730" t="str">
        <f>VLOOKUP(D3730,Products!A:C,2,FALSE)</f>
        <v>Book Television</v>
      </c>
      <c r="K3730" t="str">
        <f>VLOOKUP(D3730,Products!A:C,3,FALSE)</f>
        <v>Electronics</v>
      </c>
      <c r="L3730" t="str">
        <f>VLOOKUP(E3730,Stores!A:B,2,FALSE)</f>
        <v>MegaMart Johnmouth</v>
      </c>
      <c r="M3730">
        <f>VLOOKUP(D3730,Products!A:E,5,FALSE)</f>
        <v>1952.65</v>
      </c>
      <c r="N3730" s="5">
        <f t="shared" si="58"/>
        <v>3710.0349999999999</v>
      </c>
    </row>
    <row r="3731" spans="1:14" x14ac:dyDescent="0.3">
      <c r="A3731" t="s">
        <v>4587</v>
      </c>
      <c r="B3731" s="2">
        <v>45831</v>
      </c>
      <c r="C3731" t="s">
        <v>112</v>
      </c>
      <c r="D3731" t="s">
        <v>806</v>
      </c>
      <c r="E3731" t="s">
        <v>835</v>
      </c>
      <c r="F3731">
        <v>2</v>
      </c>
      <c r="G3731">
        <v>0.15</v>
      </c>
      <c r="H3731" t="s">
        <v>858</v>
      </c>
      <c r="I3731" t="str">
        <f>VLOOKUP(C3731,Customers!A:C,2,FALSE)&amp;" "&amp;VLOOKUP(C3731,Customers!A:C,3,FALSE)</f>
        <v>John Carr</v>
      </c>
      <c r="J3731" t="str">
        <f>VLOOKUP(D3731,Products!A:C,2,FALSE)</f>
        <v>Piece Headphones</v>
      </c>
      <c r="K3731" t="str">
        <f>VLOOKUP(D3731,Products!A:C,3,FALSE)</f>
        <v>Electronics</v>
      </c>
      <c r="L3731" t="str">
        <f>VLOOKUP(E3731,Stores!A:B,2,FALSE)</f>
        <v>MegaMart Peckmouth</v>
      </c>
      <c r="M3731">
        <f>VLOOKUP(D3731,Products!A:E,5,FALSE)</f>
        <v>1745.61</v>
      </c>
      <c r="N3731" s="5">
        <f t="shared" si="58"/>
        <v>2967.5369999999998</v>
      </c>
    </row>
    <row r="3732" spans="1:14" x14ac:dyDescent="0.3">
      <c r="A3732" t="s">
        <v>4588</v>
      </c>
      <c r="B3732" s="2">
        <v>45602</v>
      </c>
      <c r="C3732" t="s">
        <v>7</v>
      </c>
      <c r="D3732" t="s">
        <v>739</v>
      </c>
      <c r="E3732" t="s">
        <v>839</v>
      </c>
      <c r="F3732">
        <v>2</v>
      </c>
      <c r="G3732">
        <v>0.05</v>
      </c>
      <c r="H3732" t="s">
        <v>865</v>
      </c>
      <c r="I3732" t="str">
        <f>VLOOKUP(C3732,Customers!A:C,2,FALSE)&amp;" "&amp;VLOOKUP(C3732,Customers!A:C,3,FALSE)</f>
        <v>Michael Davis</v>
      </c>
      <c r="J3732" t="str">
        <f>VLOOKUP(D3732,Products!A:C,2,FALSE)</f>
        <v>Step Smartphone</v>
      </c>
      <c r="K3732" t="str">
        <f>VLOOKUP(D3732,Products!A:C,3,FALSE)</f>
        <v>Electronics</v>
      </c>
      <c r="L3732" t="str">
        <f>VLOOKUP(E3732,Stores!A:B,2,FALSE)</f>
        <v>MegaMart New Michele</v>
      </c>
      <c r="M3732">
        <f>VLOOKUP(D3732,Products!A:E,5,FALSE)</f>
        <v>1194.1199999999999</v>
      </c>
      <c r="N3732" s="5">
        <f t="shared" si="58"/>
        <v>2268.8279999999995</v>
      </c>
    </row>
    <row r="3733" spans="1:14" x14ac:dyDescent="0.3">
      <c r="A3733" t="s">
        <v>4589</v>
      </c>
      <c r="B3733" s="2">
        <v>45697</v>
      </c>
      <c r="C3733" t="s">
        <v>250</v>
      </c>
      <c r="D3733" t="s">
        <v>794</v>
      </c>
      <c r="E3733" t="s">
        <v>839</v>
      </c>
      <c r="F3733">
        <v>5</v>
      </c>
      <c r="G3733">
        <v>0</v>
      </c>
      <c r="H3733" t="s">
        <v>858</v>
      </c>
      <c r="I3733" t="str">
        <f>VLOOKUP(C3733,Customers!A:C,2,FALSE)&amp;" "&amp;VLOOKUP(C3733,Customers!A:C,3,FALSE)</f>
        <v>Jason Jenkins</v>
      </c>
      <c r="J3733" t="str">
        <f>VLOOKUP(D3733,Products!A:C,2,FALSE)</f>
        <v>Everything Laptop</v>
      </c>
      <c r="K3733" t="str">
        <f>VLOOKUP(D3733,Products!A:C,3,FALSE)</f>
        <v>Electronics</v>
      </c>
      <c r="L3733" t="str">
        <f>VLOOKUP(E3733,Stores!A:B,2,FALSE)</f>
        <v>MegaMart New Michele</v>
      </c>
      <c r="M3733">
        <f>VLOOKUP(D3733,Products!A:E,5,FALSE)</f>
        <v>428.05</v>
      </c>
      <c r="N3733" s="5">
        <f t="shared" si="58"/>
        <v>2140.25</v>
      </c>
    </row>
    <row r="3734" spans="1:14" x14ac:dyDescent="0.3">
      <c r="A3734" t="s">
        <v>4590</v>
      </c>
      <c r="B3734" s="2">
        <v>45871</v>
      </c>
      <c r="C3734" t="s">
        <v>324</v>
      </c>
      <c r="D3734" t="s">
        <v>820</v>
      </c>
      <c r="E3734" t="s">
        <v>831</v>
      </c>
      <c r="F3734">
        <v>2</v>
      </c>
      <c r="G3734">
        <v>0.1</v>
      </c>
      <c r="H3734" t="s">
        <v>855</v>
      </c>
      <c r="I3734" t="str">
        <f>VLOOKUP(C3734,Customers!A:C,2,FALSE)&amp;" "&amp;VLOOKUP(C3734,Customers!A:C,3,FALSE)</f>
        <v>Lawrence Hunter</v>
      </c>
      <c r="J3734" t="str">
        <f>VLOOKUP(D3734,Products!A:C,2,FALSE)</f>
        <v>Or Smartphone</v>
      </c>
      <c r="K3734" t="str">
        <f>VLOOKUP(D3734,Products!A:C,3,FALSE)</f>
        <v>Electronics</v>
      </c>
      <c r="L3734" t="str">
        <f>VLOOKUP(E3734,Stores!A:B,2,FALSE)</f>
        <v>MegaMart Jimenezborough</v>
      </c>
      <c r="M3734">
        <f>VLOOKUP(D3734,Products!A:E,5,FALSE)</f>
        <v>1197.18</v>
      </c>
      <c r="N3734" s="5">
        <f t="shared" si="58"/>
        <v>2154.924</v>
      </c>
    </row>
    <row r="3735" spans="1:14" x14ac:dyDescent="0.3">
      <c r="A3735" t="s">
        <v>4591</v>
      </c>
      <c r="B3735" s="2">
        <v>45909</v>
      </c>
      <c r="C3735" t="s">
        <v>680</v>
      </c>
      <c r="D3735" t="s">
        <v>782</v>
      </c>
      <c r="E3735" t="s">
        <v>839</v>
      </c>
      <c r="F3735">
        <v>4</v>
      </c>
      <c r="G3735">
        <v>0.05</v>
      </c>
      <c r="H3735" t="s">
        <v>855</v>
      </c>
      <c r="I3735" t="str">
        <f>VLOOKUP(C3735,Customers!A:C,2,FALSE)&amp;" "&amp;VLOOKUP(C3735,Customers!A:C,3,FALSE)</f>
        <v>Donald Meza</v>
      </c>
      <c r="J3735" t="str">
        <f>VLOOKUP(D3735,Products!A:C,2,FALSE)</f>
        <v>Deal Smartphone</v>
      </c>
      <c r="K3735" t="str">
        <f>VLOOKUP(D3735,Products!A:C,3,FALSE)</f>
        <v>Electronics</v>
      </c>
      <c r="L3735" t="str">
        <f>VLOOKUP(E3735,Stores!A:B,2,FALSE)</f>
        <v>MegaMart New Michele</v>
      </c>
      <c r="M3735">
        <f>VLOOKUP(D3735,Products!A:E,5,FALSE)</f>
        <v>673.78</v>
      </c>
      <c r="N3735" s="5">
        <f t="shared" si="58"/>
        <v>2560.3639999999996</v>
      </c>
    </row>
    <row r="3736" spans="1:14" x14ac:dyDescent="0.3">
      <c r="A3736" t="s">
        <v>4592</v>
      </c>
      <c r="B3736" s="2">
        <v>45270</v>
      </c>
      <c r="C3736" t="s">
        <v>127</v>
      </c>
      <c r="D3736" t="s">
        <v>725</v>
      </c>
      <c r="E3736" t="s">
        <v>846</v>
      </c>
      <c r="F3736">
        <v>1</v>
      </c>
      <c r="G3736">
        <v>0.15</v>
      </c>
      <c r="H3736" t="s">
        <v>855</v>
      </c>
      <c r="I3736" t="str">
        <f>VLOOKUP(C3736,Customers!A:C,2,FALSE)&amp;" "&amp;VLOOKUP(C3736,Customers!A:C,3,FALSE)</f>
        <v>Valerie Macdonald</v>
      </c>
      <c r="J3736" t="str">
        <f>VLOOKUP(D3736,Products!A:C,2,FALSE)</f>
        <v>Knowledge Bags</v>
      </c>
      <c r="K3736" t="str">
        <f>VLOOKUP(D3736,Products!A:C,3,FALSE)</f>
        <v>Fashion</v>
      </c>
      <c r="L3736" t="str">
        <f>VLOOKUP(E3736,Stores!A:B,2,FALSE)</f>
        <v>MegaMart Johnmouth</v>
      </c>
      <c r="M3736">
        <f>VLOOKUP(D3736,Products!A:E,5,FALSE)</f>
        <v>1396.22</v>
      </c>
      <c r="N3736" s="5">
        <f t="shared" si="58"/>
        <v>1186.787</v>
      </c>
    </row>
    <row r="3737" spans="1:14" x14ac:dyDescent="0.3">
      <c r="A3737" t="s">
        <v>4593</v>
      </c>
      <c r="B3737" s="2">
        <v>45358</v>
      </c>
      <c r="C3737" t="s">
        <v>596</v>
      </c>
      <c r="D3737" t="s">
        <v>806</v>
      </c>
      <c r="E3737" t="s">
        <v>831</v>
      </c>
      <c r="F3737">
        <v>2</v>
      </c>
      <c r="G3737">
        <v>0.1</v>
      </c>
      <c r="H3737" t="s">
        <v>855</v>
      </c>
      <c r="I3737" t="str">
        <f>VLOOKUP(C3737,Customers!A:C,2,FALSE)&amp;" "&amp;VLOOKUP(C3737,Customers!A:C,3,FALSE)</f>
        <v>Kimberly Lin</v>
      </c>
      <c r="J3737" t="str">
        <f>VLOOKUP(D3737,Products!A:C,2,FALSE)</f>
        <v>Piece Headphones</v>
      </c>
      <c r="K3737" t="str">
        <f>VLOOKUP(D3737,Products!A:C,3,FALSE)</f>
        <v>Electronics</v>
      </c>
      <c r="L3737" t="str">
        <f>VLOOKUP(E3737,Stores!A:B,2,FALSE)</f>
        <v>MegaMart Jimenezborough</v>
      </c>
      <c r="M3737">
        <f>VLOOKUP(D3737,Products!A:E,5,FALSE)</f>
        <v>1745.61</v>
      </c>
      <c r="N3737" s="5">
        <f t="shared" si="58"/>
        <v>3142.098</v>
      </c>
    </row>
    <row r="3738" spans="1:14" x14ac:dyDescent="0.3">
      <c r="A3738" t="s">
        <v>4594</v>
      </c>
      <c r="B3738" s="2">
        <v>45284</v>
      </c>
      <c r="C3738" t="s">
        <v>36</v>
      </c>
      <c r="D3738" t="s">
        <v>790</v>
      </c>
      <c r="E3738" t="s">
        <v>846</v>
      </c>
      <c r="F3738">
        <v>4</v>
      </c>
      <c r="G3738">
        <v>0.15</v>
      </c>
      <c r="H3738" t="s">
        <v>865</v>
      </c>
      <c r="I3738" t="str">
        <f>VLOOKUP(C3738,Customers!A:C,2,FALSE)&amp;" "&amp;VLOOKUP(C3738,Customers!A:C,3,FALSE)</f>
        <v>Isaiah Williams</v>
      </c>
      <c r="J3738" t="str">
        <f>VLOOKUP(D3738,Products!A:C,2,FALSE)</f>
        <v>Difficult Vegetables</v>
      </c>
      <c r="K3738" t="str">
        <f>VLOOKUP(D3738,Products!A:C,3,FALSE)</f>
        <v>Groceries</v>
      </c>
      <c r="L3738" t="str">
        <f>VLOOKUP(E3738,Stores!A:B,2,FALSE)</f>
        <v>MegaMart Johnmouth</v>
      </c>
      <c r="M3738">
        <f>VLOOKUP(D3738,Products!A:E,5,FALSE)</f>
        <v>304.70999999999998</v>
      </c>
      <c r="N3738" s="5">
        <f t="shared" si="58"/>
        <v>1036.0139999999999</v>
      </c>
    </row>
    <row r="3739" spans="1:14" x14ac:dyDescent="0.3">
      <c r="A3739" t="s">
        <v>4595</v>
      </c>
      <c r="B3739" s="2">
        <v>45199</v>
      </c>
      <c r="C3739" t="s">
        <v>449</v>
      </c>
      <c r="D3739" t="s">
        <v>810</v>
      </c>
      <c r="E3739" t="s">
        <v>842</v>
      </c>
      <c r="F3739">
        <v>1</v>
      </c>
      <c r="G3739">
        <v>0.05</v>
      </c>
      <c r="H3739" t="s">
        <v>855</v>
      </c>
      <c r="I3739" t="str">
        <f>VLOOKUP(C3739,Customers!A:C,2,FALSE)&amp;" "&amp;VLOOKUP(C3739,Customers!A:C,3,FALSE)</f>
        <v>John Bell</v>
      </c>
      <c r="J3739" t="str">
        <f>VLOOKUP(D3739,Products!A:C,2,FALSE)</f>
        <v>Maybe Clothing</v>
      </c>
      <c r="K3739" t="str">
        <f>VLOOKUP(D3739,Products!A:C,3,FALSE)</f>
        <v>Fashion</v>
      </c>
      <c r="L3739" t="str">
        <f>VLOOKUP(E3739,Stores!A:B,2,FALSE)</f>
        <v>MegaMart Brianahaven</v>
      </c>
      <c r="M3739">
        <f>VLOOKUP(D3739,Products!A:E,5,FALSE)</f>
        <v>453.62</v>
      </c>
      <c r="N3739" s="5">
        <f t="shared" si="58"/>
        <v>430.93899999999996</v>
      </c>
    </row>
    <row r="3740" spans="1:14" x14ac:dyDescent="0.3">
      <c r="A3740" t="s">
        <v>4596</v>
      </c>
      <c r="B3740" s="2">
        <v>45516</v>
      </c>
      <c r="C3740" t="s">
        <v>551</v>
      </c>
      <c r="D3740" t="s">
        <v>824</v>
      </c>
      <c r="E3740" t="s">
        <v>846</v>
      </c>
      <c r="F3740">
        <v>5</v>
      </c>
      <c r="G3740">
        <v>0</v>
      </c>
      <c r="H3740" t="s">
        <v>865</v>
      </c>
      <c r="I3740" t="str">
        <f>VLOOKUP(C3740,Customers!A:C,2,FALSE)&amp;" "&amp;VLOOKUP(C3740,Customers!A:C,3,FALSE)</f>
        <v>Nancy Gordon</v>
      </c>
      <c r="J3740" t="str">
        <f>VLOOKUP(D3740,Products!A:C,2,FALSE)</f>
        <v>Possible Watches</v>
      </c>
      <c r="K3740" t="str">
        <f>VLOOKUP(D3740,Products!A:C,3,FALSE)</f>
        <v>Fashion</v>
      </c>
      <c r="L3740" t="str">
        <f>VLOOKUP(E3740,Stores!A:B,2,FALSE)</f>
        <v>MegaMart Johnmouth</v>
      </c>
      <c r="M3740">
        <f>VLOOKUP(D3740,Products!A:E,5,FALSE)</f>
        <v>388.26</v>
      </c>
      <c r="N3740" s="5">
        <f t="shared" si="58"/>
        <v>1941.3</v>
      </c>
    </row>
    <row r="3741" spans="1:14" x14ac:dyDescent="0.3">
      <c r="A3741" t="s">
        <v>4597</v>
      </c>
      <c r="B3741" s="2">
        <v>45433</v>
      </c>
      <c r="C3741" t="s">
        <v>386</v>
      </c>
      <c r="D3741" t="s">
        <v>784</v>
      </c>
      <c r="E3741" t="s">
        <v>842</v>
      </c>
      <c r="F3741">
        <v>5</v>
      </c>
      <c r="G3741">
        <v>0.05</v>
      </c>
      <c r="H3741" t="s">
        <v>865</v>
      </c>
      <c r="I3741" t="str">
        <f>VLOOKUP(C3741,Customers!A:C,2,FALSE)&amp;" "&amp;VLOOKUP(C3741,Customers!A:C,3,FALSE)</f>
        <v>David Burns</v>
      </c>
      <c r="J3741" t="str">
        <f>VLOOKUP(D3741,Products!A:C,2,FALSE)</f>
        <v>Road Clothing</v>
      </c>
      <c r="K3741" t="str">
        <f>VLOOKUP(D3741,Products!A:C,3,FALSE)</f>
        <v>Fashion</v>
      </c>
      <c r="L3741" t="str">
        <f>VLOOKUP(E3741,Stores!A:B,2,FALSE)</f>
        <v>MegaMart Brianahaven</v>
      </c>
      <c r="M3741">
        <f>VLOOKUP(D3741,Products!A:E,5,FALSE)</f>
        <v>1485.05</v>
      </c>
      <c r="N3741" s="5">
        <f t="shared" si="58"/>
        <v>7053.9874999999993</v>
      </c>
    </row>
    <row r="3742" spans="1:14" x14ac:dyDescent="0.3">
      <c r="A3742" t="s">
        <v>4598</v>
      </c>
      <c r="B3742" s="2">
        <v>45792</v>
      </c>
      <c r="C3742" t="s">
        <v>266</v>
      </c>
      <c r="D3742" t="s">
        <v>747</v>
      </c>
      <c r="E3742" t="s">
        <v>831</v>
      </c>
      <c r="F3742">
        <v>4</v>
      </c>
      <c r="G3742">
        <v>0.1</v>
      </c>
      <c r="H3742" t="s">
        <v>858</v>
      </c>
      <c r="I3742" t="str">
        <f>VLOOKUP(C3742,Customers!A:C,2,FALSE)&amp;" "&amp;VLOOKUP(C3742,Customers!A:C,3,FALSE)</f>
        <v>Eric Bryan</v>
      </c>
      <c r="J3742" t="str">
        <f>VLOOKUP(D3742,Products!A:C,2,FALSE)</f>
        <v>World Watches</v>
      </c>
      <c r="K3742" t="str">
        <f>VLOOKUP(D3742,Products!A:C,3,FALSE)</f>
        <v>Fashion</v>
      </c>
      <c r="L3742" t="str">
        <f>VLOOKUP(E3742,Stores!A:B,2,FALSE)</f>
        <v>MegaMart Jimenezborough</v>
      </c>
      <c r="M3742">
        <f>VLOOKUP(D3742,Products!A:E,5,FALSE)</f>
        <v>1134.8</v>
      </c>
      <c r="N3742" s="5">
        <f t="shared" si="58"/>
        <v>4085.2799999999997</v>
      </c>
    </row>
    <row r="3743" spans="1:14" x14ac:dyDescent="0.3">
      <c r="A3743" t="s">
        <v>4599</v>
      </c>
      <c r="B3743" s="2">
        <v>45434</v>
      </c>
      <c r="C3743" t="s">
        <v>487</v>
      </c>
      <c r="D3743" t="s">
        <v>780</v>
      </c>
      <c r="E3743" t="s">
        <v>831</v>
      </c>
      <c r="F3743">
        <v>2</v>
      </c>
      <c r="G3743">
        <v>0.1</v>
      </c>
      <c r="H3743" t="s">
        <v>861</v>
      </c>
      <c r="I3743" t="str">
        <f>VLOOKUP(C3743,Customers!A:C,2,FALSE)&amp;" "&amp;VLOOKUP(C3743,Customers!A:C,3,FALSE)</f>
        <v>Yvette Roth</v>
      </c>
      <c r="J3743" t="str">
        <f>VLOOKUP(D3743,Products!A:C,2,FALSE)</f>
        <v>Hospital Smartphone</v>
      </c>
      <c r="K3743" t="str">
        <f>VLOOKUP(D3743,Products!A:C,3,FALSE)</f>
        <v>Electronics</v>
      </c>
      <c r="L3743" t="str">
        <f>VLOOKUP(E3743,Stores!A:B,2,FALSE)</f>
        <v>MegaMart Jimenezborough</v>
      </c>
      <c r="M3743">
        <f>VLOOKUP(D3743,Products!A:E,5,FALSE)</f>
        <v>1272.23</v>
      </c>
      <c r="N3743" s="5">
        <f t="shared" si="58"/>
        <v>2290.0140000000001</v>
      </c>
    </row>
    <row r="3744" spans="1:14" x14ac:dyDescent="0.3">
      <c r="A3744" t="s">
        <v>4600</v>
      </c>
      <c r="B3744" s="2">
        <v>45585</v>
      </c>
      <c r="C3744" t="s">
        <v>379</v>
      </c>
      <c r="D3744" t="s">
        <v>753</v>
      </c>
      <c r="E3744" t="s">
        <v>842</v>
      </c>
      <c r="F3744">
        <v>3</v>
      </c>
      <c r="G3744">
        <v>0.15</v>
      </c>
      <c r="H3744" t="s">
        <v>861</v>
      </c>
      <c r="I3744" t="str">
        <f>VLOOKUP(C3744,Customers!A:C,2,FALSE)&amp;" "&amp;VLOOKUP(C3744,Customers!A:C,3,FALSE)</f>
        <v>William Pope</v>
      </c>
      <c r="J3744" t="str">
        <f>VLOOKUP(D3744,Products!A:C,2,FALSE)</f>
        <v>Whether Bags</v>
      </c>
      <c r="K3744" t="str">
        <f>VLOOKUP(D3744,Products!A:C,3,FALSE)</f>
        <v>Fashion</v>
      </c>
      <c r="L3744" t="str">
        <f>VLOOKUP(E3744,Stores!A:B,2,FALSE)</f>
        <v>MegaMart Brianahaven</v>
      </c>
      <c r="M3744">
        <f>VLOOKUP(D3744,Products!A:E,5,FALSE)</f>
        <v>270.45</v>
      </c>
      <c r="N3744" s="5">
        <f t="shared" si="58"/>
        <v>689.64749999999992</v>
      </c>
    </row>
    <row r="3745" spans="1:14" x14ac:dyDescent="0.3">
      <c r="A3745" t="s">
        <v>4601</v>
      </c>
      <c r="B3745" s="2">
        <v>45470</v>
      </c>
      <c r="C3745" t="s">
        <v>633</v>
      </c>
      <c r="D3745" t="s">
        <v>715</v>
      </c>
      <c r="E3745" t="s">
        <v>846</v>
      </c>
      <c r="F3745">
        <v>4</v>
      </c>
      <c r="G3745">
        <v>0.15</v>
      </c>
      <c r="H3745" t="s">
        <v>855</v>
      </c>
      <c r="I3745" t="str">
        <f>VLOOKUP(C3745,Customers!A:C,2,FALSE)&amp;" "&amp;VLOOKUP(C3745,Customers!A:C,3,FALSE)</f>
        <v>Dennis Wallace</v>
      </c>
      <c r="J3745" t="str">
        <f>VLOOKUP(D3745,Products!A:C,2,FALSE)</f>
        <v>Audience Television</v>
      </c>
      <c r="K3745" t="str">
        <f>VLOOKUP(D3745,Products!A:C,3,FALSE)</f>
        <v>Electronics</v>
      </c>
      <c r="L3745" t="str">
        <f>VLOOKUP(E3745,Stores!A:B,2,FALSE)</f>
        <v>MegaMart Johnmouth</v>
      </c>
      <c r="M3745">
        <f>VLOOKUP(D3745,Products!A:E,5,FALSE)</f>
        <v>818.76</v>
      </c>
      <c r="N3745" s="5">
        <f t="shared" si="58"/>
        <v>2783.7840000000001</v>
      </c>
    </row>
    <row r="3746" spans="1:14" x14ac:dyDescent="0.3">
      <c r="A3746" t="s">
        <v>4602</v>
      </c>
      <c r="B3746" s="2">
        <v>45665</v>
      </c>
      <c r="C3746" t="s">
        <v>476</v>
      </c>
      <c r="D3746" t="s">
        <v>800</v>
      </c>
      <c r="E3746" t="s">
        <v>842</v>
      </c>
      <c r="F3746">
        <v>5</v>
      </c>
      <c r="G3746">
        <v>0.1</v>
      </c>
      <c r="H3746" t="s">
        <v>865</v>
      </c>
      <c r="I3746" t="str">
        <f>VLOOKUP(C3746,Customers!A:C,2,FALSE)&amp;" "&amp;VLOOKUP(C3746,Customers!A:C,3,FALSE)</f>
        <v>Aaron Bailey</v>
      </c>
      <c r="J3746" t="str">
        <f>VLOOKUP(D3746,Products!A:C,2,FALSE)</f>
        <v>Book Television</v>
      </c>
      <c r="K3746" t="str">
        <f>VLOOKUP(D3746,Products!A:C,3,FALSE)</f>
        <v>Electronics</v>
      </c>
      <c r="L3746" t="str">
        <f>VLOOKUP(E3746,Stores!A:B,2,FALSE)</f>
        <v>MegaMart Brianahaven</v>
      </c>
      <c r="M3746">
        <f>VLOOKUP(D3746,Products!A:E,5,FALSE)</f>
        <v>1952.65</v>
      </c>
      <c r="N3746" s="5">
        <f t="shared" si="58"/>
        <v>8786.9250000000011</v>
      </c>
    </row>
    <row r="3747" spans="1:14" x14ac:dyDescent="0.3">
      <c r="A3747" t="s">
        <v>4603</v>
      </c>
      <c r="B3747" s="2">
        <v>45831</v>
      </c>
      <c r="C3747" t="s">
        <v>317</v>
      </c>
      <c r="D3747" t="s">
        <v>772</v>
      </c>
      <c r="E3747" t="s">
        <v>839</v>
      </c>
      <c r="F3747">
        <v>5</v>
      </c>
      <c r="G3747">
        <v>0.1</v>
      </c>
      <c r="H3747" t="s">
        <v>855</v>
      </c>
      <c r="I3747" t="str">
        <f>VLOOKUP(C3747,Customers!A:C,2,FALSE)&amp;" "&amp;VLOOKUP(C3747,Customers!A:C,3,FALSE)</f>
        <v>Amanda Lee</v>
      </c>
      <c r="J3747" t="str">
        <f>VLOOKUP(D3747,Products!A:C,2,FALSE)</f>
        <v>And Footwear</v>
      </c>
      <c r="K3747" t="str">
        <f>VLOOKUP(D3747,Products!A:C,3,FALSE)</f>
        <v>Fashion</v>
      </c>
      <c r="L3747" t="str">
        <f>VLOOKUP(E3747,Stores!A:B,2,FALSE)</f>
        <v>MegaMart New Michele</v>
      </c>
      <c r="M3747">
        <f>VLOOKUP(D3747,Products!A:E,5,FALSE)</f>
        <v>1878.47</v>
      </c>
      <c r="N3747" s="5">
        <f t="shared" si="58"/>
        <v>8453.1149999999998</v>
      </c>
    </row>
    <row r="3748" spans="1:14" x14ac:dyDescent="0.3">
      <c r="A3748" t="s">
        <v>4604</v>
      </c>
      <c r="B3748" s="2">
        <v>45206</v>
      </c>
      <c r="C3748" t="s">
        <v>601</v>
      </c>
      <c r="D3748" t="s">
        <v>788</v>
      </c>
      <c r="E3748" t="s">
        <v>831</v>
      </c>
      <c r="F3748">
        <v>1</v>
      </c>
      <c r="G3748">
        <v>0</v>
      </c>
      <c r="H3748" t="s">
        <v>861</v>
      </c>
      <c r="I3748" t="str">
        <f>VLOOKUP(C3748,Customers!A:C,2,FALSE)&amp;" "&amp;VLOOKUP(C3748,Customers!A:C,3,FALSE)</f>
        <v>Travis Watson</v>
      </c>
      <c r="J3748" t="str">
        <f>VLOOKUP(D3748,Products!A:C,2,FALSE)</f>
        <v>Foot Snacks</v>
      </c>
      <c r="K3748" t="str">
        <f>VLOOKUP(D3748,Products!A:C,3,FALSE)</f>
        <v>Groceries</v>
      </c>
      <c r="L3748" t="str">
        <f>VLOOKUP(E3748,Stores!A:B,2,FALSE)</f>
        <v>MegaMart Jimenezborough</v>
      </c>
      <c r="M3748">
        <f>VLOOKUP(D3748,Products!A:E,5,FALSE)</f>
        <v>1095.72</v>
      </c>
      <c r="N3748" s="5">
        <f t="shared" si="58"/>
        <v>1095.72</v>
      </c>
    </row>
    <row r="3749" spans="1:14" x14ac:dyDescent="0.3">
      <c r="A3749" t="s">
        <v>4605</v>
      </c>
      <c r="B3749" s="2">
        <v>45882</v>
      </c>
      <c r="C3749" t="s">
        <v>653</v>
      </c>
      <c r="D3749" t="s">
        <v>772</v>
      </c>
      <c r="E3749" t="s">
        <v>846</v>
      </c>
      <c r="F3749">
        <v>2</v>
      </c>
      <c r="G3749">
        <v>0</v>
      </c>
      <c r="H3749" t="s">
        <v>858</v>
      </c>
      <c r="I3749" t="str">
        <f>VLOOKUP(C3749,Customers!A:C,2,FALSE)&amp;" "&amp;VLOOKUP(C3749,Customers!A:C,3,FALSE)</f>
        <v>Joe Vincent</v>
      </c>
      <c r="J3749" t="str">
        <f>VLOOKUP(D3749,Products!A:C,2,FALSE)</f>
        <v>And Footwear</v>
      </c>
      <c r="K3749" t="str">
        <f>VLOOKUP(D3749,Products!A:C,3,FALSE)</f>
        <v>Fashion</v>
      </c>
      <c r="L3749" t="str">
        <f>VLOOKUP(E3749,Stores!A:B,2,FALSE)</f>
        <v>MegaMart Johnmouth</v>
      </c>
      <c r="M3749">
        <f>VLOOKUP(D3749,Products!A:E,5,FALSE)</f>
        <v>1878.47</v>
      </c>
      <c r="N3749" s="5">
        <f t="shared" si="58"/>
        <v>3756.94</v>
      </c>
    </row>
    <row r="3750" spans="1:14" x14ac:dyDescent="0.3">
      <c r="A3750" t="s">
        <v>4606</v>
      </c>
      <c r="B3750" s="2">
        <v>45448</v>
      </c>
      <c r="C3750" t="s">
        <v>351</v>
      </c>
      <c r="D3750" t="s">
        <v>747</v>
      </c>
      <c r="E3750" t="s">
        <v>835</v>
      </c>
      <c r="F3750">
        <v>4</v>
      </c>
      <c r="G3750">
        <v>0</v>
      </c>
      <c r="H3750" t="s">
        <v>855</v>
      </c>
      <c r="I3750" t="str">
        <f>VLOOKUP(C3750,Customers!A:C,2,FALSE)&amp;" "&amp;VLOOKUP(C3750,Customers!A:C,3,FALSE)</f>
        <v>Stanley Brown</v>
      </c>
      <c r="J3750" t="str">
        <f>VLOOKUP(D3750,Products!A:C,2,FALSE)</f>
        <v>World Watches</v>
      </c>
      <c r="K3750" t="str">
        <f>VLOOKUP(D3750,Products!A:C,3,FALSE)</f>
        <v>Fashion</v>
      </c>
      <c r="L3750" t="str">
        <f>VLOOKUP(E3750,Stores!A:B,2,FALSE)</f>
        <v>MegaMart Peckmouth</v>
      </c>
      <c r="M3750">
        <f>VLOOKUP(D3750,Products!A:E,5,FALSE)</f>
        <v>1134.8</v>
      </c>
      <c r="N3750" s="5">
        <f t="shared" si="58"/>
        <v>4539.2</v>
      </c>
    </row>
    <row r="3751" spans="1:14" x14ac:dyDescent="0.3">
      <c r="A3751" t="s">
        <v>4607</v>
      </c>
      <c r="B3751" s="2">
        <v>45686</v>
      </c>
      <c r="C3751" t="s">
        <v>119</v>
      </c>
      <c r="D3751" t="s">
        <v>802</v>
      </c>
      <c r="E3751" t="s">
        <v>831</v>
      </c>
      <c r="F3751">
        <v>4</v>
      </c>
      <c r="G3751">
        <v>0</v>
      </c>
      <c r="H3751" t="s">
        <v>858</v>
      </c>
      <c r="I3751" t="str">
        <f>VLOOKUP(C3751,Customers!A:C,2,FALSE)&amp;" "&amp;VLOOKUP(C3751,Customers!A:C,3,FALSE)</f>
        <v>Lacey Hall</v>
      </c>
      <c r="J3751" t="str">
        <f>VLOOKUP(D3751,Products!A:C,2,FALSE)</f>
        <v>Stage Footwear</v>
      </c>
      <c r="K3751" t="str">
        <f>VLOOKUP(D3751,Products!A:C,3,FALSE)</f>
        <v>Fashion</v>
      </c>
      <c r="L3751" t="str">
        <f>VLOOKUP(E3751,Stores!A:B,2,FALSE)</f>
        <v>MegaMart Jimenezborough</v>
      </c>
      <c r="M3751">
        <f>VLOOKUP(D3751,Products!A:E,5,FALSE)</f>
        <v>366.93</v>
      </c>
      <c r="N3751" s="5">
        <f t="shared" si="58"/>
        <v>1467.72</v>
      </c>
    </row>
    <row r="3752" spans="1:14" x14ac:dyDescent="0.3">
      <c r="A3752" t="s">
        <v>4608</v>
      </c>
      <c r="B3752" s="2">
        <v>45647</v>
      </c>
      <c r="C3752" t="s">
        <v>621</v>
      </c>
      <c r="D3752" t="s">
        <v>772</v>
      </c>
      <c r="E3752" t="s">
        <v>831</v>
      </c>
      <c r="F3752">
        <v>2</v>
      </c>
      <c r="G3752">
        <v>0.15</v>
      </c>
      <c r="H3752" t="s">
        <v>861</v>
      </c>
      <c r="I3752" t="str">
        <f>VLOOKUP(C3752,Customers!A:C,2,FALSE)&amp;" "&amp;VLOOKUP(C3752,Customers!A:C,3,FALSE)</f>
        <v>Stacey Thompson</v>
      </c>
      <c r="J3752" t="str">
        <f>VLOOKUP(D3752,Products!A:C,2,FALSE)</f>
        <v>And Footwear</v>
      </c>
      <c r="K3752" t="str">
        <f>VLOOKUP(D3752,Products!A:C,3,FALSE)</f>
        <v>Fashion</v>
      </c>
      <c r="L3752" t="str">
        <f>VLOOKUP(E3752,Stores!A:B,2,FALSE)</f>
        <v>MegaMart Jimenezborough</v>
      </c>
      <c r="M3752">
        <f>VLOOKUP(D3752,Products!A:E,5,FALSE)</f>
        <v>1878.47</v>
      </c>
      <c r="N3752" s="5">
        <f t="shared" si="58"/>
        <v>3193.3989999999999</v>
      </c>
    </row>
    <row r="3753" spans="1:14" x14ac:dyDescent="0.3">
      <c r="A3753" t="s">
        <v>4609</v>
      </c>
      <c r="B3753" s="2">
        <v>45454</v>
      </c>
      <c r="C3753" t="s">
        <v>403</v>
      </c>
      <c r="D3753" t="s">
        <v>734</v>
      </c>
      <c r="E3753" t="s">
        <v>839</v>
      </c>
      <c r="F3753">
        <v>2</v>
      </c>
      <c r="G3753">
        <v>0.15</v>
      </c>
      <c r="H3753" t="s">
        <v>861</v>
      </c>
      <c r="I3753" t="str">
        <f>VLOOKUP(C3753,Customers!A:C,2,FALSE)&amp;" "&amp;VLOOKUP(C3753,Customers!A:C,3,FALSE)</f>
        <v>Samantha Hill</v>
      </c>
      <c r="J3753" t="str">
        <f>VLOOKUP(D3753,Products!A:C,2,FALSE)</f>
        <v>Recognize Footwear</v>
      </c>
      <c r="K3753" t="str">
        <f>VLOOKUP(D3753,Products!A:C,3,FALSE)</f>
        <v>Fashion</v>
      </c>
      <c r="L3753" t="str">
        <f>VLOOKUP(E3753,Stores!A:B,2,FALSE)</f>
        <v>MegaMart New Michele</v>
      </c>
      <c r="M3753">
        <f>VLOOKUP(D3753,Products!A:E,5,FALSE)</f>
        <v>109.78</v>
      </c>
      <c r="N3753" s="5">
        <f t="shared" si="58"/>
        <v>186.626</v>
      </c>
    </row>
    <row r="3754" spans="1:14" x14ac:dyDescent="0.3">
      <c r="A3754" t="s">
        <v>4610</v>
      </c>
      <c r="B3754" s="2">
        <v>45789</v>
      </c>
      <c r="C3754" t="s">
        <v>105</v>
      </c>
      <c r="D3754" t="s">
        <v>788</v>
      </c>
      <c r="E3754" t="s">
        <v>846</v>
      </c>
      <c r="F3754">
        <v>5</v>
      </c>
      <c r="G3754">
        <v>0.1</v>
      </c>
      <c r="H3754" t="s">
        <v>855</v>
      </c>
      <c r="I3754" t="str">
        <f>VLOOKUP(C3754,Customers!A:C,2,FALSE)&amp;" "&amp;VLOOKUP(C3754,Customers!A:C,3,FALSE)</f>
        <v>Justin Macdonald</v>
      </c>
      <c r="J3754" t="str">
        <f>VLOOKUP(D3754,Products!A:C,2,FALSE)</f>
        <v>Foot Snacks</v>
      </c>
      <c r="K3754" t="str">
        <f>VLOOKUP(D3754,Products!A:C,3,FALSE)</f>
        <v>Groceries</v>
      </c>
      <c r="L3754" t="str">
        <f>VLOOKUP(E3754,Stores!A:B,2,FALSE)</f>
        <v>MegaMart Johnmouth</v>
      </c>
      <c r="M3754">
        <f>VLOOKUP(D3754,Products!A:E,5,FALSE)</f>
        <v>1095.72</v>
      </c>
      <c r="N3754" s="5">
        <f t="shared" si="58"/>
        <v>4930.7400000000007</v>
      </c>
    </row>
    <row r="3755" spans="1:14" x14ac:dyDescent="0.3">
      <c r="A3755" t="s">
        <v>4611</v>
      </c>
      <c r="B3755" s="2">
        <v>45857</v>
      </c>
      <c r="C3755" t="s">
        <v>362</v>
      </c>
      <c r="D3755" t="s">
        <v>780</v>
      </c>
      <c r="E3755" t="s">
        <v>846</v>
      </c>
      <c r="F3755">
        <v>1</v>
      </c>
      <c r="G3755">
        <v>0.15</v>
      </c>
      <c r="H3755" t="s">
        <v>858</v>
      </c>
      <c r="I3755" t="str">
        <f>VLOOKUP(C3755,Customers!A:C,2,FALSE)&amp;" "&amp;VLOOKUP(C3755,Customers!A:C,3,FALSE)</f>
        <v>Eric King</v>
      </c>
      <c r="J3755" t="str">
        <f>VLOOKUP(D3755,Products!A:C,2,FALSE)</f>
        <v>Hospital Smartphone</v>
      </c>
      <c r="K3755" t="str">
        <f>VLOOKUP(D3755,Products!A:C,3,FALSE)</f>
        <v>Electronics</v>
      </c>
      <c r="L3755" t="str">
        <f>VLOOKUP(E3755,Stores!A:B,2,FALSE)</f>
        <v>MegaMart Johnmouth</v>
      </c>
      <c r="M3755">
        <f>VLOOKUP(D3755,Products!A:E,5,FALSE)</f>
        <v>1272.23</v>
      </c>
      <c r="N3755" s="5">
        <f t="shared" si="58"/>
        <v>1081.3955000000001</v>
      </c>
    </row>
    <row r="3756" spans="1:14" x14ac:dyDescent="0.3">
      <c r="A3756" t="s">
        <v>4612</v>
      </c>
      <c r="B3756" s="2">
        <v>45649</v>
      </c>
      <c r="C3756" t="s">
        <v>12</v>
      </c>
      <c r="D3756" t="s">
        <v>784</v>
      </c>
      <c r="E3756" t="s">
        <v>831</v>
      </c>
      <c r="F3756">
        <v>1</v>
      </c>
      <c r="G3756">
        <v>0.1</v>
      </c>
      <c r="H3756" t="s">
        <v>861</v>
      </c>
      <c r="I3756" t="str">
        <f>VLOOKUP(C3756,Customers!A:C,2,FALSE)&amp;" "&amp;VLOOKUP(C3756,Customers!A:C,3,FALSE)</f>
        <v>Michael Miller</v>
      </c>
      <c r="J3756" t="str">
        <f>VLOOKUP(D3756,Products!A:C,2,FALSE)</f>
        <v>Road Clothing</v>
      </c>
      <c r="K3756" t="str">
        <f>VLOOKUP(D3756,Products!A:C,3,FALSE)</f>
        <v>Fashion</v>
      </c>
      <c r="L3756" t="str">
        <f>VLOOKUP(E3756,Stores!A:B,2,FALSE)</f>
        <v>MegaMart Jimenezborough</v>
      </c>
      <c r="M3756">
        <f>VLOOKUP(D3756,Products!A:E,5,FALSE)</f>
        <v>1485.05</v>
      </c>
      <c r="N3756" s="5">
        <f t="shared" si="58"/>
        <v>1336.5450000000001</v>
      </c>
    </row>
    <row r="3757" spans="1:14" x14ac:dyDescent="0.3">
      <c r="A3757" t="s">
        <v>4613</v>
      </c>
      <c r="B3757" s="2">
        <v>45366</v>
      </c>
      <c r="C3757" t="s">
        <v>291</v>
      </c>
      <c r="D3757" t="s">
        <v>796</v>
      </c>
      <c r="E3757" t="s">
        <v>846</v>
      </c>
      <c r="F3757">
        <v>5</v>
      </c>
      <c r="G3757">
        <v>0.1</v>
      </c>
      <c r="H3757" t="s">
        <v>861</v>
      </c>
      <c r="I3757" t="str">
        <f>VLOOKUP(C3757,Customers!A:C,2,FALSE)&amp;" "&amp;VLOOKUP(C3757,Customers!A:C,3,FALSE)</f>
        <v>Matthew Juarez</v>
      </c>
      <c r="J3757" t="str">
        <f>VLOOKUP(D3757,Products!A:C,2,FALSE)</f>
        <v>Chair Laptop</v>
      </c>
      <c r="K3757" t="str">
        <f>VLOOKUP(D3757,Products!A:C,3,FALSE)</f>
        <v>Electronics</v>
      </c>
      <c r="L3757" t="str">
        <f>VLOOKUP(E3757,Stores!A:B,2,FALSE)</f>
        <v>MegaMart Johnmouth</v>
      </c>
      <c r="M3757">
        <f>VLOOKUP(D3757,Products!A:E,5,FALSE)</f>
        <v>1562.43</v>
      </c>
      <c r="N3757" s="5">
        <f t="shared" si="58"/>
        <v>7030.9350000000004</v>
      </c>
    </row>
    <row r="3758" spans="1:14" x14ac:dyDescent="0.3">
      <c r="A3758" t="s">
        <v>4614</v>
      </c>
      <c r="B3758" s="2">
        <v>45333</v>
      </c>
      <c r="C3758" t="s">
        <v>55</v>
      </c>
      <c r="D3758" t="s">
        <v>788</v>
      </c>
      <c r="E3758" t="s">
        <v>839</v>
      </c>
      <c r="F3758">
        <v>4</v>
      </c>
      <c r="G3758">
        <v>0.15</v>
      </c>
      <c r="H3758" t="s">
        <v>855</v>
      </c>
      <c r="I3758" t="str">
        <f>VLOOKUP(C3758,Customers!A:C,2,FALSE)&amp;" "&amp;VLOOKUP(C3758,Customers!A:C,3,FALSE)</f>
        <v>Robert Anderson</v>
      </c>
      <c r="J3758" t="str">
        <f>VLOOKUP(D3758,Products!A:C,2,FALSE)</f>
        <v>Foot Snacks</v>
      </c>
      <c r="K3758" t="str">
        <f>VLOOKUP(D3758,Products!A:C,3,FALSE)</f>
        <v>Groceries</v>
      </c>
      <c r="L3758" t="str">
        <f>VLOOKUP(E3758,Stores!A:B,2,FALSE)</f>
        <v>MegaMart New Michele</v>
      </c>
      <c r="M3758">
        <f>VLOOKUP(D3758,Products!A:E,5,FALSE)</f>
        <v>1095.72</v>
      </c>
      <c r="N3758" s="5">
        <f t="shared" si="58"/>
        <v>3725.4479999999999</v>
      </c>
    </row>
    <row r="3759" spans="1:14" x14ac:dyDescent="0.3">
      <c r="A3759" t="s">
        <v>4615</v>
      </c>
      <c r="B3759" s="2">
        <v>45702</v>
      </c>
      <c r="C3759" t="s">
        <v>670</v>
      </c>
      <c r="D3759" t="s">
        <v>786</v>
      </c>
      <c r="E3759" t="s">
        <v>846</v>
      </c>
      <c r="F3759">
        <v>5</v>
      </c>
      <c r="G3759">
        <v>0.15</v>
      </c>
      <c r="H3759" t="s">
        <v>858</v>
      </c>
      <c r="I3759" t="str">
        <f>VLOOKUP(C3759,Customers!A:C,2,FALSE)&amp;" "&amp;VLOOKUP(C3759,Customers!A:C,3,FALSE)</f>
        <v>Daniel Lawson</v>
      </c>
      <c r="J3759" t="str">
        <f>VLOOKUP(D3759,Products!A:C,2,FALSE)</f>
        <v>National Watches</v>
      </c>
      <c r="K3759" t="str">
        <f>VLOOKUP(D3759,Products!A:C,3,FALSE)</f>
        <v>Fashion</v>
      </c>
      <c r="L3759" t="str">
        <f>VLOOKUP(E3759,Stores!A:B,2,FALSE)</f>
        <v>MegaMart Johnmouth</v>
      </c>
      <c r="M3759">
        <f>VLOOKUP(D3759,Products!A:E,5,FALSE)</f>
        <v>29.24</v>
      </c>
      <c r="N3759" s="5">
        <f t="shared" si="58"/>
        <v>124.26999999999998</v>
      </c>
    </row>
    <row r="3760" spans="1:14" x14ac:dyDescent="0.3">
      <c r="A3760" t="s">
        <v>4616</v>
      </c>
      <c r="B3760" s="2">
        <v>45248</v>
      </c>
      <c r="C3760" t="s">
        <v>469</v>
      </c>
      <c r="D3760" t="s">
        <v>822</v>
      </c>
      <c r="E3760" t="s">
        <v>842</v>
      </c>
      <c r="F3760">
        <v>1</v>
      </c>
      <c r="G3760">
        <v>0.1</v>
      </c>
      <c r="H3760" t="s">
        <v>858</v>
      </c>
      <c r="I3760" t="str">
        <f>VLOOKUP(C3760,Customers!A:C,2,FALSE)&amp;" "&amp;VLOOKUP(C3760,Customers!A:C,3,FALSE)</f>
        <v>Robert Collins</v>
      </c>
      <c r="J3760" t="str">
        <f>VLOOKUP(D3760,Products!A:C,2,FALSE)</f>
        <v>Nor Bags</v>
      </c>
      <c r="K3760" t="str">
        <f>VLOOKUP(D3760,Products!A:C,3,FALSE)</f>
        <v>Fashion</v>
      </c>
      <c r="L3760" t="str">
        <f>VLOOKUP(E3760,Stores!A:B,2,FALSE)</f>
        <v>MegaMart Brianahaven</v>
      </c>
      <c r="M3760">
        <f>VLOOKUP(D3760,Products!A:E,5,FALSE)</f>
        <v>1216.3599999999999</v>
      </c>
      <c r="N3760" s="5">
        <f t="shared" si="58"/>
        <v>1094.7239999999999</v>
      </c>
    </row>
    <row r="3761" spans="1:14" x14ac:dyDescent="0.3">
      <c r="A3761" t="s">
        <v>4617</v>
      </c>
      <c r="B3761" s="2">
        <v>45395</v>
      </c>
      <c r="C3761" t="s">
        <v>258</v>
      </c>
      <c r="D3761" t="s">
        <v>772</v>
      </c>
      <c r="E3761" t="s">
        <v>835</v>
      </c>
      <c r="F3761">
        <v>1</v>
      </c>
      <c r="G3761">
        <v>0.1</v>
      </c>
      <c r="H3761" t="s">
        <v>855</v>
      </c>
      <c r="I3761" t="str">
        <f>VLOOKUP(C3761,Customers!A:C,2,FALSE)&amp;" "&amp;VLOOKUP(C3761,Customers!A:C,3,FALSE)</f>
        <v>Alexandra Montoya</v>
      </c>
      <c r="J3761" t="str">
        <f>VLOOKUP(D3761,Products!A:C,2,FALSE)</f>
        <v>And Footwear</v>
      </c>
      <c r="K3761" t="str">
        <f>VLOOKUP(D3761,Products!A:C,3,FALSE)</f>
        <v>Fashion</v>
      </c>
      <c r="L3761" t="str">
        <f>VLOOKUP(E3761,Stores!A:B,2,FALSE)</f>
        <v>MegaMart Peckmouth</v>
      </c>
      <c r="M3761">
        <f>VLOOKUP(D3761,Products!A:E,5,FALSE)</f>
        <v>1878.47</v>
      </c>
      <c r="N3761" s="5">
        <f t="shared" si="58"/>
        <v>1690.623</v>
      </c>
    </row>
    <row r="3762" spans="1:14" x14ac:dyDescent="0.3">
      <c r="A3762" t="s">
        <v>4618</v>
      </c>
      <c r="B3762" s="2">
        <v>45608</v>
      </c>
      <c r="C3762" t="s">
        <v>407</v>
      </c>
      <c r="D3762" t="s">
        <v>725</v>
      </c>
      <c r="E3762" t="s">
        <v>839</v>
      </c>
      <c r="F3762">
        <v>4</v>
      </c>
      <c r="G3762">
        <v>0.15</v>
      </c>
      <c r="H3762" t="s">
        <v>855</v>
      </c>
      <c r="I3762" t="str">
        <f>VLOOKUP(C3762,Customers!A:C,2,FALSE)&amp;" "&amp;VLOOKUP(C3762,Customers!A:C,3,FALSE)</f>
        <v>Austin Hogan</v>
      </c>
      <c r="J3762" t="str">
        <f>VLOOKUP(D3762,Products!A:C,2,FALSE)</f>
        <v>Knowledge Bags</v>
      </c>
      <c r="K3762" t="str">
        <f>VLOOKUP(D3762,Products!A:C,3,FALSE)</f>
        <v>Fashion</v>
      </c>
      <c r="L3762" t="str">
        <f>VLOOKUP(E3762,Stores!A:B,2,FALSE)</f>
        <v>MegaMart New Michele</v>
      </c>
      <c r="M3762">
        <f>VLOOKUP(D3762,Products!A:E,5,FALSE)</f>
        <v>1396.22</v>
      </c>
      <c r="N3762" s="5">
        <f t="shared" si="58"/>
        <v>4747.1480000000001</v>
      </c>
    </row>
    <row r="3763" spans="1:14" x14ac:dyDescent="0.3">
      <c r="A3763" t="s">
        <v>4619</v>
      </c>
      <c r="B3763" s="2">
        <v>45803</v>
      </c>
      <c r="C3763" t="s">
        <v>503</v>
      </c>
      <c r="D3763" t="s">
        <v>814</v>
      </c>
      <c r="E3763" t="s">
        <v>831</v>
      </c>
      <c r="F3763">
        <v>5</v>
      </c>
      <c r="G3763">
        <v>0.15</v>
      </c>
      <c r="H3763" t="s">
        <v>855</v>
      </c>
      <c r="I3763" t="str">
        <f>VLOOKUP(C3763,Customers!A:C,2,FALSE)&amp;" "&amp;VLOOKUP(C3763,Customers!A:C,3,FALSE)</f>
        <v>Breanna Moore</v>
      </c>
      <c r="J3763" t="str">
        <f>VLOOKUP(D3763,Products!A:C,2,FALSE)</f>
        <v>Least Accessories</v>
      </c>
      <c r="K3763" t="str">
        <f>VLOOKUP(D3763,Products!A:C,3,FALSE)</f>
        <v>Fashion</v>
      </c>
      <c r="L3763" t="str">
        <f>VLOOKUP(E3763,Stores!A:B,2,FALSE)</f>
        <v>MegaMart Jimenezborough</v>
      </c>
      <c r="M3763">
        <f>VLOOKUP(D3763,Products!A:E,5,FALSE)</f>
        <v>1286.55</v>
      </c>
      <c r="N3763" s="5">
        <f t="shared" si="58"/>
        <v>5467.8374999999996</v>
      </c>
    </row>
    <row r="3764" spans="1:14" x14ac:dyDescent="0.3">
      <c r="A3764" t="s">
        <v>4620</v>
      </c>
      <c r="B3764" s="2">
        <v>45391</v>
      </c>
      <c r="C3764" t="s">
        <v>693</v>
      </c>
      <c r="D3764" t="s">
        <v>725</v>
      </c>
      <c r="E3764" t="s">
        <v>839</v>
      </c>
      <c r="F3764">
        <v>2</v>
      </c>
      <c r="G3764">
        <v>0.05</v>
      </c>
      <c r="H3764" t="s">
        <v>865</v>
      </c>
      <c r="I3764" t="str">
        <f>VLOOKUP(C3764,Customers!A:C,2,FALSE)&amp;" "&amp;VLOOKUP(C3764,Customers!A:C,3,FALSE)</f>
        <v>Matthew Dixon</v>
      </c>
      <c r="J3764" t="str">
        <f>VLOOKUP(D3764,Products!A:C,2,FALSE)</f>
        <v>Knowledge Bags</v>
      </c>
      <c r="K3764" t="str">
        <f>VLOOKUP(D3764,Products!A:C,3,FALSE)</f>
        <v>Fashion</v>
      </c>
      <c r="L3764" t="str">
        <f>VLOOKUP(E3764,Stores!A:B,2,FALSE)</f>
        <v>MegaMart New Michele</v>
      </c>
      <c r="M3764">
        <f>VLOOKUP(D3764,Products!A:E,5,FALSE)</f>
        <v>1396.22</v>
      </c>
      <c r="N3764" s="5">
        <f t="shared" si="58"/>
        <v>2652.8179999999998</v>
      </c>
    </row>
    <row r="3765" spans="1:14" x14ac:dyDescent="0.3">
      <c r="A3765" t="s">
        <v>4621</v>
      </c>
      <c r="B3765" s="2">
        <v>45839</v>
      </c>
      <c r="C3765" t="s">
        <v>407</v>
      </c>
      <c r="D3765" t="s">
        <v>711</v>
      </c>
      <c r="E3765" t="s">
        <v>835</v>
      </c>
      <c r="F3765">
        <v>2</v>
      </c>
      <c r="G3765">
        <v>0.1</v>
      </c>
      <c r="H3765" t="s">
        <v>855</v>
      </c>
      <c r="I3765" t="str">
        <f>VLOOKUP(C3765,Customers!A:C,2,FALSE)&amp;" "&amp;VLOOKUP(C3765,Customers!A:C,3,FALSE)</f>
        <v>Austin Hogan</v>
      </c>
      <c r="J3765" t="str">
        <f>VLOOKUP(D3765,Products!A:C,2,FALSE)</f>
        <v>Like Camera</v>
      </c>
      <c r="K3765" t="str">
        <f>VLOOKUP(D3765,Products!A:C,3,FALSE)</f>
        <v>Electronics</v>
      </c>
      <c r="L3765" t="str">
        <f>VLOOKUP(E3765,Stores!A:B,2,FALSE)</f>
        <v>MegaMart Peckmouth</v>
      </c>
      <c r="M3765">
        <f>VLOOKUP(D3765,Products!A:E,5,FALSE)</f>
        <v>1673.69</v>
      </c>
      <c r="N3765" s="5">
        <f t="shared" si="58"/>
        <v>3012.6420000000003</v>
      </c>
    </row>
    <row r="3766" spans="1:14" x14ac:dyDescent="0.3">
      <c r="A3766" t="s">
        <v>4622</v>
      </c>
      <c r="B3766" s="2">
        <v>45875</v>
      </c>
      <c r="C3766" t="s">
        <v>390</v>
      </c>
      <c r="D3766" t="s">
        <v>806</v>
      </c>
      <c r="E3766" t="s">
        <v>842</v>
      </c>
      <c r="F3766">
        <v>2</v>
      </c>
      <c r="G3766">
        <v>0.05</v>
      </c>
      <c r="H3766" t="s">
        <v>858</v>
      </c>
      <c r="I3766" t="str">
        <f>VLOOKUP(C3766,Customers!A:C,2,FALSE)&amp;" "&amp;VLOOKUP(C3766,Customers!A:C,3,FALSE)</f>
        <v>Brenda Dean</v>
      </c>
      <c r="J3766" t="str">
        <f>VLOOKUP(D3766,Products!A:C,2,FALSE)</f>
        <v>Piece Headphones</v>
      </c>
      <c r="K3766" t="str">
        <f>VLOOKUP(D3766,Products!A:C,3,FALSE)</f>
        <v>Electronics</v>
      </c>
      <c r="L3766" t="str">
        <f>VLOOKUP(E3766,Stores!A:B,2,FALSE)</f>
        <v>MegaMart Brianahaven</v>
      </c>
      <c r="M3766">
        <f>VLOOKUP(D3766,Products!A:E,5,FALSE)</f>
        <v>1745.61</v>
      </c>
      <c r="N3766" s="5">
        <f t="shared" si="58"/>
        <v>3316.6589999999997</v>
      </c>
    </row>
    <row r="3767" spans="1:14" x14ac:dyDescent="0.3">
      <c r="A3767" t="s">
        <v>4623</v>
      </c>
      <c r="B3767" s="2">
        <v>45232</v>
      </c>
      <c r="C3767" t="s">
        <v>327</v>
      </c>
      <c r="D3767" t="s">
        <v>804</v>
      </c>
      <c r="E3767" t="s">
        <v>839</v>
      </c>
      <c r="F3767">
        <v>1</v>
      </c>
      <c r="G3767">
        <v>0</v>
      </c>
      <c r="H3767" t="s">
        <v>858</v>
      </c>
      <c r="I3767" t="str">
        <f>VLOOKUP(C3767,Customers!A:C,2,FALSE)&amp;" "&amp;VLOOKUP(C3767,Customers!A:C,3,FALSE)</f>
        <v>Laurie Mason</v>
      </c>
      <c r="J3767" t="str">
        <f>VLOOKUP(D3767,Products!A:C,2,FALSE)</f>
        <v>Church Clothing</v>
      </c>
      <c r="K3767" t="str">
        <f>VLOOKUP(D3767,Products!A:C,3,FALSE)</f>
        <v>Fashion</v>
      </c>
      <c r="L3767" t="str">
        <f>VLOOKUP(E3767,Stores!A:B,2,FALSE)</f>
        <v>MegaMart New Michele</v>
      </c>
      <c r="M3767">
        <f>VLOOKUP(D3767,Products!A:E,5,FALSE)</f>
        <v>540.94000000000005</v>
      </c>
      <c r="N3767" s="5">
        <f t="shared" si="58"/>
        <v>540.94000000000005</v>
      </c>
    </row>
    <row r="3768" spans="1:14" x14ac:dyDescent="0.3">
      <c r="A3768" t="s">
        <v>4624</v>
      </c>
      <c r="B3768" s="2">
        <v>45907</v>
      </c>
      <c r="C3768" t="s">
        <v>579</v>
      </c>
      <c r="D3768" t="s">
        <v>780</v>
      </c>
      <c r="E3768" t="s">
        <v>839</v>
      </c>
      <c r="F3768">
        <v>5</v>
      </c>
      <c r="G3768">
        <v>0.1</v>
      </c>
      <c r="H3768" t="s">
        <v>861</v>
      </c>
      <c r="I3768" t="str">
        <f>VLOOKUP(C3768,Customers!A:C,2,FALSE)&amp;" "&amp;VLOOKUP(C3768,Customers!A:C,3,FALSE)</f>
        <v>Jill Roach</v>
      </c>
      <c r="J3768" t="str">
        <f>VLOOKUP(D3768,Products!A:C,2,FALSE)</f>
        <v>Hospital Smartphone</v>
      </c>
      <c r="K3768" t="str">
        <f>VLOOKUP(D3768,Products!A:C,3,FALSE)</f>
        <v>Electronics</v>
      </c>
      <c r="L3768" t="str">
        <f>VLOOKUP(E3768,Stores!A:B,2,FALSE)</f>
        <v>MegaMart New Michele</v>
      </c>
      <c r="M3768">
        <f>VLOOKUP(D3768,Products!A:E,5,FALSE)</f>
        <v>1272.23</v>
      </c>
      <c r="N3768" s="5">
        <f t="shared" si="58"/>
        <v>5725.0349999999999</v>
      </c>
    </row>
    <row r="3769" spans="1:14" x14ac:dyDescent="0.3">
      <c r="A3769" t="s">
        <v>4625</v>
      </c>
      <c r="B3769" s="2">
        <v>45831</v>
      </c>
      <c r="C3769" t="s">
        <v>59</v>
      </c>
      <c r="D3769" t="s">
        <v>769</v>
      </c>
      <c r="E3769" t="s">
        <v>831</v>
      </c>
      <c r="F3769">
        <v>4</v>
      </c>
      <c r="G3769">
        <v>0.05</v>
      </c>
      <c r="H3769" t="s">
        <v>861</v>
      </c>
      <c r="I3769" t="str">
        <f>VLOOKUP(C3769,Customers!A:C,2,FALSE)&amp;" "&amp;VLOOKUP(C3769,Customers!A:C,3,FALSE)</f>
        <v>Brittany Green</v>
      </c>
      <c r="J3769" t="str">
        <f>VLOOKUP(D3769,Products!A:C,2,FALSE)</f>
        <v>How Vegetables</v>
      </c>
      <c r="K3769" t="str">
        <f>VLOOKUP(D3769,Products!A:C,3,FALSE)</f>
        <v>Groceries</v>
      </c>
      <c r="L3769" t="str">
        <f>VLOOKUP(E3769,Stores!A:B,2,FALSE)</f>
        <v>MegaMart Jimenezborough</v>
      </c>
      <c r="M3769">
        <f>VLOOKUP(D3769,Products!A:E,5,FALSE)</f>
        <v>25.57</v>
      </c>
      <c r="N3769" s="5">
        <f t="shared" si="58"/>
        <v>97.165999999999997</v>
      </c>
    </row>
    <row r="3770" spans="1:14" x14ac:dyDescent="0.3">
      <c r="A3770" t="s">
        <v>4626</v>
      </c>
      <c r="B3770" s="2">
        <v>45233</v>
      </c>
      <c r="C3770" t="s">
        <v>123</v>
      </c>
      <c r="D3770" t="s">
        <v>792</v>
      </c>
      <c r="E3770" t="s">
        <v>835</v>
      </c>
      <c r="F3770">
        <v>2</v>
      </c>
      <c r="G3770">
        <v>0.1</v>
      </c>
      <c r="H3770" t="s">
        <v>861</v>
      </c>
      <c r="I3770" t="str">
        <f>VLOOKUP(C3770,Customers!A:C,2,FALSE)&amp;" "&amp;VLOOKUP(C3770,Customers!A:C,3,FALSE)</f>
        <v>Ashley Gibson</v>
      </c>
      <c r="J3770" t="str">
        <f>VLOOKUP(D3770,Products!A:C,2,FALSE)</f>
        <v>Beat Accessories</v>
      </c>
      <c r="K3770" t="str">
        <f>VLOOKUP(D3770,Products!A:C,3,FALSE)</f>
        <v>Fashion</v>
      </c>
      <c r="L3770" t="str">
        <f>VLOOKUP(E3770,Stores!A:B,2,FALSE)</f>
        <v>MegaMart Peckmouth</v>
      </c>
      <c r="M3770">
        <f>VLOOKUP(D3770,Products!A:E,5,FALSE)</f>
        <v>1798.97</v>
      </c>
      <c r="N3770" s="5">
        <f t="shared" si="58"/>
        <v>3238.1460000000002</v>
      </c>
    </row>
    <row r="3771" spans="1:14" x14ac:dyDescent="0.3">
      <c r="A3771" t="s">
        <v>4627</v>
      </c>
      <c r="B3771" s="2">
        <v>45731</v>
      </c>
      <c r="C3771" t="s">
        <v>690</v>
      </c>
      <c r="D3771" t="s">
        <v>757</v>
      </c>
      <c r="E3771" t="s">
        <v>842</v>
      </c>
      <c r="F3771">
        <v>4</v>
      </c>
      <c r="G3771">
        <v>0.15</v>
      </c>
      <c r="H3771" t="s">
        <v>858</v>
      </c>
      <c r="I3771" t="str">
        <f>VLOOKUP(C3771,Customers!A:C,2,FALSE)&amp;" "&amp;VLOOKUP(C3771,Customers!A:C,3,FALSE)</f>
        <v>James Noble</v>
      </c>
      <c r="J3771" t="str">
        <f>VLOOKUP(D3771,Products!A:C,2,FALSE)</f>
        <v>Find Headphones</v>
      </c>
      <c r="K3771" t="str">
        <f>VLOOKUP(D3771,Products!A:C,3,FALSE)</f>
        <v>Electronics</v>
      </c>
      <c r="L3771" t="str">
        <f>VLOOKUP(E3771,Stores!A:B,2,FALSE)</f>
        <v>MegaMart Brianahaven</v>
      </c>
      <c r="M3771">
        <f>VLOOKUP(D3771,Products!A:E,5,FALSE)</f>
        <v>1246.1099999999999</v>
      </c>
      <c r="N3771" s="5">
        <f t="shared" si="58"/>
        <v>4236.7739999999994</v>
      </c>
    </row>
    <row r="3772" spans="1:14" x14ac:dyDescent="0.3">
      <c r="A3772" t="s">
        <v>4628</v>
      </c>
      <c r="B3772" s="2">
        <v>45522</v>
      </c>
      <c r="C3772" t="s">
        <v>302</v>
      </c>
      <c r="D3772" t="s">
        <v>786</v>
      </c>
      <c r="E3772" t="s">
        <v>842</v>
      </c>
      <c r="F3772">
        <v>2</v>
      </c>
      <c r="G3772">
        <v>0.1</v>
      </c>
      <c r="H3772" t="s">
        <v>865</v>
      </c>
      <c r="I3772" t="str">
        <f>VLOOKUP(C3772,Customers!A:C,2,FALSE)&amp;" "&amp;VLOOKUP(C3772,Customers!A:C,3,FALSE)</f>
        <v>Grace Garcia</v>
      </c>
      <c r="J3772" t="str">
        <f>VLOOKUP(D3772,Products!A:C,2,FALSE)</f>
        <v>National Watches</v>
      </c>
      <c r="K3772" t="str">
        <f>VLOOKUP(D3772,Products!A:C,3,FALSE)</f>
        <v>Fashion</v>
      </c>
      <c r="L3772" t="str">
        <f>VLOOKUP(E3772,Stores!A:B,2,FALSE)</f>
        <v>MegaMart Brianahaven</v>
      </c>
      <c r="M3772">
        <f>VLOOKUP(D3772,Products!A:E,5,FALSE)</f>
        <v>29.24</v>
      </c>
      <c r="N3772" s="5">
        <f t="shared" si="58"/>
        <v>52.631999999999998</v>
      </c>
    </row>
    <row r="3773" spans="1:14" x14ac:dyDescent="0.3">
      <c r="A3773" t="s">
        <v>4629</v>
      </c>
      <c r="B3773" s="2">
        <v>45296</v>
      </c>
      <c r="C3773" t="s">
        <v>375</v>
      </c>
      <c r="D3773" t="s">
        <v>824</v>
      </c>
      <c r="E3773" t="s">
        <v>831</v>
      </c>
      <c r="F3773">
        <v>1</v>
      </c>
      <c r="G3773">
        <v>0</v>
      </c>
      <c r="H3773" t="s">
        <v>861</v>
      </c>
      <c r="I3773" t="str">
        <f>VLOOKUP(C3773,Customers!A:C,2,FALSE)&amp;" "&amp;VLOOKUP(C3773,Customers!A:C,3,FALSE)</f>
        <v>Sean Hart</v>
      </c>
      <c r="J3773" t="str">
        <f>VLOOKUP(D3773,Products!A:C,2,FALSE)</f>
        <v>Possible Watches</v>
      </c>
      <c r="K3773" t="str">
        <f>VLOOKUP(D3773,Products!A:C,3,FALSE)</f>
        <v>Fashion</v>
      </c>
      <c r="L3773" t="str">
        <f>VLOOKUP(E3773,Stores!A:B,2,FALSE)</f>
        <v>MegaMart Jimenezborough</v>
      </c>
      <c r="M3773">
        <f>VLOOKUP(D3773,Products!A:E,5,FALSE)</f>
        <v>388.26</v>
      </c>
      <c r="N3773" s="5">
        <f t="shared" si="58"/>
        <v>388.26</v>
      </c>
    </row>
    <row r="3774" spans="1:14" x14ac:dyDescent="0.3">
      <c r="A3774" t="s">
        <v>4630</v>
      </c>
      <c r="B3774" s="2">
        <v>45406</v>
      </c>
      <c r="C3774" t="s">
        <v>274</v>
      </c>
      <c r="D3774" t="s">
        <v>780</v>
      </c>
      <c r="E3774" t="s">
        <v>831</v>
      </c>
      <c r="F3774">
        <v>1</v>
      </c>
      <c r="G3774">
        <v>0.1</v>
      </c>
      <c r="H3774" t="s">
        <v>855</v>
      </c>
      <c r="I3774" t="str">
        <f>VLOOKUP(C3774,Customers!A:C,2,FALSE)&amp;" "&amp;VLOOKUP(C3774,Customers!A:C,3,FALSE)</f>
        <v>Eric Watkins</v>
      </c>
      <c r="J3774" t="str">
        <f>VLOOKUP(D3774,Products!A:C,2,FALSE)</f>
        <v>Hospital Smartphone</v>
      </c>
      <c r="K3774" t="str">
        <f>VLOOKUP(D3774,Products!A:C,3,FALSE)</f>
        <v>Electronics</v>
      </c>
      <c r="L3774" t="str">
        <f>VLOOKUP(E3774,Stores!A:B,2,FALSE)</f>
        <v>MegaMart Jimenezborough</v>
      </c>
      <c r="M3774">
        <f>VLOOKUP(D3774,Products!A:E,5,FALSE)</f>
        <v>1272.23</v>
      </c>
      <c r="N3774" s="5">
        <f t="shared" si="58"/>
        <v>1145.0070000000001</v>
      </c>
    </row>
    <row r="3775" spans="1:14" x14ac:dyDescent="0.3">
      <c r="A3775" t="s">
        <v>4631</v>
      </c>
      <c r="B3775" s="2">
        <v>45495</v>
      </c>
      <c r="C3775" t="s">
        <v>500</v>
      </c>
      <c r="D3775" t="s">
        <v>784</v>
      </c>
      <c r="E3775" t="s">
        <v>846</v>
      </c>
      <c r="F3775">
        <v>4</v>
      </c>
      <c r="G3775">
        <v>0</v>
      </c>
      <c r="H3775" t="s">
        <v>865</v>
      </c>
      <c r="I3775" t="str">
        <f>VLOOKUP(C3775,Customers!A:C,2,FALSE)&amp;" "&amp;VLOOKUP(C3775,Customers!A:C,3,FALSE)</f>
        <v>Gary Lopez</v>
      </c>
      <c r="J3775" t="str">
        <f>VLOOKUP(D3775,Products!A:C,2,FALSE)</f>
        <v>Road Clothing</v>
      </c>
      <c r="K3775" t="str">
        <f>VLOOKUP(D3775,Products!A:C,3,FALSE)</f>
        <v>Fashion</v>
      </c>
      <c r="L3775" t="str">
        <f>VLOOKUP(E3775,Stores!A:B,2,FALSE)</f>
        <v>MegaMart Johnmouth</v>
      </c>
      <c r="M3775">
        <f>VLOOKUP(D3775,Products!A:E,5,FALSE)</f>
        <v>1485.05</v>
      </c>
      <c r="N3775" s="5">
        <f t="shared" si="58"/>
        <v>5940.2</v>
      </c>
    </row>
    <row r="3776" spans="1:14" x14ac:dyDescent="0.3">
      <c r="A3776" t="s">
        <v>4632</v>
      </c>
      <c r="B3776" s="2">
        <v>45660</v>
      </c>
      <c r="C3776" t="s">
        <v>687</v>
      </c>
      <c r="D3776" t="s">
        <v>747</v>
      </c>
      <c r="E3776" t="s">
        <v>846</v>
      </c>
      <c r="F3776">
        <v>1</v>
      </c>
      <c r="G3776">
        <v>0</v>
      </c>
      <c r="H3776" t="s">
        <v>858</v>
      </c>
      <c r="I3776" t="str">
        <f>VLOOKUP(C3776,Customers!A:C,2,FALSE)&amp;" "&amp;VLOOKUP(C3776,Customers!A:C,3,FALSE)</f>
        <v>James Mitchell</v>
      </c>
      <c r="J3776" t="str">
        <f>VLOOKUP(D3776,Products!A:C,2,FALSE)</f>
        <v>World Watches</v>
      </c>
      <c r="K3776" t="str">
        <f>VLOOKUP(D3776,Products!A:C,3,FALSE)</f>
        <v>Fashion</v>
      </c>
      <c r="L3776" t="str">
        <f>VLOOKUP(E3776,Stores!A:B,2,FALSE)</f>
        <v>MegaMart Johnmouth</v>
      </c>
      <c r="M3776">
        <f>VLOOKUP(D3776,Products!A:E,5,FALSE)</f>
        <v>1134.8</v>
      </c>
      <c r="N3776" s="5">
        <f t="shared" si="58"/>
        <v>1134.8</v>
      </c>
    </row>
    <row r="3777" spans="1:14" x14ac:dyDescent="0.3">
      <c r="A3777" t="s">
        <v>4633</v>
      </c>
      <c r="B3777" s="2">
        <v>45798</v>
      </c>
      <c r="C3777" t="s">
        <v>545</v>
      </c>
      <c r="D3777" t="s">
        <v>780</v>
      </c>
      <c r="E3777" t="s">
        <v>846</v>
      </c>
      <c r="F3777">
        <v>4</v>
      </c>
      <c r="G3777">
        <v>0.15</v>
      </c>
      <c r="H3777" t="s">
        <v>858</v>
      </c>
      <c r="I3777" t="str">
        <f>VLOOKUP(C3777,Customers!A:C,2,FALSE)&amp;" "&amp;VLOOKUP(C3777,Customers!A:C,3,FALSE)</f>
        <v>Dawn Fletcher</v>
      </c>
      <c r="J3777" t="str">
        <f>VLOOKUP(D3777,Products!A:C,2,FALSE)</f>
        <v>Hospital Smartphone</v>
      </c>
      <c r="K3777" t="str">
        <f>VLOOKUP(D3777,Products!A:C,3,FALSE)</f>
        <v>Electronics</v>
      </c>
      <c r="L3777" t="str">
        <f>VLOOKUP(E3777,Stores!A:B,2,FALSE)</f>
        <v>MegaMart Johnmouth</v>
      </c>
      <c r="M3777">
        <f>VLOOKUP(D3777,Products!A:E,5,FALSE)</f>
        <v>1272.23</v>
      </c>
      <c r="N3777" s="5">
        <f t="shared" si="58"/>
        <v>4325.5820000000003</v>
      </c>
    </row>
    <row r="3778" spans="1:14" x14ac:dyDescent="0.3">
      <c r="A3778" t="s">
        <v>4634</v>
      </c>
      <c r="B3778" s="2">
        <v>45421</v>
      </c>
      <c r="C3778" t="s">
        <v>524</v>
      </c>
      <c r="D3778" t="s">
        <v>766</v>
      </c>
      <c r="E3778" t="s">
        <v>835</v>
      </c>
      <c r="F3778">
        <v>2</v>
      </c>
      <c r="G3778">
        <v>0</v>
      </c>
      <c r="H3778" t="s">
        <v>861</v>
      </c>
      <c r="I3778" t="str">
        <f>VLOOKUP(C3778,Customers!A:C,2,FALSE)&amp;" "&amp;VLOOKUP(C3778,Customers!A:C,3,FALSE)</f>
        <v>Betty Johnson</v>
      </c>
      <c r="J3778" t="str">
        <f>VLOOKUP(D3778,Products!A:C,2,FALSE)</f>
        <v>Firm Dairy</v>
      </c>
      <c r="K3778" t="str">
        <f>VLOOKUP(D3778,Products!A:C,3,FALSE)</f>
        <v>Groceries</v>
      </c>
      <c r="L3778" t="str">
        <f>VLOOKUP(E3778,Stores!A:B,2,FALSE)</f>
        <v>MegaMart Peckmouth</v>
      </c>
      <c r="M3778">
        <f>VLOOKUP(D3778,Products!A:E,5,FALSE)</f>
        <v>1227.24</v>
      </c>
      <c r="N3778" s="5">
        <f t="shared" si="58"/>
        <v>2454.48</v>
      </c>
    </row>
    <row r="3779" spans="1:14" x14ac:dyDescent="0.3">
      <c r="A3779" t="s">
        <v>4635</v>
      </c>
      <c r="B3779" s="2">
        <v>45694</v>
      </c>
      <c r="C3779" t="s">
        <v>536</v>
      </c>
      <c r="D3779" t="s">
        <v>822</v>
      </c>
      <c r="E3779" t="s">
        <v>846</v>
      </c>
      <c r="F3779">
        <v>3</v>
      </c>
      <c r="G3779">
        <v>0.15</v>
      </c>
      <c r="H3779" t="s">
        <v>865</v>
      </c>
      <c r="I3779" t="str">
        <f>VLOOKUP(C3779,Customers!A:C,2,FALSE)&amp;" "&amp;VLOOKUP(C3779,Customers!A:C,3,FALSE)</f>
        <v>John Foster</v>
      </c>
      <c r="J3779" t="str">
        <f>VLOOKUP(D3779,Products!A:C,2,FALSE)</f>
        <v>Nor Bags</v>
      </c>
      <c r="K3779" t="str">
        <f>VLOOKUP(D3779,Products!A:C,3,FALSE)</f>
        <v>Fashion</v>
      </c>
      <c r="L3779" t="str">
        <f>VLOOKUP(E3779,Stores!A:B,2,FALSE)</f>
        <v>MegaMart Johnmouth</v>
      </c>
      <c r="M3779">
        <f>VLOOKUP(D3779,Products!A:E,5,FALSE)</f>
        <v>1216.3599999999999</v>
      </c>
      <c r="N3779" s="5">
        <f t="shared" ref="N3779:N3842" si="59">F3779*M3779*(1-G3779)</f>
        <v>3101.7179999999998</v>
      </c>
    </row>
    <row r="3780" spans="1:14" x14ac:dyDescent="0.3">
      <c r="A3780" t="s">
        <v>4636</v>
      </c>
      <c r="B3780" s="2">
        <v>45249</v>
      </c>
      <c r="C3780" t="s">
        <v>266</v>
      </c>
      <c r="D3780" t="s">
        <v>722</v>
      </c>
      <c r="E3780" t="s">
        <v>842</v>
      </c>
      <c r="F3780">
        <v>2</v>
      </c>
      <c r="G3780">
        <v>0.15</v>
      </c>
      <c r="H3780" t="s">
        <v>855</v>
      </c>
      <c r="I3780" t="str">
        <f>VLOOKUP(C3780,Customers!A:C,2,FALSE)&amp;" "&amp;VLOOKUP(C3780,Customers!A:C,3,FALSE)</f>
        <v>Eric Bryan</v>
      </c>
      <c r="J3780" t="str">
        <f>VLOOKUP(D3780,Products!A:C,2,FALSE)</f>
        <v>Four Accessories</v>
      </c>
      <c r="K3780" t="str">
        <f>VLOOKUP(D3780,Products!A:C,3,FALSE)</f>
        <v>Fashion</v>
      </c>
      <c r="L3780" t="str">
        <f>VLOOKUP(E3780,Stores!A:B,2,FALSE)</f>
        <v>MegaMart Brianahaven</v>
      </c>
      <c r="M3780">
        <f>VLOOKUP(D3780,Products!A:E,5,FALSE)</f>
        <v>1853.77</v>
      </c>
      <c r="N3780" s="5">
        <f t="shared" si="59"/>
        <v>3151.4090000000001</v>
      </c>
    </row>
    <row r="3781" spans="1:14" x14ac:dyDescent="0.3">
      <c r="A3781" t="s">
        <v>4637</v>
      </c>
      <c r="B3781" s="2">
        <v>45379</v>
      </c>
      <c r="C3781" t="s">
        <v>167</v>
      </c>
      <c r="D3781" t="s">
        <v>794</v>
      </c>
      <c r="E3781" t="s">
        <v>842</v>
      </c>
      <c r="F3781">
        <v>1</v>
      </c>
      <c r="G3781">
        <v>0.05</v>
      </c>
      <c r="H3781" t="s">
        <v>865</v>
      </c>
      <c r="I3781" t="str">
        <f>VLOOKUP(C3781,Customers!A:C,2,FALSE)&amp;" "&amp;VLOOKUP(C3781,Customers!A:C,3,FALSE)</f>
        <v>Kenneth Allen</v>
      </c>
      <c r="J3781" t="str">
        <f>VLOOKUP(D3781,Products!A:C,2,FALSE)</f>
        <v>Everything Laptop</v>
      </c>
      <c r="K3781" t="str">
        <f>VLOOKUP(D3781,Products!A:C,3,FALSE)</f>
        <v>Electronics</v>
      </c>
      <c r="L3781" t="str">
        <f>VLOOKUP(E3781,Stores!A:B,2,FALSE)</f>
        <v>MegaMart Brianahaven</v>
      </c>
      <c r="M3781">
        <f>VLOOKUP(D3781,Products!A:E,5,FALSE)</f>
        <v>428.05</v>
      </c>
      <c r="N3781" s="5">
        <f t="shared" si="59"/>
        <v>406.64749999999998</v>
      </c>
    </row>
    <row r="3782" spans="1:14" x14ac:dyDescent="0.3">
      <c r="A3782" t="s">
        <v>4638</v>
      </c>
      <c r="B3782" s="2">
        <v>45382</v>
      </c>
      <c r="C3782" t="s">
        <v>167</v>
      </c>
      <c r="D3782" t="s">
        <v>725</v>
      </c>
      <c r="E3782" t="s">
        <v>831</v>
      </c>
      <c r="F3782">
        <v>2</v>
      </c>
      <c r="G3782">
        <v>0.1</v>
      </c>
      <c r="H3782" t="s">
        <v>861</v>
      </c>
      <c r="I3782" t="str">
        <f>VLOOKUP(C3782,Customers!A:C,2,FALSE)&amp;" "&amp;VLOOKUP(C3782,Customers!A:C,3,FALSE)</f>
        <v>Kenneth Allen</v>
      </c>
      <c r="J3782" t="str">
        <f>VLOOKUP(D3782,Products!A:C,2,FALSE)</f>
        <v>Knowledge Bags</v>
      </c>
      <c r="K3782" t="str">
        <f>VLOOKUP(D3782,Products!A:C,3,FALSE)</f>
        <v>Fashion</v>
      </c>
      <c r="L3782" t="str">
        <f>VLOOKUP(E3782,Stores!A:B,2,FALSE)</f>
        <v>MegaMart Jimenezborough</v>
      </c>
      <c r="M3782">
        <f>VLOOKUP(D3782,Products!A:E,5,FALSE)</f>
        <v>1396.22</v>
      </c>
      <c r="N3782" s="5">
        <f t="shared" si="59"/>
        <v>2513.1959999999999</v>
      </c>
    </row>
    <row r="3783" spans="1:14" x14ac:dyDescent="0.3">
      <c r="A3783" t="s">
        <v>4639</v>
      </c>
      <c r="B3783" s="2">
        <v>45816</v>
      </c>
      <c r="C3783" t="s">
        <v>666</v>
      </c>
      <c r="D3783" t="s">
        <v>784</v>
      </c>
      <c r="E3783" t="s">
        <v>842</v>
      </c>
      <c r="F3783">
        <v>3</v>
      </c>
      <c r="G3783">
        <v>0.05</v>
      </c>
      <c r="H3783" t="s">
        <v>858</v>
      </c>
      <c r="I3783" t="str">
        <f>VLOOKUP(C3783,Customers!A:C,2,FALSE)&amp;" "&amp;VLOOKUP(C3783,Customers!A:C,3,FALSE)</f>
        <v>Steve Flynn</v>
      </c>
      <c r="J3783" t="str">
        <f>VLOOKUP(D3783,Products!A:C,2,FALSE)</f>
        <v>Road Clothing</v>
      </c>
      <c r="K3783" t="str">
        <f>VLOOKUP(D3783,Products!A:C,3,FALSE)</f>
        <v>Fashion</v>
      </c>
      <c r="L3783" t="str">
        <f>VLOOKUP(E3783,Stores!A:B,2,FALSE)</f>
        <v>MegaMart Brianahaven</v>
      </c>
      <c r="M3783">
        <f>VLOOKUP(D3783,Products!A:E,5,FALSE)</f>
        <v>1485.05</v>
      </c>
      <c r="N3783" s="5">
        <f t="shared" si="59"/>
        <v>4232.392499999999</v>
      </c>
    </row>
    <row r="3784" spans="1:14" x14ac:dyDescent="0.3">
      <c r="A3784" t="s">
        <v>4640</v>
      </c>
      <c r="B3784" s="2">
        <v>45559</v>
      </c>
      <c r="C3784" t="s">
        <v>335</v>
      </c>
      <c r="D3784" t="s">
        <v>818</v>
      </c>
      <c r="E3784" t="s">
        <v>846</v>
      </c>
      <c r="F3784">
        <v>4</v>
      </c>
      <c r="G3784">
        <v>0</v>
      </c>
      <c r="H3784" t="s">
        <v>858</v>
      </c>
      <c r="I3784" t="str">
        <f>VLOOKUP(C3784,Customers!A:C,2,FALSE)&amp;" "&amp;VLOOKUP(C3784,Customers!A:C,3,FALSE)</f>
        <v>William Warner</v>
      </c>
      <c r="J3784" t="str">
        <f>VLOOKUP(D3784,Products!A:C,2,FALSE)</f>
        <v>Nature Clothing</v>
      </c>
      <c r="K3784" t="str">
        <f>VLOOKUP(D3784,Products!A:C,3,FALSE)</f>
        <v>Fashion</v>
      </c>
      <c r="L3784" t="str">
        <f>VLOOKUP(E3784,Stores!A:B,2,FALSE)</f>
        <v>MegaMart Johnmouth</v>
      </c>
      <c r="M3784">
        <f>VLOOKUP(D3784,Products!A:E,5,FALSE)</f>
        <v>1165.3699999999999</v>
      </c>
      <c r="N3784" s="5">
        <f t="shared" si="59"/>
        <v>4661.4799999999996</v>
      </c>
    </row>
    <row r="3785" spans="1:14" x14ac:dyDescent="0.3">
      <c r="A3785" t="s">
        <v>4641</v>
      </c>
      <c r="B3785" s="2">
        <v>45286</v>
      </c>
      <c r="C3785" t="s">
        <v>516</v>
      </c>
      <c r="D3785" t="s">
        <v>761</v>
      </c>
      <c r="E3785" t="s">
        <v>839</v>
      </c>
      <c r="F3785">
        <v>2</v>
      </c>
      <c r="G3785">
        <v>0.1</v>
      </c>
      <c r="H3785" t="s">
        <v>855</v>
      </c>
      <c r="I3785" t="str">
        <f>VLOOKUP(C3785,Customers!A:C,2,FALSE)&amp;" "&amp;VLOOKUP(C3785,Customers!A:C,3,FALSE)</f>
        <v>Suzanne Fox</v>
      </c>
      <c r="J3785" t="str">
        <f>VLOOKUP(D3785,Products!A:C,2,FALSE)</f>
        <v>Traditional Laptop</v>
      </c>
      <c r="K3785" t="str">
        <f>VLOOKUP(D3785,Products!A:C,3,FALSE)</f>
        <v>Electronics</v>
      </c>
      <c r="L3785" t="str">
        <f>VLOOKUP(E3785,Stores!A:B,2,FALSE)</f>
        <v>MegaMart New Michele</v>
      </c>
      <c r="M3785">
        <f>VLOOKUP(D3785,Products!A:E,5,FALSE)</f>
        <v>1762.92</v>
      </c>
      <c r="N3785" s="5">
        <f t="shared" si="59"/>
        <v>3173.2560000000003</v>
      </c>
    </row>
    <row r="3786" spans="1:14" x14ac:dyDescent="0.3">
      <c r="A3786" t="s">
        <v>4642</v>
      </c>
      <c r="B3786" s="2">
        <v>45908</v>
      </c>
      <c r="C3786" t="s">
        <v>483</v>
      </c>
      <c r="D3786" t="s">
        <v>769</v>
      </c>
      <c r="E3786" t="s">
        <v>835</v>
      </c>
      <c r="F3786">
        <v>3</v>
      </c>
      <c r="G3786">
        <v>0.05</v>
      </c>
      <c r="H3786" t="s">
        <v>865</v>
      </c>
      <c r="I3786" t="str">
        <f>VLOOKUP(C3786,Customers!A:C,2,FALSE)&amp;" "&amp;VLOOKUP(C3786,Customers!A:C,3,FALSE)</f>
        <v>Jared Ochoa</v>
      </c>
      <c r="J3786" t="str">
        <f>VLOOKUP(D3786,Products!A:C,2,FALSE)</f>
        <v>How Vegetables</v>
      </c>
      <c r="K3786" t="str">
        <f>VLOOKUP(D3786,Products!A:C,3,FALSE)</f>
        <v>Groceries</v>
      </c>
      <c r="L3786" t="str">
        <f>VLOOKUP(E3786,Stores!A:B,2,FALSE)</f>
        <v>MegaMart Peckmouth</v>
      </c>
      <c r="M3786">
        <f>VLOOKUP(D3786,Products!A:E,5,FALSE)</f>
        <v>25.57</v>
      </c>
      <c r="N3786" s="5">
        <f t="shared" si="59"/>
        <v>72.874499999999998</v>
      </c>
    </row>
    <row r="3787" spans="1:14" x14ac:dyDescent="0.3">
      <c r="A3787" t="s">
        <v>4643</v>
      </c>
      <c r="B3787" s="2">
        <v>45746</v>
      </c>
      <c r="C3787" t="s">
        <v>612</v>
      </c>
      <c r="D3787" t="s">
        <v>812</v>
      </c>
      <c r="E3787" t="s">
        <v>846</v>
      </c>
      <c r="F3787">
        <v>2</v>
      </c>
      <c r="G3787">
        <v>0.1</v>
      </c>
      <c r="H3787" t="s">
        <v>855</v>
      </c>
      <c r="I3787" t="str">
        <f>VLOOKUP(C3787,Customers!A:C,2,FALSE)&amp;" "&amp;VLOOKUP(C3787,Customers!A:C,3,FALSE)</f>
        <v>Michelle Smith</v>
      </c>
      <c r="J3787" t="str">
        <f>VLOOKUP(D3787,Products!A:C,2,FALSE)</f>
        <v>Soon Accessories</v>
      </c>
      <c r="K3787" t="str">
        <f>VLOOKUP(D3787,Products!A:C,3,FALSE)</f>
        <v>Fashion</v>
      </c>
      <c r="L3787" t="str">
        <f>VLOOKUP(E3787,Stores!A:B,2,FALSE)</f>
        <v>MegaMart Johnmouth</v>
      </c>
      <c r="M3787">
        <f>VLOOKUP(D3787,Products!A:E,5,FALSE)</f>
        <v>564.41999999999996</v>
      </c>
      <c r="N3787" s="5">
        <f t="shared" si="59"/>
        <v>1015.9559999999999</v>
      </c>
    </row>
    <row r="3788" spans="1:14" x14ac:dyDescent="0.3">
      <c r="A3788" t="s">
        <v>4644</v>
      </c>
      <c r="B3788" s="2">
        <v>45692</v>
      </c>
      <c r="C3788" t="s">
        <v>351</v>
      </c>
      <c r="D3788" t="s">
        <v>810</v>
      </c>
      <c r="E3788" t="s">
        <v>839</v>
      </c>
      <c r="F3788">
        <v>1</v>
      </c>
      <c r="G3788">
        <v>0</v>
      </c>
      <c r="H3788" t="s">
        <v>858</v>
      </c>
      <c r="I3788" t="str">
        <f>VLOOKUP(C3788,Customers!A:C,2,FALSE)&amp;" "&amp;VLOOKUP(C3788,Customers!A:C,3,FALSE)</f>
        <v>Stanley Brown</v>
      </c>
      <c r="J3788" t="str">
        <f>VLOOKUP(D3788,Products!A:C,2,FALSE)</f>
        <v>Maybe Clothing</v>
      </c>
      <c r="K3788" t="str">
        <f>VLOOKUP(D3788,Products!A:C,3,FALSE)</f>
        <v>Fashion</v>
      </c>
      <c r="L3788" t="str">
        <f>VLOOKUP(E3788,Stores!A:B,2,FALSE)</f>
        <v>MegaMart New Michele</v>
      </c>
      <c r="M3788">
        <f>VLOOKUP(D3788,Products!A:E,5,FALSE)</f>
        <v>453.62</v>
      </c>
      <c r="N3788" s="5">
        <f t="shared" si="59"/>
        <v>453.62</v>
      </c>
    </row>
    <row r="3789" spans="1:14" x14ac:dyDescent="0.3">
      <c r="A3789" t="s">
        <v>4645</v>
      </c>
      <c r="B3789" s="2">
        <v>45758</v>
      </c>
      <c r="C3789" t="s">
        <v>250</v>
      </c>
      <c r="D3789" t="s">
        <v>757</v>
      </c>
      <c r="E3789" t="s">
        <v>839</v>
      </c>
      <c r="F3789">
        <v>3</v>
      </c>
      <c r="G3789">
        <v>0.1</v>
      </c>
      <c r="H3789" t="s">
        <v>858</v>
      </c>
      <c r="I3789" t="str">
        <f>VLOOKUP(C3789,Customers!A:C,2,FALSE)&amp;" "&amp;VLOOKUP(C3789,Customers!A:C,3,FALSE)</f>
        <v>Jason Jenkins</v>
      </c>
      <c r="J3789" t="str">
        <f>VLOOKUP(D3789,Products!A:C,2,FALSE)</f>
        <v>Find Headphones</v>
      </c>
      <c r="K3789" t="str">
        <f>VLOOKUP(D3789,Products!A:C,3,FALSE)</f>
        <v>Electronics</v>
      </c>
      <c r="L3789" t="str">
        <f>VLOOKUP(E3789,Stores!A:B,2,FALSE)</f>
        <v>MegaMart New Michele</v>
      </c>
      <c r="M3789">
        <f>VLOOKUP(D3789,Products!A:E,5,FALSE)</f>
        <v>1246.1099999999999</v>
      </c>
      <c r="N3789" s="5">
        <f t="shared" si="59"/>
        <v>3364.4969999999998</v>
      </c>
    </row>
    <row r="3790" spans="1:14" x14ac:dyDescent="0.3">
      <c r="A3790" t="s">
        <v>4646</v>
      </c>
      <c r="B3790" s="2">
        <v>45252</v>
      </c>
      <c r="C3790" t="s">
        <v>327</v>
      </c>
      <c r="D3790" t="s">
        <v>810</v>
      </c>
      <c r="E3790" t="s">
        <v>835</v>
      </c>
      <c r="F3790">
        <v>2</v>
      </c>
      <c r="G3790">
        <v>0</v>
      </c>
      <c r="H3790" t="s">
        <v>865</v>
      </c>
      <c r="I3790" t="str">
        <f>VLOOKUP(C3790,Customers!A:C,2,FALSE)&amp;" "&amp;VLOOKUP(C3790,Customers!A:C,3,FALSE)</f>
        <v>Laurie Mason</v>
      </c>
      <c r="J3790" t="str">
        <f>VLOOKUP(D3790,Products!A:C,2,FALSE)</f>
        <v>Maybe Clothing</v>
      </c>
      <c r="K3790" t="str">
        <f>VLOOKUP(D3790,Products!A:C,3,FALSE)</f>
        <v>Fashion</v>
      </c>
      <c r="L3790" t="str">
        <f>VLOOKUP(E3790,Stores!A:B,2,FALSE)</f>
        <v>MegaMart Peckmouth</v>
      </c>
      <c r="M3790">
        <f>VLOOKUP(D3790,Products!A:E,5,FALSE)</f>
        <v>453.62</v>
      </c>
      <c r="N3790" s="5">
        <f t="shared" si="59"/>
        <v>907.24</v>
      </c>
    </row>
    <row r="3791" spans="1:14" x14ac:dyDescent="0.3">
      <c r="A3791" t="s">
        <v>4647</v>
      </c>
      <c r="B3791" s="2">
        <v>45743</v>
      </c>
      <c r="C3791" t="s">
        <v>141</v>
      </c>
      <c r="D3791" t="s">
        <v>782</v>
      </c>
      <c r="E3791" t="s">
        <v>835</v>
      </c>
      <c r="F3791">
        <v>2</v>
      </c>
      <c r="G3791">
        <v>0.15</v>
      </c>
      <c r="H3791" t="s">
        <v>855</v>
      </c>
      <c r="I3791" t="str">
        <f>VLOOKUP(C3791,Customers!A:C,2,FALSE)&amp;" "&amp;VLOOKUP(C3791,Customers!A:C,3,FALSE)</f>
        <v>Michael Cervantes</v>
      </c>
      <c r="J3791" t="str">
        <f>VLOOKUP(D3791,Products!A:C,2,FALSE)</f>
        <v>Deal Smartphone</v>
      </c>
      <c r="K3791" t="str">
        <f>VLOOKUP(D3791,Products!A:C,3,FALSE)</f>
        <v>Electronics</v>
      </c>
      <c r="L3791" t="str">
        <f>VLOOKUP(E3791,Stores!A:B,2,FALSE)</f>
        <v>MegaMart Peckmouth</v>
      </c>
      <c r="M3791">
        <f>VLOOKUP(D3791,Products!A:E,5,FALSE)</f>
        <v>673.78</v>
      </c>
      <c r="N3791" s="5">
        <f t="shared" si="59"/>
        <v>1145.4259999999999</v>
      </c>
    </row>
    <row r="3792" spans="1:14" x14ac:dyDescent="0.3">
      <c r="A3792" t="s">
        <v>4648</v>
      </c>
      <c r="B3792" s="2">
        <v>45745</v>
      </c>
      <c r="C3792" t="s">
        <v>696</v>
      </c>
      <c r="D3792" t="s">
        <v>747</v>
      </c>
      <c r="E3792" t="s">
        <v>846</v>
      </c>
      <c r="F3792">
        <v>5</v>
      </c>
      <c r="G3792">
        <v>0.15</v>
      </c>
      <c r="H3792" t="s">
        <v>865</v>
      </c>
      <c r="I3792" t="str">
        <f>VLOOKUP(C3792,Customers!A:C,2,FALSE)&amp;" "&amp;VLOOKUP(C3792,Customers!A:C,3,FALSE)</f>
        <v>Jessica Mullins</v>
      </c>
      <c r="J3792" t="str">
        <f>VLOOKUP(D3792,Products!A:C,2,FALSE)</f>
        <v>World Watches</v>
      </c>
      <c r="K3792" t="str">
        <f>VLOOKUP(D3792,Products!A:C,3,FALSE)</f>
        <v>Fashion</v>
      </c>
      <c r="L3792" t="str">
        <f>VLOOKUP(E3792,Stores!A:B,2,FALSE)</f>
        <v>MegaMart Johnmouth</v>
      </c>
      <c r="M3792">
        <f>VLOOKUP(D3792,Products!A:E,5,FALSE)</f>
        <v>1134.8</v>
      </c>
      <c r="N3792" s="5">
        <f t="shared" si="59"/>
        <v>4822.8999999999996</v>
      </c>
    </row>
    <row r="3793" spans="1:14" x14ac:dyDescent="0.3">
      <c r="A3793" t="s">
        <v>4649</v>
      </c>
      <c r="B3793" s="2">
        <v>45673</v>
      </c>
      <c r="C3793" t="s">
        <v>432</v>
      </c>
      <c r="D3793" t="s">
        <v>788</v>
      </c>
      <c r="E3793" t="s">
        <v>842</v>
      </c>
      <c r="F3793">
        <v>4</v>
      </c>
      <c r="G3793">
        <v>0.05</v>
      </c>
      <c r="H3793" t="s">
        <v>861</v>
      </c>
      <c r="I3793" t="str">
        <f>VLOOKUP(C3793,Customers!A:C,2,FALSE)&amp;" "&amp;VLOOKUP(C3793,Customers!A:C,3,FALSE)</f>
        <v>Jamie Webb</v>
      </c>
      <c r="J3793" t="str">
        <f>VLOOKUP(D3793,Products!A:C,2,FALSE)</f>
        <v>Foot Snacks</v>
      </c>
      <c r="K3793" t="str">
        <f>VLOOKUP(D3793,Products!A:C,3,FALSE)</f>
        <v>Groceries</v>
      </c>
      <c r="L3793" t="str">
        <f>VLOOKUP(E3793,Stores!A:B,2,FALSE)</f>
        <v>MegaMart Brianahaven</v>
      </c>
      <c r="M3793">
        <f>VLOOKUP(D3793,Products!A:E,5,FALSE)</f>
        <v>1095.72</v>
      </c>
      <c r="N3793" s="5">
        <f t="shared" si="59"/>
        <v>4163.7359999999999</v>
      </c>
    </row>
    <row r="3794" spans="1:14" x14ac:dyDescent="0.3">
      <c r="A3794" t="s">
        <v>4650</v>
      </c>
      <c r="B3794" s="2">
        <v>45726</v>
      </c>
      <c r="C3794" t="s">
        <v>608</v>
      </c>
      <c r="D3794" t="s">
        <v>818</v>
      </c>
      <c r="E3794" t="s">
        <v>839</v>
      </c>
      <c r="F3794">
        <v>2</v>
      </c>
      <c r="G3794">
        <v>0.15</v>
      </c>
      <c r="H3794" t="s">
        <v>861</v>
      </c>
      <c r="I3794" t="str">
        <f>VLOOKUP(C3794,Customers!A:C,2,FALSE)&amp;" "&amp;VLOOKUP(C3794,Customers!A:C,3,FALSE)</f>
        <v>Christina Dominguez</v>
      </c>
      <c r="J3794" t="str">
        <f>VLOOKUP(D3794,Products!A:C,2,FALSE)</f>
        <v>Nature Clothing</v>
      </c>
      <c r="K3794" t="str">
        <f>VLOOKUP(D3794,Products!A:C,3,FALSE)</f>
        <v>Fashion</v>
      </c>
      <c r="L3794" t="str">
        <f>VLOOKUP(E3794,Stores!A:B,2,FALSE)</f>
        <v>MegaMart New Michele</v>
      </c>
      <c r="M3794">
        <f>VLOOKUP(D3794,Products!A:E,5,FALSE)</f>
        <v>1165.3699999999999</v>
      </c>
      <c r="N3794" s="5">
        <f t="shared" si="59"/>
        <v>1981.1289999999997</v>
      </c>
    </row>
    <row r="3795" spans="1:14" x14ac:dyDescent="0.3">
      <c r="A3795" t="s">
        <v>4651</v>
      </c>
      <c r="B3795" s="2">
        <v>45521</v>
      </c>
      <c r="C3795" t="s">
        <v>36</v>
      </c>
      <c r="D3795" t="s">
        <v>766</v>
      </c>
      <c r="E3795" t="s">
        <v>835</v>
      </c>
      <c r="F3795">
        <v>5</v>
      </c>
      <c r="G3795">
        <v>0.15</v>
      </c>
      <c r="H3795" t="s">
        <v>861</v>
      </c>
      <c r="I3795" t="str">
        <f>VLOOKUP(C3795,Customers!A:C,2,FALSE)&amp;" "&amp;VLOOKUP(C3795,Customers!A:C,3,FALSE)</f>
        <v>Isaiah Williams</v>
      </c>
      <c r="J3795" t="str">
        <f>VLOOKUP(D3795,Products!A:C,2,FALSE)</f>
        <v>Firm Dairy</v>
      </c>
      <c r="K3795" t="str">
        <f>VLOOKUP(D3795,Products!A:C,3,FALSE)</f>
        <v>Groceries</v>
      </c>
      <c r="L3795" t="str">
        <f>VLOOKUP(E3795,Stores!A:B,2,FALSE)</f>
        <v>MegaMart Peckmouth</v>
      </c>
      <c r="M3795">
        <f>VLOOKUP(D3795,Products!A:E,5,FALSE)</f>
        <v>1227.24</v>
      </c>
      <c r="N3795" s="5">
        <f t="shared" si="59"/>
        <v>5215.7699999999995</v>
      </c>
    </row>
    <row r="3796" spans="1:14" x14ac:dyDescent="0.3">
      <c r="A3796" t="s">
        <v>4652</v>
      </c>
      <c r="B3796" s="2">
        <v>45665</v>
      </c>
      <c r="C3796" t="s">
        <v>77</v>
      </c>
      <c r="D3796" t="s">
        <v>711</v>
      </c>
      <c r="E3796" t="s">
        <v>842</v>
      </c>
      <c r="F3796">
        <v>3</v>
      </c>
      <c r="G3796">
        <v>0</v>
      </c>
      <c r="H3796" t="s">
        <v>865</v>
      </c>
      <c r="I3796" t="str">
        <f>VLOOKUP(C3796,Customers!A:C,2,FALSE)&amp;" "&amp;VLOOKUP(C3796,Customers!A:C,3,FALSE)</f>
        <v>John Smith</v>
      </c>
      <c r="J3796" t="str">
        <f>VLOOKUP(D3796,Products!A:C,2,FALSE)</f>
        <v>Like Camera</v>
      </c>
      <c r="K3796" t="str">
        <f>VLOOKUP(D3796,Products!A:C,3,FALSE)</f>
        <v>Electronics</v>
      </c>
      <c r="L3796" t="str">
        <f>VLOOKUP(E3796,Stores!A:B,2,FALSE)</f>
        <v>MegaMart Brianahaven</v>
      </c>
      <c r="M3796">
        <f>VLOOKUP(D3796,Products!A:E,5,FALSE)</f>
        <v>1673.69</v>
      </c>
      <c r="N3796" s="5">
        <f t="shared" si="59"/>
        <v>5021.07</v>
      </c>
    </row>
    <row r="3797" spans="1:14" x14ac:dyDescent="0.3">
      <c r="A3797" t="s">
        <v>4653</v>
      </c>
      <c r="B3797" s="2">
        <v>45195</v>
      </c>
      <c r="C3797" t="s">
        <v>74</v>
      </c>
      <c r="D3797" t="s">
        <v>759</v>
      </c>
      <c r="E3797" t="s">
        <v>846</v>
      </c>
      <c r="F3797">
        <v>4</v>
      </c>
      <c r="G3797">
        <v>0.05</v>
      </c>
      <c r="H3797" t="s">
        <v>865</v>
      </c>
      <c r="I3797" t="str">
        <f>VLOOKUP(C3797,Customers!A:C,2,FALSE)&amp;" "&amp;VLOOKUP(C3797,Customers!A:C,3,FALSE)</f>
        <v>Breanna Davis</v>
      </c>
      <c r="J3797" t="str">
        <f>VLOOKUP(D3797,Products!A:C,2,FALSE)</f>
        <v>Democratic Smartphone</v>
      </c>
      <c r="K3797" t="str">
        <f>VLOOKUP(D3797,Products!A:C,3,FALSE)</f>
        <v>Electronics</v>
      </c>
      <c r="L3797" t="str">
        <f>VLOOKUP(E3797,Stores!A:B,2,FALSE)</f>
        <v>MegaMart Johnmouth</v>
      </c>
      <c r="M3797">
        <f>VLOOKUP(D3797,Products!A:E,5,FALSE)</f>
        <v>1079.8900000000001</v>
      </c>
      <c r="N3797" s="5">
        <f t="shared" si="59"/>
        <v>4103.5820000000003</v>
      </c>
    </row>
    <row r="3798" spans="1:14" x14ac:dyDescent="0.3">
      <c r="A3798" t="s">
        <v>4654</v>
      </c>
      <c r="B3798" s="2">
        <v>45645</v>
      </c>
      <c r="C3798" t="s">
        <v>250</v>
      </c>
      <c r="D3798" t="s">
        <v>769</v>
      </c>
      <c r="E3798" t="s">
        <v>839</v>
      </c>
      <c r="F3798">
        <v>2</v>
      </c>
      <c r="G3798">
        <v>0</v>
      </c>
      <c r="H3798" t="s">
        <v>858</v>
      </c>
      <c r="I3798" t="str">
        <f>VLOOKUP(C3798,Customers!A:C,2,FALSE)&amp;" "&amp;VLOOKUP(C3798,Customers!A:C,3,FALSE)</f>
        <v>Jason Jenkins</v>
      </c>
      <c r="J3798" t="str">
        <f>VLOOKUP(D3798,Products!A:C,2,FALSE)</f>
        <v>How Vegetables</v>
      </c>
      <c r="K3798" t="str">
        <f>VLOOKUP(D3798,Products!A:C,3,FALSE)</f>
        <v>Groceries</v>
      </c>
      <c r="L3798" t="str">
        <f>VLOOKUP(E3798,Stores!A:B,2,FALSE)</f>
        <v>MegaMart New Michele</v>
      </c>
      <c r="M3798">
        <f>VLOOKUP(D3798,Products!A:E,5,FALSE)</f>
        <v>25.57</v>
      </c>
      <c r="N3798" s="5">
        <f t="shared" si="59"/>
        <v>51.14</v>
      </c>
    </row>
    <row r="3799" spans="1:14" x14ac:dyDescent="0.3">
      <c r="A3799" t="s">
        <v>4655</v>
      </c>
      <c r="B3799" s="2">
        <v>45499</v>
      </c>
      <c r="C3799" t="s">
        <v>560</v>
      </c>
      <c r="D3799" t="s">
        <v>804</v>
      </c>
      <c r="E3799" t="s">
        <v>835</v>
      </c>
      <c r="F3799">
        <v>3</v>
      </c>
      <c r="G3799">
        <v>0.05</v>
      </c>
      <c r="H3799" t="s">
        <v>855</v>
      </c>
      <c r="I3799" t="str">
        <f>VLOOKUP(C3799,Customers!A:C,2,FALSE)&amp;" "&amp;VLOOKUP(C3799,Customers!A:C,3,FALSE)</f>
        <v>George Young</v>
      </c>
      <c r="J3799" t="str">
        <f>VLOOKUP(D3799,Products!A:C,2,FALSE)</f>
        <v>Church Clothing</v>
      </c>
      <c r="K3799" t="str">
        <f>VLOOKUP(D3799,Products!A:C,3,FALSE)</f>
        <v>Fashion</v>
      </c>
      <c r="L3799" t="str">
        <f>VLOOKUP(E3799,Stores!A:B,2,FALSE)</f>
        <v>MegaMart Peckmouth</v>
      </c>
      <c r="M3799">
        <f>VLOOKUP(D3799,Products!A:E,5,FALSE)</f>
        <v>540.94000000000005</v>
      </c>
      <c r="N3799" s="5">
        <f t="shared" si="59"/>
        <v>1541.6790000000001</v>
      </c>
    </row>
    <row r="3800" spans="1:14" x14ac:dyDescent="0.3">
      <c r="A3800" t="s">
        <v>4656</v>
      </c>
      <c r="B3800" s="2">
        <v>45468</v>
      </c>
      <c r="C3800" t="s">
        <v>574</v>
      </c>
      <c r="D3800" t="s">
        <v>728</v>
      </c>
      <c r="E3800" t="s">
        <v>835</v>
      </c>
      <c r="F3800">
        <v>3</v>
      </c>
      <c r="G3800">
        <v>0.05</v>
      </c>
      <c r="H3800" t="s">
        <v>855</v>
      </c>
      <c r="I3800" t="str">
        <f>VLOOKUP(C3800,Customers!A:C,2,FALSE)&amp;" "&amp;VLOOKUP(C3800,Customers!A:C,3,FALSE)</f>
        <v>Meagan Macdonald</v>
      </c>
      <c r="J3800" t="str">
        <f>VLOOKUP(D3800,Products!A:C,2,FALSE)</f>
        <v>Company Fruits</v>
      </c>
      <c r="K3800" t="str">
        <f>VLOOKUP(D3800,Products!A:C,3,FALSE)</f>
        <v>Groceries</v>
      </c>
      <c r="L3800" t="str">
        <f>VLOOKUP(E3800,Stores!A:B,2,FALSE)</f>
        <v>MegaMart Peckmouth</v>
      </c>
      <c r="M3800">
        <f>VLOOKUP(D3800,Products!A:E,5,FALSE)</f>
        <v>318.05</v>
      </c>
      <c r="N3800" s="5">
        <f t="shared" si="59"/>
        <v>906.4425</v>
      </c>
    </row>
    <row r="3801" spans="1:14" x14ac:dyDescent="0.3">
      <c r="A3801" t="s">
        <v>4657</v>
      </c>
      <c r="B3801" s="2">
        <v>45280</v>
      </c>
      <c r="C3801" t="s">
        <v>20</v>
      </c>
      <c r="D3801" t="s">
        <v>761</v>
      </c>
      <c r="E3801" t="s">
        <v>831</v>
      </c>
      <c r="F3801">
        <v>1</v>
      </c>
      <c r="G3801">
        <v>0</v>
      </c>
      <c r="H3801" t="s">
        <v>858</v>
      </c>
      <c r="I3801" t="str">
        <f>VLOOKUP(C3801,Customers!A:C,2,FALSE)&amp;" "&amp;VLOOKUP(C3801,Customers!A:C,3,FALSE)</f>
        <v>Joseph Ward</v>
      </c>
      <c r="J3801" t="str">
        <f>VLOOKUP(D3801,Products!A:C,2,FALSE)</f>
        <v>Traditional Laptop</v>
      </c>
      <c r="K3801" t="str">
        <f>VLOOKUP(D3801,Products!A:C,3,FALSE)</f>
        <v>Electronics</v>
      </c>
      <c r="L3801" t="str">
        <f>VLOOKUP(E3801,Stores!A:B,2,FALSE)</f>
        <v>MegaMart Jimenezborough</v>
      </c>
      <c r="M3801">
        <f>VLOOKUP(D3801,Products!A:E,5,FALSE)</f>
        <v>1762.92</v>
      </c>
      <c r="N3801" s="5">
        <f t="shared" si="59"/>
        <v>1762.92</v>
      </c>
    </row>
    <row r="3802" spans="1:14" x14ac:dyDescent="0.3">
      <c r="A3802" t="s">
        <v>4658</v>
      </c>
      <c r="B3802" s="2">
        <v>45644</v>
      </c>
      <c r="C3802" t="s">
        <v>422</v>
      </c>
      <c r="D3802" t="s">
        <v>808</v>
      </c>
      <c r="E3802" t="s">
        <v>842</v>
      </c>
      <c r="F3802">
        <v>5</v>
      </c>
      <c r="G3802">
        <v>0.1</v>
      </c>
      <c r="H3802" t="s">
        <v>865</v>
      </c>
      <c r="I3802" t="str">
        <f>VLOOKUP(C3802,Customers!A:C,2,FALSE)&amp;" "&amp;VLOOKUP(C3802,Customers!A:C,3,FALSE)</f>
        <v>Heidi Wilson</v>
      </c>
      <c r="J3802" t="str">
        <f>VLOOKUP(D3802,Products!A:C,2,FALSE)</f>
        <v>Present Television</v>
      </c>
      <c r="K3802" t="str">
        <f>VLOOKUP(D3802,Products!A:C,3,FALSE)</f>
        <v>Electronics</v>
      </c>
      <c r="L3802" t="str">
        <f>VLOOKUP(E3802,Stores!A:B,2,FALSE)</f>
        <v>MegaMart Brianahaven</v>
      </c>
      <c r="M3802">
        <f>VLOOKUP(D3802,Products!A:E,5,FALSE)</f>
        <v>1635.01</v>
      </c>
      <c r="N3802" s="5">
        <f t="shared" si="59"/>
        <v>7357.5450000000001</v>
      </c>
    </row>
    <row r="3803" spans="1:14" x14ac:dyDescent="0.3">
      <c r="A3803" t="s">
        <v>4659</v>
      </c>
      <c r="B3803" s="2">
        <v>45598</v>
      </c>
      <c r="C3803" t="s">
        <v>407</v>
      </c>
      <c r="D3803" t="s">
        <v>794</v>
      </c>
      <c r="E3803" t="s">
        <v>839</v>
      </c>
      <c r="F3803">
        <v>2</v>
      </c>
      <c r="G3803">
        <v>0.1</v>
      </c>
      <c r="H3803" t="s">
        <v>855</v>
      </c>
      <c r="I3803" t="str">
        <f>VLOOKUP(C3803,Customers!A:C,2,FALSE)&amp;" "&amp;VLOOKUP(C3803,Customers!A:C,3,FALSE)</f>
        <v>Austin Hogan</v>
      </c>
      <c r="J3803" t="str">
        <f>VLOOKUP(D3803,Products!A:C,2,FALSE)</f>
        <v>Everything Laptop</v>
      </c>
      <c r="K3803" t="str">
        <f>VLOOKUP(D3803,Products!A:C,3,FALSE)</f>
        <v>Electronics</v>
      </c>
      <c r="L3803" t="str">
        <f>VLOOKUP(E3803,Stores!A:B,2,FALSE)</f>
        <v>MegaMart New Michele</v>
      </c>
      <c r="M3803">
        <f>VLOOKUP(D3803,Products!A:E,5,FALSE)</f>
        <v>428.05</v>
      </c>
      <c r="N3803" s="5">
        <f t="shared" si="59"/>
        <v>770.49</v>
      </c>
    </row>
    <row r="3804" spans="1:14" x14ac:dyDescent="0.3">
      <c r="A3804" t="s">
        <v>4660</v>
      </c>
      <c r="B3804" s="2">
        <v>45431</v>
      </c>
      <c r="C3804" t="s">
        <v>250</v>
      </c>
      <c r="D3804" t="s">
        <v>755</v>
      </c>
      <c r="E3804" t="s">
        <v>839</v>
      </c>
      <c r="F3804">
        <v>3</v>
      </c>
      <c r="G3804">
        <v>0.1</v>
      </c>
      <c r="H3804" t="s">
        <v>858</v>
      </c>
      <c r="I3804" t="str">
        <f>VLOOKUP(C3804,Customers!A:C,2,FALSE)&amp;" "&amp;VLOOKUP(C3804,Customers!A:C,3,FALSE)</f>
        <v>Jason Jenkins</v>
      </c>
      <c r="J3804" t="str">
        <f>VLOOKUP(D3804,Products!A:C,2,FALSE)</f>
        <v>House Accessories</v>
      </c>
      <c r="K3804" t="str">
        <f>VLOOKUP(D3804,Products!A:C,3,FALSE)</f>
        <v>Fashion</v>
      </c>
      <c r="L3804" t="str">
        <f>VLOOKUP(E3804,Stores!A:B,2,FALSE)</f>
        <v>MegaMart New Michele</v>
      </c>
      <c r="M3804">
        <f>VLOOKUP(D3804,Products!A:E,5,FALSE)</f>
        <v>1858.75</v>
      </c>
      <c r="N3804" s="5">
        <f t="shared" si="59"/>
        <v>5018.625</v>
      </c>
    </row>
    <row r="3805" spans="1:14" x14ac:dyDescent="0.3">
      <c r="A3805" t="s">
        <v>4661</v>
      </c>
      <c r="B3805" s="2">
        <v>45791</v>
      </c>
      <c r="C3805" t="s">
        <v>59</v>
      </c>
      <c r="D3805" t="s">
        <v>761</v>
      </c>
      <c r="E3805" t="s">
        <v>846</v>
      </c>
      <c r="F3805">
        <v>2</v>
      </c>
      <c r="G3805">
        <v>0.1</v>
      </c>
      <c r="H3805" t="s">
        <v>865</v>
      </c>
      <c r="I3805" t="str">
        <f>VLOOKUP(C3805,Customers!A:C,2,FALSE)&amp;" "&amp;VLOOKUP(C3805,Customers!A:C,3,FALSE)</f>
        <v>Brittany Green</v>
      </c>
      <c r="J3805" t="str">
        <f>VLOOKUP(D3805,Products!A:C,2,FALSE)</f>
        <v>Traditional Laptop</v>
      </c>
      <c r="K3805" t="str">
        <f>VLOOKUP(D3805,Products!A:C,3,FALSE)</f>
        <v>Electronics</v>
      </c>
      <c r="L3805" t="str">
        <f>VLOOKUP(E3805,Stores!A:B,2,FALSE)</f>
        <v>MegaMart Johnmouth</v>
      </c>
      <c r="M3805">
        <f>VLOOKUP(D3805,Products!A:E,5,FALSE)</f>
        <v>1762.92</v>
      </c>
      <c r="N3805" s="5">
        <f t="shared" si="59"/>
        <v>3173.2560000000003</v>
      </c>
    </row>
    <row r="3806" spans="1:14" x14ac:dyDescent="0.3">
      <c r="A3806" t="s">
        <v>4662</v>
      </c>
      <c r="B3806" s="2">
        <v>45336</v>
      </c>
      <c r="C3806" t="s">
        <v>452</v>
      </c>
      <c r="D3806" t="s">
        <v>774</v>
      </c>
      <c r="E3806" t="s">
        <v>846</v>
      </c>
      <c r="F3806">
        <v>5</v>
      </c>
      <c r="G3806">
        <v>0.05</v>
      </c>
      <c r="H3806" t="s">
        <v>858</v>
      </c>
      <c r="I3806" t="str">
        <f>VLOOKUP(C3806,Customers!A:C,2,FALSE)&amp;" "&amp;VLOOKUP(C3806,Customers!A:C,3,FALSE)</f>
        <v>Amy Smith</v>
      </c>
      <c r="J3806" t="str">
        <f>VLOOKUP(D3806,Products!A:C,2,FALSE)</f>
        <v>Him Smartphone</v>
      </c>
      <c r="K3806" t="str">
        <f>VLOOKUP(D3806,Products!A:C,3,FALSE)</f>
        <v>Electronics</v>
      </c>
      <c r="L3806" t="str">
        <f>VLOOKUP(E3806,Stores!A:B,2,FALSE)</f>
        <v>MegaMart Johnmouth</v>
      </c>
      <c r="M3806">
        <f>VLOOKUP(D3806,Products!A:E,5,FALSE)</f>
        <v>1487.41</v>
      </c>
      <c r="N3806" s="5">
        <f t="shared" si="59"/>
        <v>7065.1975000000002</v>
      </c>
    </row>
    <row r="3807" spans="1:14" x14ac:dyDescent="0.3">
      <c r="A3807" t="s">
        <v>4663</v>
      </c>
      <c r="B3807" s="2">
        <v>45687</v>
      </c>
      <c r="C3807" t="s">
        <v>640</v>
      </c>
      <c r="D3807" t="s">
        <v>818</v>
      </c>
      <c r="E3807" t="s">
        <v>846</v>
      </c>
      <c r="F3807">
        <v>1</v>
      </c>
      <c r="G3807">
        <v>0</v>
      </c>
      <c r="H3807" t="s">
        <v>855</v>
      </c>
      <c r="I3807" t="str">
        <f>VLOOKUP(C3807,Customers!A:C,2,FALSE)&amp;" "&amp;VLOOKUP(C3807,Customers!A:C,3,FALSE)</f>
        <v>Brittany Oneal</v>
      </c>
      <c r="J3807" t="str">
        <f>VLOOKUP(D3807,Products!A:C,2,FALSE)</f>
        <v>Nature Clothing</v>
      </c>
      <c r="K3807" t="str">
        <f>VLOOKUP(D3807,Products!A:C,3,FALSE)</f>
        <v>Fashion</v>
      </c>
      <c r="L3807" t="str">
        <f>VLOOKUP(E3807,Stores!A:B,2,FALSE)</f>
        <v>MegaMart Johnmouth</v>
      </c>
      <c r="M3807">
        <f>VLOOKUP(D3807,Products!A:E,5,FALSE)</f>
        <v>1165.3699999999999</v>
      </c>
      <c r="N3807" s="5">
        <f t="shared" si="59"/>
        <v>1165.3699999999999</v>
      </c>
    </row>
    <row r="3808" spans="1:14" x14ac:dyDescent="0.3">
      <c r="A3808" t="s">
        <v>4664</v>
      </c>
      <c r="B3808" s="2">
        <v>45251</v>
      </c>
      <c r="C3808" t="s">
        <v>238</v>
      </c>
      <c r="D3808" t="s">
        <v>816</v>
      </c>
      <c r="E3808" t="s">
        <v>846</v>
      </c>
      <c r="F3808">
        <v>1</v>
      </c>
      <c r="G3808">
        <v>0.05</v>
      </c>
      <c r="H3808" t="s">
        <v>858</v>
      </c>
      <c r="I3808" t="str">
        <f>VLOOKUP(C3808,Customers!A:C,2,FALSE)&amp;" "&amp;VLOOKUP(C3808,Customers!A:C,3,FALSE)</f>
        <v>Susan Salinas</v>
      </c>
      <c r="J3808" t="str">
        <f>VLOOKUP(D3808,Products!A:C,2,FALSE)</f>
        <v>Set Dairy</v>
      </c>
      <c r="K3808" t="str">
        <f>VLOOKUP(D3808,Products!A:C,3,FALSE)</f>
        <v>Groceries</v>
      </c>
      <c r="L3808" t="str">
        <f>VLOOKUP(E3808,Stores!A:B,2,FALSE)</f>
        <v>MegaMart Johnmouth</v>
      </c>
      <c r="M3808">
        <f>VLOOKUP(D3808,Products!A:E,5,FALSE)</f>
        <v>1879.08</v>
      </c>
      <c r="N3808" s="5">
        <f t="shared" si="59"/>
        <v>1785.1259999999997</v>
      </c>
    </row>
    <row r="3809" spans="1:14" x14ac:dyDescent="0.3">
      <c r="A3809" t="s">
        <v>4665</v>
      </c>
      <c r="B3809" s="2">
        <v>45262</v>
      </c>
      <c r="C3809" t="s">
        <v>472</v>
      </c>
      <c r="D3809" t="s">
        <v>774</v>
      </c>
      <c r="E3809" t="s">
        <v>846</v>
      </c>
      <c r="F3809">
        <v>3</v>
      </c>
      <c r="G3809">
        <v>0.15</v>
      </c>
      <c r="H3809" t="s">
        <v>858</v>
      </c>
      <c r="I3809" t="str">
        <f>VLOOKUP(C3809,Customers!A:C,2,FALSE)&amp;" "&amp;VLOOKUP(C3809,Customers!A:C,3,FALSE)</f>
        <v>Gary Taylor</v>
      </c>
      <c r="J3809" t="str">
        <f>VLOOKUP(D3809,Products!A:C,2,FALSE)</f>
        <v>Him Smartphone</v>
      </c>
      <c r="K3809" t="str">
        <f>VLOOKUP(D3809,Products!A:C,3,FALSE)</f>
        <v>Electronics</v>
      </c>
      <c r="L3809" t="str">
        <f>VLOOKUP(E3809,Stores!A:B,2,FALSE)</f>
        <v>MegaMart Johnmouth</v>
      </c>
      <c r="M3809">
        <f>VLOOKUP(D3809,Products!A:E,5,FALSE)</f>
        <v>1487.41</v>
      </c>
      <c r="N3809" s="5">
        <f t="shared" si="59"/>
        <v>3792.8955000000001</v>
      </c>
    </row>
    <row r="3810" spans="1:14" x14ac:dyDescent="0.3">
      <c r="A3810" t="s">
        <v>4666</v>
      </c>
      <c r="B3810" s="2">
        <v>45649</v>
      </c>
      <c r="C3810" t="s">
        <v>545</v>
      </c>
      <c r="D3810" t="s">
        <v>769</v>
      </c>
      <c r="E3810" t="s">
        <v>846</v>
      </c>
      <c r="F3810">
        <v>5</v>
      </c>
      <c r="G3810">
        <v>0.05</v>
      </c>
      <c r="H3810" t="s">
        <v>865</v>
      </c>
      <c r="I3810" t="str">
        <f>VLOOKUP(C3810,Customers!A:C,2,FALSE)&amp;" "&amp;VLOOKUP(C3810,Customers!A:C,3,FALSE)</f>
        <v>Dawn Fletcher</v>
      </c>
      <c r="J3810" t="str">
        <f>VLOOKUP(D3810,Products!A:C,2,FALSE)</f>
        <v>How Vegetables</v>
      </c>
      <c r="K3810" t="str">
        <f>VLOOKUP(D3810,Products!A:C,3,FALSE)</f>
        <v>Groceries</v>
      </c>
      <c r="L3810" t="str">
        <f>VLOOKUP(E3810,Stores!A:B,2,FALSE)</f>
        <v>MegaMart Johnmouth</v>
      </c>
      <c r="M3810">
        <f>VLOOKUP(D3810,Products!A:E,5,FALSE)</f>
        <v>25.57</v>
      </c>
      <c r="N3810" s="5">
        <f t="shared" si="59"/>
        <v>121.4575</v>
      </c>
    </row>
    <row r="3811" spans="1:14" x14ac:dyDescent="0.3">
      <c r="A3811" t="s">
        <v>4667</v>
      </c>
      <c r="B3811" s="2">
        <v>45206</v>
      </c>
      <c r="C3811" t="s">
        <v>298</v>
      </c>
      <c r="D3811" t="s">
        <v>798</v>
      </c>
      <c r="E3811" t="s">
        <v>839</v>
      </c>
      <c r="F3811">
        <v>4</v>
      </c>
      <c r="G3811">
        <v>0.05</v>
      </c>
      <c r="H3811" t="s">
        <v>858</v>
      </c>
      <c r="I3811" t="str">
        <f>VLOOKUP(C3811,Customers!A:C,2,FALSE)&amp;" "&amp;VLOOKUP(C3811,Customers!A:C,3,FALSE)</f>
        <v>Donald Marsh</v>
      </c>
      <c r="J3811" t="str">
        <f>VLOOKUP(D3811,Products!A:C,2,FALSE)</f>
        <v>New Watches</v>
      </c>
      <c r="K3811" t="str">
        <f>VLOOKUP(D3811,Products!A:C,3,FALSE)</f>
        <v>Fashion</v>
      </c>
      <c r="L3811" t="str">
        <f>VLOOKUP(E3811,Stores!A:B,2,FALSE)</f>
        <v>MegaMart New Michele</v>
      </c>
      <c r="M3811">
        <f>VLOOKUP(D3811,Products!A:E,5,FALSE)</f>
        <v>1501.46</v>
      </c>
      <c r="N3811" s="5">
        <f t="shared" si="59"/>
        <v>5705.5479999999998</v>
      </c>
    </row>
    <row r="3812" spans="1:14" x14ac:dyDescent="0.3">
      <c r="A3812" t="s">
        <v>4668</v>
      </c>
      <c r="B3812" s="2">
        <v>45842</v>
      </c>
      <c r="C3812" t="s">
        <v>109</v>
      </c>
      <c r="D3812" t="s">
        <v>818</v>
      </c>
      <c r="E3812" t="s">
        <v>839</v>
      </c>
      <c r="F3812">
        <v>4</v>
      </c>
      <c r="G3812">
        <v>0.05</v>
      </c>
      <c r="H3812" t="s">
        <v>855</v>
      </c>
      <c r="I3812" t="str">
        <f>VLOOKUP(C3812,Customers!A:C,2,FALSE)&amp;" "&amp;VLOOKUP(C3812,Customers!A:C,3,FALSE)</f>
        <v>Jacqueline Martin</v>
      </c>
      <c r="J3812" t="str">
        <f>VLOOKUP(D3812,Products!A:C,2,FALSE)</f>
        <v>Nature Clothing</v>
      </c>
      <c r="K3812" t="str">
        <f>VLOOKUP(D3812,Products!A:C,3,FALSE)</f>
        <v>Fashion</v>
      </c>
      <c r="L3812" t="str">
        <f>VLOOKUP(E3812,Stores!A:B,2,FALSE)</f>
        <v>MegaMart New Michele</v>
      </c>
      <c r="M3812">
        <f>VLOOKUP(D3812,Products!A:E,5,FALSE)</f>
        <v>1165.3699999999999</v>
      </c>
      <c r="N3812" s="5">
        <f t="shared" si="59"/>
        <v>4428.405999999999</v>
      </c>
    </row>
    <row r="3813" spans="1:14" x14ac:dyDescent="0.3">
      <c r="A3813" t="s">
        <v>4669</v>
      </c>
      <c r="B3813" s="2">
        <v>45580</v>
      </c>
      <c r="C3813" t="s">
        <v>364</v>
      </c>
      <c r="D3813" t="s">
        <v>742</v>
      </c>
      <c r="E3813" t="s">
        <v>835</v>
      </c>
      <c r="F3813">
        <v>1</v>
      </c>
      <c r="G3813">
        <v>0</v>
      </c>
      <c r="H3813" t="s">
        <v>858</v>
      </c>
      <c r="I3813" t="str">
        <f>VLOOKUP(C3813,Customers!A:C,2,FALSE)&amp;" "&amp;VLOOKUP(C3813,Customers!A:C,3,FALSE)</f>
        <v>Evelyn Gray</v>
      </c>
      <c r="J3813" t="str">
        <f>VLOOKUP(D3813,Products!A:C,2,FALSE)</f>
        <v>Either Headphones</v>
      </c>
      <c r="K3813" t="str">
        <f>VLOOKUP(D3813,Products!A:C,3,FALSE)</f>
        <v>Electronics</v>
      </c>
      <c r="L3813" t="str">
        <f>VLOOKUP(E3813,Stores!A:B,2,FALSE)</f>
        <v>MegaMart Peckmouth</v>
      </c>
      <c r="M3813">
        <f>VLOOKUP(D3813,Products!A:E,5,FALSE)</f>
        <v>248.57</v>
      </c>
      <c r="N3813" s="5">
        <f t="shared" si="59"/>
        <v>248.57</v>
      </c>
    </row>
    <row r="3814" spans="1:14" x14ac:dyDescent="0.3">
      <c r="A3814" t="s">
        <v>4670</v>
      </c>
      <c r="B3814" s="2">
        <v>45310</v>
      </c>
      <c r="C3814" t="s">
        <v>643</v>
      </c>
      <c r="D3814" t="s">
        <v>822</v>
      </c>
      <c r="E3814" t="s">
        <v>839</v>
      </c>
      <c r="F3814">
        <v>2</v>
      </c>
      <c r="G3814">
        <v>0.1</v>
      </c>
      <c r="H3814" t="s">
        <v>861</v>
      </c>
      <c r="I3814" t="str">
        <f>VLOOKUP(C3814,Customers!A:C,2,FALSE)&amp;" "&amp;VLOOKUP(C3814,Customers!A:C,3,FALSE)</f>
        <v>Meghan Wright</v>
      </c>
      <c r="J3814" t="str">
        <f>VLOOKUP(D3814,Products!A:C,2,FALSE)</f>
        <v>Nor Bags</v>
      </c>
      <c r="K3814" t="str">
        <f>VLOOKUP(D3814,Products!A:C,3,FALSE)</f>
        <v>Fashion</v>
      </c>
      <c r="L3814" t="str">
        <f>VLOOKUP(E3814,Stores!A:B,2,FALSE)</f>
        <v>MegaMart New Michele</v>
      </c>
      <c r="M3814">
        <f>VLOOKUP(D3814,Products!A:E,5,FALSE)</f>
        <v>1216.3599999999999</v>
      </c>
      <c r="N3814" s="5">
        <f t="shared" si="59"/>
        <v>2189.4479999999999</v>
      </c>
    </row>
    <row r="3815" spans="1:14" x14ac:dyDescent="0.3">
      <c r="A3815" t="s">
        <v>4671</v>
      </c>
      <c r="B3815" s="2">
        <v>45260</v>
      </c>
      <c r="C3815" t="s">
        <v>206</v>
      </c>
      <c r="D3815" t="s">
        <v>725</v>
      </c>
      <c r="E3815" t="s">
        <v>846</v>
      </c>
      <c r="F3815">
        <v>2</v>
      </c>
      <c r="G3815">
        <v>0.15</v>
      </c>
      <c r="H3815" t="s">
        <v>861</v>
      </c>
      <c r="I3815" t="str">
        <f>VLOOKUP(C3815,Customers!A:C,2,FALSE)&amp;" "&amp;VLOOKUP(C3815,Customers!A:C,3,FALSE)</f>
        <v>Felicia Morgan</v>
      </c>
      <c r="J3815" t="str">
        <f>VLOOKUP(D3815,Products!A:C,2,FALSE)</f>
        <v>Knowledge Bags</v>
      </c>
      <c r="K3815" t="str">
        <f>VLOOKUP(D3815,Products!A:C,3,FALSE)</f>
        <v>Fashion</v>
      </c>
      <c r="L3815" t="str">
        <f>VLOOKUP(E3815,Stores!A:B,2,FALSE)</f>
        <v>MegaMart Johnmouth</v>
      </c>
      <c r="M3815">
        <f>VLOOKUP(D3815,Products!A:E,5,FALSE)</f>
        <v>1396.22</v>
      </c>
      <c r="N3815" s="5">
        <f t="shared" si="59"/>
        <v>2373.5740000000001</v>
      </c>
    </row>
    <row r="3816" spans="1:14" x14ac:dyDescent="0.3">
      <c r="A3816" t="s">
        <v>4672</v>
      </c>
      <c r="B3816" s="2">
        <v>45180</v>
      </c>
      <c r="C3816" t="s">
        <v>491</v>
      </c>
      <c r="D3816" t="s">
        <v>732</v>
      </c>
      <c r="E3816" t="s">
        <v>835</v>
      </c>
      <c r="F3816">
        <v>2</v>
      </c>
      <c r="G3816">
        <v>0</v>
      </c>
      <c r="H3816" t="s">
        <v>861</v>
      </c>
      <c r="I3816" t="str">
        <f>VLOOKUP(C3816,Customers!A:C,2,FALSE)&amp;" "&amp;VLOOKUP(C3816,Customers!A:C,3,FALSE)</f>
        <v>Emily Hart</v>
      </c>
      <c r="J3816" t="str">
        <f>VLOOKUP(D3816,Products!A:C,2,FALSE)</f>
        <v>Understand Camera</v>
      </c>
      <c r="K3816" t="str">
        <f>VLOOKUP(D3816,Products!A:C,3,FALSE)</f>
        <v>Electronics</v>
      </c>
      <c r="L3816" t="str">
        <f>VLOOKUP(E3816,Stores!A:B,2,FALSE)</f>
        <v>MegaMart Peckmouth</v>
      </c>
      <c r="M3816">
        <f>VLOOKUP(D3816,Products!A:E,5,FALSE)</f>
        <v>1474.12</v>
      </c>
      <c r="N3816" s="5">
        <f t="shared" si="59"/>
        <v>2948.24</v>
      </c>
    </row>
    <row r="3817" spans="1:14" x14ac:dyDescent="0.3">
      <c r="A3817" t="s">
        <v>4673</v>
      </c>
      <c r="B3817" s="2">
        <v>45389</v>
      </c>
      <c r="C3817" t="s">
        <v>115</v>
      </c>
      <c r="D3817" t="s">
        <v>810</v>
      </c>
      <c r="E3817" t="s">
        <v>846</v>
      </c>
      <c r="F3817">
        <v>4</v>
      </c>
      <c r="G3817">
        <v>0</v>
      </c>
      <c r="H3817" t="s">
        <v>858</v>
      </c>
      <c r="I3817" t="str">
        <f>VLOOKUP(C3817,Customers!A:C,2,FALSE)&amp;" "&amp;VLOOKUP(C3817,Customers!A:C,3,FALSE)</f>
        <v>Tyler Levine</v>
      </c>
      <c r="J3817" t="str">
        <f>VLOOKUP(D3817,Products!A:C,2,FALSE)</f>
        <v>Maybe Clothing</v>
      </c>
      <c r="K3817" t="str">
        <f>VLOOKUP(D3817,Products!A:C,3,FALSE)</f>
        <v>Fashion</v>
      </c>
      <c r="L3817" t="str">
        <f>VLOOKUP(E3817,Stores!A:B,2,FALSE)</f>
        <v>MegaMart Johnmouth</v>
      </c>
      <c r="M3817">
        <f>VLOOKUP(D3817,Products!A:E,5,FALSE)</f>
        <v>453.62</v>
      </c>
      <c r="N3817" s="5">
        <f t="shared" si="59"/>
        <v>1814.48</v>
      </c>
    </row>
    <row r="3818" spans="1:14" x14ac:dyDescent="0.3">
      <c r="A3818" t="s">
        <v>4674</v>
      </c>
      <c r="B3818" s="2">
        <v>45482</v>
      </c>
      <c r="C3818" t="s">
        <v>159</v>
      </c>
      <c r="D3818" t="s">
        <v>722</v>
      </c>
      <c r="E3818" t="s">
        <v>846</v>
      </c>
      <c r="F3818">
        <v>2</v>
      </c>
      <c r="G3818">
        <v>0.05</v>
      </c>
      <c r="H3818" t="s">
        <v>865</v>
      </c>
      <c r="I3818" t="str">
        <f>VLOOKUP(C3818,Customers!A:C,2,FALSE)&amp;" "&amp;VLOOKUP(C3818,Customers!A:C,3,FALSE)</f>
        <v>Melissa Rodgers</v>
      </c>
      <c r="J3818" t="str">
        <f>VLOOKUP(D3818,Products!A:C,2,FALSE)</f>
        <v>Four Accessories</v>
      </c>
      <c r="K3818" t="str">
        <f>VLOOKUP(D3818,Products!A:C,3,FALSE)</f>
        <v>Fashion</v>
      </c>
      <c r="L3818" t="str">
        <f>VLOOKUP(E3818,Stores!A:B,2,FALSE)</f>
        <v>MegaMart Johnmouth</v>
      </c>
      <c r="M3818">
        <f>VLOOKUP(D3818,Products!A:E,5,FALSE)</f>
        <v>1853.77</v>
      </c>
      <c r="N3818" s="5">
        <f t="shared" si="59"/>
        <v>3522.163</v>
      </c>
    </row>
    <row r="3819" spans="1:14" x14ac:dyDescent="0.3">
      <c r="A3819" t="s">
        <v>4675</v>
      </c>
      <c r="B3819" s="2">
        <v>45429</v>
      </c>
      <c r="C3819" t="s">
        <v>647</v>
      </c>
      <c r="D3819" t="s">
        <v>824</v>
      </c>
      <c r="E3819" t="s">
        <v>846</v>
      </c>
      <c r="F3819">
        <v>5</v>
      </c>
      <c r="G3819">
        <v>0.05</v>
      </c>
      <c r="H3819" t="s">
        <v>861</v>
      </c>
      <c r="I3819" t="str">
        <f>VLOOKUP(C3819,Customers!A:C,2,FALSE)&amp;" "&amp;VLOOKUP(C3819,Customers!A:C,3,FALSE)</f>
        <v>Mary Dawson</v>
      </c>
      <c r="J3819" t="str">
        <f>VLOOKUP(D3819,Products!A:C,2,FALSE)</f>
        <v>Possible Watches</v>
      </c>
      <c r="K3819" t="str">
        <f>VLOOKUP(D3819,Products!A:C,3,FALSE)</f>
        <v>Fashion</v>
      </c>
      <c r="L3819" t="str">
        <f>VLOOKUP(E3819,Stores!A:B,2,FALSE)</f>
        <v>MegaMart Johnmouth</v>
      </c>
      <c r="M3819">
        <f>VLOOKUP(D3819,Products!A:E,5,FALSE)</f>
        <v>388.26</v>
      </c>
      <c r="N3819" s="5">
        <f t="shared" si="59"/>
        <v>1844.2349999999999</v>
      </c>
    </row>
    <row r="3820" spans="1:14" x14ac:dyDescent="0.3">
      <c r="A3820" t="s">
        <v>4676</v>
      </c>
      <c r="B3820" s="2">
        <v>45192</v>
      </c>
      <c r="C3820" t="s">
        <v>148</v>
      </c>
      <c r="D3820" t="s">
        <v>816</v>
      </c>
      <c r="E3820" t="s">
        <v>831</v>
      </c>
      <c r="F3820">
        <v>1</v>
      </c>
      <c r="G3820">
        <v>0</v>
      </c>
      <c r="H3820" t="s">
        <v>865</v>
      </c>
      <c r="I3820" t="str">
        <f>VLOOKUP(C3820,Customers!A:C,2,FALSE)&amp;" "&amp;VLOOKUP(C3820,Customers!A:C,3,FALSE)</f>
        <v>Tracey Davis</v>
      </c>
      <c r="J3820" t="str">
        <f>VLOOKUP(D3820,Products!A:C,2,FALSE)</f>
        <v>Set Dairy</v>
      </c>
      <c r="K3820" t="str">
        <f>VLOOKUP(D3820,Products!A:C,3,FALSE)</f>
        <v>Groceries</v>
      </c>
      <c r="L3820" t="str">
        <f>VLOOKUP(E3820,Stores!A:B,2,FALSE)</f>
        <v>MegaMart Jimenezborough</v>
      </c>
      <c r="M3820">
        <f>VLOOKUP(D3820,Products!A:E,5,FALSE)</f>
        <v>1879.08</v>
      </c>
      <c r="N3820" s="5">
        <f t="shared" si="59"/>
        <v>1879.08</v>
      </c>
    </row>
    <row r="3821" spans="1:14" x14ac:dyDescent="0.3">
      <c r="A3821" t="s">
        <v>4677</v>
      </c>
      <c r="B3821" s="2">
        <v>45693</v>
      </c>
      <c r="C3821" t="s">
        <v>187</v>
      </c>
      <c r="D3821" t="s">
        <v>784</v>
      </c>
      <c r="E3821" t="s">
        <v>835</v>
      </c>
      <c r="F3821">
        <v>2</v>
      </c>
      <c r="G3821">
        <v>0</v>
      </c>
      <c r="H3821" t="s">
        <v>865</v>
      </c>
      <c r="I3821" t="str">
        <f>VLOOKUP(C3821,Customers!A:C,2,FALSE)&amp;" "&amp;VLOOKUP(C3821,Customers!A:C,3,FALSE)</f>
        <v>Alexis Crane</v>
      </c>
      <c r="J3821" t="str">
        <f>VLOOKUP(D3821,Products!A:C,2,FALSE)</f>
        <v>Road Clothing</v>
      </c>
      <c r="K3821" t="str">
        <f>VLOOKUP(D3821,Products!A:C,3,FALSE)</f>
        <v>Fashion</v>
      </c>
      <c r="L3821" t="str">
        <f>VLOOKUP(E3821,Stores!A:B,2,FALSE)</f>
        <v>MegaMart Peckmouth</v>
      </c>
      <c r="M3821">
        <f>VLOOKUP(D3821,Products!A:E,5,FALSE)</f>
        <v>1485.05</v>
      </c>
      <c r="N3821" s="5">
        <f t="shared" si="59"/>
        <v>2970.1</v>
      </c>
    </row>
    <row r="3822" spans="1:14" x14ac:dyDescent="0.3">
      <c r="A3822" t="s">
        <v>4678</v>
      </c>
      <c r="B3822" s="2">
        <v>45398</v>
      </c>
      <c r="C3822" t="s">
        <v>71</v>
      </c>
      <c r="D3822" t="s">
        <v>715</v>
      </c>
      <c r="E3822" t="s">
        <v>846</v>
      </c>
      <c r="F3822">
        <v>4</v>
      </c>
      <c r="G3822">
        <v>0.15</v>
      </c>
      <c r="H3822" t="s">
        <v>858</v>
      </c>
      <c r="I3822" t="str">
        <f>VLOOKUP(C3822,Customers!A:C,2,FALSE)&amp;" "&amp;VLOOKUP(C3822,Customers!A:C,3,FALSE)</f>
        <v>Vanessa Anderson</v>
      </c>
      <c r="J3822" t="str">
        <f>VLOOKUP(D3822,Products!A:C,2,FALSE)</f>
        <v>Audience Television</v>
      </c>
      <c r="K3822" t="str">
        <f>VLOOKUP(D3822,Products!A:C,3,FALSE)</f>
        <v>Electronics</v>
      </c>
      <c r="L3822" t="str">
        <f>VLOOKUP(E3822,Stores!A:B,2,FALSE)</f>
        <v>MegaMart Johnmouth</v>
      </c>
      <c r="M3822">
        <f>VLOOKUP(D3822,Products!A:E,5,FALSE)</f>
        <v>818.76</v>
      </c>
      <c r="N3822" s="5">
        <f t="shared" si="59"/>
        <v>2783.7840000000001</v>
      </c>
    </row>
    <row r="3823" spans="1:14" x14ac:dyDescent="0.3">
      <c r="A3823" t="s">
        <v>4679</v>
      </c>
      <c r="B3823" s="2">
        <v>45184</v>
      </c>
      <c r="C3823" t="s">
        <v>368</v>
      </c>
      <c r="D3823" t="s">
        <v>774</v>
      </c>
      <c r="E3823" t="s">
        <v>831</v>
      </c>
      <c r="F3823">
        <v>1</v>
      </c>
      <c r="G3823">
        <v>0</v>
      </c>
      <c r="H3823" t="s">
        <v>858</v>
      </c>
      <c r="I3823" t="str">
        <f>VLOOKUP(C3823,Customers!A:C,2,FALSE)&amp;" "&amp;VLOOKUP(C3823,Customers!A:C,3,FALSE)</f>
        <v>Lisa Vega</v>
      </c>
      <c r="J3823" t="str">
        <f>VLOOKUP(D3823,Products!A:C,2,FALSE)</f>
        <v>Him Smartphone</v>
      </c>
      <c r="K3823" t="str">
        <f>VLOOKUP(D3823,Products!A:C,3,FALSE)</f>
        <v>Electronics</v>
      </c>
      <c r="L3823" t="str">
        <f>VLOOKUP(E3823,Stores!A:B,2,FALSE)</f>
        <v>MegaMart Jimenezborough</v>
      </c>
      <c r="M3823">
        <f>VLOOKUP(D3823,Products!A:E,5,FALSE)</f>
        <v>1487.41</v>
      </c>
      <c r="N3823" s="5">
        <f t="shared" si="59"/>
        <v>1487.41</v>
      </c>
    </row>
    <row r="3824" spans="1:14" x14ac:dyDescent="0.3">
      <c r="A3824" t="s">
        <v>4680</v>
      </c>
      <c r="B3824" s="2">
        <v>45562</v>
      </c>
      <c r="C3824" t="s">
        <v>650</v>
      </c>
      <c r="D3824" t="s">
        <v>810</v>
      </c>
      <c r="E3824" t="s">
        <v>842</v>
      </c>
      <c r="F3824">
        <v>1</v>
      </c>
      <c r="G3824">
        <v>0</v>
      </c>
      <c r="H3824" t="s">
        <v>865</v>
      </c>
      <c r="I3824" t="str">
        <f>VLOOKUP(C3824,Customers!A:C,2,FALSE)&amp;" "&amp;VLOOKUP(C3824,Customers!A:C,3,FALSE)</f>
        <v>Daniel Mcintyre</v>
      </c>
      <c r="J3824" t="str">
        <f>VLOOKUP(D3824,Products!A:C,2,FALSE)</f>
        <v>Maybe Clothing</v>
      </c>
      <c r="K3824" t="str">
        <f>VLOOKUP(D3824,Products!A:C,3,FALSE)</f>
        <v>Fashion</v>
      </c>
      <c r="L3824" t="str">
        <f>VLOOKUP(E3824,Stores!A:B,2,FALSE)</f>
        <v>MegaMart Brianahaven</v>
      </c>
      <c r="M3824">
        <f>VLOOKUP(D3824,Products!A:E,5,FALSE)</f>
        <v>453.62</v>
      </c>
      <c r="N3824" s="5">
        <f t="shared" si="59"/>
        <v>453.62</v>
      </c>
    </row>
    <row r="3825" spans="1:14" x14ac:dyDescent="0.3">
      <c r="A3825" t="s">
        <v>4681</v>
      </c>
      <c r="B3825" s="2">
        <v>45476</v>
      </c>
      <c r="C3825" t="s">
        <v>287</v>
      </c>
      <c r="D3825" t="s">
        <v>718</v>
      </c>
      <c r="E3825" t="s">
        <v>835</v>
      </c>
      <c r="F3825">
        <v>3</v>
      </c>
      <c r="G3825">
        <v>0.15</v>
      </c>
      <c r="H3825" t="s">
        <v>865</v>
      </c>
      <c r="I3825" t="str">
        <f>VLOOKUP(C3825,Customers!A:C,2,FALSE)&amp;" "&amp;VLOOKUP(C3825,Customers!A:C,3,FALSE)</f>
        <v>Phyllis Durham</v>
      </c>
      <c r="J3825" t="str">
        <f>VLOOKUP(D3825,Products!A:C,2,FALSE)</f>
        <v>Here Footwear</v>
      </c>
      <c r="K3825" t="str">
        <f>VLOOKUP(D3825,Products!A:C,3,FALSE)</f>
        <v>Fashion</v>
      </c>
      <c r="L3825" t="str">
        <f>VLOOKUP(E3825,Stores!A:B,2,FALSE)</f>
        <v>MegaMart Peckmouth</v>
      </c>
      <c r="M3825">
        <f>VLOOKUP(D3825,Products!A:E,5,FALSE)</f>
        <v>337.63</v>
      </c>
      <c r="N3825" s="5">
        <f t="shared" si="59"/>
        <v>860.95650000000001</v>
      </c>
    </row>
    <row r="3826" spans="1:14" x14ac:dyDescent="0.3">
      <c r="A3826" t="s">
        <v>4682</v>
      </c>
      <c r="B3826" s="2">
        <v>45774</v>
      </c>
      <c r="C3826" t="s">
        <v>280</v>
      </c>
      <c r="D3826" t="s">
        <v>747</v>
      </c>
      <c r="E3826" t="s">
        <v>831</v>
      </c>
      <c r="F3826">
        <v>2</v>
      </c>
      <c r="G3826">
        <v>0.1</v>
      </c>
      <c r="H3826" t="s">
        <v>855</v>
      </c>
      <c r="I3826" t="str">
        <f>VLOOKUP(C3826,Customers!A:C,2,FALSE)&amp;" "&amp;VLOOKUP(C3826,Customers!A:C,3,FALSE)</f>
        <v>Jesus Singh</v>
      </c>
      <c r="J3826" t="str">
        <f>VLOOKUP(D3826,Products!A:C,2,FALSE)</f>
        <v>World Watches</v>
      </c>
      <c r="K3826" t="str">
        <f>VLOOKUP(D3826,Products!A:C,3,FALSE)</f>
        <v>Fashion</v>
      </c>
      <c r="L3826" t="str">
        <f>VLOOKUP(E3826,Stores!A:B,2,FALSE)</f>
        <v>MegaMart Jimenezborough</v>
      </c>
      <c r="M3826">
        <f>VLOOKUP(D3826,Products!A:E,5,FALSE)</f>
        <v>1134.8</v>
      </c>
      <c r="N3826" s="5">
        <f t="shared" si="59"/>
        <v>2042.6399999999999</v>
      </c>
    </row>
    <row r="3827" spans="1:14" x14ac:dyDescent="0.3">
      <c r="A3827" t="s">
        <v>4683</v>
      </c>
      <c r="B3827" s="2">
        <v>45589</v>
      </c>
      <c r="C3827" t="s">
        <v>596</v>
      </c>
      <c r="D3827" t="s">
        <v>734</v>
      </c>
      <c r="E3827" t="s">
        <v>835</v>
      </c>
      <c r="F3827">
        <v>1</v>
      </c>
      <c r="G3827">
        <v>0</v>
      </c>
      <c r="H3827" t="s">
        <v>858</v>
      </c>
      <c r="I3827" t="str">
        <f>VLOOKUP(C3827,Customers!A:C,2,FALSE)&amp;" "&amp;VLOOKUP(C3827,Customers!A:C,3,FALSE)</f>
        <v>Kimberly Lin</v>
      </c>
      <c r="J3827" t="str">
        <f>VLOOKUP(D3827,Products!A:C,2,FALSE)</f>
        <v>Recognize Footwear</v>
      </c>
      <c r="K3827" t="str">
        <f>VLOOKUP(D3827,Products!A:C,3,FALSE)</f>
        <v>Fashion</v>
      </c>
      <c r="L3827" t="str">
        <f>VLOOKUP(E3827,Stores!A:B,2,FALSE)</f>
        <v>MegaMart Peckmouth</v>
      </c>
      <c r="M3827">
        <f>VLOOKUP(D3827,Products!A:E,5,FALSE)</f>
        <v>109.78</v>
      </c>
      <c r="N3827" s="5">
        <f t="shared" si="59"/>
        <v>109.78</v>
      </c>
    </row>
    <row r="3828" spans="1:14" x14ac:dyDescent="0.3">
      <c r="A3828" t="s">
        <v>4684</v>
      </c>
      <c r="B3828" s="2">
        <v>45742</v>
      </c>
      <c r="C3828" t="s">
        <v>270</v>
      </c>
      <c r="D3828" t="s">
        <v>753</v>
      </c>
      <c r="E3828" t="s">
        <v>842</v>
      </c>
      <c r="F3828">
        <v>5</v>
      </c>
      <c r="G3828">
        <v>0.05</v>
      </c>
      <c r="H3828" t="s">
        <v>861</v>
      </c>
      <c r="I3828" t="str">
        <f>VLOOKUP(C3828,Customers!A:C,2,FALSE)&amp;" "&amp;VLOOKUP(C3828,Customers!A:C,3,FALSE)</f>
        <v>Denise Gutierrez</v>
      </c>
      <c r="J3828" t="str">
        <f>VLOOKUP(D3828,Products!A:C,2,FALSE)</f>
        <v>Whether Bags</v>
      </c>
      <c r="K3828" t="str">
        <f>VLOOKUP(D3828,Products!A:C,3,FALSE)</f>
        <v>Fashion</v>
      </c>
      <c r="L3828" t="str">
        <f>VLOOKUP(E3828,Stores!A:B,2,FALSE)</f>
        <v>MegaMart Brianahaven</v>
      </c>
      <c r="M3828">
        <f>VLOOKUP(D3828,Products!A:E,5,FALSE)</f>
        <v>270.45</v>
      </c>
      <c r="N3828" s="5">
        <f t="shared" si="59"/>
        <v>1284.6375</v>
      </c>
    </row>
    <row r="3829" spans="1:14" x14ac:dyDescent="0.3">
      <c r="A3829" t="s">
        <v>4685</v>
      </c>
      <c r="B3829" s="2">
        <v>45219</v>
      </c>
      <c r="C3829" t="s">
        <v>306</v>
      </c>
      <c r="D3829" t="s">
        <v>739</v>
      </c>
      <c r="E3829" t="s">
        <v>839</v>
      </c>
      <c r="F3829">
        <v>4</v>
      </c>
      <c r="G3829">
        <v>0.1</v>
      </c>
      <c r="H3829" t="s">
        <v>865</v>
      </c>
      <c r="I3829" t="str">
        <f>VLOOKUP(C3829,Customers!A:C,2,FALSE)&amp;" "&amp;VLOOKUP(C3829,Customers!A:C,3,FALSE)</f>
        <v>Sarah Reynolds</v>
      </c>
      <c r="J3829" t="str">
        <f>VLOOKUP(D3829,Products!A:C,2,FALSE)</f>
        <v>Step Smartphone</v>
      </c>
      <c r="K3829" t="str">
        <f>VLOOKUP(D3829,Products!A:C,3,FALSE)</f>
        <v>Electronics</v>
      </c>
      <c r="L3829" t="str">
        <f>VLOOKUP(E3829,Stores!A:B,2,FALSE)</f>
        <v>MegaMart New Michele</v>
      </c>
      <c r="M3829">
        <f>VLOOKUP(D3829,Products!A:E,5,FALSE)</f>
        <v>1194.1199999999999</v>
      </c>
      <c r="N3829" s="5">
        <f t="shared" si="59"/>
        <v>4298.8319999999994</v>
      </c>
    </row>
    <row r="3830" spans="1:14" x14ac:dyDescent="0.3">
      <c r="A3830" t="s">
        <v>4686</v>
      </c>
      <c r="B3830" s="2">
        <v>45703</v>
      </c>
      <c r="C3830" t="s">
        <v>40</v>
      </c>
      <c r="D3830" t="s">
        <v>826</v>
      </c>
      <c r="E3830" t="s">
        <v>831</v>
      </c>
      <c r="F3830">
        <v>2</v>
      </c>
      <c r="G3830">
        <v>0</v>
      </c>
      <c r="H3830" t="s">
        <v>858</v>
      </c>
      <c r="I3830" t="str">
        <f>VLOOKUP(C3830,Customers!A:C,2,FALSE)&amp;" "&amp;VLOOKUP(C3830,Customers!A:C,3,FALSE)</f>
        <v>Richard Pacheco</v>
      </c>
      <c r="J3830" t="str">
        <f>VLOOKUP(D3830,Products!A:C,2,FALSE)</f>
        <v>Maybe Footwear</v>
      </c>
      <c r="K3830" t="str">
        <f>VLOOKUP(D3830,Products!A:C,3,FALSE)</f>
        <v>Fashion</v>
      </c>
      <c r="L3830" t="str">
        <f>VLOOKUP(E3830,Stores!A:B,2,FALSE)</f>
        <v>MegaMart Jimenezborough</v>
      </c>
      <c r="M3830">
        <f>VLOOKUP(D3830,Products!A:E,5,FALSE)</f>
        <v>1044.6400000000001</v>
      </c>
      <c r="N3830" s="5">
        <f t="shared" si="59"/>
        <v>2089.2800000000002</v>
      </c>
    </row>
    <row r="3831" spans="1:14" x14ac:dyDescent="0.3">
      <c r="A3831" t="s">
        <v>4687</v>
      </c>
      <c r="B3831" s="2">
        <v>45439</v>
      </c>
      <c r="C3831" t="s">
        <v>680</v>
      </c>
      <c r="D3831" t="s">
        <v>753</v>
      </c>
      <c r="E3831" t="s">
        <v>842</v>
      </c>
      <c r="F3831">
        <v>2</v>
      </c>
      <c r="G3831">
        <v>0</v>
      </c>
      <c r="H3831" t="s">
        <v>855</v>
      </c>
      <c r="I3831" t="str">
        <f>VLOOKUP(C3831,Customers!A:C,2,FALSE)&amp;" "&amp;VLOOKUP(C3831,Customers!A:C,3,FALSE)</f>
        <v>Donald Meza</v>
      </c>
      <c r="J3831" t="str">
        <f>VLOOKUP(D3831,Products!A:C,2,FALSE)</f>
        <v>Whether Bags</v>
      </c>
      <c r="K3831" t="str">
        <f>VLOOKUP(D3831,Products!A:C,3,FALSE)</f>
        <v>Fashion</v>
      </c>
      <c r="L3831" t="str">
        <f>VLOOKUP(E3831,Stores!A:B,2,FALSE)</f>
        <v>MegaMart Brianahaven</v>
      </c>
      <c r="M3831">
        <f>VLOOKUP(D3831,Products!A:E,5,FALSE)</f>
        <v>270.45</v>
      </c>
      <c r="N3831" s="5">
        <f t="shared" si="59"/>
        <v>540.9</v>
      </c>
    </row>
    <row r="3832" spans="1:14" x14ac:dyDescent="0.3">
      <c r="A3832" t="s">
        <v>4688</v>
      </c>
      <c r="B3832" s="2">
        <v>45845</v>
      </c>
      <c r="C3832" t="s">
        <v>274</v>
      </c>
      <c r="D3832" t="s">
        <v>722</v>
      </c>
      <c r="E3832" t="s">
        <v>839</v>
      </c>
      <c r="F3832">
        <v>5</v>
      </c>
      <c r="G3832">
        <v>0.15</v>
      </c>
      <c r="H3832" t="s">
        <v>858</v>
      </c>
      <c r="I3832" t="str">
        <f>VLOOKUP(C3832,Customers!A:C,2,FALSE)&amp;" "&amp;VLOOKUP(C3832,Customers!A:C,3,FALSE)</f>
        <v>Eric Watkins</v>
      </c>
      <c r="J3832" t="str">
        <f>VLOOKUP(D3832,Products!A:C,2,FALSE)</f>
        <v>Four Accessories</v>
      </c>
      <c r="K3832" t="str">
        <f>VLOOKUP(D3832,Products!A:C,3,FALSE)</f>
        <v>Fashion</v>
      </c>
      <c r="L3832" t="str">
        <f>VLOOKUP(E3832,Stores!A:B,2,FALSE)</f>
        <v>MegaMart New Michele</v>
      </c>
      <c r="M3832">
        <f>VLOOKUP(D3832,Products!A:E,5,FALSE)</f>
        <v>1853.77</v>
      </c>
      <c r="N3832" s="5">
        <f t="shared" si="59"/>
        <v>7878.5225</v>
      </c>
    </row>
    <row r="3833" spans="1:14" x14ac:dyDescent="0.3">
      <c r="A3833" t="s">
        <v>4689</v>
      </c>
      <c r="B3833" s="2">
        <v>45229</v>
      </c>
      <c r="C3833" t="s">
        <v>81</v>
      </c>
      <c r="D3833" t="s">
        <v>804</v>
      </c>
      <c r="E3833" t="s">
        <v>839</v>
      </c>
      <c r="F3833">
        <v>1</v>
      </c>
      <c r="G3833">
        <v>0</v>
      </c>
      <c r="H3833" t="s">
        <v>858</v>
      </c>
      <c r="I3833" t="str">
        <f>VLOOKUP(C3833,Customers!A:C,2,FALSE)&amp;" "&amp;VLOOKUP(C3833,Customers!A:C,3,FALSE)</f>
        <v>Ryan Cole</v>
      </c>
      <c r="J3833" t="str">
        <f>VLOOKUP(D3833,Products!A:C,2,FALSE)</f>
        <v>Church Clothing</v>
      </c>
      <c r="K3833" t="str">
        <f>VLOOKUP(D3833,Products!A:C,3,FALSE)</f>
        <v>Fashion</v>
      </c>
      <c r="L3833" t="str">
        <f>VLOOKUP(E3833,Stores!A:B,2,FALSE)</f>
        <v>MegaMart New Michele</v>
      </c>
      <c r="M3833">
        <f>VLOOKUP(D3833,Products!A:E,5,FALSE)</f>
        <v>540.94000000000005</v>
      </c>
      <c r="N3833" s="5">
        <f t="shared" si="59"/>
        <v>540.94000000000005</v>
      </c>
    </row>
    <row r="3834" spans="1:14" x14ac:dyDescent="0.3">
      <c r="A3834" t="s">
        <v>4690</v>
      </c>
      <c r="B3834" s="2">
        <v>45523</v>
      </c>
      <c r="C3834" t="s">
        <v>415</v>
      </c>
      <c r="D3834" t="s">
        <v>766</v>
      </c>
      <c r="E3834" t="s">
        <v>842</v>
      </c>
      <c r="F3834">
        <v>4</v>
      </c>
      <c r="G3834">
        <v>0.1</v>
      </c>
      <c r="H3834" t="s">
        <v>865</v>
      </c>
      <c r="I3834" t="str">
        <f>VLOOKUP(C3834,Customers!A:C,2,FALSE)&amp;" "&amp;VLOOKUP(C3834,Customers!A:C,3,FALSE)</f>
        <v>Dylan Booker</v>
      </c>
      <c r="J3834" t="str">
        <f>VLOOKUP(D3834,Products!A:C,2,FALSE)</f>
        <v>Firm Dairy</v>
      </c>
      <c r="K3834" t="str">
        <f>VLOOKUP(D3834,Products!A:C,3,FALSE)</f>
        <v>Groceries</v>
      </c>
      <c r="L3834" t="str">
        <f>VLOOKUP(E3834,Stores!A:B,2,FALSE)</f>
        <v>MegaMart Brianahaven</v>
      </c>
      <c r="M3834">
        <f>VLOOKUP(D3834,Products!A:E,5,FALSE)</f>
        <v>1227.24</v>
      </c>
      <c r="N3834" s="5">
        <f t="shared" si="59"/>
        <v>4418.0640000000003</v>
      </c>
    </row>
    <row r="3835" spans="1:14" x14ac:dyDescent="0.3">
      <c r="A3835" t="s">
        <v>4691</v>
      </c>
      <c r="B3835" s="2">
        <v>45183</v>
      </c>
      <c r="C3835" t="s">
        <v>77</v>
      </c>
      <c r="D3835" t="s">
        <v>790</v>
      </c>
      <c r="E3835" t="s">
        <v>831</v>
      </c>
      <c r="F3835">
        <v>4</v>
      </c>
      <c r="G3835">
        <v>0.1</v>
      </c>
      <c r="H3835" t="s">
        <v>855</v>
      </c>
      <c r="I3835" t="str">
        <f>VLOOKUP(C3835,Customers!A:C,2,FALSE)&amp;" "&amp;VLOOKUP(C3835,Customers!A:C,3,FALSE)</f>
        <v>John Smith</v>
      </c>
      <c r="J3835" t="str">
        <f>VLOOKUP(D3835,Products!A:C,2,FALSE)</f>
        <v>Difficult Vegetables</v>
      </c>
      <c r="K3835" t="str">
        <f>VLOOKUP(D3835,Products!A:C,3,FALSE)</f>
        <v>Groceries</v>
      </c>
      <c r="L3835" t="str">
        <f>VLOOKUP(E3835,Stores!A:B,2,FALSE)</f>
        <v>MegaMart Jimenezborough</v>
      </c>
      <c r="M3835">
        <f>VLOOKUP(D3835,Products!A:E,5,FALSE)</f>
        <v>304.70999999999998</v>
      </c>
      <c r="N3835" s="5">
        <f t="shared" si="59"/>
        <v>1096.9559999999999</v>
      </c>
    </row>
    <row r="3836" spans="1:14" x14ac:dyDescent="0.3">
      <c r="A3836" t="s">
        <v>4692</v>
      </c>
      <c r="B3836" s="2">
        <v>45305</v>
      </c>
      <c r="C3836" t="s">
        <v>93</v>
      </c>
      <c r="D3836" t="s">
        <v>798</v>
      </c>
      <c r="E3836" t="s">
        <v>831</v>
      </c>
      <c r="F3836">
        <v>2</v>
      </c>
      <c r="G3836">
        <v>0.1</v>
      </c>
      <c r="H3836" t="s">
        <v>865</v>
      </c>
      <c r="I3836" t="str">
        <f>VLOOKUP(C3836,Customers!A:C,2,FALSE)&amp;" "&amp;VLOOKUP(C3836,Customers!A:C,3,FALSE)</f>
        <v>Mark Martinez</v>
      </c>
      <c r="J3836" t="str">
        <f>VLOOKUP(D3836,Products!A:C,2,FALSE)</f>
        <v>New Watches</v>
      </c>
      <c r="K3836" t="str">
        <f>VLOOKUP(D3836,Products!A:C,3,FALSE)</f>
        <v>Fashion</v>
      </c>
      <c r="L3836" t="str">
        <f>VLOOKUP(E3836,Stores!A:B,2,FALSE)</f>
        <v>MegaMart Jimenezborough</v>
      </c>
      <c r="M3836">
        <f>VLOOKUP(D3836,Products!A:E,5,FALSE)</f>
        <v>1501.46</v>
      </c>
      <c r="N3836" s="5">
        <f t="shared" si="59"/>
        <v>2702.6280000000002</v>
      </c>
    </row>
    <row r="3837" spans="1:14" x14ac:dyDescent="0.3">
      <c r="A3837" t="s">
        <v>4693</v>
      </c>
      <c r="B3837" s="2">
        <v>45624</v>
      </c>
      <c r="C3837" t="s">
        <v>429</v>
      </c>
      <c r="D3837" t="s">
        <v>747</v>
      </c>
      <c r="E3837" t="s">
        <v>846</v>
      </c>
      <c r="F3837">
        <v>3</v>
      </c>
      <c r="G3837">
        <v>0</v>
      </c>
      <c r="H3837" t="s">
        <v>858</v>
      </c>
      <c r="I3837" t="str">
        <f>VLOOKUP(C3837,Customers!A:C,2,FALSE)&amp;" "&amp;VLOOKUP(C3837,Customers!A:C,3,FALSE)</f>
        <v>Jose Smith</v>
      </c>
      <c r="J3837" t="str">
        <f>VLOOKUP(D3837,Products!A:C,2,FALSE)</f>
        <v>World Watches</v>
      </c>
      <c r="K3837" t="str">
        <f>VLOOKUP(D3837,Products!A:C,3,FALSE)</f>
        <v>Fashion</v>
      </c>
      <c r="L3837" t="str">
        <f>VLOOKUP(E3837,Stores!A:B,2,FALSE)</f>
        <v>MegaMart Johnmouth</v>
      </c>
      <c r="M3837">
        <f>VLOOKUP(D3837,Products!A:E,5,FALSE)</f>
        <v>1134.8</v>
      </c>
      <c r="N3837" s="5">
        <f t="shared" si="59"/>
        <v>3404.3999999999996</v>
      </c>
    </row>
    <row r="3838" spans="1:14" x14ac:dyDescent="0.3">
      <c r="A3838" t="s">
        <v>4694</v>
      </c>
      <c r="B3838" s="2">
        <v>45571</v>
      </c>
      <c r="C3838" t="s">
        <v>567</v>
      </c>
      <c r="D3838" t="s">
        <v>750</v>
      </c>
      <c r="E3838" t="s">
        <v>846</v>
      </c>
      <c r="F3838">
        <v>3</v>
      </c>
      <c r="G3838">
        <v>0.15</v>
      </c>
      <c r="H3838" t="s">
        <v>865</v>
      </c>
      <c r="I3838" t="str">
        <f>VLOOKUP(C3838,Customers!A:C,2,FALSE)&amp;" "&amp;VLOOKUP(C3838,Customers!A:C,3,FALSE)</f>
        <v>Crystal Aguirre</v>
      </c>
      <c r="J3838" t="str">
        <f>VLOOKUP(D3838,Products!A:C,2,FALSE)</f>
        <v>Add Clothing</v>
      </c>
      <c r="K3838" t="str">
        <f>VLOOKUP(D3838,Products!A:C,3,FALSE)</f>
        <v>Fashion</v>
      </c>
      <c r="L3838" t="str">
        <f>VLOOKUP(E3838,Stores!A:B,2,FALSE)</f>
        <v>MegaMart Johnmouth</v>
      </c>
      <c r="M3838">
        <f>VLOOKUP(D3838,Products!A:E,5,FALSE)</f>
        <v>1342.75</v>
      </c>
      <c r="N3838" s="5">
        <f t="shared" si="59"/>
        <v>3424.0124999999998</v>
      </c>
    </row>
    <row r="3839" spans="1:14" x14ac:dyDescent="0.3">
      <c r="A3839" t="s">
        <v>4695</v>
      </c>
      <c r="B3839" s="2">
        <v>45673</v>
      </c>
      <c r="C3839" t="s">
        <v>491</v>
      </c>
      <c r="D3839" t="s">
        <v>800</v>
      </c>
      <c r="E3839" t="s">
        <v>846</v>
      </c>
      <c r="F3839">
        <v>1</v>
      </c>
      <c r="G3839">
        <v>0.1</v>
      </c>
      <c r="H3839" t="s">
        <v>861</v>
      </c>
      <c r="I3839" t="str">
        <f>VLOOKUP(C3839,Customers!A:C,2,FALSE)&amp;" "&amp;VLOOKUP(C3839,Customers!A:C,3,FALSE)</f>
        <v>Emily Hart</v>
      </c>
      <c r="J3839" t="str">
        <f>VLOOKUP(D3839,Products!A:C,2,FALSE)</f>
        <v>Book Television</v>
      </c>
      <c r="K3839" t="str">
        <f>VLOOKUP(D3839,Products!A:C,3,FALSE)</f>
        <v>Electronics</v>
      </c>
      <c r="L3839" t="str">
        <f>VLOOKUP(E3839,Stores!A:B,2,FALSE)</f>
        <v>MegaMart Johnmouth</v>
      </c>
      <c r="M3839">
        <f>VLOOKUP(D3839,Products!A:E,5,FALSE)</f>
        <v>1952.65</v>
      </c>
      <c r="N3839" s="5">
        <f t="shared" si="59"/>
        <v>1757.3850000000002</v>
      </c>
    </row>
    <row r="3840" spans="1:14" x14ac:dyDescent="0.3">
      <c r="A3840" t="s">
        <v>4696</v>
      </c>
      <c r="B3840" s="2">
        <v>45753</v>
      </c>
      <c r="C3840" t="s">
        <v>415</v>
      </c>
      <c r="D3840" t="s">
        <v>778</v>
      </c>
      <c r="E3840" t="s">
        <v>842</v>
      </c>
      <c r="F3840">
        <v>5</v>
      </c>
      <c r="G3840">
        <v>0.05</v>
      </c>
      <c r="H3840" t="s">
        <v>855</v>
      </c>
      <c r="I3840" t="str">
        <f>VLOOKUP(C3840,Customers!A:C,2,FALSE)&amp;" "&amp;VLOOKUP(C3840,Customers!A:C,3,FALSE)</f>
        <v>Dylan Booker</v>
      </c>
      <c r="J3840" t="str">
        <f>VLOOKUP(D3840,Products!A:C,2,FALSE)</f>
        <v>Behavior Dairy</v>
      </c>
      <c r="K3840" t="str">
        <f>VLOOKUP(D3840,Products!A:C,3,FALSE)</f>
        <v>Groceries</v>
      </c>
      <c r="L3840" t="str">
        <f>VLOOKUP(E3840,Stores!A:B,2,FALSE)</f>
        <v>MegaMart Brianahaven</v>
      </c>
      <c r="M3840">
        <f>VLOOKUP(D3840,Products!A:E,5,FALSE)</f>
        <v>1015.76</v>
      </c>
      <c r="N3840" s="5">
        <f t="shared" si="59"/>
        <v>4824.8599999999997</v>
      </c>
    </row>
    <row r="3841" spans="1:14" x14ac:dyDescent="0.3">
      <c r="A3841" t="s">
        <v>4697</v>
      </c>
      <c r="B3841" s="2">
        <v>45878</v>
      </c>
      <c r="C3841" t="s">
        <v>516</v>
      </c>
      <c r="D3841" t="s">
        <v>772</v>
      </c>
      <c r="E3841" t="s">
        <v>835</v>
      </c>
      <c r="F3841">
        <v>4</v>
      </c>
      <c r="G3841">
        <v>0.15</v>
      </c>
      <c r="H3841" t="s">
        <v>861</v>
      </c>
      <c r="I3841" t="str">
        <f>VLOOKUP(C3841,Customers!A:C,2,FALSE)&amp;" "&amp;VLOOKUP(C3841,Customers!A:C,3,FALSE)</f>
        <v>Suzanne Fox</v>
      </c>
      <c r="J3841" t="str">
        <f>VLOOKUP(D3841,Products!A:C,2,FALSE)</f>
        <v>And Footwear</v>
      </c>
      <c r="K3841" t="str">
        <f>VLOOKUP(D3841,Products!A:C,3,FALSE)</f>
        <v>Fashion</v>
      </c>
      <c r="L3841" t="str">
        <f>VLOOKUP(E3841,Stores!A:B,2,FALSE)</f>
        <v>MegaMart Peckmouth</v>
      </c>
      <c r="M3841">
        <f>VLOOKUP(D3841,Products!A:E,5,FALSE)</f>
        <v>1878.47</v>
      </c>
      <c r="N3841" s="5">
        <f t="shared" si="59"/>
        <v>6386.7979999999998</v>
      </c>
    </row>
    <row r="3842" spans="1:14" x14ac:dyDescent="0.3">
      <c r="A3842" t="s">
        <v>4698</v>
      </c>
      <c r="B3842" s="2">
        <v>45453</v>
      </c>
      <c r="C3842" t="s">
        <v>375</v>
      </c>
      <c r="D3842" t="s">
        <v>711</v>
      </c>
      <c r="E3842" t="s">
        <v>846</v>
      </c>
      <c r="F3842">
        <v>4</v>
      </c>
      <c r="G3842">
        <v>0</v>
      </c>
      <c r="H3842" t="s">
        <v>861</v>
      </c>
      <c r="I3842" t="str">
        <f>VLOOKUP(C3842,Customers!A:C,2,FALSE)&amp;" "&amp;VLOOKUP(C3842,Customers!A:C,3,FALSE)</f>
        <v>Sean Hart</v>
      </c>
      <c r="J3842" t="str">
        <f>VLOOKUP(D3842,Products!A:C,2,FALSE)</f>
        <v>Like Camera</v>
      </c>
      <c r="K3842" t="str">
        <f>VLOOKUP(D3842,Products!A:C,3,FALSE)</f>
        <v>Electronics</v>
      </c>
      <c r="L3842" t="str">
        <f>VLOOKUP(E3842,Stores!A:B,2,FALSE)</f>
        <v>MegaMart Johnmouth</v>
      </c>
      <c r="M3842">
        <f>VLOOKUP(D3842,Products!A:E,5,FALSE)</f>
        <v>1673.69</v>
      </c>
      <c r="N3842" s="5">
        <f t="shared" si="59"/>
        <v>6694.76</v>
      </c>
    </row>
    <row r="3843" spans="1:14" x14ac:dyDescent="0.3">
      <c r="A3843" t="s">
        <v>4699</v>
      </c>
      <c r="B3843" s="2">
        <v>45425</v>
      </c>
      <c r="C3843" t="s">
        <v>505</v>
      </c>
      <c r="D3843" t="s">
        <v>802</v>
      </c>
      <c r="E3843" t="s">
        <v>842</v>
      </c>
      <c r="F3843">
        <v>5</v>
      </c>
      <c r="G3843">
        <v>0</v>
      </c>
      <c r="H3843" t="s">
        <v>858</v>
      </c>
      <c r="I3843" t="str">
        <f>VLOOKUP(C3843,Customers!A:C,2,FALSE)&amp;" "&amp;VLOOKUP(C3843,Customers!A:C,3,FALSE)</f>
        <v>Alexander Mcfarland</v>
      </c>
      <c r="J3843" t="str">
        <f>VLOOKUP(D3843,Products!A:C,2,FALSE)</f>
        <v>Stage Footwear</v>
      </c>
      <c r="K3843" t="str">
        <f>VLOOKUP(D3843,Products!A:C,3,FALSE)</f>
        <v>Fashion</v>
      </c>
      <c r="L3843" t="str">
        <f>VLOOKUP(E3843,Stores!A:B,2,FALSE)</f>
        <v>MegaMart Brianahaven</v>
      </c>
      <c r="M3843">
        <f>VLOOKUP(D3843,Products!A:E,5,FALSE)</f>
        <v>366.93</v>
      </c>
      <c r="N3843" s="5">
        <f t="shared" ref="N3843:N3906" si="60">F3843*M3843*(1-G3843)</f>
        <v>1834.65</v>
      </c>
    </row>
    <row r="3844" spans="1:14" x14ac:dyDescent="0.3">
      <c r="A3844" t="s">
        <v>4700</v>
      </c>
      <c r="B3844" s="2">
        <v>45321</v>
      </c>
      <c r="C3844" t="s">
        <v>498</v>
      </c>
      <c r="D3844" t="s">
        <v>788</v>
      </c>
      <c r="E3844" t="s">
        <v>842</v>
      </c>
      <c r="F3844">
        <v>5</v>
      </c>
      <c r="G3844">
        <v>0</v>
      </c>
      <c r="H3844" t="s">
        <v>855</v>
      </c>
      <c r="I3844" t="str">
        <f>VLOOKUP(C3844,Customers!A:C,2,FALSE)&amp;" "&amp;VLOOKUP(C3844,Customers!A:C,3,FALSE)</f>
        <v>Amanda Garcia</v>
      </c>
      <c r="J3844" t="str">
        <f>VLOOKUP(D3844,Products!A:C,2,FALSE)</f>
        <v>Foot Snacks</v>
      </c>
      <c r="K3844" t="str">
        <f>VLOOKUP(D3844,Products!A:C,3,FALSE)</f>
        <v>Groceries</v>
      </c>
      <c r="L3844" t="str">
        <f>VLOOKUP(E3844,Stores!A:B,2,FALSE)</f>
        <v>MegaMart Brianahaven</v>
      </c>
      <c r="M3844">
        <f>VLOOKUP(D3844,Products!A:E,5,FALSE)</f>
        <v>1095.72</v>
      </c>
      <c r="N3844" s="5">
        <f t="shared" si="60"/>
        <v>5478.6</v>
      </c>
    </row>
    <row r="3845" spans="1:14" x14ac:dyDescent="0.3">
      <c r="A3845" t="s">
        <v>4701</v>
      </c>
      <c r="B3845" s="2">
        <v>45460</v>
      </c>
      <c r="C3845" t="s">
        <v>36</v>
      </c>
      <c r="D3845" t="s">
        <v>790</v>
      </c>
      <c r="E3845" t="s">
        <v>839</v>
      </c>
      <c r="F3845">
        <v>5</v>
      </c>
      <c r="G3845">
        <v>0.15</v>
      </c>
      <c r="H3845" t="s">
        <v>861</v>
      </c>
      <c r="I3845" t="str">
        <f>VLOOKUP(C3845,Customers!A:C,2,FALSE)&amp;" "&amp;VLOOKUP(C3845,Customers!A:C,3,FALSE)</f>
        <v>Isaiah Williams</v>
      </c>
      <c r="J3845" t="str">
        <f>VLOOKUP(D3845,Products!A:C,2,FALSE)</f>
        <v>Difficult Vegetables</v>
      </c>
      <c r="K3845" t="str">
        <f>VLOOKUP(D3845,Products!A:C,3,FALSE)</f>
        <v>Groceries</v>
      </c>
      <c r="L3845" t="str">
        <f>VLOOKUP(E3845,Stores!A:B,2,FALSE)</f>
        <v>MegaMart New Michele</v>
      </c>
      <c r="M3845">
        <f>VLOOKUP(D3845,Products!A:E,5,FALSE)</f>
        <v>304.70999999999998</v>
      </c>
      <c r="N3845" s="5">
        <f t="shared" si="60"/>
        <v>1295.0174999999999</v>
      </c>
    </row>
    <row r="3846" spans="1:14" x14ac:dyDescent="0.3">
      <c r="A3846" t="s">
        <v>4702</v>
      </c>
      <c r="B3846" s="2">
        <v>45540</v>
      </c>
      <c r="C3846" t="s">
        <v>351</v>
      </c>
      <c r="D3846" t="s">
        <v>761</v>
      </c>
      <c r="E3846" t="s">
        <v>842</v>
      </c>
      <c r="F3846">
        <v>1</v>
      </c>
      <c r="G3846">
        <v>0.15</v>
      </c>
      <c r="H3846" t="s">
        <v>858</v>
      </c>
      <c r="I3846" t="str">
        <f>VLOOKUP(C3846,Customers!A:C,2,FALSE)&amp;" "&amp;VLOOKUP(C3846,Customers!A:C,3,FALSE)</f>
        <v>Stanley Brown</v>
      </c>
      <c r="J3846" t="str">
        <f>VLOOKUP(D3846,Products!A:C,2,FALSE)</f>
        <v>Traditional Laptop</v>
      </c>
      <c r="K3846" t="str">
        <f>VLOOKUP(D3846,Products!A:C,3,FALSE)</f>
        <v>Electronics</v>
      </c>
      <c r="L3846" t="str">
        <f>VLOOKUP(E3846,Stores!A:B,2,FALSE)</f>
        <v>MegaMart Brianahaven</v>
      </c>
      <c r="M3846">
        <f>VLOOKUP(D3846,Products!A:E,5,FALSE)</f>
        <v>1762.92</v>
      </c>
      <c r="N3846" s="5">
        <f t="shared" si="60"/>
        <v>1498.482</v>
      </c>
    </row>
    <row r="3847" spans="1:14" x14ac:dyDescent="0.3">
      <c r="A3847" t="s">
        <v>4703</v>
      </c>
      <c r="B3847" s="2">
        <v>45847</v>
      </c>
      <c r="C3847" t="s">
        <v>28</v>
      </c>
      <c r="D3847" t="s">
        <v>766</v>
      </c>
      <c r="E3847" t="s">
        <v>846</v>
      </c>
      <c r="F3847">
        <v>2</v>
      </c>
      <c r="G3847">
        <v>0.05</v>
      </c>
      <c r="H3847" t="s">
        <v>865</v>
      </c>
      <c r="I3847" t="str">
        <f>VLOOKUP(C3847,Customers!A:C,2,FALSE)&amp;" "&amp;VLOOKUP(C3847,Customers!A:C,3,FALSE)</f>
        <v>Danny Moore</v>
      </c>
      <c r="J3847" t="str">
        <f>VLOOKUP(D3847,Products!A:C,2,FALSE)</f>
        <v>Firm Dairy</v>
      </c>
      <c r="K3847" t="str">
        <f>VLOOKUP(D3847,Products!A:C,3,FALSE)</f>
        <v>Groceries</v>
      </c>
      <c r="L3847" t="str">
        <f>VLOOKUP(E3847,Stores!A:B,2,FALSE)</f>
        <v>MegaMart Johnmouth</v>
      </c>
      <c r="M3847">
        <f>VLOOKUP(D3847,Products!A:E,5,FALSE)</f>
        <v>1227.24</v>
      </c>
      <c r="N3847" s="5">
        <f t="shared" si="60"/>
        <v>2331.7559999999999</v>
      </c>
    </row>
    <row r="3848" spans="1:14" x14ac:dyDescent="0.3">
      <c r="A3848" t="s">
        <v>4704</v>
      </c>
      <c r="B3848" s="2">
        <v>45666</v>
      </c>
      <c r="C3848" t="s">
        <v>93</v>
      </c>
      <c r="D3848" t="s">
        <v>824</v>
      </c>
      <c r="E3848" t="s">
        <v>835</v>
      </c>
      <c r="F3848">
        <v>4</v>
      </c>
      <c r="G3848">
        <v>0.1</v>
      </c>
      <c r="H3848" t="s">
        <v>858</v>
      </c>
      <c r="I3848" t="str">
        <f>VLOOKUP(C3848,Customers!A:C,2,FALSE)&amp;" "&amp;VLOOKUP(C3848,Customers!A:C,3,FALSE)</f>
        <v>Mark Martinez</v>
      </c>
      <c r="J3848" t="str">
        <f>VLOOKUP(D3848,Products!A:C,2,FALSE)</f>
        <v>Possible Watches</v>
      </c>
      <c r="K3848" t="str">
        <f>VLOOKUP(D3848,Products!A:C,3,FALSE)</f>
        <v>Fashion</v>
      </c>
      <c r="L3848" t="str">
        <f>VLOOKUP(E3848,Stores!A:B,2,FALSE)</f>
        <v>MegaMart Peckmouth</v>
      </c>
      <c r="M3848">
        <f>VLOOKUP(D3848,Products!A:E,5,FALSE)</f>
        <v>388.26</v>
      </c>
      <c r="N3848" s="5">
        <f t="shared" si="60"/>
        <v>1397.7360000000001</v>
      </c>
    </row>
    <row r="3849" spans="1:14" x14ac:dyDescent="0.3">
      <c r="A3849" t="s">
        <v>4705</v>
      </c>
      <c r="B3849" s="2">
        <v>45237</v>
      </c>
      <c r="C3849" t="s">
        <v>579</v>
      </c>
      <c r="D3849" t="s">
        <v>780</v>
      </c>
      <c r="E3849" t="s">
        <v>846</v>
      </c>
      <c r="F3849">
        <v>5</v>
      </c>
      <c r="G3849">
        <v>0.05</v>
      </c>
      <c r="H3849" t="s">
        <v>858</v>
      </c>
      <c r="I3849" t="str">
        <f>VLOOKUP(C3849,Customers!A:C,2,FALSE)&amp;" "&amp;VLOOKUP(C3849,Customers!A:C,3,FALSE)</f>
        <v>Jill Roach</v>
      </c>
      <c r="J3849" t="str">
        <f>VLOOKUP(D3849,Products!A:C,2,FALSE)</f>
        <v>Hospital Smartphone</v>
      </c>
      <c r="K3849" t="str">
        <f>VLOOKUP(D3849,Products!A:C,3,FALSE)</f>
        <v>Electronics</v>
      </c>
      <c r="L3849" t="str">
        <f>VLOOKUP(E3849,Stores!A:B,2,FALSE)</f>
        <v>MegaMart Johnmouth</v>
      </c>
      <c r="M3849">
        <f>VLOOKUP(D3849,Products!A:E,5,FALSE)</f>
        <v>1272.23</v>
      </c>
      <c r="N3849" s="5">
        <f t="shared" si="60"/>
        <v>6043.0924999999997</v>
      </c>
    </row>
    <row r="3850" spans="1:14" x14ac:dyDescent="0.3">
      <c r="A3850" t="s">
        <v>4706</v>
      </c>
      <c r="B3850" s="2">
        <v>45745</v>
      </c>
      <c r="C3850" t="s">
        <v>20</v>
      </c>
      <c r="D3850" t="s">
        <v>786</v>
      </c>
      <c r="E3850" t="s">
        <v>839</v>
      </c>
      <c r="F3850">
        <v>1</v>
      </c>
      <c r="G3850">
        <v>0</v>
      </c>
      <c r="H3850" t="s">
        <v>855</v>
      </c>
      <c r="I3850" t="str">
        <f>VLOOKUP(C3850,Customers!A:C,2,FALSE)&amp;" "&amp;VLOOKUP(C3850,Customers!A:C,3,FALSE)</f>
        <v>Joseph Ward</v>
      </c>
      <c r="J3850" t="str">
        <f>VLOOKUP(D3850,Products!A:C,2,FALSE)</f>
        <v>National Watches</v>
      </c>
      <c r="K3850" t="str">
        <f>VLOOKUP(D3850,Products!A:C,3,FALSE)</f>
        <v>Fashion</v>
      </c>
      <c r="L3850" t="str">
        <f>VLOOKUP(E3850,Stores!A:B,2,FALSE)</f>
        <v>MegaMart New Michele</v>
      </c>
      <c r="M3850">
        <f>VLOOKUP(D3850,Products!A:E,5,FALSE)</f>
        <v>29.24</v>
      </c>
      <c r="N3850" s="5">
        <f t="shared" si="60"/>
        <v>29.24</v>
      </c>
    </row>
    <row r="3851" spans="1:14" x14ac:dyDescent="0.3">
      <c r="A3851" t="s">
        <v>4707</v>
      </c>
      <c r="B3851" s="2">
        <v>45365</v>
      </c>
      <c r="C3851" t="s">
        <v>141</v>
      </c>
      <c r="D3851" t="s">
        <v>820</v>
      </c>
      <c r="E3851" t="s">
        <v>831</v>
      </c>
      <c r="F3851">
        <v>4</v>
      </c>
      <c r="G3851">
        <v>0.1</v>
      </c>
      <c r="H3851" t="s">
        <v>855</v>
      </c>
      <c r="I3851" t="str">
        <f>VLOOKUP(C3851,Customers!A:C,2,FALSE)&amp;" "&amp;VLOOKUP(C3851,Customers!A:C,3,FALSE)</f>
        <v>Michael Cervantes</v>
      </c>
      <c r="J3851" t="str">
        <f>VLOOKUP(D3851,Products!A:C,2,FALSE)</f>
        <v>Or Smartphone</v>
      </c>
      <c r="K3851" t="str">
        <f>VLOOKUP(D3851,Products!A:C,3,FALSE)</f>
        <v>Electronics</v>
      </c>
      <c r="L3851" t="str">
        <f>VLOOKUP(E3851,Stores!A:B,2,FALSE)</f>
        <v>MegaMart Jimenezborough</v>
      </c>
      <c r="M3851">
        <f>VLOOKUP(D3851,Products!A:E,5,FALSE)</f>
        <v>1197.18</v>
      </c>
      <c r="N3851" s="5">
        <f t="shared" si="60"/>
        <v>4309.848</v>
      </c>
    </row>
    <row r="3852" spans="1:14" x14ac:dyDescent="0.3">
      <c r="A3852" t="s">
        <v>4708</v>
      </c>
      <c r="B3852" s="2">
        <v>45677</v>
      </c>
      <c r="C3852" t="s">
        <v>480</v>
      </c>
      <c r="D3852" t="s">
        <v>786</v>
      </c>
      <c r="E3852" t="s">
        <v>839</v>
      </c>
      <c r="F3852">
        <v>1</v>
      </c>
      <c r="G3852">
        <v>0.15</v>
      </c>
      <c r="H3852" t="s">
        <v>858</v>
      </c>
      <c r="I3852" t="str">
        <f>VLOOKUP(C3852,Customers!A:C,2,FALSE)&amp;" "&amp;VLOOKUP(C3852,Customers!A:C,3,FALSE)</f>
        <v>Denise Jackson</v>
      </c>
      <c r="J3852" t="str">
        <f>VLOOKUP(D3852,Products!A:C,2,FALSE)</f>
        <v>National Watches</v>
      </c>
      <c r="K3852" t="str">
        <f>VLOOKUP(D3852,Products!A:C,3,FALSE)</f>
        <v>Fashion</v>
      </c>
      <c r="L3852" t="str">
        <f>VLOOKUP(E3852,Stores!A:B,2,FALSE)</f>
        <v>MegaMart New Michele</v>
      </c>
      <c r="M3852">
        <f>VLOOKUP(D3852,Products!A:E,5,FALSE)</f>
        <v>29.24</v>
      </c>
      <c r="N3852" s="5">
        <f t="shared" si="60"/>
        <v>24.853999999999999</v>
      </c>
    </row>
    <row r="3853" spans="1:14" x14ac:dyDescent="0.3">
      <c r="A3853" t="s">
        <v>4709</v>
      </c>
      <c r="B3853" s="2">
        <v>45323</v>
      </c>
      <c r="C3853" t="s">
        <v>435</v>
      </c>
      <c r="D3853" t="s">
        <v>772</v>
      </c>
      <c r="E3853" t="s">
        <v>839</v>
      </c>
      <c r="F3853">
        <v>1</v>
      </c>
      <c r="G3853">
        <v>0.05</v>
      </c>
      <c r="H3853" t="s">
        <v>858</v>
      </c>
      <c r="I3853" t="str">
        <f>VLOOKUP(C3853,Customers!A:C,2,FALSE)&amp;" "&amp;VLOOKUP(C3853,Customers!A:C,3,FALSE)</f>
        <v>Timothy Beck</v>
      </c>
      <c r="J3853" t="str">
        <f>VLOOKUP(D3853,Products!A:C,2,FALSE)</f>
        <v>And Footwear</v>
      </c>
      <c r="K3853" t="str">
        <f>VLOOKUP(D3853,Products!A:C,3,FALSE)</f>
        <v>Fashion</v>
      </c>
      <c r="L3853" t="str">
        <f>VLOOKUP(E3853,Stores!A:B,2,FALSE)</f>
        <v>MegaMart New Michele</v>
      </c>
      <c r="M3853">
        <f>VLOOKUP(D3853,Products!A:E,5,FALSE)</f>
        <v>1878.47</v>
      </c>
      <c r="N3853" s="5">
        <f t="shared" si="60"/>
        <v>1784.5464999999999</v>
      </c>
    </row>
    <row r="3854" spans="1:14" x14ac:dyDescent="0.3">
      <c r="A3854" t="s">
        <v>4710</v>
      </c>
      <c r="B3854" s="2">
        <v>45869</v>
      </c>
      <c r="C3854" t="s">
        <v>287</v>
      </c>
      <c r="D3854" t="s">
        <v>780</v>
      </c>
      <c r="E3854" t="s">
        <v>842</v>
      </c>
      <c r="F3854">
        <v>5</v>
      </c>
      <c r="G3854">
        <v>0.05</v>
      </c>
      <c r="H3854" t="s">
        <v>865</v>
      </c>
      <c r="I3854" t="str">
        <f>VLOOKUP(C3854,Customers!A:C,2,FALSE)&amp;" "&amp;VLOOKUP(C3854,Customers!A:C,3,FALSE)</f>
        <v>Phyllis Durham</v>
      </c>
      <c r="J3854" t="str">
        <f>VLOOKUP(D3854,Products!A:C,2,FALSE)</f>
        <v>Hospital Smartphone</v>
      </c>
      <c r="K3854" t="str">
        <f>VLOOKUP(D3854,Products!A:C,3,FALSE)</f>
        <v>Electronics</v>
      </c>
      <c r="L3854" t="str">
        <f>VLOOKUP(E3854,Stores!A:B,2,FALSE)</f>
        <v>MegaMart Brianahaven</v>
      </c>
      <c r="M3854">
        <f>VLOOKUP(D3854,Products!A:E,5,FALSE)</f>
        <v>1272.23</v>
      </c>
      <c r="N3854" s="5">
        <f t="shared" si="60"/>
        <v>6043.0924999999997</v>
      </c>
    </row>
    <row r="3855" spans="1:14" x14ac:dyDescent="0.3">
      <c r="A3855" t="s">
        <v>4711</v>
      </c>
      <c r="B3855" s="2">
        <v>45349</v>
      </c>
      <c r="C3855" t="s">
        <v>101</v>
      </c>
      <c r="D3855" t="s">
        <v>806</v>
      </c>
      <c r="E3855" t="s">
        <v>846</v>
      </c>
      <c r="F3855">
        <v>5</v>
      </c>
      <c r="G3855">
        <v>0.05</v>
      </c>
      <c r="H3855" t="s">
        <v>855</v>
      </c>
      <c r="I3855" t="str">
        <f>VLOOKUP(C3855,Customers!A:C,2,FALSE)&amp;" "&amp;VLOOKUP(C3855,Customers!A:C,3,FALSE)</f>
        <v>Cheryl Gilbert</v>
      </c>
      <c r="J3855" t="str">
        <f>VLOOKUP(D3855,Products!A:C,2,FALSE)</f>
        <v>Piece Headphones</v>
      </c>
      <c r="K3855" t="str">
        <f>VLOOKUP(D3855,Products!A:C,3,FALSE)</f>
        <v>Electronics</v>
      </c>
      <c r="L3855" t="str">
        <f>VLOOKUP(E3855,Stores!A:B,2,FALSE)</f>
        <v>MegaMart Johnmouth</v>
      </c>
      <c r="M3855">
        <f>VLOOKUP(D3855,Products!A:E,5,FALSE)</f>
        <v>1745.61</v>
      </c>
      <c r="N3855" s="5">
        <f t="shared" si="60"/>
        <v>8291.6474999999991</v>
      </c>
    </row>
    <row r="3856" spans="1:14" x14ac:dyDescent="0.3">
      <c r="A3856" t="s">
        <v>4712</v>
      </c>
      <c r="B3856" s="2">
        <v>45661</v>
      </c>
      <c r="C3856" t="s">
        <v>97</v>
      </c>
      <c r="D3856" t="s">
        <v>784</v>
      </c>
      <c r="E3856" t="s">
        <v>846</v>
      </c>
      <c r="F3856">
        <v>5</v>
      </c>
      <c r="G3856">
        <v>0.15</v>
      </c>
      <c r="H3856" t="s">
        <v>861</v>
      </c>
      <c r="I3856" t="str">
        <f>VLOOKUP(C3856,Customers!A:C,2,FALSE)&amp;" "&amp;VLOOKUP(C3856,Customers!A:C,3,FALSE)</f>
        <v>Molly Murray</v>
      </c>
      <c r="J3856" t="str">
        <f>VLOOKUP(D3856,Products!A:C,2,FALSE)</f>
        <v>Road Clothing</v>
      </c>
      <c r="K3856" t="str">
        <f>VLOOKUP(D3856,Products!A:C,3,FALSE)</f>
        <v>Fashion</v>
      </c>
      <c r="L3856" t="str">
        <f>VLOOKUP(E3856,Stores!A:B,2,FALSE)</f>
        <v>MegaMart Johnmouth</v>
      </c>
      <c r="M3856">
        <f>VLOOKUP(D3856,Products!A:E,5,FALSE)</f>
        <v>1485.05</v>
      </c>
      <c r="N3856" s="5">
        <f t="shared" si="60"/>
        <v>6311.4624999999996</v>
      </c>
    </row>
    <row r="3857" spans="1:14" x14ac:dyDescent="0.3">
      <c r="A3857" t="s">
        <v>4713</v>
      </c>
      <c r="B3857" s="2">
        <v>45816</v>
      </c>
      <c r="C3857" t="s">
        <v>419</v>
      </c>
      <c r="D3857" t="s">
        <v>786</v>
      </c>
      <c r="E3857" t="s">
        <v>839</v>
      </c>
      <c r="F3857">
        <v>2</v>
      </c>
      <c r="G3857">
        <v>0.05</v>
      </c>
      <c r="H3857" t="s">
        <v>861</v>
      </c>
      <c r="I3857" t="str">
        <f>VLOOKUP(C3857,Customers!A:C,2,FALSE)&amp;" "&amp;VLOOKUP(C3857,Customers!A:C,3,FALSE)</f>
        <v>Jeffrey Smith</v>
      </c>
      <c r="J3857" t="str">
        <f>VLOOKUP(D3857,Products!A:C,2,FALSE)</f>
        <v>National Watches</v>
      </c>
      <c r="K3857" t="str">
        <f>VLOOKUP(D3857,Products!A:C,3,FALSE)</f>
        <v>Fashion</v>
      </c>
      <c r="L3857" t="str">
        <f>VLOOKUP(E3857,Stores!A:B,2,FALSE)</f>
        <v>MegaMart New Michele</v>
      </c>
      <c r="M3857">
        <f>VLOOKUP(D3857,Products!A:E,5,FALSE)</f>
        <v>29.24</v>
      </c>
      <c r="N3857" s="5">
        <f t="shared" si="60"/>
        <v>55.555999999999997</v>
      </c>
    </row>
    <row r="3858" spans="1:14" x14ac:dyDescent="0.3">
      <c r="A3858" t="s">
        <v>4714</v>
      </c>
      <c r="B3858" s="2">
        <v>45390</v>
      </c>
      <c r="C3858" t="s">
        <v>556</v>
      </c>
      <c r="D3858" t="s">
        <v>764</v>
      </c>
      <c r="E3858" t="s">
        <v>842</v>
      </c>
      <c r="F3858">
        <v>3</v>
      </c>
      <c r="G3858">
        <v>0</v>
      </c>
      <c r="H3858" t="s">
        <v>858</v>
      </c>
      <c r="I3858" t="str">
        <f>VLOOKUP(C3858,Customers!A:C,2,FALSE)&amp;" "&amp;VLOOKUP(C3858,Customers!A:C,3,FALSE)</f>
        <v>Jill Mcconnell</v>
      </c>
      <c r="J3858" t="str">
        <f>VLOOKUP(D3858,Products!A:C,2,FALSE)</f>
        <v>Simple Accessories</v>
      </c>
      <c r="K3858" t="str">
        <f>VLOOKUP(D3858,Products!A:C,3,FALSE)</f>
        <v>Fashion</v>
      </c>
      <c r="L3858" t="str">
        <f>VLOOKUP(E3858,Stores!A:B,2,FALSE)</f>
        <v>MegaMart Brianahaven</v>
      </c>
      <c r="M3858">
        <f>VLOOKUP(D3858,Products!A:E,5,FALSE)</f>
        <v>323.92</v>
      </c>
      <c r="N3858" s="5">
        <f t="shared" si="60"/>
        <v>971.76</v>
      </c>
    </row>
    <row r="3859" spans="1:14" x14ac:dyDescent="0.3">
      <c r="A3859" t="s">
        <v>4715</v>
      </c>
      <c r="B3859" s="2">
        <v>45588</v>
      </c>
      <c r="C3859" t="s">
        <v>59</v>
      </c>
      <c r="D3859" t="s">
        <v>734</v>
      </c>
      <c r="E3859" t="s">
        <v>839</v>
      </c>
      <c r="F3859">
        <v>3</v>
      </c>
      <c r="G3859">
        <v>0.1</v>
      </c>
      <c r="H3859" t="s">
        <v>861</v>
      </c>
      <c r="I3859" t="str">
        <f>VLOOKUP(C3859,Customers!A:C,2,FALSE)&amp;" "&amp;VLOOKUP(C3859,Customers!A:C,3,FALSE)</f>
        <v>Brittany Green</v>
      </c>
      <c r="J3859" t="str">
        <f>VLOOKUP(D3859,Products!A:C,2,FALSE)</f>
        <v>Recognize Footwear</v>
      </c>
      <c r="K3859" t="str">
        <f>VLOOKUP(D3859,Products!A:C,3,FALSE)</f>
        <v>Fashion</v>
      </c>
      <c r="L3859" t="str">
        <f>VLOOKUP(E3859,Stores!A:B,2,FALSE)</f>
        <v>MegaMart New Michele</v>
      </c>
      <c r="M3859">
        <f>VLOOKUP(D3859,Products!A:E,5,FALSE)</f>
        <v>109.78</v>
      </c>
      <c r="N3859" s="5">
        <f t="shared" si="60"/>
        <v>296.40600000000006</v>
      </c>
    </row>
    <row r="3860" spans="1:14" x14ac:dyDescent="0.3">
      <c r="A3860" t="s">
        <v>4716</v>
      </c>
      <c r="B3860" s="2">
        <v>45785</v>
      </c>
      <c r="C3860" t="s">
        <v>109</v>
      </c>
      <c r="D3860" t="s">
        <v>816</v>
      </c>
      <c r="E3860" t="s">
        <v>846</v>
      </c>
      <c r="F3860">
        <v>3</v>
      </c>
      <c r="G3860">
        <v>0.1</v>
      </c>
      <c r="H3860" t="s">
        <v>855</v>
      </c>
      <c r="I3860" t="str">
        <f>VLOOKUP(C3860,Customers!A:C,2,FALSE)&amp;" "&amp;VLOOKUP(C3860,Customers!A:C,3,FALSE)</f>
        <v>Jacqueline Martin</v>
      </c>
      <c r="J3860" t="str">
        <f>VLOOKUP(D3860,Products!A:C,2,FALSE)</f>
        <v>Set Dairy</v>
      </c>
      <c r="K3860" t="str">
        <f>VLOOKUP(D3860,Products!A:C,3,FALSE)</f>
        <v>Groceries</v>
      </c>
      <c r="L3860" t="str">
        <f>VLOOKUP(E3860,Stores!A:B,2,FALSE)</f>
        <v>MegaMart Johnmouth</v>
      </c>
      <c r="M3860">
        <f>VLOOKUP(D3860,Products!A:E,5,FALSE)</f>
        <v>1879.08</v>
      </c>
      <c r="N3860" s="5">
        <f t="shared" si="60"/>
        <v>5073.5159999999996</v>
      </c>
    </row>
    <row r="3861" spans="1:14" x14ac:dyDescent="0.3">
      <c r="A3861" t="s">
        <v>4717</v>
      </c>
      <c r="B3861" s="2">
        <v>45318</v>
      </c>
      <c r="C3861" t="s">
        <v>462</v>
      </c>
      <c r="D3861" t="s">
        <v>804</v>
      </c>
      <c r="E3861" t="s">
        <v>831</v>
      </c>
      <c r="F3861">
        <v>3</v>
      </c>
      <c r="G3861">
        <v>0.15</v>
      </c>
      <c r="H3861" t="s">
        <v>861</v>
      </c>
      <c r="I3861" t="str">
        <f>VLOOKUP(C3861,Customers!A:C,2,FALSE)&amp;" "&amp;VLOOKUP(C3861,Customers!A:C,3,FALSE)</f>
        <v>Kimberly Parker</v>
      </c>
      <c r="J3861" t="str">
        <f>VLOOKUP(D3861,Products!A:C,2,FALSE)</f>
        <v>Church Clothing</v>
      </c>
      <c r="K3861" t="str">
        <f>VLOOKUP(D3861,Products!A:C,3,FALSE)</f>
        <v>Fashion</v>
      </c>
      <c r="L3861" t="str">
        <f>VLOOKUP(E3861,Stores!A:B,2,FALSE)</f>
        <v>MegaMart Jimenezborough</v>
      </c>
      <c r="M3861">
        <f>VLOOKUP(D3861,Products!A:E,5,FALSE)</f>
        <v>540.94000000000005</v>
      </c>
      <c r="N3861" s="5">
        <f t="shared" si="60"/>
        <v>1379.3970000000002</v>
      </c>
    </row>
    <row r="3862" spans="1:14" x14ac:dyDescent="0.3">
      <c r="A3862" t="s">
        <v>4718</v>
      </c>
      <c r="B3862" s="2">
        <v>45613</v>
      </c>
      <c r="C3862" t="s">
        <v>7</v>
      </c>
      <c r="D3862" t="s">
        <v>736</v>
      </c>
      <c r="E3862" t="s">
        <v>846</v>
      </c>
      <c r="F3862">
        <v>2</v>
      </c>
      <c r="G3862">
        <v>0.05</v>
      </c>
      <c r="H3862" t="s">
        <v>855</v>
      </c>
      <c r="I3862" t="str">
        <f>VLOOKUP(C3862,Customers!A:C,2,FALSE)&amp;" "&amp;VLOOKUP(C3862,Customers!A:C,3,FALSE)</f>
        <v>Michael Davis</v>
      </c>
      <c r="J3862" t="str">
        <f>VLOOKUP(D3862,Products!A:C,2,FALSE)</f>
        <v>Us Snacks</v>
      </c>
      <c r="K3862" t="str">
        <f>VLOOKUP(D3862,Products!A:C,3,FALSE)</f>
        <v>Groceries</v>
      </c>
      <c r="L3862" t="str">
        <f>VLOOKUP(E3862,Stores!A:B,2,FALSE)</f>
        <v>MegaMart Johnmouth</v>
      </c>
      <c r="M3862">
        <f>VLOOKUP(D3862,Products!A:E,5,FALSE)</f>
        <v>123.19</v>
      </c>
      <c r="N3862" s="5">
        <f t="shared" si="60"/>
        <v>234.06099999999998</v>
      </c>
    </row>
    <row r="3863" spans="1:14" x14ac:dyDescent="0.3">
      <c r="A3863" t="s">
        <v>4719</v>
      </c>
      <c r="B3863" s="2">
        <v>45780</v>
      </c>
      <c r="C3863" t="s">
        <v>469</v>
      </c>
      <c r="D3863" t="s">
        <v>796</v>
      </c>
      <c r="E3863" t="s">
        <v>831</v>
      </c>
      <c r="F3863">
        <v>5</v>
      </c>
      <c r="G3863">
        <v>0</v>
      </c>
      <c r="H3863" t="s">
        <v>865</v>
      </c>
      <c r="I3863" t="str">
        <f>VLOOKUP(C3863,Customers!A:C,2,FALSE)&amp;" "&amp;VLOOKUP(C3863,Customers!A:C,3,FALSE)</f>
        <v>Robert Collins</v>
      </c>
      <c r="J3863" t="str">
        <f>VLOOKUP(D3863,Products!A:C,2,FALSE)</f>
        <v>Chair Laptop</v>
      </c>
      <c r="K3863" t="str">
        <f>VLOOKUP(D3863,Products!A:C,3,FALSE)</f>
        <v>Electronics</v>
      </c>
      <c r="L3863" t="str">
        <f>VLOOKUP(E3863,Stores!A:B,2,FALSE)</f>
        <v>MegaMart Jimenezborough</v>
      </c>
      <c r="M3863">
        <f>VLOOKUP(D3863,Products!A:E,5,FALSE)</f>
        <v>1562.43</v>
      </c>
      <c r="N3863" s="5">
        <f t="shared" si="60"/>
        <v>7812.1500000000005</v>
      </c>
    </row>
    <row r="3864" spans="1:14" x14ac:dyDescent="0.3">
      <c r="A3864" t="s">
        <v>4720</v>
      </c>
      <c r="B3864" s="2">
        <v>45575</v>
      </c>
      <c r="C3864" t="s">
        <v>71</v>
      </c>
      <c r="D3864" t="s">
        <v>745</v>
      </c>
      <c r="E3864" t="s">
        <v>842</v>
      </c>
      <c r="F3864">
        <v>2</v>
      </c>
      <c r="G3864">
        <v>0.1</v>
      </c>
      <c r="H3864" t="s">
        <v>858</v>
      </c>
      <c r="I3864" t="str">
        <f>VLOOKUP(C3864,Customers!A:C,2,FALSE)&amp;" "&amp;VLOOKUP(C3864,Customers!A:C,3,FALSE)</f>
        <v>Vanessa Anderson</v>
      </c>
      <c r="J3864" t="str">
        <f>VLOOKUP(D3864,Products!A:C,2,FALSE)</f>
        <v>Above Camera</v>
      </c>
      <c r="K3864" t="str">
        <f>VLOOKUP(D3864,Products!A:C,3,FALSE)</f>
        <v>Electronics</v>
      </c>
      <c r="L3864" t="str">
        <f>VLOOKUP(E3864,Stores!A:B,2,FALSE)</f>
        <v>MegaMart Brianahaven</v>
      </c>
      <c r="M3864">
        <f>VLOOKUP(D3864,Products!A:E,5,FALSE)</f>
        <v>1193.0899999999999</v>
      </c>
      <c r="N3864" s="5">
        <f t="shared" si="60"/>
        <v>2147.5619999999999</v>
      </c>
    </row>
    <row r="3865" spans="1:14" x14ac:dyDescent="0.3">
      <c r="A3865" t="s">
        <v>4721</v>
      </c>
      <c r="B3865" s="2">
        <v>45382</v>
      </c>
      <c r="C3865" t="s">
        <v>270</v>
      </c>
      <c r="D3865" t="s">
        <v>736</v>
      </c>
      <c r="E3865" t="s">
        <v>831</v>
      </c>
      <c r="F3865">
        <v>4</v>
      </c>
      <c r="G3865">
        <v>0.05</v>
      </c>
      <c r="H3865" t="s">
        <v>861</v>
      </c>
      <c r="I3865" t="str">
        <f>VLOOKUP(C3865,Customers!A:C,2,FALSE)&amp;" "&amp;VLOOKUP(C3865,Customers!A:C,3,FALSE)</f>
        <v>Denise Gutierrez</v>
      </c>
      <c r="J3865" t="str">
        <f>VLOOKUP(D3865,Products!A:C,2,FALSE)</f>
        <v>Us Snacks</v>
      </c>
      <c r="K3865" t="str">
        <f>VLOOKUP(D3865,Products!A:C,3,FALSE)</f>
        <v>Groceries</v>
      </c>
      <c r="L3865" t="str">
        <f>VLOOKUP(E3865,Stores!A:B,2,FALSE)</f>
        <v>MegaMart Jimenezborough</v>
      </c>
      <c r="M3865">
        <f>VLOOKUP(D3865,Products!A:E,5,FALSE)</f>
        <v>123.19</v>
      </c>
      <c r="N3865" s="5">
        <f t="shared" si="60"/>
        <v>468.12199999999996</v>
      </c>
    </row>
    <row r="3866" spans="1:14" x14ac:dyDescent="0.3">
      <c r="A3866" t="s">
        <v>4722</v>
      </c>
      <c r="B3866" s="2">
        <v>45262</v>
      </c>
      <c r="C3866" t="s">
        <v>137</v>
      </c>
      <c r="D3866" t="s">
        <v>764</v>
      </c>
      <c r="E3866" t="s">
        <v>839</v>
      </c>
      <c r="F3866">
        <v>4</v>
      </c>
      <c r="G3866">
        <v>0.05</v>
      </c>
      <c r="H3866" t="s">
        <v>861</v>
      </c>
      <c r="I3866" t="str">
        <f>VLOOKUP(C3866,Customers!A:C,2,FALSE)&amp;" "&amp;VLOOKUP(C3866,Customers!A:C,3,FALSE)</f>
        <v>Kimberly King</v>
      </c>
      <c r="J3866" t="str">
        <f>VLOOKUP(D3866,Products!A:C,2,FALSE)</f>
        <v>Simple Accessories</v>
      </c>
      <c r="K3866" t="str">
        <f>VLOOKUP(D3866,Products!A:C,3,FALSE)</f>
        <v>Fashion</v>
      </c>
      <c r="L3866" t="str">
        <f>VLOOKUP(E3866,Stores!A:B,2,FALSE)</f>
        <v>MegaMart New Michele</v>
      </c>
      <c r="M3866">
        <f>VLOOKUP(D3866,Products!A:E,5,FALSE)</f>
        <v>323.92</v>
      </c>
      <c r="N3866" s="5">
        <f t="shared" si="60"/>
        <v>1230.896</v>
      </c>
    </row>
    <row r="3867" spans="1:14" x14ac:dyDescent="0.3">
      <c r="A3867" t="s">
        <v>4723</v>
      </c>
      <c r="B3867" s="2">
        <v>45552</v>
      </c>
      <c r="C3867" t="s">
        <v>524</v>
      </c>
      <c r="D3867" t="s">
        <v>739</v>
      </c>
      <c r="E3867" t="s">
        <v>846</v>
      </c>
      <c r="F3867">
        <v>3</v>
      </c>
      <c r="G3867">
        <v>0.1</v>
      </c>
      <c r="H3867" t="s">
        <v>865</v>
      </c>
      <c r="I3867" t="str">
        <f>VLOOKUP(C3867,Customers!A:C,2,FALSE)&amp;" "&amp;VLOOKUP(C3867,Customers!A:C,3,FALSE)</f>
        <v>Betty Johnson</v>
      </c>
      <c r="J3867" t="str">
        <f>VLOOKUP(D3867,Products!A:C,2,FALSE)</f>
        <v>Step Smartphone</v>
      </c>
      <c r="K3867" t="str">
        <f>VLOOKUP(D3867,Products!A:C,3,FALSE)</f>
        <v>Electronics</v>
      </c>
      <c r="L3867" t="str">
        <f>VLOOKUP(E3867,Stores!A:B,2,FALSE)</f>
        <v>MegaMart Johnmouth</v>
      </c>
      <c r="M3867">
        <f>VLOOKUP(D3867,Products!A:E,5,FALSE)</f>
        <v>1194.1199999999999</v>
      </c>
      <c r="N3867" s="5">
        <f t="shared" si="60"/>
        <v>3224.1239999999998</v>
      </c>
    </row>
    <row r="3868" spans="1:14" x14ac:dyDescent="0.3">
      <c r="A3868" t="s">
        <v>4724</v>
      </c>
      <c r="B3868" s="2">
        <v>45615</v>
      </c>
      <c r="C3868" t="s">
        <v>63</v>
      </c>
      <c r="D3868" t="s">
        <v>725</v>
      </c>
      <c r="E3868" t="s">
        <v>831</v>
      </c>
      <c r="F3868">
        <v>4</v>
      </c>
      <c r="G3868">
        <v>0.05</v>
      </c>
      <c r="H3868" t="s">
        <v>861</v>
      </c>
      <c r="I3868" t="str">
        <f>VLOOKUP(C3868,Customers!A:C,2,FALSE)&amp;" "&amp;VLOOKUP(C3868,Customers!A:C,3,FALSE)</f>
        <v>Matthew Molina</v>
      </c>
      <c r="J3868" t="str">
        <f>VLOOKUP(D3868,Products!A:C,2,FALSE)</f>
        <v>Knowledge Bags</v>
      </c>
      <c r="K3868" t="str">
        <f>VLOOKUP(D3868,Products!A:C,3,FALSE)</f>
        <v>Fashion</v>
      </c>
      <c r="L3868" t="str">
        <f>VLOOKUP(E3868,Stores!A:B,2,FALSE)</f>
        <v>MegaMart Jimenezborough</v>
      </c>
      <c r="M3868">
        <f>VLOOKUP(D3868,Products!A:E,5,FALSE)</f>
        <v>1396.22</v>
      </c>
      <c r="N3868" s="5">
        <f t="shared" si="60"/>
        <v>5305.6359999999995</v>
      </c>
    </row>
    <row r="3869" spans="1:14" x14ac:dyDescent="0.3">
      <c r="A3869" t="s">
        <v>4725</v>
      </c>
      <c r="B3869" s="2">
        <v>45279</v>
      </c>
      <c r="C3869" t="s">
        <v>627</v>
      </c>
      <c r="D3869" t="s">
        <v>818</v>
      </c>
      <c r="E3869" t="s">
        <v>839</v>
      </c>
      <c r="F3869">
        <v>4</v>
      </c>
      <c r="G3869">
        <v>0.05</v>
      </c>
      <c r="H3869" t="s">
        <v>865</v>
      </c>
      <c r="I3869" t="str">
        <f>VLOOKUP(C3869,Customers!A:C,2,FALSE)&amp;" "&amp;VLOOKUP(C3869,Customers!A:C,3,FALSE)</f>
        <v>Anthony Gould</v>
      </c>
      <c r="J3869" t="str">
        <f>VLOOKUP(D3869,Products!A:C,2,FALSE)</f>
        <v>Nature Clothing</v>
      </c>
      <c r="K3869" t="str">
        <f>VLOOKUP(D3869,Products!A:C,3,FALSE)</f>
        <v>Fashion</v>
      </c>
      <c r="L3869" t="str">
        <f>VLOOKUP(E3869,Stores!A:B,2,FALSE)</f>
        <v>MegaMart New Michele</v>
      </c>
      <c r="M3869">
        <f>VLOOKUP(D3869,Products!A:E,5,FALSE)</f>
        <v>1165.3699999999999</v>
      </c>
      <c r="N3869" s="5">
        <f t="shared" si="60"/>
        <v>4428.405999999999</v>
      </c>
    </row>
    <row r="3870" spans="1:14" x14ac:dyDescent="0.3">
      <c r="A3870" t="s">
        <v>4726</v>
      </c>
      <c r="B3870" s="2">
        <v>45747</v>
      </c>
      <c r="C3870" t="s">
        <v>137</v>
      </c>
      <c r="D3870" t="s">
        <v>739</v>
      </c>
      <c r="E3870" t="s">
        <v>842</v>
      </c>
      <c r="F3870">
        <v>1</v>
      </c>
      <c r="G3870">
        <v>0.15</v>
      </c>
      <c r="H3870" t="s">
        <v>855</v>
      </c>
      <c r="I3870" t="str">
        <f>VLOOKUP(C3870,Customers!A:C,2,FALSE)&amp;" "&amp;VLOOKUP(C3870,Customers!A:C,3,FALSE)</f>
        <v>Kimberly King</v>
      </c>
      <c r="J3870" t="str">
        <f>VLOOKUP(D3870,Products!A:C,2,FALSE)</f>
        <v>Step Smartphone</v>
      </c>
      <c r="K3870" t="str">
        <f>VLOOKUP(D3870,Products!A:C,3,FALSE)</f>
        <v>Electronics</v>
      </c>
      <c r="L3870" t="str">
        <f>VLOOKUP(E3870,Stores!A:B,2,FALSE)</f>
        <v>MegaMart Brianahaven</v>
      </c>
      <c r="M3870">
        <f>VLOOKUP(D3870,Products!A:E,5,FALSE)</f>
        <v>1194.1199999999999</v>
      </c>
      <c r="N3870" s="5">
        <f t="shared" si="60"/>
        <v>1015.0019999999998</v>
      </c>
    </row>
    <row r="3871" spans="1:14" x14ac:dyDescent="0.3">
      <c r="A3871" t="s">
        <v>4727</v>
      </c>
      <c r="B3871" s="2">
        <v>45376</v>
      </c>
      <c r="C3871" t="s">
        <v>12</v>
      </c>
      <c r="D3871" t="s">
        <v>824</v>
      </c>
      <c r="E3871" t="s">
        <v>842</v>
      </c>
      <c r="F3871">
        <v>1</v>
      </c>
      <c r="G3871">
        <v>0</v>
      </c>
      <c r="H3871" t="s">
        <v>855</v>
      </c>
      <c r="I3871" t="str">
        <f>VLOOKUP(C3871,Customers!A:C,2,FALSE)&amp;" "&amp;VLOOKUP(C3871,Customers!A:C,3,FALSE)</f>
        <v>Michael Miller</v>
      </c>
      <c r="J3871" t="str">
        <f>VLOOKUP(D3871,Products!A:C,2,FALSE)</f>
        <v>Possible Watches</v>
      </c>
      <c r="K3871" t="str">
        <f>VLOOKUP(D3871,Products!A:C,3,FALSE)</f>
        <v>Fashion</v>
      </c>
      <c r="L3871" t="str">
        <f>VLOOKUP(E3871,Stores!A:B,2,FALSE)</f>
        <v>MegaMart Brianahaven</v>
      </c>
      <c r="M3871">
        <f>VLOOKUP(D3871,Products!A:E,5,FALSE)</f>
        <v>388.26</v>
      </c>
      <c r="N3871" s="5">
        <f t="shared" si="60"/>
        <v>388.26</v>
      </c>
    </row>
    <row r="3872" spans="1:14" x14ac:dyDescent="0.3">
      <c r="A3872" t="s">
        <v>4728</v>
      </c>
      <c r="B3872" s="2">
        <v>45854</v>
      </c>
      <c r="C3872" t="s">
        <v>524</v>
      </c>
      <c r="D3872" t="s">
        <v>772</v>
      </c>
      <c r="E3872" t="s">
        <v>831</v>
      </c>
      <c r="F3872">
        <v>1</v>
      </c>
      <c r="G3872">
        <v>0</v>
      </c>
      <c r="H3872" t="s">
        <v>855</v>
      </c>
      <c r="I3872" t="str">
        <f>VLOOKUP(C3872,Customers!A:C,2,FALSE)&amp;" "&amp;VLOOKUP(C3872,Customers!A:C,3,FALSE)</f>
        <v>Betty Johnson</v>
      </c>
      <c r="J3872" t="str">
        <f>VLOOKUP(D3872,Products!A:C,2,FALSE)</f>
        <v>And Footwear</v>
      </c>
      <c r="K3872" t="str">
        <f>VLOOKUP(D3872,Products!A:C,3,FALSE)</f>
        <v>Fashion</v>
      </c>
      <c r="L3872" t="str">
        <f>VLOOKUP(E3872,Stores!A:B,2,FALSE)</f>
        <v>MegaMart Jimenezborough</v>
      </c>
      <c r="M3872">
        <f>VLOOKUP(D3872,Products!A:E,5,FALSE)</f>
        <v>1878.47</v>
      </c>
      <c r="N3872" s="5">
        <f t="shared" si="60"/>
        <v>1878.47</v>
      </c>
    </row>
    <row r="3873" spans="1:14" x14ac:dyDescent="0.3">
      <c r="A3873" t="s">
        <v>4729</v>
      </c>
      <c r="B3873" s="2">
        <v>45901</v>
      </c>
      <c r="C3873" t="s">
        <v>7</v>
      </c>
      <c r="D3873" t="s">
        <v>745</v>
      </c>
      <c r="E3873" t="s">
        <v>846</v>
      </c>
      <c r="F3873">
        <v>2</v>
      </c>
      <c r="G3873">
        <v>0.15</v>
      </c>
      <c r="H3873" t="s">
        <v>865</v>
      </c>
      <c r="I3873" t="str">
        <f>VLOOKUP(C3873,Customers!A:C,2,FALSE)&amp;" "&amp;VLOOKUP(C3873,Customers!A:C,3,FALSE)</f>
        <v>Michael Davis</v>
      </c>
      <c r="J3873" t="str">
        <f>VLOOKUP(D3873,Products!A:C,2,FALSE)</f>
        <v>Above Camera</v>
      </c>
      <c r="K3873" t="str">
        <f>VLOOKUP(D3873,Products!A:C,3,FALSE)</f>
        <v>Electronics</v>
      </c>
      <c r="L3873" t="str">
        <f>VLOOKUP(E3873,Stores!A:B,2,FALSE)</f>
        <v>MegaMart Johnmouth</v>
      </c>
      <c r="M3873">
        <f>VLOOKUP(D3873,Products!A:E,5,FALSE)</f>
        <v>1193.0899999999999</v>
      </c>
      <c r="N3873" s="5">
        <f t="shared" si="60"/>
        <v>2028.2529999999997</v>
      </c>
    </row>
    <row r="3874" spans="1:14" x14ac:dyDescent="0.3">
      <c r="A3874" t="s">
        <v>4730</v>
      </c>
      <c r="B3874" s="2">
        <v>45787</v>
      </c>
      <c r="C3874" t="s">
        <v>601</v>
      </c>
      <c r="D3874" t="s">
        <v>784</v>
      </c>
      <c r="E3874" t="s">
        <v>831</v>
      </c>
      <c r="F3874">
        <v>3</v>
      </c>
      <c r="G3874">
        <v>0.05</v>
      </c>
      <c r="H3874" t="s">
        <v>858</v>
      </c>
      <c r="I3874" t="str">
        <f>VLOOKUP(C3874,Customers!A:C,2,FALSE)&amp;" "&amp;VLOOKUP(C3874,Customers!A:C,3,FALSE)</f>
        <v>Travis Watson</v>
      </c>
      <c r="J3874" t="str">
        <f>VLOOKUP(D3874,Products!A:C,2,FALSE)</f>
        <v>Road Clothing</v>
      </c>
      <c r="K3874" t="str">
        <f>VLOOKUP(D3874,Products!A:C,3,FALSE)</f>
        <v>Fashion</v>
      </c>
      <c r="L3874" t="str">
        <f>VLOOKUP(E3874,Stores!A:B,2,FALSE)</f>
        <v>MegaMart Jimenezborough</v>
      </c>
      <c r="M3874">
        <f>VLOOKUP(D3874,Products!A:E,5,FALSE)</f>
        <v>1485.05</v>
      </c>
      <c r="N3874" s="5">
        <f t="shared" si="60"/>
        <v>4232.392499999999</v>
      </c>
    </row>
    <row r="3875" spans="1:14" x14ac:dyDescent="0.3">
      <c r="A3875" t="s">
        <v>4731</v>
      </c>
      <c r="B3875" s="2">
        <v>45837</v>
      </c>
      <c r="C3875" t="s">
        <v>85</v>
      </c>
      <c r="D3875" t="s">
        <v>739</v>
      </c>
      <c r="E3875" t="s">
        <v>831</v>
      </c>
      <c r="F3875">
        <v>3</v>
      </c>
      <c r="G3875">
        <v>0.05</v>
      </c>
      <c r="H3875" t="s">
        <v>858</v>
      </c>
      <c r="I3875" t="str">
        <f>VLOOKUP(C3875,Customers!A:C,2,FALSE)&amp;" "&amp;VLOOKUP(C3875,Customers!A:C,3,FALSE)</f>
        <v>Debbie Martin</v>
      </c>
      <c r="J3875" t="str">
        <f>VLOOKUP(D3875,Products!A:C,2,FALSE)</f>
        <v>Step Smartphone</v>
      </c>
      <c r="K3875" t="str">
        <f>VLOOKUP(D3875,Products!A:C,3,FALSE)</f>
        <v>Electronics</v>
      </c>
      <c r="L3875" t="str">
        <f>VLOOKUP(E3875,Stores!A:B,2,FALSE)</f>
        <v>MegaMart Jimenezborough</v>
      </c>
      <c r="M3875">
        <f>VLOOKUP(D3875,Products!A:E,5,FALSE)</f>
        <v>1194.1199999999999</v>
      </c>
      <c r="N3875" s="5">
        <f t="shared" si="60"/>
        <v>3403.2419999999997</v>
      </c>
    </row>
    <row r="3876" spans="1:14" x14ac:dyDescent="0.3">
      <c r="A3876" t="s">
        <v>4732</v>
      </c>
      <c r="B3876" s="2">
        <v>45641</v>
      </c>
      <c r="C3876" t="s">
        <v>59</v>
      </c>
      <c r="D3876" t="s">
        <v>750</v>
      </c>
      <c r="E3876" t="s">
        <v>846</v>
      </c>
      <c r="F3876">
        <v>2</v>
      </c>
      <c r="G3876">
        <v>0.05</v>
      </c>
      <c r="H3876" t="s">
        <v>865</v>
      </c>
      <c r="I3876" t="str">
        <f>VLOOKUP(C3876,Customers!A:C,2,FALSE)&amp;" "&amp;VLOOKUP(C3876,Customers!A:C,3,FALSE)</f>
        <v>Brittany Green</v>
      </c>
      <c r="J3876" t="str">
        <f>VLOOKUP(D3876,Products!A:C,2,FALSE)</f>
        <v>Add Clothing</v>
      </c>
      <c r="K3876" t="str">
        <f>VLOOKUP(D3876,Products!A:C,3,FALSE)</f>
        <v>Fashion</v>
      </c>
      <c r="L3876" t="str">
        <f>VLOOKUP(E3876,Stores!A:B,2,FALSE)</f>
        <v>MegaMart Johnmouth</v>
      </c>
      <c r="M3876">
        <f>VLOOKUP(D3876,Products!A:E,5,FALSE)</f>
        <v>1342.75</v>
      </c>
      <c r="N3876" s="5">
        <f t="shared" si="60"/>
        <v>2551.2249999999999</v>
      </c>
    </row>
    <row r="3877" spans="1:14" x14ac:dyDescent="0.3">
      <c r="A3877" t="s">
        <v>4733</v>
      </c>
      <c r="B3877" s="2">
        <v>45655</v>
      </c>
      <c r="C3877" t="s">
        <v>40</v>
      </c>
      <c r="D3877" t="s">
        <v>808</v>
      </c>
      <c r="E3877" t="s">
        <v>842</v>
      </c>
      <c r="F3877">
        <v>1</v>
      </c>
      <c r="G3877">
        <v>0.15</v>
      </c>
      <c r="H3877" t="s">
        <v>855</v>
      </c>
      <c r="I3877" t="str">
        <f>VLOOKUP(C3877,Customers!A:C,2,FALSE)&amp;" "&amp;VLOOKUP(C3877,Customers!A:C,3,FALSE)</f>
        <v>Richard Pacheco</v>
      </c>
      <c r="J3877" t="str">
        <f>VLOOKUP(D3877,Products!A:C,2,FALSE)</f>
        <v>Present Television</v>
      </c>
      <c r="K3877" t="str">
        <f>VLOOKUP(D3877,Products!A:C,3,FALSE)</f>
        <v>Electronics</v>
      </c>
      <c r="L3877" t="str">
        <f>VLOOKUP(E3877,Stores!A:B,2,FALSE)</f>
        <v>MegaMart Brianahaven</v>
      </c>
      <c r="M3877">
        <f>VLOOKUP(D3877,Products!A:E,5,FALSE)</f>
        <v>1635.01</v>
      </c>
      <c r="N3877" s="5">
        <f t="shared" si="60"/>
        <v>1389.7584999999999</v>
      </c>
    </row>
    <row r="3878" spans="1:14" x14ac:dyDescent="0.3">
      <c r="A3878" t="s">
        <v>4734</v>
      </c>
      <c r="B3878" s="2">
        <v>45541</v>
      </c>
      <c r="C3878" t="s">
        <v>621</v>
      </c>
      <c r="D3878" t="s">
        <v>739</v>
      </c>
      <c r="E3878" t="s">
        <v>831</v>
      </c>
      <c r="F3878">
        <v>1</v>
      </c>
      <c r="G3878">
        <v>0.15</v>
      </c>
      <c r="H3878" t="s">
        <v>855</v>
      </c>
      <c r="I3878" t="str">
        <f>VLOOKUP(C3878,Customers!A:C,2,FALSE)&amp;" "&amp;VLOOKUP(C3878,Customers!A:C,3,FALSE)</f>
        <v>Stacey Thompson</v>
      </c>
      <c r="J3878" t="str">
        <f>VLOOKUP(D3878,Products!A:C,2,FALSE)</f>
        <v>Step Smartphone</v>
      </c>
      <c r="K3878" t="str">
        <f>VLOOKUP(D3878,Products!A:C,3,FALSE)</f>
        <v>Electronics</v>
      </c>
      <c r="L3878" t="str">
        <f>VLOOKUP(E3878,Stores!A:B,2,FALSE)</f>
        <v>MegaMart Jimenezborough</v>
      </c>
      <c r="M3878">
        <f>VLOOKUP(D3878,Products!A:E,5,FALSE)</f>
        <v>1194.1199999999999</v>
      </c>
      <c r="N3878" s="5">
        <f t="shared" si="60"/>
        <v>1015.0019999999998</v>
      </c>
    </row>
    <row r="3879" spans="1:14" x14ac:dyDescent="0.3">
      <c r="A3879" t="s">
        <v>4735</v>
      </c>
      <c r="B3879" s="2">
        <v>45823</v>
      </c>
      <c r="C3879" t="s">
        <v>636</v>
      </c>
      <c r="D3879" t="s">
        <v>798</v>
      </c>
      <c r="E3879" t="s">
        <v>831</v>
      </c>
      <c r="F3879">
        <v>5</v>
      </c>
      <c r="G3879">
        <v>0.1</v>
      </c>
      <c r="H3879" t="s">
        <v>855</v>
      </c>
      <c r="I3879" t="str">
        <f>VLOOKUP(C3879,Customers!A:C,2,FALSE)&amp;" "&amp;VLOOKUP(C3879,Customers!A:C,3,FALSE)</f>
        <v>Nichole Calhoun</v>
      </c>
      <c r="J3879" t="str">
        <f>VLOOKUP(D3879,Products!A:C,2,FALSE)</f>
        <v>New Watches</v>
      </c>
      <c r="K3879" t="str">
        <f>VLOOKUP(D3879,Products!A:C,3,FALSE)</f>
        <v>Fashion</v>
      </c>
      <c r="L3879" t="str">
        <f>VLOOKUP(E3879,Stores!A:B,2,FALSE)</f>
        <v>MegaMart Jimenezborough</v>
      </c>
      <c r="M3879">
        <f>VLOOKUP(D3879,Products!A:E,5,FALSE)</f>
        <v>1501.46</v>
      </c>
      <c r="N3879" s="5">
        <f t="shared" si="60"/>
        <v>6756.5700000000006</v>
      </c>
    </row>
    <row r="3880" spans="1:14" x14ac:dyDescent="0.3">
      <c r="A3880" t="s">
        <v>4736</v>
      </c>
      <c r="B3880" s="2">
        <v>45503</v>
      </c>
      <c r="C3880" t="s">
        <v>633</v>
      </c>
      <c r="D3880" t="s">
        <v>757</v>
      </c>
      <c r="E3880" t="s">
        <v>839</v>
      </c>
      <c r="F3880">
        <v>2</v>
      </c>
      <c r="G3880">
        <v>0.05</v>
      </c>
      <c r="H3880" t="s">
        <v>858</v>
      </c>
      <c r="I3880" t="str">
        <f>VLOOKUP(C3880,Customers!A:C,2,FALSE)&amp;" "&amp;VLOOKUP(C3880,Customers!A:C,3,FALSE)</f>
        <v>Dennis Wallace</v>
      </c>
      <c r="J3880" t="str">
        <f>VLOOKUP(D3880,Products!A:C,2,FALSE)</f>
        <v>Find Headphones</v>
      </c>
      <c r="K3880" t="str">
        <f>VLOOKUP(D3880,Products!A:C,3,FALSE)</f>
        <v>Electronics</v>
      </c>
      <c r="L3880" t="str">
        <f>VLOOKUP(E3880,Stores!A:B,2,FALSE)</f>
        <v>MegaMart New Michele</v>
      </c>
      <c r="M3880">
        <f>VLOOKUP(D3880,Products!A:E,5,FALSE)</f>
        <v>1246.1099999999999</v>
      </c>
      <c r="N3880" s="5">
        <f t="shared" si="60"/>
        <v>2367.6089999999999</v>
      </c>
    </row>
    <row r="3881" spans="1:14" x14ac:dyDescent="0.3">
      <c r="A3881" t="s">
        <v>4737</v>
      </c>
      <c r="B3881" s="2">
        <v>45210</v>
      </c>
      <c r="C3881" t="s">
        <v>396</v>
      </c>
      <c r="D3881" t="s">
        <v>794</v>
      </c>
      <c r="E3881" t="s">
        <v>846</v>
      </c>
      <c r="F3881">
        <v>5</v>
      </c>
      <c r="G3881">
        <v>0.05</v>
      </c>
      <c r="H3881" t="s">
        <v>858</v>
      </c>
      <c r="I3881" t="str">
        <f>VLOOKUP(C3881,Customers!A:C,2,FALSE)&amp;" "&amp;VLOOKUP(C3881,Customers!A:C,3,FALSE)</f>
        <v>Kevin Flores</v>
      </c>
      <c r="J3881" t="str">
        <f>VLOOKUP(D3881,Products!A:C,2,FALSE)</f>
        <v>Everything Laptop</v>
      </c>
      <c r="K3881" t="str">
        <f>VLOOKUP(D3881,Products!A:C,3,FALSE)</f>
        <v>Electronics</v>
      </c>
      <c r="L3881" t="str">
        <f>VLOOKUP(E3881,Stores!A:B,2,FALSE)</f>
        <v>MegaMart Johnmouth</v>
      </c>
      <c r="M3881">
        <f>VLOOKUP(D3881,Products!A:E,5,FALSE)</f>
        <v>428.05</v>
      </c>
      <c r="N3881" s="5">
        <f t="shared" si="60"/>
        <v>2033.2375</v>
      </c>
    </row>
    <row r="3882" spans="1:14" x14ac:dyDescent="0.3">
      <c r="A3882" t="s">
        <v>4738</v>
      </c>
      <c r="B3882" s="2">
        <v>45626</v>
      </c>
      <c r="C3882" t="s">
        <v>335</v>
      </c>
      <c r="D3882" t="s">
        <v>761</v>
      </c>
      <c r="E3882" t="s">
        <v>835</v>
      </c>
      <c r="F3882">
        <v>5</v>
      </c>
      <c r="G3882">
        <v>0.1</v>
      </c>
      <c r="H3882" t="s">
        <v>855</v>
      </c>
      <c r="I3882" t="str">
        <f>VLOOKUP(C3882,Customers!A:C,2,FALSE)&amp;" "&amp;VLOOKUP(C3882,Customers!A:C,3,FALSE)</f>
        <v>William Warner</v>
      </c>
      <c r="J3882" t="str">
        <f>VLOOKUP(D3882,Products!A:C,2,FALSE)</f>
        <v>Traditional Laptop</v>
      </c>
      <c r="K3882" t="str">
        <f>VLOOKUP(D3882,Products!A:C,3,FALSE)</f>
        <v>Electronics</v>
      </c>
      <c r="L3882" t="str">
        <f>VLOOKUP(E3882,Stores!A:B,2,FALSE)</f>
        <v>MegaMart Peckmouth</v>
      </c>
      <c r="M3882">
        <f>VLOOKUP(D3882,Products!A:E,5,FALSE)</f>
        <v>1762.92</v>
      </c>
      <c r="N3882" s="5">
        <f t="shared" si="60"/>
        <v>7933.14</v>
      </c>
    </row>
    <row r="3883" spans="1:14" x14ac:dyDescent="0.3">
      <c r="A3883" t="s">
        <v>4739</v>
      </c>
      <c r="B3883" s="2">
        <v>45489</v>
      </c>
      <c r="C3883" t="s">
        <v>449</v>
      </c>
      <c r="D3883" t="s">
        <v>734</v>
      </c>
      <c r="E3883" t="s">
        <v>831</v>
      </c>
      <c r="F3883">
        <v>4</v>
      </c>
      <c r="G3883">
        <v>0</v>
      </c>
      <c r="H3883" t="s">
        <v>861</v>
      </c>
      <c r="I3883" t="str">
        <f>VLOOKUP(C3883,Customers!A:C,2,FALSE)&amp;" "&amp;VLOOKUP(C3883,Customers!A:C,3,FALSE)</f>
        <v>John Bell</v>
      </c>
      <c r="J3883" t="str">
        <f>VLOOKUP(D3883,Products!A:C,2,FALSE)</f>
        <v>Recognize Footwear</v>
      </c>
      <c r="K3883" t="str">
        <f>VLOOKUP(D3883,Products!A:C,3,FALSE)</f>
        <v>Fashion</v>
      </c>
      <c r="L3883" t="str">
        <f>VLOOKUP(E3883,Stores!A:B,2,FALSE)</f>
        <v>MegaMart Jimenezborough</v>
      </c>
      <c r="M3883">
        <f>VLOOKUP(D3883,Products!A:E,5,FALSE)</f>
        <v>109.78</v>
      </c>
      <c r="N3883" s="5">
        <f t="shared" si="60"/>
        <v>439.12</v>
      </c>
    </row>
    <row r="3884" spans="1:14" x14ac:dyDescent="0.3">
      <c r="A3884" t="s">
        <v>4740</v>
      </c>
      <c r="B3884" s="2">
        <v>45570</v>
      </c>
      <c r="C3884" t="s">
        <v>452</v>
      </c>
      <c r="D3884" t="s">
        <v>798</v>
      </c>
      <c r="E3884" t="s">
        <v>835</v>
      </c>
      <c r="F3884">
        <v>3</v>
      </c>
      <c r="G3884">
        <v>0</v>
      </c>
      <c r="H3884" t="s">
        <v>861</v>
      </c>
      <c r="I3884" t="str">
        <f>VLOOKUP(C3884,Customers!A:C,2,FALSE)&amp;" "&amp;VLOOKUP(C3884,Customers!A:C,3,FALSE)</f>
        <v>Amy Smith</v>
      </c>
      <c r="J3884" t="str">
        <f>VLOOKUP(D3884,Products!A:C,2,FALSE)</f>
        <v>New Watches</v>
      </c>
      <c r="K3884" t="str">
        <f>VLOOKUP(D3884,Products!A:C,3,FALSE)</f>
        <v>Fashion</v>
      </c>
      <c r="L3884" t="str">
        <f>VLOOKUP(E3884,Stores!A:B,2,FALSE)</f>
        <v>MegaMart Peckmouth</v>
      </c>
      <c r="M3884">
        <f>VLOOKUP(D3884,Products!A:E,5,FALSE)</f>
        <v>1501.46</v>
      </c>
      <c r="N3884" s="5">
        <f t="shared" si="60"/>
        <v>4504.38</v>
      </c>
    </row>
    <row r="3885" spans="1:14" x14ac:dyDescent="0.3">
      <c r="A3885" t="s">
        <v>4741</v>
      </c>
      <c r="B3885" s="2">
        <v>45419</v>
      </c>
      <c r="C3885" t="s">
        <v>696</v>
      </c>
      <c r="D3885" t="s">
        <v>812</v>
      </c>
      <c r="E3885" t="s">
        <v>831</v>
      </c>
      <c r="F3885">
        <v>1</v>
      </c>
      <c r="G3885">
        <v>0.1</v>
      </c>
      <c r="H3885" t="s">
        <v>855</v>
      </c>
      <c r="I3885" t="str">
        <f>VLOOKUP(C3885,Customers!A:C,2,FALSE)&amp;" "&amp;VLOOKUP(C3885,Customers!A:C,3,FALSE)</f>
        <v>Jessica Mullins</v>
      </c>
      <c r="J3885" t="str">
        <f>VLOOKUP(D3885,Products!A:C,2,FALSE)</f>
        <v>Soon Accessories</v>
      </c>
      <c r="K3885" t="str">
        <f>VLOOKUP(D3885,Products!A:C,3,FALSE)</f>
        <v>Fashion</v>
      </c>
      <c r="L3885" t="str">
        <f>VLOOKUP(E3885,Stores!A:B,2,FALSE)</f>
        <v>MegaMart Jimenezborough</v>
      </c>
      <c r="M3885">
        <f>VLOOKUP(D3885,Products!A:E,5,FALSE)</f>
        <v>564.41999999999996</v>
      </c>
      <c r="N3885" s="5">
        <f t="shared" si="60"/>
        <v>507.97799999999995</v>
      </c>
    </row>
    <row r="3886" spans="1:14" x14ac:dyDescent="0.3">
      <c r="A3886" t="s">
        <v>4742</v>
      </c>
      <c r="B3886" s="2">
        <v>45202</v>
      </c>
      <c r="C3886" t="s">
        <v>51</v>
      </c>
      <c r="D3886" t="s">
        <v>774</v>
      </c>
      <c r="E3886" t="s">
        <v>835</v>
      </c>
      <c r="F3886">
        <v>3</v>
      </c>
      <c r="G3886">
        <v>0.15</v>
      </c>
      <c r="H3886" t="s">
        <v>861</v>
      </c>
      <c r="I3886" t="str">
        <f>VLOOKUP(C3886,Customers!A:C,2,FALSE)&amp;" "&amp;VLOOKUP(C3886,Customers!A:C,3,FALSE)</f>
        <v>Dale Perry</v>
      </c>
      <c r="J3886" t="str">
        <f>VLOOKUP(D3886,Products!A:C,2,FALSE)</f>
        <v>Him Smartphone</v>
      </c>
      <c r="K3886" t="str">
        <f>VLOOKUP(D3886,Products!A:C,3,FALSE)</f>
        <v>Electronics</v>
      </c>
      <c r="L3886" t="str">
        <f>VLOOKUP(E3886,Stores!A:B,2,FALSE)</f>
        <v>MegaMart Peckmouth</v>
      </c>
      <c r="M3886">
        <f>VLOOKUP(D3886,Products!A:E,5,FALSE)</f>
        <v>1487.41</v>
      </c>
      <c r="N3886" s="5">
        <f t="shared" si="60"/>
        <v>3792.8955000000001</v>
      </c>
    </row>
    <row r="3887" spans="1:14" x14ac:dyDescent="0.3">
      <c r="A3887" t="s">
        <v>4743</v>
      </c>
      <c r="B3887" s="2">
        <v>45568</v>
      </c>
      <c r="C3887" t="s">
        <v>625</v>
      </c>
      <c r="D3887" t="s">
        <v>810</v>
      </c>
      <c r="E3887" t="s">
        <v>835</v>
      </c>
      <c r="F3887">
        <v>1</v>
      </c>
      <c r="G3887">
        <v>0.15</v>
      </c>
      <c r="H3887" t="s">
        <v>855</v>
      </c>
      <c r="I3887" t="str">
        <f>VLOOKUP(C3887,Customers!A:C,2,FALSE)&amp;" "&amp;VLOOKUP(C3887,Customers!A:C,3,FALSE)</f>
        <v>Peter Garcia</v>
      </c>
      <c r="J3887" t="str">
        <f>VLOOKUP(D3887,Products!A:C,2,FALSE)</f>
        <v>Maybe Clothing</v>
      </c>
      <c r="K3887" t="str">
        <f>VLOOKUP(D3887,Products!A:C,3,FALSE)</f>
        <v>Fashion</v>
      </c>
      <c r="L3887" t="str">
        <f>VLOOKUP(E3887,Stores!A:B,2,FALSE)</f>
        <v>MegaMart Peckmouth</v>
      </c>
      <c r="M3887">
        <f>VLOOKUP(D3887,Products!A:E,5,FALSE)</f>
        <v>453.62</v>
      </c>
      <c r="N3887" s="5">
        <f t="shared" si="60"/>
        <v>385.577</v>
      </c>
    </row>
    <row r="3888" spans="1:14" x14ac:dyDescent="0.3">
      <c r="A3888" t="s">
        <v>4744</v>
      </c>
      <c r="B3888" s="2">
        <v>45393</v>
      </c>
      <c r="C3888" t="s">
        <v>213</v>
      </c>
      <c r="D3888" t="s">
        <v>814</v>
      </c>
      <c r="E3888" t="s">
        <v>839</v>
      </c>
      <c r="F3888">
        <v>4</v>
      </c>
      <c r="G3888">
        <v>0.1</v>
      </c>
      <c r="H3888" t="s">
        <v>861</v>
      </c>
      <c r="I3888" t="str">
        <f>VLOOKUP(C3888,Customers!A:C,2,FALSE)&amp;" "&amp;VLOOKUP(C3888,Customers!A:C,3,FALSE)</f>
        <v>Deborah Moody</v>
      </c>
      <c r="J3888" t="str">
        <f>VLOOKUP(D3888,Products!A:C,2,FALSE)</f>
        <v>Least Accessories</v>
      </c>
      <c r="K3888" t="str">
        <f>VLOOKUP(D3888,Products!A:C,3,FALSE)</f>
        <v>Fashion</v>
      </c>
      <c r="L3888" t="str">
        <f>VLOOKUP(E3888,Stores!A:B,2,FALSE)</f>
        <v>MegaMart New Michele</v>
      </c>
      <c r="M3888">
        <f>VLOOKUP(D3888,Products!A:E,5,FALSE)</f>
        <v>1286.55</v>
      </c>
      <c r="N3888" s="5">
        <f t="shared" si="60"/>
        <v>4631.58</v>
      </c>
    </row>
    <row r="3889" spans="1:14" x14ac:dyDescent="0.3">
      <c r="A3889" t="s">
        <v>4745</v>
      </c>
      <c r="B3889" s="2">
        <v>45385</v>
      </c>
      <c r="C3889" t="s">
        <v>327</v>
      </c>
      <c r="D3889" t="s">
        <v>766</v>
      </c>
      <c r="E3889" t="s">
        <v>835</v>
      </c>
      <c r="F3889">
        <v>4</v>
      </c>
      <c r="G3889">
        <v>0</v>
      </c>
      <c r="H3889" t="s">
        <v>858</v>
      </c>
      <c r="I3889" t="str">
        <f>VLOOKUP(C3889,Customers!A:C,2,FALSE)&amp;" "&amp;VLOOKUP(C3889,Customers!A:C,3,FALSE)</f>
        <v>Laurie Mason</v>
      </c>
      <c r="J3889" t="str">
        <f>VLOOKUP(D3889,Products!A:C,2,FALSE)</f>
        <v>Firm Dairy</v>
      </c>
      <c r="K3889" t="str">
        <f>VLOOKUP(D3889,Products!A:C,3,FALSE)</f>
        <v>Groceries</v>
      </c>
      <c r="L3889" t="str">
        <f>VLOOKUP(E3889,Stores!A:B,2,FALSE)</f>
        <v>MegaMart Peckmouth</v>
      </c>
      <c r="M3889">
        <f>VLOOKUP(D3889,Products!A:E,5,FALSE)</f>
        <v>1227.24</v>
      </c>
      <c r="N3889" s="5">
        <f t="shared" si="60"/>
        <v>4908.96</v>
      </c>
    </row>
    <row r="3890" spans="1:14" x14ac:dyDescent="0.3">
      <c r="A3890" t="s">
        <v>4746</v>
      </c>
      <c r="B3890" s="2">
        <v>45739</v>
      </c>
      <c r="C3890" t="s">
        <v>266</v>
      </c>
      <c r="D3890" t="s">
        <v>739</v>
      </c>
      <c r="E3890" t="s">
        <v>846</v>
      </c>
      <c r="F3890">
        <v>4</v>
      </c>
      <c r="G3890">
        <v>0</v>
      </c>
      <c r="H3890" t="s">
        <v>858</v>
      </c>
      <c r="I3890" t="str">
        <f>VLOOKUP(C3890,Customers!A:C,2,FALSE)&amp;" "&amp;VLOOKUP(C3890,Customers!A:C,3,FALSE)</f>
        <v>Eric Bryan</v>
      </c>
      <c r="J3890" t="str">
        <f>VLOOKUP(D3890,Products!A:C,2,FALSE)</f>
        <v>Step Smartphone</v>
      </c>
      <c r="K3890" t="str">
        <f>VLOOKUP(D3890,Products!A:C,3,FALSE)</f>
        <v>Electronics</v>
      </c>
      <c r="L3890" t="str">
        <f>VLOOKUP(E3890,Stores!A:B,2,FALSE)</f>
        <v>MegaMart Johnmouth</v>
      </c>
      <c r="M3890">
        <f>VLOOKUP(D3890,Products!A:E,5,FALSE)</f>
        <v>1194.1199999999999</v>
      </c>
      <c r="N3890" s="5">
        <f t="shared" si="60"/>
        <v>4776.4799999999996</v>
      </c>
    </row>
    <row r="3891" spans="1:14" x14ac:dyDescent="0.3">
      <c r="A3891" t="s">
        <v>4747</v>
      </c>
      <c r="B3891" s="2">
        <v>45670</v>
      </c>
      <c r="C3891" t="s">
        <v>429</v>
      </c>
      <c r="D3891" t="s">
        <v>711</v>
      </c>
      <c r="E3891" t="s">
        <v>835</v>
      </c>
      <c r="F3891">
        <v>5</v>
      </c>
      <c r="G3891">
        <v>0.05</v>
      </c>
      <c r="H3891" t="s">
        <v>855</v>
      </c>
      <c r="I3891" t="str">
        <f>VLOOKUP(C3891,Customers!A:C,2,FALSE)&amp;" "&amp;VLOOKUP(C3891,Customers!A:C,3,FALSE)</f>
        <v>Jose Smith</v>
      </c>
      <c r="J3891" t="str">
        <f>VLOOKUP(D3891,Products!A:C,2,FALSE)</f>
        <v>Like Camera</v>
      </c>
      <c r="K3891" t="str">
        <f>VLOOKUP(D3891,Products!A:C,3,FALSE)</f>
        <v>Electronics</v>
      </c>
      <c r="L3891" t="str">
        <f>VLOOKUP(E3891,Stores!A:B,2,FALSE)</f>
        <v>MegaMart Peckmouth</v>
      </c>
      <c r="M3891">
        <f>VLOOKUP(D3891,Products!A:E,5,FALSE)</f>
        <v>1673.69</v>
      </c>
      <c r="N3891" s="5">
        <f t="shared" si="60"/>
        <v>7950.0275000000001</v>
      </c>
    </row>
    <row r="3892" spans="1:14" x14ac:dyDescent="0.3">
      <c r="A3892" t="s">
        <v>4748</v>
      </c>
      <c r="B3892" s="2">
        <v>45718</v>
      </c>
      <c r="C3892" t="s">
        <v>291</v>
      </c>
      <c r="D3892" t="s">
        <v>759</v>
      </c>
      <c r="E3892" t="s">
        <v>846</v>
      </c>
      <c r="F3892">
        <v>5</v>
      </c>
      <c r="G3892">
        <v>0.05</v>
      </c>
      <c r="H3892" t="s">
        <v>855</v>
      </c>
      <c r="I3892" t="str">
        <f>VLOOKUP(C3892,Customers!A:C,2,FALSE)&amp;" "&amp;VLOOKUP(C3892,Customers!A:C,3,FALSE)</f>
        <v>Matthew Juarez</v>
      </c>
      <c r="J3892" t="str">
        <f>VLOOKUP(D3892,Products!A:C,2,FALSE)</f>
        <v>Democratic Smartphone</v>
      </c>
      <c r="K3892" t="str">
        <f>VLOOKUP(D3892,Products!A:C,3,FALSE)</f>
        <v>Electronics</v>
      </c>
      <c r="L3892" t="str">
        <f>VLOOKUP(E3892,Stores!A:B,2,FALSE)</f>
        <v>MegaMart Johnmouth</v>
      </c>
      <c r="M3892">
        <f>VLOOKUP(D3892,Products!A:E,5,FALSE)</f>
        <v>1079.8900000000001</v>
      </c>
      <c r="N3892" s="5">
        <f t="shared" si="60"/>
        <v>5129.4775000000009</v>
      </c>
    </row>
    <row r="3893" spans="1:14" x14ac:dyDescent="0.3">
      <c r="A3893" t="s">
        <v>4749</v>
      </c>
      <c r="B3893" s="2">
        <v>45433</v>
      </c>
      <c r="C3893" t="s">
        <v>179</v>
      </c>
      <c r="D3893" t="s">
        <v>804</v>
      </c>
      <c r="E3893" t="s">
        <v>839</v>
      </c>
      <c r="F3893">
        <v>2</v>
      </c>
      <c r="G3893">
        <v>0.15</v>
      </c>
      <c r="H3893" t="s">
        <v>855</v>
      </c>
      <c r="I3893" t="str">
        <f>VLOOKUP(C3893,Customers!A:C,2,FALSE)&amp;" "&amp;VLOOKUP(C3893,Customers!A:C,3,FALSE)</f>
        <v>Dennis Poole</v>
      </c>
      <c r="J3893" t="str">
        <f>VLOOKUP(D3893,Products!A:C,2,FALSE)</f>
        <v>Church Clothing</v>
      </c>
      <c r="K3893" t="str">
        <f>VLOOKUP(D3893,Products!A:C,3,FALSE)</f>
        <v>Fashion</v>
      </c>
      <c r="L3893" t="str">
        <f>VLOOKUP(E3893,Stores!A:B,2,FALSE)</f>
        <v>MegaMart New Michele</v>
      </c>
      <c r="M3893">
        <f>VLOOKUP(D3893,Products!A:E,5,FALSE)</f>
        <v>540.94000000000005</v>
      </c>
      <c r="N3893" s="5">
        <f t="shared" si="60"/>
        <v>919.59800000000007</v>
      </c>
    </row>
    <row r="3894" spans="1:14" x14ac:dyDescent="0.3">
      <c r="A3894" t="s">
        <v>4750</v>
      </c>
      <c r="B3894" s="2">
        <v>45435</v>
      </c>
      <c r="C3894" t="s">
        <v>390</v>
      </c>
      <c r="D3894" t="s">
        <v>776</v>
      </c>
      <c r="E3894" t="s">
        <v>835</v>
      </c>
      <c r="F3894">
        <v>5</v>
      </c>
      <c r="G3894">
        <v>0</v>
      </c>
      <c r="H3894" t="s">
        <v>855</v>
      </c>
      <c r="I3894" t="str">
        <f>VLOOKUP(C3894,Customers!A:C,2,FALSE)&amp;" "&amp;VLOOKUP(C3894,Customers!A:C,3,FALSE)</f>
        <v>Brenda Dean</v>
      </c>
      <c r="J3894" t="str">
        <f>VLOOKUP(D3894,Products!A:C,2,FALSE)</f>
        <v>Little Watches</v>
      </c>
      <c r="K3894" t="str">
        <f>VLOOKUP(D3894,Products!A:C,3,FALSE)</f>
        <v>Fashion</v>
      </c>
      <c r="L3894" t="str">
        <f>VLOOKUP(E3894,Stores!A:B,2,FALSE)</f>
        <v>MegaMart Peckmouth</v>
      </c>
      <c r="M3894">
        <f>VLOOKUP(D3894,Products!A:E,5,FALSE)</f>
        <v>429.15</v>
      </c>
      <c r="N3894" s="5">
        <f t="shared" si="60"/>
        <v>2145.75</v>
      </c>
    </row>
    <row r="3895" spans="1:14" x14ac:dyDescent="0.3">
      <c r="A3895" t="s">
        <v>4751</v>
      </c>
      <c r="B3895" s="2">
        <v>45710</v>
      </c>
      <c r="C3895" t="s">
        <v>324</v>
      </c>
      <c r="D3895" t="s">
        <v>790</v>
      </c>
      <c r="E3895" t="s">
        <v>831</v>
      </c>
      <c r="F3895">
        <v>4</v>
      </c>
      <c r="G3895">
        <v>0.15</v>
      </c>
      <c r="H3895" t="s">
        <v>855</v>
      </c>
      <c r="I3895" t="str">
        <f>VLOOKUP(C3895,Customers!A:C,2,FALSE)&amp;" "&amp;VLOOKUP(C3895,Customers!A:C,3,FALSE)</f>
        <v>Lawrence Hunter</v>
      </c>
      <c r="J3895" t="str">
        <f>VLOOKUP(D3895,Products!A:C,2,FALSE)</f>
        <v>Difficult Vegetables</v>
      </c>
      <c r="K3895" t="str">
        <f>VLOOKUP(D3895,Products!A:C,3,FALSE)</f>
        <v>Groceries</v>
      </c>
      <c r="L3895" t="str">
        <f>VLOOKUP(E3895,Stores!A:B,2,FALSE)</f>
        <v>MegaMart Jimenezborough</v>
      </c>
      <c r="M3895">
        <f>VLOOKUP(D3895,Products!A:E,5,FALSE)</f>
        <v>304.70999999999998</v>
      </c>
      <c r="N3895" s="5">
        <f t="shared" si="60"/>
        <v>1036.0139999999999</v>
      </c>
    </row>
    <row r="3896" spans="1:14" x14ac:dyDescent="0.3">
      <c r="A3896" t="s">
        <v>4752</v>
      </c>
      <c r="B3896" s="2">
        <v>45836</v>
      </c>
      <c r="C3896" t="s">
        <v>640</v>
      </c>
      <c r="D3896" t="s">
        <v>782</v>
      </c>
      <c r="E3896" t="s">
        <v>831</v>
      </c>
      <c r="F3896">
        <v>4</v>
      </c>
      <c r="G3896">
        <v>0.1</v>
      </c>
      <c r="H3896" t="s">
        <v>858</v>
      </c>
      <c r="I3896" t="str">
        <f>VLOOKUP(C3896,Customers!A:C,2,FALSE)&amp;" "&amp;VLOOKUP(C3896,Customers!A:C,3,FALSE)</f>
        <v>Brittany Oneal</v>
      </c>
      <c r="J3896" t="str">
        <f>VLOOKUP(D3896,Products!A:C,2,FALSE)</f>
        <v>Deal Smartphone</v>
      </c>
      <c r="K3896" t="str">
        <f>VLOOKUP(D3896,Products!A:C,3,FALSE)</f>
        <v>Electronics</v>
      </c>
      <c r="L3896" t="str">
        <f>VLOOKUP(E3896,Stores!A:B,2,FALSE)</f>
        <v>MegaMart Jimenezborough</v>
      </c>
      <c r="M3896">
        <f>VLOOKUP(D3896,Products!A:E,5,FALSE)</f>
        <v>673.78</v>
      </c>
      <c r="N3896" s="5">
        <f t="shared" si="60"/>
        <v>2425.6080000000002</v>
      </c>
    </row>
    <row r="3897" spans="1:14" x14ac:dyDescent="0.3">
      <c r="A3897" t="s">
        <v>4753</v>
      </c>
      <c r="B3897" s="2">
        <v>45654</v>
      </c>
      <c r="C3897" t="s">
        <v>570</v>
      </c>
      <c r="D3897" t="s">
        <v>755</v>
      </c>
      <c r="E3897" t="s">
        <v>839</v>
      </c>
      <c r="F3897">
        <v>3</v>
      </c>
      <c r="G3897">
        <v>0</v>
      </c>
      <c r="H3897" t="s">
        <v>855</v>
      </c>
      <c r="I3897" t="str">
        <f>VLOOKUP(C3897,Customers!A:C,2,FALSE)&amp;" "&amp;VLOOKUP(C3897,Customers!A:C,3,FALSE)</f>
        <v>Thomas Chung</v>
      </c>
      <c r="J3897" t="str">
        <f>VLOOKUP(D3897,Products!A:C,2,FALSE)</f>
        <v>House Accessories</v>
      </c>
      <c r="K3897" t="str">
        <f>VLOOKUP(D3897,Products!A:C,3,FALSE)</f>
        <v>Fashion</v>
      </c>
      <c r="L3897" t="str">
        <f>VLOOKUP(E3897,Stores!A:B,2,FALSE)</f>
        <v>MegaMart New Michele</v>
      </c>
      <c r="M3897">
        <f>VLOOKUP(D3897,Products!A:E,5,FALSE)</f>
        <v>1858.75</v>
      </c>
      <c r="N3897" s="5">
        <f t="shared" si="60"/>
        <v>5576.25</v>
      </c>
    </row>
    <row r="3898" spans="1:14" x14ac:dyDescent="0.3">
      <c r="A3898" t="s">
        <v>4754</v>
      </c>
      <c r="B3898" s="2">
        <v>45338</v>
      </c>
      <c r="C3898" t="s">
        <v>382</v>
      </c>
      <c r="D3898" t="s">
        <v>769</v>
      </c>
      <c r="E3898" t="s">
        <v>835</v>
      </c>
      <c r="F3898">
        <v>2</v>
      </c>
      <c r="G3898">
        <v>0.05</v>
      </c>
      <c r="H3898" t="s">
        <v>865</v>
      </c>
      <c r="I3898" t="str">
        <f>VLOOKUP(C3898,Customers!A:C,2,FALSE)&amp;" "&amp;VLOOKUP(C3898,Customers!A:C,3,FALSE)</f>
        <v>Carolyn Perez</v>
      </c>
      <c r="J3898" t="str">
        <f>VLOOKUP(D3898,Products!A:C,2,FALSE)</f>
        <v>How Vegetables</v>
      </c>
      <c r="K3898" t="str">
        <f>VLOOKUP(D3898,Products!A:C,3,FALSE)</f>
        <v>Groceries</v>
      </c>
      <c r="L3898" t="str">
        <f>VLOOKUP(E3898,Stores!A:B,2,FALSE)</f>
        <v>MegaMart Peckmouth</v>
      </c>
      <c r="M3898">
        <f>VLOOKUP(D3898,Products!A:E,5,FALSE)</f>
        <v>25.57</v>
      </c>
      <c r="N3898" s="5">
        <f t="shared" si="60"/>
        <v>48.582999999999998</v>
      </c>
    </row>
    <row r="3899" spans="1:14" x14ac:dyDescent="0.3">
      <c r="A3899" t="s">
        <v>4755</v>
      </c>
      <c r="B3899" s="2">
        <v>45456</v>
      </c>
      <c r="C3899" t="s">
        <v>551</v>
      </c>
      <c r="D3899" t="s">
        <v>816</v>
      </c>
      <c r="E3899" t="s">
        <v>831</v>
      </c>
      <c r="F3899">
        <v>5</v>
      </c>
      <c r="G3899">
        <v>0.1</v>
      </c>
      <c r="H3899" t="s">
        <v>855</v>
      </c>
      <c r="I3899" t="str">
        <f>VLOOKUP(C3899,Customers!A:C,2,FALSE)&amp;" "&amp;VLOOKUP(C3899,Customers!A:C,3,FALSE)</f>
        <v>Nancy Gordon</v>
      </c>
      <c r="J3899" t="str">
        <f>VLOOKUP(D3899,Products!A:C,2,FALSE)</f>
        <v>Set Dairy</v>
      </c>
      <c r="K3899" t="str">
        <f>VLOOKUP(D3899,Products!A:C,3,FALSE)</f>
        <v>Groceries</v>
      </c>
      <c r="L3899" t="str">
        <f>VLOOKUP(E3899,Stores!A:B,2,FALSE)</f>
        <v>MegaMart Jimenezborough</v>
      </c>
      <c r="M3899">
        <f>VLOOKUP(D3899,Products!A:E,5,FALSE)</f>
        <v>1879.08</v>
      </c>
      <c r="N3899" s="5">
        <f t="shared" si="60"/>
        <v>8455.86</v>
      </c>
    </row>
    <row r="3900" spans="1:14" x14ac:dyDescent="0.3">
      <c r="A3900" t="s">
        <v>4756</v>
      </c>
      <c r="B3900" s="2">
        <v>45880</v>
      </c>
      <c r="C3900" t="s">
        <v>112</v>
      </c>
      <c r="D3900" t="s">
        <v>800</v>
      </c>
      <c r="E3900" t="s">
        <v>831</v>
      </c>
      <c r="F3900">
        <v>4</v>
      </c>
      <c r="G3900">
        <v>0.1</v>
      </c>
      <c r="H3900" t="s">
        <v>865</v>
      </c>
      <c r="I3900" t="str">
        <f>VLOOKUP(C3900,Customers!A:C,2,FALSE)&amp;" "&amp;VLOOKUP(C3900,Customers!A:C,3,FALSE)</f>
        <v>John Carr</v>
      </c>
      <c r="J3900" t="str">
        <f>VLOOKUP(D3900,Products!A:C,2,FALSE)</f>
        <v>Book Television</v>
      </c>
      <c r="K3900" t="str">
        <f>VLOOKUP(D3900,Products!A:C,3,FALSE)</f>
        <v>Electronics</v>
      </c>
      <c r="L3900" t="str">
        <f>VLOOKUP(E3900,Stores!A:B,2,FALSE)</f>
        <v>MegaMart Jimenezborough</v>
      </c>
      <c r="M3900">
        <f>VLOOKUP(D3900,Products!A:E,5,FALSE)</f>
        <v>1952.65</v>
      </c>
      <c r="N3900" s="5">
        <f t="shared" si="60"/>
        <v>7029.5400000000009</v>
      </c>
    </row>
    <row r="3901" spans="1:14" x14ac:dyDescent="0.3">
      <c r="A3901" t="s">
        <v>4757</v>
      </c>
      <c r="B3901" s="2">
        <v>45893</v>
      </c>
      <c r="C3901" t="s">
        <v>608</v>
      </c>
      <c r="D3901" t="s">
        <v>736</v>
      </c>
      <c r="E3901" t="s">
        <v>846</v>
      </c>
      <c r="F3901">
        <v>1</v>
      </c>
      <c r="G3901">
        <v>0.05</v>
      </c>
      <c r="H3901" t="s">
        <v>865</v>
      </c>
      <c r="I3901" t="str">
        <f>VLOOKUP(C3901,Customers!A:C,2,FALSE)&amp;" "&amp;VLOOKUP(C3901,Customers!A:C,3,FALSE)</f>
        <v>Christina Dominguez</v>
      </c>
      <c r="J3901" t="str">
        <f>VLOOKUP(D3901,Products!A:C,2,FALSE)</f>
        <v>Us Snacks</v>
      </c>
      <c r="K3901" t="str">
        <f>VLOOKUP(D3901,Products!A:C,3,FALSE)</f>
        <v>Groceries</v>
      </c>
      <c r="L3901" t="str">
        <f>VLOOKUP(E3901,Stores!A:B,2,FALSE)</f>
        <v>MegaMart Johnmouth</v>
      </c>
      <c r="M3901">
        <f>VLOOKUP(D3901,Products!A:E,5,FALSE)</f>
        <v>123.19</v>
      </c>
      <c r="N3901" s="5">
        <f t="shared" si="60"/>
        <v>117.03049999999999</v>
      </c>
    </row>
    <row r="3902" spans="1:14" x14ac:dyDescent="0.3">
      <c r="A3902" t="s">
        <v>4758</v>
      </c>
      <c r="B3902" s="2">
        <v>45756</v>
      </c>
      <c r="C3902" t="s">
        <v>89</v>
      </c>
      <c r="D3902" t="s">
        <v>728</v>
      </c>
      <c r="E3902" t="s">
        <v>831</v>
      </c>
      <c r="F3902">
        <v>4</v>
      </c>
      <c r="G3902">
        <v>0.15</v>
      </c>
      <c r="H3902" t="s">
        <v>865</v>
      </c>
      <c r="I3902" t="str">
        <f>VLOOKUP(C3902,Customers!A:C,2,FALSE)&amp;" "&amp;VLOOKUP(C3902,Customers!A:C,3,FALSE)</f>
        <v>Megan Velasquez</v>
      </c>
      <c r="J3902" t="str">
        <f>VLOOKUP(D3902,Products!A:C,2,FALSE)</f>
        <v>Company Fruits</v>
      </c>
      <c r="K3902" t="str">
        <f>VLOOKUP(D3902,Products!A:C,3,FALSE)</f>
        <v>Groceries</v>
      </c>
      <c r="L3902" t="str">
        <f>VLOOKUP(E3902,Stores!A:B,2,FALSE)</f>
        <v>MegaMart Jimenezborough</v>
      </c>
      <c r="M3902">
        <f>VLOOKUP(D3902,Products!A:E,5,FALSE)</f>
        <v>318.05</v>
      </c>
      <c r="N3902" s="5">
        <f t="shared" si="60"/>
        <v>1081.3700000000001</v>
      </c>
    </row>
    <row r="3903" spans="1:14" x14ac:dyDescent="0.3">
      <c r="A3903" t="s">
        <v>4759</v>
      </c>
      <c r="B3903" s="2">
        <v>45700</v>
      </c>
      <c r="C3903" t="s">
        <v>554</v>
      </c>
      <c r="D3903" t="s">
        <v>766</v>
      </c>
      <c r="E3903" t="s">
        <v>831</v>
      </c>
      <c r="F3903">
        <v>2</v>
      </c>
      <c r="G3903">
        <v>0.1</v>
      </c>
      <c r="H3903" t="s">
        <v>855</v>
      </c>
      <c r="I3903" t="str">
        <f>VLOOKUP(C3903,Customers!A:C,2,FALSE)&amp;" "&amp;VLOOKUP(C3903,Customers!A:C,3,FALSE)</f>
        <v>Lisa Martinez</v>
      </c>
      <c r="J3903" t="str">
        <f>VLOOKUP(D3903,Products!A:C,2,FALSE)</f>
        <v>Firm Dairy</v>
      </c>
      <c r="K3903" t="str">
        <f>VLOOKUP(D3903,Products!A:C,3,FALSE)</f>
        <v>Groceries</v>
      </c>
      <c r="L3903" t="str">
        <f>VLOOKUP(E3903,Stores!A:B,2,FALSE)</f>
        <v>MegaMart Jimenezborough</v>
      </c>
      <c r="M3903">
        <f>VLOOKUP(D3903,Products!A:E,5,FALSE)</f>
        <v>1227.24</v>
      </c>
      <c r="N3903" s="5">
        <f t="shared" si="60"/>
        <v>2209.0320000000002</v>
      </c>
    </row>
    <row r="3904" spans="1:14" x14ac:dyDescent="0.3">
      <c r="A3904" t="s">
        <v>4760</v>
      </c>
      <c r="B3904" s="2">
        <v>45393</v>
      </c>
      <c r="C3904" t="s">
        <v>640</v>
      </c>
      <c r="D3904" t="s">
        <v>747</v>
      </c>
      <c r="E3904" t="s">
        <v>842</v>
      </c>
      <c r="F3904">
        <v>4</v>
      </c>
      <c r="G3904">
        <v>0</v>
      </c>
      <c r="H3904" t="s">
        <v>861</v>
      </c>
      <c r="I3904" t="str">
        <f>VLOOKUP(C3904,Customers!A:C,2,FALSE)&amp;" "&amp;VLOOKUP(C3904,Customers!A:C,3,FALSE)</f>
        <v>Brittany Oneal</v>
      </c>
      <c r="J3904" t="str">
        <f>VLOOKUP(D3904,Products!A:C,2,FALSE)</f>
        <v>World Watches</v>
      </c>
      <c r="K3904" t="str">
        <f>VLOOKUP(D3904,Products!A:C,3,FALSE)</f>
        <v>Fashion</v>
      </c>
      <c r="L3904" t="str">
        <f>VLOOKUP(E3904,Stores!A:B,2,FALSE)</f>
        <v>MegaMart Brianahaven</v>
      </c>
      <c r="M3904">
        <f>VLOOKUP(D3904,Products!A:E,5,FALSE)</f>
        <v>1134.8</v>
      </c>
      <c r="N3904" s="5">
        <f t="shared" si="60"/>
        <v>4539.2</v>
      </c>
    </row>
    <row r="3905" spans="1:14" x14ac:dyDescent="0.3">
      <c r="A3905" t="s">
        <v>4761</v>
      </c>
      <c r="B3905" s="2">
        <v>45286</v>
      </c>
      <c r="C3905" t="s">
        <v>171</v>
      </c>
      <c r="D3905" t="s">
        <v>816</v>
      </c>
      <c r="E3905" t="s">
        <v>831</v>
      </c>
      <c r="F3905">
        <v>4</v>
      </c>
      <c r="G3905">
        <v>0.1</v>
      </c>
      <c r="H3905" t="s">
        <v>861</v>
      </c>
      <c r="I3905" t="str">
        <f>VLOOKUP(C3905,Customers!A:C,2,FALSE)&amp;" "&amp;VLOOKUP(C3905,Customers!A:C,3,FALSE)</f>
        <v>Parker Sparks</v>
      </c>
      <c r="J3905" t="str">
        <f>VLOOKUP(D3905,Products!A:C,2,FALSE)</f>
        <v>Set Dairy</v>
      </c>
      <c r="K3905" t="str">
        <f>VLOOKUP(D3905,Products!A:C,3,FALSE)</f>
        <v>Groceries</v>
      </c>
      <c r="L3905" t="str">
        <f>VLOOKUP(E3905,Stores!A:B,2,FALSE)</f>
        <v>MegaMart Jimenezborough</v>
      </c>
      <c r="M3905">
        <f>VLOOKUP(D3905,Products!A:E,5,FALSE)</f>
        <v>1879.08</v>
      </c>
      <c r="N3905" s="5">
        <f t="shared" si="60"/>
        <v>6764.6880000000001</v>
      </c>
    </row>
    <row r="3906" spans="1:14" x14ac:dyDescent="0.3">
      <c r="A3906" t="s">
        <v>4762</v>
      </c>
      <c r="B3906" s="2">
        <v>45836</v>
      </c>
      <c r="C3906" t="s">
        <v>306</v>
      </c>
      <c r="D3906" t="s">
        <v>784</v>
      </c>
      <c r="E3906" t="s">
        <v>839</v>
      </c>
      <c r="F3906">
        <v>1</v>
      </c>
      <c r="G3906">
        <v>0.05</v>
      </c>
      <c r="H3906" t="s">
        <v>865</v>
      </c>
      <c r="I3906" t="str">
        <f>VLOOKUP(C3906,Customers!A:C,2,FALSE)&amp;" "&amp;VLOOKUP(C3906,Customers!A:C,3,FALSE)</f>
        <v>Sarah Reynolds</v>
      </c>
      <c r="J3906" t="str">
        <f>VLOOKUP(D3906,Products!A:C,2,FALSE)</f>
        <v>Road Clothing</v>
      </c>
      <c r="K3906" t="str">
        <f>VLOOKUP(D3906,Products!A:C,3,FALSE)</f>
        <v>Fashion</v>
      </c>
      <c r="L3906" t="str">
        <f>VLOOKUP(E3906,Stores!A:B,2,FALSE)</f>
        <v>MegaMart New Michele</v>
      </c>
      <c r="M3906">
        <f>VLOOKUP(D3906,Products!A:E,5,FALSE)</f>
        <v>1485.05</v>
      </c>
      <c r="N3906" s="5">
        <f t="shared" si="60"/>
        <v>1410.7974999999999</v>
      </c>
    </row>
    <row r="3907" spans="1:14" x14ac:dyDescent="0.3">
      <c r="A3907" t="s">
        <v>4763</v>
      </c>
      <c r="B3907" s="2">
        <v>45601</v>
      </c>
      <c r="C3907" t="s">
        <v>89</v>
      </c>
      <c r="D3907" t="s">
        <v>766</v>
      </c>
      <c r="E3907" t="s">
        <v>835</v>
      </c>
      <c r="F3907">
        <v>2</v>
      </c>
      <c r="G3907">
        <v>0.15</v>
      </c>
      <c r="H3907" t="s">
        <v>855</v>
      </c>
      <c r="I3907" t="str">
        <f>VLOOKUP(C3907,Customers!A:C,2,FALSE)&amp;" "&amp;VLOOKUP(C3907,Customers!A:C,3,FALSE)</f>
        <v>Megan Velasquez</v>
      </c>
      <c r="J3907" t="str">
        <f>VLOOKUP(D3907,Products!A:C,2,FALSE)</f>
        <v>Firm Dairy</v>
      </c>
      <c r="K3907" t="str">
        <f>VLOOKUP(D3907,Products!A:C,3,FALSE)</f>
        <v>Groceries</v>
      </c>
      <c r="L3907" t="str">
        <f>VLOOKUP(E3907,Stores!A:B,2,FALSE)</f>
        <v>MegaMart Peckmouth</v>
      </c>
      <c r="M3907">
        <f>VLOOKUP(D3907,Products!A:E,5,FALSE)</f>
        <v>1227.24</v>
      </c>
      <c r="N3907" s="5">
        <f t="shared" ref="N3907:N3970" si="61">F3907*M3907*(1-G3907)</f>
        <v>2086.308</v>
      </c>
    </row>
    <row r="3908" spans="1:14" x14ac:dyDescent="0.3">
      <c r="A3908" t="s">
        <v>4764</v>
      </c>
      <c r="B3908" s="2">
        <v>45211</v>
      </c>
      <c r="C3908" t="s">
        <v>527</v>
      </c>
      <c r="D3908" t="s">
        <v>794</v>
      </c>
      <c r="E3908" t="s">
        <v>839</v>
      </c>
      <c r="F3908">
        <v>1</v>
      </c>
      <c r="G3908">
        <v>0</v>
      </c>
      <c r="H3908" t="s">
        <v>861</v>
      </c>
      <c r="I3908" t="str">
        <f>VLOOKUP(C3908,Customers!A:C,2,FALSE)&amp;" "&amp;VLOOKUP(C3908,Customers!A:C,3,FALSE)</f>
        <v>Paige Osborne</v>
      </c>
      <c r="J3908" t="str">
        <f>VLOOKUP(D3908,Products!A:C,2,FALSE)</f>
        <v>Everything Laptop</v>
      </c>
      <c r="K3908" t="str">
        <f>VLOOKUP(D3908,Products!A:C,3,FALSE)</f>
        <v>Electronics</v>
      </c>
      <c r="L3908" t="str">
        <f>VLOOKUP(E3908,Stores!A:B,2,FALSE)</f>
        <v>MegaMart New Michele</v>
      </c>
      <c r="M3908">
        <f>VLOOKUP(D3908,Products!A:E,5,FALSE)</f>
        <v>428.05</v>
      </c>
      <c r="N3908" s="5">
        <f t="shared" si="61"/>
        <v>428.05</v>
      </c>
    </row>
    <row r="3909" spans="1:14" x14ac:dyDescent="0.3">
      <c r="A3909" t="s">
        <v>4765</v>
      </c>
      <c r="B3909" s="2">
        <v>45481</v>
      </c>
      <c r="C3909" t="s">
        <v>399</v>
      </c>
      <c r="D3909" t="s">
        <v>742</v>
      </c>
      <c r="E3909" t="s">
        <v>831</v>
      </c>
      <c r="F3909">
        <v>1</v>
      </c>
      <c r="G3909">
        <v>0.1</v>
      </c>
      <c r="H3909" t="s">
        <v>865</v>
      </c>
      <c r="I3909" t="str">
        <f>VLOOKUP(C3909,Customers!A:C,2,FALSE)&amp;" "&amp;VLOOKUP(C3909,Customers!A:C,3,FALSE)</f>
        <v>Victoria Hansen</v>
      </c>
      <c r="J3909" t="str">
        <f>VLOOKUP(D3909,Products!A:C,2,FALSE)</f>
        <v>Either Headphones</v>
      </c>
      <c r="K3909" t="str">
        <f>VLOOKUP(D3909,Products!A:C,3,FALSE)</f>
        <v>Electronics</v>
      </c>
      <c r="L3909" t="str">
        <f>VLOOKUP(E3909,Stores!A:B,2,FALSE)</f>
        <v>MegaMart Jimenezborough</v>
      </c>
      <c r="M3909">
        <f>VLOOKUP(D3909,Products!A:E,5,FALSE)</f>
        <v>248.57</v>
      </c>
      <c r="N3909" s="5">
        <f t="shared" si="61"/>
        <v>223.71299999999999</v>
      </c>
    </row>
    <row r="3910" spans="1:14" x14ac:dyDescent="0.3">
      <c r="A3910" t="s">
        <v>4766</v>
      </c>
      <c r="B3910" s="2">
        <v>45262</v>
      </c>
      <c r="C3910" t="s">
        <v>327</v>
      </c>
      <c r="D3910" t="s">
        <v>796</v>
      </c>
      <c r="E3910" t="s">
        <v>835</v>
      </c>
      <c r="F3910">
        <v>2</v>
      </c>
      <c r="G3910">
        <v>0.1</v>
      </c>
      <c r="H3910" t="s">
        <v>855</v>
      </c>
      <c r="I3910" t="str">
        <f>VLOOKUP(C3910,Customers!A:C,2,FALSE)&amp;" "&amp;VLOOKUP(C3910,Customers!A:C,3,FALSE)</f>
        <v>Laurie Mason</v>
      </c>
      <c r="J3910" t="str">
        <f>VLOOKUP(D3910,Products!A:C,2,FALSE)</f>
        <v>Chair Laptop</v>
      </c>
      <c r="K3910" t="str">
        <f>VLOOKUP(D3910,Products!A:C,3,FALSE)</f>
        <v>Electronics</v>
      </c>
      <c r="L3910" t="str">
        <f>VLOOKUP(E3910,Stores!A:B,2,FALSE)</f>
        <v>MegaMart Peckmouth</v>
      </c>
      <c r="M3910">
        <f>VLOOKUP(D3910,Products!A:E,5,FALSE)</f>
        <v>1562.43</v>
      </c>
      <c r="N3910" s="5">
        <f t="shared" si="61"/>
        <v>2812.3740000000003</v>
      </c>
    </row>
    <row r="3911" spans="1:14" x14ac:dyDescent="0.3">
      <c r="A3911" t="s">
        <v>4767</v>
      </c>
      <c r="B3911" s="2">
        <v>45516</v>
      </c>
      <c r="C3911" t="s">
        <v>422</v>
      </c>
      <c r="D3911" t="s">
        <v>782</v>
      </c>
      <c r="E3911" t="s">
        <v>846</v>
      </c>
      <c r="F3911">
        <v>3</v>
      </c>
      <c r="G3911">
        <v>0</v>
      </c>
      <c r="H3911" t="s">
        <v>858</v>
      </c>
      <c r="I3911" t="str">
        <f>VLOOKUP(C3911,Customers!A:C,2,FALSE)&amp;" "&amp;VLOOKUP(C3911,Customers!A:C,3,FALSE)</f>
        <v>Heidi Wilson</v>
      </c>
      <c r="J3911" t="str">
        <f>VLOOKUP(D3911,Products!A:C,2,FALSE)</f>
        <v>Deal Smartphone</v>
      </c>
      <c r="K3911" t="str">
        <f>VLOOKUP(D3911,Products!A:C,3,FALSE)</f>
        <v>Electronics</v>
      </c>
      <c r="L3911" t="str">
        <f>VLOOKUP(E3911,Stores!A:B,2,FALSE)</f>
        <v>MegaMart Johnmouth</v>
      </c>
      <c r="M3911">
        <f>VLOOKUP(D3911,Products!A:E,5,FALSE)</f>
        <v>673.78</v>
      </c>
      <c r="N3911" s="5">
        <f t="shared" si="61"/>
        <v>2021.34</v>
      </c>
    </row>
    <row r="3912" spans="1:14" x14ac:dyDescent="0.3">
      <c r="A3912" t="s">
        <v>4768</v>
      </c>
      <c r="B3912" s="2">
        <v>45320</v>
      </c>
      <c r="C3912" t="s">
        <v>277</v>
      </c>
      <c r="D3912" t="s">
        <v>796</v>
      </c>
      <c r="E3912" t="s">
        <v>831</v>
      </c>
      <c r="F3912">
        <v>4</v>
      </c>
      <c r="G3912">
        <v>0</v>
      </c>
      <c r="H3912" t="s">
        <v>858</v>
      </c>
      <c r="I3912" t="str">
        <f>VLOOKUP(C3912,Customers!A:C,2,FALSE)&amp;" "&amp;VLOOKUP(C3912,Customers!A:C,3,FALSE)</f>
        <v>Carl Armstrong</v>
      </c>
      <c r="J3912" t="str">
        <f>VLOOKUP(D3912,Products!A:C,2,FALSE)</f>
        <v>Chair Laptop</v>
      </c>
      <c r="K3912" t="str">
        <f>VLOOKUP(D3912,Products!A:C,3,FALSE)</f>
        <v>Electronics</v>
      </c>
      <c r="L3912" t="str">
        <f>VLOOKUP(E3912,Stores!A:B,2,FALSE)</f>
        <v>MegaMart Jimenezborough</v>
      </c>
      <c r="M3912">
        <f>VLOOKUP(D3912,Products!A:E,5,FALSE)</f>
        <v>1562.43</v>
      </c>
      <c r="N3912" s="5">
        <f t="shared" si="61"/>
        <v>6249.72</v>
      </c>
    </row>
    <row r="3913" spans="1:14" x14ac:dyDescent="0.3">
      <c r="A3913" t="s">
        <v>4769</v>
      </c>
      <c r="B3913" s="2">
        <v>45626</v>
      </c>
      <c r="C3913" t="s">
        <v>640</v>
      </c>
      <c r="D3913" t="s">
        <v>774</v>
      </c>
      <c r="E3913" t="s">
        <v>835</v>
      </c>
      <c r="F3913">
        <v>2</v>
      </c>
      <c r="G3913">
        <v>0.15</v>
      </c>
      <c r="H3913" t="s">
        <v>865</v>
      </c>
      <c r="I3913" t="str">
        <f>VLOOKUP(C3913,Customers!A:C,2,FALSE)&amp;" "&amp;VLOOKUP(C3913,Customers!A:C,3,FALSE)</f>
        <v>Brittany Oneal</v>
      </c>
      <c r="J3913" t="str">
        <f>VLOOKUP(D3913,Products!A:C,2,FALSE)</f>
        <v>Him Smartphone</v>
      </c>
      <c r="K3913" t="str">
        <f>VLOOKUP(D3913,Products!A:C,3,FALSE)</f>
        <v>Electronics</v>
      </c>
      <c r="L3913" t="str">
        <f>VLOOKUP(E3913,Stores!A:B,2,FALSE)</f>
        <v>MegaMart Peckmouth</v>
      </c>
      <c r="M3913">
        <f>VLOOKUP(D3913,Products!A:E,5,FALSE)</f>
        <v>1487.41</v>
      </c>
      <c r="N3913" s="5">
        <f t="shared" si="61"/>
        <v>2528.5970000000002</v>
      </c>
    </row>
    <row r="3914" spans="1:14" x14ac:dyDescent="0.3">
      <c r="A3914" t="s">
        <v>4770</v>
      </c>
      <c r="B3914" s="2">
        <v>45354</v>
      </c>
      <c r="C3914" t="s">
        <v>343</v>
      </c>
      <c r="D3914" t="s">
        <v>718</v>
      </c>
      <c r="E3914" t="s">
        <v>846</v>
      </c>
      <c r="F3914">
        <v>3</v>
      </c>
      <c r="G3914">
        <v>0</v>
      </c>
      <c r="H3914" t="s">
        <v>861</v>
      </c>
      <c r="I3914" t="str">
        <f>VLOOKUP(C3914,Customers!A:C,2,FALSE)&amp;" "&amp;VLOOKUP(C3914,Customers!A:C,3,FALSE)</f>
        <v>Brian Fowler</v>
      </c>
      <c r="J3914" t="str">
        <f>VLOOKUP(D3914,Products!A:C,2,FALSE)</f>
        <v>Here Footwear</v>
      </c>
      <c r="K3914" t="str">
        <f>VLOOKUP(D3914,Products!A:C,3,FALSE)</f>
        <v>Fashion</v>
      </c>
      <c r="L3914" t="str">
        <f>VLOOKUP(E3914,Stores!A:B,2,FALSE)</f>
        <v>MegaMart Johnmouth</v>
      </c>
      <c r="M3914">
        <f>VLOOKUP(D3914,Products!A:E,5,FALSE)</f>
        <v>337.63</v>
      </c>
      <c r="N3914" s="5">
        <f t="shared" si="61"/>
        <v>1012.89</v>
      </c>
    </row>
    <row r="3915" spans="1:14" x14ac:dyDescent="0.3">
      <c r="A3915" t="s">
        <v>4771</v>
      </c>
      <c r="B3915" s="2">
        <v>45493</v>
      </c>
      <c r="C3915" t="s">
        <v>608</v>
      </c>
      <c r="D3915" t="s">
        <v>772</v>
      </c>
      <c r="E3915" t="s">
        <v>831</v>
      </c>
      <c r="F3915">
        <v>1</v>
      </c>
      <c r="G3915">
        <v>0</v>
      </c>
      <c r="H3915" t="s">
        <v>858</v>
      </c>
      <c r="I3915" t="str">
        <f>VLOOKUP(C3915,Customers!A:C,2,FALSE)&amp;" "&amp;VLOOKUP(C3915,Customers!A:C,3,FALSE)</f>
        <v>Christina Dominguez</v>
      </c>
      <c r="J3915" t="str">
        <f>VLOOKUP(D3915,Products!A:C,2,FALSE)</f>
        <v>And Footwear</v>
      </c>
      <c r="K3915" t="str">
        <f>VLOOKUP(D3915,Products!A:C,3,FALSE)</f>
        <v>Fashion</v>
      </c>
      <c r="L3915" t="str">
        <f>VLOOKUP(E3915,Stores!A:B,2,FALSE)</f>
        <v>MegaMart Jimenezborough</v>
      </c>
      <c r="M3915">
        <f>VLOOKUP(D3915,Products!A:E,5,FALSE)</f>
        <v>1878.47</v>
      </c>
      <c r="N3915" s="5">
        <f t="shared" si="61"/>
        <v>1878.47</v>
      </c>
    </row>
    <row r="3916" spans="1:14" x14ac:dyDescent="0.3">
      <c r="A3916" t="s">
        <v>4772</v>
      </c>
      <c r="B3916" s="2">
        <v>45269</v>
      </c>
      <c r="C3916" t="s">
        <v>280</v>
      </c>
      <c r="D3916" t="s">
        <v>774</v>
      </c>
      <c r="E3916" t="s">
        <v>846</v>
      </c>
      <c r="F3916">
        <v>2</v>
      </c>
      <c r="G3916">
        <v>0.1</v>
      </c>
      <c r="H3916" t="s">
        <v>865</v>
      </c>
      <c r="I3916" t="str">
        <f>VLOOKUP(C3916,Customers!A:C,2,FALSE)&amp;" "&amp;VLOOKUP(C3916,Customers!A:C,3,FALSE)</f>
        <v>Jesus Singh</v>
      </c>
      <c r="J3916" t="str">
        <f>VLOOKUP(D3916,Products!A:C,2,FALSE)</f>
        <v>Him Smartphone</v>
      </c>
      <c r="K3916" t="str">
        <f>VLOOKUP(D3916,Products!A:C,3,FALSE)</f>
        <v>Electronics</v>
      </c>
      <c r="L3916" t="str">
        <f>VLOOKUP(E3916,Stores!A:B,2,FALSE)</f>
        <v>MegaMart Johnmouth</v>
      </c>
      <c r="M3916">
        <f>VLOOKUP(D3916,Products!A:E,5,FALSE)</f>
        <v>1487.41</v>
      </c>
      <c r="N3916" s="5">
        <f t="shared" si="61"/>
        <v>2677.3380000000002</v>
      </c>
    </row>
    <row r="3917" spans="1:14" x14ac:dyDescent="0.3">
      <c r="A3917" t="s">
        <v>4773</v>
      </c>
      <c r="B3917" s="2">
        <v>45708</v>
      </c>
      <c r="C3917" t="s">
        <v>206</v>
      </c>
      <c r="D3917" t="s">
        <v>792</v>
      </c>
      <c r="E3917" t="s">
        <v>846</v>
      </c>
      <c r="F3917">
        <v>1</v>
      </c>
      <c r="G3917">
        <v>0</v>
      </c>
      <c r="H3917" t="s">
        <v>855</v>
      </c>
      <c r="I3917" t="str">
        <f>VLOOKUP(C3917,Customers!A:C,2,FALSE)&amp;" "&amp;VLOOKUP(C3917,Customers!A:C,3,FALSE)</f>
        <v>Felicia Morgan</v>
      </c>
      <c r="J3917" t="str">
        <f>VLOOKUP(D3917,Products!A:C,2,FALSE)</f>
        <v>Beat Accessories</v>
      </c>
      <c r="K3917" t="str">
        <f>VLOOKUP(D3917,Products!A:C,3,FALSE)</f>
        <v>Fashion</v>
      </c>
      <c r="L3917" t="str">
        <f>VLOOKUP(E3917,Stores!A:B,2,FALSE)</f>
        <v>MegaMart Johnmouth</v>
      </c>
      <c r="M3917">
        <f>VLOOKUP(D3917,Products!A:E,5,FALSE)</f>
        <v>1798.97</v>
      </c>
      <c r="N3917" s="5">
        <f t="shared" si="61"/>
        <v>1798.97</v>
      </c>
    </row>
    <row r="3918" spans="1:14" x14ac:dyDescent="0.3">
      <c r="A3918" t="s">
        <v>4774</v>
      </c>
      <c r="B3918" s="2">
        <v>45197</v>
      </c>
      <c r="C3918" t="s">
        <v>339</v>
      </c>
      <c r="D3918" t="s">
        <v>745</v>
      </c>
      <c r="E3918" t="s">
        <v>835</v>
      </c>
      <c r="F3918">
        <v>1</v>
      </c>
      <c r="G3918">
        <v>0.05</v>
      </c>
      <c r="H3918" t="s">
        <v>858</v>
      </c>
      <c r="I3918" t="str">
        <f>VLOOKUP(C3918,Customers!A:C,2,FALSE)&amp;" "&amp;VLOOKUP(C3918,Customers!A:C,3,FALSE)</f>
        <v>Carrie Peterson</v>
      </c>
      <c r="J3918" t="str">
        <f>VLOOKUP(D3918,Products!A:C,2,FALSE)</f>
        <v>Above Camera</v>
      </c>
      <c r="K3918" t="str">
        <f>VLOOKUP(D3918,Products!A:C,3,FALSE)</f>
        <v>Electronics</v>
      </c>
      <c r="L3918" t="str">
        <f>VLOOKUP(E3918,Stores!A:B,2,FALSE)</f>
        <v>MegaMart Peckmouth</v>
      </c>
      <c r="M3918">
        <f>VLOOKUP(D3918,Products!A:E,5,FALSE)</f>
        <v>1193.0899999999999</v>
      </c>
      <c r="N3918" s="5">
        <f t="shared" si="61"/>
        <v>1133.4354999999998</v>
      </c>
    </row>
    <row r="3919" spans="1:14" x14ac:dyDescent="0.3">
      <c r="A3919" t="s">
        <v>4775</v>
      </c>
      <c r="B3919" s="2">
        <v>45749</v>
      </c>
      <c r="C3919" t="s">
        <v>51</v>
      </c>
      <c r="D3919" t="s">
        <v>826</v>
      </c>
      <c r="E3919" t="s">
        <v>846</v>
      </c>
      <c r="F3919">
        <v>5</v>
      </c>
      <c r="G3919">
        <v>0.1</v>
      </c>
      <c r="H3919" t="s">
        <v>865</v>
      </c>
      <c r="I3919" t="str">
        <f>VLOOKUP(C3919,Customers!A:C,2,FALSE)&amp;" "&amp;VLOOKUP(C3919,Customers!A:C,3,FALSE)</f>
        <v>Dale Perry</v>
      </c>
      <c r="J3919" t="str">
        <f>VLOOKUP(D3919,Products!A:C,2,FALSE)</f>
        <v>Maybe Footwear</v>
      </c>
      <c r="K3919" t="str">
        <f>VLOOKUP(D3919,Products!A:C,3,FALSE)</f>
        <v>Fashion</v>
      </c>
      <c r="L3919" t="str">
        <f>VLOOKUP(E3919,Stores!A:B,2,FALSE)</f>
        <v>MegaMart Johnmouth</v>
      </c>
      <c r="M3919">
        <f>VLOOKUP(D3919,Products!A:E,5,FALSE)</f>
        <v>1044.6400000000001</v>
      </c>
      <c r="N3919" s="5">
        <f t="shared" si="61"/>
        <v>4700.880000000001</v>
      </c>
    </row>
    <row r="3920" spans="1:14" x14ac:dyDescent="0.3">
      <c r="A3920" t="s">
        <v>4776</v>
      </c>
      <c r="B3920" s="2">
        <v>45618</v>
      </c>
      <c r="C3920" t="s">
        <v>77</v>
      </c>
      <c r="D3920" t="s">
        <v>782</v>
      </c>
      <c r="E3920" t="s">
        <v>846</v>
      </c>
      <c r="F3920">
        <v>3</v>
      </c>
      <c r="G3920">
        <v>0</v>
      </c>
      <c r="H3920" t="s">
        <v>861</v>
      </c>
      <c r="I3920" t="str">
        <f>VLOOKUP(C3920,Customers!A:C,2,FALSE)&amp;" "&amp;VLOOKUP(C3920,Customers!A:C,3,FALSE)</f>
        <v>John Smith</v>
      </c>
      <c r="J3920" t="str">
        <f>VLOOKUP(D3920,Products!A:C,2,FALSE)</f>
        <v>Deal Smartphone</v>
      </c>
      <c r="K3920" t="str">
        <f>VLOOKUP(D3920,Products!A:C,3,FALSE)</f>
        <v>Electronics</v>
      </c>
      <c r="L3920" t="str">
        <f>VLOOKUP(E3920,Stores!A:B,2,FALSE)</f>
        <v>MegaMart Johnmouth</v>
      </c>
      <c r="M3920">
        <f>VLOOKUP(D3920,Products!A:E,5,FALSE)</f>
        <v>673.78</v>
      </c>
      <c r="N3920" s="5">
        <f t="shared" si="61"/>
        <v>2021.34</v>
      </c>
    </row>
    <row r="3921" spans="1:14" x14ac:dyDescent="0.3">
      <c r="A3921" t="s">
        <v>4777</v>
      </c>
      <c r="B3921" s="2">
        <v>45871</v>
      </c>
      <c r="C3921" t="s">
        <v>599</v>
      </c>
      <c r="D3921" t="s">
        <v>776</v>
      </c>
      <c r="E3921" t="s">
        <v>839</v>
      </c>
      <c r="F3921">
        <v>5</v>
      </c>
      <c r="G3921">
        <v>0.05</v>
      </c>
      <c r="H3921" t="s">
        <v>855</v>
      </c>
      <c r="I3921" t="str">
        <f>VLOOKUP(C3921,Customers!A:C,2,FALSE)&amp;" "&amp;VLOOKUP(C3921,Customers!A:C,3,FALSE)</f>
        <v>Richard Jones</v>
      </c>
      <c r="J3921" t="str">
        <f>VLOOKUP(D3921,Products!A:C,2,FALSE)</f>
        <v>Little Watches</v>
      </c>
      <c r="K3921" t="str">
        <f>VLOOKUP(D3921,Products!A:C,3,FALSE)</f>
        <v>Fashion</v>
      </c>
      <c r="L3921" t="str">
        <f>VLOOKUP(E3921,Stores!A:B,2,FALSE)</f>
        <v>MegaMart New Michele</v>
      </c>
      <c r="M3921">
        <f>VLOOKUP(D3921,Products!A:E,5,FALSE)</f>
        <v>429.15</v>
      </c>
      <c r="N3921" s="5">
        <f t="shared" si="61"/>
        <v>2038.4624999999999</v>
      </c>
    </row>
    <row r="3922" spans="1:14" x14ac:dyDescent="0.3">
      <c r="A3922" t="s">
        <v>4778</v>
      </c>
      <c r="B3922" s="2">
        <v>45663</v>
      </c>
      <c r="C3922" t="s">
        <v>335</v>
      </c>
      <c r="D3922" t="s">
        <v>802</v>
      </c>
      <c r="E3922" t="s">
        <v>835</v>
      </c>
      <c r="F3922">
        <v>3</v>
      </c>
      <c r="G3922">
        <v>0.1</v>
      </c>
      <c r="H3922" t="s">
        <v>861</v>
      </c>
      <c r="I3922" t="str">
        <f>VLOOKUP(C3922,Customers!A:C,2,FALSE)&amp;" "&amp;VLOOKUP(C3922,Customers!A:C,3,FALSE)</f>
        <v>William Warner</v>
      </c>
      <c r="J3922" t="str">
        <f>VLOOKUP(D3922,Products!A:C,2,FALSE)</f>
        <v>Stage Footwear</v>
      </c>
      <c r="K3922" t="str">
        <f>VLOOKUP(D3922,Products!A:C,3,FALSE)</f>
        <v>Fashion</v>
      </c>
      <c r="L3922" t="str">
        <f>VLOOKUP(E3922,Stores!A:B,2,FALSE)</f>
        <v>MegaMart Peckmouth</v>
      </c>
      <c r="M3922">
        <f>VLOOKUP(D3922,Products!A:E,5,FALSE)</f>
        <v>366.93</v>
      </c>
      <c r="N3922" s="5">
        <f t="shared" si="61"/>
        <v>990.71100000000001</v>
      </c>
    </row>
    <row r="3923" spans="1:14" x14ac:dyDescent="0.3">
      <c r="A3923" t="s">
        <v>4779</v>
      </c>
      <c r="B3923" s="2">
        <v>45615</v>
      </c>
      <c r="C3923" t="s">
        <v>51</v>
      </c>
      <c r="D3923" t="s">
        <v>788</v>
      </c>
      <c r="E3923" t="s">
        <v>839</v>
      </c>
      <c r="F3923">
        <v>4</v>
      </c>
      <c r="G3923">
        <v>0</v>
      </c>
      <c r="H3923" t="s">
        <v>865</v>
      </c>
      <c r="I3923" t="str">
        <f>VLOOKUP(C3923,Customers!A:C,2,FALSE)&amp;" "&amp;VLOOKUP(C3923,Customers!A:C,3,FALSE)</f>
        <v>Dale Perry</v>
      </c>
      <c r="J3923" t="str">
        <f>VLOOKUP(D3923,Products!A:C,2,FALSE)</f>
        <v>Foot Snacks</v>
      </c>
      <c r="K3923" t="str">
        <f>VLOOKUP(D3923,Products!A:C,3,FALSE)</f>
        <v>Groceries</v>
      </c>
      <c r="L3923" t="str">
        <f>VLOOKUP(E3923,Stores!A:B,2,FALSE)</f>
        <v>MegaMart New Michele</v>
      </c>
      <c r="M3923">
        <f>VLOOKUP(D3923,Products!A:E,5,FALSE)</f>
        <v>1095.72</v>
      </c>
      <c r="N3923" s="5">
        <f t="shared" si="61"/>
        <v>4382.88</v>
      </c>
    </row>
    <row r="3924" spans="1:14" x14ac:dyDescent="0.3">
      <c r="A3924" t="s">
        <v>4780</v>
      </c>
      <c r="B3924" s="2">
        <v>45205</v>
      </c>
      <c r="C3924" t="s">
        <v>67</v>
      </c>
      <c r="D3924" t="s">
        <v>757</v>
      </c>
      <c r="E3924" t="s">
        <v>842</v>
      </c>
      <c r="F3924">
        <v>4</v>
      </c>
      <c r="G3924">
        <v>0</v>
      </c>
      <c r="H3924" t="s">
        <v>865</v>
      </c>
      <c r="I3924" t="str">
        <f>VLOOKUP(C3924,Customers!A:C,2,FALSE)&amp;" "&amp;VLOOKUP(C3924,Customers!A:C,3,FALSE)</f>
        <v>Miguel Johnson</v>
      </c>
      <c r="J3924" t="str">
        <f>VLOOKUP(D3924,Products!A:C,2,FALSE)</f>
        <v>Find Headphones</v>
      </c>
      <c r="K3924" t="str">
        <f>VLOOKUP(D3924,Products!A:C,3,FALSE)</f>
        <v>Electronics</v>
      </c>
      <c r="L3924" t="str">
        <f>VLOOKUP(E3924,Stores!A:B,2,FALSE)</f>
        <v>MegaMart Brianahaven</v>
      </c>
      <c r="M3924">
        <f>VLOOKUP(D3924,Products!A:E,5,FALSE)</f>
        <v>1246.1099999999999</v>
      </c>
      <c r="N3924" s="5">
        <f t="shared" si="61"/>
        <v>4984.4399999999996</v>
      </c>
    </row>
    <row r="3925" spans="1:14" x14ac:dyDescent="0.3">
      <c r="A3925" t="s">
        <v>4781</v>
      </c>
      <c r="B3925" s="2">
        <v>45664</v>
      </c>
      <c r="C3925" t="s">
        <v>382</v>
      </c>
      <c r="D3925" t="s">
        <v>715</v>
      </c>
      <c r="E3925" t="s">
        <v>846</v>
      </c>
      <c r="F3925">
        <v>4</v>
      </c>
      <c r="G3925">
        <v>0</v>
      </c>
      <c r="H3925" t="s">
        <v>865</v>
      </c>
      <c r="I3925" t="str">
        <f>VLOOKUP(C3925,Customers!A:C,2,FALSE)&amp;" "&amp;VLOOKUP(C3925,Customers!A:C,3,FALSE)</f>
        <v>Carolyn Perez</v>
      </c>
      <c r="J3925" t="str">
        <f>VLOOKUP(D3925,Products!A:C,2,FALSE)</f>
        <v>Audience Television</v>
      </c>
      <c r="K3925" t="str">
        <f>VLOOKUP(D3925,Products!A:C,3,FALSE)</f>
        <v>Electronics</v>
      </c>
      <c r="L3925" t="str">
        <f>VLOOKUP(E3925,Stores!A:B,2,FALSE)</f>
        <v>MegaMart Johnmouth</v>
      </c>
      <c r="M3925">
        <f>VLOOKUP(D3925,Products!A:E,5,FALSE)</f>
        <v>818.76</v>
      </c>
      <c r="N3925" s="5">
        <f t="shared" si="61"/>
        <v>3275.04</v>
      </c>
    </row>
    <row r="3926" spans="1:14" x14ac:dyDescent="0.3">
      <c r="A3926" t="s">
        <v>4782</v>
      </c>
      <c r="B3926" s="2">
        <v>45387</v>
      </c>
      <c r="C3926" t="s">
        <v>509</v>
      </c>
      <c r="D3926" t="s">
        <v>792</v>
      </c>
      <c r="E3926" t="s">
        <v>842</v>
      </c>
      <c r="F3926">
        <v>4</v>
      </c>
      <c r="G3926">
        <v>0.15</v>
      </c>
      <c r="H3926" t="s">
        <v>855</v>
      </c>
      <c r="I3926" t="str">
        <f>VLOOKUP(C3926,Customers!A:C,2,FALSE)&amp;" "&amp;VLOOKUP(C3926,Customers!A:C,3,FALSE)</f>
        <v>Stacy Williams</v>
      </c>
      <c r="J3926" t="str">
        <f>VLOOKUP(D3926,Products!A:C,2,FALSE)</f>
        <v>Beat Accessories</v>
      </c>
      <c r="K3926" t="str">
        <f>VLOOKUP(D3926,Products!A:C,3,FALSE)</f>
        <v>Fashion</v>
      </c>
      <c r="L3926" t="str">
        <f>VLOOKUP(E3926,Stores!A:B,2,FALSE)</f>
        <v>MegaMart Brianahaven</v>
      </c>
      <c r="M3926">
        <f>VLOOKUP(D3926,Products!A:E,5,FALSE)</f>
        <v>1798.97</v>
      </c>
      <c r="N3926" s="5">
        <f t="shared" si="61"/>
        <v>6116.4979999999996</v>
      </c>
    </row>
    <row r="3927" spans="1:14" x14ac:dyDescent="0.3">
      <c r="A3927" t="s">
        <v>4783</v>
      </c>
      <c r="B3927" s="2">
        <v>45401</v>
      </c>
      <c r="C3927" t="s">
        <v>51</v>
      </c>
      <c r="D3927" t="s">
        <v>745</v>
      </c>
      <c r="E3927" t="s">
        <v>835</v>
      </c>
      <c r="F3927">
        <v>4</v>
      </c>
      <c r="G3927">
        <v>0.1</v>
      </c>
      <c r="H3927" t="s">
        <v>861</v>
      </c>
      <c r="I3927" t="str">
        <f>VLOOKUP(C3927,Customers!A:C,2,FALSE)&amp;" "&amp;VLOOKUP(C3927,Customers!A:C,3,FALSE)</f>
        <v>Dale Perry</v>
      </c>
      <c r="J3927" t="str">
        <f>VLOOKUP(D3927,Products!A:C,2,FALSE)</f>
        <v>Above Camera</v>
      </c>
      <c r="K3927" t="str">
        <f>VLOOKUP(D3927,Products!A:C,3,FALSE)</f>
        <v>Electronics</v>
      </c>
      <c r="L3927" t="str">
        <f>VLOOKUP(E3927,Stores!A:B,2,FALSE)</f>
        <v>MegaMart Peckmouth</v>
      </c>
      <c r="M3927">
        <f>VLOOKUP(D3927,Products!A:E,5,FALSE)</f>
        <v>1193.0899999999999</v>
      </c>
      <c r="N3927" s="5">
        <f t="shared" si="61"/>
        <v>4295.1239999999998</v>
      </c>
    </row>
    <row r="3928" spans="1:14" x14ac:dyDescent="0.3">
      <c r="A3928" t="s">
        <v>4784</v>
      </c>
      <c r="B3928" s="2">
        <v>45884</v>
      </c>
      <c r="C3928" t="s">
        <v>650</v>
      </c>
      <c r="D3928" t="s">
        <v>755</v>
      </c>
      <c r="E3928" t="s">
        <v>835</v>
      </c>
      <c r="F3928">
        <v>2</v>
      </c>
      <c r="G3928">
        <v>0.1</v>
      </c>
      <c r="H3928" t="s">
        <v>855</v>
      </c>
      <c r="I3928" t="str">
        <f>VLOOKUP(C3928,Customers!A:C,2,FALSE)&amp;" "&amp;VLOOKUP(C3928,Customers!A:C,3,FALSE)</f>
        <v>Daniel Mcintyre</v>
      </c>
      <c r="J3928" t="str">
        <f>VLOOKUP(D3928,Products!A:C,2,FALSE)</f>
        <v>House Accessories</v>
      </c>
      <c r="K3928" t="str">
        <f>VLOOKUP(D3928,Products!A:C,3,FALSE)</f>
        <v>Fashion</v>
      </c>
      <c r="L3928" t="str">
        <f>VLOOKUP(E3928,Stores!A:B,2,FALSE)</f>
        <v>MegaMart Peckmouth</v>
      </c>
      <c r="M3928">
        <f>VLOOKUP(D3928,Products!A:E,5,FALSE)</f>
        <v>1858.75</v>
      </c>
      <c r="N3928" s="5">
        <f t="shared" si="61"/>
        <v>3345.75</v>
      </c>
    </row>
    <row r="3929" spans="1:14" x14ac:dyDescent="0.3">
      <c r="A3929" t="s">
        <v>4785</v>
      </c>
      <c r="B3929" s="2">
        <v>45831</v>
      </c>
      <c r="C3929" t="s">
        <v>539</v>
      </c>
      <c r="D3929" t="s">
        <v>722</v>
      </c>
      <c r="E3929" t="s">
        <v>839</v>
      </c>
      <c r="F3929">
        <v>2</v>
      </c>
      <c r="G3929">
        <v>0</v>
      </c>
      <c r="H3929" t="s">
        <v>865</v>
      </c>
      <c r="I3929" t="str">
        <f>VLOOKUP(C3929,Customers!A:C,2,FALSE)&amp;" "&amp;VLOOKUP(C3929,Customers!A:C,3,FALSE)</f>
        <v>Melissa Torres</v>
      </c>
      <c r="J3929" t="str">
        <f>VLOOKUP(D3929,Products!A:C,2,FALSE)</f>
        <v>Four Accessories</v>
      </c>
      <c r="K3929" t="str">
        <f>VLOOKUP(D3929,Products!A:C,3,FALSE)</f>
        <v>Fashion</v>
      </c>
      <c r="L3929" t="str">
        <f>VLOOKUP(E3929,Stores!A:B,2,FALSE)</f>
        <v>MegaMart New Michele</v>
      </c>
      <c r="M3929">
        <f>VLOOKUP(D3929,Products!A:E,5,FALSE)</f>
        <v>1853.77</v>
      </c>
      <c r="N3929" s="5">
        <f t="shared" si="61"/>
        <v>3707.54</v>
      </c>
    </row>
    <row r="3930" spans="1:14" x14ac:dyDescent="0.3">
      <c r="A3930" t="s">
        <v>4786</v>
      </c>
      <c r="B3930" s="2">
        <v>45235</v>
      </c>
      <c r="C3930" t="s">
        <v>379</v>
      </c>
      <c r="D3930" t="s">
        <v>739</v>
      </c>
      <c r="E3930" t="s">
        <v>842</v>
      </c>
      <c r="F3930">
        <v>4</v>
      </c>
      <c r="G3930">
        <v>0.15</v>
      </c>
      <c r="H3930" t="s">
        <v>861</v>
      </c>
      <c r="I3930" t="str">
        <f>VLOOKUP(C3930,Customers!A:C,2,FALSE)&amp;" "&amp;VLOOKUP(C3930,Customers!A:C,3,FALSE)</f>
        <v>William Pope</v>
      </c>
      <c r="J3930" t="str">
        <f>VLOOKUP(D3930,Products!A:C,2,FALSE)</f>
        <v>Step Smartphone</v>
      </c>
      <c r="K3930" t="str">
        <f>VLOOKUP(D3930,Products!A:C,3,FALSE)</f>
        <v>Electronics</v>
      </c>
      <c r="L3930" t="str">
        <f>VLOOKUP(E3930,Stores!A:B,2,FALSE)</f>
        <v>MegaMart Brianahaven</v>
      </c>
      <c r="M3930">
        <f>VLOOKUP(D3930,Products!A:E,5,FALSE)</f>
        <v>1194.1199999999999</v>
      </c>
      <c r="N3930" s="5">
        <f t="shared" si="61"/>
        <v>4060.0079999999994</v>
      </c>
    </row>
    <row r="3931" spans="1:14" x14ac:dyDescent="0.3">
      <c r="A3931" t="s">
        <v>4787</v>
      </c>
      <c r="B3931" s="2">
        <v>45281</v>
      </c>
      <c r="C3931" t="s">
        <v>324</v>
      </c>
      <c r="D3931" t="s">
        <v>812</v>
      </c>
      <c r="E3931" t="s">
        <v>839</v>
      </c>
      <c r="F3931">
        <v>1</v>
      </c>
      <c r="G3931">
        <v>0.05</v>
      </c>
      <c r="H3931" t="s">
        <v>861</v>
      </c>
      <c r="I3931" t="str">
        <f>VLOOKUP(C3931,Customers!A:C,2,FALSE)&amp;" "&amp;VLOOKUP(C3931,Customers!A:C,3,FALSE)</f>
        <v>Lawrence Hunter</v>
      </c>
      <c r="J3931" t="str">
        <f>VLOOKUP(D3931,Products!A:C,2,FALSE)</f>
        <v>Soon Accessories</v>
      </c>
      <c r="K3931" t="str">
        <f>VLOOKUP(D3931,Products!A:C,3,FALSE)</f>
        <v>Fashion</v>
      </c>
      <c r="L3931" t="str">
        <f>VLOOKUP(E3931,Stores!A:B,2,FALSE)</f>
        <v>MegaMart New Michele</v>
      </c>
      <c r="M3931">
        <f>VLOOKUP(D3931,Products!A:E,5,FALSE)</f>
        <v>564.41999999999996</v>
      </c>
      <c r="N3931" s="5">
        <f t="shared" si="61"/>
        <v>536.19899999999996</v>
      </c>
    </row>
    <row r="3932" spans="1:14" x14ac:dyDescent="0.3">
      <c r="A3932" t="s">
        <v>4788</v>
      </c>
      <c r="B3932" s="2">
        <v>45719</v>
      </c>
      <c r="C3932" t="s">
        <v>582</v>
      </c>
      <c r="D3932" t="s">
        <v>798</v>
      </c>
      <c r="E3932" t="s">
        <v>839</v>
      </c>
      <c r="F3932">
        <v>1</v>
      </c>
      <c r="G3932">
        <v>0</v>
      </c>
      <c r="H3932" t="s">
        <v>858</v>
      </c>
      <c r="I3932" t="str">
        <f>VLOOKUP(C3932,Customers!A:C,2,FALSE)&amp;" "&amp;VLOOKUP(C3932,Customers!A:C,3,FALSE)</f>
        <v>Erin Rogers</v>
      </c>
      <c r="J3932" t="str">
        <f>VLOOKUP(D3932,Products!A:C,2,FALSE)</f>
        <v>New Watches</v>
      </c>
      <c r="K3932" t="str">
        <f>VLOOKUP(D3932,Products!A:C,3,FALSE)</f>
        <v>Fashion</v>
      </c>
      <c r="L3932" t="str">
        <f>VLOOKUP(E3932,Stores!A:B,2,FALSE)</f>
        <v>MegaMart New Michele</v>
      </c>
      <c r="M3932">
        <f>VLOOKUP(D3932,Products!A:E,5,FALSE)</f>
        <v>1501.46</v>
      </c>
      <c r="N3932" s="5">
        <f t="shared" si="61"/>
        <v>1501.46</v>
      </c>
    </row>
    <row r="3933" spans="1:14" x14ac:dyDescent="0.3">
      <c r="A3933" t="s">
        <v>4789</v>
      </c>
      <c r="B3933" s="2">
        <v>45884</v>
      </c>
      <c r="C3933" t="s">
        <v>213</v>
      </c>
      <c r="D3933" t="s">
        <v>800</v>
      </c>
      <c r="E3933" t="s">
        <v>842</v>
      </c>
      <c r="F3933">
        <v>3</v>
      </c>
      <c r="G3933">
        <v>0.1</v>
      </c>
      <c r="H3933" t="s">
        <v>861</v>
      </c>
      <c r="I3933" t="str">
        <f>VLOOKUP(C3933,Customers!A:C,2,FALSE)&amp;" "&amp;VLOOKUP(C3933,Customers!A:C,3,FALSE)</f>
        <v>Deborah Moody</v>
      </c>
      <c r="J3933" t="str">
        <f>VLOOKUP(D3933,Products!A:C,2,FALSE)</f>
        <v>Book Television</v>
      </c>
      <c r="K3933" t="str">
        <f>VLOOKUP(D3933,Products!A:C,3,FALSE)</f>
        <v>Electronics</v>
      </c>
      <c r="L3933" t="str">
        <f>VLOOKUP(E3933,Stores!A:B,2,FALSE)</f>
        <v>MegaMart Brianahaven</v>
      </c>
      <c r="M3933">
        <f>VLOOKUP(D3933,Products!A:E,5,FALSE)</f>
        <v>1952.65</v>
      </c>
      <c r="N3933" s="5">
        <f t="shared" si="61"/>
        <v>5272.1550000000007</v>
      </c>
    </row>
    <row r="3934" spans="1:14" x14ac:dyDescent="0.3">
      <c r="A3934" t="s">
        <v>4790</v>
      </c>
      <c r="B3934" s="2">
        <v>45383</v>
      </c>
      <c r="C3934" t="s">
        <v>379</v>
      </c>
      <c r="D3934" t="s">
        <v>778</v>
      </c>
      <c r="E3934" t="s">
        <v>835</v>
      </c>
      <c r="F3934">
        <v>3</v>
      </c>
      <c r="G3934">
        <v>0</v>
      </c>
      <c r="H3934" t="s">
        <v>858</v>
      </c>
      <c r="I3934" t="str">
        <f>VLOOKUP(C3934,Customers!A:C,2,FALSE)&amp;" "&amp;VLOOKUP(C3934,Customers!A:C,3,FALSE)</f>
        <v>William Pope</v>
      </c>
      <c r="J3934" t="str">
        <f>VLOOKUP(D3934,Products!A:C,2,FALSE)</f>
        <v>Behavior Dairy</v>
      </c>
      <c r="K3934" t="str">
        <f>VLOOKUP(D3934,Products!A:C,3,FALSE)</f>
        <v>Groceries</v>
      </c>
      <c r="L3934" t="str">
        <f>VLOOKUP(E3934,Stores!A:B,2,FALSE)</f>
        <v>MegaMart Peckmouth</v>
      </c>
      <c r="M3934">
        <f>VLOOKUP(D3934,Products!A:E,5,FALSE)</f>
        <v>1015.76</v>
      </c>
      <c r="N3934" s="5">
        <f t="shared" si="61"/>
        <v>3047.2799999999997</v>
      </c>
    </row>
    <row r="3935" spans="1:14" x14ac:dyDescent="0.3">
      <c r="A3935" t="s">
        <v>4791</v>
      </c>
      <c r="B3935" s="2">
        <v>45792</v>
      </c>
      <c r="C3935" t="s">
        <v>503</v>
      </c>
      <c r="D3935" t="s">
        <v>810</v>
      </c>
      <c r="E3935" t="s">
        <v>839</v>
      </c>
      <c r="F3935">
        <v>2</v>
      </c>
      <c r="G3935">
        <v>0</v>
      </c>
      <c r="H3935" t="s">
        <v>861</v>
      </c>
      <c r="I3935" t="str">
        <f>VLOOKUP(C3935,Customers!A:C,2,FALSE)&amp;" "&amp;VLOOKUP(C3935,Customers!A:C,3,FALSE)</f>
        <v>Breanna Moore</v>
      </c>
      <c r="J3935" t="str">
        <f>VLOOKUP(D3935,Products!A:C,2,FALSE)</f>
        <v>Maybe Clothing</v>
      </c>
      <c r="K3935" t="str">
        <f>VLOOKUP(D3935,Products!A:C,3,FALSE)</f>
        <v>Fashion</v>
      </c>
      <c r="L3935" t="str">
        <f>VLOOKUP(E3935,Stores!A:B,2,FALSE)</f>
        <v>MegaMart New Michele</v>
      </c>
      <c r="M3935">
        <f>VLOOKUP(D3935,Products!A:E,5,FALSE)</f>
        <v>453.62</v>
      </c>
      <c r="N3935" s="5">
        <f t="shared" si="61"/>
        <v>907.24</v>
      </c>
    </row>
    <row r="3936" spans="1:14" x14ac:dyDescent="0.3">
      <c r="A3936" t="s">
        <v>4792</v>
      </c>
      <c r="B3936" s="2">
        <v>45328</v>
      </c>
      <c r="C3936" t="s">
        <v>604</v>
      </c>
      <c r="D3936" t="s">
        <v>786</v>
      </c>
      <c r="E3936" t="s">
        <v>846</v>
      </c>
      <c r="F3936">
        <v>2</v>
      </c>
      <c r="G3936">
        <v>0.05</v>
      </c>
      <c r="H3936" t="s">
        <v>861</v>
      </c>
      <c r="I3936" t="str">
        <f>VLOOKUP(C3936,Customers!A:C,2,FALSE)&amp;" "&amp;VLOOKUP(C3936,Customers!A:C,3,FALSE)</f>
        <v>Amber Graham</v>
      </c>
      <c r="J3936" t="str">
        <f>VLOOKUP(D3936,Products!A:C,2,FALSE)</f>
        <v>National Watches</v>
      </c>
      <c r="K3936" t="str">
        <f>VLOOKUP(D3936,Products!A:C,3,FALSE)</f>
        <v>Fashion</v>
      </c>
      <c r="L3936" t="str">
        <f>VLOOKUP(E3936,Stores!A:B,2,FALSE)</f>
        <v>MegaMart Johnmouth</v>
      </c>
      <c r="M3936">
        <f>VLOOKUP(D3936,Products!A:E,5,FALSE)</f>
        <v>29.24</v>
      </c>
      <c r="N3936" s="5">
        <f t="shared" si="61"/>
        <v>55.555999999999997</v>
      </c>
    </row>
    <row r="3937" spans="1:14" x14ac:dyDescent="0.3">
      <c r="A3937" t="s">
        <v>4793</v>
      </c>
      <c r="B3937" s="2">
        <v>45705</v>
      </c>
      <c r="C3937" t="s">
        <v>298</v>
      </c>
      <c r="D3937" t="s">
        <v>826</v>
      </c>
      <c r="E3937" t="s">
        <v>839</v>
      </c>
      <c r="F3937">
        <v>1</v>
      </c>
      <c r="G3937">
        <v>0</v>
      </c>
      <c r="H3937" t="s">
        <v>865</v>
      </c>
      <c r="I3937" t="str">
        <f>VLOOKUP(C3937,Customers!A:C,2,FALSE)&amp;" "&amp;VLOOKUP(C3937,Customers!A:C,3,FALSE)</f>
        <v>Donald Marsh</v>
      </c>
      <c r="J3937" t="str">
        <f>VLOOKUP(D3937,Products!A:C,2,FALSE)</f>
        <v>Maybe Footwear</v>
      </c>
      <c r="K3937" t="str">
        <f>VLOOKUP(D3937,Products!A:C,3,FALSE)</f>
        <v>Fashion</v>
      </c>
      <c r="L3937" t="str">
        <f>VLOOKUP(E3937,Stores!A:B,2,FALSE)</f>
        <v>MegaMart New Michele</v>
      </c>
      <c r="M3937">
        <f>VLOOKUP(D3937,Products!A:E,5,FALSE)</f>
        <v>1044.6400000000001</v>
      </c>
      <c r="N3937" s="5">
        <f t="shared" si="61"/>
        <v>1044.6400000000001</v>
      </c>
    </row>
    <row r="3938" spans="1:14" x14ac:dyDescent="0.3">
      <c r="A3938" t="s">
        <v>4794</v>
      </c>
      <c r="B3938" s="2">
        <v>45239</v>
      </c>
      <c r="C3938" t="s">
        <v>666</v>
      </c>
      <c r="D3938" t="s">
        <v>753</v>
      </c>
      <c r="E3938" t="s">
        <v>831</v>
      </c>
      <c r="F3938">
        <v>5</v>
      </c>
      <c r="G3938">
        <v>0</v>
      </c>
      <c r="H3938" t="s">
        <v>858</v>
      </c>
      <c r="I3938" t="str">
        <f>VLOOKUP(C3938,Customers!A:C,2,FALSE)&amp;" "&amp;VLOOKUP(C3938,Customers!A:C,3,FALSE)</f>
        <v>Steve Flynn</v>
      </c>
      <c r="J3938" t="str">
        <f>VLOOKUP(D3938,Products!A:C,2,FALSE)</f>
        <v>Whether Bags</v>
      </c>
      <c r="K3938" t="str">
        <f>VLOOKUP(D3938,Products!A:C,3,FALSE)</f>
        <v>Fashion</v>
      </c>
      <c r="L3938" t="str">
        <f>VLOOKUP(E3938,Stores!A:B,2,FALSE)</f>
        <v>MegaMart Jimenezborough</v>
      </c>
      <c r="M3938">
        <f>VLOOKUP(D3938,Products!A:E,5,FALSE)</f>
        <v>270.45</v>
      </c>
      <c r="N3938" s="5">
        <f t="shared" si="61"/>
        <v>1352.25</v>
      </c>
    </row>
    <row r="3939" spans="1:14" x14ac:dyDescent="0.3">
      <c r="A3939" t="s">
        <v>4795</v>
      </c>
      <c r="B3939" s="2">
        <v>45622</v>
      </c>
      <c r="C3939" t="s">
        <v>618</v>
      </c>
      <c r="D3939" t="s">
        <v>790</v>
      </c>
      <c r="E3939" t="s">
        <v>831</v>
      </c>
      <c r="F3939">
        <v>3</v>
      </c>
      <c r="G3939">
        <v>0.05</v>
      </c>
      <c r="H3939" t="s">
        <v>865</v>
      </c>
      <c r="I3939" t="str">
        <f>VLOOKUP(C3939,Customers!A:C,2,FALSE)&amp;" "&amp;VLOOKUP(C3939,Customers!A:C,3,FALSE)</f>
        <v>Scott Howell</v>
      </c>
      <c r="J3939" t="str">
        <f>VLOOKUP(D3939,Products!A:C,2,FALSE)</f>
        <v>Difficult Vegetables</v>
      </c>
      <c r="K3939" t="str">
        <f>VLOOKUP(D3939,Products!A:C,3,FALSE)</f>
        <v>Groceries</v>
      </c>
      <c r="L3939" t="str">
        <f>VLOOKUP(E3939,Stores!A:B,2,FALSE)</f>
        <v>MegaMart Jimenezborough</v>
      </c>
      <c r="M3939">
        <f>VLOOKUP(D3939,Products!A:E,5,FALSE)</f>
        <v>304.70999999999998</v>
      </c>
      <c r="N3939" s="5">
        <f t="shared" si="61"/>
        <v>868.42349999999988</v>
      </c>
    </row>
    <row r="3940" spans="1:14" x14ac:dyDescent="0.3">
      <c r="A3940" t="s">
        <v>4796</v>
      </c>
      <c r="B3940" s="2">
        <v>45666</v>
      </c>
      <c r="C3940" t="s">
        <v>585</v>
      </c>
      <c r="D3940" t="s">
        <v>759</v>
      </c>
      <c r="E3940" t="s">
        <v>846</v>
      </c>
      <c r="F3940">
        <v>5</v>
      </c>
      <c r="G3940">
        <v>0.15</v>
      </c>
      <c r="H3940" t="s">
        <v>855</v>
      </c>
      <c r="I3940" t="str">
        <f>VLOOKUP(C3940,Customers!A:C,2,FALSE)&amp;" "&amp;VLOOKUP(C3940,Customers!A:C,3,FALSE)</f>
        <v>Linda Vasquez</v>
      </c>
      <c r="J3940" t="str">
        <f>VLOOKUP(D3940,Products!A:C,2,FALSE)</f>
        <v>Democratic Smartphone</v>
      </c>
      <c r="K3940" t="str">
        <f>VLOOKUP(D3940,Products!A:C,3,FALSE)</f>
        <v>Electronics</v>
      </c>
      <c r="L3940" t="str">
        <f>VLOOKUP(E3940,Stores!A:B,2,FALSE)</f>
        <v>MegaMart Johnmouth</v>
      </c>
      <c r="M3940">
        <f>VLOOKUP(D3940,Products!A:E,5,FALSE)</f>
        <v>1079.8900000000001</v>
      </c>
      <c r="N3940" s="5">
        <f t="shared" si="61"/>
        <v>4589.5325000000003</v>
      </c>
    </row>
    <row r="3941" spans="1:14" x14ac:dyDescent="0.3">
      <c r="A3941" t="s">
        <v>4797</v>
      </c>
      <c r="B3941" s="2">
        <v>45516</v>
      </c>
      <c r="C3941" t="s">
        <v>241</v>
      </c>
      <c r="D3941" t="s">
        <v>786</v>
      </c>
      <c r="E3941" t="s">
        <v>831</v>
      </c>
      <c r="F3941">
        <v>2</v>
      </c>
      <c r="G3941">
        <v>0</v>
      </c>
      <c r="H3941" t="s">
        <v>865</v>
      </c>
      <c r="I3941" t="str">
        <f>VLOOKUP(C3941,Customers!A:C,2,FALSE)&amp;" "&amp;VLOOKUP(C3941,Customers!A:C,3,FALSE)</f>
        <v>Michael Johnson</v>
      </c>
      <c r="J3941" t="str">
        <f>VLOOKUP(D3941,Products!A:C,2,FALSE)</f>
        <v>National Watches</v>
      </c>
      <c r="K3941" t="str">
        <f>VLOOKUP(D3941,Products!A:C,3,FALSE)</f>
        <v>Fashion</v>
      </c>
      <c r="L3941" t="str">
        <f>VLOOKUP(E3941,Stores!A:B,2,FALSE)</f>
        <v>MegaMart Jimenezborough</v>
      </c>
      <c r="M3941">
        <f>VLOOKUP(D3941,Products!A:E,5,FALSE)</f>
        <v>29.24</v>
      </c>
      <c r="N3941" s="5">
        <f t="shared" si="61"/>
        <v>58.48</v>
      </c>
    </row>
    <row r="3942" spans="1:14" x14ac:dyDescent="0.3">
      <c r="A3942" t="s">
        <v>4798</v>
      </c>
      <c r="B3942" s="2">
        <v>45333</v>
      </c>
      <c r="C3942" t="s">
        <v>372</v>
      </c>
      <c r="D3942" t="s">
        <v>816</v>
      </c>
      <c r="E3942" t="s">
        <v>842</v>
      </c>
      <c r="F3942">
        <v>4</v>
      </c>
      <c r="G3942">
        <v>0.05</v>
      </c>
      <c r="H3942" t="s">
        <v>861</v>
      </c>
      <c r="I3942" t="str">
        <f>VLOOKUP(C3942,Customers!A:C,2,FALSE)&amp;" "&amp;VLOOKUP(C3942,Customers!A:C,3,FALSE)</f>
        <v>Kimberly Jones</v>
      </c>
      <c r="J3942" t="str">
        <f>VLOOKUP(D3942,Products!A:C,2,FALSE)</f>
        <v>Set Dairy</v>
      </c>
      <c r="K3942" t="str">
        <f>VLOOKUP(D3942,Products!A:C,3,FALSE)</f>
        <v>Groceries</v>
      </c>
      <c r="L3942" t="str">
        <f>VLOOKUP(E3942,Stores!A:B,2,FALSE)</f>
        <v>MegaMart Brianahaven</v>
      </c>
      <c r="M3942">
        <f>VLOOKUP(D3942,Products!A:E,5,FALSE)</f>
        <v>1879.08</v>
      </c>
      <c r="N3942" s="5">
        <f t="shared" si="61"/>
        <v>7140.503999999999</v>
      </c>
    </row>
    <row r="3943" spans="1:14" x14ac:dyDescent="0.3">
      <c r="A3943" t="s">
        <v>4799</v>
      </c>
      <c r="B3943" s="2">
        <v>45709</v>
      </c>
      <c r="C3943" t="s">
        <v>567</v>
      </c>
      <c r="D3943" t="s">
        <v>711</v>
      </c>
      <c r="E3943" t="s">
        <v>831</v>
      </c>
      <c r="F3943">
        <v>3</v>
      </c>
      <c r="G3943">
        <v>0.1</v>
      </c>
      <c r="H3943" t="s">
        <v>858</v>
      </c>
      <c r="I3943" t="str">
        <f>VLOOKUP(C3943,Customers!A:C,2,FALSE)&amp;" "&amp;VLOOKUP(C3943,Customers!A:C,3,FALSE)</f>
        <v>Crystal Aguirre</v>
      </c>
      <c r="J3943" t="str">
        <f>VLOOKUP(D3943,Products!A:C,2,FALSE)</f>
        <v>Like Camera</v>
      </c>
      <c r="K3943" t="str">
        <f>VLOOKUP(D3943,Products!A:C,3,FALSE)</f>
        <v>Electronics</v>
      </c>
      <c r="L3943" t="str">
        <f>VLOOKUP(E3943,Stores!A:B,2,FALSE)</f>
        <v>MegaMart Jimenezborough</v>
      </c>
      <c r="M3943">
        <f>VLOOKUP(D3943,Products!A:E,5,FALSE)</f>
        <v>1673.69</v>
      </c>
      <c r="N3943" s="5">
        <f t="shared" si="61"/>
        <v>4518.9629999999997</v>
      </c>
    </row>
    <row r="3944" spans="1:14" x14ac:dyDescent="0.3">
      <c r="A3944" t="s">
        <v>4800</v>
      </c>
      <c r="B3944" s="2">
        <v>45636</v>
      </c>
      <c r="C3944" t="s">
        <v>324</v>
      </c>
      <c r="D3944" t="s">
        <v>774</v>
      </c>
      <c r="E3944" t="s">
        <v>846</v>
      </c>
      <c r="F3944">
        <v>5</v>
      </c>
      <c r="G3944">
        <v>0.15</v>
      </c>
      <c r="H3944" t="s">
        <v>855</v>
      </c>
      <c r="I3944" t="str">
        <f>VLOOKUP(C3944,Customers!A:C,2,FALSE)&amp;" "&amp;VLOOKUP(C3944,Customers!A:C,3,FALSE)</f>
        <v>Lawrence Hunter</v>
      </c>
      <c r="J3944" t="str">
        <f>VLOOKUP(D3944,Products!A:C,2,FALSE)</f>
        <v>Him Smartphone</v>
      </c>
      <c r="K3944" t="str">
        <f>VLOOKUP(D3944,Products!A:C,3,FALSE)</f>
        <v>Electronics</v>
      </c>
      <c r="L3944" t="str">
        <f>VLOOKUP(E3944,Stores!A:B,2,FALSE)</f>
        <v>MegaMart Johnmouth</v>
      </c>
      <c r="M3944">
        <f>VLOOKUP(D3944,Products!A:E,5,FALSE)</f>
        <v>1487.41</v>
      </c>
      <c r="N3944" s="5">
        <f t="shared" si="61"/>
        <v>6321.4925000000003</v>
      </c>
    </row>
    <row r="3945" spans="1:14" x14ac:dyDescent="0.3">
      <c r="A3945" t="s">
        <v>4801</v>
      </c>
      <c r="B3945" s="2">
        <v>45701</v>
      </c>
      <c r="C3945" t="s">
        <v>527</v>
      </c>
      <c r="D3945" t="s">
        <v>792</v>
      </c>
      <c r="E3945" t="s">
        <v>835</v>
      </c>
      <c r="F3945">
        <v>1</v>
      </c>
      <c r="G3945">
        <v>0.05</v>
      </c>
      <c r="H3945" t="s">
        <v>858</v>
      </c>
      <c r="I3945" t="str">
        <f>VLOOKUP(C3945,Customers!A:C,2,FALSE)&amp;" "&amp;VLOOKUP(C3945,Customers!A:C,3,FALSE)</f>
        <v>Paige Osborne</v>
      </c>
      <c r="J3945" t="str">
        <f>VLOOKUP(D3945,Products!A:C,2,FALSE)</f>
        <v>Beat Accessories</v>
      </c>
      <c r="K3945" t="str">
        <f>VLOOKUP(D3945,Products!A:C,3,FALSE)</f>
        <v>Fashion</v>
      </c>
      <c r="L3945" t="str">
        <f>VLOOKUP(E3945,Stores!A:B,2,FALSE)</f>
        <v>MegaMart Peckmouth</v>
      </c>
      <c r="M3945">
        <f>VLOOKUP(D3945,Products!A:E,5,FALSE)</f>
        <v>1798.97</v>
      </c>
      <c r="N3945" s="5">
        <f t="shared" si="61"/>
        <v>1709.0214999999998</v>
      </c>
    </row>
    <row r="3946" spans="1:14" x14ac:dyDescent="0.3">
      <c r="A3946" t="s">
        <v>4802</v>
      </c>
      <c r="B3946" s="2">
        <v>45305</v>
      </c>
      <c r="C3946" t="s">
        <v>302</v>
      </c>
      <c r="D3946" t="s">
        <v>761</v>
      </c>
      <c r="E3946" t="s">
        <v>835</v>
      </c>
      <c r="F3946">
        <v>4</v>
      </c>
      <c r="G3946">
        <v>0</v>
      </c>
      <c r="H3946" t="s">
        <v>861</v>
      </c>
      <c r="I3946" t="str">
        <f>VLOOKUP(C3946,Customers!A:C,2,FALSE)&amp;" "&amp;VLOOKUP(C3946,Customers!A:C,3,FALSE)</f>
        <v>Grace Garcia</v>
      </c>
      <c r="J3946" t="str">
        <f>VLOOKUP(D3946,Products!A:C,2,FALSE)</f>
        <v>Traditional Laptop</v>
      </c>
      <c r="K3946" t="str">
        <f>VLOOKUP(D3946,Products!A:C,3,FALSE)</f>
        <v>Electronics</v>
      </c>
      <c r="L3946" t="str">
        <f>VLOOKUP(E3946,Stores!A:B,2,FALSE)</f>
        <v>MegaMart Peckmouth</v>
      </c>
      <c r="M3946">
        <f>VLOOKUP(D3946,Products!A:E,5,FALSE)</f>
        <v>1762.92</v>
      </c>
      <c r="N3946" s="5">
        <f t="shared" si="61"/>
        <v>7051.68</v>
      </c>
    </row>
    <row r="3947" spans="1:14" x14ac:dyDescent="0.3">
      <c r="A3947" t="s">
        <v>4803</v>
      </c>
      <c r="B3947" s="2">
        <v>45246</v>
      </c>
      <c r="C3947" t="s">
        <v>238</v>
      </c>
      <c r="D3947" t="s">
        <v>794</v>
      </c>
      <c r="E3947" t="s">
        <v>842</v>
      </c>
      <c r="F3947">
        <v>2</v>
      </c>
      <c r="G3947">
        <v>0</v>
      </c>
      <c r="H3947" t="s">
        <v>861</v>
      </c>
      <c r="I3947" t="str">
        <f>VLOOKUP(C3947,Customers!A:C,2,FALSE)&amp;" "&amp;VLOOKUP(C3947,Customers!A:C,3,FALSE)</f>
        <v>Susan Salinas</v>
      </c>
      <c r="J3947" t="str">
        <f>VLOOKUP(D3947,Products!A:C,2,FALSE)</f>
        <v>Everything Laptop</v>
      </c>
      <c r="K3947" t="str">
        <f>VLOOKUP(D3947,Products!A:C,3,FALSE)</f>
        <v>Electronics</v>
      </c>
      <c r="L3947" t="str">
        <f>VLOOKUP(E3947,Stores!A:B,2,FALSE)</f>
        <v>MegaMart Brianahaven</v>
      </c>
      <c r="M3947">
        <f>VLOOKUP(D3947,Products!A:E,5,FALSE)</f>
        <v>428.05</v>
      </c>
      <c r="N3947" s="5">
        <f t="shared" si="61"/>
        <v>856.1</v>
      </c>
    </row>
    <row r="3948" spans="1:14" x14ac:dyDescent="0.3">
      <c r="A3948" t="s">
        <v>4804</v>
      </c>
      <c r="B3948" s="2">
        <v>45344</v>
      </c>
      <c r="C3948" t="s">
        <v>438</v>
      </c>
      <c r="D3948" t="s">
        <v>790</v>
      </c>
      <c r="E3948" t="s">
        <v>839</v>
      </c>
      <c r="F3948">
        <v>3</v>
      </c>
      <c r="G3948">
        <v>0.05</v>
      </c>
      <c r="H3948" t="s">
        <v>865</v>
      </c>
      <c r="I3948" t="str">
        <f>VLOOKUP(C3948,Customers!A:C,2,FALSE)&amp;" "&amp;VLOOKUP(C3948,Customers!A:C,3,FALSE)</f>
        <v>Gina Bradford</v>
      </c>
      <c r="J3948" t="str">
        <f>VLOOKUP(D3948,Products!A:C,2,FALSE)</f>
        <v>Difficult Vegetables</v>
      </c>
      <c r="K3948" t="str">
        <f>VLOOKUP(D3948,Products!A:C,3,FALSE)</f>
        <v>Groceries</v>
      </c>
      <c r="L3948" t="str">
        <f>VLOOKUP(E3948,Stores!A:B,2,FALSE)</f>
        <v>MegaMart New Michele</v>
      </c>
      <c r="M3948">
        <f>VLOOKUP(D3948,Products!A:E,5,FALSE)</f>
        <v>304.70999999999998</v>
      </c>
      <c r="N3948" s="5">
        <f t="shared" si="61"/>
        <v>868.42349999999988</v>
      </c>
    </row>
    <row r="3949" spans="1:14" x14ac:dyDescent="0.3">
      <c r="A3949" t="s">
        <v>4805</v>
      </c>
      <c r="B3949" s="2">
        <v>45496</v>
      </c>
      <c r="C3949" t="s">
        <v>250</v>
      </c>
      <c r="D3949" t="s">
        <v>790</v>
      </c>
      <c r="E3949" t="s">
        <v>842</v>
      </c>
      <c r="F3949">
        <v>4</v>
      </c>
      <c r="G3949">
        <v>0</v>
      </c>
      <c r="H3949" t="s">
        <v>861</v>
      </c>
      <c r="I3949" t="str">
        <f>VLOOKUP(C3949,Customers!A:C,2,FALSE)&amp;" "&amp;VLOOKUP(C3949,Customers!A:C,3,FALSE)</f>
        <v>Jason Jenkins</v>
      </c>
      <c r="J3949" t="str">
        <f>VLOOKUP(D3949,Products!A:C,2,FALSE)</f>
        <v>Difficult Vegetables</v>
      </c>
      <c r="K3949" t="str">
        <f>VLOOKUP(D3949,Products!A:C,3,FALSE)</f>
        <v>Groceries</v>
      </c>
      <c r="L3949" t="str">
        <f>VLOOKUP(E3949,Stores!A:B,2,FALSE)</f>
        <v>MegaMart Brianahaven</v>
      </c>
      <c r="M3949">
        <f>VLOOKUP(D3949,Products!A:E,5,FALSE)</f>
        <v>304.70999999999998</v>
      </c>
      <c r="N3949" s="5">
        <f t="shared" si="61"/>
        <v>1218.8399999999999</v>
      </c>
    </row>
    <row r="3950" spans="1:14" x14ac:dyDescent="0.3">
      <c r="A3950" t="s">
        <v>4806</v>
      </c>
      <c r="B3950" s="2">
        <v>45456</v>
      </c>
      <c r="C3950" t="s">
        <v>7</v>
      </c>
      <c r="D3950" t="s">
        <v>776</v>
      </c>
      <c r="E3950" t="s">
        <v>842</v>
      </c>
      <c r="F3950">
        <v>1</v>
      </c>
      <c r="G3950">
        <v>0</v>
      </c>
      <c r="H3950" t="s">
        <v>855</v>
      </c>
      <c r="I3950" t="str">
        <f>VLOOKUP(C3950,Customers!A:C,2,FALSE)&amp;" "&amp;VLOOKUP(C3950,Customers!A:C,3,FALSE)</f>
        <v>Michael Davis</v>
      </c>
      <c r="J3950" t="str">
        <f>VLOOKUP(D3950,Products!A:C,2,FALSE)</f>
        <v>Little Watches</v>
      </c>
      <c r="K3950" t="str">
        <f>VLOOKUP(D3950,Products!A:C,3,FALSE)</f>
        <v>Fashion</v>
      </c>
      <c r="L3950" t="str">
        <f>VLOOKUP(E3950,Stores!A:B,2,FALSE)</f>
        <v>MegaMart Brianahaven</v>
      </c>
      <c r="M3950">
        <f>VLOOKUP(D3950,Products!A:E,5,FALSE)</f>
        <v>429.15</v>
      </c>
      <c r="N3950" s="5">
        <f t="shared" si="61"/>
        <v>429.15</v>
      </c>
    </row>
    <row r="3951" spans="1:14" x14ac:dyDescent="0.3">
      <c r="A3951" t="s">
        <v>4807</v>
      </c>
      <c r="B3951" s="2">
        <v>45293</v>
      </c>
      <c r="C3951" t="s">
        <v>163</v>
      </c>
      <c r="D3951" t="s">
        <v>826</v>
      </c>
      <c r="E3951" t="s">
        <v>835</v>
      </c>
      <c r="F3951">
        <v>5</v>
      </c>
      <c r="G3951">
        <v>0</v>
      </c>
      <c r="H3951" t="s">
        <v>861</v>
      </c>
      <c r="I3951" t="str">
        <f>VLOOKUP(C3951,Customers!A:C,2,FALSE)&amp;" "&amp;VLOOKUP(C3951,Customers!A:C,3,FALSE)</f>
        <v>Anna Andrews</v>
      </c>
      <c r="J3951" t="str">
        <f>VLOOKUP(D3951,Products!A:C,2,FALSE)</f>
        <v>Maybe Footwear</v>
      </c>
      <c r="K3951" t="str">
        <f>VLOOKUP(D3951,Products!A:C,3,FALSE)</f>
        <v>Fashion</v>
      </c>
      <c r="L3951" t="str">
        <f>VLOOKUP(E3951,Stores!A:B,2,FALSE)</f>
        <v>MegaMart Peckmouth</v>
      </c>
      <c r="M3951">
        <f>VLOOKUP(D3951,Products!A:E,5,FALSE)</f>
        <v>1044.6400000000001</v>
      </c>
      <c r="N3951" s="5">
        <f t="shared" si="61"/>
        <v>5223.2000000000007</v>
      </c>
    </row>
    <row r="3952" spans="1:14" x14ac:dyDescent="0.3">
      <c r="A3952" t="s">
        <v>4808</v>
      </c>
      <c r="B3952" s="2">
        <v>45269</v>
      </c>
      <c r="C3952" t="s">
        <v>191</v>
      </c>
      <c r="D3952" t="s">
        <v>804</v>
      </c>
      <c r="E3952" t="s">
        <v>842</v>
      </c>
      <c r="F3952">
        <v>2</v>
      </c>
      <c r="G3952">
        <v>0</v>
      </c>
      <c r="H3952" t="s">
        <v>861</v>
      </c>
      <c r="I3952" t="str">
        <f>VLOOKUP(C3952,Customers!A:C,2,FALSE)&amp;" "&amp;VLOOKUP(C3952,Customers!A:C,3,FALSE)</f>
        <v>Antonio Hamilton</v>
      </c>
      <c r="J3952" t="str">
        <f>VLOOKUP(D3952,Products!A:C,2,FALSE)</f>
        <v>Church Clothing</v>
      </c>
      <c r="K3952" t="str">
        <f>VLOOKUP(D3952,Products!A:C,3,FALSE)</f>
        <v>Fashion</v>
      </c>
      <c r="L3952" t="str">
        <f>VLOOKUP(E3952,Stores!A:B,2,FALSE)</f>
        <v>MegaMart Brianahaven</v>
      </c>
      <c r="M3952">
        <f>VLOOKUP(D3952,Products!A:E,5,FALSE)</f>
        <v>540.94000000000005</v>
      </c>
      <c r="N3952" s="5">
        <f t="shared" si="61"/>
        <v>1081.8800000000001</v>
      </c>
    </row>
    <row r="3953" spans="1:14" x14ac:dyDescent="0.3">
      <c r="A3953" t="s">
        <v>4809</v>
      </c>
      <c r="B3953" s="2">
        <v>45696</v>
      </c>
      <c r="C3953" t="s">
        <v>74</v>
      </c>
      <c r="D3953" t="s">
        <v>808</v>
      </c>
      <c r="E3953" t="s">
        <v>839</v>
      </c>
      <c r="F3953">
        <v>5</v>
      </c>
      <c r="G3953">
        <v>0</v>
      </c>
      <c r="H3953" t="s">
        <v>858</v>
      </c>
      <c r="I3953" t="str">
        <f>VLOOKUP(C3953,Customers!A:C,2,FALSE)&amp;" "&amp;VLOOKUP(C3953,Customers!A:C,3,FALSE)</f>
        <v>Breanna Davis</v>
      </c>
      <c r="J3953" t="str">
        <f>VLOOKUP(D3953,Products!A:C,2,FALSE)</f>
        <v>Present Television</v>
      </c>
      <c r="K3953" t="str">
        <f>VLOOKUP(D3953,Products!A:C,3,FALSE)</f>
        <v>Electronics</v>
      </c>
      <c r="L3953" t="str">
        <f>VLOOKUP(E3953,Stores!A:B,2,FALSE)</f>
        <v>MegaMart New Michele</v>
      </c>
      <c r="M3953">
        <f>VLOOKUP(D3953,Products!A:E,5,FALSE)</f>
        <v>1635.01</v>
      </c>
      <c r="N3953" s="5">
        <f t="shared" si="61"/>
        <v>8175.05</v>
      </c>
    </row>
    <row r="3954" spans="1:14" x14ac:dyDescent="0.3">
      <c r="A3954" t="s">
        <v>4810</v>
      </c>
      <c r="B3954" s="2">
        <v>45213</v>
      </c>
      <c r="C3954" t="s">
        <v>657</v>
      </c>
      <c r="D3954" t="s">
        <v>718</v>
      </c>
      <c r="E3954" t="s">
        <v>831</v>
      </c>
      <c r="F3954">
        <v>3</v>
      </c>
      <c r="G3954">
        <v>0</v>
      </c>
      <c r="H3954" t="s">
        <v>858</v>
      </c>
      <c r="I3954" t="str">
        <f>VLOOKUP(C3954,Customers!A:C,2,FALSE)&amp;" "&amp;VLOOKUP(C3954,Customers!A:C,3,FALSE)</f>
        <v>Vicki Guzman</v>
      </c>
      <c r="J3954" t="str">
        <f>VLOOKUP(D3954,Products!A:C,2,FALSE)</f>
        <v>Here Footwear</v>
      </c>
      <c r="K3954" t="str">
        <f>VLOOKUP(D3954,Products!A:C,3,FALSE)</f>
        <v>Fashion</v>
      </c>
      <c r="L3954" t="str">
        <f>VLOOKUP(E3954,Stores!A:B,2,FALSE)</f>
        <v>MegaMart Jimenezborough</v>
      </c>
      <c r="M3954">
        <f>VLOOKUP(D3954,Products!A:E,5,FALSE)</f>
        <v>337.63</v>
      </c>
      <c r="N3954" s="5">
        <f t="shared" si="61"/>
        <v>1012.89</v>
      </c>
    </row>
    <row r="3955" spans="1:14" x14ac:dyDescent="0.3">
      <c r="A3955" t="s">
        <v>4811</v>
      </c>
      <c r="B3955" s="2">
        <v>45232</v>
      </c>
      <c r="C3955" t="s">
        <v>112</v>
      </c>
      <c r="D3955" t="s">
        <v>810</v>
      </c>
      <c r="E3955" t="s">
        <v>831</v>
      </c>
      <c r="F3955">
        <v>5</v>
      </c>
      <c r="G3955">
        <v>0.15</v>
      </c>
      <c r="H3955" t="s">
        <v>861</v>
      </c>
      <c r="I3955" t="str">
        <f>VLOOKUP(C3955,Customers!A:C,2,FALSE)&amp;" "&amp;VLOOKUP(C3955,Customers!A:C,3,FALSE)</f>
        <v>John Carr</v>
      </c>
      <c r="J3955" t="str">
        <f>VLOOKUP(D3955,Products!A:C,2,FALSE)</f>
        <v>Maybe Clothing</v>
      </c>
      <c r="K3955" t="str">
        <f>VLOOKUP(D3955,Products!A:C,3,FALSE)</f>
        <v>Fashion</v>
      </c>
      <c r="L3955" t="str">
        <f>VLOOKUP(E3955,Stores!A:B,2,FALSE)</f>
        <v>MegaMart Jimenezborough</v>
      </c>
      <c r="M3955">
        <f>VLOOKUP(D3955,Products!A:E,5,FALSE)</f>
        <v>453.62</v>
      </c>
      <c r="N3955" s="5">
        <f t="shared" si="61"/>
        <v>1927.8849999999998</v>
      </c>
    </row>
    <row r="3956" spans="1:14" x14ac:dyDescent="0.3">
      <c r="A3956" t="s">
        <v>4812</v>
      </c>
      <c r="B3956" s="2">
        <v>45633</v>
      </c>
      <c r="C3956" t="s">
        <v>503</v>
      </c>
      <c r="D3956" t="s">
        <v>790</v>
      </c>
      <c r="E3956" t="s">
        <v>839</v>
      </c>
      <c r="F3956">
        <v>3</v>
      </c>
      <c r="G3956">
        <v>0</v>
      </c>
      <c r="H3956" t="s">
        <v>855</v>
      </c>
      <c r="I3956" t="str">
        <f>VLOOKUP(C3956,Customers!A:C,2,FALSE)&amp;" "&amp;VLOOKUP(C3956,Customers!A:C,3,FALSE)</f>
        <v>Breanna Moore</v>
      </c>
      <c r="J3956" t="str">
        <f>VLOOKUP(D3956,Products!A:C,2,FALSE)</f>
        <v>Difficult Vegetables</v>
      </c>
      <c r="K3956" t="str">
        <f>VLOOKUP(D3956,Products!A:C,3,FALSE)</f>
        <v>Groceries</v>
      </c>
      <c r="L3956" t="str">
        <f>VLOOKUP(E3956,Stores!A:B,2,FALSE)</f>
        <v>MegaMart New Michele</v>
      </c>
      <c r="M3956">
        <f>VLOOKUP(D3956,Products!A:E,5,FALSE)</f>
        <v>304.70999999999998</v>
      </c>
      <c r="N3956" s="5">
        <f t="shared" si="61"/>
        <v>914.12999999999988</v>
      </c>
    </row>
    <row r="3957" spans="1:14" x14ac:dyDescent="0.3">
      <c r="A3957" t="s">
        <v>4813</v>
      </c>
      <c r="B3957" s="2">
        <v>45602</v>
      </c>
      <c r="C3957" t="s">
        <v>531</v>
      </c>
      <c r="D3957" t="s">
        <v>824</v>
      </c>
      <c r="E3957" t="s">
        <v>842</v>
      </c>
      <c r="F3957">
        <v>4</v>
      </c>
      <c r="G3957">
        <v>0.05</v>
      </c>
      <c r="H3957" t="s">
        <v>865</v>
      </c>
      <c r="I3957" t="str">
        <f>VLOOKUP(C3957,Customers!A:C,2,FALSE)&amp;" "&amp;VLOOKUP(C3957,Customers!A:C,3,FALSE)</f>
        <v>John Johnson</v>
      </c>
      <c r="J3957" t="str">
        <f>VLOOKUP(D3957,Products!A:C,2,FALSE)</f>
        <v>Possible Watches</v>
      </c>
      <c r="K3957" t="str">
        <f>VLOOKUP(D3957,Products!A:C,3,FALSE)</f>
        <v>Fashion</v>
      </c>
      <c r="L3957" t="str">
        <f>VLOOKUP(E3957,Stores!A:B,2,FALSE)</f>
        <v>MegaMart Brianahaven</v>
      </c>
      <c r="M3957">
        <f>VLOOKUP(D3957,Products!A:E,5,FALSE)</f>
        <v>388.26</v>
      </c>
      <c r="N3957" s="5">
        <f t="shared" si="61"/>
        <v>1475.3879999999999</v>
      </c>
    </row>
    <row r="3958" spans="1:14" x14ac:dyDescent="0.3">
      <c r="A3958" t="s">
        <v>4814</v>
      </c>
      <c r="B3958" s="2">
        <v>45677</v>
      </c>
      <c r="C3958" t="s">
        <v>368</v>
      </c>
      <c r="D3958" t="s">
        <v>759</v>
      </c>
      <c r="E3958" t="s">
        <v>846</v>
      </c>
      <c r="F3958">
        <v>5</v>
      </c>
      <c r="G3958">
        <v>0</v>
      </c>
      <c r="H3958" t="s">
        <v>865</v>
      </c>
      <c r="I3958" t="str">
        <f>VLOOKUP(C3958,Customers!A:C,2,FALSE)&amp;" "&amp;VLOOKUP(C3958,Customers!A:C,3,FALSE)</f>
        <v>Lisa Vega</v>
      </c>
      <c r="J3958" t="str">
        <f>VLOOKUP(D3958,Products!A:C,2,FALSE)</f>
        <v>Democratic Smartphone</v>
      </c>
      <c r="K3958" t="str">
        <f>VLOOKUP(D3958,Products!A:C,3,FALSE)</f>
        <v>Electronics</v>
      </c>
      <c r="L3958" t="str">
        <f>VLOOKUP(E3958,Stores!A:B,2,FALSE)</f>
        <v>MegaMart Johnmouth</v>
      </c>
      <c r="M3958">
        <f>VLOOKUP(D3958,Products!A:E,5,FALSE)</f>
        <v>1079.8900000000001</v>
      </c>
      <c r="N3958" s="5">
        <f t="shared" si="61"/>
        <v>5399.4500000000007</v>
      </c>
    </row>
    <row r="3959" spans="1:14" x14ac:dyDescent="0.3">
      <c r="A3959" t="s">
        <v>4815</v>
      </c>
      <c r="B3959" s="2">
        <v>45767</v>
      </c>
      <c r="C3959" t="s">
        <v>680</v>
      </c>
      <c r="D3959" t="s">
        <v>747</v>
      </c>
      <c r="E3959" t="s">
        <v>839</v>
      </c>
      <c r="F3959">
        <v>2</v>
      </c>
      <c r="G3959">
        <v>0.15</v>
      </c>
      <c r="H3959" t="s">
        <v>861</v>
      </c>
      <c r="I3959" t="str">
        <f>VLOOKUP(C3959,Customers!A:C,2,FALSE)&amp;" "&amp;VLOOKUP(C3959,Customers!A:C,3,FALSE)</f>
        <v>Donald Meza</v>
      </c>
      <c r="J3959" t="str">
        <f>VLOOKUP(D3959,Products!A:C,2,FALSE)</f>
        <v>World Watches</v>
      </c>
      <c r="K3959" t="str">
        <f>VLOOKUP(D3959,Products!A:C,3,FALSE)</f>
        <v>Fashion</v>
      </c>
      <c r="L3959" t="str">
        <f>VLOOKUP(E3959,Stores!A:B,2,FALSE)</f>
        <v>MegaMart New Michele</v>
      </c>
      <c r="M3959">
        <f>VLOOKUP(D3959,Products!A:E,5,FALSE)</f>
        <v>1134.8</v>
      </c>
      <c r="N3959" s="5">
        <f t="shared" si="61"/>
        <v>1929.1599999999999</v>
      </c>
    </row>
    <row r="3960" spans="1:14" x14ac:dyDescent="0.3">
      <c r="A3960" t="s">
        <v>4816</v>
      </c>
      <c r="B3960" s="2">
        <v>45642</v>
      </c>
      <c r="C3960" t="s">
        <v>74</v>
      </c>
      <c r="D3960" t="s">
        <v>778</v>
      </c>
      <c r="E3960" t="s">
        <v>846</v>
      </c>
      <c r="F3960">
        <v>4</v>
      </c>
      <c r="G3960">
        <v>0.05</v>
      </c>
      <c r="H3960" t="s">
        <v>858</v>
      </c>
      <c r="I3960" t="str">
        <f>VLOOKUP(C3960,Customers!A:C,2,FALSE)&amp;" "&amp;VLOOKUP(C3960,Customers!A:C,3,FALSE)</f>
        <v>Breanna Davis</v>
      </c>
      <c r="J3960" t="str">
        <f>VLOOKUP(D3960,Products!A:C,2,FALSE)</f>
        <v>Behavior Dairy</v>
      </c>
      <c r="K3960" t="str">
        <f>VLOOKUP(D3960,Products!A:C,3,FALSE)</f>
        <v>Groceries</v>
      </c>
      <c r="L3960" t="str">
        <f>VLOOKUP(E3960,Stores!A:B,2,FALSE)</f>
        <v>MegaMart Johnmouth</v>
      </c>
      <c r="M3960">
        <f>VLOOKUP(D3960,Products!A:E,5,FALSE)</f>
        <v>1015.76</v>
      </c>
      <c r="N3960" s="5">
        <f t="shared" si="61"/>
        <v>3859.8879999999999</v>
      </c>
    </row>
    <row r="3961" spans="1:14" x14ac:dyDescent="0.3">
      <c r="A3961" t="s">
        <v>4817</v>
      </c>
      <c r="B3961" s="2">
        <v>45342</v>
      </c>
      <c r="C3961" t="s">
        <v>175</v>
      </c>
      <c r="D3961" t="s">
        <v>782</v>
      </c>
      <c r="E3961" t="s">
        <v>846</v>
      </c>
      <c r="F3961">
        <v>3</v>
      </c>
      <c r="G3961">
        <v>0.1</v>
      </c>
      <c r="H3961" t="s">
        <v>855</v>
      </c>
      <c r="I3961" t="str">
        <f>VLOOKUP(C3961,Customers!A:C,2,FALSE)&amp;" "&amp;VLOOKUP(C3961,Customers!A:C,3,FALSE)</f>
        <v>Kelly Shaw</v>
      </c>
      <c r="J3961" t="str">
        <f>VLOOKUP(D3961,Products!A:C,2,FALSE)</f>
        <v>Deal Smartphone</v>
      </c>
      <c r="K3961" t="str">
        <f>VLOOKUP(D3961,Products!A:C,3,FALSE)</f>
        <v>Electronics</v>
      </c>
      <c r="L3961" t="str">
        <f>VLOOKUP(E3961,Stores!A:B,2,FALSE)</f>
        <v>MegaMart Johnmouth</v>
      </c>
      <c r="M3961">
        <f>VLOOKUP(D3961,Products!A:E,5,FALSE)</f>
        <v>673.78</v>
      </c>
      <c r="N3961" s="5">
        <f t="shared" si="61"/>
        <v>1819.2059999999999</v>
      </c>
    </row>
    <row r="3962" spans="1:14" x14ac:dyDescent="0.3">
      <c r="A3962" t="s">
        <v>4818</v>
      </c>
      <c r="B3962" s="2">
        <v>45271</v>
      </c>
      <c r="C3962" t="s">
        <v>59</v>
      </c>
      <c r="D3962" t="s">
        <v>745</v>
      </c>
      <c r="E3962" t="s">
        <v>831</v>
      </c>
      <c r="F3962">
        <v>5</v>
      </c>
      <c r="G3962">
        <v>0.05</v>
      </c>
      <c r="H3962" t="s">
        <v>861</v>
      </c>
      <c r="I3962" t="str">
        <f>VLOOKUP(C3962,Customers!A:C,2,FALSE)&amp;" "&amp;VLOOKUP(C3962,Customers!A:C,3,FALSE)</f>
        <v>Brittany Green</v>
      </c>
      <c r="J3962" t="str">
        <f>VLOOKUP(D3962,Products!A:C,2,FALSE)</f>
        <v>Above Camera</v>
      </c>
      <c r="K3962" t="str">
        <f>VLOOKUP(D3962,Products!A:C,3,FALSE)</f>
        <v>Electronics</v>
      </c>
      <c r="L3962" t="str">
        <f>VLOOKUP(E3962,Stores!A:B,2,FALSE)</f>
        <v>MegaMart Jimenezborough</v>
      </c>
      <c r="M3962">
        <f>VLOOKUP(D3962,Products!A:E,5,FALSE)</f>
        <v>1193.0899999999999</v>
      </c>
      <c r="N3962" s="5">
        <f t="shared" si="61"/>
        <v>5667.1774999999998</v>
      </c>
    </row>
    <row r="3963" spans="1:14" x14ac:dyDescent="0.3">
      <c r="A3963" t="s">
        <v>4819</v>
      </c>
      <c r="B3963" s="2">
        <v>45323</v>
      </c>
      <c r="C3963" t="s">
        <v>653</v>
      </c>
      <c r="D3963" t="s">
        <v>780</v>
      </c>
      <c r="E3963" t="s">
        <v>842</v>
      </c>
      <c r="F3963">
        <v>2</v>
      </c>
      <c r="G3963">
        <v>0</v>
      </c>
      <c r="H3963" t="s">
        <v>865</v>
      </c>
      <c r="I3963" t="str">
        <f>VLOOKUP(C3963,Customers!A:C,2,FALSE)&amp;" "&amp;VLOOKUP(C3963,Customers!A:C,3,FALSE)</f>
        <v>Joe Vincent</v>
      </c>
      <c r="J3963" t="str">
        <f>VLOOKUP(D3963,Products!A:C,2,FALSE)</f>
        <v>Hospital Smartphone</v>
      </c>
      <c r="K3963" t="str">
        <f>VLOOKUP(D3963,Products!A:C,3,FALSE)</f>
        <v>Electronics</v>
      </c>
      <c r="L3963" t="str">
        <f>VLOOKUP(E3963,Stores!A:B,2,FALSE)</f>
        <v>MegaMart Brianahaven</v>
      </c>
      <c r="M3963">
        <f>VLOOKUP(D3963,Products!A:E,5,FALSE)</f>
        <v>1272.23</v>
      </c>
      <c r="N3963" s="5">
        <f t="shared" si="61"/>
        <v>2544.46</v>
      </c>
    </row>
    <row r="3964" spans="1:14" x14ac:dyDescent="0.3">
      <c r="A3964" t="s">
        <v>4820</v>
      </c>
      <c r="B3964" s="2">
        <v>45454</v>
      </c>
      <c r="C3964" t="s">
        <v>179</v>
      </c>
      <c r="D3964" t="s">
        <v>725</v>
      </c>
      <c r="E3964" t="s">
        <v>846</v>
      </c>
      <c r="F3964">
        <v>2</v>
      </c>
      <c r="G3964">
        <v>0.1</v>
      </c>
      <c r="H3964" t="s">
        <v>861</v>
      </c>
      <c r="I3964" t="str">
        <f>VLOOKUP(C3964,Customers!A:C,2,FALSE)&amp;" "&amp;VLOOKUP(C3964,Customers!A:C,3,FALSE)</f>
        <v>Dennis Poole</v>
      </c>
      <c r="J3964" t="str">
        <f>VLOOKUP(D3964,Products!A:C,2,FALSE)</f>
        <v>Knowledge Bags</v>
      </c>
      <c r="K3964" t="str">
        <f>VLOOKUP(D3964,Products!A:C,3,FALSE)</f>
        <v>Fashion</v>
      </c>
      <c r="L3964" t="str">
        <f>VLOOKUP(E3964,Stores!A:B,2,FALSE)</f>
        <v>MegaMart Johnmouth</v>
      </c>
      <c r="M3964">
        <f>VLOOKUP(D3964,Products!A:E,5,FALSE)</f>
        <v>1396.22</v>
      </c>
      <c r="N3964" s="5">
        <f t="shared" si="61"/>
        <v>2513.1959999999999</v>
      </c>
    </row>
    <row r="3965" spans="1:14" x14ac:dyDescent="0.3">
      <c r="A3965" t="s">
        <v>4821</v>
      </c>
      <c r="B3965" s="2">
        <v>45504</v>
      </c>
      <c r="C3965" t="s">
        <v>577</v>
      </c>
      <c r="D3965" t="s">
        <v>755</v>
      </c>
      <c r="E3965" t="s">
        <v>835</v>
      </c>
      <c r="F3965">
        <v>2</v>
      </c>
      <c r="G3965">
        <v>0.05</v>
      </c>
      <c r="H3965" t="s">
        <v>865</v>
      </c>
      <c r="I3965" t="str">
        <f>VLOOKUP(C3965,Customers!A:C,2,FALSE)&amp;" "&amp;VLOOKUP(C3965,Customers!A:C,3,FALSE)</f>
        <v>Michael Perez</v>
      </c>
      <c r="J3965" t="str">
        <f>VLOOKUP(D3965,Products!A:C,2,FALSE)</f>
        <v>House Accessories</v>
      </c>
      <c r="K3965" t="str">
        <f>VLOOKUP(D3965,Products!A:C,3,FALSE)</f>
        <v>Fashion</v>
      </c>
      <c r="L3965" t="str">
        <f>VLOOKUP(E3965,Stores!A:B,2,FALSE)</f>
        <v>MegaMart Peckmouth</v>
      </c>
      <c r="M3965">
        <f>VLOOKUP(D3965,Products!A:E,5,FALSE)</f>
        <v>1858.75</v>
      </c>
      <c r="N3965" s="5">
        <f t="shared" si="61"/>
        <v>3531.625</v>
      </c>
    </row>
    <row r="3966" spans="1:14" x14ac:dyDescent="0.3">
      <c r="A3966" t="s">
        <v>4822</v>
      </c>
      <c r="B3966" s="2">
        <v>45583</v>
      </c>
      <c r="C3966" t="s">
        <v>247</v>
      </c>
      <c r="D3966" t="s">
        <v>772</v>
      </c>
      <c r="E3966" t="s">
        <v>831</v>
      </c>
      <c r="F3966">
        <v>3</v>
      </c>
      <c r="G3966">
        <v>0.1</v>
      </c>
      <c r="H3966" t="s">
        <v>858</v>
      </c>
      <c r="I3966" t="str">
        <f>VLOOKUP(C3966,Customers!A:C,2,FALSE)&amp;" "&amp;VLOOKUP(C3966,Customers!A:C,3,FALSE)</f>
        <v>Scott Duke</v>
      </c>
      <c r="J3966" t="str">
        <f>VLOOKUP(D3966,Products!A:C,2,FALSE)</f>
        <v>And Footwear</v>
      </c>
      <c r="K3966" t="str">
        <f>VLOOKUP(D3966,Products!A:C,3,FALSE)</f>
        <v>Fashion</v>
      </c>
      <c r="L3966" t="str">
        <f>VLOOKUP(E3966,Stores!A:B,2,FALSE)</f>
        <v>MegaMart Jimenezborough</v>
      </c>
      <c r="M3966">
        <f>VLOOKUP(D3966,Products!A:E,5,FALSE)</f>
        <v>1878.47</v>
      </c>
      <c r="N3966" s="5">
        <f t="shared" si="61"/>
        <v>5071.8689999999997</v>
      </c>
    </row>
    <row r="3967" spans="1:14" x14ac:dyDescent="0.3">
      <c r="A3967" t="s">
        <v>4823</v>
      </c>
      <c r="B3967" s="2">
        <v>45479</v>
      </c>
      <c r="C3967" t="s">
        <v>274</v>
      </c>
      <c r="D3967" t="s">
        <v>774</v>
      </c>
      <c r="E3967" t="s">
        <v>835</v>
      </c>
      <c r="F3967">
        <v>2</v>
      </c>
      <c r="G3967">
        <v>0</v>
      </c>
      <c r="H3967" t="s">
        <v>865</v>
      </c>
      <c r="I3967" t="str">
        <f>VLOOKUP(C3967,Customers!A:C,2,FALSE)&amp;" "&amp;VLOOKUP(C3967,Customers!A:C,3,FALSE)</f>
        <v>Eric Watkins</v>
      </c>
      <c r="J3967" t="str">
        <f>VLOOKUP(D3967,Products!A:C,2,FALSE)</f>
        <v>Him Smartphone</v>
      </c>
      <c r="K3967" t="str">
        <f>VLOOKUP(D3967,Products!A:C,3,FALSE)</f>
        <v>Electronics</v>
      </c>
      <c r="L3967" t="str">
        <f>VLOOKUP(E3967,Stores!A:B,2,FALSE)</f>
        <v>MegaMart Peckmouth</v>
      </c>
      <c r="M3967">
        <f>VLOOKUP(D3967,Products!A:E,5,FALSE)</f>
        <v>1487.41</v>
      </c>
      <c r="N3967" s="5">
        <f t="shared" si="61"/>
        <v>2974.82</v>
      </c>
    </row>
    <row r="3968" spans="1:14" x14ac:dyDescent="0.3">
      <c r="A3968" t="s">
        <v>4824</v>
      </c>
      <c r="B3968" s="2">
        <v>45575</v>
      </c>
      <c r="C3968" t="s">
        <v>403</v>
      </c>
      <c r="D3968" t="s">
        <v>722</v>
      </c>
      <c r="E3968" t="s">
        <v>839</v>
      </c>
      <c r="F3968">
        <v>5</v>
      </c>
      <c r="G3968">
        <v>0.05</v>
      </c>
      <c r="H3968" t="s">
        <v>865</v>
      </c>
      <c r="I3968" t="str">
        <f>VLOOKUP(C3968,Customers!A:C,2,FALSE)&amp;" "&amp;VLOOKUP(C3968,Customers!A:C,3,FALSE)</f>
        <v>Samantha Hill</v>
      </c>
      <c r="J3968" t="str">
        <f>VLOOKUP(D3968,Products!A:C,2,FALSE)</f>
        <v>Four Accessories</v>
      </c>
      <c r="K3968" t="str">
        <f>VLOOKUP(D3968,Products!A:C,3,FALSE)</f>
        <v>Fashion</v>
      </c>
      <c r="L3968" t="str">
        <f>VLOOKUP(E3968,Stores!A:B,2,FALSE)</f>
        <v>MegaMart New Michele</v>
      </c>
      <c r="M3968">
        <f>VLOOKUP(D3968,Products!A:E,5,FALSE)</f>
        <v>1853.77</v>
      </c>
      <c r="N3968" s="5">
        <f t="shared" si="61"/>
        <v>8805.4074999999993</v>
      </c>
    </row>
    <row r="3969" spans="1:14" x14ac:dyDescent="0.3">
      <c r="A3969" t="s">
        <v>4825</v>
      </c>
      <c r="B3969" s="2">
        <v>45772</v>
      </c>
      <c r="C3969" t="s">
        <v>615</v>
      </c>
      <c r="D3969" t="s">
        <v>718</v>
      </c>
      <c r="E3969" t="s">
        <v>835</v>
      </c>
      <c r="F3969">
        <v>1</v>
      </c>
      <c r="G3969">
        <v>0.05</v>
      </c>
      <c r="H3969" t="s">
        <v>865</v>
      </c>
      <c r="I3969" t="str">
        <f>VLOOKUP(C3969,Customers!A:C,2,FALSE)&amp;" "&amp;VLOOKUP(C3969,Customers!A:C,3,FALSE)</f>
        <v>Lisa Ruiz</v>
      </c>
      <c r="J3969" t="str">
        <f>VLOOKUP(D3969,Products!A:C,2,FALSE)</f>
        <v>Here Footwear</v>
      </c>
      <c r="K3969" t="str">
        <f>VLOOKUP(D3969,Products!A:C,3,FALSE)</f>
        <v>Fashion</v>
      </c>
      <c r="L3969" t="str">
        <f>VLOOKUP(E3969,Stores!A:B,2,FALSE)</f>
        <v>MegaMart Peckmouth</v>
      </c>
      <c r="M3969">
        <f>VLOOKUP(D3969,Products!A:E,5,FALSE)</f>
        <v>337.63</v>
      </c>
      <c r="N3969" s="5">
        <f t="shared" si="61"/>
        <v>320.74849999999998</v>
      </c>
    </row>
    <row r="3970" spans="1:14" x14ac:dyDescent="0.3">
      <c r="A3970" t="s">
        <v>4826</v>
      </c>
      <c r="B3970" s="2">
        <v>45259</v>
      </c>
      <c r="C3970" t="s">
        <v>582</v>
      </c>
      <c r="D3970" t="s">
        <v>778</v>
      </c>
      <c r="E3970" t="s">
        <v>835</v>
      </c>
      <c r="F3970">
        <v>1</v>
      </c>
      <c r="G3970">
        <v>0.1</v>
      </c>
      <c r="H3970" t="s">
        <v>861</v>
      </c>
      <c r="I3970" t="str">
        <f>VLOOKUP(C3970,Customers!A:C,2,FALSE)&amp;" "&amp;VLOOKUP(C3970,Customers!A:C,3,FALSE)</f>
        <v>Erin Rogers</v>
      </c>
      <c r="J3970" t="str">
        <f>VLOOKUP(D3970,Products!A:C,2,FALSE)</f>
        <v>Behavior Dairy</v>
      </c>
      <c r="K3970" t="str">
        <f>VLOOKUP(D3970,Products!A:C,3,FALSE)</f>
        <v>Groceries</v>
      </c>
      <c r="L3970" t="str">
        <f>VLOOKUP(E3970,Stores!A:B,2,FALSE)</f>
        <v>MegaMart Peckmouth</v>
      </c>
      <c r="M3970">
        <f>VLOOKUP(D3970,Products!A:E,5,FALSE)</f>
        <v>1015.76</v>
      </c>
      <c r="N3970" s="5">
        <f t="shared" si="61"/>
        <v>914.18399999999997</v>
      </c>
    </row>
    <row r="3971" spans="1:14" x14ac:dyDescent="0.3">
      <c r="A3971" t="s">
        <v>4827</v>
      </c>
      <c r="B3971" s="2">
        <v>45385</v>
      </c>
      <c r="C3971" t="s">
        <v>221</v>
      </c>
      <c r="D3971" t="s">
        <v>780</v>
      </c>
      <c r="E3971" t="s">
        <v>835</v>
      </c>
      <c r="F3971">
        <v>2</v>
      </c>
      <c r="G3971">
        <v>0.15</v>
      </c>
      <c r="H3971" t="s">
        <v>858</v>
      </c>
      <c r="I3971" t="str">
        <f>VLOOKUP(C3971,Customers!A:C,2,FALSE)&amp;" "&amp;VLOOKUP(C3971,Customers!A:C,3,FALSE)</f>
        <v>Julie Gibson</v>
      </c>
      <c r="J3971" t="str">
        <f>VLOOKUP(D3971,Products!A:C,2,FALSE)</f>
        <v>Hospital Smartphone</v>
      </c>
      <c r="K3971" t="str">
        <f>VLOOKUP(D3971,Products!A:C,3,FALSE)</f>
        <v>Electronics</v>
      </c>
      <c r="L3971" t="str">
        <f>VLOOKUP(E3971,Stores!A:B,2,FALSE)</f>
        <v>MegaMart Peckmouth</v>
      </c>
      <c r="M3971">
        <f>VLOOKUP(D3971,Products!A:E,5,FALSE)</f>
        <v>1272.23</v>
      </c>
      <c r="N3971" s="5">
        <f t="shared" ref="N3971:N4034" si="62">F3971*M3971*(1-G3971)</f>
        <v>2162.7910000000002</v>
      </c>
    </row>
    <row r="3972" spans="1:14" x14ac:dyDescent="0.3">
      <c r="A3972" t="s">
        <v>4828</v>
      </c>
      <c r="B3972" s="2">
        <v>45274</v>
      </c>
      <c r="C3972" t="s">
        <v>347</v>
      </c>
      <c r="D3972" t="s">
        <v>784</v>
      </c>
      <c r="E3972" t="s">
        <v>835</v>
      </c>
      <c r="F3972">
        <v>1</v>
      </c>
      <c r="G3972">
        <v>0.05</v>
      </c>
      <c r="H3972" t="s">
        <v>855</v>
      </c>
      <c r="I3972" t="str">
        <f>VLOOKUP(C3972,Customers!A:C,2,FALSE)&amp;" "&amp;VLOOKUP(C3972,Customers!A:C,3,FALSE)</f>
        <v>Lindsey Holder</v>
      </c>
      <c r="J3972" t="str">
        <f>VLOOKUP(D3972,Products!A:C,2,FALSE)</f>
        <v>Road Clothing</v>
      </c>
      <c r="K3972" t="str">
        <f>VLOOKUP(D3972,Products!A:C,3,FALSE)</f>
        <v>Fashion</v>
      </c>
      <c r="L3972" t="str">
        <f>VLOOKUP(E3972,Stores!A:B,2,FALSE)</f>
        <v>MegaMart Peckmouth</v>
      </c>
      <c r="M3972">
        <f>VLOOKUP(D3972,Products!A:E,5,FALSE)</f>
        <v>1485.05</v>
      </c>
      <c r="N3972" s="5">
        <f t="shared" si="62"/>
        <v>1410.7974999999999</v>
      </c>
    </row>
    <row r="3973" spans="1:14" x14ac:dyDescent="0.3">
      <c r="A3973" t="s">
        <v>4829</v>
      </c>
      <c r="B3973" s="2">
        <v>45853</v>
      </c>
      <c r="C3973" t="s">
        <v>650</v>
      </c>
      <c r="D3973" t="s">
        <v>772</v>
      </c>
      <c r="E3973" t="s">
        <v>835</v>
      </c>
      <c r="F3973">
        <v>1</v>
      </c>
      <c r="G3973">
        <v>0.05</v>
      </c>
      <c r="H3973" t="s">
        <v>865</v>
      </c>
      <c r="I3973" t="str">
        <f>VLOOKUP(C3973,Customers!A:C,2,FALSE)&amp;" "&amp;VLOOKUP(C3973,Customers!A:C,3,FALSE)</f>
        <v>Daniel Mcintyre</v>
      </c>
      <c r="J3973" t="str">
        <f>VLOOKUP(D3973,Products!A:C,2,FALSE)</f>
        <v>And Footwear</v>
      </c>
      <c r="K3973" t="str">
        <f>VLOOKUP(D3973,Products!A:C,3,FALSE)</f>
        <v>Fashion</v>
      </c>
      <c r="L3973" t="str">
        <f>VLOOKUP(E3973,Stores!A:B,2,FALSE)</f>
        <v>MegaMart Peckmouth</v>
      </c>
      <c r="M3973">
        <f>VLOOKUP(D3973,Products!A:E,5,FALSE)</f>
        <v>1878.47</v>
      </c>
      <c r="N3973" s="5">
        <f t="shared" si="62"/>
        <v>1784.5464999999999</v>
      </c>
    </row>
    <row r="3974" spans="1:14" x14ac:dyDescent="0.3">
      <c r="A3974" t="s">
        <v>4830</v>
      </c>
      <c r="B3974" s="2">
        <v>45544</v>
      </c>
      <c r="C3974" t="s">
        <v>399</v>
      </c>
      <c r="D3974" t="s">
        <v>816</v>
      </c>
      <c r="E3974" t="s">
        <v>839</v>
      </c>
      <c r="F3974">
        <v>1</v>
      </c>
      <c r="G3974">
        <v>0.15</v>
      </c>
      <c r="H3974" t="s">
        <v>855</v>
      </c>
      <c r="I3974" t="str">
        <f>VLOOKUP(C3974,Customers!A:C,2,FALSE)&amp;" "&amp;VLOOKUP(C3974,Customers!A:C,3,FALSE)</f>
        <v>Victoria Hansen</v>
      </c>
      <c r="J3974" t="str">
        <f>VLOOKUP(D3974,Products!A:C,2,FALSE)</f>
        <v>Set Dairy</v>
      </c>
      <c r="K3974" t="str">
        <f>VLOOKUP(D3974,Products!A:C,3,FALSE)</f>
        <v>Groceries</v>
      </c>
      <c r="L3974" t="str">
        <f>VLOOKUP(E3974,Stores!A:B,2,FALSE)</f>
        <v>MegaMart New Michele</v>
      </c>
      <c r="M3974">
        <f>VLOOKUP(D3974,Products!A:E,5,FALSE)</f>
        <v>1879.08</v>
      </c>
      <c r="N3974" s="5">
        <f t="shared" si="62"/>
        <v>1597.2179999999998</v>
      </c>
    </row>
    <row r="3975" spans="1:14" x14ac:dyDescent="0.3">
      <c r="A3975" t="s">
        <v>4831</v>
      </c>
      <c r="B3975" s="2">
        <v>45269</v>
      </c>
      <c r="C3975" t="s">
        <v>382</v>
      </c>
      <c r="D3975" t="s">
        <v>750</v>
      </c>
      <c r="E3975" t="s">
        <v>835</v>
      </c>
      <c r="F3975">
        <v>1</v>
      </c>
      <c r="G3975">
        <v>0</v>
      </c>
      <c r="H3975" t="s">
        <v>855</v>
      </c>
      <c r="I3975" t="str">
        <f>VLOOKUP(C3975,Customers!A:C,2,FALSE)&amp;" "&amp;VLOOKUP(C3975,Customers!A:C,3,FALSE)</f>
        <v>Carolyn Perez</v>
      </c>
      <c r="J3975" t="str">
        <f>VLOOKUP(D3975,Products!A:C,2,FALSE)</f>
        <v>Add Clothing</v>
      </c>
      <c r="K3975" t="str">
        <f>VLOOKUP(D3975,Products!A:C,3,FALSE)</f>
        <v>Fashion</v>
      </c>
      <c r="L3975" t="str">
        <f>VLOOKUP(E3975,Stores!A:B,2,FALSE)</f>
        <v>MegaMart Peckmouth</v>
      </c>
      <c r="M3975">
        <f>VLOOKUP(D3975,Products!A:E,5,FALSE)</f>
        <v>1342.75</v>
      </c>
      <c r="N3975" s="5">
        <f t="shared" si="62"/>
        <v>1342.75</v>
      </c>
    </row>
    <row r="3976" spans="1:14" x14ac:dyDescent="0.3">
      <c r="A3976" t="s">
        <v>4832</v>
      </c>
      <c r="B3976" s="2">
        <v>45791</v>
      </c>
      <c r="C3976" t="s">
        <v>650</v>
      </c>
      <c r="D3976" t="s">
        <v>764</v>
      </c>
      <c r="E3976" t="s">
        <v>846</v>
      </c>
      <c r="F3976">
        <v>2</v>
      </c>
      <c r="G3976">
        <v>0.15</v>
      </c>
      <c r="H3976" t="s">
        <v>858</v>
      </c>
      <c r="I3976" t="str">
        <f>VLOOKUP(C3976,Customers!A:C,2,FALSE)&amp;" "&amp;VLOOKUP(C3976,Customers!A:C,3,FALSE)</f>
        <v>Daniel Mcintyre</v>
      </c>
      <c r="J3976" t="str">
        <f>VLOOKUP(D3976,Products!A:C,2,FALSE)</f>
        <v>Simple Accessories</v>
      </c>
      <c r="K3976" t="str">
        <f>VLOOKUP(D3976,Products!A:C,3,FALSE)</f>
        <v>Fashion</v>
      </c>
      <c r="L3976" t="str">
        <f>VLOOKUP(E3976,Stores!A:B,2,FALSE)</f>
        <v>MegaMart Johnmouth</v>
      </c>
      <c r="M3976">
        <f>VLOOKUP(D3976,Products!A:E,5,FALSE)</f>
        <v>323.92</v>
      </c>
      <c r="N3976" s="5">
        <f t="shared" si="62"/>
        <v>550.66399999999999</v>
      </c>
    </row>
    <row r="3977" spans="1:14" x14ac:dyDescent="0.3">
      <c r="A3977" t="s">
        <v>4833</v>
      </c>
      <c r="B3977" s="2">
        <v>45841</v>
      </c>
      <c r="C3977" t="s">
        <v>438</v>
      </c>
      <c r="D3977" t="s">
        <v>798</v>
      </c>
      <c r="E3977" t="s">
        <v>839</v>
      </c>
      <c r="F3977">
        <v>4</v>
      </c>
      <c r="G3977">
        <v>0</v>
      </c>
      <c r="H3977" t="s">
        <v>861</v>
      </c>
      <c r="I3977" t="str">
        <f>VLOOKUP(C3977,Customers!A:C,2,FALSE)&amp;" "&amp;VLOOKUP(C3977,Customers!A:C,3,FALSE)</f>
        <v>Gina Bradford</v>
      </c>
      <c r="J3977" t="str">
        <f>VLOOKUP(D3977,Products!A:C,2,FALSE)</f>
        <v>New Watches</v>
      </c>
      <c r="K3977" t="str">
        <f>VLOOKUP(D3977,Products!A:C,3,FALSE)</f>
        <v>Fashion</v>
      </c>
      <c r="L3977" t="str">
        <f>VLOOKUP(E3977,Stores!A:B,2,FALSE)</f>
        <v>MegaMart New Michele</v>
      </c>
      <c r="M3977">
        <f>VLOOKUP(D3977,Products!A:E,5,FALSE)</f>
        <v>1501.46</v>
      </c>
      <c r="N3977" s="5">
        <f t="shared" si="62"/>
        <v>6005.84</v>
      </c>
    </row>
    <row r="3978" spans="1:14" x14ac:dyDescent="0.3">
      <c r="A3978" t="s">
        <v>4834</v>
      </c>
      <c r="B3978" s="2">
        <v>45438</v>
      </c>
      <c r="C3978" t="s">
        <v>134</v>
      </c>
      <c r="D3978" t="s">
        <v>806</v>
      </c>
      <c r="E3978" t="s">
        <v>831</v>
      </c>
      <c r="F3978">
        <v>1</v>
      </c>
      <c r="G3978">
        <v>0.05</v>
      </c>
      <c r="H3978" t="s">
        <v>865</v>
      </c>
      <c r="I3978" t="str">
        <f>VLOOKUP(C3978,Customers!A:C,2,FALSE)&amp;" "&amp;VLOOKUP(C3978,Customers!A:C,3,FALSE)</f>
        <v>Kari Miller</v>
      </c>
      <c r="J3978" t="str">
        <f>VLOOKUP(D3978,Products!A:C,2,FALSE)</f>
        <v>Piece Headphones</v>
      </c>
      <c r="K3978" t="str">
        <f>VLOOKUP(D3978,Products!A:C,3,FALSE)</f>
        <v>Electronics</v>
      </c>
      <c r="L3978" t="str">
        <f>VLOOKUP(E3978,Stores!A:B,2,FALSE)</f>
        <v>MegaMart Jimenezborough</v>
      </c>
      <c r="M3978">
        <f>VLOOKUP(D3978,Products!A:E,5,FALSE)</f>
        <v>1745.61</v>
      </c>
      <c r="N3978" s="5">
        <f t="shared" si="62"/>
        <v>1658.3294999999998</v>
      </c>
    </row>
    <row r="3979" spans="1:14" x14ac:dyDescent="0.3">
      <c r="A3979" t="s">
        <v>4835</v>
      </c>
      <c r="B3979" s="2">
        <v>45701</v>
      </c>
      <c r="C3979" t="s">
        <v>399</v>
      </c>
      <c r="D3979" t="s">
        <v>757</v>
      </c>
      <c r="E3979" t="s">
        <v>831</v>
      </c>
      <c r="F3979">
        <v>4</v>
      </c>
      <c r="G3979">
        <v>0.1</v>
      </c>
      <c r="H3979" t="s">
        <v>858</v>
      </c>
      <c r="I3979" t="str">
        <f>VLOOKUP(C3979,Customers!A:C,2,FALSE)&amp;" "&amp;VLOOKUP(C3979,Customers!A:C,3,FALSE)</f>
        <v>Victoria Hansen</v>
      </c>
      <c r="J3979" t="str">
        <f>VLOOKUP(D3979,Products!A:C,2,FALSE)</f>
        <v>Find Headphones</v>
      </c>
      <c r="K3979" t="str">
        <f>VLOOKUP(D3979,Products!A:C,3,FALSE)</f>
        <v>Electronics</v>
      </c>
      <c r="L3979" t="str">
        <f>VLOOKUP(E3979,Stores!A:B,2,FALSE)</f>
        <v>MegaMart Jimenezborough</v>
      </c>
      <c r="M3979">
        <f>VLOOKUP(D3979,Products!A:E,5,FALSE)</f>
        <v>1246.1099999999999</v>
      </c>
      <c r="N3979" s="5">
        <f t="shared" si="62"/>
        <v>4485.9960000000001</v>
      </c>
    </row>
    <row r="3980" spans="1:14" x14ac:dyDescent="0.3">
      <c r="A3980" t="s">
        <v>4836</v>
      </c>
      <c r="B3980" s="2">
        <v>45339</v>
      </c>
      <c r="C3980" t="s">
        <v>560</v>
      </c>
      <c r="D3980" t="s">
        <v>761</v>
      </c>
      <c r="E3980" t="s">
        <v>831</v>
      </c>
      <c r="F3980">
        <v>2</v>
      </c>
      <c r="G3980">
        <v>0.05</v>
      </c>
      <c r="H3980" t="s">
        <v>865</v>
      </c>
      <c r="I3980" t="str">
        <f>VLOOKUP(C3980,Customers!A:C,2,FALSE)&amp;" "&amp;VLOOKUP(C3980,Customers!A:C,3,FALSE)</f>
        <v>George Young</v>
      </c>
      <c r="J3980" t="str">
        <f>VLOOKUP(D3980,Products!A:C,2,FALSE)</f>
        <v>Traditional Laptop</v>
      </c>
      <c r="K3980" t="str">
        <f>VLOOKUP(D3980,Products!A:C,3,FALSE)</f>
        <v>Electronics</v>
      </c>
      <c r="L3980" t="str">
        <f>VLOOKUP(E3980,Stores!A:B,2,FALSE)</f>
        <v>MegaMart Jimenezborough</v>
      </c>
      <c r="M3980">
        <f>VLOOKUP(D3980,Products!A:E,5,FALSE)</f>
        <v>1762.92</v>
      </c>
      <c r="N3980" s="5">
        <f t="shared" si="62"/>
        <v>3349.5479999999998</v>
      </c>
    </row>
    <row r="3981" spans="1:14" x14ac:dyDescent="0.3">
      <c r="A3981" t="s">
        <v>4837</v>
      </c>
      <c r="B3981" s="2">
        <v>45712</v>
      </c>
      <c r="C3981" t="s">
        <v>36</v>
      </c>
      <c r="D3981" t="s">
        <v>796</v>
      </c>
      <c r="E3981" t="s">
        <v>839</v>
      </c>
      <c r="F3981">
        <v>2</v>
      </c>
      <c r="G3981">
        <v>0.1</v>
      </c>
      <c r="H3981" t="s">
        <v>865</v>
      </c>
      <c r="I3981" t="str">
        <f>VLOOKUP(C3981,Customers!A:C,2,FALSE)&amp;" "&amp;VLOOKUP(C3981,Customers!A:C,3,FALSE)</f>
        <v>Isaiah Williams</v>
      </c>
      <c r="J3981" t="str">
        <f>VLOOKUP(D3981,Products!A:C,2,FALSE)</f>
        <v>Chair Laptop</v>
      </c>
      <c r="K3981" t="str">
        <f>VLOOKUP(D3981,Products!A:C,3,FALSE)</f>
        <v>Electronics</v>
      </c>
      <c r="L3981" t="str">
        <f>VLOOKUP(E3981,Stores!A:B,2,FALSE)</f>
        <v>MegaMart New Michele</v>
      </c>
      <c r="M3981">
        <f>VLOOKUP(D3981,Products!A:E,5,FALSE)</f>
        <v>1562.43</v>
      </c>
      <c r="N3981" s="5">
        <f t="shared" si="62"/>
        <v>2812.3740000000003</v>
      </c>
    </row>
    <row r="3982" spans="1:14" x14ac:dyDescent="0.3">
      <c r="A3982" t="s">
        <v>4838</v>
      </c>
      <c r="B3982" s="2">
        <v>45560</v>
      </c>
      <c r="C3982" t="s">
        <v>570</v>
      </c>
      <c r="D3982" t="s">
        <v>788</v>
      </c>
      <c r="E3982" t="s">
        <v>842</v>
      </c>
      <c r="F3982">
        <v>4</v>
      </c>
      <c r="G3982">
        <v>0.05</v>
      </c>
      <c r="H3982" t="s">
        <v>861</v>
      </c>
      <c r="I3982" t="str">
        <f>VLOOKUP(C3982,Customers!A:C,2,FALSE)&amp;" "&amp;VLOOKUP(C3982,Customers!A:C,3,FALSE)</f>
        <v>Thomas Chung</v>
      </c>
      <c r="J3982" t="str">
        <f>VLOOKUP(D3982,Products!A:C,2,FALSE)</f>
        <v>Foot Snacks</v>
      </c>
      <c r="K3982" t="str">
        <f>VLOOKUP(D3982,Products!A:C,3,FALSE)</f>
        <v>Groceries</v>
      </c>
      <c r="L3982" t="str">
        <f>VLOOKUP(E3982,Stores!A:B,2,FALSE)</f>
        <v>MegaMart Brianahaven</v>
      </c>
      <c r="M3982">
        <f>VLOOKUP(D3982,Products!A:E,5,FALSE)</f>
        <v>1095.72</v>
      </c>
      <c r="N3982" s="5">
        <f t="shared" si="62"/>
        <v>4163.7359999999999</v>
      </c>
    </row>
    <row r="3983" spans="1:14" x14ac:dyDescent="0.3">
      <c r="A3983" t="s">
        <v>4839</v>
      </c>
      <c r="B3983" s="2">
        <v>45462</v>
      </c>
      <c r="C3983" t="s">
        <v>531</v>
      </c>
      <c r="D3983" t="s">
        <v>747</v>
      </c>
      <c r="E3983" t="s">
        <v>831</v>
      </c>
      <c r="F3983">
        <v>2</v>
      </c>
      <c r="G3983">
        <v>0</v>
      </c>
      <c r="H3983" t="s">
        <v>858</v>
      </c>
      <c r="I3983" t="str">
        <f>VLOOKUP(C3983,Customers!A:C,2,FALSE)&amp;" "&amp;VLOOKUP(C3983,Customers!A:C,3,FALSE)</f>
        <v>John Johnson</v>
      </c>
      <c r="J3983" t="str">
        <f>VLOOKUP(D3983,Products!A:C,2,FALSE)</f>
        <v>World Watches</v>
      </c>
      <c r="K3983" t="str">
        <f>VLOOKUP(D3983,Products!A:C,3,FALSE)</f>
        <v>Fashion</v>
      </c>
      <c r="L3983" t="str">
        <f>VLOOKUP(E3983,Stores!A:B,2,FALSE)</f>
        <v>MegaMart Jimenezborough</v>
      </c>
      <c r="M3983">
        <f>VLOOKUP(D3983,Products!A:E,5,FALSE)</f>
        <v>1134.8</v>
      </c>
      <c r="N3983" s="5">
        <f t="shared" si="62"/>
        <v>2269.6</v>
      </c>
    </row>
    <row r="3984" spans="1:14" x14ac:dyDescent="0.3">
      <c r="A3984" t="s">
        <v>4840</v>
      </c>
      <c r="B3984" s="2">
        <v>45772</v>
      </c>
      <c r="C3984" t="s">
        <v>462</v>
      </c>
      <c r="D3984" t="s">
        <v>761</v>
      </c>
      <c r="E3984" t="s">
        <v>831</v>
      </c>
      <c r="F3984">
        <v>5</v>
      </c>
      <c r="G3984">
        <v>0</v>
      </c>
      <c r="H3984" t="s">
        <v>855</v>
      </c>
      <c r="I3984" t="str">
        <f>VLOOKUP(C3984,Customers!A:C,2,FALSE)&amp;" "&amp;VLOOKUP(C3984,Customers!A:C,3,FALSE)</f>
        <v>Kimberly Parker</v>
      </c>
      <c r="J3984" t="str">
        <f>VLOOKUP(D3984,Products!A:C,2,FALSE)</f>
        <v>Traditional Laptop</v>
      </c>
      <c r="K3984" t="str">
        <f>VLOOKUP(D3984,Products!A:C,3,FALSE)</f>
        <v>Electronics</v>
      </c>
      <c r="L3984" t="str">
        <f>VLOOKUP(E3984,Stores!A:B,2,FALSE)</f>
        <v>MegaMart Jimenezborough</v>
      </c>
      <c r="M3984">
        <f>VLOOKUP(D3984,Products!A:E,5,FALSE)</f>
        <v>1762.92</v>
      </c>
      <c r="N3984" s="5">
        <f t="shared" si="62"/>
        <v>8814.6</v>
      </c>
    </row>
    <row r="3985" spans="1:14" x14ac:dyDescent="0.3">
      <c r="A3985" t="s">
        <v>4841</v>
      </c>
      <c r="B3985" s="2">
        <v>45336</v>
      </c>
      <c r="C3985" t="s">
        <v>390</v>
      </c>
      <c r="D3985" t="s">
        <v>804</v>
      </c>
      <c r="E3985" t="s">
        <v>846</v>
      </c>
      <c r="F3985">
        <v>3</v>
      </c>
      <c r="G3985">
        <v>0.15</v>
      </c>
      <c r="H3985" t="s">
        <v>858</v>
      </c>
      <c r="I3985" t="str">
        <f>VLOOKUP(C3985,Customers!A:C,2,FALSE)&amp;" "&amp;VLOOKUP(C3985,Customers!A:C,3,FALSE)</f>
        <v>Brenda Dean</v>
      </c>
      <c r="J3985" t="str">
        <f>VLOOKUP(D3985,Products!A:C,2,FALSE)</f>
        <v>Church Clothing</v>
      </c>
      <c r="K3985" t="str">
        <f>VLOOKUP(D3985,Products!A:C,3,FALSE)</f>
        <v>Fashion</v>
      </c>
      <c r="L3985" t="str">
        <f>VLOOKUP(E3985,Stores!A:B,2,FALSE)</f>
        <v>MegaMart Johnmouth</v>
      </c>
      <c r="M3985">
        <f>VLOOKUP(D3985,Products!A:E,5,FALSE)</f>
        <v>540.94000000000005</v>
      </c>
      <c r="N3985" s="5">
        <f t="shared" si="62"/>
        <v>1379.3970000000002</v>
      </c>
    </row>
    <row r="3986" spans="1:14" x14ac:dyDescent="0.3">
      <c r="A3986" t="s">
        <v>4842</v>
      </c>
      <c r="B3986" s="2">
        <v>45186</v>
      </c>
      <c r="C3986" t="s">
        <v>438</v>
      </c>
      <c r="D3986" t="s">
        <v>753</v>
      </c>
      <c r="E3986" t="s">
        <v>831</v>
      </c>
      <c r="F3986">
        <v>4</v>
      </c>
      <c r="G3986">
        <v>0.05</v>
      </c>
      <c r="H3986" t="s">
        <v>858</v>
      </c>
      <c r="I3986" t="str">
        <f>VLOOKUP(C3986,Customers!A:C,2,FALSE)&amp;" "&amp;VLOOKUP(C3986,Customers!A:C,3,FALSE)</f>
        <v>Gina Bradford</v>
      </c>
      <c r="J3986" t="str">
        <f>VLOOKUP(D3986,Products!A:C,2,FALSE)</f>
        <v>Whether Bags</v>
      </c>
      <c r="K3986" t="str">
        <f>VLOOKUP(D3986,Products!A:C,3,FALSE)</f>
        <v>Fashion</v>
      </c>
      <c r="L3986" t="str">
        <f>VLOOKUP(E3986,Stores!A:B,2,FALSE)</f>
        <v>MegaMart Jimenezborough</v>
      </c>
      <c r="M3986">
        <f>VLOOKUP(D3986,Products!A:E,5,FALSE)</f>
        <v>270.45</v>
      </c>
      <c r="N3986" s="5">
        <f t="shared" si="62"/>
        <v>1027.7099999999998</v>
      </c>
    </row>
    <row r="3987" spans="1:14" x14ac:dyDescent="0.3">
      <c r="A3987" t="s">
        <v>4843</v>
      </c>
      <c r="B3987" s="2">
        <v>45480</v>
      </c>
      <c r="C3987" t="s">
        <v>155</v>
      </c>
      <c r="D3987" t="s">
        <v>774</v>
      </c>
      <c r="E3987" t="s">
        <v>831</v>
      </c>
      <c r="F3987">
        <v>5</v>
      </c>
      <c r="G3987">
        <v>0.15</v>
      </c>
      <c r="H3987" t="s">
        <v>855</v>
      </c>
      <c r="I3987" t="str">
        <f>VLOOKUP(C3987,Customers!A:C,2,FALSE)&amp;" "&amp;VLOOKUP(C3987,Customers!A:C,3,FALSE)</f>
        <v>Scott Powell</v>
      </c>
      <c r="J3987" t="str">
        <f>VLOOKUP(D3987,Products!A:C,2,FALSE)</f>
        <v>Him Smartphone</v>
      </c>
      <c r="K3987" t="str">
        <f>VLOOKUP(D3987,Products!A:C,3,FALSE)</f>
        <v>Electronics</v>
      </c>
      <c r="L3987" t="str">
        <f>VLOOKUP(E3987,Stores!A:B,2,FALSE)</f>
        <v>MegaMart Jimenezborough</v>
      </c>
      <c r="M3987">
        <f>VLOOKUP(D3987,Products!A:E,5,FALSE)</f>
        <v>1487.41</v>
      </c>
      <c r="N3987" s="5">
        <f t="shared" si="62"/>
        <v>6321.4925000000003</v>
      </c>
    </row>
    <row r="3988" spans="1:14" x14ac:dyDescent="0.3">
      <c r="A3988" t="s">
        <v>4844</v>
      </c>
      <c r="B3988" s="2">
        <v>45708</v>
      </c>
      <c r="C3988" t="s">
        <v>351</v>
      </c>
      <c r="D3988" t="s">
        <v>808</v>
      </c>
      <c r="E3988" t="s">
        <v>831</v>
      </c>
      <c r="F3988">
        <v>3</v>
      </c>
      <c r="G3988">
        <v>0.1</v>
      </c>
      <c r="H3988" t="s">
        <v>855</v>
      </c>
      <c r="I3988" t="str">
        <f>VLOOKUP(C3988,Customers!A:C,2,FALSE)&amp;" "&amp;VLOOKUP(C3988,Customers!A:C,3,FALSE)</f>
        <v>Stanley Brown</v>
      </c>
      <c r="J3988" t="str">
        <f>VLOOKUP(D3988,Products!A:C,2,FALSE)</f>
        <v>Present Television</v>
      </c>
      <c r="K3988" t="str">
        <f>VLOOKUP(D3988,Products!A:C,3,FALSE)</f>
        <v>Electronics</v>
      </c>
      <c r="L3988" t="str">
        <f>VLOOKUP(E3988,Stores!A:B,2,FALSE)</f>
        <v>MegaMart Jimenezborough</v>
      </c>
      <c r="M3988">
        <f>VLOOKUP(D3988,Products!A:E,5,FALSE)</f>
        <v>1635.01</v>
      </c>
      <c r="N3988" s="5">
        <f t="shared" si="62"/>
        <v>4414.527</v>
      </c>
    </row>
    <row r="3989" spans="1:14" x14ac:dyDescent="0.3">
      <c r="A3989" t="s">
        <v>4845</v>
      </c>
      <c r="B3989" s="2">
        <v>45570</v>
      </c>
      <c r="C3989" t="s">
        <v>291</v>
      </c>
      <c r="D3989" t="s">
        <v>800</v>
      </c>
      <c r="E3989" t="s">
        <v>831</v>
      </c>
      <c r="F3989">
        <v>4</v>
      </c>
      <c r="G3989">
        <v>0.15</v>
      </c>
      <c r="H3989" t="s">
        <v>858</v>
      </c>
      <c r="I3989" t="str">
        <f>VLOOKUP(C3989,Customers!A:C,2,FALSE)&amp;" "&amp;VLOOKUP(C3989,Customers!A:C,3,FALSE)</f>
        <v>Matthew Juarez</v>
      </c>
      <c r="J3989" t="str">
        <f>VLOOKUP(D3989,Products!A:C,2,FALSE)</f>
        <v>Book Television</v>
      </c>
      <c r="K3989" t="str">
        <f>VLOOKUP(D3989,Products!A:C,3,FALSE)</f>
        <v>Electronics</v>
      </c>
      <c r="L3989" t="str">
        <f>VLOOKUP(E3989,Stores!A:B,2,FALSE)</f>
        <v>MegaMart Jimenezborough</v>
      </c>
      <c r="M3989">
        <f>VLOOKUP(D3989,Products!A:E,5,FALSE)</f>
        <v>1952.65</v>
      </c>
      <c r="N3989" s="5">
        <f t="shared" si="62"/>
        <v>6639.01</v>
      </c>
    </row>
    <row r="3990" spans="1:14" x14ac:dyDescent="0.3">
      <c r="A3990" t="s">
        <v>4846</v>
      </c>
      <c r="B3990" s="2">
        <v>45869</v>
      </c>
      <c r="C3990" t="s">
        <v>198</v>
      </c>
      <c r="D3990" t="s">
        <v>808</v>
      </c>
      <c r="E3990" t="s">
        <v>839</v>
      </c>
      <c r="F3990">
        <v>5</v>
      </c>
      <c r="G3990">
        <v>0.05</v>
      </c>
      <c r="H3990" t="s">
        <v>861</v>
      </c>
      <c r="I3990" t="str">
        <f>VLOOKUP(C3990,Customers!A:C,2,FALSE)&amp;" "&amp;VLOOKUP(C3990,Customers!A:C,3,FALSE)</f>
        <v>Madison Sellers</v>
      </c>
      <c r="J3990" t="str">
        <f>VLOOKUP(D3990,Products!A:C,2,FALSE)</f>
        <v>Present Television</v>
      </c>
      <c r="K3990" t="str">
        <f>VLOOKUP(D3990,Products!A:C,3,FALSE)</f>
        <v>Electronics</v>
      </c>
      <c r="L3990" t="str">
        <f>VLOOKUP(E3990,Stores!A:B,2,FALSE)</f>
        <v>MegaMart New Michele</v>
      </c>
      <c r="M3990">
        <f>VLOOKUP(D3990,Products!A:E,5,FALSE)</f>
        <v>1635.01</v>
      </c>
      <c r="N3990" s="5">
        <f t="shared" si="62"/>
        <v>7766.2974999999997</v>
      </c>
    </row>
    <row r="3991" spans="1:14" x14ac:dyDescent="0.3">
      <c r="A3991" t="s">
        <v>4847</v>
      </c>
      <c r="B3991" s="2">
        <v>45732</v>
      </c>
      <c r="C3991" t="s">
        <v>531</v>
      </c>
      <c r="D3991" t="s">
        <v>739</v>
      </c>
      <c r="E3991" t="s">
        <v>842</v>
      </c>
      <c r="F3991">
        <v>3</v>
      </c>
      <c r="G3991">
        <v>0</v>
      </c>
      <c r="H3991" t="s">
        <v>855</v>
      </c>
      <c r="I3991" t="str">
        <f>VLOOKUP(C3991,Customers!A:C,2,FALSE)&amp;" "&amp;VLOOKUP(C3991,Customers!A:C,3,FALSE)</f>
        <v>John Johnson</v>
      </c>
      <c r="J3991" t="str">
        <f>VLOOKUP(D3991,Products!A:C,2,FALSE)</f>
        <v>Step Smartphone</v>
      </c>
      <c r="K3991" t="str">
        <f>VLOOKUP(D3991,Products!A:C,3,FALSE)</f>
        <v>Electronics</v>
      </c>
      <c r="L3991" t="str">
        <f>VLOOKUP(E3991,Stores!A:B,2,FALSE)</f>
        <v>MegaMart Brianahaven</v>
      </c>
      <c r="M3991">
        <f>VLOOKUP(D3991,Products!A:E,5,FALSE)</f>
        <v>1194.1199999999999</v>
      </c>
      <c r="N3991" s="5">
        <f t="shared" si="62"/>
        <v>3582.3599999999997</v>
      </c>
    </row>
    <row r="3992" spans="1:14" x14ac:dyDescent="0.3">
      <c r="A3992" t="s">
        <v>4848</v>
      </c>
      <c r="B3992" s="2">
        <v>45381</v>
      </c>
      <c r="C3992" t="s">
        <v>593</v>
      </c>
      <c r="D3992" t="s">
        <v>761</v>
      </c>
      <c r="E3992" t="s">
        <v>846</v>
      </c>
      <c r="F3992">
        <v>4</v>
      </c>
      <c r="G3992">
        <v>0.05</v>
      </c>
      <c r="H3992" t="s">
        <v>858</v>
      </c>
      <c r="I3992" t="str">
        <f>VLOOKUP(C3992,Customers!A:C,2,FALSE)&amp;" "&amp;VLOOKUP(C3992,Customers!A:C,3,FALSE)</f>
        <v>Meagan Ali</v>
      </c>
      <c r="J3992" t="str">
        <f>VLOOKUP(D3992,Products!A:C,2,FALSE)</f>
        <v>Traditional Laptop</v>
      </c>
      <c r="K3992" t="str">
        <f>VLOOKUP(D3992,Products!A:C,3,FALSE)</f>
        <v>Electronics</v>
      </c>
      <c r="L3992" t="str">
        <f>VLOOKUP(E3992,Stores!A:B,2,FALSE)</f>
        <v>MegaMart Johnmouth</v>
      </c>
      <c r="M3992">
        <f>VLOOKUP(D3992,Products!A:E,5,FALSE)</f>
        <v>1762.92</v>
      </c>
      <c r="N3992" s="5">
        <f t="shared" si="62"/>
        <v>6699.0959999999995</v>
      </c>
    </row>
    <row r="3993" spans="1:14" x14ac:dyDescent="0.3">
      <c r="A3993" t="s">
        <v>4849</v>
      </c>
      <c r="B3993" s="2">
        <v>45723</v>
      </c>
      <c r="C3993" t="s">
        <v>191</v>
      </c>
      <c r="D3993" t="s">
        <v>800</v>
      </c>
      <c r="E3993" t="s">
        <v>835</v>
      </c>
      <c r="F3993">
        <v>2</v>
      </c>
      <c r="G3993">
        <v>0.15</v>
      </c>
      <c r="H3993" t="s">
        <v>861</v>
      </c>
      <c r="I3993" t="str">
        <f>VLOOKUP(C3993,Customers!A:C,2,FALSE)&amp;" "&amp;VLOOKUP(C3993,Customers!A:C,3,FALSE)</f>
        <v>Antonio Hamilton</v>
      </c>
      <c r="J3993" t="str">
        <f>VLOOKUP(D3993,Products!A:C,2,FALSE)</f>
        <v>Book Television</v>
      </c>
      <c r="K3993" t="str">
        <f>VLOOKUP(D3993,Products!A:C,3,FALSE)</f>
        <v>Electronics</v>
      </c>
      <c r="L3993" t="str">
        <f>VLOOKUP(E3993,Stores!A:B,2,FALSE)</f>
        <v>MegaMart Peckmouth</v>
      </c>
      <c r="M3993">
        <f>VLOOKUP(D3993,Products!A:E,5,FALSE)</f>
        <v>1952.65</v>
      </c>
      <c r="N3993" s="5">
        <f t="shared" si="62"/>
        <v>3319.5050000000001</v>
      </c>
    </row>
    <row r="3994" spans="1:14" x14ac:dyDescent="0.3">
      <c r="A3994" t="s">
        <v>4850</v>
      </c>
      <c r="B3994" s="2">
        <v>45383</v>
      </c>
      <c r="C3994" t="s">
        <v>419</v>
      </c>
      <c r="D3994" t="s">
        <v>788</v>
      </c>
      <c r="E3994" t="s">
        <v>831</v>
      </c>
      <c r="F3994">
        <v>1</v>
      </c>
      <c r="G3994">
        <v>0.1</v>
      </c>
      <c r="H3994" t="s">
        <v>861</v>
      </c>
      <c r="I3994" t="str">
        <f>VLOOKUP(C3994,Customers!A:C,2,FALSE)&amp;" "&amp;VLOOKUP(C3994,Customers!A:C,3,FALSE)</f>
        <v>Jeffrey Smith</v>
      </c>
      <c r="J3994" t="str">
        <f>VLOOKUP(D3994,Products!A:C,2,FALSE)</f>
        <v>Foot Snacks</v>
      </c>
      <c r="K3994" t="str">
        <f>VLOOKUP(D3994,Products!A:C,3,FALSE)</f>
        <v>Groceries</v>
      </c>
      <c r="L3994" t="str">
        <f>VLOOKUP(E3994,Stores!A:B,2,FALSE)</f>
        <v>MegaMart Jimenezborough</v>
      </c>
      <c r="M3994">
        <f>VLOOKUP(D3994,Products!A:E,5,FALSE)</f>
        <v>1095.72</v>
      </c>
      <c r="N3994" s="5">
        <f t="shared" si="62"/>
        <v>986.14800000000002</v>
      </c>
    </row>
    <row r="3995" spans="1:14" x14ac:dyDescent="0.3">
      <c r="A3995" t="s">
        <v>4851</v>
      </c>
      <c r="B3995" s="2">
        <v>45227</v>
      </c>
      <c r="C3995" t="s">
        <v>250</v>
      </c>
      <c r="D3995" t="s">
        <v>745</v>
      </c>
      <c r="E3995" t="s">
        <v>835</v>
      </c>
      <c r="F3995">
        <v>4</v>
      </c>
      <c r="G3995">
        <v>0.05</v>
      </c>
      <c r="H3995" t="s">
        <v>855</v>
      </c>
      <c r="I3995" t="str">
        <f>VLOOKUP(C3995,Customers!A:C,2,FALSE)&amp;" "&amp;VLOOKUP(C3995,Customers!A:C,3,FALSE)</f>
        <v>Jason Jenkins</v>
      </c>
      <c r="J3995" t="str">
        <f>VLOOKUP(D3995,Products!A:C,2,FALSE)</f>
        <v>Above Camera</v>
      </c>
      <c r="K3995" t="str">
        <f>VLOOKUP(D3995,Products!A:C,3,FALSE)</f>
        <v>Electronics</v>
      </c>
      <c r="L3995" t="str">
        <f>VLOOKUP(E3995,Stores!A:B,2,FALSE)</f>
        <v>MegaMart Peckmouth</v>
      </c>
      <c r="M3995">
        <f>VLOOKUP(D3995,Products!A:E,5,FALSE)</f>
        <v>1193.0899999999999</v>
      </c>
      <c r="N3995" s="5">
        <f t="shared" si="62"/>
        <v>4533.7419999999993</v>
      </c>
    </row>
    <row r="3996" spans="1:14" x14ac:dyDescent="0.3">
      <c r="A3996" t="s">
        <v>4852</v>
      </c>
      <c r="B3996" s="2">
        <v>45287</v>
      </c>
      <c r="C3996" t="s">
        <v>599</v>
      </c>
      <c r="D3996" t="s">
        <v>728</v>
      </c>
      <c r="E3996" t="s">
        <v>846</v>
      </c>
      <c r="F3996">
        <v>3</v>
      </c>
      <c r="G3996">
        <v>0.1</v>
      </c>
      <c r="H3996" t="s">
        <v>861</v>
      </c>
      <c r="I3996" t="str">
        <f>VLOOKUP(C3996,Customers!A:C,2,FALSE)&amp;" "&amp;VLOOKUP(C3996,Customers!A:C,3,FALSE)</f>
        <v>Richard Jones</v>
      </c>
      <c r="J3996" t="str">
        <f>VLOOKUP(D3996,Products!A:C,2,FALSE)</f>
        <v>Company Fruits</v>
      </c>
      <c r="K3996" t="str">
        <f>VLOOKUP(D3996,Products!A:C,3,FALSE)</f>
        <v>Groceries</v>
      </c>
      <c r="L3996" t="str">
        <f>VLOOKUP(E3996,Stores!A:B,2,FALSE)</f>
        <v>MegaMart Johnmouth</v>
      </c>
      <c r="M3996">
        <f>VLOOKUP(D3996,Products!A:E,5,FALSE)</f>
        <v>318.05</v>
      </c>
      <c r="N3996" s="5">
        <f t="shared" si="62"/>
        <v>858.73500000000013</v>
      </c>
    </row>
    <row r="3997" spans="1:14" x14ac:dyDescent="0.3">
      <c r="A3997" t="s">
        <v>4853</v>
      </c>
      <c r="B3997" s="2">
        <v>45700</v>
      </c>
      <c r="C3997" t="s">
        <v>105</v>
      </c>
      <c r="D3997" t="s">
        <v>784</v>
      </c>
      <c r="E3997" t="s">
        <v>846</v>
      </c>
      <c r="F3997">
        <v>5</v>
      </c>
      <c r="G3997">
        <v>0</v>
      </c>
      <c r="H3997" t="s">
        <v>858</v>
      </c>
      <c r="I3997" t="str">
        <f>VLOOKUP(C3997,Customers!A:C,2,FALSE)&amp;" "&amp;VLOOKUP(C3997,Customers!A:C,3,FALSE)</f>
        <v>Justin Macdonald</v>
      </c>
      <c r="J3997" t="str">
        <f>VLOOKUP(D3997,Products!A:C,2,FALSE)</f>
        <v>Road Clothing</v>
      </c>
      <c r="K3997" t="str">
        <f>VLOOKUP(D3997,Products!A:C,3,FALSE)</f>
        <v>Fashion</v>
      </c>
      <c r="L3997" t="str">
        <f>VLOOKUP(E3997,Stores!A:B,2,FALSE)</f>
        <v>MegaMart Johnmouth</v>
      </c>
      <c r="M3997">
        <f>VLOOKUP(D3997,Products!A:E,5,FALSE)</f>
        <v>1485.05</v>
      </c>
      <c r="N3997" s="5">
        <f t="shared" si="62"/>
        <v>7425.25</v>
      </c>
    </row>
    <row r="3998" spans="1:14" x14ac:dyDescent="0.3">
      <c r="A3998" t="s">
        <v>4854</v>
      </c>
      <c r="B3998" s="2">
        <v>45434</v>
      </c>
      <c r="C3998" t="s">
        <v>551</v>
      </c>
      <c r="D3998" t="s">
        <v>788</v>
      </c>
      <c r="E3998" t="s">
        <v>846</v>
      </c>
      <c r="F3998">
        <v>1</v>
      </c>
      <c r="G3998">
        <v>0.15</v>
      </c>
      <c r="H3998" t="s">
        <v>861</v>
      </c>
      <c r="I3998" t="str">
        <f>VLOOKUP(C3998,Customers!A:C,2,FALSE)&amp;" "&amp;VLOOKUP(C3998,Customers!A:C,3,FALSE)</f>
        <v>Nancy Gordon</v>
      </c>
      <c r="J3998" t="str">
        <f>VLOOKUP(D3998,Products!A:C,2,FALSE)</f>
        <v>Foot Snacks</v>
      </c>
      <c r="K3998" t="str">
        <f>VLOOKUP(D3998,Products!A:C,3,FALSE)</f>
        <v>Groceries</v>
      </c>
      <c r="L3998" t="str">
        <f>VLOOKUP(E3998,Stores!A:B,2,FALSE)</f>
        <v>MegaMart Johnmouth</v>
      </c>
      <c r="M3998">
        <f>VLOOKUP(D3998,Products!A:E,5,FALSE)</f>
        <v>1095.72</v>
      </c>
      <c r="N3998" s="5">
        <f t="shared" si="62"/>
        <v>931.36199999999997</v>
      </c>
    </row>
    <row r="3999" spans="1:14" x14ac:dyDescent="0.3">
      <c r="A3999" t="s">
        <v>4855</v>
      </c>
      <c r="B3999" s="2">
        <v>45299</v>
      </c>
      <c r="C3999" t="s">
        <v>585</v>
      </c>
      <c r="D3999" t="s">
        <v>792</v>
      </c>
      <c r="E3999" t="s">
        <v>835</v>
      </c>
      <c r="F3999">
        <v>3</v>
      </c>
      <c r="G3999">
        <v>0</v>
      </c>
      <c r="H3999" t="s">
        <v>858</v>
      </c>
      <c r="I3999" t="str">
        <f>VLOOKUP(C3999,Customers!A:C,2,FALSE)&amp;" "&amp;VLOOKUP(C3999,Customers!A:C,3,FALSE)</f>
        <v>Linda Vasquez</v>
      </c>
      <c r="J3999" t="str">
        <f>VLOOKUP(D3999,Products!A:C,2,FALSE)</f>
        <v>Beat Accessories</v>
      </c>
      <c r="K3999" t="str">
        <f>VLOOKUP(D3999,Products!A:C,3,FALSE)</f>
        <v>Fashion</v>
      </c>
      <c r="L3999" t="str">
        <f>VLOOKUP(E3999,Stores!A:B,2,FALSE)</f>
        <v>MegaMart Peckmouth</v>
      </c>
      <c r="M3999">
        <f>VLOOKUP(D3999,Products!A:E,5,FALSE)</f>
        <v>1798.97</v>
      </c>
      <c r="N3999" s="5">
        <f t="shared" si="62"/>
        <v>5396.91</v>
      </c>
    </row>
    <row r="4000" spans="1:14" x14ac:dyDescent="0.3">
      <c r="A4000" t="s">
        <v>4856</v>
      </c>
      <c r="B4000" s="2">
        <v>45691</v>
      </c>
      <c r="C4000" t="s">
        <v>258</v>
      </c>
      <c r="D4000" t="s">
        <v>750</v>
      </c>
      <c r="E4000" t="s">
        <v>835</v>
      </c>
      <c r="F4000">
        <v>2</v>
      </c>
      <c r="G4000">
        <v>0.1</v>
      </c>
      <c r="H4000" t="s">
        <v>861</v>
      </c>
      <c r="I4000" t="str">
        <f>VLOOKUP(C4000,Customers!A:C,2,FALSE)&amp;" "&amp;VLOOKUP(C4000,Customers!A:C,3,FALSE)</f>
        <v>Alexandra Montoya</v>
      </c>
      <c r="J4000" t="str">
        <f>VLOOKUP(D4000,Products!A:C,2,FALSE)</f>
        <v>Add Clothing</v>
      </c>
      <c r="K4000" t="str">
        <f>VLOOKUP(D4000,Products!A:C,3,FALSE)</f>
        <v>Fashion</v>
      </c>
      <c r="L4000" t="str">
        <f>VLOOKUP(E4000,Stores!A:B,2,FALSE)</f>
        <v>MegaMart Peckmouth</v>
      </c>
      <c r="M4000">
        <f>VLOOKUP(D4000,Products!A:E,5,FALSE)</f>
        <v>1342.75</v>
      </c>
      <c r="N4000" s="5">
        <f t="shared" si="62"/>
        <v>2416.9500000000003</v>
      </c>
    </row>
    <row r="4001" spans="1:14" x14ac:dyDescent="0.3">
      <c r="A4001" t="s">
        <v>4857</v>
      </c>
      <c r="B4001" s="2">
        <v>45755</v>
      </c>
      <c r="C4001" t="s">
        <v>137</v>
      </c>
      <c r="D4001" t="s">
        <v>788</v>
      </c>
      <c r="E4001" t="s">
        <v>839</v>
      </c>
      <c r="F4001">
        <v>4</v>
      </c>
      <c r="G4001">
        <v>0.05</v>
      </c>
      <c r="H4001" t="s">
        <v>855</v>
      </c>
      <c r="I4001" t="str">
        <f>VLOOKUP(C4001,Customers!A:C,2,FALSE)&amp;" "&amp;VLOOKUP(C4001,Customers!A:C,3,FALSE)</f>
        <v>Kimberly King</v>
      </c>
      <c r="J4001" t="str">
        <f>VLOOKUP(D4001,Products!A:C,2,FALSE)</f>
        <v>Foot Snacks</v>
      </c>
      <c r="K4001" t="str">
        <f>VLOOKUP(D4001,Products!A:C,3,FALSE)</f>
        <v>Groceries</v>
      </c>
      <c r="L4001" t="str">
        <f>VLOOKUP(E4001,Stores!A:B,2,FALSE)</f>
        <v>MegaMart New Michele</v>
      </c>
      <c r="M4001">
        <f>VLOOKUP(D4001,Products!A:E,5,FALSE)</f>
        <v>1095.72</v>
      </c>
      <c r="N4001" s="5">
        <f t="shared" si="62"/>
        <v>4163.7359999999999</v>
      </c>
    </row>
    <row r="4002" spans="1:14" x14ac:dyDescent="0.3">
      <c r="A4002" t="s">
        <v>4858</v>
      </c>
      <c r="B4002" s="2">
        <v>45373</v>
      </c>
      <c r="C4002" t="s">
        <v>608</v>
      </c>
      <c r="D4002" t="s">
        <v>782</v>
      </c>
      <c r="E4002" t="s">
        <v>831</v>
      </c>
      <c r="F4002">
        <v>3</v>
      </c>
      <c r="G4002">
        <v>0.05</v>
      </c>
      <c r="H4002" t="s">
        <v>861</v>
      </c>
      <c r="I4002" t="str">
        <f>VLOOKUP(C4002,Customers!A:C,2,FALSE)&amp;" "&amp;VLOOKUP(C4002,Customers!A:C,3,FALSE)</f>
        <v>Christina Dominguez</v>
      </c>
      <c r="J4002" t="str">
        <f>VLOOKUP(D4002,Products!A:C,2,FALSE)</f>
        <v>Deal Smartphone</v>
      </c>
      <c r="K4002" t="str">
        <f>VLOOKUP(D4002,Products!A:C,3,FALSE)</f>
        <v>Electronics</v>
      </c>
      <c r="L4002" t="str">
        <f>VLOOKUP(E4002,Stores!A:B,2,FALSE)</f>
        <v>MegaMart Jimenezborough</v>
      </c>
      <c r="M4002">
        <f>VLOOKUP(D4002,Products!A:E,5,FALSE)</f>
        <v>673.78</v>
      </c>
      <c r="N4002" s="5">
        <f t="shared" si="62"/>
        <v>1920.2729999999999</v>
      </c>
    </row>
    <row r="4003" spans="1:14" x14ac:dyDescent="0.3">
      <c r="A4003" t="s">
        <v>4859</v>
      </c>
      <c r="B4003" s="2">
        <v>45844</v>
      </c>
      <c r="C4003" t="s">
        <v>241</v>
      </c>
      <c r="D4003" t="s">
        <v>778</v>
      </c>
      <c r="E4003" t="s">
        <v>839</v>
      </c>
      <c r="F4003">
        <v>2</v>
      </c>
      <c r="G4003">
        <v>0</v>
      </c>
      <c r="H4003" t="s">
        <v>861</v>
      </c>
      <c r="I4003" t="str">
        <f>VLOOKUP(C4003,Customers!A:C,2,FALSE)&amp;" "&amp;VLOOKUP(C4003,Customers!A:C,3,FALSE)</f>
        <v>Michael Johnson</v>
      </c>
      <c r="J4003" t="str">
        <f>VLOOKUP(D4003,Products!A:C,2,FALSE)</f>
        <v>Behavior Dairy</v>
      </c>
      <c r="K4003" t="str">
        <f>VLOOKUP(D4003,Products!A:C,3,FALSE)</f>
        <v>Groceries</v>
      </c>
      <c r="L4003" t="str">
        <f>VLOOKUP(E4003,Stores!A:B,2,FALSE)</f>
        <v>MegaMart New Michele</v>
      </c>
      <c r="M4003">
        <f>VLOOKUP(D4003,Products!A:E,5,FALSE)</f>
        <v>1015.76</v>
      </c>
      <c r="N4003" s="5">
        <f t="shared" si="62"/>
        <v>2031.52</v>
      </c>
    </row>
    <row r="4004" spans="1:14" x14ac:dyDescent="0.3">
      <c r="A4004" t="s">
        <v>4860</v>
      </c>
      <c r="B4004" s="2">
        <v>45517</v>
      </c>
      <c r="C4004" t="s">
        <v>81</v>
      </c>
      <c r="D4004" t="s">
        <v>734</v>
      </c>
      <c r="E4004" t="s">
        <v>831</v>
      </c>
      <c r="F4004">
        <v>3</v>
      </c>
      <c r="G4004">
        <v>0.15</v>
      </c>
      <c r="H4004" t="s">
        <v>858</v>
      </c>
      <c r="I4004" t="str">
        <f>VLOOKUP(C4004,Customers!A:C,2,FALSE)&amp;" "&amp;VLOOKUP(C4004,Customers!A:C,3,FALSE)</f>
        <v>Ryan Cole</v>
      </c>
      <c r="J4004" t="str">
        <f>VLOOKUP(D4004,Products!A:C,2,FALSE)</f>
        <v>Recognize Footwear</v>
      </c>
      <c r="K4004" t="str">
        <f>VLOOKUP(D4004,Products!A:C,3,FALSE)</f>
        <v>Fashion</v>
      </c>
      <c r="L4004" t="str">
        <f>VLOOKUP(E4004,Stores!A:B,2,FALSE)</f>
        <v>MegaMart Jimenezborough</v>
      </c>
      <c r="M4004">
        <f>VLOOKUP(D4004,Products!A:E,5,FALSE)</f>
        <v>109.78</v>
      </c>
      <c r="N4004" s="5">
        <f t="shared" si="62"/>
        <v>279.93900000000002</v>
      </c>
    </row>
    <row r="4005" spans="1:14" x14ac:dyDescent="0.3">
      <c r="A4005" t="s">
        <v>4861</v>
      </c>
      <c r="B4005" s="2">
        <v>45506</v>
      </c>
      <c r="C4005" t="s">
        <v>36</v>
      </c>
      <c r="D4005" t="s">
        <v>722</v>
      </c>
      <c r="E4005" t="s">
        <v>839</v>
      </c>
      <c r="F4005">
        <v>3</v>
      </c>
      <c r="G4005">
        <v>0.1</v>
      </c>
      <c r="H4005" t="s">
        <v>858</v>
      </c>
      <c r="I4005" t="str">
        <f>VLOOKUP(C4005,Customers!A:C,2,FALSE)&amp;" "&amp;VLOOKUP(C4005,Customers!A:C,3,FALSE)</f>
        <v>Isaiah Williams</v>
      </c>
      <c r="J4005" t="str">
        <f>VLOOKUP(D4005,Products!A:C,2,FALSE)</f>
        <v>Four Accessories</v>
      </c>
      <c r="K4005" t="str">
        <f>VLOOKUP(D4005,Products!A:C,3,FALSE)</f>
        <v>Fashion</v>
      </c>
      <c r="L4005" t="str">
        <f>VLOOKUP(E4005,Stores!A:B,2,FALSE)</f>
        <v>MegaMart New Michele</v>
      </c>
      <c r="M4005">
        <f>VLOOKUP(D4005,Products!A:E,5,FALSE)</f>
        <v>1853.77</v>
      </c>
      <c r="N4005" s="5">
        <f t="shared" si="62"/>
        <v>5005.1790000000001</v>
      </c>
    </row>
    <row r="4006" spans="1:14" x14ac:dyDescent="0.3">
      <c r="A4006" t="s">
        <v>4862</v>
      </c>
      <c r="B4006" s="2">
        <v>45811</v>
      </c>
      <c r="C4006" t="s">
        <v>702</v>
      </c>
      <c r="D4006" t="s">
        <v>750</v>
      </c>
      <c r="E4006" t="s">
        <v>842</v>
      </c>
      <c r="F4006">
        <v>5</v>
      </c>
      <c r="G4006">
        <v>0.1</v>
      </c>
      <c r="H4006" t="s">
        <v>858</v>
      </c>
      <c r="I4006" t="str">
        <f>VLOOKUP(C4006,Customers!A:C,2,FALSE)&amp;" "&amp;VLOOKUP(C4006,Customers!A:C,3,FALSE)</f>
        <v>Ronald Haley</v>
      </c>
      <c r="J4006" t="str">
        <f>VLOOKUP(D4006,Products!A:C,2,FALSE)</f>
        <v>Add Clothing</v>
      </c>
      <c r="K4006" t="str">
        <f>VLOOKUP(D4006,Products!A:C,3,FALSE)</f>
        <v>Fashion</v>
      </c>
      <c r="L4006" t="str">
        <f>VLOOKUP(E4006,Stores!A:B,2,FALSE)</f>
        <v>MegaMart Brianahaven</v>
      </c>
      <c r="M4006">
        <f>VLOOKUP(D4006,Products!A:E,5,FALSE)</f>
        <v>1342.75</v>
      </c>
      <c r="N4006" s="5">
        <f t="shared" si="62"/>
        <v>6042.375</v>
      </c>
    </row>
    <row r="4007" spans="1:14" x14ac:dyDescent="0.3">
      <c r="A4007" t="s">
        <v>4863</v>
      </c>
      <c r="B4007" s="2">
        <v>45748</v>
      </c>
      <c r="C4007" t="s">
        <v>320</v>
      </c>
      <c r="D4007" t="s">
        <v>820</v>
      </c>
      <c r="E4007" t="s">
        <v>842</v>
      </c>
      <c r="F4007">
        <v>4</v>
      </c>
      <c r="G4007">
        <v>0.1</v>
      </c>
      <c r="H4007" t="s">
        <v>855</v>
      </c>
      <c r="I4007" t="str">
        <f>VLOOKUP(C4007,Customers!A:C,2,FALSE)&amp;" "&amp;VLOOKUP(C4007,Customers!A:C,3,FALSE)</f>
        <v>Juan Ramirez</v>
      </c>
      <c r="J4007" t="str">
        <f>VLOOKUP(D4007,Products!A:C,2,FALSE)</f>
        <v>Or Smartphone</v>
      </c>
      <c r="K4007" t="str">
        <f>VLOOKUP(D4007,Products!A:C,3,FALSE)</f>
        <v>Electronics</v>
      </c>
      <c r="L4007" t="str">
        <f>VLOOKUP(E4007,Stores!A:B,2,FALSE)</f>
        <v>MegaMart Brianahaven</v>
      </c>
      <c r="M4007">
        <f>VLOOKUP(D4007,Products!A:E,5,FALSE)</f>
        <v>1197.18</v>
      </c>
      <c r="N4007" s="5">
        <f t="shared" si="62"/>
        <v>4309.848</v>
      </c>
    </row>
    <row r="4008" spans="1:14" x14ac:dyDescent="0.3">
      <c r="A4008" t="s">
        <v>4864</v>
      </c>
      <c r="B4008" s="2">
        <v>45264</v>
      </c>
      <c r="C4008" t="s">
        <v>202</v>
      </c>
      <c r="D4008" t="s">
        <v>792</v>
      </c>
      <c r="E4008" t="s">
        <v>839</v>
      </c>
      <c r="F4008">
        <v>2</v>
      </c>
      <c r="G4008">
        <v>0.15</v>
      </c>
      <c r="H4008" t="s">
        <v>855</v>
      </c>
      <c r="I4008" t="str">
        <f>VLOOKUP(C4008,Customers!A:C,2,FALSE)&amp;" "&amp;VLOOKUP(C4008,Customers!A:C,3,FALSE)</f>
        <v>Billy Hernandez</v>
      </c>
      <c r="J4008" t="str">
        <f>VLOOKUP(D4008,Products!A:C,2,FALSE)</f>
        <v>Beat Accessories</v>
      </c>
      <c r="K4008" t="str">
        <f>VLOOKUP(D4008,Products!A:C,3,FALSE)</f>
        <v>Fashion</v>
      </c>
      <c r="L4008" t="str">
        <f>VLOOKUP(E4008,Stores!A:B,2,FALSE)</f>
        <v>MegaMart New Michele</v>
      </c>
      <c r="M4008">
        <f>VLOOKUP(D4008,Products!A:E,5,FALSE)</f>
        <v>1798.97</v>
      </c>
      <c r="N4008" s="5">
        <f t="shared" si="62"/>
        <v>3058.2489999999998</v>
      </c>
    </row>
    <row r="4009" spans="1:14" x14ac:dyDescent="0.3">
      <c r="A4009" t="s">
        <v>4865</v>
      </c>
      <c r="B4009" s="2">
        <v>45444</v>
      </c>
      <c r="C4009" t="s">
        <v>527</v>
      </c>
      <c r="D4009" t="s">
        <v>753</v>
      </c>
      <c r="E4009" t="s">
        <v>842</v>
      </c>
      <c r="F4009">
        <v>3</v>
      </c>
      <c r="G4009">
        <v>0.15</v>
      </c>
      <c r="H4009" t="s">
        <v>858</v>
      </c>
      <c r="I4009" t="str">
        <f>VLOOKUP(C4009,Customers!A:C,2,FALSE)&amp;" "&amp;VLOOKUP(C4009,Customers!A:C,3,FALSE)</f>
        <v>Paige Osborne</v>
      </c>
      <c r="J4009" t="str">
        <f>VLOOKUP(D4009,Products!A:C,2,FALSE)</f>
        <v>Whether Bags</v>
      </c>
      <c r="K4009" t="str">
        <f>VLOOKUP(D4009,Products!A:C,3,FALSE)</f>
        <v>Fashion</v>
      </c>
      <c r="L4009" t="str">
        <f>VLOOKUP(E4009,Stores!A:B,2,FALSE)</f>
        <v>MegaMart Brianahaven</v>
      </c>
      <c r="M4009">
        <f>VLOOKUP(D4009,Products!A:E,5,FALSE)</f>
        <v>270.45</v>
      </c>
      <c r="N4009" s="5">
        <f t="shared" si="62"/>
        <v>689.64749999999992</v>
      </c>
    </row>
    <row r="4010" spans="1:14" x14ac:dyDescent="0.3">
      <c r="A4010" t="s">
        <v>4866</v>
      </c>
      <c r="B4010" s="2">
        <v>45487</v>
      </c>
      <c r="C4010" t="s">
        <v>661</v>
      </c>
      <c r="D4010" t="s">
        <v>800</v>
      </c>
      <c r="E4010" t="s">
        <v>846</v>
      </c>
      <c r="F4010">
        <v>5</v>
      </c>
      <c r="G4010">
        <v>0.15</v>
      </c>
      <c r="H4010" t="s">
        <v>865</v>
      </c>
      <c r="I4010" t="str">
        <f>VLOOKUP(C4010,Customers!A:C,2,FALSE)&amp;" "&amp;VLOOKUP(C4010,Customers!A:C,3,FALSE)</f>
        <v>Cynthia Cherry</v>
      </c>
      <c r="J4010" t="str">
        <f>VLOOKUP(D4010,Products!A:C,2,FALSE)</f>
        <v>Book Television</v>
      </c>
      <c r="K4010" t="str">
        <f>VLOOKUP(D4010,Products!A:C,3,FALSE)</f>
        <v>Electronics</v>
      </c>
      <c r="L4010" t="str">
        <f>VLOOKUP(E4010,Stores!A:B,2,FALSE)</f>
        <v>MegaMart Johnmouth</v>
      </c>
      <c r="M4010">
        <f>VLOOKUP(D4010,Products!A:E,5,FALSE)</f>
        <v>1952.65</v>
      </c>
      <c r="N4010" s="5">
        <f t="shared" si="62"/>
        <v>8298.7624999999989</v>
      </c>
    </row>
    <row r="4011" spans="1:14" x14ac:dyDescent="0.3">
      <c r="A4011" t="s">
        <v>4867</v>
      </c>
      <c r="B4011" s="2">
        <v>45510</v>
      </c>
      <c r="C4011" t="s">
        <v>415</v>
      </c>
      <c r="D4011" t="s">
        <v>818</v>
      </c>
      <c r="E4011" t="s">
        <v>835</v>
      </c>
      <c r="F4011">
        <v>3</v>
      </c>
      <c r="G4011">
        <v>0.05</v>
      </c>
      <c r="H4011" t="s">
        <v>865</v>
      </c>
      <c r="I4011" t="str">
        <f>VLOOKUP(C4011,Customers!A:C,2,FALSE)&amp;" "&amp;VLOOKUP(C4011,Customers!A:C,3,FALSE)</f>
        <v>Dylan Booker</v>
      </c>
      <c r="J4011" t="str">
        <f>VLOOKUP(D4011,Products!A:C,2,FALSE)</f>
        <v>Nature Clothing</v>
      </c>
      <c r="K4011" t="str">
        <f>VLOOKUP(D4011,Products!A:C,3,FALSE)</f>
        <v>Fashion</v>
      </c>
      <c r="L4011" t="str">
        <f>VLOOKUP(E4011,Stores!A:B,2,FALSE)</f>
        <v>MegaMart Peckmouth</v>
      </c>
      <c r="M4011">
        <f>VLOOKUP(D4011,Products!A:E,5,FALSE)</f>
        <v>1165.3699999999999</v>
      </c>
      <c r="N4011" s="5">
        <f t="shared" si="62"/>
        <v>3321.3044999999997</v>
      </c>
    </row>
    <row r="4012" spans="1:14" x14ac:dyDescent="0.3">
      <c r="A4012" t="s">
        <v>4868</v>
      </c>
      <c r="B4012" s="2">
        <v>45602</v>
      </c>
      <c r="C4012" t="s">
        <v>179</v>
      </c>
      <c r="D4012" t="s">
        <v>818</v>
      </c>
      <c r="E4012" t="s">
        <v>839</v>
      </c>
      <c r="F4012">
        <v>3</v>
      </c>
      <c r="G4012">
        <v>0.1</v>
      </c>
      <c r="H4012" t="s">
        <v>865</v>
      </c>
      <c r="I4012" t="str">
        <f>VLOOKUP(C4012,Customers!A:C,2,FALSE)&amp;" "&amp;VLOOKUP(C4012,Customers!A:C,3,FALSE)</f>
        <v>Dennis Poole</v>
      </c>
      <c r="J4012" t="str">
        <f>VLOOKUP(D4012,Products!A:C,2,FALSE)</f>
        <v>Nature Clothing</v>
      </c>
      <c r="K4012" t="str">
        <f>VLOOKUP(D4012,Products!A:C,3,FALSE)</f>
        <v>Fashion</v>
      </c>
      <c r="L4012" t="str">
        <f>VLOOKUP(E4012,Stores!A:B,2,FALSE)</f>
        <v>MegaMart New Michele</v>
      </c>
      <c r="M4012">
        <f>VLOOKUP(D4012,Products!A:E,5,FALSE)</f>
        <v>1165.3699999999999</v>
      </c>
      <c r="N4012" s="5">
        <f t="shared" si="62"/>
        <v>3146.4989999999998</v>
      </c>
    </row>
    <row r="4013" spans="1:14" x14ac:dyDescent="0.3">
      <c r="A4013" t="s">
        <v>4869</v>
      </c>
      <c r="B4013" s="2">
        <v>45218</v>
      </c>
      <c r="C4013" t="s">
        <v>503</v>
      </c>
      <c r="D4013" t="s">
        <v>759</v>
      </c>
      <c r="E4013" t="s">
        <v>831</v>
      </c>
      <c r="F4013">
        <v>5</v>
      </c>
      <c r="G4013">
        <v>0.1</v>
      </c>
      <c r="H4013" t="s">
        <v>855</v>
      </c>
      <c r="I4013" t="str">
        <f>VLOOKUP(C4013,Customers!A:C,2,FALSE)&amp;" "&amp;VLOOKUP(C4013,Customers!A:C,3,FALSE)</f>
        <v>Breanna Moore</v>
      </c>
      <c r="J4013" t="str">
        <f>VLOOKUP(D4013,Products!A:C,2,FALSE)</f>
        <v>Democratic Smartphone</v>
      </c>
      <c r="K4013" t="str">
        <f>VLOOKUP(D4013,Products!A:C,3,FALSE)</f>
        <v>Electronics</v>
      </c>
      <c r="L4013" t="str">
        <f>VLOOKUP(E4013,Stores!A:B,2,FALSE)</f>
        <v>MegaMart Jimenezborough</v>
      </c>
      <c r="M4013">
        <f>VLOOKUP(D4013,Products!A:E,5,FALSE)</f>
        <v>1079.8900000000001</v>
      </c>
      <c r="N4013" s="5">
        <f t="shared" si="62"/>
        <v>4859.505000000001</v>
      </c>
    </row>
    <row r="4014" spans="1:14" x14ac:dyDescent="0.3">
      <c r="A4014" t="s">
        <v>4870</v>
      </c>
      <c r="B4014" s="2">
        <v>45701</v>
      </c>
      <c r="C4014" t="s">
        <v>480</v>
      </c>
      <c r="D4014" t="s">
        <v>812</v>
      </c>
      <c r="E4014" t="s">
        <v>831</v>
      </c>
      <c r="F4014">
        <v>3</v>
      </c>
      <c r="G4014">
        <v>0.05</v>
      </c>
      <c r="H4014" t="s">
        <v>858</v>
      </c>
      <c r="I4014" t="str">
        <f>VLOOKUP(C4014,Customers!A:C,2,FALSE)&amp;" "&amp;VLOOKUP(C4014,Customers!A:C,3,FALSE)</f>
        <v>Denise Jackson</v>
      </c>
      <c r="J4014" t="str">
        <f>VLOOKUP(D4014,Products!A:C,2,FALSE)</f>
        <v>Soon Accessories</v>
      </c>
      <c r="K4014" t="str">
        <f>VLOOKUP(D4014,Products!A:C,3,FALSE)</f>
        <v>Fashion</v>
      </c>
      <c r="L4014" t="str">
        <f>VLOOKUP(E4014,Stores!A:B,2,FALSE)</f>
        <v>MegaMart Jimenezborough</v>
      </c>
      <c r="M4014">
        <f>VLOOKUP(D4014,Products!A:E,5,FALSE)</f>
        <v>564.41999999999996</v>
      </c>
      <c r="N4014" s="5">
        <f t="shared" si="62"/>
        <v>1608.5969999999998</v>
      </c>
    </row>
    <row r="4015" spans="1:14" x14ac:dyDescent="0.3">
      <c r="A4015" t="s">
        <v>4871</v>
      </c>
      <c r="B4015" s="2">
        <v>45430</v>
      </c>
      <c r="C4015" t="s">
        <v>551</v>
      </c>
      <c r="D4015" t="s">
        <v>824</v>
      </c>
      <c r="E4015" t="s">
        <v>835</v>
      </c>
      <c r="F4015">
        <v>3</v>
      </c>
      <c r="G4015">
        <v>0.1</v>
      </c>
      <c r="H4015" t="s">
        <v>858</v>
      </c>
      <c r="I4015" t="str">
        <f>VLOOKUP(C4015,Customers!A:C,2,FALSE)&amp;" "&amp;VLOOKUP(C4015,Customers!A:C,3,FALSE)</f>
        <v>Nancy Gordon</v>
      </c>
      <c r="J4015" t="str">
        <f>VLOOKUP(D4015,Products!A:C,2,FALSE)</f>
        <v>Possible Watches</v>
      </c>
      <c r="K4015" t="str">
        <f>VLOOKUP(D4015,Products!A:C,3,FALSE)</f>
        <v>Fashion</v>
      </c>
      <c r="L4015" t="str">
        <f>VLOOKUP(E4015,Stores!A:B,2,FALSE)</f>
        <v>MegaMart Peckmouth</v>
      </c>
      <c r="M4015">
        <f>VLOOKUP(D4015,Products!A:E,5,FALSE)</f>
        <v>388.26</v>
      </c>
      <c r="N4015" s="5">
        <f t="shared" si="62"/>
        <v>1048.3019999999999</v>
      </c>
    </row>
    <row r="4016" spans="1:14" x14ac:dyDescent="0.3">
      <c r="A4016" t="s">
        <v>4872</v>
      </c>
      <c r="B4016" s="2">
        <v>45502</v>
      </c>
      <c r="C4016" t="s">
        <v>382</v>
      </c>
      <c r="D4016" t="s">
        <v>824</v>
      </c>
      <c r="E4016" t="s">
        <v>839</v>
      </c>
      <c r="F4016">
        <v>4</v>
      </c>
      <c r="G4016">
        <v>0.05</v>
      </c>
      <c r="H4016" t="s">
        <v>865</v>
      </c>
      <c r="I4016" t="str">
        <f>VLOOKUP(C4016,Customers!A:C,2,FALSE)&amp;" "&amp;VLOOKUP(C4016,Customers!A:C,3,FALSE)</f>
        <v>Carolyn Perez</v>
      </c>
      <c r="J4016" t="str">
        <f>VLOOKUP(D4016,Products!A:C,2,FALSE)</f>
        <v>Possible Watches</v>
      </c>
      <c r="K4016" t="str">
        <f>VLOOKUP(D4016,Products!A:C,3,FALSE)</f>
        <v>Fashion</v>
      </c>
      <c r="L4016" t="str">
        <f>VLOOKUP(E4016,Stores!A:B,2,FALSE)</f>
        <v>MegaMart New Michele</v>
      </c>
      <c r="M4016">
        <f>VLOOKUP(D4016,Products!A:E,5,FALSE)</f>
        <v>388.26</v>
      </c>
      <c r="N4016" s="5">
        <f t="shared" si="62"/>
        <v>1475.3879999999999</v>
      </c>
    </row>
    <row r="4017" spans="1:14" x14ac:dyDescent="0.3">
      <c r="A4017" t="s">
        <v>4873</v>
      </c>
      <c r="B4017" s="2">
        <v>45894</v>
      </c>
      <c r="C4017" t="s">
        <v>238</v>
      </c>
      <c r="D4017" t="s">
        <v>736</v>
      </c>
      <c r="E4017" t="s">
        <v>831</v>
      </c>
      <c r="F4017">
        <v>4</v>
      </c>
      <c r="G4017">
        <v>0.1</v>
      </c>
      <c r="H4017" t="s">
        <v>861</v>
      </c>
      <c r="I4017" t="str">
        <f>VLOOKUP(C4017,Customers!A:C,2,FALSE)&amp;" "&amp;VLOOKUP(C4017,Customers!A:C,3,FALSE)</f>
        <v>Susan Salinas</v>
      </c>
      <c r="J4017" t="str">
        <f>VLOOKUP(D4017,Products!A:C,2,FALSE)</f>
        <v>Us Snacks</v>
      </c>
      <c r="K4017" t="str">
        <f>VLOOKUP(D4017,Products!A:C,3,FALSE)</f>
        <v>Groceries</v>
      </c>
      <c r="L4017" t="str">
        <f>VLOOKUP(E4017,Stores!A:B,2,FALSE)</f>
        <v>MegaMart Jimenezborough</v>
      </c>
      <c r="M4017">
        <f>VLOOKUP(D4017,Products!A:E,5,FALSE)</f>
        <v>123.19</v>
      </c>
      <c r="N4017" s="5">
        <f t="shared" si="62"/>
        <v>443.48399999999998</v>
      </c>
    </row>
    <row r="4018" spans="1:14" x14ac:dyDescent="0.3">
      <c r="A4018" t="s">
        <v>4874</v>
      </c>
      <c r="B4018" s="2">
        <v>45659</v>
      </c>
      <c r="C4018" t="s">
        <v>238</v>
      </c>
      <c r="D4018" t="s">
        <v>806</v>
      </c>
      <c r="E4018" t="s">
        <v>839</v>
      </c>
      <c r="F4018">
        <v>5</v>
      </c>
      <c r="G4018">
        <v>0</v>
      </c>
      <c r="H4018" t="s">
        <v>855</v>
      </c>
      <c r="I4018" t="str">
        <f>VLOOKUP(C4018,Customers!A:C,2,FALSE)&amp;" "&amp;VLOOKUP(C4018,Customers!A:C,3,FALSE)</f>
        <v>Susan Salinas</v>
      </c>
      <c r="J4018" t="str">
        <f>VLOOKUP(D4018,Products!A:C,2,FALSE)</f>
        <v>Piece Headphones</v>
      </c>
      <c r="K4018" t="str">
        <f>VLOOKUP(D4018,Products!A:C,3,FALSE)</f>
        <v>Electronics</v>
      </c>
      <c r="L4018" t="str">
        <f>VLOOKUP(E4018,Stores!A:B,2,FALSE)</f>
        <v>MegaMart New Michele</v>
      </c>
      <c r="M4018">
        <f>VLOOKUP(D4018,Products!A:E,5,FALSE)</f>
        <v>1745.61</v>
      </c>
      <c r="N4018" s="5">
        <f t="shared" si="62"/>
        <v>8728.0499999999993</v>
      </c>
    </row>
    <row r="4019" spans="1:14" x14ac:dyDescent="0.3">
      <c r="A4019" t="s">
        <v>4875</v>
      </c>
      <c r="B4019" s="2">
        <v>45264</v>
      </c>
      <c r="C4019" t="s">
        <v>183</v>
      </c>
      <c r="D4019" t="s">
        <v>774</v>
      </c>
      <c r="E4019" t="s">
        <v>842</v>
      </c>
      <c r="F4019">
        <v>1</v>
      </c>
      <c r="G4019">
        <v>0.1</v>
      </c>
      <c r="H4019" t="s">
        <v>865</v>
      </c>
      <c r="I4019" t="str">
        <f>VLOOKUP(C4019,Customers!A:C,2,FALSE)&amp;" "&amp;VLOOKUP(C4019,Customers!A:C,3,FALSE)</f>
        <v>Mary Decker</v>
      </c>
      <c r="J4019" t="str">
        <f>VLOOKUP(D4019,Products!A:C,2,FALSE)</f>
        <v>Him Smartphone</v>
      </c>
      <c r="K4019" t="str">
        <f>VLOOKUP(D4019,Products!A:C,3,FALSE)</f>
        <v>Electronics</v>
      </c>
      <c r="L4019" t="str">
        <f>VLOOKUP(E4019,Stores!A:B,2,FALSE)</f>
        <v>MegaMart Brianahaven</v>
      </c>
      <c r="M4019">
        <f>VLOOKUP(D4019,Products!A:E,5,FALSE)</f>
        <v>1487.41</v>
      </c>
      <c r="N4019" s="5">
        <f t="shared" si="62"/>
        <v>1338.6690000000001</v>
      </c>
    </row>
    <row r="4020" spans="1:14" x14ac:dyDescent="0.3">
      <c r="A4020" t="s">
        <v>4876</v>
      </c>
      <c r="B4020" s="2">
        <v>45248</v>
      </c>
      <c r="C4020" t="s">
        <v>608</v>
      </c>
      <c r="D4020" t="s">
        <v>772</v>
      </c>
      <c r="E4020" t="s">
        <v>839</v>
      </c>
      <c r="F4020">
        <v>5</v>
      </c>
      <c r="G4020">
        <v>0.05</v>
      </c>
      <c r="H4020" t="s">
        <v>861</v>
      </c>
      <c r="I4020" t="str">
        <f>VLOOKUP(C4020,Customers!A:C,2,FALSE)&amp;" "&amp;VLOOKUP(C4020,Customers!A:C,3,FALSE)</f>
        <v>Christina Dominguez</v>
      </c>
      <c r="J4020" t="str">
        <f>VLOOKUP(D4020,Products!A:C,2,FALSE)</f>
        <v>And Footwear</v>
      </c>
      <c r="K4020" t="str">
        <f>VLOOKUP(D4020,Products!A:C,3,FALSE)</f>
        <v>Fashion</v>
      </c>
      <c r="L4020" t="str">
        <f>VLOOKUP(E4020,Stores!A:B,2,FALSE)</f>
        <v>MegaMart New Michele</v>
      </c>
      <c r="M4020">
        <f>VLOOKUP(D4020,Products!A:E,5,FALSE)</f>
        <v>1878.47</v>
      </c>
      <c r="N4020" s="5">
        <f t="shared" si="62"/>
        <v>8922.7325000000001</v>
      </c>
    </row>
    <row r="4021" spans="1:14" x14ac:dyDescent="0.3">
      <c r="A4021" t="s">
        <v>4877</v>
      </c>
      <c r="B4021" s="2">
        <v>45510</v>
      </c>
      <c r="C4021" t="s">
        <v>159</v>
      </c>
      <c r="D4021" t="s">
        <v>757</v>
      </c>
      <c r="E4021" t="s">
        <v>842</v>
      </c>
      <c r="F4021">
        <v>1</v>
      </c>
      <c r="G4021">
        <v>0.1</v>
      </c>
      <c r="H4021" t="s">
        <v>855</v>
      </c>
      <c r="I4021" t="str">
        <f>VLOOKUP(C4021,Customers!A:C,2,FALSE)&amp;" "&amp;VLOOKUP(C4021,Customers!A:C,3,FALSE)</f>
        <v>Melissa Rodgers</v>
      </c>
      <c r="J4021" t="str">
        <f>VLOOKUP(D4021,Products!A:C,2,FALSE)</f>
        <v>Find Headphones</v>
      </c>
      <c r="K4021" t="str">
        <f>VLOOKUP(D4021,Products!A:C,3,FALSE)</f>
        <v>Electronics</v>
      </c>
      <c r="L4021" t="str">
        <f>VLOOKUP(E4021,Stores!A:B,2,FALSE)</f>
        <v>MegaMart Brianahaven</v>
      </c>
      <c r="M4021">
        <f>VLOOKUP(D4021,Products!A:E,5,FALSE)</f>
        <v>1246.1099999999999</v>
      </c>
      <c r="N4021" s="5">
        <f t="shared" si="62"/>
        <v>1121.499</v>
      </c>
    </row>
    <row r="4022" spans="1:14" x14ac:dyDescent="0.3">
      <c r="A4022" t="s">
        <v>4878</v>
      </c>
      <c r="B4022" s="2">
        <v>45442</v>
      </c>
      <c r="C4022" t="s">
        <v>302</v>
      </c>
      <c r="D4022" t="s">
        <v>790</v>
      </c>
      <c r="E4022" t="s">
        <v>835</v>
      </c>
      <c r="F4022">
        <v>1</v>
      </c>
      <c r="G4022">
        <v>0.15</v>
      </c>
      <c r="H4022" t="s">
        <v>858</v>
      </c>
      <c r="I4022" t="str">
        <f>VLOOKUP(C4022,Customers!A:C,2,FALSE)&amp;" "&amp;VLOOKUP(C4022,Customers!A:C,3,FALSE)</f>
        <v>Grace Garcia</v>
      </c>
      <c r="J4022" t="str">
        <f>VLOOKUP(D4022,Products!A:C,2,FALSE)</f>
        <v>Difficult Vegetables</v>
      </c>
      <c r="K4022" t="str">
        <f>VLOOKUP(D4022,Products!A:C,3,FALSE)</f>
        <v>Groceries</v>
      </c>
      <c r="L4022" t="str">
        <f>VLOOKUP(E4022,Stores!A:B,2,FALSE)</f>
        <v>MegaMart Peckmouth</v>
      </c>
      <c r="M4022">
        <f>VLOOKUP(D4022,Products!A:E,5,FALSE)</f>
        <v>304.70999999999998</v>
      </c>
      <c r="N4022" s="5">
        <f t="shared" si="62"/>
        <v>259.00349999999997</v>
      </c>
    </row>
    <row r="4023" spans="1:14" x14ac:dyDescent="0.3">
      <c r="A4023" t="s">
        <v>4879</v>
      </c>
      <c r="B4023" s="2">
        <v>45477</v>
      </c>
      <c r="C4023" t="s">
        <v>221</v>
      </c>
      <c r="D4023" t="s">
        <v>784</v>
      </c>
      <c r="E4023" t="s">
        <v>842</v>
      </c>
      <c r="F4023">
        <v>2</v>
      </c>
      <c r="G4023">
        <v>0</v>
      </c>
      <c r="H4023" t="s">
        <v>865</v>
      </c>
      <c r="I4023" t="str">
        <f>VLOOKUP(C4023,Customers!A:C,2,FALSE)&amp;" "&amp;VLOOKUP(C4023,Customers!A:C,3,FALSE)</f>
        <v>Julie Gibson</v>
      </c>
      <c r="J4023" t="str">
        <f>VLOOKUP(D4023,Products!A:C,2,FALSE)</f>
        <v>Road Clothing</v>
      </c>
      <c r="K4023" t="str">
        <f>VLOOKUP(D4023,Products!A:C,3,FALSE)</f>
        <v>Fashion</v>
      </c>
      <c r="L4023" t="str">
        <f>VLOOKUP(E4023,Stores!A:B,2,FALSE)</f>
        <v>MegaMart Brianahaven</v>
      </c>
      <c r="M4023">
        <f>VLOOKUP(D4023,Products!A:E,5,FALSE)</f>
        <v>1485.05</v>
      </c>
      <c r="N4023" s="5">
        <f t="shared" si="62"/>
        <v>2970.1</v>
      </c>
    </row>
    <row r="4024" spans="1:14" x14ac:dyDescent="0.3">
      <c r="A4024" t="s">
        <v>4880</v>
      </c>
      <c r="B4024" s="2">
        <v>45398</v>
      </c>
      <c r="C4024" t="s">
        <v>36</v>
      </c>
      <c r="D4024" t="s">
        <v>776</v>
      </c>
      <c r="E4024" t="s">
        <v>846</v>
      </c>
      <c r="F4024">
        <v>1</v>
      </c>
      <c r="G4024">
        <v>0.15</v>
      </c>
      <c r="H4024" t="s">
        <v>855</v>
      </c>
      <c r="I4024" t="str">
        <f>VLOOKUP(C4024,Customers!A:C,2,FALSE)&amp;" "&amp;VLOOKUP(C4024,Customers!A:C,3,FALSE)</f>
        <v>Isaiah Williams</v>
      </c>
      <c r="J4024" t="str">
        <f>VLOOKUP(D4024,Products!A:C,2,FALSE)</f>
        <v>Little Watches</v>
      </c>
      <c r="K4024" t="str">
        <f>VLOOKUP(D4024,Products!A:C,3,FALSE)</f>
        <v>Fashion</v>
      </c>
      <c r="L4024" t="str">
        <f>VLOOKUP(E4024,Stores!A:B,2,FALSE)</f>
        <v>MegaMart Johnmouth</v>
      </c>
      <c r="M4024">
        <f>VLOOKUP(D4024,Products!A:E,5,FALSE)</f>
        <v>429.15</v>
      </c>
      <c r="N4024" s="5">
        <f t="shared" si="62"/>
        <v>364.77749999999997</v>
      </c>
    </row>
    <row r="4025" spans="1:14" x14ac:dyDescent="0.3">
      <c r="A4025" t="s">
        <v>4881</v>
      </c>
      <c r="B4025" s="2">
        <v>45191</v>
      </c>
      <c r="C4025" t="s">
        <v>167</v>
      </c>
      <c r="D4025" t="s">
        <v>732</v>
      </c>
      <c r="E4025" t="s">
        <v>835</v>
      </c>
      <c r="F4025">
        <v>1</v>
      </c>
      <c r="G4025">
        <v>0</v>
      </c>
      <c r="H4025" t="s">
        <v>855</v>
      </c>
      <c r="I4025" t="str">
        <f>VLOOKUP(C4025,Customers!A:C,2,FALSE)&amp;" "&amp;VLOOKUP(C4025,Customers!A:C,3,FALSE)</f>
        <v>Kenneth Allen</v>
      </c>
      <c r="J4025" t="str">
        <f>VLOOKUP(D4025,Products!A:C,2,FALSE)</f>
        <v>Understand Camera</v>
      </c>
      <c r="K4025" t="str">
        <f>VLOOKUP(D4025,Products!A:C,3,FALSE)</f>
        <v>Electronics</v>
      </c>
      <c r="L4025" t="str">
        <f>VLOOKUP(E4025,Stores!A:B,2,FALSE)</f>
        <v>MegaMart Peckmouth</v>
      </c>
      <c r="M4025">
        <f>VLOOKUP(D4025,Products!A:E,5,FALSE)</f>
        <v>1474.12</v>
      </c>
      <c r="N4025" s="5">
        <f t="shared" si="62"/>
        <v>1474.12</v>
      </c>
    </row>
    <row r="4026" spans="1:14" x14ac:dyDescent="0.3">
      <c r="A4026" t="s">
        <v>4882</v>
      </c>
      <c r="B4026" s="2">
        <v>45246</v>
      </c>
      <c r="C4026" t="s">
        <v>661</v>
      </c>
      <c r="D4026" t="s">
        <v>794</v>
      </c>
      <c r="E4026" t="s">
        <v>846</v>
      </c>
      <c r="F4026">
        <v>4</v>
      </c>
      <c r="G4026">
        <v>0</v>
      </c>
      <c r="H4026" t="s">
        <v>855</v>
      </c>
      <c r="I4026" t="str">
        <f>VLOOKUP(C4026,Customers!A:C,2,FALSE)&amp;" "&amp;VLOOKUP(C4026,Customers!A:C,3,FALSE)</f>
        <v>Cynthia Cherry</v>
      </c>
      <c r="J4026" t="str">
        <f>VLOOKUP(D4026,Products!A:C,2,FALSE)</f>
        <v>Everything Laptop</v>
      </c>
      <c r="K4026" t="str">
        <f>VLOOKUP(D4026,Products!A:C,3,FALSE)</f>
        <v>Electronics</v>
      </c>
      <c r="L4026" t="str">
        <f>VLOOKUP(E4026,Stores!A:B,2,FALSE)</f>
        <v>MegaMart Johnmouth</v>
      </c>
      <c r="M4026">
        <f>VLOOKUP(D4026,Products!A:E,5,FALSE)</f>
        <v>428.05</v>
      </c>
      <c r="N4026" s="5">
        <f t="shared" si="62"/>
        <v>1712.2</v>
      </c>
    </row>
    <row r="4027" spans="1:14" x14ac:dyDescent="0.3">
      <c r="A4027" t="s">
        <v>4883</v>
      </c>
      <c r="B4027" s="2">
        <v>45610</v>
      </c>
      <c r="C4027" t="s">
        <v>310</v>
      </c>
      <c r="D4027" t="s">
        <v>810</v>
      </c>
      <c r="E4027" t="s">
        <v>835</v>
      </c>
      <c r="F4027">
        <v>2</v>
      </c>
      <c r="G4027">
        <v>0.1</v>
      </c>
      <c r="H4027" t="s">
        <v>855</v>
      </c>
      <c r="I4027" t="str">
        <f>VLOOKUP(C4027,Customers!A:C,2,FALSE)&amp;" "&amp;VLOOKUP(C4027,Customers!A:C,3,FALSE)</f>
        <v>Amy Haley</v>
      </c>
      <c r="J4027" t="str">
        <f>VLOOKUP(D4027,Products!A:C,2,FALSE)</f>
        <v>Maybe Clothing</v>
      </c>
      <c r="K4027" t="str">
        <f>VLOOKUP(D4027,Products!A:C,3,FALSE)</f>
        <v>Fashion</v>
      </c>
      <c r="L4027" t="str">
        <f>VLOOKUP(E4027,Stores!A:B,2,FALSE)</f>
        <v>MegaMart Peckmouth</v>
      </c>
      <c r="M4027">
        <f>VLOOKUP(D4027,Products!A:E,5,FALSE)</f>
        <v>453.62</v>
      </c>
      <c r="N4027" s="5">
        <f t="shared" si="62"/>
        <v>816.51600000000008</v>
      </c>
    </row>
    <row r="4028" spans="1:14" x14ac:dyDescent="0.3">
      <c r="A4028" t="s">
        <v>4884</v>
      </c>
      <c r="B4028" s="2">
        <v>45637</v>
      </c>
      <c r="C4028" t="s">
        <v>670</v>
      </c>
      <c r="D4028" t="s">
        <v>750</v>
      </c>
      <c r="E4028" t="s">
        <v>835</v>
      </c>
      <c r="F4028">
        <v>4</v>
      </c>
      <c r="G4028">
        <v>0.15</v>
      </c>
      <c r="H4028" t="s">
        <v>855</v>
      </c>
      <c r="I4028" t="str">
        <f>VLOOKUP(C4028,Customers!A:C,2,FALSE)&amp;" "&amp;VLOOKUP(C4028,Customers!A:C,3,FALSE)</f>
        <v>Daniel Lawson</v>
      </c>
      <c r="J4028" t="str">
        <f>VLOOKUP(D4028,Products!A:C,2,FALSE)</f>
        <v>Add Clothing</v>
      </c>
      <c r="K4028" t="str">
        <f>VLOOKUP(D4028,Products!A:C,3,FALSE)</f>
        <v>Fashion</v>
      </c>
      <c r="L4028" t="str">
        <f>VLOOKUP(E4028,Stores!A:B,2,FALSE)</f>
        <v>MegaMart Peckmouth</v>
      </c>
      <c r="M4028">
        <f>VLOOKUP(D4028,Products!A:E,5,FALSE)</f>
        <v>1342.75</v>
      </c>
      <c r="N4028" s="5">
        <f t="shared" si="62"/>
        <v>4565.3499999999995</v>
      </c>
    </row>
    <row r="4029" spans="1:14" x14ac:dyDescent="0.3">
      <c r="A4029" t="s">
        <v>4885</v>
      </c>
      <c r="B4029" s="2">
        <v>45811</v>
      </c>
      <c r="C4029" t="s">
        <v>262</v>
      </c>
      <c r="D4029" t="s">
        <v>818</v>
      </c>
      <c r="E4029" t="s">
        <v>842</v>
      </c>
      <c r="F4029">
        <v>1</v>
      </c>
      <c r="G4029">
        <v>0</v>
      </c>
      <c r="H4029" t="s">
        <v>858</v>
      </c>
      <c r="I4029" t="str">
        <f>VLOOKUP(C4029,Customers!A:C,2,FALSE)&amp;" "&amp;VLOOKUP(C4029,Customers!A:C,3,FALSE)</f>
        <v>Gabriel Daugherty</v>
      </c>
      <c r="J4029" t="str">
        <f>VLOOKUP(D4029,Products!A:C,2,FALSE)</f>
        <v>Nature Clothing</v>
      </c>
      <c r="K4029" t="str">
        <f>VLOOKUP(D4029,Products!A:C,3,FALSE)</f>
        <v>Fashion</v>
      </c>
      <c r="L4029" t="str">
        <f>VLOOKUP(E4029,Stores!A:B,2,FALSE)</f>
        <v>MegaMart Brianahaven</v>
      </c>
      <c r="M4029">
        <f>VLOOKUP(D4029,Products!A:E,5,FALSE)</f>
        <v>1165.3699999999999</v>
      </c>
      <c r="N4029" s="5">
        <f t="shared" si="62"/>
        <v>1165.3699999999999</v>
      </c>
    </row>
    <row r="4030" spans="1:14" x14ac:dyDescent="0.3">
      <c r="A4030" t="s">
        <v>4886</v>
      </c>
      <c r="B4030" s="2">
        <v>45413</v>
      </c>
      <c r="C4030" t="s">
        <v>195</v>
      </c>
      <c r="D4030" t="s">
        <v>798</v>
      </c>
      <c r="E4030" t="s">
        <v>835</v>
      </c>
      <c r="F4030">
        <v>1</v>
      </c>
      <c r="G4030">
        <v>0.15</v>
      </c>
      <c r="H4030" t="s">
        <v>855</v>
      </c>
      <c r="I4030" t="str">
        <f>VLOOKUP(C4030,Customers!A:C,2,FALSE)&amp;" "&amp;VLOOKUP(C4030,Customers!A:C,3,FALSE)</f>
        <v>Kelly Mcmillan</v>
      </c>
      <c r="J4030" t="str">
        <f>VLOOKUP(D4030,Products!A:C,2,FALSE)</f>
        <v>New Watches</v>
      </c>
      <c r="K4030" t="str">
        <f>VLOOKUP(D4030,Products!A:C,3,FALSE)</f>
        <v>Fashion</v>
      </c>
      <c r="L4030" t="str">
        <f>VLOOKUP(E4030,Stores!A:B,2,FALSE)</f>
        <v>MegaMart Peckmouth</v>
      </c>
      <c r="M4030">
        <f>VLOOKUP(D4030,Products!A:E,5,FALSE)</f>
        <v>1501.46</v>
      </c>
      <c r="N4030" s="5">
        <f t="shared" si="62"/>
        <v>1276.241</v>
      </c>
    </row>
    <row r="4031" spans="1:14" x14ac:dyDescent="0.3">
      <c r="A4031" t="s">
        <v>4887</v>
      </c>
      <c r="B4031" s="2">
        <v>45312</v>
      </c>
      <c r="C4031" t="s">
        <v>670</v>
      </c>
      <c r="D4031" t="s">
        <v>806</v>
      </c>
      <c r="E4031" t="s">
        <v>835</v>
      </c>
      <c r="F4031">
        <v>2</v>
      </c>
      <c r="G4031">
        <v>0.15</v>
      </c>
      <c r="H4031" t="s">
        <v>858</v>
      </c>
      <c r="I4031" t="str">
        <f>VLOOKUP(C4031,Customers!A:C,2,FALSE)&amp;" "&amp;VLOOKUP(C4031,Customers!A:C,3,FALSE)</f>
        <v>Daniel Lawson</v>
      </c>
      <c r="J4031" t="str">
        <f>VLOOKUP(D4031,Products!A:C,2,FALSE)</f>
        <v>Piece Headphones</v>
      </c>
      <c r="K4031" t="str">
        <f>VLOOKUP(D4031,Products!A:C,3,FALSE)</f>
        <v>Electronics</v>
      </c>
      <c r="L4031" t="str">
        <f>VLOOKUP(E4031,Stores!A:B,2,FALSE)</f>
        <v>MegaMart Peckmouth</v>
      </c>
      <c r="M4031">
        <f>VLOOKUP(D4031,Products!A:E,5,FALSE)</f>
        <v>1745.61</v>
      </c>
      <c r="N4031" s="5">
        <f t="shared" si="62"/>
        <v>2967.5369999999998</v>
      </c>
    </row>
    <row r="4032" spans="1:14" x14ac:dyDescent="0.3">
      <c r="A4032" t="s">
        <v>4888</v>
      </c>
      <c r="B4032" s="2">
        <v>45236</v>
      </c>
      <c r="C4032" t="s">
        <v>432</v>
      </c>
      <c r="D4032" t="s">
        <v>818</v>
      </c>
      <c r="E4032" t="s">
        <v>835</v>
      </c>
      <c r="F4032">
        <v>5</v>
      </c>
      <c r="G4032">
        <v>0.15</v>
      </c>
      <c r="H4032" t="s">
        <v>858</v>
      </c>
      <c r="I4032" t="str">
        <f>VLOOKUP(C4032,Customers!A:C,2,FALSE)&amp;" "&amp;VLOOKUP(C4032,Customers!A:C,3,FALSE)</f>
        <v>Jamie Webb</v>
      </c>
      <c r="J4032" t="str">
        <f>VLOOKUP(D4032,Products!A:C,2,FALSE)</f>
        <v>Nature Clothing</v>
      </c>
      <c r="K4032" t="str">
        <f>VLOOKUP(D4032,Products!A:C,3,FALSE)</f>
        <v>Fashion</v>
      </c>
      <c r="L4032" t="str">
        <f>VLOOKUP(E4032,Stores!A:B,2,FALSE)</f>
        <v>MegaMart Peckmouth</v>
      </c>
      <c r="M4032">
        <f>VLOOKUP(D4032,Products!A:E,5,FALSE)</f>
        <v>1165.3699999999999</v>
      </c>
      <c r="N4032" s="5">
        <f t="shared" si="62"/>
        <v>4952.8224999999993</v>
      </c>
    </row>
    <row r="4033" spans="1:14" x14ac:dyDescent="0.3">
      <c r="A4033" t="s">
        <v>4889</v>
      </c>
      <c r="B4033" s="2">
        <v>45823</v>
      </c>
      <c r="C4033" t="s">
        <v>621</v>
      </c>
      <c r="D4033" t="s">
        <v>742</v>
      </c>
      <c r="E4033" t="s">
        <v>839</v>
      </c>
      <c r="F4033">
        <v>4</v>
      </c>
      <c r="G4033">
        <v>0.05</v>
      </c>
      <c r="H4033" t="s">
        <v>861</v>
      </c>
      <c r="I4033" t="str">
        <f>VLOOKUP(C4033,Customers!A:C,2,FALSE)&amp;" "&amp;VLOOKUP(C4033,Customers!A:C,3,FALSE)</f>
        <v>Stacey Thompson</v>
      </c>
      <c r="J4033" t="str">
        <f>VLOOKUP(D4033,Products!A:C,2,FALSE)</f>
        <v>Either Headphones</v>
      </c>
      <c r="K4033" t="str">
        <f>VLOOKUP(D4033,Products!A:C,3,FALSE)</f>
        <v>Electronics</v>
      </c>
      <c r="L4033" t="str">
        <f>VLOOKUP(E4033,Stores!A:B,2,FALSE)</f>
        <v>MegaMart New Michele</v>
      </c>
      <c r="M4033">
        <f>VLOOKUP(D4033,Products!A:E,5,FALSE)</f>
        <v>248.57</v>
      </c>
      <c r="N4033" s="5">
        <f t="shared" si="62"/>
        <v>944.56599999999992</v>
      </c>
    </row>
    <row r="4034" spans="1:14" x14ac:dyDescent="0.3">
      <c r="A4034" t="s">
        <v>4890</v>
      </c>
      <c r="B4034" s="2">
        <v>45483</v>
      </c>
      <c r="C4034" t="s">
        <v>445</v>
      </c>
      <c r="D4034" t="s">
        <v>804</v>
      </c>
      <c r="E4034" t="s">
        <v>831</v>
      </c>
      <c r="F4034">
        <v>1</v>
      </c>
      <c r="G4034">
        <v>0.1</v>
      </c>
      <c r="H4034" t="s">
        <v>865</v>
      </c>
      <c r="I4034" t="str">
        <f>VLOOKUP(C4034,Customers!A:C,2,FALSE)&amp;" "&amp;VLOOKUP(C4034,Customers!A:C,3,FALSE)</f>
        <v>Curtis Faulkner</v>
      </c>
      <c r="J4034" t="str">
        <f>VLOOKUP(D4034,Products!A:C,2,FALSE)</f>
        <v>Church Clothing</v>
      </c>
      <c r="K4034" t="str">
        <f>VLOOKUP(D4034,Products!A:C,3,FALSE)</f>
        <v>Fashion</v>
      </c>
      <c r="L4034" t="str">
        <f>VLOOKUP(E4034,Stores!A:B,2,FALSE)</f>
        <v>MegaMart Jimenezborough</v>
      </c>
      <c r="M4034">
        <f>VLOOKUP(D4034,Products!A:E,5,FALSE)</f>
        <v>540.94000000000005</v>
      </c>
      <c r="N4034" s="5">
        <f t="shared" si="62"/>
        <v>486.84600000000006</v>
      </c>
    </row>
    <row r="4035" spans="1:14" x14ac:dyDescent="0.3">
      <c r="A4035" t="s">
        <v>4891</v>
      </c>
      <c r="B4035" s="2">
        <v>45179</v>
      </c>
      <c r="C4035" t="s">
        <v>593</v>
      </c>
      <c r="D4035" t="s">
        <v>794</v>
      </c>
      <c r="E4035" t="s">
        <v>831</v>
      </c>
      <c r="F4035">
        <v>3</v>
      </c>
      <c r="G4035">
        <v>0.05</v>
      </c>
      <c r="H4035" t="s">
        <v>858</v>
      </c>
      <c r="I4035" t="str">
        <f>VLOOKUP(C4035,Customers!A:C,2,FALSE)&amp;" "&amp;VLOOKUP(C4035,Customers!A:C,3,FALSE)</f>
        <v>Meagan Ali</v>
      </c>
      <c r="J4035" t="str">
        <f>VLOOKUP(D4035,Products!A:C,2,FALSE)</f>
        <v>Everything Laptop</v>
      </c>
      <c r="K4035" t="str">
        <f>VLOOKUP(D4035,Products!A:C,3,FALSE)</f>
        <v>Electronics</v>
      </c>
      <c r="L4035" t="str">
        <f>VLOOKUP(E4035,Stores!A:B,2,FALSE)</f>
        <v>MegaMart Jimenezborough</v>
      </c>
      <c r="M4035">
        <f>VLOOKUP(D4035,Products!A:E,5,FALSE)</f>
        <v>428.05</v>
      </c>
      <c r="N4035" s="5">
        <f t="shared" ref="N4035:N4098" si="63">F4035*M4035*(1-G4035)</f>
        <v>1219.9425000000001</v>
      </c>
    </row>
    <row r="4036" spans="1:14" x14ac:dyDescent="0.3">
      <c r="A4036" t="s">
        <v>4892</v>
      </c>
      <c r="B4036" s="2">
        <v>45824</v>
      </c>
      <c r="C4036" t="s">
        <v>503</v>
      </c>
      <c r="D4036" t="s">
        <v>798</v>
      </c>
      <c r="E4036" t="s">
        <v>831</v>
      </c>
      <c r="F4036">
        <v>1</v>
      </c>
      <c r="G4036">
        <v>0.1</v>
      </c>
      <c r="H4036" t="s">
        <v>855</v>
      </c>
      <c r="I4036" t="str">
        <f>VLOOKUP(C4036,Customers!A:C,2,FALSE)&amp;" "&amp;VLOOKUP(C4036,Customers!A:C,3,FALSE)</f>
        <v>Breanna Moore</v>
      </c>
      <c r="J4036" t="str">
        <f>VLOOKUP(D4036,Products!A:C,2,FALSE)</f>
        <v>New Watches</v>
      </c>
      <c r="K4036" t="str">
        <f>VLOOKUP(D4036,Products!A:C,3,FALSE)</f>
        <v>Fashion</v>
      </c>
      <c r="L4036" t="str">
        <f>VLOOKUP(E4036,Stores!A:B,2,FALSE)</f>
        <v>MegaMart Jimenezborough</v>
      </c>
      <c r="M4036">
        <f>VLOOKUP(D4036,Products!A:E,5,FALSE)</f>
        <v>1501.46</v>
      </c>
      <c r="N4036" s="5">
        <f t="shared" si="63"/>
        <v>1351.3140000000001</v>
      </c>
    </row>
    <row r="4037" spans="1:14" x14ac:dyDescent="0.3">
      <c r="A4037" t="s">
        <v>4893</v>
      </c>
      <c r="B4037" s="2">
        <v>45727</v>
      </c>
      <c r="C4037" t="s">
        <v>596</v>
      </c>
      <c r="D4037" t="s">
        <v>818</v>
      </c>
      <c r="E4037" t="s">
        <v>846</v>
      </c>
      <c r="F4037">
        <v>1</v>
      </c>
      <c r="G4037">
        <v>0</v>
      </c>
      <c r="H4037" t="s">
        <v>865</v>
      </c>
      <c r="I4037" t="str">
        <f>VLOOKUP(C4037,Customers!A:C,2,FALSE)&amp;" "&amp;VLOOKUP(C4037,Customers!A:C,3,FALSE)</f>
        <v>Kimberly Lin</v>
      </c>
      <c r="J4037" t="str">
        <f>VLOOKUP(D4037,Products!A:C,2,FALSE)</f>
        <v>Nature Clothing</v>
      </c>
      <c r="K4037" t="str">
        <f>VLOOKUP(D4037,Products!A:C,3,FALSE)</f>
        <v>Fashion</v>
      </c>
      <c r="L4037" t="str">
        <f>VLOOKUP(E4037,Stores!A:B,2,FALSE)</f>
        <v>MegaMart Johnmouth</v>
      </c>
      <c r="M4037">
        <f>VLOOKUP(D4037,Products!A:E,5,FALSE)</f>
        <v>1165.3699999999999</v>
      </c>
      <c r="N4037" s="5">
        <f t="shared" si="63"/>
        <v>1165.3699999999999</v>
      </c>
    </row>
    <row r="4038" spans="1:14" x14ac:dyDescent="0.3">
      <c r="A4038" t="s">
        <v>4894</v>
      </c>
      <c r="B4038" s="2">
        <v>45396</v>
      </c>
      <c r="C4038" t="s">
        <v>151</v>
      </c>
      <c r="D4038" t="s">
        <v>757</v>
      </c>
      <c r="E4038" t="s">
        <v>842</v>
      </c>
      <c r="F4038">
        <v>2</v>
      </c>
      <c r="G4038">
        <v>0.05</v>
      </c>
      <c r="H4038" t="s">
        <v>865</v>
      </c>
      <c r="I4038" t="str">
        <f>VLOOKUP(C4038,Customers!A:C,2,FALSE)&amp;" "&amp;VLOOKUP(C4038,Customers!A:C,3,FALSE)</f>
        <v>Nancy Savage</v>
      </c>
      <c r="J4038" t="str">
        <f>VLOOKUP(D4038,Products!A:C,2,FALSE)</f>
        <v>Find Headphones</v>
      </c>
      <c r="K4038" t="str">
        <f>VLOOKUP(D4038,Products!A:C,3,FALSE)</f>
        <v>Electronics</v>
      </c>
      <c r="L4038" t="str">
        <f>VLOOKUP(E4038,Stores!A:B,2,FALSE)</f>
        <v>MegaMart Brianahaven</v>
      </c>
      <c r="M4038">
        <f>VLOOKUP(D4038,Products!A:E,5,FALSE)</f>
        <v>1246.1099999999999</v>
      </c>
      <c r="N4038" s="5">
        <f t="shared" si="63"/>
        <v>2367.6089999999999</v>
      </c>
    </row>
    <row r="4039" spans="1:14" x14ac:dyDescent="0.3">
      <c r="A4039" t="s">
        <v>4895</v>
      </c>
      <c r="B4039" s="2">
        <v>45603</v>
      </c>
      <c r="C4039" t="s">
        <v>302</v>
      </c>
      <c r="D4039" t="s">
        <v>818</v>
      </c>
      <c r="E4039" t="s">
        <v>835</v>
      </c>
      <c r="F4039">
        <v>3</v>
      </c>
      <c r="G4039">
        <v>0.15</v>
      </c>
      <c r="H4039" t="s">
        <v>861</v>
      </c>
      <c r="I4039" t="str">
        <f>VLOOKUP(C4039,Customers!A:C,2,FALSE)&amp;" "&amp;VLOOKUP(C4039,Customers!A:C,3,FALSE)</f>
        <v>Grace Garcia</v>
      </c>
      <c r="J4039" t="str">
        <f>VLOOKUP(D4039,Products!A:C,2,FALSE)</f>
        <v>Nature Clothing</v>
      </c>
      <c r="K4039" t="str">
        <f>VLOOKUP(D4039,Products!A:C,3,FALSE)</f>
        <v>Fashion</v>
      </c>
      <c r="L4039" t="str">
        <f>VLOOKUP(E4039,Stores!A:B,2,FALSE)</f>
        <v>MegaMart Peckmouth</v>
      </c>
      <c r="M4039">
        <f>VLOOKUP(D4039,Products!A:E,5,FALSE)</f>
        <v>1165.3699999999999</v>
      </c>
      <c r="N4039" s="5">
        <f t="shared" si="63"/>
        <v>2971.6934999999999</v>
      </c>
    </row>
    <row r="4040" spans="1:14" x14ac:dyDescent="0.3">
      <c r="A4040" t="s">
        <v>4896</v>
      </c>
      <c r="B4040" s="2">
        <v>45191</v>
      </c>
      <c r="C4040" t="s">
        <v>123</v>
      </c>
      <c r="D4040" t="s">
        <v>812</v>
      </c>
      <c r="E4040" t="s">
        <v>842</v>
      </c>
      <c r="F4040">
        <v>1</v>
      </c>
      <c r="G4040">
        <v>0.1</v>
      </c>
      <c r="H4040" t="s">
        <v>861</v>
      </c>
      <c r="I4040" t="str">
        <f>VLOOKUP(C4040,Customers!A:C,2,FALSE)&amp;" "&amp;VLOOKUP(C4040,Customers!A:C,3,FALSE)</f>
        <v>Ashley Gibson</v>
      </c>
      <c r="J4040" t="str">
        <f>VLOOKUP(D4040,Products!A:C,2,FALSE)</f>
        <v>Soon Accessories</v>
      </c>
      <c r="K4040" t="str">
        <f>VLOOKUP(D4040,Products!A:C,3,FALSE)</f>
        <v>Fashion</v>
      </c>
      <c r="L4040" t="str">
        <f>VLOOKUP(E4040,Stores!A:B,2,FALSE)</f>
        <v>MegaMart Brianahaven</v>
      </c>
      <c r="M4040">
        <f>VLOOKUP(D4040,Products!A:E,5,FALSE)</f>
        <v>564.41999999999996</v>
      </c>
      <c r="N4040" s="5">
        <f t="shared" si="63"/>
        <v>507.97799999999995</v>
      </c>
    </row>
    <row r="4041" spans="1:14" x14ac:dyDescent="0.3">
      <c r="A4041" t="s">
        <v>4897</v>
      </c>
      <c r="B4041" s="2">
        <v>45342</v>
      </c>
      <c r="C4041" t="s">
        <v>533</v>
      </c>
      <c r="D4041" t="s">
        <v>755</v>
      </c>
      <c r="E4041" t="s">
        <v>831</v>
      </c>
      <c r="F4041">
        <v>2</v>
      </c>
      <c r="G4041">
        <v>0.15</v>
      </c>
      <c r="H4041" t="s">
        <v>865</v>
      </c>
      <c r="I4041" t="str">
        <f>VLOOKUP(C4041,Customers!A:C,2,FALSE)&amp;" "&amp;VLOOKUP(C4041,Customers!A:C,3,FALSE)</f>
        <v>Crystal Garrison</v>
      </c>
      <c r="J4041" t="str">
        <f>VLOOKUP(D4041,Products!A:C,2,FALSE)</f>
        <v>House Accessories</v>
      </c>
      <c r="K4041" t="str">
        <f>VLOOKUP(D4041,Products!A:C,3,FALSE)</f>
        <v>Fashion</v>
      </c>
      <c r="L4041" t="str">
        <f>VLOOKUP(E4041,Stores!A:B,2,FALSE)</f>
        <v>MegaMart Jimenezborough</v>
      </c>
      <c r="M4041">
        <f>VLOOKUP(D4041,Products!A:E,5,FALSE)</f>
        <v>1858.75</v>
      </c>
      <c r="N4041" s="5">
        <f t="shared" si="63"/>
        <v>3159.875</v>
      </c>
    </row>
    <row r="4042" spans="1:14" x14ac:dyDescent="0.3">
      <c r="A4042" t="s">
        <v>4898</v>
      </c>
      <c r="B4042" s="2">
        <v>45678</v>
      </c>
      <c r="C4042" t="s">
        <v>467</v>
      </c>
      <c r="D4042" t="s">
        <v>780</v>
      </c>
      <c r="E4042" t="s">
        <v>835</v>
      </c>
      <c r="F4042">
        <v>1</v>
      </c>
      <c r="G4042">
        <v>0.05</v>
      </c>
      <c r="H4042" t="s">
        <v>865</v>
      </c>
      <c r="I4042" t="str">
        <f>VLOOKUP(C4042,Customers!A:C,2,FALSE)&amp;" "&amp;VLOOKUP(C4042,Customers!A:C,3,FALSE)</f>
        <v>John Allen</v>
      </c>
      <c r="J4042" t="str">
        <f>VLOOKUP(D4042,Products!A:C,2,FALSE)</f>
        <v>Hospital Smartphone</v>
      </c>
      <c r="K4042" t="str">
        <f>VLOOKUP(D4042,Products!A:C,3,FALSE)</f>
        <v>Electronics</v>
      </c>
      <c r="L4042" t="str">
        <f>VLOOKUP(E4042,Stores!A:B,2,FALSE)</f>
        <v>MegaMart Peckmouth</v>
      </c>
      <c r="M4042">
        <f>VLOOKUP(D4042,Products!A:E,5,FALSE)</f>
        <v>1272.23</v>
      </c>
      <c r="N4042" s="5">
        <f t="shared" si="63"/>
        <v>1208.6185</v>
      </c>
    </row>
    <row r="4043" spans="1:14" x14ac:dyDescent="0.3">
      <c r="A4043" t="s">
        <v>4899</v>
      </c>
      <c r="B4043" s="2">
        <v>45670</v>
      </c>
      <c r="C4043" t="s">
        <v>198</v>
      </c>
      <c r="D4043" t="s">
        <v>750</v>
      </c>
      <c r="E4043" t="s">
        <v>842</v>
      </c>
      <c r="F4043">
        <v>5</v>
      </c>
      <c r="G4043">
        <v>0.1</v>
      </c>
      <c r="H4043" t="s">
        <v>855</v>
      </c>
      <c r="I4043" t="str">
        <f>VLOOKUP(C4043,Customers!A:C,2,FALSE)&amp;" "&amp;VLOOKUP(C4043,Customers!A:C,3,FALSE)</f>
        <v>Madison Sellers</v>
      </c>
      <c r="J4043" t="str">
        <f>VLOOKUP(D4043,Products!A:C,2,FALSE)</f>
        <v>Add Clothing</v>
      </c>
      <c r="K4043" t="str">
        <f>VLOOKUP(D4043,Products!A:C,3,FALSE)</f>
        <v>Fashion</v>
      </c>
      <c r="L4043" t="str">
        <f>VLOOKUP(E4043,Stores!A:B,2,FALSE)</f>
        <v>MegaMart Brianahaven</v>
      </c>
      <c r="M4043">
        <f>VLOOKUP(D4043,Products!A:E,5,FALSE)</f>
        <v>1342.75</v>
      </c>
      <c r="N4043" s="5">
        <f t="shared" si="63"/>
        <v>6042.375</v>
      </c>
    </row>
    <row r="4044" spans="1:14" x14ac:dyDescent="0.3">
      <c r="A4044" t="s">
        <v>4900</v>
      </c>
      <c r="B4044" s="2">
        <v>45264</v>
      </c>
      <c r="C4044" t="s">
        <v>643</v>
      </c>
      <c r="D4044" t="s">
        <v>764</v>
      </c>
      <c r="E4044" t="s">
        <v>835</v>
      </c>
      <c r="F4044">
        <v>5</v>
      </c>
      <c r="G4044">
        <v>0.15</v>
      </c>
      <c r="H4044" t="s">
        <v>861</v>
      </c>
      <c r="I4044" t="str">
        <f>VLOOKUP(C4044,Customers!A:C,2,FALSE)&amp;" "&amp;VLOOKUP(C4044,Customers!A:C,3,FALSE)</f>
        <v>Meghan Wright</v>
      </c>
      <c r="J4044" t="str">
        <f>VLOOKUP(D4044,Products!A:C,2,FALSE)</f>
        <v>Simple Accessories</v>
      </c>
      <c r="K4044" t="str">
        <f>VLOOKUP(D4044,Products!A:C,3,FALSE)</f>
        <v>Fashion</v>
      </c>
      <c r="L4044" t="str">
        <f>VLOOKUP(E4044,Stores!A:B,2,FALSE)</f>
        <v>MegaMart Peckmouth</v>
      </c>
      <c r="M4044">
        <f>VLOOKUP(D4044,Products!A:E,5,FALSE)</f>
        <v>323.92</v>
      </c>
      <c r="N4044" s="5">
        <f t="shared" si="63"/>
        <v>1376.66</v>
      </c>
    </row>
    <row r="4045" spans="1:14" x14ac:dyDescent="0.3">
      <c r="A4045" t="s">
        <v>4901</v>
      </c>
      <c r="B4045" s="2">
        <v>45332</v>
      </c>
      <c r="C4045" t="s">
        <v>653</v>
      </c>
      <c r="D4045" t="s">
        <v>786</v>
      </c>
      <c r="E4045" t="s">
        <v>831</v>
      </c>
      <c r="F4045">
        <v>5</v>
      </c>
      <c r="G4045">
        <v>0.05</v>
      </c>
      <c r="H4045" t="s">
        <v>858</v>
      </c>
      <c r="I4045" t="str">
        <f>VLOOKUP(C4045,Customers!A:C,2,FALSE)&amp;" "&amp;VLOOKUP(C4045,Customers!A:C,3,FALSE)</f>
        <v>Joe Vincent</v>
      </c>
      <c r="J4045" t="str">
        <f>VLOOKUP(D4045,Products!A:C,2,FALSE)</f>
        <v>National Watches</v>
      </c>
      <c r="K4045" t="str">
        <f>VLOOKUP(D4045,Products!A:C,3,FALSE)</f>
        <v>Fashion</v>
      </c>
      <c r="L4045" t="str">
        <f>VLOOKUP(E4045,Stores!A:B,2,FALSE)</f>
        <v>MegaMart Jimenezborough</v>
      </c>
      <c r="M4045">
        <f>VLOOKUP(D4045,Products!A:E,5,FALSE)</f>
        <v>29.24</v>
      </c>
      <c r="N4045" s="5">
        <f t="shared" si="63"/>
        <v>138.88999999999999</v>
      </c>
    </row>
    <row r="4046" spans="1:14" x14ac:dyDescent="0.3">
      <c r="A4046" t="s">
        <v>4902</v>
      </c>
      <c r="B4046" s="2">
        <v>45479</v>
      </c>
      <c r="C4046" t="s">
        <v>243</v>
      </c>
      <c r="D4046" t="s">
        <v>786</v>
      </c>
      <c r="E4046" t="s">
        <v>839</v>
      </c>
      <c r="F4046">
        <v>2</v>
      </c>
      <c r="G4046">
        <v>0.1</v>
      </c>
      <c r="H4046" t="s">
        <v>855</v>
      </c>
      <c r="I4046" t="str">
        <f>VLOOKUP(C4046,Customers!A:C,2,FALSE)&amp;" "&amp;VLOOKUP(C4046,Customers!A:C,3,FALSE)</f>
        <v>Amanda Hoover</v>
      </c>
      <c r="J4046" t="str">
        <f>VLOOKUP(D4046,Products!A:C,2,FALSE)</f>
        <v>National Watches</v>
      </c>
      <c r="K4046" t="str">
        <f>VLOOKUP(D4046,Products!A:C,3,FALSE)</f>
        <v>Fashion</v>
      </c>
      <c r="L4046" t="str">
        <f>VLOOKUP(E4046,Stores!A:B,2,FALSE)</f>
        <v>MegaMart New Michele</v>
      </c>
      <c r="M4046">
        <f>VLOOKUP(D4046,Products!A:E,5,FALSE)</f>
        <v>29.24</v>
      </c>
      <c r="N4046" s="5">
        <f t="shared" si="63"/>
        <v>52.631999999999998</v>
      </c>
    </row>
    <row r="4047" spans="1:14" x14ac:dyDescent="0.3">
      <c r="A4047" t="s">
        <v>4903</v>
      </c>
      <c r="B4047" s="2">
        <v>45595</v>
      </c>
      <c r="C4047" t="s">
        <v>601</v>
      </c>
      <c r="D4047" t="s">
        <v>806</v>
      </c>
      <c r="E4047" t="s">
        <v>835</v>
      </c>
      <c r="F4047">
        <v>2</v>
      </c>
      <c r="G4047">
        <v>0.05</v>
      </c>
      <c r="H4047" t="s">
        <v>861</v>
      </c>
      <c r="I4047" t="str">
        <f>VLOOKUP(C4047,Customers!A:C,2,FALSE)&amp;" "&amp;VLOOKUP(C4047,Customers!A:C,3,FALSE)</f>
        <v>Travis Watson</v>
      </c>
      <c r="J4047" t="str">
        <f>VLOOKUP(D4047,Products!A:C,2,FALSE)</f>
        <v>Piece Headphones</v>
      </c>
      <c r="K4047" t="str">
        <f>VLOOKUP(D4047,Products!A:C,3,FALSE)</f>
        <v>Electronics</v>
      </c>
      <c r="L4047" t="str">
        <f>VLOOKUP(E4047,Stores!A:B,2,FALSE)</f>
        <v>MegaMart Peckmouth</v>
      </c>
      <c r="M4047">
        <f>VLOOKUP(D4047,Products!A:E,5,FALSE)</f>
        <v>1745.61</v>
      </c>
      <c r="N4047" s="5">
        <f t="shared" si="63"/>
        <v>3316.6589999999997</v>
      </c>
    </row>
    <row r="4048" spans="1:14" x14ac:dyDescent="0.3">
      <c r="A4048" t="s">
        <v>4904</v>
      </c>
      <c r="B4048" s="2">
        <v>45667</v>
      </c>
      <c r="C4048" t="s">
        <v>151</v>
      </c>
      <c r="D4048" t="s">
        <v>786</v>
      </c>
      <c r="E4048" t="s">
        <v>842</v>
      </c>
      <c r="F4048">
        <v>2</v>
      </c>
      <c r="G4048">
        <v>0.05</v>
      </c>
      <c r="H4048" t="s">
        <v>861</v>
      </c>
      <c r="I4048" t="str">
        <f>VLOOKUP(C4048,Customers!A:C,2,FALSE)&amp;" "&amp;VLOOKUP(C4048,Customers!A:C,3,FALSE)</f>
        <v>Nancy Savage</v>
      </c>
      <c r="J4048" t="str">
        <f>VLOOKUP(D4048,Products!A:C,2,FALSE)</f>
        <v>National Watches</v>
      </c>
      <c r="K4048" t="str">
        <f>VLOOKUP(D4048,Products!A:C,3,FALSE)</f>
        <v>Fashion</v>
      </c>
      <c r="L4048" t="str">
        <f>VLOOKUP(E4048,Stores!A:B,2,FALSE)</f>
        <v>MegaMart Brianahaven</v>
      </c>
      <c r="M4048">
        <f>VLOOKUP(D4048,Products!A:E,5,FALSE)</f>
        <v>29.24</v>
      </c>
      <c r="N4048" s="5">
        <f t="shared" si="63"/>
        <v>55.555999999999997</v>
      </c>
    </row>
    <row r="4049" spans="1:14" x14ac:dyDescent="0.3">
      <c r="A4049" t="s">
        <v>4905</v>
      </c>
      <c r="B4049" s="2">
        <v>45844</v>
      </c>
      <c r="C4049" t="s">
        <v>7</v>
      </c>
      <c r="D4049" t="s">
        <v>722</v>
      </c>
      <c r="E4049" t="s">
        <v>839</v>
      </c>
      <c r="F4049">
        <v>3</v>
      </c>
      <c r="G4049">
        <v>0.15</v>
      </c>
      <c r="H4049" t="s">
        <v>861</v>
      </c>
      <c r="I4049" t="str">
        <f>VLOOKUP(C4049,Customers!A:C,2,FALSE)&amp;" "&amp;VLOOKUP(C4049,Customers!A:C,3,FALSE)</f>
        <v>Michael Davis</v>
      </c>
      <c r="J4049" t="str">
        <f>VLOOKUP(D4049,Products!A:C,2,FALSE)</f>
        <v>Four Accessories</v>
      </c>
      <c r="K4049" t="str">
        <f>VLOOKUP(D4049,Products!A:C,3,FALSE)</f>
        <v>Fashion</v>
      </c>
      <c r="L4049" t="str">
        <f>VLOOKUP(E4049,Stores!A:B,2,FALSE)</f>
        <v>MegaMart New Michele</v>
      </c>
      <c r="M4049">
        <f>VLOOKUP(D4049,Products!A:E,5,FALSE)</f>
        <v>1853.77</v>
      </c>
      <c r="N4049" s="5">
        <f t="shared" si="63"/>
        <v>4727.1134999999995</v>
      </c>
    </row>
    <row r="4050" spans="1:14" x14ac:dyDescent="0.3">
      <c r="A4050" t="s">
        <v>4906</v>
      </c>
      <c r="B4050" s="2">
        <v>45843</v>
      </c>
      <c r="C4050" t="s">
        <v>343</v>
      </c>
      <c r="D4050" t="s">
        <v>711</v>
      </c>
      <c r="E4050" t="s">
        <v>835</v>
      </c>
      <c r="F4050">
        <v>2</v>
      </c>
      <c r="G4050">
        <v>0.05</v>
      </c>
      <c r="H4050" t="s">
        <v>858</v>
      </c>
      <c r="I4050" t="str">
        <f>VLOOKUP(C4050,Customers!A:C,2,FALSE)&amp;" "&amp;VLOOKUP(C4050,Customers!A:C,3,FALSE)</f>
        <v>Brian Fowler</v>
      </c>
      <c r="J4050" t="str">
        <f>VLOOKUP(D4050,Products!A:C,2,FALSE)</f>
        <v>Like Camera</v>
      </c>
      <c r="K4050" t="str">
        <f>VLOOKUP(D4050,Products!A:C,3,FALSE)</f>
        <v>Electronics</v>
      </c>
      <c r="L4050" t="str">
        <f>VLOOKUP(E4050,Stores!A:B,2,FALSE)</f>
        <v>MegaMart Peckmouth</v>
      </c>
      <c r="M4050">
        <f>VLOOKUP(D4050,Products!A:E,5,FALSE)</f>
        <v>1673.69</v>
      </c>
      <c r="N4050" s="5">
        <f t="shared" si="63"/>
        <v>3180.011</v>
      </c>
    </row>
    <row r="4051" spans="1:14" x14ac:dyDescent="0.3">
      <c r="A4051" t="s">
        <v>4907</v>
      </c>
      <c r="B4051" s="2">
        <v>45432</v>
      </c>
      <c r="C4051" t="s">
        <v>411</v>
      </c>
      <c r="D4051" t="s">
        <v>824</v>
      </c>
      <c r="E4051" t="s">
        <v>831</v>
      </c>
      <c r="F4051">
        <v>5</v>
      </c>
      <c r="G4051">
        <v>0.1</v>
      </c>
      <c r="H4051" t="s">
        <v>865</v>
      </c>
      <c r="I4051" t="str">
        <f>VLOOKUP(C4051,Customers!A:C,2,FALSE)&amp;" "&amp;VLOOKUP(C4051,Customers!A:C,3,FALSE)</f>
        <v>Travis Peters</v>
      </c>
      <c r="J4051" t="str">
        <f>VLOOKUP(D4051,Products!A:C,2,FALSE)</f>
        <v>Possible Watches</v>
      </c>
      <c r="K4051" t="str">
        <f>VLOOKUP(D4051,Products!A:C,3,FALSE)</f>
        <v>Fashion</v>
      </c>
      <c r="L4051" t="str">
        <f>VLOOKUP(E4051,Stores!A:B,2,FALSE)</f>
        <v>MegaMart Jimenezborough</v>
      </c>
      <c r="M4051">
        <f>VLOOKUP(D4051,Products!A:E,5,FALSE)</f>
        <v>388.26</v>
      </c>
      <c r="N4051" s="5">
        <f t="shared" si="63"/>
        <v>1747.17</v>
      </c>
    </row>
    <row r="4052" spans="1:14" x14ac:dyDescent="0.3">
      <c r="A4052" t="s">
        <v>4908</v>
      </c>
      <c r="B4052" s="2">
        <v>45753</v>
      </c>
      <c r="C4052" t="s">
        <v>449</v>
      </c>
      <c r="D4052" t="s">
        <v>747</v>
      </c>
      <c r="E4052" t="s">
        <v>842</v>
      </c>
      <c r="F4052">
        <v>1</v>
      </c>
      <c r="G4052">
        <v>0</v>
      </c>
      <c r="H4052" t="s">
        <v>858</v>
      </c>
      <c r="I4052" t="str">
        <f>VLOOKUP(C4052,Customers!A:C,2,FALSE)&amp;" "&amp;VLOOKUP(C4052,Customers!A:C,3,FALSE)</f>
        <v>John Bell</v>
      </c>
      <c r="J4052" t="str">
        <f>VLOOKUP(D4052,Products!A:C,2,FALSE)</f>
        <v>World Watches</v>
      </c>
      <c r="K4052" t="str">
        <f>VLOOKUP(D4052,Products!A:C,3,FALSE)</f>
        <v>Fashion</v>
      </c>
      <c r="L4052" t="str">
        <f>VLOOKUP(E4052,Stores!A:B,2,FALSE)</f>
        <v>MegaMart Brianahaven</v>
      </c>
      <c r="M4052">
        <f>VLOOKUP(D4052,Products!A:E,5,FALSE)</f>
        <v>1134.8</v>
      </c>
      <c r="N4052" s="5">
        <f t="shared" si="63"/>
        <v>1134.8</v>
      </c>
    </row>
    <row r="4053" spans="1:14" x14ac:dyDescent="0.3">
      <c r="A4053" t="s">
        <v>4909</v>
      </c>
      <c r="B4053" s="2">
        <v>45702</v>
      </c>
      <c r="C4053" t="s">
        <v>51</v>
      </c>
      <c r="D4053" t="s">
        <v>772</v>
      </c>
      <c r="E4053" t="s">
        <v>846</v>
      </c>
      <c r="F4053">
        <v>2</v>
      </c>
      <c r="G4053">
        <v>0.15</v>
      </c>
      <c r="H4053" t="s">
        <v>858</v>
      </c>
      <c r="I4053" t="str">
        <f>VLOOKUP(C4053,Customers!A:C,2,FALSE)&amp;" "&amp;VLOOKUP(C4053,Customers!A:C,3,FALSE)</f>
        <v>Dale Perry</v>
      </c>
      <c r="J4053" t="str">
        <f>VLOOKUP(D4053,Products!A:C,2,FALSE)</f>
        <v>And Footwear</v>
      </c>
      <c r="K4053" t="str">
        <f>VLOOKUP(D4053,Products!A:C,3,FALSE)</f>
        <v>Fashion</v>
      </c>
      <c r="L4053" t="str">
        <f>VLOOKUP(E4053,Stores!A:B,2,FALSE)</f>
        <v>MegaMart Johnmouth</v>
      </c>
      <c r="M4053">
        <f>VLOOKUP(D4053,Products!A:E,5,FALSE)</f>
        <v>1878.47</v>
      </c>
      <c r="N4053" s="5">
        <f t="shared" si="63"/>
        <v>3193.3989999999999</v>
      </c>
    </row>
    <row r="4054" spans="1:14" x14ac:dyDescent="0.3">
      <c r="A4054" t="s">
        <v>4910</v>
      </c>
      <c r="B4054" s="2">
        <v>45851</v>
      </c>
      <c r="C4054" t="s">
        <v>123</v>
      </c>
      <c r="D4054" t="s">
        <v>798</v>
      </c>
      <c r="E4054" t="s">
        <v>846</v>
      </c>
      <c r="F4054">
        <v>2</v>
      </c>
      <c r="G4054">
        <v>0.05</v>
      </c>
      <c r="H4054" t="s">
        <v>858</v>
      </c>
      <c r="I4054" t="str">
        <f>VLOOKUP(C4054,Customers!A:C,2,FALSE)&amp;" "&amp;VLOOKUP(C4054,Customers!A:C,3,FALSE)</f>
        <v>Ashley Gibson</v>
      </c>
      <c r="J4054" t="str">
        <f>VLOOKUP(D4054,Products!A:C,2,FALSE)</f>
        <v>New Watches</v>
      </c>
      <c r="K4054" t="str">
        <f>VLOOKUP(D4054,Products!A:C,3,FALSE)</f>
        <v>Fashion</v>
      </c>
      <c r="L4054" t="str">
        <f>VLOOKUP(E4054,Stores!A:B,2,FALSE)</f>
        <v>MegaMart Johnmouth</v>
      </c>
      <c r="M4054">
        <f>VLOOKUP(D4054,Products!A:E,5,FALSE)</f>
        <v>1501.46</v>
      </c>
      <c r="N4054" s="5">
        <f t="shared" si="63"/>
        <v>2852.7739999999999</v>
      </c>
    </row>
    <row r="4055" spans="1:14" x14ac:dyDescent="0.3">
      <c r="A4055" t="s">
        <v>4911</v>
      </c>
      <c r="B4055" s="2">
        <v>45551</v>
      </c>
      <c r="C4055" t="s">
        <v>44</v>
      </c>
      <c r="D4055" t="s">
        <v>800</v>
      </c>
      <c r="E4055" t="s">
        <v>831</v>
      </c>
      <c r="F4055">
        <v>1</v>
      </c>
      <c r="G4055">
        <v>0.15</v>
      </c>
      <c r="H4055" t="s">
        <v>865</v>
      </c>
      <c r="I4055" t="str">
        <f>VLOOKUP(C4055,Customers!A:C,2,FALSE)&amp;" "&amp;VLOOKUP(C4055,Customers!A:C,3,FALSE)</f>
        <v>Catherine Rice</v>
      </c>
      <c r="J4055" t="str">
        <f>VLOOKUP(D4055,Products!A:C,2,FALSE)</f>
        <v>Book Television</v>
      </c>
      <c r="K4055" t="str">
        <f>VLOOKUP(D4055,Products!A:C,3,FALSE)</f>
        <v>Electronics</v>
      </c>
      <c r="L4055" t="str">
        <f>VLOOKUP(E4055,Stores!A:B,2,FALSE)</f>
        <v>MegaMart Jimenezborough</v>
      </c>
      <c r="M4055">
        <f>VLOOKUP(D4055,Products!A:E,5,FALSE)</f>
        <v>1952.65</v>
      </c>
      <c r="N4055" s="5">
        <f t="shared" si="63"/>
        <v>1659.7525000000001</v>
      </c>
    </row>
    <row r="4056" spans="1:14" x14ac:dyDescent="0.3">
      <c r="A4056" t="s">
        <v>4912</v>
      </c>
      <c r="B4056" s="2">
        <v>45567</v>
      </c>
      <c r="C4056" t="s">
        <v>155</v>
      </c>
      <c r="D4056" t="s">
        <v>757</v>
      </c>
      <c r="E4056" t="s">
        <v>842</v>
      </c>
      <c r="F4056">
        <v>1</v>
      </c>
      <c r="G4056">
        <v>0.1</v>
      </c>
      <c r="H4056" t="s">
        <v>861</v>
      </c>
      <c r="I4056" t="str">
        <f>VLOOKUP(C4056,Customers!A:C,2,FALSE)&amp;" "&amp;VLOOKUP(C4056,Customers!A:C,3,FALSE)</f>
        <v>Scott Powell</v>
      </c>
      <c r="J4056" t="str">
        <f>VLOOKUP(D4056,Products!A:C,2,FALSE)</f>
        <v>Find Headphones</v>
      </c>
      <c r="K4056" t="str">
        <f>VLOOKUP(D4056,Products!A:C,3,FALSE)</f>
        <v>Electronics</v>
      </c>
      <c r="L4056" t="str">
        <f>VLOOKUP(E4056,Stores!A:B,2,FALSE)</f>
        <v>MegaMart Brianahaven</v>
      </c>
      <c r="M4056">
        <f>VLOOKUP(D4056,Products!A:E,5,FALSE)</f>
        <v>1246.1099999999999</v>
      </c>
      <c r="N4056" s="5">
        <f t="shared" si="63"/>
        <v>1121.499</v>
      </c>
    </row>
    <row r="4057" spans="1:14" x14ac:dyDescent="0.3">
      <c r="A4057" t="s">
        <v>4913</v>
      </c>
      <c r="B4057" s="2">
        <v>45593</v>
      </c>
      <c r="C4057" t="s">
        <v>520</v>
      </c>
      <c r="D4057" t="s">
        <v>750</v>
      </c>
      <c r="E4057" t="s">
        <v>846</v>
      </c>
      <c r="F4057">
        <v>2</v>
      </c>
      <c r="G4057">
        <v>0</v>
      </c>
      <c r="H4057" t="s">
        <v>858</v>
      </c>
      <c r="I4057" t="str">
        <f>VLOOKUP(C4057,Customers!A:C,2,FALSE)&amp;" "&amp;VLOOKUP(C4057,Customers!A:C,3,FALSE)</f>
        <v>Cynthia Carlson</v>
      </c>
      <c r="J4057" t="str">
        <f>VLOOKUP(D4057,Products!A:C,2,FALSE)</f>
        <v>Add Clothing</v>
      </c>
      <c r="K4057" t="str">
        <f>VLOOKUP(D4057,Products!A:C,3,FALSE)</f>
        <v>Fashion</v>
      </c>
      <c r="L4057" t="str">
        <f>VLOOKUP(E4057,Stores!A:B,2,FALSE)</f>
        <v>MegaMart Johnmouth</v>
      </c>
      <c r="M4057">
        <f>VLOOKUP(D4057,Products!A:E,5,FALSE)</f>
        <v>1342.75</v>
      </c>
      <c r="N4057" s="5">
        <f t="shared" si="63"/>
        <v>2685.5</v>
      </c>
    </row>
    <row r="4058" spans="1:14" x14ac:dyDescent="0.3">
      <c r="A4058" t="s">
        <v>4914</v>
      </c>
      <c r="B4058" s="2">
        <v>45750</v>
      </c>
      <c r="C4058" t="s">
        <v>608</v>
      </c>
      <c r="D4058" t="s">
        <v>715</v>
      </c>
      <c r="E4058" t="s">
        <v>842</v>
      </c>
      <c r="F4058">
        <v>3</v>
      </c>
      <c r="G4058">
        <v>0.1</v>
      </c>
      <c r="H4058" t="s">
        <v>858</v>
      </c>
      <c r="I4058" t="str">
        <f>VLOOKUP(C4058,Customers!A:C,2,FALSE)&amp;" "&amp;VLOOKUP(C4058,Customers!A:C,3,FALSE)</f>
        <v>Christina Dominguez</v>
      </c>
      <c r="J4058" t="str">
        <f>VLOOKUP(D4058,Products!A:C,2,FALSE)</f>
        <v>Audience Television</v>
      </c>
      <c r="K4058" t="str">
        <f>VLOOKUP(D4058,Products!A:C,3,FALSE)</f>
        <v>Electronics</v>
      </c>
      <c r="L4058" t="str">
        <f>VLOOKUP(E4058,Stores!A:B,2,FALSE)</f>
        <v>MegaMart Brianahaven</v>
      </c>
      <c r="M4058">
        <f>VLOOKUP(D4058,Products!A:E,5,FALSE)</f>
        <v>818.76</v>
      </c>
      <c r="N4058" s="5">
        <f t="shared" si="63"/>
        <v>2210.652</v>
      </c>
    </row>
    <row r="4059" spans="1:14" x14ac:dyDescent="0.3">
      <c r="A4059" t="s">
        <v>4915</v>
      </c>
      <c r="B4059" s="2">
        <v>45387</v>
      </c>
      <c r="C4059" t="s">
        <v>454</v>
      </c>
      <c r="D4059" t="s">
        <v>711</v>
      </c>
      <c r="E4059" t="s">
        <v>835</v>
      </c>
      <c r="F4059">
        <v>3</v>
      </c>
      <c r="G4059">
        <v>0.15</v>
      </c>
      <c r="H4059" t="s">
        <v>855</v>
      </c>
      <c r="I4059" t="str">
        <f>VLOOKUP(C4059,Customers!A:C,2,FALSE)&amp;" "&amp;VLOOKUP(C4059,Customers!A:C,3,FALSE)</f>
        <v>Peter Edwards</v>
      </c>
      <c r="J4059" t="str">
        <f>VLOOKUP(D4059,Products!A:C,2,FALSE)</f>
        <v>Like Camera</v>
      </c>
      <c r="K4059" t="str">
        <f>VLOOKUP(D4059,Products!A:C,3,FALSE)</f>
        <v>Electronics</v>
      </c>
      <c r="L4059" t="str">
        <f>VLOOKUP(E4059,Stores!A:B,2,FALSE)</f>
        <v>MegaMart Peckmouth</v>
      </c>
      <c r="M4059">
        <f>VLOOKUP(D4059,Products!A:E,5,FALSE)</f>
        <v>1673.69</v>
      </c>
      <c r="N4059" s="5">
        <f t="shared" si="63"/>
        <v>4267.9094999999998</v>
      </c>
    </row>
    <row r="4060" spans="1:14" x14ac:dyDescent="0.3">
      <c r="A4060" t="s">
        <v>4916</v>
      </c>
      <c r="B4060" s="2">
        <v>45538</v>
      </c>
      <c r="C4060" t="s">
        <v>134</v>
      </c>
      <c r="D4060" t="s">
        <v>750</v>
      </c>
      <c r="E4060" t="s">
        <v>835</v>
      </c>
      <c r="F4060">
        <v>2</v>
      </c>
      <c r="G4060">
        <v>0.05</v>
      </c>
      <c r="H4060" t="s">
        <v>861</v>
      </c>
      <c r="I4060" t="str">
        <f>VLOOKUP(C4060,Customers!A:C,2,FALSE)&amp;" "&amp;VLOOKUP(C4060,Customers!A:C,3,FALSE)</f>
        <v>Kari Miller</v>
      </c>
      <c r="J4060" t="str">
        <f>VLOOKUP(D4060,Products!A:C,2,FALSE)</f>
        <v>Add Clothing</v>
      </c>
      <c r="K4060" t="str">
        <f>VLOOKUP(D4060,Products!A:C,3,FALSE)</f>
        <v>Fashion</v>
      </c>
      <c r="L4060" t="str">
        <f>VLOOKUP(E4060,Stores!A:B,2,FALSE)</f>
        <v>MegaMart Peckmouth</v>
      </c>
      <c r="M4060">
        <f>VLOOKUP(D4060,Products!A:E,5,FALSE)</f>
        <v>1342.75</v>
      </c>
      <c r="N4060" s="5">
        <f t="shared" si="63"/>
        <v>2551.2249999999999</v>
      </c>
    </row>
    <row r="4061" spans="1:14" x14ac:dyDescent="0.3">
      <c r="A4061" t="s">
        <v>4917</v>
      </c>
      <c r="B4061" s="2">
        <v>45491</v>
      </c>
      <c r="C4061" t="s">
        <v>144</v>
      </c>
      <c r="D4061" t="s">
        <v>780</v>
      </c>
      <c r="E4061" t="s">
        <v>835</v>
      </c>
      <c r="F4061">
        <v>5</v>
      </c>
      <c r="G4061">
        <v>0</v>
      </c>
      <c r="H4061" t="s">
        <v>865</v>
      </c>
      <c r="I4061" t="str">
        <f>VLOOKUP(C4061,Customers!A:C,2,FALSE)&amp;" "&amp;VLOOKUP(C4061,Customers!A:C,3,FALSE)</f>
        <v>Miranda Nelson</v>
      </c>
      <c r="J4061" t="str">
        <f>VLOOKUP(D4061,Products!A:C,2,FALSE)</f>
        <v>Hospital Smartphone</v>
      </c>
      <c r="K4061" t="str">
        <f>VLOOKUP(D4061,Products!A:C,3,FALSE)</f>
        <v>Electronics</v>
      </c>
      <c r="L4061" t="str">
        <f>VLOOKUP(E4061,Stores!A:B,2,FALSE)</f>
        <v>MegaMart Peckmouth</v>
      </c>
      <c r="M4061">
        <f>VLOOKUP(D4061,Products!A:E,5,FALSE)</f>
        <v>1272.23</v>
      </c>
      <c r="N4061" s="5">
        <f t="shared" si="63"/>
        <v>6361.15</v>
      </c>
    </row>
    <row r="4062" spans="1:14" x14ac:dyDescent="0.3">
      <c r="A4062" t="s">
        <v>4918</v>
      </c>
      <c r="B4062" s="2">
        <v>45464</v>
      </c>
      <c r="C4062" t="s">
        <v>683</v>
      </c>
      <c r="D4062" t="s">
        <v>794</v>
      </c>
      <c r="E4062" t="s">
        <v>846</v>
      </c>
      <c r="F4062">
        <v>3</v>
      </c>
      <c r="G4062">
        <v>0.1</v>
      </c>
      <c r="H4062" t="s">
        <v>861</v>
      </c>
      <c r="I4062" t="str">
        <f>VLOOKUP(C4062,Customers!A:C,2,FALSE)&amp;" "&amp;VLOOKUP(C4062,Customers!A:C,3,FALSE)</f>
        <v>Ann West</v>
      </c>
      <c r="J4062" t="str">
        <f>VLOOKUP(D4062,Products!A:C,2,FALSE)</f>
        <v>Everything Laptop</v>
      </c>
      <c r="K4062" t="str">
        <f>VLOOKUP(D4062,Products!A:C,3,FALSE)</f>
        <v>Electronics</v>
      </c>
      <c r="L4062" t="str">
        <f>VLOOKUP(E4062,Stores!A:B,2,FALSE)</f>
        <v>MegaMart Johnmouth</v>
      </c>
      <c r="M4062">
        <f>VLOOKUP(D4062,Products!A:E,5,FALSE)</f>
        <v>428.05</v>
      </c>
      <c r="N4062" s="5">
        <f t="shared" si="63"/>
        <v>1155.7350000000001</v>
      </c>
    </row>
    <row r="4063" spans="1:14" x14ac:dyDescent="0.3">
      <c r="A4063" t="s">
        <v>4919</v>
      </c>
      <c r="B4063" s="2">
        <v>45657</v>
      </c>
      <c r="C4063" t="s">
        <v>335</v>
      </c>
      <c r="D4063" t="s">
        <v>725</v>
      </c>
      <c r="E4063" t="s">
        <v>846</v>
      </c>
      <c r="F4063">
        <v>5</v>
      </c>
      <c r="G4063">
        <v>0.05</v>
      </c>
      <c r="H4063" t="s">
        <v>861</v>
      </c>
      <c r="I4063" t="str">
        <f>VLOOKUP(C4063,Customers!A:C,2,FALSE)&amp;" "&amp;VLOOKUP(C4063,Customers!A:C,3,FALSE)</f>
        <v>William Warner</v>
      </c>
      <c r="J4063" t="str">
        <f>VLOOKUP(D4063,Products!A:C,2,FALSE)</f>
        <v>Knowledge Bags</v>
      </c>
      <c r="K4063" t="str">
        <f>VLOOKUP(D4063,Products!A:C,3,FALSE)</f>
        <v>Fashion</v>
      </c>
      <c r="L4063" t="str">
        <f>VLOOKUP(E4063,Stores!A:B,2,FALSE)</f>
        <v>MegaMart Johnmouth</v>
      </c>
      <c r="M4063">
        <f>VLOOKUP(D4063,Products!A:E,5,FALSE)</f>
        <v>1396.22</v>
      </c>
      <c r="N4063" s="5">
        <f t="shared" si="63"/>
        <v>6632.0450000000001</v>
      </c>
    </row>
    <row r="4064" spans="1:14" x14ac:dyDescent="0.3">
      <c r="A4064" t="s">
        <v>4920</v>
      </c>
      <c r="B4064" s="2">
        <v>45648</v>
      </c>
      <c r="C4064" t="s">
        <v>179</v>
      </c>
      <c r="D4064" t="s">
        <v>753</v>
      </c>
      <c r="E4064" t="s">
        <v>839</v>
      </c>
      <c r="F4064">
        <v>4</v>
      </c>
      <c r="G4064">
        <v>0</v>
      </c>
      <c r="H4064" t="s">
        <v>858</v>
      </c>
      <c r="I4064" t="str">
        <f>VLOOKUP(C4064,Customers!A:C,2,FALSE)&amp;" "&amp;VLOOKUP(C4064,Customers!A:C,3,FALSE)</f>
        <v>Dennis Poole</v>
      </c>
      <c r="J4064" t="str">
        <f>VLOOKUP(D4064,Products!A:C,2,FALSE)</f>
        <v>Whether Bags</v>
      </c>
      <c r="K4064" t="str">
        <f>VLOOKUP(D4064,Products!A:C,3,FALSE)</f>
        <v>Fashion</v>
      </c>
      <c r="L4064" t="str">
        <f>VLOOKUP(E4064,Stores!A:B,2,FALSE)</f>
        <v>MegaMart New Michele</v>
      </c>
      <c r="M4064">
        <f>VLOOKUP(D4064,Products!A:E,5,FALSE)</f>
        <v>270.45</v>
      </c>
      <c r="N4064" s="5">
        <f t="shared" si="63"/>
        <v>1081.8</v>
      </c>
    </row>
    <row r="4065" spans="1:14" x14ac:dyDescent="0.3">
      <c r="A4065" t="s">
        <v>4921</v>
      </c>
      <c r="B4065" s="2">
        <v>45187</v>
      </c>
      <c r="C4065" t="s">
        <v>183</v>
      </c>
      <c r="D4065" t="s">
        <v>761</v>
      </c>
      <c r="E4065" t="s">
        <v>846</v>
      </c>
      <c r="F4065">
        <v>3</v>
      </c>
      <c r="G4065">
        <v>0.05</v>
      </c>
      <c r="H4065" t="s">
        <v>855</v>
      </c>
      <c r="I4065" t="str">
        <f>VLOOKUP(C4065,Customers!A:C,2,FALSE)&amp;" "&amp;VLOOKUP(C4065,Customers!A:C,3,FALSE)</f>
        <v>Mary Decker</v>
      </c>
      <c r="J4065" t="str">
        <f>VLOOKUP(D4065,Products!A:C,2,FALSE)</f>
        <v>Traditional Laptop</v>
      </c>
      <c r="K4065" t="str">
        <f>VLOOKUP(D4065,Products!A:C,3,FALSE)</f>
        <v>Electronics</v>
      </c>
      <c r="L4065" t="str">
        <f>VLOOKUP(E4065,Stores!A:B,2,FALSE)</f>
        <v>MegaMart Johnmouth</v>
      </c>
      <c r="M4065">
        <f>VLOOKUP(D4065,Products!A:E,5,FALSE)</f>
        <v>1762.92</v>
      </c>
      <c r="N4065" s="5">
        <f t="shared" si="63"/>
        <v>5024.3220000000001</v>
      </c>
    </row>
    <row r="4066" spans="1:14" x14ac:dyDescent="0.3">
      <c r="A4066" t="s">
        <v>4922</v>
      </c>
      <c r="B4066" s="2">
        <v>45265</v>
      </c>
      <c r="C4066" t="s">
        <v>599</v>
      </c>
      <c r="D4066" t="s">
        <v>750</v>
      </c>
      <c r="E4066" t="s">
        <v>831</v>
      </c>
      <c r="F4066">
        <v>4</v>
      </c>
      <c r="G4066">
        <v>0.05</v>
      </c>
      <c r="H4066" t="s">
        <v>858</v>
      </c>
      <c r="I4066" t="str">
        <f>VLOOKUP(C4066,Customers!A:C,2,FALSE)&amp;" "&amp;VLOOKUP(C4066,Customers!A:C,3,FALSE)</f>
        <v>Richard Jones</v>
      </c>
      <c r="J4066" t="str">
        <f>VLOOKUP(D4066,Products!A:C,2,FALSE)</f>
        <v>Add Clothing</v>
      </c>
      <c r="K4066" t="str">
        <f>VLOOKUP(D4066,Products!A:C,3,FALSE)</f>
        <v>Fashion</v>
      </c>
      <c r="L4066" t="str">
        <f>VLOOKUP(E4066,Stores!A:B,2,FALSE)</f>
        <v>MegaMart Jimenezborough</v>
      </c>
      <c r="M4066">
        <f>VLOOKUP(D4066,Products!A:E,5,FALSE)</f>
        <v>1342.75</v>
      </c>
      <c r="N4066" s="5">
        <f t="shared" si="63"/>
        <v>5102.45</v>
      </c>
    </row>
    <row r="4067" spans="1:14" x14ac:dyDescent="0.3">
      <c r="A4067" t="s">
        <v>4923</v>
      </c>
      <c r="B4067" s="2">
        <v>45295</v>
      </c>
      <c r="C4067" t="s">
        <v>241</v>
      </c>
      <c r="D4067" t="s">
        <v>742</v>
      </c>
      <c r="E4067" t="s">
        <v>831</v>
      </c>
      <c r="F4067">
        <v>1</v>
      </c>
      <c r="G4067">
        <v>0</v>
      </c>
      <c r="H4067" t="s">
        <v>855</v>
      </c>
      <c r="I4067" t="str">
        <f>VLOOKUP(C4067,Customers!A:C,2,FALSE)&amp;" "&amp;VLOOKUP(C4067,Customers!A:C,3,FALSE)</f>
        <v>Michael Johnson</v>
      </c>
      <c r="J4067" t="str">
        <f>VLOOKUP(D4067,Products!A:C,2,FALSE)</f>
        <v>Either Headphones</v>
      </c>
      <c r="K4067" t="str">
        <f>VLOOKUP(D4067,Products!A:C,3,FALSE)</f>
        <v>Electronics</v>
      </c>
      <c r="L4067" t="str">
        <f>VLOOKUP(E4067,Stores!A:B,2,FALSE)</f>
        <v>MegaMart Jimenezborough</v>
      </c>
      <c r="M4067">
        <f>VLOOKUP(D4067,Products!A:E,5,FALSE)</f>
        <v>248.57</v>
      </c>
      <c r="N4067" s="5">
        <f t="shared" si="63"/>
        <v>248.57</v>
      </c>
    </row>
    <row r="4068" spans="1:14" x14ac:dyDescent="0.3">
      <c r="A4068" t="s">
        <v>4924</v>
      </c>
      <c r="B4068" s="2">
        <v>45704</v>
      </c>
      <c r="C4068" t="s">
        <v>382</v>
      </c>
      <c r="D4068" t="s">
        <v>806</v>
      </c>
      <c r="E4068" t="s">
        <v>842</v>
      </c>
      <c r="F4068">
        <v>3</v>
      </c>
      <c r="G4068">
        <v>0</v>
      </c>
      <c r="H4068" t="s">
        <v>861</v>
      </c>
      <c r="I4068" t="str">
        <f>VLOOKUP(C4068,Customers!A:C,2,FALSE)&amp;" "&amp;VLOOKUP(C4068,Customers!A:C,3,FALSE)</f>
        <v>Carolyn Perez</v>
      </c>
      <c r="J4068" t="str">
        <f>VLOOKUP(D4068,Products!A:C,2,FALSE)</f>
        <v>Piece Headphones</v>
      </c>
      <c r="K4068" t="str">
        <f>VLOOKUP(D4068,Products!A:C,3,FALSE)</f>
        <v>Electronics</v>
      </c>
      <c r="L4068" t="str">
        <f>VLOOKUP(E4068,Stores!A:B,2,FALSE)</f>
        <v>MegaMart Brianahaven</v>
      </c>
      <c r="M4068">
        <f>VLOOKUP(D4068,Products!A:E,5,FALSE)</f>
        <v>1745.61</v>
      </c>
      <c r="N4068" s="5">
        <f t="shared" si="63"/>
        <v>5236.83</v>
      </c>
    </row>
    <row r="4069" spans="1:14" x14ac:dyDescent="0.3">
      <c r="A4069" t="s">
        <v>4925</v>
      </c>
      <c r="B4069" s="2">
        <v>45449</v>
      </c>
      <c r="C4069" t="s">
        <v>12</v>
      </c>
      <c r="D4069" t="s">
        <v>728</v>
      </c>
      <c r="E4069" t="s">
        <v>842</v>
      </c>
      <c r="F4069">
        <v>3</v>
      </c>
      <c r="G4069">
        <v>0.05</v>
      </c>
      <c r="H4069" t="s">
        <v>855</v>
      </c>
      <c r="I4069" t="str">
        <f>VLOOKUP(C4069,Customers!A:C,2,FALSE)&amp;" "&amp;VLOOKUP(C4069,Customers!A:C,3,FALSE)</f>
        <v>Michael Miller</v>
      </c>
      <c r="J4069" t="str">
        <f>VLOOKUP(D4069,Products!A:C,2,FALSE)</f>
        <v>Company Fruits</v>
      </c>
      <c r="K4069" t="str">
        <f>VLOOKUP(D4069,Products!A:C,3,FALSE)</f>
        <v>Groceries</v>
      </c>
      <c r="L4069" t="str">
        <f>VLOOKUP(E4069,Stores!A:B,2,FALSE)</f>
        <v>MegaMart Brianahaven</v>
      </c>
      <c r="M4069">
        <f>VLOOKUP(D4069,Products!A:E,5,FALSE)</f>
        <v>318.05</v>
      </c>
      <c r="N4069" s="5">
        <f t="shared" si="63"/>
        <v>906.4425</v>
      </c>
    </row>
    <row r="4070" spans="1:14" x14ac:dyDescent="0.3">
      <c r="A4070" t="s">
        <v>4926</v>
      </c>
      <c r="B4070" s="2">
        <v>45691</v>
      </c>
      <c r="C4070" t="s">
        <v>696</v>
      </c>
      <c r="D4070" t="s">
        <v>796</v>
      </c>
      <c r="E4070" t="s">
        <v>831</v>
      </c>
      <c r="F4070">
        <v>5</v>
      </c>
      <c r="G4070">
        <v>0.1</v>
      </c>
      <c r="H4070" t="s">
        <v>861</v>
      </c>
      <c r="I4070" t="str">
        <f>VLOOKUP(C4070,Customers!A:C,2,FALSE)&amp;" "&amp;VLOOKUP(C4070,Customers!A:C,3,FALSE)</f>
        <v>Jessica Mullins</v>
      </c>
      <c r="J4070" t="str">
        <f>VLOOKUP(D4070,Products!A:C,2,FALSE)</f>
        <v>Chair Laptop</v>
      </c>
      <c r="K4070" t="str">
        <f>VLOOKUP(D4070,Products!A:C,3,FALSE)</f>
        <v>Electronics</v>
      </c>
      <c r="L4070" t="str">
        <f>VLOOKUP(E4070,Stores!A:B,2,FALSE)</f>
        <v>MegaMart Jimenezborough</v>
      </c>
      <c r="M4070">
        <f>VLOOKUP(D4070,Products!A:E,5,FALSE)</f>
        <v>1562.43</v>
      </c>
      <c r="N4070" s="5">
        <f t="shared" si="63"/>
        <v>7030.9350000000004</v>
      </c>
    </row>
    <row r="4071" spans="1:14" x14ac:dyDescent="0.3">
      <c r="A4071" t="s">
        <v>4927</v>
      </c>
      <c r="B4071" s="2">
        <v>45238</v>
      </c>
      <c r="C4071" t="s">
        <v>20</v>
      </c>
      <c r="D4071" t="s">
        <v>800</v>
      </c>
      <c r="E4071" t="s">
        <v>831</v>
      </c>
      <c r="F4071">
        <v>2</v>
      </c>
      <c r="G4071">
        <v>0.15</v>
      </c>
      <c r="H4071" t="s">
        <v>861</v>
      </c>
      <c r="I4071" t="str">
        <f>VLOOKUP(C4071,Customers!A:C,2,FALSE)&amp;" "&amp;VLOOKUP(C4071,Customers!A:C,3,FALSE)</f>
        <v>Joseph Ward</v>
      </c>
      <c r="J4071" t="str">
        <f>VLOOKUP(D4071,Products!A:C,2,FALSE)</f>
        <v>Book Television</v>
      </c>
      <c r="K4071" t="str">
        <f>VLOOKUP(D4071,Products!A:C,3,FALSE)</f>
        <v>Electronics</v>
      </c>
      <c r="L4071" t="str">
        <f>VLOOKUP(E4071,Stores!A:B,2,FALSE)</f>
        <v>MegaMart Jimenezborough</v>
      </c>
      <c r="M4071">
        <f>VLOOKUP(D4071,Products!A:E,5,FALSE)</f>
        <v>1952.65</v>
      </c>
      <c r="N4071" s="5">
        <f t="shared" si="63"/>
        <v>3319.5050000000001</v>
      </c>
    </row>
    <row r="4072" spans="1:14" x14ac:dyDescent="0.3">
      <c r="A4072" t="s">
        <v>4928</v>
      </c>
      <c r="B4072" s="2">
        <v>45199</v>
      </c>
      <c r="C4072" t="s">
        <v>386</v>
      </c>
      <c r="D4072" t="s">
        <v>804</v>
      </c>
      <c r="E4072" t="s">
        <v>831</v>
      </c>
      <c r="F4072">
        <v>5</v>
      </c>
      <c r="G4072">
        <v>0.1</v>
      </c>
      <c r="H4072" t="s">
        <v>858</v>
      </c>
      <c r="I4072" t="str">
        <f>VLOOKUP(C4072,Customers!A:C,2,FALSE)&amp;" "&amp;VLOOKUP(C4072,Customers!A:C,3,FALSE)</f>
        <v>David Burns</v>
      </c>
      <c r="J4072" t="str">
        <f>VLOOKUP(D4072,Products!A:C,2,FALSE)</f>
        <v>Church Clothing</v>
      </c>
      <c r="K4072" t="str">
        <f>VLOOKUP(D4072,Products!A:C,3,FALSE)</f>
        <v>Fashion</v>
      </c>
      <c r="L4072" t="str">
        <f>VLOOKUP(E4072,Stores!A:B,2,FALSE)</f>
        <v>MegaMart Jimenezborough</v>
      </c>
      <c r="M4072">
        <f>VLOOKUP(D4072,Products!A:E,5,FALSE)</f>
        <v>540.94000000000005</v>
      </c>
      <c r="N4072" s="5">
        <f t="shared" si="63"/>
        <v>2434.2300000000005</v>
      </c>
    </row>
    <row r="4073" spans="1:14" x14ac:dyDescent="0.3">
      <c r="A4073" t="s">
        <v>4929</v>
      </c>
      <c r="B4073" s="2">
        <v>45318</v>
      </c>
      <c r="C4073" t="s">
        <v>228</v>
      </c>
      <c r="D4073" t="s">
        <v>806</v>
      </c>
      <c r="E4073" t="s">
        <v>846</v>
      </c>
      <c r="F4073">
        <v>4</v>
      </c>
      <c r="G4073">
        <v>0.1</v>
      </c>
      <c r="H4073" t="s">
        <v>858</v>
      </c>
      <c r="I4073" t="str">
        <f>VLOOKUP(C4073,Customers!A:C,2,FALSE)&amp;" "&amp;VLOOKUP(C4073,Customers!A:C,3,FALSE)</f>
        <v>Scott Wyatt</v>
      </c>
      <c r="J4073" t="str">
        <f>VLOOKUP(D4073,Products!A:C,2,FALSE)</f>
        <v>Piece Headphones</v>
      </c>
      <c r="K4073" t="str">
        <f>VLOOKUP(D4073,Products!A:C,3,FALSE)</f>
        <v>Electronics</v>
      </c>
      <c r="L4073" t="str">
        <f>VLOOKUP(E4073,Stores!A:B,2,FALSE)</f>
        <v>MegaMart Johnmouth</v>
      </c>
      <c r="M4073">
        <f>VLOOKUP(D4073,Products!A:E,5,FALSE)</f>
        <v>1745.61</v>
      </c>
      <c r="N4073" s="5">
        <f t="shared" si="63"/>
        <v>6284.1959999999999</v>
      </c>
    </row>
    <row r="4074" spans="1:14" x14ac:dyDescent="0.3">
      <c r="A4074" t="s">
        <v>4930</v>
      </c>
      <c r="B4074" s="2">
        <v>45321</v>
      </c>
      <c r="C4074" t="s">
        <v>71</v>
      </c>
      <c r="D4074" t="s">
        <v>810</v>
      </c>
      <c r="E4074" t="s">
        <v>839</v>
      </c>
      <c r="F4074">
        <v>3</v>
      </c>
      <c r="G4074">
        <v>0.15</v>
      </c>
      <c r="H4074" t="s">
        <v>865</v>
      </c>
      <c r="I4074" t="str">
        <f>VLOOKUP(C4074,Customers!A:C,2,FALSE)&amp;" "&amp;VLOOKUP(C4074,Customers!A:C,3,FALSE)</f>
        <v>Vanessa Anderson</v>
      </c>
      <c r="J4074" t="str">
        <f>VLOOKUP(D4074,Products!A:C,2,FALSE)</f>
        <v>Maybe Clothing</v>
      </c>
      <c r="K4074" t="str">
        <f>VLOOKUP(D4074,Products!A:C,3,FALSE)</f>
        <v>Fashion</v>
      </c>
      <c r="L4074" t="str">
        <f>VLOOKUP(E4074,Stores!A:B,2,FALSE)</f>
        <v>MegaMart New Michele</v>
      </c>
      <c r="M4074">
        <f>VLOOKUP(D4074,Products!A:E,5,FALSE)</f>
        <v>453.62</v>
      </c>
      <c r="N4074" s="5">
        <f t="shared" si="63"/>
        <v>1156.731</v>
      </c>
    </row>
    <row r="4075" spans="1:14" x14ac:dyDescent="0.3">
      <c r="A4075" t="s">
        <v>4931</v>
      </c>
      <c r="B4075" s="2">
        <v>45269</v>
      </c>
      <c r="C4075" t="s">
        <v>351</v>
      </c>
      <c r="D4075" t="s">
        <v>772</v>
      </c>
      <c r="E4075" t="s">
        <v>839</v>
      </c>
      <c r="F4075">
        <v>3</v>
      </c>
      <c r="G4075">
        <v>0</v>
      </c>
      <c r="H4075" t="s">
        <v>861</v>
      </c>
      <c r="I4075" t="str">
        <f>VLOOKUP(C4075,Customers!A:C,2,FALSE)&amp;" "&amp;VLOOKUP(C4075,Customers!A:C,3,FALSE)</f>
        <v>Stanley Brown</v>
      </c>
      <c r="J4075" t="str">
        <f>VLOOKUP(D4075,Products!A:C,2,FALSE)</f>
        <v>And Footwear</v>
      </c>
      <c r="K4075" t="str">
        <f>VLOOKUP(D4075,Products!A:C,3,FALSE)</f>
        <v>Fashion</v>
      </c>
      <c r="L4075" t="str">
        <f>VLOOKUP(E4075,Stores!A:B,2,FALSE)</f>
        <v>MegaMart New Michele</v>
      </c>
      <c r="M4075">
        <f>VLOOKUP(D4075,Products!A:E,5,FALSE)</f>
        <v>1878.47</v>
      </c>
      <c r="N4075" s="5">
        <f t="shared" si="63"/>
        <v>5635.41</v>
      </c>
    </row>
    <row r="4076" spans="1:14" x14ac:dyDescent="0.3">
      <c r="A4076" t="s">
        <v>4932</v>
      </c>
      <c r="B4076" s="2">
        <v>45782</v>
      </c>
      <c r="C4076" t="s">
        <v>577</v>
      </c>
      <c r="D4076" t="s">
        <v>766</v>
      </c>
      <c r="E4076" t="s">
        <v>831</v>
      </c>
      <c r="F4076">
        <v>3</v>
      </c>
      <c r="G4076">
        <v>0</v>
      </c>
      <c r="H4076" t="s">
        <v>858</v>
      </c>
      <c r="I4076" t="str">
        <f>VLOOKUP(C4076,Customers!A:C,2,FALSE)&amp;" "&amp;VLOOKUP(C4076,Customers!A:C,3,FALSE)</f>
        <v>Michael Perez</v>
      </c>
      <c r="J4076" t="str">
        <f>VLOOKUP(D4076,Products!A:C,2,FALSE)</f>
        <v>Firm Dairy</v>
      </c>
      <c r="K4076" t="str">
        <f>VLOOKUP(D4076,Products!A:C,3,FALSE)</f>
        <v>Groceries</v>
      </c>
      <c r="L4076" t="str">
        <f>VLOOKUP(E4076,Stores!A:B,2,FALSE)</f>
        <v>MegaMart Jimenezborough</v>
      </c>
      <c r="M4076">
        <f>VLOOKUP(D4076,Products!A:E,5,FALSE)</f>
        <v>1227.24</v>
      </c>
      <c r="N4076" s="5">
        <f t="shared" si="63"/>
        <v>3681.7200000000003</v>
      </c>
    </row>
    <row r="4077" spans="1:14" x14ac:dyDescent="0.3">
      <c r="A4077" t="s">
        <v>4933</v>
      </c>
      <c r="B4077" s="2">
        <v>45424</v>
      </c>
      <c r="C4077" t="s">
        <v>653</v>
      </c>
      <c r="D4077" t="s">
        <v>772</v>
      </c>
      <c r="E4077" t="s">
        <v>839</v>
      </c>
      <c r="F4077">
        <v>1</v>
      </c>
      <c r="G4077">
        <v>0</v>
      </c>
      <c r="H4077" t="s">
        <v>855</v>
      </c>
      <c r="I4077" t="str">
        <f>VLOOKUP(C4077,Customers!A:C,2,FALSE)&amp;" "&amp;VLOOKUP(C4077,Customers!A:C,3,FALSE)</f>
        <v>Joe Vincent</v>
      </c>
      <c r="J4077" t="str">
        <f>VLOOKUP(D4077,Products!A:C,2,FALSE)</f>
        <v>And Footwear</v>
      </c>
      <c r="K4077" t="str">
        <f>VLOOKUP(D4077,Products!A:C,3,FALSE)</f>
        <v>Fashion</v>
      </c>
      <c r="L4077" t="str">
        <f>VLOOKUP(E4077,Stores!A:B,2,FALSE)</f>
        <v>MegaMart New Michele</v>
      </c>
      <c r="M4077">
        <f>VLOOKUP(D4077,Products!A:E,5,FALSE)</f>
        <v>1878.47</v>
      </c>
      <c r="N4077" s="5">
        <f t="shared" si="63"/>
        <v>1878.47</v>
      </c>
    </row>
    <row r="4078" spans="1:14" x14ac:dyDescent="0.3">
      <c r="A4078" t="s">
        <v>4934</v>
      </c>
      <c r="B4078" s="2">
        <v>45874</v>
      </c>
      <c r="C4078" t="s">
        <v>320</v>
      </c>
      <c r="D4078" t="s">
        <v>782</v>
      </c>
      <c r="E4078" t="s">
        <v>842</v>
      </c>
      <c r="F4078">
        <v>3</v>
      </c>
      <c r="G4078">
        <v>0</v>
      </c>
      <c r="H4078" t="s">
        <v>865</v>
      </c>
      <c r="I4078" t="str">
        <f>VLOOKUP(C4078,Customers!A:C,2,FALSE)&amp;" "&amp;VLOOKUP(C4078,Customers!A:C,3,FALSE)</f>
        <v>Juan Ramirez</v>
      </c>
      <c r="J4078" t="str">
        <f>VLOOKUP(D4078,Products!A:C,2,FALSE)</f>
        <v>Deal Smartphone</v>
      </c>
      <c r="K4078" t="str">
        <f>VLOOKUP(D4078,Products!A:C,3,FALSE)</f>
        <v>Electronics</v>
      </c>
      <c r="L4078" t="str">
        <f>VLOOKUP(E4078,Stores!A:B,2,FALSE)</f>
        <v>MegaMart Brianahaven</v>
      </c>
      <c r="M4078">
        <f>VLOOKUP(D4078,Products!A:E,5,FALSE)</f>
        <v>673.78</v>
      </c>
      <c r="N4078" s="5">
        <f t="shared" si="63"/>
        <v>2021.34</v>
      </c>
    </row>
    <row r="4079" spans="1:14" x14ac:dyDescent="0.3">
      <c r="A4079" t="s">
        <v>4935</v>
      </c>
      <c r="B4079" s="2">
        <v>45594</v>
      </c>
      <c r="C4079" t="s">
        <v>536</v>
      </c>
      <c r="D4079" t="s">
        <v>728</v>
      </c>
      <c r="E4079" t="s">
        <v>842</v>
      </c>
      <c r="F4079">
        <v>5</v>
      </c>
      <c r="G4079">
        <v>0.05</v>
      </c>
      <c r="H4079" t="s">
        <v>855</v>
      </c>
      <c r="I4079" t="str">
        <f>VLOOKUP(C4079,Customers!A:C,2,FALSE)&amp;" "&amp;VLOOKUP(C4079,Customers!A:C,3,FALSE)</f>
        <v>John Foster</v>
      </c>
      <c r="J4079" t="str">
        <f>VLOOKUP(D4079,Products!A:C,2,FALSE)</f>
        <v>Company Fruits</v>
      </c>
      <c r="K4079" t="str">
        <f>VLOOKUP(D4079,Products!A:C,3,FALSE)</f>
        <v>Groceries</v>
      </c>
      <c r="L4079" t="str">
        <f>VLOOKUP(E4079,Stores!A:B,2,FALSE)</f>
        <v>MegaMart Brianahaven</v>
      </c>
      <c r="M4079">
        <f>VLOOKUP(D4079,Products!A:E,5,FALSE)</f>
        <v>318.05</v>
      </c>
      <c r="N4079" s="5">
        <f t="shared" si="63"/>
        <v>1510.7375</v>
      </c>
    </row>
    <row r="4080" spans="1:14" x14ac:dyDescent="0.3">
      <c r="A4080" t="s">
        <v>4936</v>
      </c>
      <c r="B4080" s="2">
        <v>45893</v>
      </c>
      <c r="C4080" t="s">
        <v>432</v>
      </c>
      <c r="D4080" t="s">
        <v>755</v>
      </c>
      <c r="E4080" t="s">
        <v>846</v>
      </c>
      <c r="F4080">
        <v>4</v>
      </c>
      <c r="G4080">
        <v>0.1</v>
      </c>
      <c r="H4080" t="s">
        <v>861</v>
      </c>
      <c r="I4080" t="str">
        <f>VLOOKUP(C4080,Customers!A:C,2,FALSE)&amp;" "&amp;VLOOKUP(C4080,Customers!A:C,3,FALSE)</f>
        <v>Jamie Webb</v>
      </c>
      <c r="J4080" t="str">
        <f>VLOOKUP(D4080,Products!A:C,2,FALSE)</f>
        <v>House Accessories</v>
      </c>
      <c r="K4080" t="str">
        <f>VLOOKUP(D4080,Products!A:C,3,FALSE)</f>
        <v>Fashion</v>
      </c>
      <c r="L4080" t="str">
        <f>VLOOKUP(E4080,Stores!A:B,2,FALSE)</f>
        <v>MegaMart Johnmouth</v>
      </c>
      <c r="M4080">
        <f>VLOOKUP(D4080,Products!A:E,5,FALSE)</f>
        <v>1858.75</v>
      </c>
      <c r="N4080" s="5">
        <f t="shared" si="63"/>
        <v>6691.5</v>
      </c>
    </row>
    <row r="4081" spans="1:14" x14ac:dyDescent="0.3">
      <c r="A4081" t="s">
        <v>4937</v>
      </c>
      <c r="B4081" s="2">
        <v>45543</v>
      </c>
      <c r="C4081" t="s">
        <v>67</v>
      </c>
      <c r="D4081" t="s">
        <v>759</v>
      </c>
      <c r="E4081" t="s">
        <v>842</v>
      </c>
      <c r="F4081">
        <v>1</v>
      </c>
      <c r="G4081">
        <v>0.05</v>
      </c>
      <c r="H4081" t="s">
        <v>865</v>
      </c>
      <c r="I4081" t="str">
        <f>VLOOKUP(C4081,Customers!A:C,2,FALSE)&amp;" "&amp;VLOOKUP(C4081,Customers!A:C,3,FALSE)</f>
        <v>Miguel Johnson</v>
      </c>
      <c r="J4081" t="str">
        <f>VLOOKUP(D4081,Products!A:C,2,FALSE)</f>
        <v>Democratic Smartphone</v>
      </c>
      <c r="K4081" t="str">
        <f>VLOOKUP(D4081,Products!A:C,3,FALSE)</f>
        <v>Electronics</v>
      </c>
      <c r="L4081" t="str">
        <f>VLOOKUP(E4081,Stores!A:B,2,FALSE)</f>
        <v>MegaMart Brianahaven</v>
      </c>
      <c r="M4081">
        <f>VLOOKUP(D4081,Products!A:E,5,FALSE)</f>
        <v>1079.8900000000001</v>
      </c>
      <c r="N4081" s="5">
        <f t="shared" si="63"/>
        <v>1025.8955000000001</v>
      </c>
    </row>
    <row r="4082" spans="1:14" x14ac:dyDescent="0.3">
      <c r="A4082" t="s">
        <v>4938</v>
      </c>
      <c r="B4082" s="2">
        <v>45757</v>
      </c>
      <c r="C4082" t="s">
        <v>247</v>
      </c>
      <c r="D4082" t="s">
        <v>769</v>
      </c>
      <c r="E4082" t="s">
        <v>835</v>
      </c>
      <c r="F4082">
        <v>4</v>
      </c>
      <c r="G4082">
        <v>0.05</v>
      </c>
      <c r="H4082" t="s">
        <v>865</v>
      </c>
      <c r="I4082" t="str">
        <f>VLOOKUP(C4082,Customers!A:C,2,FALSE)&amp;" "&amp;VLOOKUP(C4082,Customers!A:C,3,FALSE)</f>
        <v>Scott Duke</v>
      </c>
      <c r="J4082" t="str">
        <f>VLOOKUP(D4082,Products!A:C,2,FALSE)</f>
        <v>How Vegetables</v>
      </c>
      <c r="K4082" t="str">
        <f>VLOOKUP(D4082,Products!A:C,3,FALSE)</f>
        <v>Groceries</v>
      </c>
      <c r="L4082" t="str">
        <f>VLOOKUP(E4082,Stores!A:B,2,FALSE)</f>
        <v>MegaMart Peckmouth</v>
      </c>
      <c r="M4082">
        <f>VLOOKUP(D4082,Products!A:E,5,FALSE)</f>
        <v>25.57</v>
      </c>
      <c r="N4082" s="5">
        <f t="shared" si="63"/>
        <v>97.165999999999997</v>
      </c>
    </row>
    <row r="4083" spans="1:14" x14ac:dyDescent="0.3">
      <c r="A4083" t="s">
        <v>4939</v>
      </c>
      <c r="B4083" s="2">
        <v>45400</v>
      </c>
      <c r="C4083" t="s">
        <v>77</v>
      </c>
      <c r="D4083" t="s">
        <v>753</v>
      </c>
      <c r="E4083" t="s">
        <v>846</v>
      </c>
      <c r="F4083">
        <v>4</v>
      </c>
      <c r="G4083">
        <v>0</v>
      </c>
      <c r="H4083" t="s">
        <v>861</v>
      </c>
      <c r="I4083" t="str">
        <f>VLOOKUP(C4083,Customers!A:C,2,FALSE)&amp;" "&amp;VLOOKUP(C4083,Customers!A:C,3,FALSE)</f>
        <v>John Smith</v>
      </c>
      <c r="J4083" t="str">
        <f>VLOOKUP(D4083,Products!A:C,2,FALSE)</f>
        <v>Whether Bags</v>
      </c>
      <c r="K4083" t="str">
        <f>VLOOKUP(D4083,Products!A:C,3,FALSE)</f>
        <v>Fashion</v>
      </c>
      <c r="L4083" t="str">
        <f>VLOOKUP(E4083,Stores!A:B,2,FALSE)</f>
        <v>MegaMart Johnmouth</v>
      </c>
      <c r="M4083">
        <f>VLOOKUP(D4083,Products!A:E,5,FALSE)</f>
        <v>270.45</v>
      </c>
      <c r="N4083" s="5">
        <f t="shared" si="63"/>
        <v>1081.8</v>
      </c>
    </row>
    <row r="4084" spans="1:14" x14ac:dyDescent="0.3">
      <c r="A4084" t="s">
        <v>4940</v>
      </c>
      <c r="B4084" s="2">
        <v>45330</v>
      </c>
      <c r="C4084" t="s">
        <v>661</v>
      </c>
      <c r="D4084" t="s">
        <v>732</v>
      </c>
      <c r="E4084" t="s">
        <v>831</v>
      </c>
      <c r="F4084">
        <v>2</v>
      </c>
      <c r="G4084">
        <v>0.1</v>
      </c>
      <c r="H4084" t="s">
        <v>865</v>
      </c>
      <c r="I4084" t="str">
        <f>VLOOKUP(C4084,Customers!A:C,2,FALSE)&amp;" "&amp;VLOOKUP(C4084,Customers!A:C,3,FALSE)</f>
        <v>Cynthia Cherry</v>
      </c>
      <c r="J4084" t="str">
        <f>VLOOKUP(D4084,Products!A:C,2,FALSE)</f>
        <v>Understand Camera</v>
      </c>
      <c r="K4084" t="str">
        <f>VLOOKUP(D4084,Products!A:C,3,FALSE)</f>
        <v>Electronics</v>
      </c>
      <c r="L4084" t="str">
        <f>VLOOKUP(E4084,Stores!A:B,2,FALSE)</f>
        <v>MegaMart Jimenezborough</v>
      </c>
      <c r="M4084">
        <f>VLOOKUP(D4084,Products!A:E,5,FALSE)</f>
        <v>1474.12</v>
      </c>
      <c r="N4084" s="5">
        <f t="shared" si="63"/>
        <v>2653.4159999999997</v>
      </c>
    </row>
    <row r="4085" spans="1:14" x14ac:dyDescent="0.3">
      <c r="A4085" t="s">
        <v>4941</v>
      </c>
      <c r="B4085" s="2">
        <v>45235</v>
      </c>
      <c r="C4085" t="s">
        <v>202</v>
      </c>
      <c r="D4085" t="s">
        <v>788</v>
      </c>
      <c r="E4085" t="s">
        <v>846</v>
      </c>
      <c r="F4085">
        <v>2</v>
      </c>
      <c r="G4085">
        <v>0.15</v>
      </c>
      <c r="H4085" t="s">
        <v>858</v>
      </c>
      <c r="I4085" t="str">
        <f>VLOOKUP(C4085,Customers!A:C,2,FALSE)&amp;" "&amp;VLOOKUP(C4085,Customers!A:C,3,FALSE)</f>
        <v>Billy Hernandez</v>
      </c>
      <c r="J4085" t="str">
        <f>VLOOKUP(D4085,Products!A:C,2,FALSE)</f>
        <v>Foot Snacks</v>
      </c>
      <c r="K4085" t="str">
        <f>VLOOKUP(D4085,Products!A:C,3,FALSE)</f>
        <v>Groceries</v>
      </c>
      <c r="L4085" t="str">
        <f>VLOOKUP(E4085,Stores!A:B,2,FALSE)</f>
        <v>MegaMart Johnmouth</v>
      </c>
      <c r="M4085">
        <f>VLOOKUP(D4085,Products!A:E,5,FALSE)</f>
        <v>1095.72</v>
      </c>
      <c r="N4085" s="5">
        <f t="shared" si="63"/>
        <v>1862.7239999999999</v>
      </c>
    </row>
    <row r="4086" spans="1:14" x14ac:dyDescent="0.3">
      <c r="A4086" t="s">
        <v>4942</v>
      </c>
      <c r="B4086" s="2">
        <v>45893</v>
      </c>
      <c r="C4086" t="s">
        <v>442</v>
      </c>
      <c r="D4086" t="s">
        <v>750</v>
      </c>
      <c r="E4086" t="s">
        <v>846</v>
      </c>
      <c r="F4086">
        <v>5</v>
      </c>
      <c r="G4086">
        <v>0.15</v>
      </c>
      <c r="H4086" t="s">
        <v>858</v>
      </c>
      <c r="I4086" t="str">
        <f>VLOOKUP(C4086,Customers!A:C,2,FALSE)&amp;" "&amp;VLOOKUP(C4086,Customers!A:C,3,FALSE)</f>
        <v>Jason Lloyd</v>
      </c>
      <c r="J4086" t="str">
        <f>VLOOKUP(D4086,Products!A:C,2,FALSE)</f>
        <v>Add Clothing</v>
      </c>
      <c r="K4086" t="str">
        <f>VLOOKUP(D4086,Products!A:C,3,FALSE)</f>
        <v>Fashion</v>
      </c>
      <c r="L4086" t="str">
        <f>VLOOKUP(E4086,Stores!A:B,2,FALSE)</f>
        <v>MegaMart Johnmouth</v>
      </c>
      <c r="M4086">
        <f>VLOOKUP(D4086,Products!A:E,5,FALSE)</f>
        <v>1342.75</v>
      </c>
      <c r="N4086" s="5">
        <f t="shared" si="63"/>
        <v>5706.6875</v>
      </c>
    </row>
    <row r="4087" spans="1:14" x14ac:dyDescent="0.3">
      <c r="A4087" t="s">
        <v>4943</v>
      </c>
      <c r="B4087" s="2">
        <v>45604</v>
      </c>
      <c r="C4087" t="s">
        <v>44</v>
      </c>
      <c r="D4087" t="s">
        <v>806</v>
      </c>
      <c r="E4087" t="s">
        <v>846</v>
      </c>
      <c r="F4087">
        <v>5</v>
      </c>
      <c r="G4087">
        <v>0.15</v>
      </c>
      <c r="H4087" t="s">
        <v>861</v>
      </c>
      <c r="I4087" t="str">
        <f>VLOOKUP(C4087,Customers!A:C,2,FALSE)&amp;" "&amp;VLOOKUP(C4087,Customers!A:C,3,FALSE)</f>
        <v>Catherine Rice</v>
      </c>
      <c r="J4087" t="str">
        <f>VLOOKUP(D4087,Products!A:C,2,FALSE)</f>
        <v>Piece Headphones</v>
      </c>
      <c r="K4087" t="str">
        <f>VLOOKUP(D4087,Products!A:C,3,FALSE)</f>
        <v>Electronics</v>
      </c>
      <c r="L4087" t="str">
        <f>VLOOKUP(E4087,Stores!A:B,2,FALSE)</f>
        <v>MegaMart Johnmouth</v>
      </c>
      <c r="M4087">
        <f>VLOOKUP(D4087,Products!A:E,5,FALSE)</f>
        <v>1745.61</v>
      </c>
      <c r="N4087" s="5">
        <f t="shared" si="63"/>
        <v>7418.8424999999988</v>
      </c>
    </row>
    <row r="4088" spans="1:14" x14ac:dyDescent="0.3">
      <c r="A4088" t="s">
        <v>4944</v>
      </c>
      <c r="B4088" s="2">
        <v>45408</v>
      </c>
      <c r="C4088" t="s">
        <v>77</v>
      </c>
      <c r="D4088" t="s">
        <v>820</v>
      </c>
      <c r="E4088" t="s">
        <v>835</v>
      </c>
      <c r="F4088">
        <v>4</v>
      </c>
      <c r="G4088">
        <v>0.15</v>
      </c>
      <c r="H4088" t="s">
        <v>858</v>
      </c>
      <c r="I4088" t="str">
        <f>VLOOKUP(C4088,Customers!A:C,2,FALSE)&amp;" "&amp;VLOOKUP(C4088,Customers!A:C,3,FALSE)</f>
        <v>John Smith</v>
      </c>
      <c r="J4088" t="str">
        <f>VLOOKUP(D4088,Products!A:C,2,FALSE)</f>
        <v>Or Smartphone</v>
      </c>
      <c r="K4088" t="str">
        <f>VLOOKUP(D4088,Products!A:C,3,FALSE)</f>
        <v>Electronics</v>
      </c>
      <c r="L4088" t="str">
        <f>VLOOKUP(E4088,Stores!A:B,2,FALSE)</f>
        <v>MegaMart Peckmouth</v>
      </c>
      <c r="M4088">
        <f>VLOOKUP(D4088,Products!A:E,5,FALSE)</f>
        <v>1197.18</v>
      </c>
      <c r="N4088" s="5">
        <f t="shared" si="63"/>
        <v>4070.4120000000003</v>
      </c>
    </row>
    <row r="4089" spans="1:14" x14ac:dyDescent="0.3">
      <c r="A4089" t="s">
        <v>4945</v>
      </c>
      <c r="B4089" s="2">
        <v>45789</v>
      </c>
      <c r="C4089" t="s">
        <v>230</v>
      </c>
      <c r="D4089" t="s">
        <v>822</v>
      </c>
      <c r="E4089" t="s">
        <v>831</v>
      </c>
      <c r="F4089">
        <v>5</v>
      </c>
      <c r="G4089">
        <v>0.05</v>
      </c>
      <c r="H4089" t="s">
        <v>861</v>
      </c>
      <c r="I4089" t="str">
        <f>VLOOKUP(C4089,Customers!A:C,2,FALSE)&amp;" "&amp;VLOOKUP(C4089,Customers!A:C,3,FALSE)</f>
        <v>Anthony Conway</v>
      </c>
      <c r="J4089" t="str">
        <f>VLOOKUP(D4089,Products!A:C,2,FALSE)</f>
        <v>Nor Bags</v>
      </c>
      <c r="K4089" t="str">
        <f>VLOOKUP(D4089,Products!A:C,3,FALSE)</f>
        <v>Fashion</v>
      </c>
      <c r="L4089" t="str">
        <f>VLOOKUP(E4089,Stores!A:B,2,FALSE)</f>
        <v>MegaMart Jimenezborough</v>
      </c>
      <c r="M4089">
        <f>VLOOKUP(D4089,Products!A:E,5,FALSE)</f>
        <v>1216.3599999999999</v>
      </c>
      <c r="N4089" s="5">
        <f t="shared" si="63"/>
        <v>5777.7099999999991</v>
      </c>
    </row>
    <row r="4090" spans="1:14" x14ac:dyDescent="0.3">
      <c r="A4090" t="s">
        <v>4946</v>
      </c>
      <c r="B4090" s="2">
        <v>45383</v>
      </c>
      <c r="C4090" t="s">
        <v>422</v>
      </c>
      <c r="D4090" t="s">
        <v>824</v>
      </c>
      <c r="E4090" t="s">
        <v>842</v>
      </c>
      <c r="F4090">
        <v>1</v>
      </c>
      <c r="G4090">
        <v>0.15</v>
      </c>
      <c r="H4090" t="s">
        <v>855</v>
      </c>
      <c r="I4090" t="str">
        <f>VLOOKUP(C4090,Customers!A:C,2,FALSE)&amp;" "&amp;VLOOKUP(C4090,Customers!A:C,3,FALSE)</f>
        <v>Heidi Wilson</v>
      </c>
      <c r="J4090" t="str">
        <f>VLOOKUP(D4090,Products!A:C,2,FALSE)</f>
        <v>Possible Watches</v>
      </c>
      <c r="K4090" t="str">
        <f>VLOOKUP(D4090,Products!A:C,3,FALSE)</f>
        <v>Fashion</v>
      </c>
      <c r="L4090" t="str">
        <f>VLOOKUP(E4090,Stores!A:B,2,FALSE)</f>
        <v>MegaMart Brianahaven</v>
      </c>
      <c r="M4090">
        <f>VLOOKUP(D4090,Products!A:E,5,FALSE)</f>
        <v>388.26</v>
      </c>
      <c r="N4090" s="5">
        <f t="shared" si="63"/>
        <v>330.02099999999996</v>
      </c>
    </row>
    <row r="4091" spans="1:14" x14ac:dyDescent="0.3">
      <c r="A4091" t="s">
        <v>4947</v>
      </c>
      <c r="B4091" s="2">
        <v>45402</v>
      </c>
      <c r="C4091" t="s">
        <v>633</v>
      </c>
      <c r="D4091" t="s">
        <v>745</v>
      </c>
      <c r="E4091" t="s">
        <v>846</v>
      </c>
      <c r="F4091">
        <v>5</v>
      </c>
      <c r="G4091">
        <v>0.15</v>
      </c>
      <c r="H4091" t="s">
        <v>858</v>
      </c>
      <c r="I4091" t="str">
        <f>VLOOKUP(C4091,Customers!A:C,2,FALSE)&amp;" "&amp;VLOOKUP(C4091,Customers!A:C,3,FALSE)</f>
        <v>Dennis Wallace</v>
      </c>
      <c r="J4091" t="str">
        <f>VLOOKUP(D4091,Products!A:C,2,FALSE)</f>
        <v>Above Camera</v>
      </c>
      <c r="K4091" t="str">
        <f>VLOOKUP(D4091,Products!A:C,3,FALSE)</f>
        <v>Electronics</v>
      </c>
      <c r="L4091" t="str">
        <f>VLOOKUP(E4091,Stores!A:B,2,FALSE)</f>
        <v>MegaMart Johnmouth</v>
      </c>
      <c r="M4091">
        <f>VLOOKUP(D4091,Products!A:E,5,FALSE)</f>
        <v>1193.0899999999999</v>
      </c>
      <c r="N4091" s="5">
        <f t="shared" si="63"/>
        <v>5070.6324999999997</v>
      </c>
    </row>
    <row r="4092" spans="1:14" x14ac:dyDescent="0.3">
      <c r="A4092" t="s">
        <v>4948</v>
      </c>
      <c r="B4092" s="2">
        <v>45751</v>
      </c>
      <c r="C4092" t="s">
        <v>343</v>
      </c>
      <c r="D4092" t="s">
        <v>794</v>
      </c>
      <c r="E4092" t="s">
        <v>835</v>
      </c>
      <c r="F4092">
        <v>2</v>
      </c>
      <c r="G4092">
        <v>0.1</v>
      </c>
      <c r="H4092" t="s">
        <v>861</v>
      </c>
      <c r="I4092" t="str">
        <f>VLOOKUP(C4092,Customers!A:C,2,FALSE)&amp;" "&amp;VLOOKUP(C4092,Customers!A:C,3,FALSE)</f>
        <v>Brian Fowler</v>
      </c>
      <c r="J4092" t="str">
        <f>VLOOKUP(D4092,Products!A:C,2,FALSE)</f>
        <v>Everything Laptop</v>
      </c>
      <c r="K4092" t="str">
        <f>VLOOKUP(D4092,Products!A:C,3,FALSE)</f>
        <v>Electronics</v>
      </c>
      <c r="L4092" t="str">
        <f>VLOOKUP(E4092,Stores!A:B,2,FALSE)</f>
        <v>MegaMart Peckmouth</v>
      </c>
      <c r="M4092">
        <f>VLOOKUP(D4092,Products!A:E,5,FALSE)</f>
        <v>428.05</v>
      </c>
      <c r="N4092" s="5">
        <f t="shared" si="63"/>
        <v>770.49</v>
      </c>
    </row>
    <row r="4093" spans="1:14" x14ac:dyDescent="0.3">
      <c r="A4093" t="s">
        <v>4949</v>
      </c>
      <c r="B4093" s="2">
        <v>45329</v>
      </c>
      <c r="C4093" t="s">
        <v>119</v>
      </c>
      <c r="D4093" t="s">
        <v>784</v>
      </c>
      <c r="E4093" t="s">
        <v>846</v>
      </c>
      <c r="F4093">
        <v>1</v>
      </c>
      <c r="G4093">
        <v>0.15</v>
      </c>
      <c r="H4093" t="s">
        <v>855</v>
      </c>
      <c r="I4093" t="str">
        <f>VLOOKUP(C4093,Customers!A:C,2,FALSE)&amp;" "&amp;VLOOKUP(C4093,Customers!A:C,3,FALSE)</f>
        <v>Lacey Hall</v>
      </c>
      <c r="J4093" t="str">
        <f>VLOOKUP(D4093,Products!A:C,2,FALSE)</f>
        <v>Road Clothing</v>
      </c>
      <c r="K4093" t="str">
        <f>VLOOKUP(D4093,Products!A:C,3,FALSE)</f>
        <v>Fashion</v>
      </c>
      <c r="L4093" t="str">
        <f>VLOOKUP(E4093,Stores!A:B,2,FALSE)</f>
        <v>MegaMart Johnmouth</v>
      </c>
      <c r="M4093">
        <f>VLOOKUP(D4093,Products!A:E,5,FALSE)</f>
        <v>1485.05</v>
      </c>
      <c r="N4093" s="5">
        <f t="shared" si="63"/>
        <v>1262.2925</v>
      </c>
    </row>
    <row r="4094" spans="1:14" x14ac:dyDescent="0.3">
      <c r="A4094" t="s">
        <v>4950</v>
      </c>
      <c r="B4094" s="2">
        <v>45198</v>
      </c>
      <c r="C4094" t="s">
        <v>302</v>
      </c>
      <c r="D4094" t="s">
        <v>739</v>
      </c>
      <c r="E4094" t="s">
        <v>835</v>
      </c>
      <c r="F4094">
        <v>1</v>
      </c>
      <c r="G4094">
        <v>0.1</v>
      </c>
      <c r="H4094" t="s">
        <v>861</v>
      </c>
      <c r="I4094" t="str">
        <f>VLOOKUP(C4094,Customers!A:C,2,FALSE)&amp;" "&amp;VLOOKUP(C4094,Customers!A:C,3,FALSE)</f>
        <v>Grace Garcia</v>
      </c>
      <c r="J4094" t="str">
        <f>VLOOKUP(D4094,Products!A:C,2,FALSE)</f>
        <v>Step Smartphone</v>
      </c>
      <c r="K4094" t="str">
        <f>VLOOKUP(D4094,Products!A:C,3,FALSE)</f>
        <v>Electronics</v>
      </c>
      <c r="L4094" t="str">
        <f>VLOOKUP(E4094,Stores!A:B,2,FALSE)</f>
        <v>MegaMart Peckmouth</v>
      </c>
      <c r="M4094">
        <f>VLOOKUP(D4094,Products!A:E,5,FALSE)</f>
        <v>1194.1199999999999</v>
      </c>
      <c r="N4094" s="5">
        <f t="shared" si="63"/>
        <v>1074.7079999999999</v>
      </c>
    </row>
    <row r="4095" spans="1:14" x14ac:dyDescent="0.3">
      <c r="A4095" t="s">
        <v>4951</v>
      </c>
      <c r="B4095" s="2">
        <v>45195</v>
      </c>
      <c r="C4095" t="s">
        <v>230</v>
      </c>
      <c r="D4095" t="s">
        <v>782</v>
      </c>
      <c r="E4095" t="s">
        <v>831</v>
      </c>
      <c r="F4095">
        <v>2</v>
      </c>
      <c r="G4095">
        <v>0</v>
      </c>
      <c r="H4095" t="s">
        <v>861</v>
      </c>
      <c r="I4095" t="str">
        <f>VLOOKUP(C4095,Customers!A:C,2,FALSE)&amp;" "&amp;VLOOKUP(C4095,Customers!A:C,3,FALSE)</f>
        <v>Anthony Conway</v>
      </c>
      <c r="J4095" t="str">
        <f>VLOOKUP(D4095,Products!A:C,2,FALSE)</f>
        <v>Deal Smartphone</v>
      </c>
      <c r="K4095" t="str">
        <f>VLOOKUP(D4095,Products!A:C,3,FALSE)</f>
        <v>Electronics</v>
      </c>
      <c r="L4095" t="str">
        <f>VLOOKUP(E4095,Stores!A:B,2,FALSE)</f>
        <v>MegaMart Jimenezborough</v>
      </c>
      <c r="M4095">
        <f>VLOOKUP(D4095,Products!A:E,5,FALSE)</f>
        <v>673.78</v>
      </c>
      <c r="N4095" s="5">
        <f t="shared" si="63"/>
        <v>1347.56</v>
      </c>
    </row>
    <row r="4096" spans="1:14" x14ac:dyDescent="0.3">
      <c r="A4096" t="s">
        <v>4952</v>
      </c>
      <c r="B4096" s="2">
        <v>45618</v>
      </c>
      <c r="C4096" t="s">
        <v>123</v>
      </c>
      <c r="D4096" t="s">
        <v>786</v>
      </c>
      <c r="E4096" t="s">
        <v>846</v>
      </c>
      <c r="F4096">
        <v>1</v>
      </c>
      <c r="G4096">
        <v>0.1</v>
      </c>
      <c r="H4096" t="s">
        <v>865</v>
      </c>
      <c r="I4096" t="str">
        <f>VLOOKUP(C4096,Customers!A:C,2,FALSE)&amp;" "&amp;VLOOKUP(C4096,Customers!A:C,3,FALSE)</f>
        <v>Ashley Gibson</v>
      </c>
      <c r="J4096" t="str">
        <f>VLOOKUP(D4096,Products!A:C,2,FALSE)</f>
        <v>National Watches</v>
      </c>
      <c r="K4096" t="str">
        <f>VLOOKUP(D4096,Products!A:C,3,FALSE)</f>
        <v>Fashion</v>
      </c>
      <c r="L4096" t="str">
        <f>VLOOKUP(E4096,Stores!A:B,2,FALSE)</f>
        <v>MegaMart Johnmouth</v>
      </c>
      <c r="M4096">
        <f>VLOOKUP(D4096,Products!A:E,5,FALSE)</f>
        <v>29.24</v>
      </c>
      <c r="N4096" s="5">
        <f t="shared" si="63"/>
        <v>26.315999999999999</v>
      </c>
    </row>
    <row r="4097" spans="1:14" x14ac:dyDescent="0.3">
      <c r="A4097" t="s">
        <v>4953</v>
      </c>
      <c r="B4097" s="2">
        <v>45255</v>
      </c>
      <c r="C4097" t="s">
        <v>700</v>
      </c>
      <c r="D4097" t="s">
        <v>747</v>
      </c>
      <c r="E4097" t="s">
        <v>839</v>
      </c>
      <c r="F4097">
        <v>4</v>
      </c>
      <c r="G4097">
        <v>0.15</v>
      </c>
      <c r="H4097" t="s">
        <v>855</v>
      </c>
      <c r="I4097" t="str">
        <f>VLOOKUP(C4097,Customers!A:C,2,FALSE)&amp;" "&amp;VLOOKUP(C4097,Customers!A:C,3,FALSE)</f>
        <v>Juan Johnson</v>
      </c>
      <c r="J4097" t="str">
        <f>VLOOKUP(D4097,Products!A:C,2,FALSE)</f>
        <v>World Watches</v>
      </c>
      <c r="K4097" t="str">
        <f>VLOOKUP(D4097,Products!A:C,3,FALSE)</f>
        <v>Fashion</v>
      </c>
      <c r="L4097" t="str">
        <f>VLOOKUP(E4097,Stores!A:B,2,FALSE)</f>
        <v>MegaMart New Michele</v>
      </c>
      <c r="M4097">
        <f>VLOOKUP(D4097,Products!A:E,5,FALSE)</f>
        <v>1134.8</v>
      </c>
      <c r="N4097" s="5">
        <f t="shared" si="63"/>
        <v>3858.3199999999997</v>
      </c>
    </row>
    <row r="4098" spans="1:14" x14ac:dyDescent="0.3">
      <c r="A4098" t="s">
        <v>4954</v>
      </c>
      <c r="B4098" s="2">
        <v>45890</v>
      </c>
      <c r="C4098" t="s">
        <v>277</v>
      </c>
      <c r="D4098" t="s">
        <v>802</v>
      </c>
      <c r="E4098" t="s">
        <v>846</v>
      </c>
      <c r="F4098">
        <v>4</v>
      </c>
      <c r="G4098">
        <v>0.1</v>
      </c>
      <c r="H4098" t="s">
        <v>858</v>
      </c>
      <c r="I4098" t="str">
        <f>VLOOKUP(C4098,Customers!A:C,2,FALSE)&amp;" "&amp;VLOOKUP(C4098,Customers!A:C,3,FALSE)</f>
        <v>Carl Armstrong</v>
      </c>
      <c r="J4098" t="str">
        <f>VLOOKUP(D4098,Products!A:C,2,FALSE)</f>
        <v>Stage Footwear</v>
      </c>
      <c r="K4098" t="str">
        <f>VLOOKUP(D4098,Products!A:C,3,FALSE)</f>
        <v>Fashion</v>
      </c>
      <c r="L4098" t="str">
        <f>VLOOKUP(E4098,Stores!A:B,2,FALSE)</f>
        <v>MegaMart Johnmouth</v>
      </c>
      <c r="M4098">
        <f>VLOOKUP(D4098,Products!A:E,5,FALSE)</f>
        <v>366.93</v>
      </c>
      <c r="N4098" s="5">
        <f t="shared" si="63"/>
        <v>1320.9480000000001</v>
      </c>
    </row>
    <row r="4099" spans="1:14" x14ac:dyDescent="0.3">
      <c r="A4099" t="s">
        <v>4955</v>
      </c>
      <c r="B4099" s="2">
        <v>45669</v>
      </c>
      <c r="C4099" t="s">
        <v>12</v>
      </c>
      <c r="D4099" t="s">
        <v>782</v>
      </c>
      <c r="E4099" t="s">
        <v>831</v>
      </c>
      <c r="F4099">
        <v>1</v>
      </c>
      <c r="G4099">
        <v>0.05</v>
      </c>
      <c r="H4099" t="s">
        <v>858</v>
      </c>
      <c r="I4099" t="str">
        <f>VLOOKUP(C4099,Customers!A:C,2,FALSE)&amp;" "&amp;VLOOKUP(C4099,Customers!A:C,3,FALSE)</f>
        <v>Michael Miller</v>
      </c>
      <c r="J4099" t="str">
        <f>VLOOKUP(D4099,Products!A:C,2,FALSE)</f>
        <v>Deal Smartphone</v>
      </c>
      <c r="K4099" t="str">
        <f>VLOOKUP(D4099,Products!A:C,3,FALSE)</f>
        <v>Electronics</v>
      </c>
      <c r="L4099" t="str">
        <f>VLOOKUP(E4099,Stores!A:B,2,FALSE)</f>
        <v>MegaMart Jimenezborough</v>
      </c>
      <c r="M4099">
        <f>VLOOKUP(D4099,Products!A:E,5,FALSE)</f>
        <v>673.78</v>
      </c>
      <c r="N4099" s="5">
        <f t="shared" ref="N4099:N4162" si="64">F4099*M4099*(1-G4099)</f>
        <v>640.09099999999989</v>
      </c>
    </row>
    <row r="4100" spans="1:14" x14ac:dyDescent="0.3">
      <c r="A4100" t="s">
        <v>4956</v>
      </c>
      <c r="B4100" s="2">
        <v>45773</v>
      </c>
      <c r="C4100" t="s">
        <v>524</v>
      </c>
      <c r="D4100" t="s">
        <v>778</v>
      </c>
      <c r="E4100" t="s">
        <v>842</v>
      </c>
      <c r="F4100">
        <v>4</v>
      </c>
      <c r="G4100">
        <v>0.1</v>
      </c>
      <c r="H4100" t="s">
        <v>855</v>
      </c>
      <c r="I4100" t="str">
        <f>VLOOKUP(C4100,Customers!A:C,2,FALSE)&amp;" "&amp;VLOOKUP(C4100,Customers!A:C,3,FALSE)</f>
        <v>Betty Johnson</v>
      </c>
      <c r="J4100" t="str">
        <f>VLOOKUP(D4100,Products!A:C,2,FALSE)</f>
        <v>Behavior Dairy</v>
      </c>
      <c r="K4100" t="str">
        <f>VLOOKUP(D4100,Products!A:C,3,FALSE)</f>
        <v>Groceries</v>
      </c>
      <c r="L4100" t="str">
        <f>VLOOKUP(E4100,Stores!A:B,2,FALSE)</f>
        <v>MegaMart Brianahaven</v>
      </c>
      <c r="M4100">
        <f>VLOOKUP(D4100,Products!A:E,5,FALSE)</f>
        <v>1015.76</v>
      </c>
      <c r="N4100" s="5">
        <f t="shared" si="64"/>
        <v>3656.7359999999999</v>
      </c>
    </row>
    <row r="4101" spans="1:14" x14ac:dyDescent="0.3">
      <c r="A4101" t="s">
        <v>4957</v>
      </c>
      <c r="B4101" s="2">
        <v>45372</v>
      </c>
      <c r="C4101" t="s">
        <v>509</v>
      </c>
      <c r="D4101" t="s">
        <v>812</v>
      </c>
      <c r="E4101" t="s">
        <v>842</v>
      </c>
      <c r="F4101">
        <v>4</v>
      </c>
      <c r="G4101">
        <v>0.15</v>
      </c>
      <c r="H4101" t="s">
        <v>855</v>
      </c>
      <c r="I4101" t="str">
        <f>VLOOKUP(C4101,Customers!A:C,2,FALSE)&amp;" "&amp;VLOOKUP(C4101,Customers!A:C,3,FALSE)</f>
        <v>Stacy Williams</v>
      </c>
      <c r="J4101" t="str">
        <f>VLOOKUP(D4101,Products!A:C,2,FALSE)</f>
        <v>Soon Accessories</v>
      </c>
      <c r="K4101" t="str">
        <f>VLOOKUP(D4101,Products!A:C,3,FALSE)</f>
        <v>Fashion</v>
      </c>
      <c r="L4101" t="str">
        <f>VLOOKUP(E4101,Stores!A:B,2,FALSE)</f>
        <v>MegaMart Brianahaven</v>
      </c>
      <c r="M4101">
        <f>VLOOKUP(D4101,Products!A:E,5,FALSE)</f>
        <v>564.41999999999996</v>
      </c>
      <c r="N4101" s="5">
        <f t="shared" si="64"/>
        <v>1919.0279999999998</v>
      </c>
    </row>
    <row r="4102" spans="1:14" x14ac:dyDescent="0.3">
      <c r="A4102" t="s">
        <v>4958</v>
      </c>
      <c r="B4102" s="2">
        <v>45826</v>
      </c>
      <c r="C4102" t="s">
        <v>533</v>
      </c>
      <c r="D4102" t="s">
        <v>812</v>
      </c>
      <c r="E4102" t="s">
        <v>842</v>
      </c>
      <c r="F4102">
        <v>5</v>
      </c>
      <c r="G4102">
        <v>0.15</v>
      </c>
      <c r="H4102" t="s">
        <v>855</v>
      </c>
      <c r="I4102" t="str">
        <f>VLOOKUP(C4102,Customers!A:C,2,FALSE)&amp;" "&amp;VLOOKUP(C4102,Customers!A:C,3,FALSE)</f>
        <v>Crystal Garrison</v>
      </c>
      <c r="J4102" t="str">
        <f>VLOOKUP(D4102,Products!A:C,2,FALSE)</f>
        <v>Soon Accessories</v>
      </c>
      <c r="K4102" t="str">
        <f>VLOOKUP(D4102,Products!A:C,3,FALSE)</f>
        <v>Fashion</v>
      </c>
      <c r="L4102" t="str">
        <f>VLOOKUP(E4102,Stores!A:B,2,FALSE)</f>
        <v>MegaMart Brianahaven</v>
      </c>
      <c r="M4102">
        <f>VLOOKUP(D4102,Products!A:E,5,FALSE)</f>
        <v>564.41999999999996</v>
      </c>
      <c r="N4102" s="5">
        <f t="shared" si="64"/>
        <v>2398.7849999999999</v>
      </c>
    </row>
    <row r="4103" spans="1:14" x14ac:dyDescent="0.3">
      <c r="A4103" t="s">
        <v>4959</v>
      </c>
      <c r="B4103" s="2">
        <v>45894</v>
      </c>
      <c r="C4103" t="s">
        <v>93</v>
      </c>
      <c r="D4103" t="s">
        <v>761</v>
      </c>
      <c r="E4103" t="s">
        <v>842</v>
      </c>
      <c r="F4103">
        <v>2</v>
      </c>
      <c r="G4103">
        <v>0.15</v>
      </c>
      <c r="H4103" t="s">
        <v>855</v>
      </c>
      <c r="I4103" t="str">
        <f>VLOOKUP(C4103,Customers!A:C,2,FALSE)&amp;" "&amp;VLOOKUP(C4103,Customers!A:C,3,FALSE)</f>
        <v>Mark Martinez</v>
      </c>
      <c r="J4103" t="str">
        <f>VLOOKUP(D4103,Products!A:C,2,FALSE)</f>
        <v>Traditional Laptop</v>
      </c>
      <c r="K4103" t="str">
        <f>VLOOKUP(D4103,Products!A:C,3,FALSE)</f>
        <v>Electronics</v>
      </c>
      <c r="L4103" t="str">
        <f>VLOOKUP(E4103,Stores!A:B,2,FALSE)</f>
        <v>MegaMart Brianahaven</v>
      </c>
      <c r="M4103">
        <f>VLOOKUP(D4103,Products!A:E,5,FALSE)</f>
        <v>1762.92</v>
      </c>
      <c r="N4103" s="5">
        <f t="shared" si="64"/>
        <v>2996.9639999999999</v>
      </c>
    </row>
    <row r="4104" spans="1:14" x14ac:dyDescent="0.3">
      <c r="A4104" t="s">
        <v>4960</v>
      </c>
      <c r="B4104" s="2">
        <v>45317</v>
      </c>
      <c r="C4104" t="s">
        <v>411</v>
      </c>
      <c r="D4104" t="s">
        <v>798</v>
      </c>
      <c r="E4104" t="s">
        <v>831</v>
      </c>
      <c r="F4104">
        <v>3</v>
      </c>
      <c r="G4104">
        <v>0.1</v>
      </c>
      <c r="H4104" t="s">
        <v>865</v>
      </c>
      <c r="I4104" t="str">
        <f>VLOOKUP(C4104,Customers!A:C,2,FALSE)&amp;" "&amp;VLOOKUP(C4104,Customers!A:C,3,FALSE)</f>
        <v>Travis Peters</v>
      </c>
      <c r="J4104" t="str">
        <f>VLOOKUP(D4104,Products!A:C,2,FALSE)</f>
        <v>New Watches</v>
      </c>
      <c r="K4104" t="str">
        <f>VLOOKUP(D4104,Products!A:C,3,FALSE)</f>
        <v>Fashion</v>
      </c>
      <c r="L4104" t="str">
        <f>VLOOKUP(E4104,Stores!A:B,2,FALSE)</f>
        <v>MegaMart Jimenezborough</v>
      </c>
      <c r="M4104">
        <f>VLOOKUP(D4104,Products!A:E,5,FALSE)</f>
        <v>1501.46</v>
      </c>
      <c r="N4104" s="5">
        <f t="shared" si="64"/>
        <v>4053.942</v>
      </c>
    </row>
    <row r="4105" spans="1:14" x14ac:dyDescent="0.3">
      <c r="A4105" t="s">
        <v>4961</v>
      </c>
      <c r="B4105" s="2">
        <v>45275</v>
      </c>
      <c r="C4105" t="s">
        <v>28</v>
      </c>
      <c r="D4105" t="s">
        <v>750</v>
      </c>
      <c r="E4105" t="s">
        <v>842</v>
      </c>
      <c r="F4105">
        <v>2</v>
      </c>
      <c r="G4105">
        <v>0.1</v>
      </c>
      <c r="H4105" t="s">
        <v>855</v>
      </c>
      <c r="I4105" t="str">
        <f>VLOOKUP(C4105,Customers!A:C,2,FALSE)&amp;" "&amp;VLOOKUP(C4105,Customers!A:C,3,FALSE)</f>
        <v>Danny Moore</v>
      </c>
      <c r="J4105" t="str">
        <f>VLOOKUP(D4105,Products!A:C,2,FALSE)</f>
        <v>Add Clothing</v>
      </c>
      <c r="K4105" t="str">
        <f>VLOOKUP(D4105,Products!A:C,3,FALSE)</f>
        <v>Fashion</v>
      </c>
      <c r="L4105" t="str">
        <f>VLOOKUP(E4105,Stores!A:B,2,FALSE)</f>
        <v>MegaMart Brianahaven</v>
      </c>
      <c r="M4105">
        <f>VLOOKUP(D4105,Products!A:E,5,FALSE)</f>
        <v>1342.75</v>
      </c>
      <c r="N4105" s="5">
        <f t="shared" si="64"/>
        <v>2416.9500000000003</v>
      </c>
    </row>
    <row r="4106" spans="1:14" x14ac:dyDescent="0.3">
      <c r="A4106" t="s">
        <v>4962</v>
      </c>
      <c r="B4106" s="2">
        <v>45317</v>
      </c>
      <c r="C4106" t="s">
        <v>633</v>
      </c>
      <c r="D4106" t="s">
        <v>769</v>
      </c>
      <c r="E4106" t="s">
        <v>835</v>
      </c>
      <c r="F4106">
        <v>4</v>
      </c>
      <c r="G4106">
        <v>0.05</v>
      </c>
      <c r="H4106" t="s">
        <v>865</v>
      </c>
      <c r="I4106" t="str">
        <f>VLOOKUP(C4106,Customers!A:C,2,FALSE)&amp;" "&amp;VLOOKUP(C4106,Customers!A:C,3,FALSE)</f>
        <v>Dennis Wallace</v>
      </c>
      <c r="J4106" t="str">
        <f>VLOOKUP(D4106,Products!A:C,2,FALSE)</f>
        <v>How Vegetables</v>
      </c>
      <c r="K4106" t="str">
        <f>VLOOKUP(D4106,Products!A:C,3,FALSE)</f>
        <v>Groceries</v>
      </c>
      <c r="L4106" t="str">
        <f>VLOOKUP(E4106,Stores!A:B,2,FALSE)</f>
        <v>MegaMart Peckmouth</v>
      </c>
      <c r="M4106">
        <f>VLOOKUP(D4106,Products!A:E,5,FALSE)</f>
        <v>25.57</v>
      </c>
      <c r="N4106" s="5">
        <f t="shared" si="64"/>
        <v>97.165999999999997</v>
      </c>
    </row>
    <row r="4107" spans="1:14" x14ac:dyDescent="0.3">
      <c r="A4107" t="s">
        <v>4963</v>
      </c>
      <c r="B4107" s="2">
        <v>45743</v>
      </c>
      <c r="C4107" t="s">
        <v>545</v>
      </c>
      <c r="D4107" t="s">
        <v>711</v>
      </c>
      <c r="E4107" t="s">
        <v>842</v>
      </c>
      <c r="F4107">
        <v>3</v>
      </c>
      <c r="G4107">
        <v>0.15</v>
      </c>
      <c r="H4107" t="s">
        <v>861</v>
      </c>
      <c r="I4107" t="str">
        <f>VLOOKUP(C4107,Customers!A:C,2,FALSE)&amp;" "&amp;VLOOKUP(C4107,Customers!A:C,3,FALSE)</f>
        <v>Dawn Fletcher</v>
      </c>
      <c r="J4107" t="str">
        <f>VLOOKUP(D4107,Products!A:C,2,FALSE)</f>
        <v>Like Camera</v>
      </c>
      <c r="K4107" t="str">
        <f>VLOOKUP(D4107,Products!A:C,3,FALSE)</f>
        <v>Electronics</v>
      </c>
      <c r="L4107" t="str">
        <f>VLOOKUP(E4107,Stores!A:B,2,FALSE)</f>
        <v>MegaMart Brianahaven</v>
      </c>
      <c r="M4107">
        <f>VLOOKUP(D4107,Products!A:E,5,FALSE)</f>
        <v>1673.69</v>
      </c>
      <c r="N4107" s="5">
        <f t="shared" si="64"/>
        <v>4267.9094999999998</v>
      </c>
    </row>
    <row r="4108" spans="1:14" x14ac:dyDescent="0.3">
      <c r="A4108" t="s">
        <v>4964</v>
      </c>
      <c r="B4108" s="2">
        <v>45416</v>
      </c>
      <c r="C4108" t="s">
        <v>442</v>
      </c>
      <c r="D4108" t="s">
        <v>769</v>
      </c>
      <c r="E4108" t="s">
        <v>842</v>
      </c>
      <c r="F4108">
        <v>1</v>
      </c>
      <c r="G4108">
        <v>0</v>
      </c>
      <c r="H4108" t="s">
        <v>855</v>
      </c>
      <c r="I4108" t="str">
        <f>VLOOKUP(C4108,Customers!A:C,2,FALSE)&amp;" "&amp;VLOOKUP(C4108,Customers!A:C,3,FALSE)</f>
        <v>Jason Lloyd</v>
      </c>
      <c r="J4108" t="str">
        <f>VLOOKUP(D4108,Products!A:C,2,FALSE)</f>
        <v>How Vegetables</v>
      </c>
      <c r="K4108" t="str">
        <f>VLOOKUP(D4108,Products!A:C,3,FALSE)</f>
        <v>Groceries</v>
      </c>
      <c r="L4108" t="str">
        <f>VLOOKUP(E4108,Stores!A:B,2,FALSE)</f>
        <v>MegaMart Brianahaven</v>
      </c>
      <c r="M4108">
        <f>VLOOKUP(D4108,Products!A:E,5,FALSE)</f>
        <v>25.57</v>
      </c>
      <c r="N4108" s="5">
        <f t="shared" si="64"/>
        <v>25.57</v>
      </c>
    </row>
    <row r="4109" spans="1:14" x14ac:dyDescent="0.3">
      <c r="A4109" t="s">
        <v>4965</v>
      </c>
      <c r="B4109" s="2">
        <v>45360</v>
      </c>
      <c r="C4109" t="s">
        <v>141</v>
      </c>
      <c r="D4109" t="s">
        <v>722</v>
      </c>
      <c r="E4109" t="s">
        <v>846</v>
      </c>
      <c r="F4109">
        <v>4</v>
      </c>
      <c r="G4109">
        <v>0.05</v>
      </c>
      <c r="H4109" t="s">
        <v>855</v>
      </c>
      <c r="I4109" t="str">
        <f>VLOOKUP(C4109,Customers!A:C,2,FALSE)&amp;" "&amp;VLOOKUP(C4109,Customers!A:C,3,FALSE)</f>
        <v>Michael Cervantes</v>
      </c>
      <c r="J4109" t="str">
        <f>VLOOKUP(D4109,Products!A:C,2,FALSE)</f>
        <v>Four Accessories</v>
      </c>
      <c r="K4109" t="str">
        <f>VLOOKUP(D4109,Products!A:C,3,FALSE)</f>
        <v>Fashion</v>
      </c>
      <c r="L4109" t="str">
        <f>VLOOKUP(E4109,Stores!A:B,2,FALSE)</f>
        <v>MegaMart Johnmouth</v>
      </c>
      <c r="M4109">
        <f>VLOOKUP(D4109,Products!A:E,5,FALSE)</f>
        <v>1853.77</v>
      </c>
      <c r="N4109" s="5">
        <f t="shared" si="64"/>
        <v>7044.326</v>
      </c>
    </row>
    <row r="4110" spans="1:14" x14ac:dyDescent="0.3">
      <c r="A4110" t="s">
        <v>4966</v>
      </c>
      <c r="B4110" s="2">
        <v>45792</v>
      </c>
      <c r="C4110" t="s">
        <v>206</v>
      </c>
      <c r="D4110" t="s">
        <v>816</v>
      </c>
      <c r="E4110" t="s">
        <v>831</v>
      </c>
      <c r="F4110">
        <v>3</v>
      </c>
      <c r="G4110">
        <v>0.15</v>
      </c>
      <c r="H4110" t="s">
        <v>865</v>
      </c>
      <c r="I4110" t="str">
        <f>VLOOKUP(C4110,Customers!A:C,2,FALSE)&amp;" "&amp;VLOOKUP(C4110,Customers!A:C,3,FALSE)</f>
        <v>Felicia Morgan</v>
      </c>
      <c r="J4110" t="str">
        <f>VLOOKUP(D4110,Products!A:C,2,FALSE)</f>
        <v>Set Dairy</v>
      </c>
      <c r="K4110" t="str">
        <f>VLOOKUP(D4110,Products!A:C,3,FALSE)</f>
        <v>Groceries</v>
      </c>
      <c r="L4110" t="str">
        <f>VLOOKUP(E4110,Stores!A:B,2,FALSE)</f>
        <v>MegaMart Jimenezborough</v>
      </c>
      <c r="M4110">
        <f>VLOOKUP(D4110,Products!A:E,5,FALSE)</f>
        <v>1879.08</v>
      </c>
      <c r="N4110" s="5">
        <f t="shared" si="64"/>
        <v>4791.6539999999995</v>
      </c>
    </row>
    <row r="4111" spans="1:14" x14ac:dyDescent="0.3">
      <c r="A4111" t="s">
        <v>4967</v>
      </c>
      <c r="B4111" s="2">
        <v>45670</v>
      </c>
      <c r="C4111" t="s">
        <v>179</v>
      </c>
      <c r="D4111" t="s">
        <v>774</v>
      </c>
      <c r="E4111" t="s">
        <v>839</v>
      </c>
      <c r="F4111">
        <v>3</v>
      </c>
      <c r="G4111">
        <v>0</v>
      </c>
      <c r="H4111" t="s">
        <v>861</v>
      </c>
      <c r="I4111" t="str">
        <f>VLOOKUP(C4111,Customers!A:C,2,FALSE)&amp;" "&amp;VLOOKUP(C4111,Customers!A:C,3,FALSE)</f>
        <v>Dennis Poole</v>
      </c>
      <c r="J4111" t="str">
        <f>VLOOKUP(D4111,Products!A:C,2,FALSE)</f>
        <v>Him Smartphone</v>
      </c>
      <c r="K4111" t="str">
        <f>VLOOKUP(D4111,Products!A:C,3,FALSE)</f>
        <v>Electronics</v>
      </c>
      <c r="L4111" t="str">
        <f>VLOOKUP(E4111,Stores!A:B,2,FALSE)</f>
        <v>MegaMart New Michele</v>
      </c>
      <c r="M4111">
        <f>VLOOKUP(D4111,Products!A:E,5,FALSE)</f>
        <v>1487.41</v>
      </c>
      <c r="N4111" s="5">
        <f t="shared" si="64"/>
        <v>4462.2300000000005</v>
      </c>
    </row>
    <row r="4112" spans="1:14" x14ac:dyDescent="0.3">
      <c r="A4112" t="s">
        <v>4968</v>
      </c>
      <c r="B4112" s="2">
        <v>45233</v>
      </c>
      <c r="C4112" t="s">
        <v>498</v>
      </c>
      <c r="D4112" t="s">
        <v>788</v>
      </c>
      <c r="E4112" t="s">
        <v>835</v>
      </c>
      <c r="F4112">
        <v>4</v>
      </c>
      <c r="G4112">
        <v>0.15</v>
      </c>
      <c r="H4112" t="s">
        <v>861</v>
      </c>
      <c r="I4112" t="str">
        <f>VLOOKUP(C4112,Customers!A:C,2,FALSE)&amp;" "&amp;VLOOKUP(C4112,Customers!A:C,3,FALSE)</f>
        <v>Amanda Garcia</v>
      </c>
      <c r="J4112" t="str">
        <f>VLOOKUP(D4112,Products!A:C,2,FALSE)</f>
        <v>Foot Snacks</v>
      </c>
      <c r="K4112" t="str">
        <f>VLOOKUP(D4112,Products!A:C,3,FALSE)</f>
        <v>Groceries</v>
      </c>
      <c r="L4112" t="str">
        <f>VLOOKUP(E4112,Stores!A:B,2,FALSE)</f>
        <v>MegaMart Peckmouth</v>
      </c>
      <c r="M4112">
        <f>VLOOKUP(D4112,Products!A:E,5,FALSE)</f>
        <v>1095.72</v>
      </c>
      <c r="N4112" s="5">
        <f t="shared" si="64"/>
        <v>3725.4479999999999</v>
      </c>
    </row>
    <row r="4113" spans="1:14" x14ac:dyDescent="0.3">
      <c r="A4113" t="s">
        <v>4969</v>
      </c>
      <c r="B4113" s="2">
        <v>45788</v>
      </c>
      <c r="C4113" t="s">
        <v>411</v>
      </c>
      <c r="D4113" t="s">
        <v>755</v>
      </c>
      <c r="E4113" t="s">
        <v>839</v>
      </c>
      <c r="F4113">
        <v>2</v>
      </c>
      <c r="G4113">
        <v>0</v>
      </c>
      <c r="H4113" t="s">
        <v>855</v>
      </c>
      <c r="I4113" t="str">
        <f>VLOOKUP(C4113,Customers!A:C,2,FALSE)&amp;" "&amp;VLOOKUP(C4113,Customers!A:C,3,FALSE)</f>
        <v>Travis Peters</v>
      </c>
      <c r="J4113" t="str">
        <f>VLOOKUP(D4113,Products!A:C,2,FALSE)</f>
        <v>House Accessories</v>
      </c>
      <c r="K4113" t="str">
        <f>VLOOKUP(D4113,Products!A:C,3,FALSE)</f>
        <v>Fashion</v>
      </c>
      <c r="L4113" t="str">
        <f>VLOOKUP(E4113,Stores!A:B,2,FALSE)</f>
        <v>MegaMart New Michele</v>
      </c>
      <c r="M4113">
        <f>VLOOKUP(D4113,Products!A:E,5,FALSE)</f>
        <v>1858.75</v>
      </c>
      <c r="N4113" s="5">
        <f t="shared" si="64"/>
        <v>3717.5</v>
      </c>
    </row>
    <row r="4114" spans="1:14" x14ac:dyDescent="0.3">
      <c r="A4114" t="s">
        <v>4970</v>
      </c>
      <c r="B4114" s="2">
        <v>45288</v>
      </c>
      <c r="C4114" t="s">
        <v>567</v>
      </c>
      <c r="D4114" t="s">
        <v>734</v>
      </c>
      <c r="E4114" t="s">
        <v>839</v>
      </c>
      <c r="F4114">
        <v>5</v>
      </c>
      <c r="G4114">
        <v>0.1</v>
      </c>
      <c r="H4114" t="s">
        <v>858</v>
      </c>
      <c r="I4114" t="str">
        <f>VLOOKUP(C4114,Customers!A:C,2,FALSE)&amp;" "&amp;VLOOKUP(C4114,Customers!A:C,3,FALSE)</f>
        <v>Crystal Aguirre</v>
      </c>
      <c r="J4114" t="str">
        <f>VLOOKUP(D4114,Products!A:C,2,FALSE)</f>
        <v>Recognize Footwear</v>
      </c>
      <c r="K4114" t="str">
        <f>VLOOKUP(D4114,Products!A:C,3,FALSE)</f>
        <v>Fashion</v>
      </c>
      <c r="L4114" t="str">
        <f>VLOOKUP(E4114,Stores!A:B,2,FALSE)</f>
        <v>MegaMart New Michele</v>
      </c>
      <c r="M4114">
        <f>VLOOKUP(D4114,Products!A:E,5,FALSE)</f>
        <v>109.78</v>
      </c>
      <c r="N4114" s="5">
        <f t="shared" si="64"/>
        <v>494.01</v>
      </c>
    </row>
    <row r="4115" spans="1:14" x14ac:dyDescent="0.3">
      <c r="A4115" t="s">
        <v>4971</v>
      </c>
      <c r="B4115" s="2">
        <v>45764</v>
      </c>
      <c r="C4115" t="s">
        <v>339</v>
      </c>
      <c r="D4115" t="s">
        <v>711</v>
      </c>
      <c r="E4115" t="s">
        <v>839</v>
      </c>
      <c r="F4115">
        <v>4</v>
      </c>
      <c r="G4115">
        <v>0.15</v>
      </c>
      <c r="H4115" t="s">
        <v>861</v>
      </c>
      <c r="I4115" t="str">
        <f>VLOOKUP(C4115,Customers!A:C,2,FALSE)&amp;" "&amp;VLOOKUP(C4115,Customers!A:C,3,FALSE)</f>
        <v>Carrie Peterson</v>
      </c>
      <c r="J4115" t="str">
        <f>VLOOKUP(D4115,Products!A:C,2,FALSE)</f>
        <v>Like Camera</v>
      </c>
      <c r="K4115" t="str">
        <f>VLOOKUP(D4115,Products!A:C,3,FALSE)</f>
        <v>Electronics</v>
      </c>
      <c r="L4115" t="str">
        <f>VLOOKUP(E4115,Stores!A:B,2,FALSE)</f>
        <v>MegaMart New Michele</v>
      </c>
      <c r="M4115">
        <f>VLOOKUP(D4115,Products!A:E,5,FALSE)</f>
        <v>1673.69</v>
      </c>
      <c r="N4115" s="5">
        <f t="shared" si="64"/>
        <v>5690.5460000000003</v>
      </c>
    </row>
    <row r="4116" spans="1:14" x14ac:dyDescent="0.3">
      <c r="A4116" t="s">
        <v>4972</v>
      </c>
      <c r="B4116" s="2">
        <v>45645</v>
      </c>
      <c r="C4116" t="s">
        <v>291</v>
      </c>
      <c r="D4116" t="s">
        <v>753</v>
      </c>
      <c r="E4116" t="s">
        <v>839</v>
      </c>
      <c r="F4116">
        <v>3</v>
      </c>
      <c r="G4116">
        <v>0.1</v>
      </c>
      <c r="H4116" t="s">
        <v>861</v>
      </c>
      <c r="I4116" t="str">
        <f>VLOOKUP(C4116,Customers!A:C,2,FALSE)&amp;" "&amp;VLOOKUP(C4116,Customers!A:C,3,FALSE)</f>
        <v>Matthew Juarez</v>
      </c>
      <c r="J4116" t="str">
        <f>VLOOKUP(D4116,Products!A:C,2,FALSE)</f>
        <v>Whether Bags</v>
      </c>
      <c r="K4116" t="str">
        <f>VLOOKUP(D4116,Products!A:C,3,FALSE)</f>
        <v>Fashion</v>
      </c>
      <c r="L4116" t="str">
        <f>VLOOKUP(E4116,Stores!A:B,2,FALSE)</f>
        <v>MegaMart New Michele</v>
      </c>
      <c r="M4116">
        <f>VLOOKUP(D4116,Products!A:E,5,FALSE)</f>
        <v>270.45</v>
      </c>
      <c r="N4116" s="5">
        <f t="shared" si="64"/>
        <v>730.21499999999992</v>
      </c>
    </row>
    <row r="4117" spans="1:14" x14ac:dyDescent="0.3">
      <c r="A4117" t="s">
        <v>4973</v>
      </c>
      <c r="B4117" s="2">
        <v>45186</v>
      </c>
      <c r="C4117" t="s">
        <v>298</v>
      </c>
      <c r="D4117" t="s">
        <v>757</v>
      </c>
      <c r="E4117" t="s">
        <v>839</v>
      </c>
      <c r="F4117">
        <v>1</v>
      </c>
      <c r="G4117">
        <v>0.1</v>
      </c>
      <c r="H4117" t="s">
        <v>865</v>
      </c>
      <c r="I4117" t="str">
        <f>VLOOKUP(C4117,Customers!A:C,2,FALSE)&amp;" "&amp;VLOOKUP(C4117,Customers!A:C,3,FALSE)</f>
        <v>Donald Marsh</v>
      </c>
      <c r="J4117" t="str">
        <f>VLOOKUP(D4117,Products!A:C,2,FALSE)</f>
        <v>Find Headphones</v>
      </c>
      <c r="K4117" t="str">
        <f>VLOOKUP(D4117,Products!A:C,3,FALSE)</f>
        <v>Electronics</v>
      </c>
      <c r="L4117" t="str">
        <f>VLOOKUP(E4117,Stores!A:B,2,FALSE)</f>
        <v>MegaMart New Michele</v>
      </c>
      <c r="M4117">
        <f>VLOOKUP(D4117,Products!A:E,5,FALSE)</f>
        <v>1246.1099999999999</v>
      </c>
      <c r="N4117" s="5">
        <f t="shared" si="64"/>
        <v>1121.499</v>
      </c>
    </row>
    <row r="4118" spans="1:14" x14ac:dyDescent="0.3">
      <c r="A4118" t="s">
        <v>4974</v>
      </c>
      <c r="B4118" s="2">
        <v>45883</v>
      </c>
      <c r="C4118" t="s">
        <v>382</v>
      </c>
      <c r="D4118" t="s">
        <v>802</v>
      </c>
      <c r="E4118" t="s">
        <v>846</v>
      </c>
      <c r="F4118">
        <v>5</v>
      </c>
      <c r="G4118">
        <v>0.05</v>
      </c>
      <c r="H4118" t="s">
        <v>861</v>
      </c>
      <c r="I4118" t="str">
        <f>VLOOKUP(C4118,Customers!A:C,2,FALSE)&amp;" "&amp;VLOOKUP(C4118,Customers!A:C,3,FALSE)</f>
        <v>Carolyn Perez</v>
      </c>
      <c r="J4118" t="str">
        <f>VLOOKUP(D4118,Products!A:C,2,FALSE)</f>
        <v>Stage Footwear</v>
      </c>
      <c r="K4118" t="str">
        <f>VLOOKUP(D4118,Products!A:C,3,FALSE)</f>
        <v>Fashion</v>
      </c>
      <c r="L4118" t="str">
        <f>VLOOKUP(E4118,Stores!A:B,2,FALSE)</f>
        <v>MegaMart Johnmouth</v>
      </c>
      <c r="M4118">
        <f>VLOOKUP(D4118,Products!A:E,5,FALSE)</f>
        <v>366.93</v>
      </c>
      <c r="N4118" s="5">
        <f t="shared" si="64"/>
        <v>1742.9175</v>
      </c>
    </row>
    <row r="4119" spans="1:14" x14ac:dyDescent="0.3">
      <c r="A4119" t="s">
        <v>4975</v>
      </c>
      <c r="B4119" s="2">
        <v>45288</v>
      </c>
      <c r="C4119" t="s">
        <v>640</v>
      </c>
      <c r="D4119" t="s">
        <v>788</v>
      </c>
      <c r="E4119" t="s">
        <v>839</v>
      </c>
      <c r="F4119">
        <v>3</v>
      </c>
      <c r="G4119">
        <v>0.15</v>
      </c>
      <c r="H4119" t="s">
        <v>855</v>
      </c>
      <c r="I4119" t="str">
        <f>VLOOKUP(C4119,Customers!A:C,2,FALSE)&amp;" "&amp;VLOOKUP(C4119,Customers!A:C,3,FALSE)</f>
        <v>Brittany Oneal</v>
      </c>
      <c r="J4119" t="str">
        <f>VLOOKUP(D4119,Products!A:C,2,FALSE)</f>
        <v>Foot Snacks</v>
      </c>
      <c r="K4119" t="str">
        <f>VLOOKUP(D4119,Products!A:C,3,FALSE)</f>
        <v>Groceries</v>
      </c>
      <c r="L4119" t="str">
        <f>VLOOKUP(E4119,Stores!A:B,2,FALSE)</f>
        <v>MegaMart New Michele</v>
      </c>
      <c r="M4119">
        <f>VLOOKUP(D4119,Products!A:E,5,FALSE)</f>
        <v>1095.72</v>
      </c>
      <c r="N4119" s="5">
        <f t="shared" si="64"/>
        <v>2794.0859999999998</v>
      </c>
    </row>
    <row r="4120" spans="1:14" x14ac:dyDescent="0.3">
      <c r="A4120" t="s">
        <v>4976</v>
      </c>
      <c r="B4120" s="2">
        <v>45809</v>
      </c>
      <c r="C4120" t="s">
        <v>224</v>
      </c>
      <c r="D4120" t="s">
        <v>711</v>
      </c>
      <c r="E4120" t="s">
        <v>846</v>
      </c>
      <c r="F4120">
        <v>3</v>
      </c>
      <c r="G4120">
        <v>0.15</v>
      </c>
      <c r="H4120" t="s">
        <v>855</v>
      </c>
      <c r="I4120" t="str">
        <f>VLOOKUP(C4120,Customers!A:C,2,FALSE)&amp;" "&amp;VLOOKUP(C4120,Customers!A:C,3,FALSE)</f>
        <v>Lawrence Stewart</v>
      </c>
      <c r="J4120" t="str">
        <f>VLOOKUP(D4120,Products!A:C,2,FALSE)</f>
        <v>Like Camera</v>
      </c>
      <c r="K4120" t="str">
        <f>VLOOKUP(D4120,Products!A:C,3,FALSE)</f>
        <v>Electronics</v>
      </c>
      <c r="L4120" t="str">
        <f>VLOOKUP(E4120,Stores!A:B,2,FALSE)</f>
        <v>MegaMart Johnmouth</v>
      </c>
      <c r="M4120">
        <f>VLOOKUP(D4120,Products!A:E,5,FALSE)</f>
        <v>1673.69</v>
      </c>
      <c r="N4120" s="5">
        <f t="shared" si="64"/>
        <v>4267.9094999999998</v>
      </c>
    </row>
    <row r="4121" spans="1:14" x14ac:dyDescent="0.3">
      <c r="A4121" t="s">
        <v>4977</v>
      </c>
      <c r="B4121" s="2">
        <v>45268</v>
      </c>
      <c r="C4121" t="s">
        <v>24</v>
      </c>
      <c r="D4121" t="s">
        <v>794</v>
      </c>
      <c r="E4121" t="s">
        <v>846</v>
      </c>
      <c r="F4121">
        <v>5</v>
      </c>
      <c r="G4121">
        <v>0.05</v>
      </c>
      <c r="H4121" t="s">
        <v>861</v>
      </c>
      <c r="I4121" t="str">
        <f>VLOOKUP(C4121,Customers!A:C,2,FALSE)&amp;" "&amp;VLOOKUP(C4121,Customers!A:C,3,FALSE)</f>
        <v>Jamie Salinas</v>
      </c>
      <c r="J4121" t="str">
        <f>VLOOKUP(D4121,Products!A:C,2,FALSE)</f>
        <v>Everything Laptop</v>
      </c>
      <c r="K4121" t="str">
        <f>VLOOKUP(D4121,Products!A:C,3,FALSE)</f>
        <v>Electronics</v>
      </c>
      <c r="L4121" t="str">
        <f>VLOOKUP(E4121,Stores!A:B,2,FALSE)</f>
        <v>MegaMart Johnmouth</v>
      </c>
      <c r="M4121">
        <f>VLOOKUP(D4121,Products!A:E,5,FALSE)</f>
        <v>428.05</v>
      </c>
      <c r="N4121" s="5">
        <f t="shared" si="64"/>
        <v>2033.2375</v>
      </c>
    </row>
    <row r="4122" spans="1:14" x14ac:dyDescent="0.3">
      <c r="A4122" t="s">
        <v>4978</v>
      </c>
      <c r="B4122" s="2">
        <v>45661</v>
      </c>
      <c r="C4122" t="s">
        <v>224</v>
      </c>
      <c r="D4122" t="s">
        <v>759</v>
      </c>
      <c r="E4122" t="s">
        <v>831</v>
      </c>
      <c r="F4122">
        <v>5</v>
      </c>
      <c r="G4122">
        <v>0.1</v>
      </c>
      <c r="H4122" t="s">
        <v>858</v>
      </c>
      <c r="I4122" t="str">
        <f>VLOOKUP(C4122,Customers!A:C,2,FALSE)&amp;" "&amp;VLOOKUP(C4122,Customers!A:C,3,FALSE)</f>
        <v>Lawrence Stewart</v>
      </c>
      <c r="J4122" t="str">
        <f>VLOOKUP(D4122,Products!A:C,2,FALSE)</f>
        <v>Democratic Smartphone</v>
      </c>
      <c r="K4122" t="str">
        <f>VLOOKUP(D4122,Products!A:C,3,FALSE)</f>
        <v>Electronics</v>
      </c>
      <c r="L4122" t="str">
        <f>VLOOKUP(E4122,Stores!A:B,2,FALSE)</f>
        <v>MegaMart Jimenezborough</v>
      </c>
      <c r="M4122">
        <f>VLOOKUP(D4122,Products!A:E,5,FALSE)</f>
        <v>1079.8900000000001</v>
      </c>
      <c r="N4122" s="5">
        <f t="shared" si="64"/>
        <v>4859.505000000001</v>
      </c>
    </row>
    <row r="4123" spans="1:14" x14ac:dyDescent="0.3">
      <c r="A4123" t="s">
        <v>4979</v>
      </c>
      <c r="B4123" s="2">
        <v>45740</v>
      </c>
      <c r="C4123" t="s">
        <v>130</v>
      </c>
      <c r="D4123" t="s">
        <v>780</v>
      </c>
      <c r="E4123" t="s">
        <v>846</v>
      </c>
      <c r="F4123">
        <v>4</v>
      </c>
      <c r="G4123">
        <v>0.05</v>
      </c>
      <c r="H4123" t="s">
        <v>855</v>
      </c>
      <c r="I4123" t="str">
        <f>VLOOKUP(C4123,Customers!A:C,2,FALSE)&amp;" "&amp;VLOOKUP(C4123,Customers!A:C,3,FALSE)</f>
        <v>Jenny Beck</v>
      </c>
      <c r="J4123" t="str">
        <f>VLOOKUP(D4123,Products!A:C,2,FALSE)</f>
        <v>Hospital Smartphone</v>
      </c>
      <c r="K4123" t="str">
        <f>VLOOKUP(D4123,Products!A:C,3,FALSE)</f>
        <v>Electronics</v>
      </c>
      <c r="L4123" t="str">
        <f>VLOOKUP(E4123,Stores!A:B,2,FALSE)</f>
        <v>MegaMart Johnmouth</v>
      </c>
      <c r="M4123">
        <f>VLOOKUP(D4123,Products!A:E,5,FALSE)</f>
        <v>1272.23</v>
      </c>
      <c r="N4123" s="5">
        <f t="shared" si="64"/>
        <v>4834.4740000000002</v>
      </c>
    </row>
    <row r="4124" spans="1:14" x14ac:dyDescent="0.3">
      <c r="A4124" t="s">
        <v>4980</v>
      </c>
      <c r="B4124" s="2">
        <v>45603</v>
      </c>
      <c r="C4124" t="s">
        <v>105</v>
      </c>
      <c r="D4124" t="s">
        <v>824</v>
      </c>
      <c r="E4124" t="s">
        <v>835</v>
      </c>
      <c r="F4124">
        <v>2</v>
      </c>
      <c r="G4124">
        <v>0</v>
      </c>
      <c r="H4124" t="s">
        <v>865</v>
      </c>
      <c r="I4124" t="str">
        <f>VLOOKUP(C4124,Customers!A:C,2,FALSE)&amp;" "&amp;VLOOKUP(C4124,Customers!A:C,3,FALSE)</f>
        <v>Justin Macdonald</v>
      </c>
      <c r="J4124" t="str">
        <f>VLOOKUP(D4124,Products!A:C,2,FALSE)</f>
        <v>Possible Watches</v>
      </c>
      <c r="K4124" t="str">
        <f>VLOOKUP(D4124,Products!A:C,3,FALSE)</f>
        <v>Fashion</v>
      </c>
      <c r="L4124" t="str">
        <f>VLOOKUP(E4124,Stores!A:B,2,FALSE)</f>
        <v>MegaMart Peckmouth</v>
      </c>
      <c r="M4124">
        <f>VLOOKUP(D4124,Products!A:E,5,FALSE)</f>
        <v>388.26</v>
      </c>
      <c r="N4124" s="5">
        <f t="shared" si="64"/>
        <v>776.52</v>
      </c>
    </row>
    <row r="4125" spans="1:14" x14ac:dyDescent="0.3">
      <c r="A4125" t="s">
        <v>4981</v>
      </c>
      <c r="B4125" s="2">
        <v>45397</v>
      </c>
      <c r="C4125" t="s">
        <v>687</v>
      </c>
      <c r="D4125" t="s">
        <v>792</v>
      </c>
      <c r="E4125" t="s">
        <v>846</v>
      </c>
      <c r="F4125">
        <v>4</v>
      </c>
      <c r="G4125">
        <v>0.05</v>
      </c>
      <c r="H4125" t="s">
        <v>865</v>
      </c>
      <c r="I4125" t="str">
        <f>VLOOKUP(C4125,Customers!A:C,2,FALSE)&amp;" "&amp;VLOOKUP(C4125,Customers!A:C,3,FALSE)</f>
        <v>James Mitchell</v>
      </c>
      <c r="J4125" t="str">
        <f>VLOOKUP(D4125,Products!A:C,2,FALSE)</f>
        <v>Beat Accessories</v>
      </c>
      <c r="K4125" t="str">
        <f>VLOOKUP(D4125,Products!A:C,3,FALSE)</f>
        <v>Fashion</v>
      </c>
      <c r="L4125" t="str">
        <f>VLOOKUP(E4125,Stores!A:B,2,FALSE)</f>
        <v>MegaMart Johnmouth</v>
      </c>
      <c r="M4125">
        <f>VLOOKUP(D4125,Products!A:E,5,FALSE)</f>
        <v>1798.97</v>
      </c>
      <c r="N4125" s="5">
        <f t="shared" si="64"/>
        <v>6836.0859999999993</v>
      </c>
    </row>
    <row r="4126" spans="1:14" x14ac:dyDescent="0.3">
      <c r="A4126" t="s">
        <v>4982</v>
      </c>
      <c r="B4126" s="2">
        <v>45846</v>
      </c>
      <c r="C4126" t="s">
        <v>627</v>
      </c>
      <c r="D4126" t="s">
        <v>736</v>
      </c>
      <c r="E4126" t="s">
        <v>835</v>
      </c>
      <c r="F4126">
        <v>1</v>
      </c>
      <c r="G4126">
        <v>0.15</v>
      </c>
      <c r="H4126" t="s">
        <v>865</v>
      </c>
      <c r="I4126" t="str">
        <f>VLOOKUP(C4126,Customers!A:C,2,FALSE)&amp;" "&amp;VLOOKUP(C4126,Customers!A:C,3,FALSE)</f>
        <v>Anthony Gould</v>
      </c>
      <c r="J4126" t="str">
        <f>VLOOKUP(D4126,Products!A:C,2,FALSE)</f>
        <v>Us Snacks</v>
      </c>
      <c r="K4126" t="str">
        <f>VLOOKUP(D4126,Products!A:C,3,FALSE)</f>
        <v>Groceries</v>
      </c>
      <c r="L4126" t="str">
        <f>VLOOKUP(E4126,Stores!A:B,2,FALSE)</f>
        <v>MegaMart Peckmouth</v>
      </c>
      <c r="M4126">
        <f>VLOOKUP(D4126,Products!A:E,5,FALSE)</f>
        <v>123.19</v>
      </c>
      <c r="N4126" s="5">
        <f t="shared" si="64"/>
        <v>104.7115</v>
      </c>
    </row>
    <row r="4127" spans="1:14" x14ac:dyDescent="0.3">
      <c r="A4127" t="s">
        <v>4983</v>
      </c>
      <c r="B4127" s="2">
        <v>45443</v>
      </c>
      <c r="C4127" t="s">
        <v>454</v>
      </c>
      <c r="D4127" t="s">
        <v>780</v>
      </c>
      <c r="E4127" t="s">
        <v>839</v>
      </c>
      <c r="F4127">
        <v>3</v>
      </c>
      <c r="G4127">
        <v>0.1</v>
      </c>
      <c r="H4127" t="s">
        <v>861</v>
      </c>
      <c r="I4127" t="str">
        <f>VLOOKUP(C4127,Customers!A:C,2,FALSE)&amp;" "&amp;VLOOKUP(C4127,Customers!A:C,3,FALSE)</f>
        <v>Peter Edwards</v>
      </c>
      <c r="J4127" t="str">
        <f>VLOOKUP(D4127,Products!A:C,2,FALSE)</f>
        <v>Hospital Smartphone</v>
      </c>
      <c r="K4127" t="str">
        <f>VLOOKUP(D4127,Products!A:C,3,FALSE)</f>
        <v>Electronics</v>
      </c>
      <c r="L4127" t="str">
        <f>VLOOKUP(E4127,Stores!A:B,2,FALSE)</f>
        <v>MegaMart New Michele</v>
      </c>
      <c r="M4127">
        <f>VLOOKUP(D4127,Products!A:E,5,FALSE)</f>
        <v>1272.23</v>
      </c>
      <c r="N4127" s="5">
        <f t="shared" si="64"/>
        <v>3435.0210000000002</v>
      </c>
    </row>
    <row r="4128" spans="1:14" x14ac:dyDescent="0.3">
      <c r="A4128" t="s">
        <v>4984</v>
      </c>
      <c r="B4128" s="2">
        <v>45710</v>
      </c>
      <c r="C4128" t="s">
        <v>280</v>
      </c>
      <c r="D4128" t="s">
        <v>753</v>
      </c>
      <c r="E4128" t="s">
        <v>842</v>
      </c>
      <c r="F4128">
        <v>3</v>
      </c>
      <c r="G4128">
        <v>0.1</v>
      </c>
      <c r="H4128" t="s">
        <v>858</v>
      </c>
      <c r="I4128" t="str">
        <f>VLOOKUP(C4128,Customers!A:C,2,FALSE)&amp;" "&amp;VLOOKUP(C4128,Customers!A:C,3,FALSE)</f>
        <v>Jesus Singh</v>
      </c>
      <c r="J4128" t="str">
        <f>VLOOKUP(D4128,Products!A:C,2,FALSE)</f>
        <v>Whether Bags</v>
      </c>
      <c r="K4128" t="str">
        <f>VLOOKUP(D4128,Products!A:C,3,FALSE)</f>
        <v>Fashion</v>
      </c>
      <c r="L4128" t="str">
        <f>VLOOKUP(E4128,Stores!A:B,2,FALSE)</f>
        <v>MegaMart Brianahaven</v>
      </c>
      <c r="M4128">
        <f>VLOOKUP(D4128,Products!A:E,5,FALSE)</f>
        <v>270.45</v>
      </c>
      <c r="N4128" s="5">
        <f t="shared" si="64"/>
        <v>730.21499999999992</v>
      </c>
    </row>
    <row r="4129" spans="1:14" x14ac:dyDescent="0.3">
      <c r="A4129" t="s">
        <v>4985</v>
      </c>
      <c r="B4129" s="2">
        <v>45395</v>
      </c>
      <c r="C4129" t="s">
        <v>542</v>
      </c>
      <c r="D4129" t="s">
        <v>722</v>
      </c>
      <c r="E4129" t="s">
        <v>835</v>
      </c>
      <c r="F4129">
        <v>2</v>
      </c>
      <c r="G4129">
        <v>0</v>
      </c>
      <c r="H4129" t="s">
        <v>861</v>
      </c>
      <c r="I4129" t="str">
        <f>VLOOKUP(C4129,Customers!A:C,2,FALSE)&amp;" "&amp;VLOOKUP(C4129,Customers!A:C,3,FALSE)</f>
        <v>Francis Hernandez</v>
      </c>
      <c r="J4129" t="str">
        <f>VLOOKUP(D4129,Products!A:C,2,FALSE)</f>
        <v>Four Accessories</v>
      </c>
      <c r="K4129" t="str">
        <f>VLOOKUP(D4129,Products!A:C,3,FALSE)</f>
        <v>Fashion</v>
      </c>
      <c r="L4129" t="str">
        <f>VLOOKUP(E4129,Stores!A:B,2,FALSE)</f>
        <v>MegaMart Peckmouth</v>
      </c>
      <c r="M4129">
        <f>VLOOKUP(D4129,Products!A:E,5,FALSE)</f>
        <v>1853.77</v>
      </c>
      <c r="N4129" s="5">
        <f t="shared" si="64"/>
        <v>3707.54</v>
      </c>
    </row>
    <row r="4130" spans="1:14" x14ac:dyDescent="0.3">
      <c r="A4130" t="s">
        <v>4986</v>
      </c>
      <c r="B4130" s="2">
        <v>45612</v>
      </c>
      <c r="C4130" t="s">
        <v>15</v>
      </c>
      <c r="D4130" t="s">
        <v>778</v>
      </c>
      <c r="E4130" t="s">
        <v>831</v>
      </c>
      <c r="F4130">
        <v>3</v>
      </c>
      <c r="G4130">
        <v>0.1</v>
      </c>
      <c r="H4130" t="s">
        <v>858</v>
      </c>
      <c r="I4130" t="str">
        <f>VLOOKUP(C4130,Customers!A:C,2,FALSE)&amp;" "&amp;VLOOKUP(C4130,Customers!A:C,3,FALSE)</f>
        <v>Carol Hays</v>
      </c>
      <c r="J4130" t="str">
        <f>VLOOKUP(D4130,Products!A:C,2,FALSE)</f>
        <v>Behavior Dairy</v>
      </c>
      <c r="K4130" t="str">
        <f>VLOOKUP(D4130,Products!A:C,3,FALSE)</f>
        <v>Groceries</v>
      </c>
      <c r="L4130" t="str">
        <f>VLOOKUP(E4130,Stores!A:B,2,FALSE)</f>
        <v>MegaMart Jimenezborough</v>
      </c>
      <c r="M4130">
        <f>VLOOKUP(D4130,Products!A:E,5,FALSE)</f>
        <v>1015.76</v>
      </c>
      <c r="N4130" s="5">
        <f t="shared" si="64"/>
        <v>2742.5519999999997</v>
      </c>
    </row>
    <row r="4131" spans="1:14" x14ac:dyDescent="0.3">
      <c r="A4131" t="s">
        <v>4987</v>
      </c>
      <c r="B4131" s="2">
        <v>45654</v>
      </c>
      <c r="C4131" t="s">
        <v>294</v>
      </c>
      <c r="D4131" t="s">
        <v>750</v>
      </c>
      <c r="E4131" t="s">
        <v>842</v>
      </c>
      <c r="F4131">
        <v>1</v>
      </c>
      <c r="G4131">
        <v>0.05</v>
      </c>
      <c r="H4131" t="s">
        <v>861</v>
      </c>
      <c r="I4131" t="str">
        <f>VLOOKUP(C4131,Customers!A:C,2,FALSE)&amp;" "&amp;VLOOKUP(C4131,Customers!A:C,3,FALSE)</f>
        <v>Jeanne Young</v>
      </c>
      <c r="J4131" t="str">
        <f>VLOOKUP(D4131,Products!A:C,2,FALSE)</f>
        <v>Add Clothing</v>
      </c>
      <c r="K4131" t="str">
        <f>VLOOKUP(D4131,Products!A:C,3,FALSE)</f>
        <v>Fashion</v>
      </c>
      <c r="L4131" t="str">
        <f>VLOOKUP(E4131,Stores!A:B,2,FALSE)</f>
        <v>MegaMart Brianahaven</v>
      </c>
      <c r="M4131">
        <f>VLOOKUP(D4131,Products!A:E,5,FALSE)</f>
        <v>1342.75</v>
      </c>
      <c r="N4131" s="5">
        <f t="shared" si="64"/>
        <v>1275.6125</v>
      </c>
    </row>
    <row r="4132" spans="1:14" x14ac:dyDescent="0.3">
      <c r="A4132" t="s">
        <v>4988</v>
      </c>
      <c r="B4132" s="2">
        <v>45200</v>
      </c>
      <c r="C4132" t="s">
        <v>531</v>
      </c>
      <c r="D4132" t="s">
        <v>810</v>
      </c>
      <c r="E4132" t="s">
        <v>831</v>
      </c>
      <c r="F4132">
        <v>1</v>
      </c>
      <c r="G4132">
        <v>0.05</v>
      </c>
      <c r="H4132" t="s">
        <v>855</v>
      </c>
      <c r="I4132" t="str">
        <f>VLOOKUP(C4132,Customers!A:C,2,FALSE)&amp;" "&amp;VLOOKUP(C4132,Customers!A:C,3,FALSE)</f>
        <v>John Johnson</v>
      </c>
      <c r="J4132" t="str">
        <f>VLOOKUP(D4132,Products!A:C,2,FALSE)</f>
        <v>Maybe Clothing</v>
      </c>
      <c r="K4132" t="str">
        <f>VLOOKUP(D4132,Products!A:C,3,FALSE)</f>
        <v>Fashion</v>
      </c>
      <c r="L4132" t="str">
        <f>VLOOKUP(E4132,Stores!A:B,2,FALSE)</f>
        <v>MegaMart Jimenezborough</v>
      </c>
      <c r="M4132">
        <f>VLOOKUP(D4132,Products!A:E,5,FALSE)</f>
        <v>453.62</v>
      </c>
      <c r="N4132" s="5">
        <f t="shared" si="64"/>
        <v>430.93899999999996</v>
      </c>
    </row>
    <row r="4133" spans="1:14" x14ac:dyDescent="0.3">
      <c r="A4133" t="s">
        <v>4989</v>
      </c>
      <c r="B4133" s="2">
        <v>45675</v>
      </c>
      <c r="C4133" t="s">
        <v>112</v>
      </c>
      <c r="D4133" t="s">
        <v>784</v>
      </c>
      <c r="E4133" t="s">
        <v>835</v>
      </c>
      <c r="F4133">
        <v>1</v>
      </c>
      <c r="G4133">
        <v>0.05</v>
      </c>
      <c r="H4133" t="s">
        <v>858</v>
      </c>
      <c r="I4133" t="str">
        <f>VLOOKUP(C4133,Customers!A:C,2,FALSE)&amp;" "&amp;VLOOKUP(C4133,Customers!A:C,3,FALSE)</f>
        <v>John Carr</v>
      </c>
      <c r="J4133" t="str">
        <f>VLOOKUP(D4133,Products!A:C,2,FALSE)</f>
        <v>Road Clothing</v>
      </c>
      <c r="K4133" t="str">
        <f>VLOOKUP(D4133,Products!A:C,3,FALSE)</f>
        <v>Fashion</v>
      </c>
      <c r="L4133" t="str">
        <f>VLOOKUP(E4133,Stores!A:B,2,FALSE)</f>
        <v>MegaMart Peckmouth</v>
      </c>
      <c r="M4133">
        <f>VLOOKUP(D4133,Products!A:E,5,FALSE)</f>
        <v>1485.05</v>
      </c>
      <c r="N4133" s="5">
        <f t="shared" si="64"/>
        <v>1410.7974999999999</v>
      </c>
    </row>
    <row r="4134" spans="1:14" x14ac:dyDescent="0.3">
      <c r="A4134" t="s">
        <v>4990</v>
      </c>
      <c r="B4134" s="2">
        <v>45441</v>
      </c>
      <c r="C4134" t="s">
        <v>324</v>
      </c>
      <c r="D4134" t="s">
        <v>792</v>
      </c>
      <c r="E4134" t="s">
        <v>842</v>
      </c>
      <c r="F4134">
        <v>3</v>
      </c>
      <c r="G4134">
        <v>0.15</v>
      </c>
      <c r="H4134" t="s">
        <v>861</v>
      </c>
      <c r="I4134" t="str">
        <f>VLOOKUP(C4134,Customers!A:C,2,FALSE)&amp;" "&amp;VLOOKUP(C4134,Customers!A:C,3,FALSE)</f>
        <v>Lawrence Hunter</v>
      </c>
      <c r="J4134" t="str">
        <f>VLOOKUP(D4134,Products!A:C,2,FALSE)</f>
        <v>Beat Accessories</v>
      </c>
      <c r="K4134" t="str">
        <f>VLOOKUP(D4134,Products!A:C,3,FALSE)</f>
        <v>Fashion</v>
      </c>
      <c r="L4134" t="str">
        <f>VLOOKUP(E4134,Stores!A:B,2,FALSE)</f>
        <v>MegaMart Brianahaven</v>
      </c>
      <c r="M4134">
        <f>VLOOKUP(D4134,Products!A:E,5,FALSE)</f>
        <v>1798.97</v>
      </c>
      <c r="N4134" s="5">
        <f t="shared" si="64"/>
        <v>4587.3734999999997</v>
      </c>
    </row>
    <row r="4135" spans="1:14" x14ac:dyDescent="0.3">
      <c r="A4135" t="s">
        <v>4991</v>
      </c>
      <c r="B4135" s="2">
        <v>45625</v>
      </c>
      <c r="C4135" t="s">
        <v>320</v>
      </c>
      <c r="D4135" t="s">
        <v>728</v>
      </c>
      <c r="E4135" t="s">
        <v>846</v>
      </c>
      <c r="F4135">
        <v>3</v>
      </c>
      <c r="G4135">
        <v>0.15</v>
      </c>
      <c r="H4135" t="s">
        <v>865</v>
      </c>
      <c r="I4135" t="str">
        <f>VLOOKUP(C4135,Customers!A:C,2,FALSE)&amp;" "&amp;VLOOKUP(C4135,Customers!A:C,3,FALSE)</f>
        <v>Juan Ramirez</v>
      </c>
      <c r="J4135" t="str">
        <f>VLOOKUP(D4135,Products!A:C,2,FALSE)</f>
        <v>Company Fruits</v>
      </c>
      <c r="K4135" t="str">
        <f>VLOOKUP(D4135,Products!A:C,3,FALSE)</f>
        <v>Groceries</v>
      </c>
      <c r="L4135" t="str">
        <f>VLOOKUP(E4135,Stores!A:B,2,FALSE)</f>
        <v>MegaMart Johnmouth</v>
      </c>
      <c r="M4135">
        <f>VLOOKUP(D4135,Products!A:E,5,FALSE)</f>
        <v>318.05</v>
      </c>
      <c r="N4135" s="5">
        <f t="shared" si="64"/>
        <v>811.02750000000003</v>
      </c>
    </row>
    <row r="4136" spans="1:14" x14ac:dyDescent="0.3">
      <c r="A4136" t="s">
        <v>4992</v>
      </c>
      <c r="B4136" s="2">
        <v>45276</v>
      </c>
      <c r="C4136" t="s">
        <v>520</v>
      </c>
      <c r="D4136" t="s">
        <v>739</v>
      </c>
      <c r="E4136" t="s">
        <v>842</v>
      </c>
      <c r="F4136">
        <v>1</v>
      </c>
      <c r="G4136">
        <v>0.05</v>
      </c>
      <c r="H4136" t="s">
        <v>865</v>
      </c>
      <c r="I4136" t="str">
        <f>VLOOKUP(C4136,Customers!A:C,2,FALSE)&amp;" "&amp;VLOOKUP(C4136,Customers!A:C,3,FALSE)</f>
        <v>Cynthia Carlson</v>
      </c>
      <c r="J4136" t="str">
        <f>VLOOKUP(D4136,Products!A:C,2,FALSE)</f>
        <v>Step Smartphone</v>
      </c>
      <c r="K4136" t="str">
        <f>VLOOKUP(D4136,Products!A:C,3,FALSE)</f>
        <v>Electronics</v>
      </c>
      <c r="L4136" t="str">
        <f>VLOOKUP(E4136,Stores!A:B,2,FALSE)</f>
        <v>MegaMart Brianahaven</v>
      </c>
      <c r="M4136">
        <f>VLOOKUP(D4136,Products!A:E,5,FALSE)</f>
        <v>1194.1199999999999</v>
      </c>
      <c r="N4136" s="5">
        <f t="shared" si="64"/>
        <v>1134.4139999999998</v>
      </c>
    </row>
    <row r="4137" spans="1:14" x14ac:dyDescent="0.3">
      <c r="A4137" t="s">
        <v>4993</v>
      </c>
      <c r="B4137" s="2">
        <v>45215</v>
      </c>
      <c r="C4137" t="s">
        <v>254</v>
      </c>
      <c r="D4137" t="s">
        <v>814</v>
      </c>
      <c r="E4137" t="s">
        <v>839</v>
      </c>
      <c r="F4137">
        <v>5</v>
      </c>
      <c r="G4137">
        <v>0.1</v>
      </c>
      <c r="H4137" t="s">
        <v>861</v>
      </c>
      <c r="I4137" t="str">
        <f>VLOOKUP(C4137,Customers!A:C,2,FALSE)&amp;" "&amp;VLOOKUP(C4137,Customers!A:C,3,FALSE)</f>
        <v>Daniel Maldonado</v>
      </c>
      <c r="J4137" t="str">
        <f>VLOOKUP(D4137,Products!A:C,2,FALSE)</f>
        <v>Least Accessories</v>
      </c>
      <c r="K4137" t="str">
        <f>VLOOKUP(D4137,Products!A:C,3,FALSE)</f>
        <v>Fashion</v>
      </c>
      <c r="L4137" t="str">
        <f>VLOOKUP(E4137,Stores!A:B,2,FALSE)</f>
        <v>MegaMart New Michele</v>
      </c>
      <c r="M4137">
        <f>VLOOKUP(D4137,Products!A:E,5,FALSE)</f>
        <v>1286.55</v>
      </c>
      <c r="N4137" s="5">
        <f t="shared" si="64"/>
        <v>5789.4750000000004</v>
      </c>
    </row>
    <row r="4138" spans="1:14" x14ac:dyDescent="0.3">
      <c r="A4138" t="s">
        <v>4994</v>
      </c>
      <c r="B4138" s="2">
        <v>45811</v>
      </c>
      <c r="C4138" t="s">
        <v>254</v>
      </c>
      <c r="D4138" t="s">
        <v>804</v>
      </c>
      <c r="E4138" t="s">
        <v>839</v>
      </c>
      <c r="F4138">
        <v>4</v>
      </c>
      <c r="G4138">
        <v>0.15</v>
      </c>
      <c r="H4138" t="s">
        <v>861</v>
      </c>
      <c r="I4138" t="str">
        <f>VLOOKUP(C4138,Customers!A:C,2,FALSE)&amp;" "&amp;VLOOKUP(C4138,Customers!A:C,3,FALSE)</f>
        <v>Daniel Maldonado</v>
      </c>
      <c r="J4138" t="str">
        <f>VLOOKUP(D4138,Products!A:C,2,FALSE)</f>
        <v>Church Clothing</v>
      </c>
      <c r="K4138" t="str">
        <f>VLOOKUP(D4138,Products!A:C,3,FALSE)</f>
        <v>Fashion</v>
      </c>
      <c r="L4138" t="str">
        <f>VLOOKUP(E4138,Stores!A:B,2,FALSE)</f>
        <v>MegaMart New Michele</v>
      </c>
      <c r="M4138">
        <f>VLOOKUP(D4138,Products!A:E,5,FALSE)</f>
        <v>540.94000000000005</v>
      </c>
      <c r="N4138" s="5">
        <f t="shared" si="64"/>
        <v>1839.1960000000001</v>
      </c>
    </row>
    <row r="4139" spans="1:14" x14ac:dyDescent="0.3">
      <c r="A4139" t="s">
        <v>4995</v>
      </c>
      <c r="B4139" s="2">
        <v>45548</v>
      </c>
      <c r="C4139" t="s">
        <v>89</v>
      </c>
      <c r="D4139" t="s">
        <v>786</v>
      </c>
      <c r="E4139" t="s">
        <v>831</v>
      </c>
      <c r="F4139">
        <v>2</v>
      </c>
      <c r="G4139">
        <v>0.1</v>
      </c>
      <c r="H4139" t="s">
        <v>865</v>
      </c>
      <c r="I4139" t="str">
        <f>VLOOKUP(C4139,Customers!A:C,2,FALSE)&amp;" "&amp;VLOOKUP(C4139,Customers!A:C,3,FALSE)</f>
        <v>Megan Velasquez</v>
      </c>
      <c r="J4139" t="str">
        <f>VLOOKUP(D4139,Products!A:C,2,FALSE)</f>
        <v>National Watches</v>
      </c>
      <c r="K4139" t="str">
        <f>VLOOKUP(D4139,Products!A:C,3,FALSE)</f>
        <v>Fashion</v>
      </c>
      <c r="L4139" t="str">
        <f>VLOOKUP(E4139,Stores!A:B,2,FALSE)</f>
        <v>MegaMart Jimenezborough</v>
      </c>
      <c r="M4139">
        <f>VLOOKUP(D4139,Products!A:E,5,FALSE)</f>
        <v>29.24</v>
      </c>
      <c r="N4139" s="5">
        <f t="shared" si="64"/>
        <v>52.631999999999998</v>
      </c>
    </row>
    <row r="4140" spans="1:14" x14ac:dyDescent="0.3">
      <c r="A4140" t="s">
        <v>4996</v>
      </c>
      <c r="B4140" s="2">
        <v>45279</v>
      </c>
      <c r="C4140" t="s">
        <v>206</v>
      </c>
      <c r="D4140" t="s">
        <v>753</v>
      </c>
      <c r="E4140" t="s">
        <v>839</v>
      </c>
      <c r="F4140">
        <v>2</v>
      </c>
      <c r="G4140">
        <v>0.05</v>
      </c>
      <c r="H4140" t="s">
        <v>858</v>
      </c>
      <c r="I4140" t="str">
        <f>VLOOKUP(C4140,Customers!A:C,2,FALSE)&amp;" "&amp;VLOOKUP(C4140,Customers!A:C,3,FALSE)</f>
        <v>Felicia Morgan</v>
      </c>
      <c r="J4140" t="str">
        <f>VLOOKUP(D4140,Products!A:C,2,FALSE)</f>
        <v>Whether Bags</v>
      </c>
      <c r="K4140" t="str">
        <f>VLOOKUP(D4140,Products!A:C,3,FALSE)</f>
        <v>Fashion</v>
      </c>
      <c r="L4140" t="str">
        <f>VLOOKUP(E4140,Stores!A:B,2,FALSE)</f>
        <v>MegaMart New Michele</v>
      </c>
      <c r="M4140">
        <f>VLOOKUP(D4140,Products!A:E,5,FALSE)</f>
        <v>270.45</v>
      </c>
      <c r="N4140" s="5">
        <f t="shared" si="64"/>
        <v>513.8549999999999</v>
      </c>
    </row>
    <row r="4141" spans="1:14" x14ac:dyDescent="0.3">
      <c r="A4141" t="s">
        <v>4997</v>
      </c>
      <c r="B4141" s="2">
        <v>45467</v>
      </c>
      <c r="C4141" t="s">
        <v>159</v>
      </c>
      <c r="D4141" t="s">
        <v>747</v>
      </c>
      <c r="E4141" t="s">
        <v>835</v>
      </c>
      <c r="F4141">
        <v>1</v>
      </c>
      <c r="G4141">
        <v>0.05</v>
      </c>
      <c r="H4141" t="s">
        <v>861</v>
      </c>
      <c r="I4141" t="str">
        <f>VLOOKUP(C4141,Customers!A:C,2,FALSE)&amp;" "&amp;VLOOKUP(C4141,Customers!A:C,3,FALSE)</f>
        <v>Melissa Rodgers</v>
      </c>
      <c r="J4141" t="str">
        <f>VLOOKUP(D4141,Products!A:C,2,FALSE)</f>
        <v>World Watches</v>
      </c>
      <c r="K4141" t="str">
        <f>VLOOKUP(D4141,Products!A:C,3,FALSE)</f>
        <v>Fashion</v>
      </c>
      <c r="L4141" t="str">
        <f>VLOOKUP(E4141,Stores!A:B,2,FALSE)</f>
        <v>MegaMart Peckmouth</v>
      </c>
      <c r="M4141">
        <f>VLOOKUP(D4141,Products!A:E,5,FALSE)</f>
        <v>1134.8</v>
      </c>
      <c r="N4141" s="5">
        <f t="shared" si="64"/>
        <v>1078.06</v>
      </c>
    </row>
    <row r="4142" spans="1:14" x14ac:dyDescent="0.3">
      <c r="A4142" t="s">
        <v>4998</v>
      </c>
      <c r="B4142" s="2">
        <v>45792</v>
      </c>
      <c r="C4142" t="s">
        <v>302</v>
      </c>
      <c r="D4142" t="s">
        <v>739</v>
      </c>
      <c r="E4142" t="s">
        <v>842</v>
      </c>
      <c r="F4142">
        <v>3</v>
      </c>
      <c r="G4142">
        <v>0.05</v>
      </c>
      <c r="H4142" t="s">
        <v>855</v>
      </c>
      <c r="I4142" t="str">
        <f>VLOOKUP(C4142,Customers!A:C,2,FALSE)&amp;" "&amp;VLOOKUP(C4142,Customers!A:C,3,FALSE)</f>
        <v>Grace Garcia</v>
      </c>
      <c r="J4142" t="str">
        <f>VLOOKUP(D4142,Products!A:C,2,FALSE)</f>
        <v>Step Smartphone</v>
      </c>
      <c r="K4142" t="str">
        <f>VLOOKUP(D4142,Products!A:C,3,FALSE)</f>
        <v>Electronics</v>
      </c>
      <c r="L4142" t="str">
        <f>VLOOKUP(E4142,Stores!A:B,2,FALSE)</f>
        <v>MegaMart Brianahaven</v>
      </c>
      <c r="M4142">
        <f>VLOOKUP(D4142,Products!A:E,5,FALSE)</f>
        <v>1194.1199999999999</v>
      </c>
      <c r="N4142" s="5">
        <f t="shared" si="64"/>
        <v>3403.2419999999997</v>
      </c>
    </row>
    <row r="4143" spans="1:14" x14ac:dyDescent="0.3">
      <c r="A4143" t="s">
        <v>4999</v>
      </c>
      <c r="B4143" s="2">
        <v>45765</v>
      </c>
      <c r="C4143" t="s">
        <v>393</v>
      </c>
      <c r="D4143" t="s">
        <v>774</v>
      </c>
      <c r="E4143" t="s">
        <v>835</v>
      </c>
      <c r="F4143">
        <v>1</v>
      </c>
      <c r="G4143">
        <v>0</v>
      </c>
      <c r="H4143" t="s">
        <v>855</v>
      </c>
      <c r="I4143" t="str">
        <f>VLOOKUP(C4143,Customers!A:C,2,FALSE)&amp;" "&amp;VLOOKUP(C4143,Customers!A:C,3,FALSE)</f>
        <v>Kenneth Berg</v>
      </c>
      <c r="J4143" t="str">
        <f>VLOOKUP(D4143,Products!A:C,2,FALSE)</f>
        <v>Him Smartphone</v>
      </c>
      <c r="K4143" t="str">
        <f>VLOOKUP(D4143,Products!A:C,3,FALSE)</f>
        <v>Electronics</v>
      </c>
      <c r="L4143" t="str">
        <f>VLOOKUP(E4143,Stores!A:B,2,FALSE)</f>
        <v>MegaMart Peckmouth</v>
      </c>
      <c r="M4143">
        <f>VLOOKUP(D4143,Products!A:E,5,FALSE)</f>
        <v>1487.41</v>
      </c>
      <c r="N4143" s="5">
        <f t="shared" si="64"/>
        <v>1487.41</v>
      </c>
    </row>
    <row r="4144" spans="1:14" x14ac:dyDescent="0.3">
      <c r="A4144" t="s">
        <v>5000</v>
      </c>
      <c r="B4144" s="2">
        <v>45284</v>
      </c>
      <c r="C4144" t="s">
        <v>230</v>
      </c>
      <c r="D4144" t="s">
        <v>734</v>
      </c>
      <c r="E4144" t="s">
        <v>842</v>
      </c>
      <c r="F4144">
        <v>5</v>
      </c>
      <c r="G4144">
        <v>0.15</v>
      </c>
      <c r="H4144" t="s">
        <v>858</v>
      </c>
      <c r="I4144" t="str">
        <f>VLOOKUP(C4144,Customers!A:C,2,FALSE)&amp;" "&amp;VLOOKUP(C4144,Customers!A:C,3,FALSE)</f>
        <v>Anthony Conway</v>
      </c>
      <c r="J4144" t="str">
        <f>VLOOKUP(D4144,Products!A:C,2,FALSE)</f>
        <v>Recognize Footwear</v>
      </c>
      <c r="K4144" t="str">
        <f>VLOOKUP(D4144,Products!A:C,3,FALSE)</f>
        <v>Fashion</v>
      </c>
      <c r="L4144" t="str">
        <f>VLOOKUP(E4144,Stores!A:B,2,FALSE)</f>
        <v>MegaMart Brianahaven</v>
      </c>
      <c r="M4144">
        <f>VLOOKUP(D4144,Products!A:E,5,FALSE)</f>
        <v>109.78</v>
      </c>
      <c r="N4144" s="5">
        <f t="shared" si="64"/>
        <v>466.56499999999994</v>
      </c>
    </row>
    <row r="4145" spans="1:14" x14ac:dyDescent="0.3">
      <c r="A4145" t="s">
        <v>5001</v>
      </c>
      <c r="B4145" s="2">
        <v>45332</v>
      </c>
      <c r="C4145" t="s">
        <v>505</v>
      </c>
      <c r="D4145" t="s">
        <v>772</v>
      </c>
      <c r="E4145" t="s">
        <v>831</v>
      </c>
      <c r="F4145">
        <v>1</v>
      </c>
      <c r="G4145">
        <v>0.1</v>
      </c>
      <c r="H4145" t="s">
        <v>861</v>
      </c>
      <c r="I4145" t="str">
        <f>VLOOKUP(C4145,Customers!A:C,2,FALSE)&amp;" "&amp;VLOOKUP(C4145,Customers!A:C,3,FALSE)</f>
        <v>Alexander Mcfarland</v>
      </c>
      <c r="J4145" t="str">
        <f>VLOOKUP(D4145,Products!A:C,2,FALSE)</f>
        <v>And Footwear</v>
      </c>
      <c r="K4145" t="str">
        <f>VLOOKUP(D4145,Products!A:C,3,FALSE)</f>
        <v>Fashion</v>
      </c>
      <c r="L4145" t="str">
        <f>VLOOKUP(E4145,Stores!A:B,2,FALSE)</f>
        <v>MegaMart Jimenezborough</v>
      </c>
      <c r="M4145">
        <f>VLOOKUP(D4145,Products!A:E,5,FALSE)</f>
        <v>1878.47</v>
      </c>
      <c r="N4145" s="5">
        <f t="shared" si="64"/>
        <v>1690.623</v>
      </c>
    </row>
    <row r="4146" spans="1:14" x14ac:dyDescent="0.3">
      <c r="A4146" t="s">
        <v>5002</v>
      </c>
      <c r="B4146" s="2">
        <v>45206</v>
      </c>
      <c r="C4146" t="s">
        <v>531</v>
      </c>
      <c r="D4146" t="s">
        <v>774</v>
      </c>
      <c r="E4146" t="s">
        <v>839</v>
      </c>
      <c r="F4146">
        <v>4</v>
      </c>
      <c r="G4146">
        <v>0</v>
      </c>
      <c r="H4146" t="s">
        <v>861</v>
      </c>
      <c r="I4146" t="str">
        <f>VLOOKUP(C4146,Customers!A:C,2,FALSE)&amp;" "&amp;VLOOKUP(C4146,Customers!A:C,3,FALSE)</f>
        <v>John Johnson</v>
      </c>
      <c r="J4146" t="str">
        <f>VLOOKUP(D4146,Products!A:C,2,FALSE)</f>
        <v>Him Smartphone</v>
      </c>
      <c r="K4146" t="str">
        <f>VLOOKUP(D4146,Products!A:C,3,FALSE)</f>
        <v>Electronics</v>
      </c>
      <c r="L4146" t="str">
        <f>VLOOKUP(E4146,Stores!A:B,2,FALSE)</f>
        <v>MegaMart New Michele</v>
      </c>
      <c r="M4146">
        <f>VLOOKUP(D4146,Products!A:E,5,FALSE)</f>
        <v>1487.41</v>
      </c>
      <c r="N4146" s="5">
        <f t="shared" si="64"/>
        <v>5949.64</v>
      </c>
    </row>
    <row r="4147" spans="1:14" x14ac:dyDescent="0.3">
      <c r="A4147" t="s">
        <v>5003</v>
      </c>
      <c r="B4147" s="2">
        <v>45267</v>
      </c>
      <c r="C4147" t="s">
        <v>599</v>
      </c>
      <c r="D4147" t="s">
        <v>796</v>
      </c>
      <c r="E4147" t="s">
        <v>831</v>
      </c>
      <c r="F4147">
        <v>4</v>
      </c>
      <c r="G4147">
        <v>0.15</v>
      </c>
      <c r="H4147" t="s">
        <v>855</v>
      </c>
      <c r="I4147" t="str">
        <f>VLOOKUP(C4147,Customers!A:C,2,FALSE)&amp;" "&amp;VLOOKUP(C4147,Customers!A:C,3,FALSE)</f>
        <v>Richard Jones</v>
      </c>
      <c r="J4147" t="str">
        <f>VLOOKUP(D4147,Products!A:C,2,FALSE)</f>
        <v>Chair Laptop</v>
      </c>
      <c r="K4147" t="str">
        <f>VLOOKUP(D4147,Products!A:C,3,FALSE)</f>
        <v>Electronics</v>
      </c>
      <c r="L4147" t="str">
        <f>VLOOKUP(E4147,Stores!A:B,2,FALSE)</f>
        <v>MegaMart Jimenezborough</v>
      </c>
      <c r="M4147">
        <f>VLOOKUP(D4147,Products!A:E,5,FALSE)</f>
        <v>1562.43</v>
      </c>
      <c r="N4147" s="5">
        <f t="shared" si="64"/>
        <v>5312.2619999999997</v>
      </c>
    </row>
    <row r="4148" spans="1:14" x14ac:dyDescent="0.3">
      <c r="A4148" t="s">
        <v>5004</v>
      </c>
      <c r="B4148" s="2">
        <v>45264</v>
      </c>
      <c r="C4148" t="s">
        <v>71</v>
      </c>
      <c r="D4148" t="s">
        <v>745</v>
      </c>
      <c r="E4148" t="s">
        <v>842</v>
      </c>
      <c r="F4148">
        <v>3</v>
      </c>
      <c r="G4148">
        <v>0.05</v>
      </c>
      <c r="H4148" t="s">
        <v>865</v>
      </c>
      <c r="I4148" t="str">
        <f>VLOOKUP(C4148,Customers!A:C,2,FALSE)&amp;" "&amp;VLOOKUP(C4148,Customers!A:C,3,FALSE)</f>
        <v>Vanessa Anderson</v>
      </c>
      <c r="J4148" t="str">
        <f>VLOOKUP(D4148,Products!A:C,2,FALSE)</f>
        <v>Above Camera</v>
      </c>
      <c r="K4148" t="str">
        <f>VLOOKUP(D4148,Products!A:C,3,FALSE)</f>
        <v>Electronics</v>
      </c>
      <c r="L4148" t="str">
        <f>VLOOKUP(E4148,Stores!A:B,2,FALSE)</f>
        <v>MegaMart Brianahaven</v>
      </c>
      <c r="M4148">
        <f>VLOOKUP(D4148,Products!A:E,5,FALSE)</f>
        <v>1193.0899999999999</v>
      </c>
      <c r="N4148" s="5">
        <f t="shared" si="64"/>
        <v>3400.3064999999992</v>
      </c>
    </row>
    <row r="4149" spans="1:14" x14ac:dyDescent="0.3">
      <c r="A4149" t="s">
        <v>5005</v>
      </c>
      <c r="B4149" s="2">
        <v>45760</v>
      </c>
      <c r="C4149" t="s">
        <v>294</v>
      </c>
      <c r="D4149" t="s">
        <v>792</v>
      </c>
      <c r="E4149" t="s">
        <v>835</v>
      </c>
      <c r="F4149">
        <v>3</v>
      </c>
      <c r="G4149">
        <v>0</v>
      </c>
      <c r="H4149" t="s">
        <v>861</v>
      </c>
      <c r="I4149" t="str">
        <f>VLOOKUP(C4149,Customers!A:C,2,FALSE)&amp;" "&amp;VLOOKUP(C4149,Customers!A:C,3,FALSE)</f>
        <v>Jeanne Young</v>
      </c>
      <c r="J4149" t="str">
        <f>VLOOKUP(D4149,Products!A:C,2,FALSE)</f>
        <v>Beat Accessories</v>
      </c>
      <c r="K4149" t="str">
        <f>VLOOKUP(D4149,Products!A:C,3,FALSE)</f>
        <v>Fashion</v>
      </c>
      <c r="L4149" t="str">
        <f>VLOOKUP(E4149,Stores!A:B,2,FALSE)</f>
        <v>MegaMart Peckmouth</v>
      </c>
      <c r="M4149">
        <f>VLOOKUP(D4149,Products!A:E,5,FALSE)</f>
        <v>1798.97</v>
      </c>
      <c r="N4149" s="5">
        <f t="shared" si="64"/>
        <v>5396.91</v>
      </c>
    </row>
    <row r="4150" spans="1:14" x14ac:dyDescent="0.3">
      <c r="A4150" t="s">
        <v>5006</v>
      </c>
      <c r="B4150" s="2">
        <v>45325</v>
      </c>
      <c r="C4150" t="s">
        <v>228</v>
      </c>
      <c r="D4150" t="s">
        <v>711</v>
      </c>
      <c r="E4150" t="s">
        <v>846</v>
      </c>
      <c r="F4150">
        <v>3</v>
      </c>
      <c r="G4150">
        <v>0</v>
      </c>
      <c r="H4150" t="s">
        <v>861</v>
      </c>
      <c r="I4150" t="str">
        <f>VLOOKUP(C4150,Customers!A:C,2,FALSE)&amp;" "&amp;VLOOKUP(C4150,Customers!A:C,3,FALSE)</f>
        <v>Scott Wyatt</v>
      </c>
      <c r="J4150" t="str">
        <f>VLOOKUP(D4150,Products!A:C,2,FALSE)</f>
        <v>Like Camera</v>
      </c>
      <c r="K4150" t="str">
        <f>VLOOKUP(D4150,Products!A:C,3,FALSE)</f>
        <v>Electronics</v>
      </c>
      <c r="L4150" t="str">
        <f>VLOOKUP(E4150,Stores!A:B,2,FALSE)</f>
        <v>MegaMart Johnmouth</v>
      </c>
      <c r="M4150">
        <f>VLOOKUP(D4150,Products!A:E,5,FALSE)</f>
        <v>1673.69</v>
      </c>
      <c r="N4150" s="5">
        <f t="shared" si="64"/>
        <v>5021.07</v>
      </c>
    </row>
    <row r="4151" spans="1:14" x14ac:dyDescent="0.3">
      <c r="A4151" t="s">
        <v>5007</v>
      </c>
      <c r="B4151" s="2">
        <v>45646</v>
      </c>
      <c r="C4151" t="s">
        <v>163</v>
      </c>
      <c r="D4151" t="s">
        <v>732</v>
      </c>
      <c r="E4151" t="s">
        <v>846</v>
      </c>
      <c r="F4151">
        <v>5</v>
      </c>
      <c r="G4151">
        <v>0.1</v>
      </c>
      <c r="H4151" t="s">
        <v>858</v>
      </c>
      <c r="I4151" t="str">
        <f>VLOOKUP(C4151,Customers!A:C,2,FALSE)&amp;" "&amp;VLOOKUP(C4151,Customers!A:C,3,FALSE)</f>
        <v>Anna Andrews</v>
      </c>
      <c r="J4151" t="str">
        <f>VLOOKUP(D4151,Products!A:C,2,FALSE)</f>
        <v>Understand Camera</v>
      </c>
      <c r="K4151" t="str">
        <f>VLOOKUP(D4151,Products!A:C,3,FALSE)</f>
        <v>Electronics</v>
      </c>
      <c r="L4151" t="str">
        <f>VLOOKUP(E4151,Stores!A:B,2,FALSE)</f>
        <v>MegaMart Johnmouth</v>
      </c>
      <c r="M4151">
        <f>VLOOKUP(D4151,Products!A:E,5,FALSE)</f>
        <v>1474.12</v>
      </c>
      <c r="N4151" s="5">
        <f t="shared" si="64"/>
        <v>6633.54</v>
      </c>
    </row>
    <row r="4152" spans="1:14" x14ac:dyDescent="0.3">
      <c r="A4152" t="s">
        <v>5008</v>
      </c>
      <c r="B4152" s="2">
        <v>45202</v>
      </c>
      <c r="C4152" t="s">
        <v>379</v>
      </c>
      <c r="D4152" t="s">
        <v>711</v>
      </c>
      <c r="E4152" t="s">
        <v>839</v>
      </c>
      <c r="F4152">
        <v>2</v>
      </c>
      <c r="G4152">
        <v>0.15</v>
      </c>
      <c r="H4152" t="s">
        <v>855</v>
      </c>
      <c r="I4152" t="str">
        <f>VLOOKUP(C4152,Customers!A:C,2,FALSE)&amp;" "&amp;VLOOKUP(C4152,Customers!A:C,3,FALSE)</f>
        <v>William Pope</v>
      </c>
      <c r="J4152" t="str">
        <f>VLOOKUP(D4152,Products!A:C,2,FALSE)</f>
        <v>Like Camera</v>
      </c>
      <c r="K4152" t="str">
        <f>VLOOKUP(D4152,Products!A:C,3,FALSE)</f>
        <v>Electronics</v>
      </c>
      <c r="L4152" t="str">
        <f>VLOOKUP(E4152,Stores!A:B,2,FALSE)</f>
        <v>MegaMart New Michele</v>
      </c>
      <c r="M4152">
        <f>VLOOKUP(D4152,Products!A:E,5,FALSE)</f>
        <v>1673.69</v>
      </c>
      <c r="N4152" s="5">
        <f t="shared" si="64"/>
        <v>2845.2730000000001</v>
      </c>
    </row>
    <row r="4153" spans="1:14" x14ac:dyDescent="0.3">
      <c r="A4153" t="s">
        <v>5009</v>
      </c>
      <c r="B4153" s="2">
        <v>45650</v>
      </c>
      <c r="C4153" t="s">
        <v>661</v>
      </c>
      <c r="D4153" t="s">
        <v>742</v>
      </c>
      <c r="E4153" t="s">
        <v>835</v>
      </c>
      <c r="F4153">
        <v>2</v>
      </c>
      <c r="G4153">
        <v>0.05</v>
      </c>
      <c r="H4153" t="s">
        <v>861</v>
      </c>
      <c r="I4153" t="str">
        <f>VLOOKUP(C4153,Customers!A:C,2,FALSE)&amp;" "&amp;VLOOKUP(C4153,Customers!A:C,3,FALSE)</f>
        <v>Cynthia Cherry</v>
      </c>
      <c r="J4153" t="str">
        <f>VLOOKUP(D4153,Products!A:C,2,FALSE)</f>
        <v>Either Headphones</v>
      </c>
      <c r="K4153" t="str">
        <f>VLOOKUP(D4153,Products!A:C,3,FALSE)</f>
        <v>Electronics</v>
      </c>
      <c r="L4153" t="str">
        <f>VLOOKUP(E4153,Stores!A:B,2,FALSE)</f>
        <v>MegaMart Peckmouth</v>
      </c>
      <c r="M4153">
        <f>VLOOKUP(D4153,Products!A:E,5,FALSE)</f>
        <v>248.57</v>
      </c>
      <c r="N4153" s="5">
        <f t="shared" si="64"/>
        <v>472.28299999999996</v>
      </c>
    </row>
    <row r="4154" spans="1:14" x14ac:dyDescent="0.3">
      <c r="A4154" t="s">
        <v>5010</v>
      </c>
      <c r="B4154" s="2">
        <v>45843</v>
      </c>
      <c r="C4154" t="s">
        <v>491</v>
      </c>
      <c r="D4154" t="s">
        <v>818</v>
      </c>
      <c r="E4154" t="s">
        <v>835</v>
      </c>
      <c r="F4154">
        <v>5</v>
      </c>
      <c r="G4154">
        <v>0.05</v>
      </c>
      <c r="H4154" t="s">
        <v>865</v>
      </c>
      <c r="I4154" t="str">
        <f>VLOOKUP(C4154,Customers!A:C,2,FALSE)&amp;" "&amp;VLOOKUP(C4154,Customers!A:C,3,FALSE)</f>
        <v>Emily Hart</v>
      </c>
      <c r="J4154" t="str">
        <f>VLOOKUP(D4154,Products!A:C,2,FALSE)</f>
        <v>Nature Clothing</v>
      </c>
      <c r="K4154" t="str">
        <f>VLOOKUP(D4154,Products!A:C,3,FALSE)</f>
        <v>Fashion</v>
      </c>
      <c r="L4154" t="str">
        <f>VLOOKUP(E4154,Stores!A:B,2,FALSE)</f>
        <v>MegaMart Peckmouth</v>
      </c>
      <c r="M4154">
        <f>VLOOKUP(D4154,Products!A:E,5,FALSE)</f>
        <v>1165.3699999999999</v>
      </c>
      <c r="N4154" s="5">
        <f t="shared" si="64"/>
        <v>5535.5074999999988</v>
      </c>
    </row>
    <row r="4155" spans="1:14" x14ac:dyDescent="0.3">
      <c r="A4155" t="s">
        <v>5011</v>
      </c>
      <c r="B4155" s="2">
        <v>45404</v>
      </c>
      <c r="C4155" t="s">
        <v>137</v>
      </c>
      <c r="D4155" t="s">
        <v>822</v>
      </c>
      <c r="E4155" t="s">
        <v>831</v>
      </c>
      <c r="F4155">
        <v>2</v>
      </c>
      <c r="G4155">
        <v>0.1</v>
      </c>
      <c r="H4155" t="s">
        <v>858</v>
      </c>
      <c r="I4155" t="str">
        <f>VLOOKUP(C4155,Customers!A:C,2,FALSE)&amp;" "&amp;VLOOKUP(C4155,Customers!A:C,3,FALSE)</f>
        <v>Kimberly King</v>
      </c>
      <c r="J4155" t="str">
        <f>VLOOKUP(D4155,Products!A:C,2,FALSE)</f>
        <v>Nor Bags</v>
      </c>
      <c r="K4155" t="str">
        <f>VLOOKUP(D4155,Products!A:C,3,FALSE)</f>
        <v>Fashion</v>
      </c>
      <c r="L4155" t="str">
        <f>VLOOKUP(E4155,Stores!A:B,2,FALSE)</f>
        <v>MegaMart Jimenezborough</v>
      </c>
      <c r="M4155">
        <f>VLOOKUP(D4155,Products!A:E,5,FALSE)</f>
        <v>1216.3599999999999</v>
      </c>
      <c r="N4155" s="5">
        <f t="shared" si="64"/>
        <v>2189.4479999999999</v>
      </c>
    </row>
    <row r="4156" spans="1:14" x14ac:dyDescent="0.3">
      <c r="A4156" t="s">
        <v>5012</v>
      </c>
      <c r="B4156" s="2">
        <v>45817</v>
      </c>
      <c r="C4156" t="s">
        <v>533</v>
      </c>
      <c r="D4156" t="s">
        <v>822</v>
      </c>
      <c r="E4156" t="s">
        <v>831</v>
      </c>
      <c r="F4156">
        <v>2</v>
      </c>
      <c r="G4156">
        <v>0.05</v>
      </c>
      <c r="H4156" t="s">
        <v>865</v>
      </c>
      <c r="I4156" t="str">
        <f>VLOOKUP(C4156,Customers!A:C,2,FALSE)&amp;" "&amp;VLOOKUP(C4156,Customers!A:C,3,FALSE)</f>
        <v>Crystal Garrison</v>
      </c>
      <c r="J4156" t="str">
        <f>VLOOKUP(D4156,Products!A:C,2,FALSE)</f>
        <v>Nor Bags</v>
      </c>
      <c r="K4156" t="str">
        <f>VLOOKUP(D4156,Products!A:C,3,FALSE)</f>
        <v>Fashion</v>
      </c>
      <c r="L4156" t="str">
        <f>VLOOKUP(E4156,Stores!A:B,2,FALSE)</f>
        <v>MegaMart Jimenezborough</v>
      </c>
      <c r="M4156">
        <f>VLOOKUP(D4156,Products!A:E,5,FALSE)</f>
        <v>1216.3599999999999</v>
      </c>
      <c r="N4156" s="5">
        <f t="shared" si="64"/>
        <v>2311.0839999999998</v>
      </c>
    </row>
    <row r="4157" spans="1:14" x14ac:dyDescent="0.3">
      <c r="A4157" t="s">
        <v>5013</v>
      </c>
      <c r="B4157" s="2">
        <v>45722</v>
      </c>
      <c r="C4157" t="s">
        <v>228</v>
      </c>
      <c r="D4157" t="s">
        <v>804</v>
      </c>
      <c r="E4157" t="s">
        <v>831</v>
      </c>
      <c r="F4157">
        <v>2</v>
      </c>
      <c r="G4157">
        <v>0.05</v>
      </c>
      <c r="H4157" t="s">
        <v>855</v>
      </c>
      <c r="I4157" t="str">
        <f>VLOOKUP(C4157,Customers!A:C,2,FALSE)&amp;" "&amp;VLOOKUP(C4157,Customers!A:C,3,FALSE)</f>
        <v>Scott Wyatt</v>
      </c>
      <c r="J4157" t="str">
        <f>VLOOKUP(D4157,Products!A:C,2,FALSE)</f>
        <v>Church Clothing</v>
      </c>
      <c r="K4157" t="str">
        <f>VLOOKUP(D4157,Products!A:C,3,FALSE)</f>
        <v>Fashion</v>
      </c>
      <c r="L4157" t="str">
        <f>VLOOKUP(E4157,Stores!A:B,2,FALSE)</f>
        <v>MegaMart Jimenezborough</v>
      </c>
      <c r="M4157">
        <f>VLOOKUP(D4157,Products!A:E,5,FALSE)</f>
        <v>540.94000000000005</v>
      </c>
      <c r="N4157" s="5">
        <f t="shared" si="64"/>
        <v>1027.7860000000001</v>
      </c>
    </row>
    <row r="4158" spans="1:14" x14ac:dyDescent="0.3">
      <c r="A4158" t="s">
        <v>5014</v>
      </c>
      <c r="B4158" s="2">
        <v>45286</v>
      </c>
      <c r="C4158" t="s">
        <v>393</v>
      </c>
      <c r="D4158" t="s">
        <v>739</v>
      </c>
      <c r="E4158" t="s">
        <v>842</v>
      </c>
      <c r="F4158">
        <v>4</v>
      </c>
      <c r="G4158">
        <v>0</v>
      </c>
      <c r="H4158" t="s">
        <v>865</v>
      </c>
      <c r="I4158" t="str">
        <f>VLOOKUP(C4158,Customers!A:C,2,FALSE)&amp;" "&amp;VLOOKUP(C4158,Customers!A:C,3,FALSE)</f>
        <v>Kenneth Berg</v>
      </c>
      <c r="J4158" t="str">
        <f>VLOOKUP(D4158,Products!A:C,2,FALSE)</f>
        <v>Step Smartphone</v>
      </c>
      <c r="K4158" t="str">
        <f>VLOOKUP(D4158,Products!A:C,3,FALSE)</f>
        <v>Electronics</v>
      </c>
      <c r="L4158" t="str">
        <f>VLOOKUP(E4158,Stores!A:B,2,FALSE)</f>
        <v>MegaMart Brianahaven</v>
      </c>
      <c r="M4158">
        <f>VLOOKUP(D4158,Products!A:E,5,FALSE)</f>
        <v>1194.1199999999999</v>
      </c>
      <c r="N4158" s="5">
        <f t="shared" si="64"/>
        <v>4776.4799999999996</v>
      </c>
    </row>
    <row r="4159" spans="1:14" x14ac:dyDescent="0.3">
      <c r="A4159" t="s">
        <v>5015</v>
      </c>
      <c r="B4159" s="2">
        <v>45354</v>
      </c>
      <c r="C4159" t="s">
        <v>612</v>
      </c>
      <c r="D4159" t="s">
        <v>810</v>
      </c>
      <c r="E4159" t="s">
        <v>842</v>
      </c>
      <c r="F4159">
        <v>4</v>
      </c>
      <c r="G4159">
        <v>0.1</v>
      </c>
      <c r="H4159" t="s">
        <v>865</v>
      </c>
      <c r="I4159" t="str">
        <f>VLOOKUP(C4159,Customers!A:C,2,FALSE)&amp;" "&amp;VLOOKUP(C4159,Customers!A:C,3,FALSE)</f>
        <v>Michelle Smith</v>
      </c>
      <c r="J4159" t="str">
        <f>VLOOKUP(D4159,Products!A:C,2,FALSE)</f>
        <v>Maybe Clothing</v>
      </c>
      <c r="K4159" t="str">
        <f>VLOOKUP(D4159,Products!A:C,3,FALSE)</f>
        <v>Fashion</v>
      </c>
      <c r="L4159" t="str">
        <f>VLOOKUP(E4159,Stores!A:B,2,FALSE)</f>
        <v>MegaMart Brianahaven</v>
      </c>
      <c r="M4159">
        <f>VLOOKUP(D4159,Products!A:E,5,FALSE)</f>
        <v>453.62</v>
      </c>
      <c r="N4159" s="5">
        <f t="shared" si="64"/>
        <v>1633.0320000000002</v>
      </c>
    </row>
    <row r="4160" spans="1:14" x14ac:dyDescent="0.3">
      <c r="A4160" t="s">
        <v>5016</v>
      </c>
      <c r="B4160" s="2">
        <v>45888</v>
      </c>
      <c r="C4160" t="s">
        <v>422</v>
      </c>
      <c r="D4160" t="s">
        <v>816</v>
      </c>
      <c r="E4160" t="s">
        <v>842</v>
      </c>
      <c r="F4160">
        <v>2</v>
      </c>
      <c r="G4160">
        <v>0.15</v>
      </c>
      <c r="H4160" t="s">
        <v>855</v>
      </c>
      <c r="I4160" t="str">
        <f>VLOOKUP(C4160,Customers!A:C,2,FALSE)&amp;" "&amp;VLOOKUP(C4160,Customers!A:C,3,FALSE)</f>
        <v>Heidi Wilson</v>
      </c>
      <c r="J4160" t="str">
        <f>VLOOKUP(D4160,Products!A:C,2,FALSE)</f>
        <v>Set Dairy</v>
      </c>
      <c r="K4160" t="str">
        <f>VLOOKUP(D4160,Products!A:C,3,FALSE)</f>
        <v>Groceries</v>
      </c>
      <c r="L4160" t="str">
        <f>VLOOKUP(E4160,Stores!A:B,2,FALSE)</f>
        <v>MegaMart Brianahaven</v>
      </c>
      <c r="M4160">
        <f>VLOOKUP(D4160,Products!A:E,5,FALSE)</f>
        <v>1879.08</v>
      </c>
      <c r="N4160" s="5">
        <f t="shared" si="64"/>
        <v>3194.4359999999997</v>
      </c>
    </row>
    <row r="4161" spans="1:14" x14ac:dyDescent="0.3">
      <c r="A4161" t="s">
        <v>5017</v>
      </c>
      <c r="B4161" s="2">
        <v>45219</v>
      </c>
      <c r="C4161" t="s">
        <v>680</v>
      </c>
      <c r="D4161" t="s">
        <v>715</v>
      </c>
      <c r="E4161" t="s">
        <v>839</v>
      </c>
      <c r="F4161">
        <v>2</v>
      </c>
      <c r="G4161">
        <v>0</v>
      </c>
      <c r="H4161" t="s">
        <v>861</v>
      </c>
      <c r="I4161" t="str">
        <f>VLOOKUP(C4161,Customers!A:C,2,FALSE)&amp;" "&amp;VLOOKUP(C4161,Customers!A:C,3,FALSE)</f>
        <v>Donald Meza</v>
      </c>
      <c r="J4161" t="str">
        <f>VLOOKUP(D4161,Products!A:C,2,FALSE)</f>
        <v>Audience Television</v>
      </c>
      <c r="K4161" t="str">
        <f>VLOOKUP(D4161,Products!A:C,3,FALSE)</f>
        <v>Electronics</v>
      </c>
      <c r="L4161" t="str">
        <f>VLOOKUP(E4161,Stores!A:B,2,FALSE)</f>
        <v>MegaMart New Michele</v>
      </c>
      <c r="M4161">
        <f>VLOOKUP(D4161,Products!A:E,5,FALSE)</f>
        <v>818.76</v>
      </c>
      <c r="N4161" s="5">
        <f t="shared" si="64"/>
        <v>1637.52</v>
      </c>
    </row>
    <row r="4162" spans="1:14" x14ac:dyDescent="0.3">
      <c r="A4162" t="s">
        <v>5018</v>
      </c>
      <c r="B4162" s="2">
        <v>45557</v>
      </c>
      <c r="C4162" t="s">
        <v>274</v>
      </c>
      <c r="D4162" t="s">
        <v>800</v>
      </c>
      <c r="E4162" t="s">
        <v>839</v>
      </c>
      <c r="F4162">
        <v>2</v>
      </c>
      <c r="G4162">
        <v>0</v>
      </c>
      <c r="H4162" t="s">
        <v>865</v>
      </c>
      <c r="I4162" t="str">
        <f>VLOOKUP(C4162,Customers!A:C,2,FALSE)&amp;" "&amp;VLOOKUP(C4162,Customers!A:C,3,FALSE)</f>
        <v>Eric Watkins</v>
      </c>
      <c r="J4162" t="str">
        <f>VLOOKUP(D4162,Products!A:C,2,FALSE)</f>
        <v>Book Television</v>
      </c>
      <c r="K4162" t="str">
        <f>VLOOKUP(D4162,Products!A:C,3,FALSE)</f>
        <v>Electronics</v>
      </c>
      <c r="L4162" t="str">
        <f>VLOOKUP(E4162,Stores!A:B,2,FALSE)</f>
        <v>MegaMart New Michele</v>
      </c>
      <c r="M4162">
        <f>VLOOKUP(D4162,Products!A:E,5,FALSE)</f>
        <v>1952.65</v>
      </c>
      <c r="N4162" s="5">
        <f t="shared" si="64"/>
        <v>3905.3</v>
      </c>
    </row>
    <row r="4163" spans="1:14" x14ac:dyDescent="0.3">
      <c r="A4163" t="s">
        <v>5019</v>
      </c>
      <c r="B4163" s="2">
        <v>45774</v>
      </c>
      <c r="C4163" t="s">
        <v>175</v>
      </c>
      <c r="D4163" t="s">
        <v>736</v>
      </c>
      <c r="E4163" t="s">
        <v>835</v>
      </c>
      <c r="F4163">
        <v>5</v>
      </c>
      <c r="G4163">
        <v>0.1</v>
      </c>
      <c r="H4163" t="s">
        <v>858</v>
      </c>
      <c r="I4163" t="str">
        <f>VLOOKUP(C4163,Customers!A:C,2,FALSE)&amp;" "&amp;VLOOKUP(C4163,Customers!A:C,3,FALSE)</f>
        <v>Kelly Shaw</v>
      </c>
      <c r="J4163" t="str">
        <f>VLOOKUP(D4163,Products!A:C,2,FALSE)</f>
        <v>Us Snacks</v>
      </c>
      <c r="K4163" t="str">
        <f>VLOOKUP(D4163,Products!A:C,3,FALSE)</f>
        <v>Groceries</v>
      </c>
      <c r="L4163" t="str">
        <f>VLOOKUP(E4163,Stores!A:B,2,FALSE)</f>
        <v>MegaMart Peckmouth</v>
      </c>
      <c r="M4163">
        <f>VLOOKUP(D4163,Products!A:E,5,FALSE)</f>
        <v>123.19</v>
      </c>
      <c r="N4163" s="5">
        <f t="shared" ref="N4163:N4226" si="65">F4163*M4163*(1-G4163)</f>
        <v>554.35500000000002</v>
      </c>
    </row>
    <row r="4164" spans="1:14" x14ac:dyDescent="0.3">
      <c r="A4164" t="s">
        <v>5020</v>
      </c>
      <c r="B4164" s="2">
        <v>45357</v>
      </c>
      <c r="C4164" t="s">
        <v>171</v>
      </c>
      <c r="D4164" t="s">
        <v>725</v>
      </c>
      <c r="E4164" t="s">
        <v>835</v>
      </c>
      <c r="F4164">
        <v>1</v>
      </c>
      <c r="G4164">
        <v>0.05</v>
      </c>
      <c r="H4164" t="s">
        <v>855</v>
      </c>
      <c r="I4164" t="str">
        <f>VLOOKUP(C4164,Customers!A:C,2,FALSE)&amp;" "&amp;VLOOKUP(C4164,Customers!A:C,3,FALSE)</f>
        <v>Parker Sparks</v>
      </c>
      <c r="J4164" t="str">
        <f>VLOOKUP(D4164,Products!A:C,2,FALSE)</f>
        <v>Knowledge Bags</v>
      </c>
      <c r="K4164" t="str">
        <f>VLOOKUP(D4164,Products!A:C,3,FALSE)</f>
        <v>Fashion</v>
      </c>
      <c r="L4164" t="str">
        <f>VLOOKUP(E4164,Stores!A:B,2,FALSE)</f>
        <v>MegaMart Peckmouth</v>
      </c>
      <c r="M4164">
        <f>VLOOKUP(D4164,Products!A:E,5,FALSE)</f>
        <v>1396.22</v>
      </c>
      <c r="N4164" s="5">
        <f t="shared" si="65"/>
        <v>1326.4089999999999</v>
      </c>
    </row>
    <row r="4165" spans="1:14" x14ac:dyDescent="0.3">
      <c r="A4165" t="s">
        <v>5021</v>
      </c>
      <c r="B4165" s="2">
        <v>45847</v>
      </c>
      <c r="C4165" t="s">
        <v>650</v>
      </c>
      <c r="D4165" t="s">
        <v>818</v>
      </c>
      <c r="E4165" t="s">
        <v>835</v>
      </c>
      <c r="F4165">
        <v>1</v>
      </c>
      <c r="G4165">
        <v>0.05</v>
      </c>
      <c r="H4165" t="s">
        <v>855</v>
      </c>
      <c r="I4165" t="str">
        <f>VLOOKUP(C4165,Customers!A:C,2,FALSE)&amp;" "&amp;VLOOKUP(C4165,Customers!A:C,3,FALSE)</f>
        <v>Daniel Mcintyre</v>
      </c>
      <c r="J4165" t="str">
        <f>VLOOKUP(D4165,Products!A:C,2,FALSE)</f>
        <v>Nature Clothing</v>
      </c>
      <c r="K4165" t="str">
        <f>VLOOKUP(D4165,Products!A:C,3,FALSE)</f>
        <v>Fashion</v>
      </c>
      <c r="L4165" t="str">
        <f>VLOOKUP(E4165,Stores!A:B,2,FALSE)</f>
        <v>MegaMart Peckmouth</v>
      </c>
      <c r="M4165">
        <f>VLOOKUP(D4165,Products!A:E,5,FALSE)</f>
        <v>1165.3699999999999</v>
      </c>
      <c r="N4165" s="5">
        <f t="shared" si="65"/>
        <v>1107.1014999999998</v>
      </c>
    </row>
    <row r="4166" spans="1:14" x14ac:dyDescent="0.3">
      <c r="A4166" t="s">
        <v>5022</v>
      </c>
      <c r="B4166" s="2">
        <v>45581</v>
      </c>
      <c r="C4166" t="s">
        <v>438</v>
      </c>
      <c r="D4166" t="s">
        <v>822</v>
      </c>
      <c r="E4166" t="s">
        <v>831</v>
      </c>
      <c r="F4166">
        <v>5</v>
      </c>
      <c r="G4166">
        <v>0</v>
      </c>
      <c r="H4166" t="s">
        <v>865</v>
      </c>
      <c r="I4166" t="str">
        <f>VLOOKUP(C4166,Customers!A:C,2,FALSE)&amp;" "&amp;VLOOKUP(C4166,Customers!A:C,3,FALSE)</f>
        <v>Gina Bradford</v>
      </c>
      <c r="J4166" t="str">
        <f>VLOOKUP(D4166,Products!A:C,2,FALSE)</f>
        <v>Nor Bags</v>
      </c>
      <c r="K4166" t="str">
        <f>VLOOKUP(D4166,Products!A:C,3,FALSE)</f>
        <v>Fashion</v>
      </c>
      <c r="L4166" t="str">
        <f>VLOOKUP(E4166,Stores!A:B,2,FALSE)</f>
        <v>MegaMart Jimenezborough</v>
      </c>
      <c r="M4166">
        <f>VLOOKUP(D4166,Products!A:E,5,FALSE)</f>
        <v>1216.3599999999999</v>
      </c>
      <c r="N4166" s="5">
        <f t="shared" si="65"/>
        <v>6081.7999999999993</v>
      </c>
    </row>
    <row r="4167" spans="1:14" x14ac:dyDescent="0.3">
      <c r="A4167" t="s">
        <v>5023</v>
      </c>
      <c r="B4167" s="2">
        <v>45435</v>
      </c>
      <c r="C4167" t="s">
        <v>435</v>
      </c>
      <c r="D4167" t="s">
        <v>739</v>
      </c>
      <c r="E4167" t="s">
        <v>835</v>
      </c>
      <c r="F4167">
        <v>2</v>
      </c>
      <c r="G4167">
        <v>0.05</v>
      </c>
      <c r="H4167" t="s">
        <v>855</v>
      </c>
      <c r="I4167" t="str">
        <f>VLOOKUP(C4167,Customers!A:C,2,FALSE)&amp;" "&amp;VLOOKUP(C4167,Customers!A:C,3,FALSE)</f>
        <v>Timothy Beck</v>
      </c>
      <c r="J4167" t="str">
        <f>VLOOKUP(D4167,Products!A:C,2,FALSE)</f>
        <v>Step Smartphone</v>
      </c>
      <c r="K4167" t="str">
        <f>VLOOKUP(D4167,Products!A:C,3,FALSE)</f>
        <v>Electronics</v>
      </c>
      <c r="L4167" t="str">
        <f>VLOOKUP(E4167,Stores!A:B,2,FALSE)</f>
        <v>MegaMart Peckmouth</v>
      </c>
      <c r="M4167">
        <f>VLOOKUP(D4167,Products!A:E,5,FALSE)</f>
        <v>1194.1199999999999</v>
      </c>
      <c r="N4167" s="5">
        <f t="shared" si="65"/>
        <v>2268.8279999999995</v>
      </c>
    </row>
    <row r="4168" spans="1:14" x14ac:dyDescent="0.3">
      <c r="A4168" t="s">
        <v>5024</v>
      </c>
      <c r="B4168" s="2">
        <v>45677</v>
      </c>
      <c r="C4168" t="s">
        <v>59</v>
      </c>
      <c r="D4168" t="s">
        <v>800</v>
      </c>
      <c r="E4168" t="s">
        <v>839</v>
      </c>
      <c r="F4168">
        <v>1</v>
      </c>
      <c r="G4168">
        <v>0.15</v>
      </c>
      <c r="H4168" t="s">
        <v>858</v>
      </c>
      <c r="I4168" t="str">
        <f>VLOOKUP(C4168,Customers!A:C,2,FALSE)&amp;" "&amp;VLOOKUP(C4168,Customers!A:C,3,FALSE)</f>
        <v>Brittany Green</v>
      </c>
      <c r="J4168" t="str">
        <f>VLOOKUP(D4168,Products!A:C,2,FALSE)</f>
        <v>Book Television</v>
      </c>
      <c r="K4168" t="str">
        <f>VLOOKUP(D4168,Products!A:C,3,FALSE)</f>
        <v>Electronics</v>
      </c>
      <c r="L4168" t="str">
        <f>VLOOKUP(E4168,Stores!A:B,2,FALSE)</f>
        <v>MegaMart New Michele</v>
      </c>
      <c r="M4168">
        <f>VLOOKUP(D4168,Products!A:E,5,FALSE)</f>
        <v>1952.65</v>
      </c>
      <c r="N4168" s="5">
        <f t="shared" si="65"/>
        <v>1659.7525000000001</v>
      </c>
    </row>
    <row r="4169" spans="1:14" x14ac:dyDescent="0.3">
      <c r="A4169" t="s">
        <v>5025</v>
      </c>
      <c r="B4169" s="2">
        <v>45191</v>
      </c>
      <c r="C4169" t="s">
        <v>254</v>
      </c>
      <c r="D4169" t="s">
        <v>812</v>
      </c>
      <c r="E4169" t="s">
        <v>846</v>
      </c>
      <c r="F4169">
        <v>4</v>
      </c>
      <c r="G4169">
        <v>0</v>
      </c>
      <c r="H4169" t="s">
        <v>858</v>
      </c>
      <c r="I4169" t="str">
        <f>VLOOKUP(C4169,Customers!A:C,2,FALSE)&amp;" "&amp;VLOOKUP(C4169,Customers!A:C,3,FALSE)</f>
        <v>Daniel Maldonado</v>
      </c>
      <c r="J4169" t="str">
        <f>VLOOKUP(D4169,Products!A:C,2,FALSE)</f>
        <v>Soon Accessories</v>
      </c>
      <c r="K4169" t="str">
        <f>VLOOKUP(D4169,Products!A:C,3,FALSE)</f>
        <v>Fashion</v>
      </c>
      <c r="L4169" t="str">
        <f>VLOOKUP(E4169,Stores!A:B,2,FALSE)</f>
        <v>MegaMart Johnmouth</v>
      </c>
      <c r="M4169">
        <f>VLOOKUP(D4169,Products!A:E,5,FALSE)</f>
        <v>564.41999999999996</v>
      </c>
      <c r="N4169" s="5">
        <f t="shared" si="65"/>
        <v>2257.6799999999998</v>
      </c>
    </row>
    <row r="4170" spans="1:14" x14ac:dyDescent="0.3">
      <c r="A4170" t="s">
        <v>5026</v>
      </c>
      <c r="B4170" s="2">
        <v>45785</v>
      </c>
      <c r="C4170" t="s">
        <v>589</v>
      </c>
      <c r="D4170" t="s">
        <v>824</v>
      </c>
      <c r="E4170" t="s">
        <v>842</v>
      </c>
      <c r="F4170">
        <v>3</v>
      </c>
      <c r="G4170">
        <v>0.1</v>
      </c>
      <c r="H4170" t="s">
        <v>858</v>
      </c>
      <c r="I4170" t="str">
        <f>VLOOKUP(C4170,Customers!A:C,2,FALSE)&amp;" "&amp;VLOOKUP(C4170,Customers!A:C,3,FALSE)</f>
        <v>Tanya Mueller</v>
      </c>
      <c r="J4170" t="str">
        <f>VLOOKUP(D4170,Products!A:C,2,FALSE)</f>
        <v>Possible Watches</v>
      </c>
      <c r="K4170" t="str">
        <f>VLOOKUP(D4170,Products!A:C,3,FALSE)</f>
        <v>Fashion</v>
      </c>
      <c r="L4170" t="str">
        <f>VLOOKUP(E4170,Stores!A:B,2,FALSE)</f>
        <v>MegaMart Brianahaven</v>
      </c>
      <c r="M4170">
        <f>VLOOKUP(D4170,Products!A:E,5,FALSE)</f>
        <v>388.26</v>
      </c>
      <c r="N4170" s="5">
        <f t="shared" si="65"/>
        <v>1048.3019999999999</v>
      </c>
    </row>
    <row r="4171" spans="1:14" x14ac:dyDescent="0.3">
      <c r="A4171" t="s">
        <v>5027</v>
      </c>
      <c r="B4171" s="2">
        <v>45817</v>
      </c>
      <c r="C4171" t="s">
        <v>112</v>
      </c>
      <c r="D4171" t="s">
        <v>792</v>
      </c>
      <c r="E4171" t="s">
        <v>846</v>
      </c>
      <c r="F4171">
        <v>5</v>
      </c>
      <c r="G4171">
        <v>0.05</v>
      </c>
      <c r="H4171" t="s">
        <v>855</v>
      </c>
      <c r="I4171" t="str">
        <f>VLOOKUP(C4171,Customers!A:C,2,FALSE)&amp;" "&amp;VLOOKUP(C4171,Customers!A:C,3,FALSE)</f>
        <v>John Carr</v>
      </c>
      <c r="J4171" t="str">
        <f>VLOOKUP(D4171,Products!A:C,2,FALSE)</f>
        <v>Beat Accessories</v>
      </c>
      <c r="K4171" t="str">
        <f>VLOOKUP(D4171,Products!A:C,3,FALSE)</f>
        <v>Fashion</v>
      </c>
      <c r="L4171" t="str">
        <f>VLOOKUP(E4171,Stores!A:B,2,FALSE)</f>
        <v>MegaMart Johnmouth</v>
      </c>
      <c r="M4171">
        <f>VLOOKUP(D4171,Products!A:E,5,FALSE)</f>
        <v>1798.97</v>
      </c>
      <c r="N4171" s="5">
        <f t="shared" si="65"/>
        <v>8545.1075000000001</v>
      </c>
    </row>
    <row r="4172" spans="1:14" x14ac:dyDescent="0.3">
      <c r="A4172" t="s">
        <v>5028</v>
      </c>
      <c r="B4172" s="2">
        <v>45250</v>
      </c>
      <c r="C4172" t="s">
        <v>55</v>
      </c>
      <c r="D4172" t="s">
        <v>722</v>
      </c>
      <c r="E4172" t="s">
        <v>842</v>
      </c>
      <c r="F4172">
        <v>3</v>
      </c>
      <c r="G4172">
        <v>0.05</v>
      </c>
      <c r="H4172" t="s">
        <v>858</v>
      </c>
      <c r="I4172" t="str">
        <f>VLOOKUP(C4172,Customers!A:C,2,FALSE)&amp;" "&amp;VLOOKUP(C4172,Customers!A:C,3,FALSE)</f>
        <v>Robert Anderson</v>
      </c>
      <c r="J4172" t="str">
        <f>VLOOKUP(D4172,Products!A:C,2,FALSE)</f>
        <v>Four Accessories</v>
      </c>
      <c r="K4172" t="str">
        <f>VLOOKUP(D4172,Products!A:C,3,FALSE)</f>
        <v>Fashion</v>
      </c>
      <c r="L4172" t="str">
        <f>VLOOKUP(E4172,Stores!A:B,2,FALSE)</f>
        <v>MegaMart Brianahaven</v>
      </c>
      <c r="M4172">
        <f>VLOOKUP(D4172,Products!A:E,5,FALSE)</f>
        <v>1853.77</v>
      </c>
      <c r="N4172" s="5">
        <f t="shared" si="65"/>
        <v>5283.2444999999989</v>
      </c>
    </row>
    <row r="4173" spans="1:14" x14ac:dyDescent="0.3">
      <c r="A4173" t="s">
        <v>5029</v>
      </c>
      <c r="B4173" s="2">
        <v>45342</v>
      </c>
      <c r="C4173" t="s">
        <v>155</v>
      </c>
      <c r="D4173" t="s">
        <v>769</v>
      </c>
      <c r="E4173" t="s">
        <v>842</v>
      </c>
      <c r="F4173">
        <v>2</v>
      </c>
      <c r="G4173">
        <v>0.1</v>
      </c>
      <c r="H4173" t="s">
        <v>865</v>
      </c>
      <c r="I4173" t="str">
        <f>VLOOKUP(C4173,Customers!A:C,2,FALSE)&amp;" "&amp;VLOOKUP(C4173,Customers!A:C,3,FALSE)</f>
        <v>Scott Powell</v>
      </c>
      <c r="J4173" t="str">
        <f>VLOOKUP(D4173,Products!A:C,2,FALSE)</f>
        <v>How Vegetables</v>
      </c>
      <c r="K4173" t="str">
        <f>VLOOKUP(D4173,Products!A:C,3,FALSE)</f>
        <v>Groceries</v>
      </c>
      <c r="L4173" t="str">
        <f>VLOOKUP(E4173,Stores!A:B,2,FALSE)</f>
        <v>MegaMart Brianahaven</v>
      </c>
      <c r="M4173">
        <f>VLOOKUP(D4173,Products!A:E,5,FALSE)</f>
        <v>25.57</v>
      </c>
      <c r="N4173" s="5">
        <f t="shared" si="65"/>
        <v>46.026000000000003</v>
      </c>
    </row>
    <row r="4174" spans="1:14" x14ac:dyDescent="0.3">
      <c r="A4174" t="s">
        <v>5030</v>
      </c>
      <c r="B4174" s="2">
        <v>45294</v>
      </c>
      <c r="C4174" t="s">
        <v>183</v>
      </c>
      <c r="D4174" t="s">
        <v>796</v>
      </c>
      <c r="E4174" t="s">
        <v>835</v>
      </c>
      <c r="F4174">
        <v>3</v>
      </c>
      <c r="G4174">
        <v>0</v>
      </c>
      <c r="H4174" t="s">
        <v>855</v>
      </c>
      <c r="I4174" t="str">
        <f>VLOOKUP(C4174,Customers!A:C,2,FALSE)&amp;" "&amp;VLOOKUP(C4174,Customers!A:C,3,FALSE)</f>
        <v>Mary Decker</v>
      </c>
      <c r="J4174" t="str">
        <f>VLOOKUP(D4174,Products!A:C,2,FALSE)</f>
        <v>Chair Laptop</v>
      </c>
      <c r="K4174" t="str">
        <f>VLOOKUP(D4174,Products!A:C,3,FALSE)</f>
        <v>Electronics</v>
      </c>
      <c r="L4174" t="str">
        <f>VLOOKUP(E4174,Stores!A:B,2,FALSE)</f>
        <v>MegaMart Peckmouth</v>
      </c>
      <c r="M4174">
        <f>VLOOKUP(D4174,Products!A:E,5,FALSE)</f>
        <v>1562.43</v>
      </c>
      <c r="N4174" s="5">
        <f t="shared" si="65"/>
        <v>4687.29</v>
      </c>
    </row>
    <row r="4175" spans="1:14" x14ac:dyDescent="0.3">
      <c r="A4175" t="s">
        <v>5031</v>
      </c>
      <c r="B4175" s="2">
        <v>45834</v>
      </c>
      <c r="C4175" t="s">
        <v>372</v>
      </c>
      <c r="D4175" t="s">
        <v>715</v>
      </c>
      <c r="E4175" t="s">
        <v>842</v>
      </c>
      <c r="F4175">
        <v>5</v>
      </c>
      <c r="G4175">
        <v>0.1</v>
      </c>
      <c r="H4175" t="s">
        <v>855</v>
      </c>
      <c r="I4175" t="str">
        <f>VLOOKUP(C4175,Customers!A:C,2,FALSE)&amp;" "&amp;VLOOKUP(C4175,Customers!A:C,3,FALSE)</f>
        <v>Kimberly Jones</v>
      </c>
      <c r="J4175" t="str">
        <f>VLOOKUP(D4175,Products!A:C,2,FALSE)</f>
        <v>Audience Television</v>
      </c>
      <c r="K4175" t="str">
        <f>VLOOKUP(D4175,Products!A:C,3,FALSE)</f>
        <v>Electronics</v>
      </c>
      <c r="L4175" t="str">
        <f>VLOOKUP(E4175,Stores!A:B,2,FALSE)</f>
        <v>MegaMart Brianahaven</v>
      </c>
      <c r="M4175">
        <f>VLOOKUP(D4175,Products!A:E,5,FALSE)</f>
        <v>818.76</v>
      </c>
      <c r="N4175" s="5">
        <f t="shared" si="65"/>
        <v>3684.42</v>
      </c>
    </row>
    <row r="4176" spans="1:14" x14ac:dyDescent="0.3">
      <c r="A4176" t="s">
        <v>5032</v>
      </c>
      <c r="B4176" s="2">
        <v>45784</v>
      </c>
      <c r="C4176" t="s">
        <v>476</v>
      </c>
      <c r="D4176" t="s">
        <v>812</v>
      </c>
      <c r="E4176" t="s">
        <v>835</v>
      </c>
      <c r="F4176">
        <v>2</v>
      </c>
      <c r="G4176">
        <v>0.15</v>
      </c>
      <c r="H4176" t="s">
        <v>861</v>
      </c>
      <c r="I4176" t="str">
        <f>VLOOKUP(C4176,Customers!A:C,2,FALSE)&amp;" "&amp;VLOOKUP(C4176,Customers!A:C,3,FALSE)</f>
        <v>Aaron Bailey</v>
      </c>
      <c r="J4176" t="str">
        <f>VLOOKUP(D4176,Products!A:C,2,FALSE)</f>
        <v>Soon Accessories</v>
      </c>
      <c r="K4176" t="str">
        <f>VLOOKUP(D4176,Products!A:C,3,FALSE)</f>
        <v>Fashion</v>
      </c>
      <c r="L4176" t="str">
        <f>VLOOKUP(E4176,Stores!A:B,2,FALSE)</f>
        <v>MegaMart Peckmouth</v>
      </c>
      <c r="M4176">
        <f>VLOOKUP(D4176,Products!A:E,5,FALSE)</f>
        <v>564.41999999999996</v>
      </c>
      <c r="N4176" s="5">
        <f t="shared" si="65"/>
        <v>959.5139999999999</v>
      </c>
    </row>
    <row r="4177" spans="1:14" x14ac:dyDescent="0.3">
      <c r="A4177" t="s">
        <v>5033</v>
      </c>
      <c r="B4177" s="2">
        <v>45544</v>
      </c>
      <c r="C4177" t="s">
        <v>577</v>
      </c>
      <c r="D4177" t="s">
        <v>780</v>
      </c>
      <c r="E4177" t="s">
        <v>835</v>
      </c>
      <c r="F4177">
        <v>4</v>
      </c>
      <c r="G4177">
        <v>0</v>
      </c>
      <c r="H4177" t="s">
        <v>861</v>
      </c>
      <c r="I4177" t="str">
        <f>VLOOKUP(C4177,Customers!A:C,2,FALSE)&amp;" "&amp;VLOOKUP(C4177,Customers!A:C,3,FALSE)</f>
        <v>Michael Perez</v>
      </c>
      <c r="J4177" t="str">
        <f>VLOOKUP(D4177,Products!A:C,2,FALSE)</f>
        <v>Hospital Smartphone</v>
      </c>
      <c r="K4177" t="str">
        <f>VLOOKUP(D4177,Products!A:C,3,FALSE)</f>
        <v>Electronics</v>
      </c>
      <c r="L4177" t="str">
        <f>VLOOKUP(E4177,Stores!A:B,2,FALSE)</f>
        <v>MegaMart Peckmouth</v>
      </c>
      <c r="M4177">
        <f>VLOOKUP(D4177,Products!A:E,5,FALSE)</f>
        <v>1272.23</v>
      </c>
      <c r="N4177" s="5">
        <f t="shared" si="65"/>
        <v>5088.92</v>
      </c>
    </row>
    <row r="4178" spans="1:14" x14ac:dyDescent="0.3">
      <c r="A4178" t="s">
        <v>5034</v>
      </c>
      <c r="B4178" s="2">
        <v>45185</v>
      </c>
      <c r="C4178" t="s">
        <v>105</v>
      </c>
      <c r="D4178" t="s">
        <v>736</v>
      </c>
      <c r="E4178" t="s">
        <v>835</v>
      </c>
      <c r="F4178">
        <v>1</v>
      </c>
      <c r="G4178">
        <v>0</v>
      </c>
      <c r="H4178" t="s">
        <v>865</v>
      </c>
      <c r="I4178" t="str">
        <f>VLOOKUP(C4178,Customers!A:C,2,FALSE)&amp;" "&amp;VLOOKUP(C4178,Customers!A:C,3,FALSE)</f>
        <v>Justin Macdonald</v>
      </c>
      <c r="J4178" t="str">
        <f>VLOOKUP(D4178,Products!A:C,2,FALSE)</f>
        <v>Us Snacks</v>
      </c>
      <c r="K4178" t="str">
        <f>VLOOKUP(D4178,Products!A:C,3,FALSE)</f>
        <v>Groceries</v>
      </c>
      <c r="L4178" t="str">
        <f>VLOOKUP(E4178,Stores!A:B,2,FALSE)</f>
        <v>MegaMart Peckmouth</v>
      </c>
      <c r="M4178">
        <f>VLOOKUP(D4178,Products!A:E,5,FALSE)</f>
        <v>123.19</v>
      </c>
      <c r="N4178" s="5">
        <f t="shared" si="65"/>
        <v>123.19</v>
      </c>
    </row>
    <row r="4179" spans="1:14" x14ac:dyDescent="0.3">
      <c r="A4179" t="s">
        <v>5035</v>
      </c>
      <c r="B4179" s="2">
        <v>45375</v>
      </c>
      <c r="C4179" t="s">
        <v>123</v>
      </c>
      <c r="D4179" t="s">
        <v>774</v>
      </c>
      <c r="E4179" t="s">
        <v>846</v>
      </c>
      <c r="F4179">
        <v>4</v>
      </c>
      <c r="G4179">
        <v>0</v>
      </c>
      <c r="H4179" t="s">
        <v>861</v>
      </c>
      <c r="I4179" t="str">
        <f>VLOOKUP(C4179,Customers!A:C,2,FALSE)&amp;" "&amp;VLOOKUP(C4179,Customers!A:C,3,FALSE)</f>
        <v>Ashley Gibson</v>
      </c>
      <c r="J4179" t="str">
        <f>VLOOKUP(D4179,Products!A:C,2,FALSE)</f>
        <v>Him Smartphone</v>
      </c>
      <c r="K4179" t="str">
        <f>VLOOKUP(D4179,Products!A:C,3,FALSE)</f>
        <v>Electronics</v>
      </c>
      <c r="L4179" t="str">
        <f>VLOOKUP(E4179,Stores!A:B,2,FALSE)</f>
        <v>MegaMart Johnmouth</v>
      </c>
      <c r="M4179">
        <f>VLOOKUP(D4179,Products!A:E,5,FALSE)</f>
        <v>1487.41</v>
      </c>
      <c r="N4179" s="5">
        <f t="shared" si="65"/>
        <v>5949.64</v>
      </c>
    </row>
    <row r="4180" spans="1:14" x14ac:dyDescent="0.3">
      <c r="A4180" t="s">
        <v>5036</v>
      </c>
      <c r="B4180" s="2">
        <v>45895</v>
      </c>
      <c r="C4180" t="s">
        <v>633</v>
      </c>
      <c r="D4180" t="s">
        <v>800</v>
      </c>
      <c r="E4180" t="s">
        <v>839</v>
      </c>
      <c r="F4180">
        <v>5</v>
      </c>
      <c r="G4180">
        <v>0.15</v>
      </c>
      <c r="H4180" t="s">
        <v>865</v>
      </c>
      <c r="I4180" t="str">
        <f>VLOOKUP(C4180,Customers!A:C,2,FALSE)&amp;" "&amp;VLOOKUP(C4180,Customers!A:C,3,FALSE)</f>
        <v>Dennis Wallace</v>
      </c>
      <c r="J4180" t="str">
        <f>VLOOKUP(D4180,Products!A:C,2,FALSE)</f>
        <v>Book Television</v>
      </c>
      <c r="K4180" t="str">
        <f>VLOOKUP(D4180,Products!A:C,3,FALSE)</f>
        <v>Electronics</v>
      </c>
      <c r="L4180" t="str">
        <f>VLOOKUP(E4180,Stores!A:B,2,FALSE)</f>
        <v>MegaMart New Michele</v>
      </c>
      <c r="M4180">
        <f>VLOOKUP(D4180,Products!A:E,5,FALSE)</f>
        <v>1952.65</v>
      </c>
      <c r="N4180" s="5">
        <f t="shared" si="65"/>
        <v>8298.7624999999989</v>
      </c>
    </row>
    <row r="4181" spans="1:14" x14ac:dyDescent="0.3">
      <c r="A4181" t="s">
        <v>5037</v>
      </c>
      <c r="B4181" s="2">
        <v>45865</v>
      </c>
      <c r="C4181" t="s">
        <v>612</v>
      </c>
      <c r="D4181" t="s">
        <v>788</v>
      </c>
      <c r="E4181" t="s">
        <v>831</v>
      </c>
      <c r="F4181">
        <v>4</v>
      </c>
      <c r="G4181">
        <v>0</v>
      </c>
      <c r="H4181" t="s">
        <v>858</v>
      </c>
      <c r="I4181" t="str">
        <f>VLOOKUP(C4181,Customers!A:C,2,FALSE)&amp;" "&amp;VLOOKUP(C4181,Customers!A:C,3,FALSE)</f>
        <v>Michelle Smith</v>
      </c>
      <c r="J4181" t="str">
        <f>VLOOKUP(D4181,Products!A:C,2,FALSE)</f>
        <v>Foot Snacks</v>
      </c>
      <c r="K4181" t="str">
        <f>VLOOKUP(D4181,Products!A:C,3,FALSE)</f>
        <v>Groceries</v>
      </c>
      <c r="L4181" t="str">
        <f>VLOOKUP(E4181,Stores!A:B,2,FALSE)</f>
        <v>MegaMart Jimenezborough</v>
      </c>
      <c r="M4181">
        <f>VLOOKUP(D4181,Products!A:E,5,FALSE)</f>
        <v>1095.72</v>
      </c>
      <c r="N4181" s="5">
        <f t="shared" si="65"/>
        <v>4382.88</v>
      </c>
    </row>
    <row r="4182" spans="1:14" x14ac:dyDescent="0.3">
      <c r="A4182" t="s">
        <v>5038</v>
      </c>
      <c r="B4182" s="2">
        <v>45680</v>
      </c>
      <c r="C4182" t="s">
        <v>284</v>
      </c>
      <c r="D4182" t="s">
        <v>766</v>
      </c>
      <c r="E4182" t="s">
        <v>831</v>
      </c>
      <c r="F4182">
        <v>2</v>
      </c>
      <c r="G4182">
        <v>0.05</v>
      </c>
      <c r="H4182" t="s">
        <v>855</v>
      </c>
      <c r="I4182" t="str">
        <f>VLOOKUP(C4182,Customers!A:C,2,FALSE)&amp;" "&amp;VLOOKUP(C4182,Customers!A:C,3,FALSE)</f>
        <v>Seth Moore</v>
      </c>
      <c r="J4182" t="str">
        <f>VLOOKUP(D4182,Products!A:C,2,FALSE)</f>
        <v>Firm Dairy</v>
      </c>
      <c r="K4182" t="str">
        <f>VLOOKUP(D4182,Products!A:C,3,FALSE)</f>
        <v>Groceries</v>
      </c>
      <c r="L4182" t="str">
        <f>VLOOKUP(E4182,Stores!A:B,2,FALSE)</f>
        <v>MegaMart Jimenezborough</v>
      </c>
      <c r="M4182">
        <f>VLOOKUP(D4182,Products!A:E,5,FALSE)</f>
        <v>1227.24</v>
      </c>
      <c r="N4182" s="5">
        <f t="shared" si="65"/>
        <v>2331.7559999999999</v>
      </c>
    </row>
    <row r="4183" spans="1:14" x14ac:dyDescent="0.3">
      <c r="A4183" t="s">
        <v>5039</v>
      </c>
      <c r="B4183" s="2">
        <v>45768</v>
      </c>
      <c r="C4183" t="s">
        <v>109</v>
      </c>
      <c r="D4183" t="s">
        <v>804</v>
      </c>
      <c r="E4183" t="s">
        <v>846</v>
      </c>
      <c r="F4183">
        <v>5</v>
      </c>
      <c r="G4183">
        <v>0.1</v>
      </c>
      <c r="H4183" t="s">
        <v>855</v>
      </c>
      <c r="I4183" t="str">
        <f>VLOOKUP(C4183,Customers!A:C,2,FALSE)&amp;" "&amp;VLOOKUP(C4183,Customers!A:C,3,FALSE)</f>
        <v>Jacqueline Martin</v>
      </c>
      <c r="J4183" t="str">
        <f>VLOOKUP(D4183,Products!A:C,2,FALSE)</f>
        <v>Church Clothing</v>
      </c>
      <c r="K4183" t="str">
        <f>VLOOKUP(D4183,Products!A:C,3,FALSE)</f>
        <v>Fashion</v>
      </c>
      <c r="L4183" t="str">
        <f>VLOOKUP(E4183,Stores!A:B,2,FALSE)</f>
        <v>MegaMart Johnmouth</v>
      </c>
      <c r="M4183">
        <f>VLOOKUP(D4183,Products!A:E,5,FALSE)</f>
        <v>540.94000000000005</v>
      </c>
      <c r="N4183" s="5">
        <f t="shared" si="65"/>
        <v>2434.2300000000005</v>
      </c>
    </row>
    <row r="4184" spans="1:14" x14ac:dyDescent="0.3">
      <c r="A4184" t="s">
        <v>5040</v>
      </c>
      <c r="B4184" s="2">
        <v>45455</v>
      </c>
      <c r="C4184" t="s">
        <v>179</v>
      </c>
      <c r="D4184" t="s">
        <v>725</v>
      </c>
      <c r="E4184" t="s">
        <v>846</v>
      </c>
      <c r="F4184">
        <v>3</v>
      </c>
      <c r="G4184">
        <v>0</v>
      </c>
      <c r="H4184" t="s">
        <v>858</v>
      </c>
      <c r="I4184" t="str">
        <f>VLOOKUP(C4184,Customers!A:C,2,FALSE)&amp;" "&amp;VLOOKUP(C4184,Customers!A:C,3,FALSE)</f>
        <v>Dennis Poole</v>
      </c>
      <c r="J4184" t="str">
        <f>VLOOKUP(D4184,Products!A:C,2,FALSE)</f>
        <v>Knowledge Bags</v>
      </c>
      <c r="K4184" t="str">
        <f>VLOOKUP(D4184,Products!A:C,3,FALSE)</f>
        <v>Fashion</v>
      </c>
      <c r="L4184" t="str">
        <f>VLOOKUP(E4184,Stores!A:B,2,FALSE)</f>
        <v>MegaMart Johnmouth</v>
      </c>
      <c r="M4184">
        <f>VLOOKUP(D4184,Products!A:E,5,FALSE)</f>
        <v>1396.22</v>
      </c>
      <c r="N4184" s="5">
        <f t="shared" si="65"/>
        <v>4188.66</v>
      </c>
    </row>
    <row r="4185" spans="1:14" x14ac:dyDescent="0.3">
      <c r="A4185" t="s">
        <v>5041</v>
      </c>
      <c r="B4185" s="2">
        <v>45255</v>
      </c>
      <c r="C4185" t="s">
        <v>109</v>
      </c>
      <c r="D4185" t="s">
        <v>734</v>
      </c>
      <c r="E4185" t="s">
        <v>835</v>
      </c>
      <c r="F4185">
        <v>2</v>
      </c>
      <c r="G4185">
        <v>0.05</v>
      </c>
      <c r="H4185" t="s">
        <v>858</v>
      </c>
      <c r="I4185" t="str">
        <f>VLOOKUP(C4185,Customers!A:C,2,FALSE)&amp;" "&amp;VLOOKUP(C4185,Customers!A:C,3,FALSE)</f>
        <v>Jacqueline Martin</v>
      </c>
      <c r="J4185" t="str">
        <f>VLOOKUP(D4185,Products!A:C,2,FALSE)</f>
        <v>Recognize Footwear</v>
      </c>
      <c r="K4185" t="str">
        <f>VLOOKUP(D4185,Products!A:C,3,FALSE)</f>
        <v>Fashion</v>
      </c>
      <c r="L4185" t="str">
        <f>VLOOKUP(E4185,Stores!A:B,2,FALSE)</f>
        <v>MegaMart Peckmouth</v>
      </c>
      <c r="M4185">
        <f>VLOOKUP(D4185,Products!A:E,5,FALSE)</f>
        <v>109.78</v>
      </c>
      <c r="N4185" s="5">
        <f t="shared" si="65"/>
        <v>208.58199999999999</v>
      </c>
    </row>
    <row r="4186" spans="1:14" x14ac:dyDescent="0.3">
      <c r="A4186" t="s">
        <v>5042</v>
      </c>
      <c r="B4186" s="2">
        <v>45395</v>
      </c>
      <c r="C4186" t="s">
        <v>375</v>
      </c>
      <c r="D4186" t="s">
        <v>812</v>
      </c>
      <c r="E4186" t="s">
        <v>839</v>
      </c>
      <c r="F4186">
        <v>2</v>
      </c>
      <c r="G4186">
        <v>0.05</v>
      </c>
      <c r="H4186" t="s">
        <v>858</v>
      </c>
      <c r="I4186" t="str">
        <f>VLOOKUP(C4186,Customers!A:C,2,FALSE)&amp;" "&amp;VLOOKUP(C4186,Customers!A:C,3,FALSE)</f>
        <v>Sean Hart</v>
      </c>
      <c r="J4186" t="str">
        <f>VLOOKUP(D4186,Products!A:C,2,FALSE)</f>
        <v>Soon Accessories</v>
      </c>
      <c r="K4186" t="str">
        <f>VLOOKUP(D4186,Products!A:C,3,FALSE)</f>
        <v>Fashion</v>
      </c>
      <c r="L4186" t="str">
        <f>VLOOKUP(E4186,Stores!A:B,2,FALSE)</f>
        <v>MegaMart New Michele</v>
      </c>
      <c r="M4186">
        <f>VLOOKUP(D4186,Products!A:E,5,FALSE)</f>
        <v>564.41999999999996</v>
      </c>
      <c r="N4186" s="5">
        <f t="shared" si="65"/>
        <v>1072.3979999999999</v>
      </c>
    </row>
    <row r="4187" spans="1:14" x14ac:dyDescent="0.3">
      <c r="A4187" t="s">
        <v>5043</v>
      </c>
      <c r="B4187" s="2">
        <v>45286</v>
      </c>
      <c r="C4187" t="s">
        <v>183</v>
      </c>
      <c r="D4187" t="s">
        <v>792</v>
      </c>
      <c r="E4187" t="s">
        <v>835</v>
      </c>
      <c r="F4187">
        <v>1</v>
      </c>
      <c r="G4187">
        <v>0.1</v>
      </c>
      <c r="H4187" t="s">
        <v>855</v>
      </c>
      <c r="I4187" t="str">
        <f>VLOOKUP(C4187,Customers!A:C,2,FALSE)&amp;" "&amp;VLOOKUP(C4187,Customers!A:C,3,FALSE)</f>
        <v>Mary Decker</v>
      </c>
      <c r="J4187" t="str">
        <f>VLOOKUP(D4187,Products!A:C,2,FALSE)</f>
        <v>Beat Accessories</v>
      </c>
      <c r="K4187" t="str">
        <f>VLOOKUP(D4187,Products!A:C,3,FALSE)</f>
        <v>Fashion</v>
      </c>
      <c r="L4187" t="str">
        <f>VLOOKUP(E4187,Stores!A:B,2,FALSE)</f>
        <v>MegaMart Peckmouth</v>
      </c>
      <c r="M4187">
        <f>VLOOKUP(D4187,Products!A:E,5,FALSE)</f>
        <v>1798.97</v>
      </c>
      <c r="N4187" s="5">
        <f t="shared" si="65"/>
        <v>1619.0730000000001</v>
      </c>
    </row>
    <row r="4188" spans="1:14" x14ac:dyDescent="0.3">
      <c r="A4188" t="s">
        <v>5044</v>
      </c>
      <c r="B4188" s="2">
        <v>45443</v>
      </c>
      <c r="C4188" t="s">
        <v>151</v>
      </c>
      <c r="D4188" t="s">
        <v>820</v>
      </c>
      <c r="E4188" t="s">
        <v>835</v>
      </c>
      <c r="F4188">
        <v>1</v>
      </c>
      <c r="G4188">
        <v>0.15</v>
      </c>
      <c r="H4188" t="s">
        <v>861</v>
      </c>
      <c r="I4188" t="str">
        <f>VLOOKUP(C4188,Customers!A:C,2,FALSE)&amp;" "&amp;VLOOKUP(C4188,Customers!A:C,3,FALSE)</f>
        <v>Nancy Savage</v>
      </c>
      <c r="J4188" t="str">
        <f>VLOOKUP(D4188,Products!A:C,2,FALSE)</f>
        <v>Or Smartphone</v>
      </c>
      <c r="K4188" t="str">
        <f>VLOOKUP(D4188,Products!A:C,3,FALSE)</f>
        <v>Electronics</v>
      </c>
      <c r="L4188" t="str">
        <f>VLOOKUP(E4188,Stores!A:B,2,FALSE)</f>
        <v>MegaMart Peckmouth</v>
      </c>
      <c r="M4188">
        <f>VLOOKUP(D4188,Products!A:E,5,FALSE)</f>
        <v>1197.18</v>
      </c>
      <c r="N4188" s="5">
        <f t="shared" si="65"/>
        <v>1017.6030000000001</v>
      </c>
    </row>
    <row r="4189" spans="1:14" x14ac:dyDescent="0.3">
      <c r="A4189" t="s">
        <v>5045</v>
      </c>
      <c r="B4189" s="2">
        <v>45430</v>
      </c>
      <c r="C4189" t="s">
        <v>364</v>
      </c>
      <c r="D4189" t="s">
        <v>774</v>
      </c>
      <c r="E4189" t="s">
        <v>839</v>
      </c>
      <c r="F4189">
        <v>3</v>
      </c>
      <c r="G4189">
        <v>0.15</v>
      </c>
      <c r="H4189" t="s">
        <v>861</v>
      </c>
      <c r="I4189" t="str">
        <f>VLOOKUP(C4189,Customers!A:C,2,FALSE)&amp;" "&amp;VLOOKUP(C4189,Customers!A:C,3,FALSE)</f>
        <v>Evelyn Gray</v>
      </c>
      <c r="J4189" t="str">
        <f>VLOOKUP(D4189,Products!A:C,2,FALSE)</f>
        <v>Him Smartphone</v>
      </c>
      <c r="K4189" t="str">
        <f>VLOOKUP(D4189,Products!A:C,3,FALSE)</f>
        <v>Electronics</v>
      </c>
      <c r="L4189" t="str">
        <f>VLOOKUP(E4189,Stores!A:B,2,FALSE)</f>
        <v>MegaMart New Michele</v>
      </c>
      <c r="M4189">
        <f>VLOOKUP(D4189,Products!A:E,5,FALSE)</f>
        <v>1487.41</v>
      </c>
      <c r="N4189" s="5">
        <f t="shared" si="65"/>
        <v>3792.8955000000001</v>
      </c>
    </row>
    <row r="4190" spans="1:14" x14ac:dyDescent="0.3">
      <c r="A4190" t="s">
        <v>5046</v>
      </c>
      <c r="B4190" s="2">
        <v>45853</v>
      </c>
      <c r="C4190" t="s">
        <v>195</v>
      </c>
      <c r="D4190" t="s">
        <v>800</v>
      </c>
      <c r="E4190" t="s">
        <v>831</v>
      </c>
      <c r="F4190">
        <v>5</v>
      </c>
      <c r="G4190">
        <v>0.05</v>
      </c>
      <c r="H4190" t="s">
        <v>861</v>
      </c>
      <c r="I4190" t="str">
        <f>VLOOKUP(C4190,Customers!A:C,2,FALSE)&amp;" "&amp;VLOOKUP(C4190,Customers!A:C,3,FALSE)</f>
        <v>Kelly Mcmillan</v>
      </c>
      <c r="J4190" t="str">
        <f>VLOOKUP(D4190,Products!A:C,2,FALSE)</f>
        <v>Book Television</v>
      </c>
      <c r="K4190" t="str">
        <f>VLOOKUP(D4190,Products!A:C,3,FALSE)</f>
        <v>Electronics</v>
      </c>
      <c r="L4190" t="str">
        <f>VLOOKUP(E4190,Stores!A:B,2,FALSE)</f>
        <v>MegaMart Jimenezborough</v>
      </c>
      <c r="M4190">
        <f>VLOOKUP(D4190,Products!A:E,5,FALSE)</f>
        <v>1952.65</v>
      </c>
      <c r="N4190" s="5">
        <f t="shared" si="65"/>
        <v>9275.0874999999996</v>
      </c>
    </row>
    <row r="4191" spans="1:14" x14ac:dyDescent="0.3">
      <c r="A4191" t="s">
        <v>5047</v>
      </c>
      <c r="B4191" s="2">
        <v>45576</v>
      </c>
      <c r="C4191" t="s">
        <v>284</v>
      </c>
      <c r="D4191" t="s">
        <v>725</v>
      </c>
      <c r="E4191" t="s">
        <v>839</v>
      </c>
      <c r="F4191">
        <v>3</v>
      </c>
      <c r="G4191">
        <v>0.15</v>
      </c>
      <c r="H4191" t="s">
        <v>865</v>
      </c>
      <c r="I4191" t="str">
        <f>VLOOKUP(C4191,Customers!A:C,2,FALSE)&amp;" "&amp;VLOOKUP(C4191,Customers!A:C,3,FALSE)</f>
        <v>Seth Moore</v>
      </c>
      <c r="J4191" t="str">
        <f>VLOOKUP(D4191,Products!A:C,2,FALSE)</f>
        <v>Knowledge Bags</v>
      </c>
      <c r="K4191" t="str">
        <f>VLOOKUP(D4191,Products!A:C,3,FALSE)</f>
        <v>Fashion</v>
      </c>
      <c r="L4191" t="str">
        <f>VLOOKUP(E4191,Stores!A:B,2,FALSE)</f>
        <v>MegaMart New Michele</v>
      </c>
      <c r="M4191">
        <f>VLOOKUP(D4191,Products!A:E,5,FALSE)</f>
        <v>1396.22</v>
      </c>
      <c r="N4191" s="5">
        <f t="shared" si="65"/>
        <v>3560.3609999999999</v>
      </c>
    </row>
    <row r="4192" spans="1:14" x14ac:dyDescent="0.3">
      <c r="A4192" t="s">
        <v>5048</v>
      </c>
      <c r="B4192" s="2">
        <v>45355</v>
      </c>
      <c r="C4192" t="s">
        <v>298</v>
      </c>
      <c r="D4192" t="s">
        <v>800</v>
      </c>
      <c r="E4192" t="s">
        <v>846</v>
      </c>
      <c r="F4192">
        <v>5</v>
      </c>
      <c r="G4192">
        <v>0.15</v>
      </c>
      <c r="H4192" t="s">
        <v>855</v>
      </c>
      <c r="I4192" t="str">
        <f>VLOOKUP(C4192,Customers!A:C,2,FALSE)&amp;" "&amp;VLOOKUP(C4192,Customers!A:C,3,FALSE)</f>
        <v>Donald Marsh</v>
      </c>
      <c r="J4192" t="str">
        <f>VLOOKUP(D4192,Products!A:C,2,FALSE)</f>
        <v>Book Television</v>
      </c>
      <c r="K4192" t="str">
        <f>VLOOKUP(D4192,Products!A:C,3,FALSE)</f>
        <v>Electronics</v>
      </c>
      <c r="L4192" t="str">
        <f>VLOOKUP(E4192,Stores!A:B,2,FALSE)</f>
        <v>MegaMart Johnmouth</v>
      </c>
      <c r="M4192">
        <f>VLOOKUP(D4192,Products!A:E,5,FALSE)</f>
        <v>1952.65</v>
      </c>
      <c r="N4192" s="5">
        <f t="shared" si="65"/>
        <v>8298.7624999999989</v>
      </c>
    </row>
    <row r="4193" spans="1:14" x14ac:dyDescent="0.3">
      <c r="A4193" t="s">
        <v>5049</v>
      </c>
      <c r="B4193" s="2">
        <v>45884</v>
      </c>
      <c r="C4193" t="s">
        <v>20</v>
      </c>
      <c r="D4193" t="s">
        <v>804</v>
      </c>
      <c r="E4193" t="s">
        <v>839</v>
      </c>
      <c r="F4193">
        <v>4</v>
      </c>
      <c r="G4193">
        <v>0</v>
      </c>
      <c r="H4193" t="s">
        <v>861</v>
      </c>
      <c r="I4193" t="str">
        <f>VLOOKUP(C4193,Customers!A:C,2,FALSE)&amp;" "&amp;VLOOKUP(C4193,Customers!A:C,3,FALSE)</f>
        <v>Joseph Ward</v>
      </c>
      <c r="J4193" t="str">
        <f>VLOOKUP(D4193,Products!A:C,2,FALSE)</f>
        <v>Church Clothing</v>
      </c>
      <c r="K4193" t="str">
        <f>VLOOKUP(D4193,Products!A:C,3,FALSE)</f>
        <v>Fashion</v>
      </c>
      <c r="L4193" t="str">
        <f>VLOOKUP(E4193,Stores!A:B,2,FALSE)</f>
        <v>MegaMart New Michele</v>
      </c>
      <c r="M4193">
        <f>VLOOKUP(D4193,Products!A:E,5,FALSE)</f>
        <v>540.94000000000005</v>
      </c>
      <c r="N4193" s="5">
        <f t="shared" si="65"/>
        <v>2163.7600000000002</v>
      </c>
    </row>
    <row r="4194" spans="1:14" x14ac:dyDescent="0.3">
      <c r="A4194" t="s">
        <v>5050</v>
      </c>
      <c r="B4194" s="2">
        <v>45184</v>
      </c>
      <c r="C4194" t="s">
        <v>15</v>
      </c>
      <c r="D4194" t="s">
        <v>728</v>
      </c>
      <c r="E4194" t="s">
        <v>839</v>
      </c>
      <c r="F4194">
        <v>5</v>
      </c>
      <c r="G4194">
        <v>0.15</v>
      </c>
      <c r="H4194" t="s">
        <v>855</v>
      </c>
      <c r="I4194" t="str">
        <f>VLOOKUP(C4194,Customers!A:C,2,FALSE)&amp;" "&amp;VLOOKUP(C4194,Customers!A:C,3,FALSE)</f>
        <v>Carol Hays</v>
      </c>
      <c r="J4194" t="str">
        <f>VLOOKUP(D4194,Products!A:C,2,FALSE)</f>
        <v>Company Fruits</v>
      </c>
      <c r="K4194" t="str">
        <f>VLOOKUP(D4194,Products!A:C,3,FALSE)</f>
        <v>Groceries</v>
      </c>
      <c r="L4194" t="str">
        <f>VLOOKUP(E4194,Stores!A:B,2,FALSE)</f>
        <v>MegaMart New Michele</v>
      </c>
      <c r="M4194">
        <f>VLOOKUP(D4194,Products!A:E,5,FALSE)</f>
        <v>318.05</v>
      </c>
      <c r="N4194" s="5">
        <f t="shared" si="65"/>
        <v>1351.7124999999999</v>
      </c>
    </row>
    <row r="4195" spans="1:14" x14ac:dyDescent="0.3">
      <c r="A4195" t="s">
        <v>5051</v>
      </c>
      <c r="B4195" s="2">
        <v>45722</v>
      </c>
      <c r="C4195" t="s">
        <v>77</v>
      </c>
      <c r="D4195" t="s">
        <v>747</v>
      </c>
      <c r="E4195" t="s">
        <v>846</v>
      </c>
      <c r="F4195">
        <v>3</v>
      </c>
      <c r="G4195">
        <v>0.05</v>
      </c>
      <c r="H4195" t="s">
        <v>858</v>
      </c>
      <c r="I4195" t="str">
        <f>VLOOKUP(C4195,Customers!A:C,2,FALSE)&amp;" "&amp;VLOOKUP(C4195,Customers!A:C,3,FALSE)</f>
        <v>John Smith</v>
      </c>
      <c r="J4195" t="str">
        <f>VLOOKUP(D4195,Products!A:C,2,FALSE)</f>
        <v>World Watches</v>
      </c>
      <c r="K4195" t="str">
        <f>VLOOKUP(D4195,Products!A:C,3,FALSE)</f>
        <v>Fashion</v>
      </c>
      <c r="L4195" t="str">
        <f>VLOOKUP(E4195,Stores!A:B,2,FALSE)</f>
        <v>MegaMart Johnmouth</v>
      </c>
      <c r="M4195">
        <f>VLOOKUP(D4195,Products!A:E,5,FALSE)</f>
        <v>1134.8</v>
      </c>
      <c r="N4195" s="5">
        <f t="shared" si="65"/>
        <v>3234.1799999999994</v>
      </c>
    </row>
    <row r="4196" spans="1:14" x14ac:dyDescent="0.3">
      <c r="A4196" t="s">
        <v>5052</v>
      </c>
      <c r="B4196" s="2">
        <v>45418</v>
      </c>
      <c r="C4196" t="s">
        <v>469</v>
      </c>
      <c r="D4196" t="s">
        <v>808</v>
      </c>
      <c r="E4196" t="s">
        <v>839</v>
      </c>
      <c r="F4196">
        <v>5</v>
      </c>
      <c r="G4196">
        <v>0.05</v>
      </c>
      <c r="H4196" t="s">
        <v>858</v>
      </c>
      <c r="I4196" t="str">
        <f>VLOOKUP(C4196,Customers!A:C,2,FALSE)&amp;" "&amp;VLOOKUP(C4196,Customers!A:C,3,FALSE)</f>
        <v>Robert Collins</v>
      </c>
      <c r="J4196" t="str">
        <f>VLOOKUP(D4196,Products!A:C,2,FALSE)</f>
        <v>Present Television</v>
      </c>
      <c r="K4196" t="str">
        <f>VLOOKUP(D4196,Products!A:C,3,FALSE)</f>
        <v>Electronics</v>
      </c>
      <c r="L4196" t="str">
        <f>VLOOKUP(E4196,Stores!A:B,2,FALSE)</f>
        <v>MegaMart New Michele</v>
      </c>
      <c r="M4196">
        <f>VLOOKUP(D4196,Products!A:E,5,FALSE)</f>
        <v>1635.01</v>
      </c>
      <c r="N4196" s="5">
        <f t="shared" si="65"/>
        <v>7766.2974999999997</v>
      </c>
    </row>
    <row r="4197" spans="1:14" x14ac:dyDescent="0.3">
      <c r="A4197" t="s">
        <v>5053</v>
      </c>
      <c r="B4197" s="2">
        <v>45401</v>
      </c>
      <c r="C4197" t="s">
        <v>411</v>
      </c>
      <c r="D4197" t="s">
        <v>774</v>
      </c>
      <c r="E4197" t="s">
        <v>835</v>
      </c>
      <c r="F4197">
        <v>2</v>
      </c>
      <c r="G4197">
        <v>0.1</v>
      </c>
      <c r="H4197" t="s">
        <v>858</v>
      </c>
      <c r="I4197" t="str">
        <f>VLOOKUP(C4197,Customers!A:C,2,FALSE)&amp;" "&amp;VLOOKUP(C4197,Customers!A:C,3,FALSE)</f>
        <v>Travis Peters</v>
      </c>
      <c r="J4197" t="str">
        <f>VLOOKUP(D4197,Products!A:C,2,FALSE)</f>
        <v>Him Smartphone</v>
      </c>
      <c r="K4197" t="str">
        <f>VLOOKUP(D4197,Products!A:C,3,FALSE)</f>
        <v>Electronics</v>
      </c>
      <c r="L4197" t="str">
        <f>VLOOKUP(E4197,Stores!A:B,2,FALSE)</f>
        <v>MegaMart Peckmouth</v>
      </c>
      <c r="M4197">
        <f>VLOOKUP(D4197,Products!A:E,5,FALSE)</f>
        <v>1487.41</v>
      </c>
      <c r="N4197" s="5">
        <f t="shared" si="65"/>
        <v>2677.3380000000002</v>
      </c>
    </row>
    <row r="4198" spans="1:14" x14ac:dyDescent="0.3">
      <c r="A4198" t="s">
        <v>5054</v>
      </c>
      <c r="B4198" s="2">
        <v>45875</v>
      </c>
      <c r="C4198" t="s">
        <v>230</v>
      </c>
      <c r="D4198" t="s">
        <v>806</v>
      </c>
      <c r="E4198" t="s">
        <v>839</v>
      </c>
      <c r="F4198">
        <v>2</v>
      </c>
      <c r="G4198">
        <v>0.15</v>
      </c>
      <c r="H4198" t="s">
        <v>858</v>
      </c>
      <c r="I4198" t="str">
        <f>VLOOKUP(C4198,Customers!A:C,2,FALSE)&amp;" "&amp;VLOOKUP(C4198,Customers!A:C,3,FALSE)</f>
        <v>Anthony Conway</v>
      </c>
      <c r="J4198" t="str">
        <f>VLOOKUP(D4198,Products!A:C,2,FALSE)</f>
        <v>Piece Headphones</v>
      </c>
      <c r="K4198" t="str">
        <f>VLOOKUP(D4198,Products!A:C,3,FALSE)</f>
        <v>Electronics</v>
      </c>
      <c r="L4198" t="str">
        <f>VLOOKUP(E4198,Stores!A:B,2,FALSE)</f>
        <v>MegaMart New Michele</v>
      </c>
      <c r="M4198">
        <f>VLOOKUP(D4198,Products!A:E,5,FALSE)</f>
        <v>1745.61</v>
      </c>
      <c r="N4198" s="5">
        <f t="shared" si="65"/>
        <v>2967.5369999999998</v>
      </c>
    </row>
    <row r="4199" spans="1:14" x14ac:dyDescent="0.3">
      <c r="A4199" t="s">
        <v>5055</v>
      </c>
      <c r="B4199" s="2">
        <v>45553</v>
      </c>
      <c r="C4199" t="s">
        <v>452</v>
      </c>
      <c r="D4199" t="s">
        <v>764</v>
      </c>
      <c r="E4199" t="s">
        <v>839</v>
      </c>
      <c r="F4199">
        <v>2</v>
      </c>
      <c r="G4199">
        <v>0.05</v>
      </c>
      <c r="H4199" t="s">
        <v>855</v>
      </c>
      <c r="I4199" t="str">
        <f>VLOOKUP(C4199,Customers!A:C,2,FALSE)&amp;" "&amp;VLOOKUP(C4199,Customers!A:C,3,FALSE)</f>
        <v>Amy Smith</v>
      </c>
      <c r="J4199" t="str">
        <f>VLOOKUP(D4199,Products!A:C,2,FALSE)</f>
        <v>Simple Accessories</v>
      </c>
      <c r="K4199" t="str">
        <f>VLOOKUP(D4199,Products!A:C,3,FALSE)</f>
        <v>Fashion</v>
      </c>
      <c r="L4199" t="str">
        <f>VLOOKUP(E4199,Stores!A:B,2,FALSE)</f>
        <v>MegaMart New Michele</v>
      </c>
      <c r="M4199">
        <f>VLOOKUP(D4199,Products!A:E,5,FALSE)</f>
        <v>323.92</v>
      </c>
      <c r="N4199" s="5">
        <f t="shared" si="65"/>
        <v>615.44799999999998</v>
      </c>
    </row>
    <row r="4200" spans="1:14" x14ac:dyDescent="0.3">
      <c r="A4200" t="s">
        <v>5056</v>
      </c>
      <c r="B4200" s="2">
        <v>45887</v>
      </c>
      <c r="C4200" t="s">
        <v>531</v>
      </c>
      <c r="D4200" t="s">
        <v>722</v>
      </c>
      <c r="E4200" t="s">
        <v>835</v>
      </c>
      <c r="F4200">
        <v>1</v>
      </c>
      <c r="G4200">
        <v>0.15</v>
      </c>
      <c r="H4200" t="s">
        <v>865</v>
      </c>
      <c r="I4200" t="str">
        <f>VLOOKUP(C4200,Customers!A:C,2,FALSE)&amp;" "&amp;VLOOKUP(C4200,Customers!A:C,3,FALSE)</f>
        <v>John Johnson</v>
      </c>
      <c r="J4200" t="str">
        <f>VLOOKUP(D4200,Products!A:C,2,FALSE)</f>
        <v>Four Accessories</v>
      </c>
      <c r="K4200" t="str">
        <f>VLOOKUP(D4200,Products!A:C,3,FALSE)</f>
        <v>Fashion</v>
      </c>
      <c r="L4200" t="str">
        <f>VLOOKUP(E4200,Stores!A:B,2,FALSE)</f>
        <v>MegaMart Peckmouth</v>
      </c>
      <c r="M4200">
        <f>VLOOKUP(D4200,Products!A:E,5,FALSE)</f>
        <v>1853.77</v>
      </c>
      <c r="N4200" s="5">
        <f t="shared" si="65"/>
        <v>1575.7045000000001</v>
      </c>
    </row>
    <row r="4201" spans="1:14" x14ac:dyDescent="0.3">
      <c r="A4201" t="s">
        <v>5057</v>
      </c>
      <c r="B4201" s="2">
        <v>45483</v>
      </c>
      <c r="C4201" t="s">
        <v>386</v>
      </c>
      <c r="D4201" t="s">
        <v>761</v>
      </c>
      <c r="E4201" t="s">
        <v>839</v>
      </c>
      <c r="F4201">
        <v>5</v>
      </c>
      <c r="G4201">
        <v>0</v>
      </c>
      <c r="H4201" t="s">
        <v>861</v>
      </c>
      <c r="I4201" t="str">
        <f>VLOOKUP(C4201,Customers!A:C,2,FALSE)&amp;" "&amp;VLOOKUP(C4201,Customers!A:C,3,FALSE)</f>
        <v>David Burns</v>
      </c>
      <c r="J4201" t="str">
        <f>VLOOKUP(D4201,Products!A:C,2,FALSE)</f>
        <v>Traditional Laptop</v>
      </c>
      <c r="K4201" t="str">
        <f>VLOOKUP(D4201,Products!A:C,3,FALSE)</f>
        <v>Electronics</v>
      </c>
      <c r="L4201" t="str">
        <f>VLOOKUP(E4201,Stores!A:B,2,FALSE)</f>
        <v>MegaMart New Michele</v>
      </c>
      <c r="M4201">
        <f>VLOOKUP(D4201,Products!A:E,5,FALSE)</f>
        <v>1762.92</v>
      </c>
      <c r="N4201" s="5">
        <f t="shared" si="65"/>
        <v>8814.6</v>
      </c>
    </row>
    <row r="4202" spans="1:14" x14ac:dyDescent="0.3">
      <c r="A4202" t="s">
        <v>5058</v>
      </c>
      <c r="B4202" s="2">
        <v>45238</v>
      </c>
      <c r="C4202" t="s">
        <v>556</v>
      </c>
      <c r="D4202" t="s">
        <v>790</v>
      </c>
      <c r="E4202" t="s">
        <v>835</v>
      </c>
      <c r="F4202">
        <v>1</v>
      </c>
      <c r="G4202">
        <v>0.1</v>
      </c>
      <c r="H4202" t="s">
        <v>861</v>
      </c>
      <c r="I4202" t="str">
        <f>VLOOKUP(C4202,Customers!A:C,2,FALSE)&amp;" "&amp;VLOOKUP(C4202,Customers!A:C,3,FALSE)</f>
        <v>Jill Mcconnell</v>
      </c>
      <c r="J4202" t="str">
        <f>VLOOKUP(D4202,Products!A:C,2,FALSE)</f>
        <v>Difficult Vegetables</v>
      </c>
      <c r="K4202" t="str">
        <f>VLOOKUP(D4202,Products!A:C,3,FALSE)</f>
        <v>Groceries</v>
      </c>
      <c r="L4202" t="str">
        <f>VLOOKUP(E4202,Stores!A:B,2,FALSE)</f>
        <v>MegaMart Peckmouth</v>
      </c>
      <c r="M4202">
        <f>VLOOKUP(D4202,Products!A:E,5,FALSE)</f>
        <v>304.70999999999998</v>
      </c>
      <c r="N4202" s="5">
        <f t="shared" si="65"/>
        <v>274.23899999999998</v>
      </c>
    </row>
    <row r="4203" spans="1:14" x14ac:dyDescent="0.3">
      <c r="A4203" t="s">
        <v>5059</v>
      </c>
      <c r="B4203" s="2">
        <v>45835</v>
      </c>
      <c r="C4203" t="s">
        <v>151</v>
      </c>
      <c r="D4203" t="s">
        <v>734</v>
      </c>
      <c r="E4203" t="s">
        <v>846</v>
      </c>
      <c r="F4203">
        <v>3</v>
      </c>
      <c r="G4203">
        <v>0</v>
      </c>
      <c r="H4203" t="s">
        <v>865</v>
      </c>
      <c r="I4203" t="str">
        <f>VLOOKUP(C4203,Customers!A:C,2,FALSE)&amp;" "&amp;VLOOKUP(C4203,Customers!A:C,3,FALSE)</f>
        <v>Nancy Savage</v>
      </c>
      <c r="J4203" t="str">
        <f>VLOOKUP(D4203,Products!A:C,2,FALSE)</f>
        <v>Recognize Footwear</v>
      </c>
      <c r="K4203" t="str">
        <f>VLOOKUP(D4203,Products!A:C,3,FALSE)</f>
        <v>Fashion</v>
      </c>
      <c r="L4203" t="str">
        <f>VLOOKUP(E4203,Stores!A:B,2,FALSE)</f>
        <v>MegaMart Johnmouth</v>
      </c>
      <c r="M4203">
        <f>VLOOKUP(D4203,Products!A:E,5,FALSE)</f>
        <v>109.78</v>
      </c>
      <c r="N4203" s="5">
        <f t="shared" si="65"/>
        <v>329.34000000000003</v>
      </c>
    </row>
    <row r="4204" spans="1:14" x14ac:dyDescent="0.3">
      <c r="A4204" t="s">
        <v>5060</v>
      </c>
      <c r="B4204" s="2">
        <v>45578</v>
      </c>
      <c r="C4204" t="s">
        <v>313</v>
      </c>
      <c r="D4204" t="s">
        <v>808</v>
      </c>
      <c r="E4204" t="s">
        <v>842</v>
      </c>
      <c r="F4204">
        <v>2</v>
      </c>
      <c r="G4204">
        <v>0</v>
      </c>
      <c r="H4204" t="s">
        <v>861</v>
      </c>
      <c r="I4204" t="str">
        <f>VLOOKUP(C4204,Customers!A:C,2,FALSE)&amp;" "&amp;VLOOKUP(C4204,Customers!A:C,3,FALSE)</f>
        <v>Jeremy Robles</v>
      </c>
      <c r="J4204" t="str">
        <f>VLOOKUP(D4204,Products!A:C,2,FALSE)</f>
        <v>Present Television</v>
      </c>
      <c r="K4204" t="str">
        <f>VLOOKUP(D4204,Products!A:C,3,FALSE)</f>
        <v>Electronics</v>
      </c>
      <c r="L4204" t="str">
        <f>VLOOKUP(E4204,Stores!A:B,2,FALSE)</f>
        <v>MegaMart Brianahaven</v>
      </c>
      <c r="M4204">
        <f>VLOOKUP(D4204,Products!A:E,5,FALSE)</f>
        <v>1635.01</v>
      </c>
      <c r="N4204" s="5">
        <f t="shared" si="65"/>
        <v>3270.02</v>
      </c>
    </row>
    <row r="4205" spans="1:14" x14ac:dyDescent="0.3">
      <c r="A4205" t="s">
        <v>5061</v>
      </c>
      <c r="B4205" s="2">
        <v>45495</v>
      </c>
      <c r="C4205" t="s">
        <v>549</v>
      </c>
      <c r="D4205" t="s">
        <v>822</v>
      </c>
      <c r="E4205" t="s">
        <v>839</v>
      </c>
      <c r="F4205">
        <v>3</v>
      </c>
      <c r="G4205">
        <v>0.15</v>
      </c>
      <c r="H4205" t="s">
        <v>861</v>
      </c>
      <c r="I4205" t="str">
        <f>VLOOKUP(C4205,Customers!A:C,2,FALSE)&amp;" "&amp;VLOOKUP(C4205,Customers!A:C,3,FALSE)</f>
        <v>Brittany Green</v>
      </c>
      <c r="J4205" t="str">
        <f>VLOOKUP(D4205,Products!A:C,2,FALSE)</f>
        <v>Nor Bags</v>
      </c>
      <c r="K4205" t="str">
        <f>VLOOKUP(D4205,Products!A:C,3,FALSE)</f>
        <v>Fashion</v>
      </c>
      <c r="L4205" t="str">
        <f>VLOOKUP(E4205,Stores!A:B,2,FALSE)</f>
        <v>MegaMart New Michele</v>
      </c>
      <c r="M4205">
        <f>VLOOKUP(D4205,Products!A:E,5,FALSE)</f>
        <v>1216.3599999999999</v>
      </c>
      <c r="N4205" s="5">
        <f t="shared" si="65"/>
        <v>3101.7179999999998</v>
      </c>
    </row>
    <row r="4206" spans="1:14" x14ac:dyDescent="0.3">
      <c r="A4206" t="s">
        <v>5062</v>
      </c>
      <c r="B4206" s="2">
        <v>45441</v>
      </c>
      <c r="C4206" t="s">
        <v>419</v>
      </c>
      <c r="D4206" t="s">
        <v>810</v>
      </c>
      <c r="E4206" t="s">
        <v>835</v>
      </c>
      <c r="F4206">
        <v>4</v>
      </c>
      <c r="G4206">
        <v>0.05</v>
      </c>
      <c r="H4206" t="s">
        <v>858</v>
      </c>
      <c r="I4206" t="str">
        <f>VLOOKUP(C4206,Customers!A:C,2,FALSE)&amp;" "&amp;VLOOKUP(C4206,Customers!A:C,3,FALSE)</f>
        <v>Jeffrey Smith</v>
      </c>
      <c r="J4206" t="str">
        <f>VLOOKUP(D4206,Products!A:C,2,FALSE)</f>
        <v>Maybe Clothing</v>
      </c>
      <c r="K4206" t="str">
        <f>VLOOKUP(D4206,Products!A:C,3,FALSE)</f>
        <v>Fashion</v>
      </c>
      <c r="L4206" t="str">
        <f>VLOOKUP(E4206,Stores!A:B,2,FALSE)</f>
        <v>MegaMart Peckmouth</v>
      </c>
      <c r="M4206">
        <f>VLOOKUP(D4206,Products!A:E,5,FALSE)</f>
        <v>453.62</v>
      </c>
      <c r="N4206" s="5">
        <f t="shared" si="65"/>
        <v>1723.7559999999999</v>
      </c>
    </row>
    <row r="4207" spans="1:14" x14ac:dyDescent="0.3">
      <c r="A4207" t="s">
        <v>5063</v>
      </c>
      <c r="B4207" s="2">
        <v>45567</v>
      </c>
      <c r="C4207" t="s">
        <v>175</v>
      </c>
      <c r="D4207" t="s">
        <v>722</v>
      </c>
      <c r="E4207" t="s">
        <v>846</v>
      </c>
      <c r="F4207">
        <v>3</v>
      </c>
      <c r="G4207">
        <v>0.05</v>
      </c>
      <c r="H4207" t="s">
        <v>865</v>
      </c>
      <c r="I4207" t="str">
        <f>VLOOKUP(C4207,Customers!A:C,2,FALSE)&amp;" "&amp;VLOOKUP(C4207,Customers!A:C,3,FALSE)</f>
        <v>Kelly Shaw</v>
      </c>
      <c r="J4207" t="str">
        <f>VLOOKUP(D4207,Products!A:C,2,FALSE)</f>
        <v>Four Accessories</v>
      </c>
      <c r="K4207" t="str">
        <f>VLOOKUP(D4207,Products!A:C,3,FALSE)</f>
        <v>Fashion</v>
      </c>
      <c r="L4207" t="str">
        <f>VLOOKUP(E4207,Stores!A:B,2,FALSE)</f>
        <v>MegaMart Johnmouth</v>
      </c>
      <c r="M4207">
        <f>VLOOKUP(D4207,Products!A:E,5,FALSE)</f>
        <v>1853.77</v>
      </c>
      <c r="N4207" s="5">
        <f t="shared" si="65"/>
        <v>5283.2444999999989</v>
      </c>
    </row>
    <row r="4208" spans="1:14" x14ac:dyDescent="0.3">
      <c r="A4208" t="s">
        <v>5064</v>
      </c>
      <c r="B4208" s="2">
        <v>45631</v>
      </c>
      <c r="C4208" t="s">
        <v>415</v>
      </c>
      <c r="D4208" t="s">
        <v>814</v>
      </c>
      <c r="E4208" t="s">
        <v>842</v>
      </c>
      <c r="F4208">
        <v>1</v>
      </c>
      <c r="G4208">
        <v>0.1</v>
      </c>
      <c r="H4208" t="s">
        <v>855</v>
      </c>
      <c r="I4208" t="str">
        <f>VLOOKUP(C4208,Customers!A:C,2,FALSE)&amp;" "&amp;VLOOKUP(C4208,Customers!A:C,3,FALSE)</f>
        <v>Dylan Booker</v>
      </c>
      <c r="J4208" t="str">
        <f>VLOOKUP(D4208,Products!A:C,2,FALSE)</f>
        <v>Least Accessories</v>
      </c>
      <c r="K4208" t="str">
        <f>VLOOKUP(D4208,Products!A:C,3,FALSE)</f>
        <v>Fashion</v>
      </c>
      <c r="L4208" t="str">
        <f>VLOOKUP(E4208,Stores!A:B,2,FALSE)</f>
        <v>MegaMart Brianahaven</v>
      </c>
      <c r="M4208">
        <f>VLOOKUP(D4208,Products!A:E,5,FALSE)</f>
        <v>1286.55</v>
      </c>
      <c r="N4208" s="5">
        <f t="shared" si="65"/>
        <v>1157.895</v>
      </c>
    </row>
    <row r="4209" spans="1:14" x14ac:dyDescent="0.3">
      <c r="A4209" t="s">
        <v>5065</v>
      </c>
      <c r="B4209" s="2">
        <v>45570</v>
      </c>
      <c r="C4209" t="s">
        <v>574</v>
      </c>
      <c r="D4209" t="s">
        <v>782</v>
      </c>
      <c r="E4209" t="s">
        <v>846</v>
      </c>
      <c r="F4209">
        <v>1</v>
      </c>
      <c r="G4209">
        <v>0.1</v>
      </c>
      <c r="H4209" t="s">
        <v>865</v>
      </c>
      <c r="I4209" t="str">
        <f>VLOOKUP(C4209,Customers!A:C,2,FALSE)&amp;" "&amp;VLOOKUP(C4209,Customers!A:C,3,FALSE)</f>
        <v>Meagan Macdonald</v>
      </c>
      <c r="J4209" t="str">
        <f>VLOOKUP(D4209,Products!A:C,2,FALSE)</f>
        <v>Deal Smartphone</v>
      </c>
      <c r="K4209" t="str">
        <f>VLOOKUP(D4209,Products!A:C,3,FALSE)</f>
        <v>Electronics</v>
      </c>
      <c r="L4209" t="str">
        <f>VLOOKUP(E4209,Stores!A:B,2,FALSE)</f>
        <v>MegaMart Johnmouth</v>
      </c>
      <c r="M4209">
        <f>VLOOKUP(D4209,Products!A:E,5,FALSE)</f>
        <v>673.78</v>
      </c>
      <c r="N4209" s="5">
        <f t="shared" si="65"/>
        <v>606.40200000000004</v>
      </c>
    </row>
    <row r="4210" spans="1:14" x14ac:dyDescent="0.3">
      <c r="A4210" t="s">
        <v>5066</v>
      </c>
      <c r="B4210" s="2">
        <v>45700</v>
      </c>
      <c r="C4210" t="s">
        <v>195</v>
      </c>
      <c r="D4210" t="s">
        <v>820</v>
      </c>
      <c r="E4210" t="s">
        <v>835</v>
      </c>
      <c r="F4210">
        <v>1</v>
      </c>
      <c r="G4210">
        <v>0.05</v>
      </c>
      <c r="H4210" t="s">
        <v>865</v>
      </c>
      <c r="I4210" t="str">
        <f>VLOOKUP(C4210,Customers!A:C,2,FALSE)&amp;" "&amp;VLOOKUP(C4210,Customers!A:C,3,FALSE)</f>
        <v>Kelly Mcmillan</v>
      </c>
      <c r="J4210" t="str">
        <f>VLOOKUP(D4210,Products!A:C,2,FALSE)</f>
        <v>Or Smartphone</v>
      </c>
      <c r="K4210" t="str">
        <f>VLOOKUP(D4210,Products!A:C,3,FALSE)</f>
        <v>Electronics</v>
      </c>
      <c r="L4210" t="str">
        <f>VLOOKUP(E4210,Stores!A:B,2,FALSE)</f>
        <v>MegaMart Peckmouth</v>
      </c>
      <c r="M4210">
        <f>VLOOKUP(D4210,Products!A:E,5,FALSE)</f>
        <v>1197.18</v>
      </c>
      <c r="N4210" s="5">
        <f t="shared" si="65"/>
        <v>1137.3209999999999</v>
      </c>
    </row>
    <row r="4211" spans="1:14" x14ac:dyDescent="0.3">
      <c r="A4211" t="s">
        <v>5067</v>
      </c>
      <c r="B4211" s="2">
        <v>45909</v>
      </c>
      <c r="C4211" t="s">
        <v>51</v>
      </c>
      <c r="D4211" t="s">
        <v>798</v>
      </c>
      <c r="E4211" t="s">
        <v>839</v>
      </c>
      <c r="F4211">
        <v>5</v>
      </c>
      <c r="G4211">
        <v>0.05</v>
      </c>
      <c r="H4211" t="s">
        <v>861</v>
      </c>
      <c r="I4211" t="str">
        <f>VLOOKUP(C4211,Customers!A:C,2,FALSE)&amp;" "&amp;VLOOKUP(C4211,Customers!A:C,3,FALSE)</f>
        <v>Dale Perry</v>
      </c>
      <c r="J4211" t="str">
        <f>VLOOKUP(D4211,Products!A:C,2,FALSE)</f>
        <v>New Watches</v>
      </c>
      <c r="K4211" t="str">
        <f>VLOOKUP(D4211,Products!A:C,3,FALSE)</f>
        <v>Fashion</v>
      </c>
      <c r="L4211" t="str">
        <f>VLOOKUP(E4211,Stores!A:B,2,FALSE)</f>
        <v>MegaMart New Michele</v>
      </c>
      <c r="M4211">
        <f>VLOOKUP(D4211,Products!A:E,5,FALSE)</f>
        <v>1501.46</v>
      </c>
      <c r="N4211" s="5">
        <f t="shared" si="65"/>
        <v>7131.9349999999995</v>
      </c>
    </row>
    <row r="4212" spans="1:14" x14ac:dyDescent="0.3">
      <c r="A4212" t="s">
        <v>5068</v>
      </c>
      <c r="B4212" s="2">
        <v>45721</v>
      </c>
      <c r="C4212" t="s">
        <v>71</v>
      </c>
      <c r="D4212" t="s">
        <v>747</v>
      </c>
      <c r="E4212" t="s">
        <v>831</v>
      </c>
      <c r="F4212">
        <v>2</v>
      </c>
      <c r="G4212">
        <v>0.05</v>
      </c>
      <c r="H4212" t="s">
        <v>865</v>
      </c>
      <c r="I4212" t="str">
        <f>VLOOKUP(C4212,Customers!A:C,2,FALSE)&amp;" "&amp;VLOOKUP(C4212,Customers!A:C,3,FALSE)</f>
        <v>Vanessa Anderson</v>
      </c>
      <c r="J4212" t="str">
        <f>VLOOKUP(D4212,Products!A:C,2,FALSE)</f>
        <v>World Watches</v>
      </c>
      <c r="K4212" t="str">
        <f>VLOOKUP(D4212,Products!A:C,3,FALSE)</f>
        <v>Fashion</v>
      </c>
      <c r="L4212" t="str">
        <f>VLOOKUP(E4212,Stores!A:B,2,FALSE)</f>
        <v>MegaMart Jimenezborough</v>
      </c>
      <c r="M4212">
        <f>VLOOKUP(D4212,Products!A:E,5,FALSE)</f>
        <v>1134.8</v>
      </c>
      <c r="N4212" s="5">
        <f t="shared" si="65"/>
        <v>2156.12</v>
      </c>
    </row>
    <row r="4213" spans="1:14" x14ac:dyDescent="0.3">
      <c r="A4213" t="s">
        <v>5069</v>
      </c>
      <c r="B4213" s="2">
        <v>45645</v>
      </c>
      <c r="C4213" t="s">
        <v>175</v>
      </c>
      <c r="D4213" t="s">
        <v>772</v>
      </c>
      <c r="E4213" t="s">
        <v>831</v>
      </c>
      <c r="F4213">
        <v>3</v>
      </c>
      <c r="G4213">
        <v>0.1</v>
      </c>
      <c r="H4213" t="s">
        <v>865</v>
      </c>
      <c r="I4213" t="str">
        <f>VLOOKUP(C4213,Customers!A:C,2,FALSE)&amp;" "&amp;VLOOKUP(C4213,Customers!A:C,3,FALSE)</f>
        <v>Kelly Shaw</v>
      </c>
      <c r="J4213" t="str">
        <f>VLOOKUP(D4213,Products!A:C,2,FALSE)</f>
        <v>And Footwear</v>
      </c>
      <c r="K4213" t="str">
        <f>VLOOKUP(D4213,Products!A:C,3,FALSE)</f>
        <v>Fashion</v>
      </c>
      <c r="L4213" t="str">
        <f>VLOOKUP(E4213,Stores!A:B,2,FALSE)</f>
        <v>MegaMart Jimenezborough</v>
      </c>
      <c r="M4213">
        <f>VLOOKUP(D4213,Products!A:E,5,FALSE)</f>
        <v>1878.47</v>
      </c>
      <c r="N4213" s="5">
        <f t="shared" si="65"/>
        <v>5071.8689999999997</v>
      </c>
    </row>
    <row r="4214" spans="1:14" x14ac:dyDescent="0.3">
      <c r="A4214" t="s">
        <v>5070</v>
      </c>
      <c r="B4214" s="2">
        <v>45363</v>
      </c>
      <c r="C4214" t="s">
        <v>647</v>
      </c>
      <c r="D4214" t="s">
        <v>786</v>
      </c>
      <c r="E4214" t="s">
        <v>839</v>
      </c>
      <c r="F4214">
        <v>5</v>
      </c>
      <c r="G4214">
        <v>0.05</v>
      </c>
      <c r="H4214" t="s">
        <v>858</v>
      </c>
      <c r="I4214" t="str">
        <f>VLOOKUP(C4214,Customers!A:C,2,FALSE)&amp;" "&amp;VLOOKUP(C4214,Customers!A:C,3,FALSE)</f>
        <v>Mary Dawson</v>
      </c>
      <c r="J4214" t="str">
        <f>VLOOKUP(D4214,Products!A:C,2,FALSE)</f>
        <v>National Watches</v>
      </c>
      <c r="K4214" t="str">
        <f>VLOOKUP(D4214,Products!A:C,3,FALSE)</f>
        <v>Fashion</v>
      </c>
      <c r="L4214" t="str">
        <f>VLOOKUP(E4214,Stores!A:B,2,FALSE)</f>
        <v>MegaMart New Michele</v>
      </c>
      <c r="M4214">
        <f>VLOOKUP(D4214,Products!A:E,5,FALSE)</f>
        <v>29.24</v>
      </c>
      <c r="N4214" s="5">
        <f t="shared" si="65"/>
        <v>138.88999999999999</v>
      </c>
    </row>
    <row r="4215" spans="1:14" x14ac:dyDescent="0.3">
      <c r="A4215" t="s">
        <v>5071</v>
      </c>
      <c r="B4215" s="2">
        <v>45776</v>
      </c>
      <c r="C4215" t="s">
        <v>509</v>
      </c>
      <c r="D4215" t="s">
        <v>792</v>
      </c>
      <c r="E4215" t="s">
        <v>842</v>
      </c>
      <c r="F4215">
        <v>5</v>
      </c>
      <c r="G4215">
        <v>0.15</v>
      </c>
      <c r="H4215" t="s">
        <v>858</v>
      </c>
      <c r="I4215" t="str">
        <f>VLOOKUP(C4215,Customers!A:C,2,FALSE)&amp;" "&amp;VLOOKUP(C4215,Customers!A:C,3,FALSE)</f>
        <v>Stacy Williams</v>
      </c>
      <c r="J4215" t="str">
        <f>VLOOKUP(D4215,Products!A:C,2,FALSE)</f>
        <v>Beat Accessories</v>
      </c>
      <c r="K4215" t="str">
        <f>VLOOKUP(D4215,Products!A:C,3,FALSE)</f>
        <v>Fashion</v>
      </c>
      <c r="L4215" t="str">
        <f>VLOOKUP(E4215,Stores!A:B,2,FALSE)</f>
        <v>MegaMart Brianahaven</v>
      </c>
      <c r="M4215">
        <f>VLOOKUP(D4215,Products!A:E,5,FALSE)</f>
        <v>1798.97</v>
      </c>
      <c r="N4215" s="5">
        <f t="shared" si="65"/>
        <v>7645.6225000000004</v>
      </c>
    </row>
    <row r="4216" spans="1:14" x14ac:dyDescent="0.3">
      <c r="A4216" t="s">
        <v>5072</v>
      </c>
      <c r="B4216" s="2">
        <v>45760</v>
      </c>
      <c r="C4216" t="s">
        <v>291</v>
      </c>
      <c r="D4216" t="s">
        <v>818</v>
      </c>
      <c r="E4216" t="s">
        <v>831</v>
      </c>
      <c r="F4216">
        <v>1</v>
      </c>
      <c r="G4216">
        <v>0</v>
      </c>
      <c r="H4216" t="s">
        <v>855</v>
      </c>
      <c r="I4216" t="str">
        <f>VLOOKUP(C4216,Customers!A:C,2,FALSE)&amp;" "&amp;VLOOKUP(C4216,Customers!A:C,3,FALSE)</f>
        <v>Matthew Juarez</v>
      </c>
      <c r="J4216" t="str">
        <f>VLOOKUP(D4216,Products!A:C,2,FALSE)</f>
        <v>Nature Clothing</v>
      </c>
      <c r="K4216" t="str">
        <f>VLOOKUP(D4216,Products!A:C,3,FALSE)</f>
        <v>Fashion</v>
      </c>
      <c r="L4216" t="str">
        <f>VLOOKUP(E4216,Stores!A:B,2,FALSE)</f>
        <v>MegaMart Jimenezborough</v>
      </c>
      <c r="M4216">
        <f>VLOOKUP(D4216,Products!A:E,5,FALSE)</f>
        <v>1165.3699999999999</v>
      </c>
      <c r="N4216" s="5">
        <f t="shared" si="65"/>
        <v>1165.3699999999999</v>
      </c>
    </row>
    <row r="4217" spans="1:14" x14ac:dyDescent="0.3">
      <c r="A4217" t="s">
        <v>5073</v>
      </c>
      <c r="B4217" s="2">
        <v>45418</v>
      </c>
      <c r="C4217" t="s">
        <v>258</v>
      </c>
      <c r="D4217" t="s">
        <v>715</v>
      </c>
      <c r="E4217" t="s">
        <v>846</v>
      </c>
      <c r="F4217">
        <v>5</v>
      </c>
      <c r="G4217">
        <v>0</v>
      </c>
      <c r="H4217" t="s">
        <v>858</v>
      </c>
      <c r="I4217" t="str">
        <f>VLOOKUP(C4217,Customers!A:C,2,FALSE)&amp;" "&amp;VLOOKUP(C4217,Customers!A:C,3,FALSE)</f>
        <v>Alexandra Montoya</v>
      </c>
      <c r="J4217" t="str">
        <f>VLOOKUP(D4217,Products!A:C,2,FALSE)</f>
        <v>Audience Television</v>
      </c>
      <c r="K4217" t="str">
        <f>VLOOKUP(D4217,Products!A:C,3,FALSE)</f>
        <v>Electronics</v>
      </c>
      <c r="L4217" t="str">
        <f>VLOOKUP(E4217,Stores!A:B,2,FALSE)</f>
        <v>MegaMart Johnmouth</v>
      </c>
      <c r="M4217">
        <f>VLOOKUP(D4217,Products!A:E,5,FALSE)</f>
        <v>818.76</v>
      </c>
      <c r="N4217" s="5">
        <f t="shared" si="65"/>
        <v>4093.8</v>
      </c>
    </row>
    <row r="4218" spans="1:14" x14ac:dyDescent="0.3">
      <c r="A4218" t="s">
        <v>5074</v>
      </c>
      <c r="B4218" s="2">
        <v>45630</v>
      </c>
      <c r="C4218" t="s">
        <v>302</v>
      </c>
      <c r="D4218" t="s">
        <v>715</v>
      </c>
      <c r="E4218" t="s">
        <v>839</v>
      </c>
      <c r="F4218">
        <v>2</v>
      </c>
      <c r="G4218">
        <v>0</v>
      </c>
      <c r="H4218" t="s">
        <v>865</v>
      </c>
      <c r="I4218" t="str">
        <f>VLOOKUP(C4218,Customers!A:C,2,FALSE)&amp;" "&amp;VLOOKUP(C4218,Customers!A:C,3,FALSE)</f>
        <v>Grace Garcia</v>
      </c>
      <c r="J4218" t="str">
        <f>VLOOKUP(D4218,Products!A:C,2,FALSE)</f>
        <v>Audience Television</v>
      </c>
      <c r="K4218" t="str">
        <f>VLOOKUP(D4218,Products!A:C,3,FALSE)</f>
        <v>Electronics</v>
      </c>
      <c r="L4218" t="str">
        <f>VLOOKUP(E4218,Stores!A:B,2,FALSE)</f>
        <v>MegaMart New Michele</v>
      </c>
      <c r="M4218">
        <f>VLOOKUP(D4218,Products!A:E,5,FALSE)</f>
        <v>818.76</v>
      </c>
      <c r="N4218" s="5">
        <f t="shared" si="65"/>
        <v>1637.52</v>
      </c>
    </row>
    <row r="4219" spans="1:14" x14ac:dyDescent="0.3">
      <c r="A4219" t="s">
        <v>5075</v>
      </c>
      <c r="B4219" s="2">
        <v>45259</v>
      </c>
      <c r="C4219" t="s">
        <v>375</v>
      </c>
      <c r="D4219" t="s">
        <v>826</v>
      </c>
      <c r="E4219" t="s">
        <v>835</v>
      </c>
      <c r="F4219">
        <v>5</v>
      </c>
      <c r="G4219">
        <v>0.15</v>
      </c>
      <c r="H4219" t="s">
        <v>858</v>
      </c>
      <c r="I4219" t="str">
        <f>VLOOKUP(C4219,Customers!A:C,2,FALSE)&amp;" "&amp;VLOOKUP(C4219,Customers!A:C,3,FALSE)</f>
        <v>Sean Hart</v>
      </c>
      <c r="J4219" t="str">
        <f>VLOOKUP(D4219,Products!A:C,2,FALSE)</f>
        <v>Maybe Footwear</v>
      </c>
      <c r="K4219" t="str">
        <f>VLOOKUP(D4219,Products!A:C,3,FALSE)</f>
        <v>Fashion</v>
      </c>
      <c r="L4219" t="str">
        <f>VLOOKUP(E4219,Stores!A:B,2,FALSE)</f>
        <v>MegaMart Peckmouth</v>
      </c>
      <c r="M4219">
        <f>VLOOKUP(D4219,Products!A:E,5,FALSE)</f>
        <v>1044.6400000000001</v>
      </c>
      <c r="N4219" s="5">
        <f t="shared" si="65"/>
        <v>4439.72</v>
      </c>
    </row>
    <row r="4220" spans="1:14" x14ac:dyDescent="0.3">
      <c r="A4220" t="s">
        <v>5076</v>
      </c>
      <c r="B4220" s="2">
        <v>45615</v>
      </c>
      <c r="C4220" t="s">
        <v>585</v>
      </c>
      <c r="D4220" t="s">
        <v>774</v>
      </c>
      <c r="E4220" t="s">
        <v>846</v>
      </c>
      <c r="F4220">
        <v>4</v>
      </c>
      <c r="G4220">
        <v>0.05</v>
      </c>
      <c r="H4220" t="s">
        <v>855</v>
      </c>
      <c r="I4220" t="str">
        <f>VLOOKUP(C4220,Customers!A:C,2,FALSE)&amp;" "&amp;VLOOKUP(C4220,Customers!A:C,3,FALSE)</f>
        <v>Linda Vasquez</v>
      </c>
      <c r="J4220" t="str">
        <f>VLOOKUP(D4220,Products!A:C,2,FALSE)</f>
        <v>Him Smartphone</v>
      </c>
      <c r="K4220" t="str">
        <f>VLOOKUP(D4220,Products!A:C,3,FALSE)</f>
        <v>Electronics</v>
      </c>
      <c r="L4220" t="str">
        <f>VLOOKUP(E4220,Stores!A:B,2,FALSE)</f>
        <v>MegaMart Johnmouth</v>
      </c>
      <c r="M4220">
        <f>VLOOKUP(D4220,Products!A:E,5,FALSE)</f>
        <v>1487.41</v>
      </c>
      <c r="N4220" s="5">
        <f t="shared" si="65"/>
        <v>5652.1580000000004</v>
      </c>
    </row>
    <row r="4221" spans="1:14" x14ac:dyDescent="0.3">
      <c r="A4221" t="s">
        <v>5077</v>
      </c>
      <c r="B4221" s="2">
        <v>45263</v>
      </c>
      <c r="C4221" t="s">
        <v>491</v>
      </c>
      <c r="D4221" t="s">
        <v>774</v>
      </c>
      <c r="E4221" t="s">
        <v>839</v>
      </c>
      <c r="F4221">
        <v>4</v>
      </c>
      <c r="G4221">
        <v>0.15</v>
      </c>
      <c r="H4221" t="s">
        <v>855</v>
      </c>
      <c r="I4221" t="str">
        <f>VLOOKUP(C4221,Customers!A:C,2,FALSE)&amp;" "&amp;VLOOKUP(C4221,Customers!A:C,3,FALSE)</f>
        <v>Emily Hart</v>
      </c>
      <c r="J4221" t="str">
        <f>VLOOKUP(D4221,Products!A:C,2,FALSE)</f>
        <v>Him Smartphone</v>
      </c>
      <c r="K4221" t="str">
        <f>VLOOKUP(D4221,Products!A:C,3,FALSE)</f>
        <v>Electronics</v>
      </c>
      <c r="L4221" t="str">
        <f>VLOOKUP(E4221,Stores!A:B,2,FALSE)</f>
        <v>MegaMart New Michele</v>
      </c>
      <c r="M4221">
        <f>VLOOKUP(D4221,Products!A:E,5,FALSE)</f>
        <v>1487.41</v>
      </c>
      <c r="N4221" s="5">
        <f t="shared" si="65"/>
        <v>5057.1940000000004</v>
      </c>
    </row>
    <row r="4222" spans="1:14" x14ac:dyDescent="0.3">
      <c r="A4222" t="s">
        <v>5078</v>
      </c>
      <c r="B4222" s="2">
        <v>45401</v>
      </c>
      <c r="C4222" t="s">
        <v>386</v>
      </c>
      <c r="D4222" t="s">
        <v>814</v>
      </c>
      <c r="E4222" t="s">
        <v>839</v>
      </c>
      <c r="F4222">
        <v>1</v>
      </c>
      <c r="G4222">
        <v>0.15</v>
      </c>
      <c r="H4222" t="s">
        <v>861</v>
      </c>
      <c r="I4222" t="str">
        <f>VLOOKUP(C4222,Customers!A:C,2,FALSE)&amp;" "&amp;VLOOKUP(C4222,Customers!A:C,3,FALSE)</f>
        <v>David Burns</v>
      </c>
      <c r="J4222" t="str">
        <f>VLOOKUP(D4222,Products!A:C,2,FALSE)</f>
        <v>Least Accessories</v>
      </c>
      <c r="K4222" t="str">
        <f>VLOOKUP(D4222,Products!A:C,3,FALSE)</f>
        <v>Fashion</v>
      </c>
      <c r="L4222" t="str">
        <f>VLOOKUP(E4222,Stores!A:B,2,FALSE)</f>
        <v>MegaMart New Michele</v>
      </c>
      <c r="M4222">
        <f>VLOOKUP(D4222,Products!A:E,5,FALSE)</f>
        <v>1286.55</v>
      </c>
      <c r="N4222" s="5">
        <f t="shared" si="65"/>
        <v>1093.5674999999999</v>
      </c>
    </row>
    <row r="4223" spans="1:14" x14ac:dyDescent="0.3">
      <c r="A4223" t="s">
        <v>5079</v>
      </c>
      <c r="B4223" s="2">
        <v>45565</v>
      </c>
      <c r="C4223" t="s">
        <v>217</v>
      </c>
      <c r="D4223" t="s">
        <v>759</v>
      </c>
      <c r="E4223" t="s">
        <v>839</v>
      </c>
      <c r="F4223">
        <v>2</v>
      </c>
      <c r="G4223">
        <v>0</v>
      </c>
      <c r="H4223" t="s">
        <v>861</v>
      </c>
      <c r="I4223" t="str">
        <f>VLOOKUP(C4223,Customers!A:C,2,FALSE)&amp;" "&amp;VLOOKUP(C4223,Customers!A:C,3,FALSE)</f>
        <v>Carl Wyatt</v>
      </c>
      <c r="J4223" t="str">
        <f>VLOOKUP(D4223,Products!A:C,2,FALSE)</f>
        <v>Democratic Smartphone</v>
      </c>
      <c r="K4223" t="str">
        <f>VLOOKUP(D4223,Products!A:C,3,FALSE)</f>
        <v>Electronics</v>
      </c>
      <c r="L4223" t="str">
        <f>VLOOKUP(E4223,Stores!A:B,2,FALSE)</f>
        <v>MegaMart New Michele</v>
      </c>
      <c r="M4223">
        <f>VLOOKUP(D4223,Products!A:E,5,FALSE)</f>
        <v>1079.8900000000001</v>
      </c>
      <c r="N4223" s="5">
        <f t="shared" si="65"/>
        <v>2159.7800000000002</v>
      </c>
    </row>
    <row r="4224" spans="1:14" x14ac:dyDescent="0.3">
      <c r="A4224" t="s">
        <v>5080</v>
      </c>
      <c r="B4224" s="2">
        <v>45283</v>
      </c>
      <c r="C4224" t="s">
        <v>650</v>
      </c>
      <c r="D4224" t="s">
        <v>780</v>
      </c>
      <c r="E4224" t="s">
        <v>842</v>
      </c>
      <c r="F4224">
        <v>2</v>
      </c>
      <c r="G4224">
        <v>0.05</v>
      </c>
      <c r="H4224" t="s">
        <v>865</v>
      </c>
      <c r="I4224" t="str">
        <f>VLOOKUP(C4224,Customers!A:C,2,FALSE)&amp;" "&amp;VLOOKUP(C4224,Customers!A:C,3,FALSE)</f>
        <v>Daniel Mcintyre</v>
      </c>
      <c r="J4224" t="str">
        <f>VLOOKUP(D4224,Products!A:C,2,FALSE)</f>
        <v>Hospital Smartphone</v>
      </c>
      <c r="K4224" t="str">
        <f>VLOOKUP(D4224,Products!A:C,3,FALSE)</f>
        <v>Electronics</v>
      </c>
      <c r="L4224" t="str">
        <f>VLOOKUP(E4224,Stores!A:B,2,FALSE)</f>
        <v>MegaMart Brianahaven</v>
      </c>
      <c r="M4224">
        <f>VLOOKUP(D4224,Products!A:E,5,FALSE)</f>
        <v>1272.23</v>
      </c>
      <c r="N4224" s="5">
        <f t="shared" si="65"/>
        <v>2417.2370000000001</v>
      </c>
    </row>
    <row r="4225" spans="1:14" x14ac:dyDescent="0.3">
      <c r="A4225" t="s">
        <v>5081</v>
      </c>
      <c r="B4225" s="2">
        <v>45681</v>
      </c>
      <c r="C4225" t="s">
        <v>195</v>
      </c>
      <c r="D4225" t="s">
        <v>757</v>
      </c>
      <c r="E4225" t="s">
        <v>835</v>
      </c>
      <c r="F4225">
        <v>1</v>
      </c>
      <c r="G4225">
        <v>0.1</v>
      </c>
      <c r="H4225" t="s">
        <v>865</v>
      </c>
      <c r="I4225" t="str">
        <f>VLOOKUP(C4225,Customers!A:C,2,FALSE)&amp;" "&amp;VLOOKUP(C4225,Customers!A:C,3,FALSE)</f>
        <v>Kelly Mcmillan</v>
      </c>
      <c r="J4225" t="str">
        <f>VLOOKUP(D4225,Products!A:C,2,FALSE)</f>
        <v>Find Headphones</v>
      </c>
      <c r="K4225" t="str">
        <f>VLOOKUP(D4225,Products!A:C,3,FALSE)</f>
        <v>Electronics</v>
      </c>
      <c r="L4225" t="str">
        <f>VLOOKUP(E4225,Stores!A:B,2,FALSE)</f>
        <v>MegaMart Peckmouth</v>
      </c>
      <c r="M4225">
        <f>VLOOKUP(D4225,Products!A:E,5,FALSE)</f>
        <v>1246.1099999999999</v>
      </c>
      <c r="N4225" s="5">
        <f t="shared" si="65"/>
        <v>1121.499</v>
      </c>
    </row>
    <row r="4226" spans="1:14" x14ac:dyDescent="0.3">
      <c r="A4226" t="s">
        <v>5082</v>
      </c>
      <c r="B4226" s="2">
        <v>45381</v>
      </c>
      <c r="C4226" t="s">
        <v>51</v>
      </c>
      <c r="D4226" t="s">
        <v>718</v>
      </c>
      <c r="E4226" t="s">
        <v>839</v>
      </c>
      <c r="F4226">
        <v>2</v>
      </c>
      <c r="G4226">
        <v>0.1</v>
      </c>
      <c r="H4226" t="s">
        <v>861</v>
      </c>
      <c r="I4226" t="str">
        <f>VLOOKUP(C4226,Customers!A:C,2,FALSE)&amp;" "&amp;VLOOKUP(C4226,Customers!A:C,3,FALSE)</f>
        <v>Dale Perry</v>
      </c>
      <c r="J4226" t="str">
        <f>VLOOKUP(D4226,Products!A:C,2,FALSE)</f>
        <v>Here Footwear</v>
      </c>
      <c r="K4226" t="str">
        <f>VLOOKUP(D4226,Products!A:C,3,FALSE)</f>
        <v>Fashion</v>
      </c>
      <c r="L4226" t="str">
        <f>VLOOKUP(E4226,Stores!A:B,2,FALSE)</f>
        <v>MegaMart New Michele</v>
      </c>
      <c r="M4226">
        <f>VLOOKUP(D4226,Products!A:E,5,FALSE)</f>
        <v>337.63</v>
      </c>
      <c r="N4226" s="5">
        <f t="shared" si="65"/>
        <v>607.73400000000004</v>
      </c>
    </row>
    <row r="4227" spans="1:14" x14ac:dyDescent="0.3">
      <c r="A4227" t="s">
        <v>5083</v>
      </c>
      <c r="B4227" s="2">
        <v>45656</v>
      </c>
      <c r="C4227" t="s">
        <v>115</v>
      </c>
      <c r="D4227" t="s">
        <v>808</v>
      </c>
      <c r="E4227" t="s">
        <v>839</v>
      </c>
      <c r="F4227">
        <v>4</v>
      </c>
      <c r="G4227">
        <v>0</v>
      </c>
      <c r="H4227" t="s">
        <v>865</v>
      </c>
      <c r="I4227" t="str">
        <f>VLOOKUP(C4227,Customers!A:C,2,FALSE)&amp;" "&amp;VLOOKUP(C4227,Customers!A:C,3,FALSE)</f>
        <v>Tyler Levine</v>
      </c>
      <c r="J4227" t="str">
        <f>VLOOKUP(D4227,Products!A:C,2,FALSE)</f>
        <v>Present Television</v>
      </c>
      <c r="K4227" t="str">
        <f>VLOOKUP(D4227,Products!A:C,3,FALSE)</f>
        <v>Electronics</v>
      </c>
      <c r="L4227" t="str">
        <f>VLOOKUP(E4227,Stores!A:B,2,FALSE)</f>
        <v>MegaMart New Michele</v>
      </c>
      <c r="M4227">
        <f>VLOOKUP(D4227,Products!A:E,5,FALSE)</f>
        <v>1635.01</v>
      </c>
      <c r="N4227" s="5">
        <f t="shared" ref="N4227:N4290" si="66">F4227*M4227*(1-G4227)</f>
        <v>6540.04</v>
      </c>
    </row>
    <row r="4228" spans="1:14" x14ac:dyDescent="0.3">
      <c r="A4228" t="s">
        <v>5084</v>
      </c>
      <c r="B4228" s="2">
        <v>45609</v>
      </c>
      <c r="C4228" t="s">
        <v>449</v>
      </c>
      <c r="D4228" t="s">
        <v>715</v>
      </c>
      <c r="E4228" t="s">
        <v>846</v>
      </c>
      <c r="F4228">
        <v>4</v>
      </c>
      <c r="G4228">
        <v>0.05</v>
      </c>
      <c r="H4228" t="s">
        <v>858</v>
      </c>
      <c r="I4228" t="str">
        <f>VLOOKUP(C4228,Customers!A:C,2,FALSE)&amp;" "&amp;VLOOKUP(C4228,Customers!A:C,3,FALSE)</f>
        <v>John Bell</v>
      </c>
      <c r="J4228" t="str">
        <f>VLOOKUP(D4228,Products!A:C,2,FALSE)</f>
        <v>Audience Television</v>
      </c>
      <c r="K4228" t="str">
        <f>VLOOKUP(D4228,Products!A:C,3,FALSE)</f>
        <v>Electronics</v>
      </c>
      <c r="L4228" t="str">
        <f>VLOOKUP(E4228,Stores!A:B,2,FALSE)</f>
        <v>MegaMart Johnmouth</v>
      </c>
      <c r="M4228">
        <f>VLOOKUP(D4228,Products!A:E,5,FALSE)</f>
        <v>818.76</v>
      </c>
      <c r="N4228" s="5">
        <f t="shared" si="66"/>
        <v>3111.288</v>
      </c>
    </row>
    <row r="4229" spans="1:14" x14ac:dyDescent="0.3">
      <c r="A4229" t="s">
        <v>5085</v>
      </c>
      <c r="B4229" s="2">
        <v>45470</v>
      </c>
      <c r="C4229" t="s">
        <v>545</v>
      </c>
      <c r="D4229" t="s">
        <v>822</v>
      </c>
      <c r="E4229" t="s">
        <v>846</v>
      </c>
      <c r="F4229">
        <v>5</v>
      </c>
      <c r="G4229">
        <v>0.1</v>
      </c>
      <c r="H4229" t="s">
        <v>865</v>
      </c>
      <c r="I4229" t="str">
        <f>VLOOKUP(C4229,Customers!A:C,2,FALSE)&amp;" "&amp;VLOOKUP(C4229,Customers!A:C,3,FALSE)</f>
        <v>Dawn Fletcher</v>
      </c>
      <c r="J4229" t="str">
        <f>VLOOKUP(D4229,Products!A:C,2,FALSE)</f>
        <v>Nor Bags</v>
      </c>
      <c r="K4229" t="str">
        <f>VLOOKUP(D4229,Products!A:C,3,FALSE)</f>
        <v>Fashion</v>
      </c>
      <c r="L4229" t="str">
        <f>VLOOKUP(E4229,Stores!A:B,2,FALSE)</f>
        <v>MegaMart Johnmouth</v>
      </c>
      <c r="M4229">
        <f>VLOOKUP(D4229,Products!A:E,5,FALSE)</f>
        <v>1216.3599999999999</v>
      </c>
      <c r="N4229" s="5">
        <f t="shared" si="66"/>
        <v>5473.62</v>
      </c>
    </row>
    <row r="4230" spans="1:14" x14ac:dyDescent="0.3">
      <c r="A4230" t="s">
        <v>5086</v>
      </c>
      <c r="B4230" s="2">
        <v>45264</v>
      </c>
      <c r="C4230" t="s">
        <v>596</v>
      </c>
      <c r="D4230" t="s">
        <v>761</v>
      </c>
      <c r="E4230" t="s">
        <v>835</v>
      </c>
      <c r="F4230">
        <v>5</v>
      </c>
      <c r="G4230">
        <v>0.05</v>
      </c>
      <c r="H4230" t="s">
        <v>865</v>
      </c>
      <c r="I4230" t="str">
        <f>VLOOKUP(C4230,Customers!A:C,2,FALSE)&amp;" "&amp;VLOOKUP(C4230,Customers!A:C,3,FALSE)</f>
        <v>Kimberly Lin</v>
      </c>
      <c r="J4230" t="str">
        <f>VLOOKUP(D4230,Products!A:C,2,FALSE)</f>
        <v>Traditional Laptop</v>
      </c>
      <c r="K4230" t="str">
        <f>VLOOKUP(D4230,Products!A:C,3,FALSE)</f>
        <v>Electronics</v>
      </c>
      <c r="L4230" t="str">
        <f>VLOOKUP(E4230,Stores!A:B,2,FALSE)</f>
        <v>MegaMart Peckmouth</v>
      </c>
      <c r="M4230">
        <f>VLOOKUP(D4230,Products!A:E,5,FALSE)</f>
        <v>1762.92</v>
      </c>
      <c r="N4230" s="5">
        <f t="shared" si="66"/>
        <v>8373.8700000000008</v>
      </c>
    </row>
    <row r="4231" spans="1:14" x14ac:dyDescent="0.3">
      <c r="A4231" t="s">
        <v>5087</v>
      </c>
      <c r="B4231" s="2">
        <v>45212</v>
      </c>
      <c r="C4231" t="s">
        <v>666</v>
      </c>
      <c r="D4231" t="s">
        <v>808</v>
      </c>
      <c r="E4231" t="s">
        <v>846</v>
      </c>
      <c r="F4231">
        <v>1</v>
      </c>
      <c r="G4231">
        <v>0</v>
      </c>
      <c r="H4231" t="s">
        <v>861</v>
      </c>
      <c r="I4231" t="str">
        <f>VLOOKUP(C4231,Customers!A:C,2,FALSE)&amp;" "&amp;VLOOKUP(C4231,Customers!A:C,3,FALSE)</f>
        <v>Steve Flynn</v>
      </c>
      <c r="J4231" t="str">
        <f>VLOOKUP(D4231,Products!A:C,2,FALSE)</f>
        <v>Present Television</v>
      </c>
      <c r="K4231" t="str">
        <f>VLOOKUP(D4231,Products!A:C,3,FALSE)</f>
        <v>Electronics</v>
      </c>
      <c r="L4231" t="str">
        <f>VLOOKUP(E4231,Stores!A:B,2,FALSE)</f>
        <v>MegaMart Johnmouth</v>
      </c>
      <c r="M4231">
        <f>VLOOKUP(D4231,Products!A:E,5,FALSE)</f>
        <v>1635.01</v>
      </c>
      <c r="N4231" s="5">
        <f t="shared" si="66"/>
        <v>1635.01</v>
      </c>
    </row>
    <row r="4232" spans="1:14" x14ac:dyDescent="0.3">
      <c r="A4232" t="s">
        <v>5088</v>
      </c>
      <c r="B4232" s="2">
        <v>45618</v>
      </c>
      <c r="C4232" t="s">
        <v>415</v>
      </c>
      <c r="D4232" t="s">
        <v>736</v>
      </c>
      <c r="E4232" t="s">
        <v>842</v>
      </c>
      <c r="F4232">
        <v>4</v>
      </c>
      <c r="G4232">
        <v>0</v>
      </c>
      <c r="H4232" t="s">
        <v>861</v>
      </c>
      <c r="I4232" t="str">
        <f>VLOOKUP(C4232,Customers!A:C,2,FALSE)&amp;" "&amp;VLOOKUP(C4232,Customers!A:C,3,FALSE)</f>
        <v>Dylan Booker</v>
      </c>
      <c r="J4232" t="str">
        <f>VLOOKUP(D4232,Products!A:C,2,FALSE)</f>
        <v>Us Snacks</v>
      </c>
      <c r="K4232" t="str">
        <f>VLOOKUP(D4232,Products!A:C,3,FALSE)</f>
        <v>Groceries</v>
      </c>
      <c r="L4232" t="str">
        <f>VLOOKUP(E4232,Stores!A:B,2,FALSE)</f>
        <v>MegaMart Brianahaven</v>
      </c>
      <c r="M4232">
        <f>VLOOKUP(D4232,Products!A:E,5,FALSE)</f>
        <v>123.19</v>
      </c>
      <c r="N4232" s="5">
        <f t="shared" si="66"/>
        <v>492.76</v>
      </c>
    </row>
    <row r="4233" spans="1:14" x14ac:dyDescent="0.3">
      <c r="A4233" t="s">
        <v>5089</v>
      </c>
      <c r="B4233" s="2">
        <v>45731</v>
      </c>
      <c r="C4233" t="s">
        <v>640</v>
      </c>
      <c r="D4233" t="s">
        <v>788</v>
      </c>
      <c r="E4233" t="s">
        <v>831</v>
      </c>
      <c r="F4233">
        <v>1</v>
      </c>
      <c r="G4233">
        <v>0</v>
      </c>
      <c r="H4233" t="s">
        <v>855</v>
      </c>
      <c r="I4233" t="str">
        <f>VLOOKUP(C4233,Customers!A:C,2,FALSE)&amp;" "&amp;VLOOKUP(C4233,Customers!A:C,3,FALSE)</f>
        <v>Brittany Oneal</v>
      </c>
      <c r="J4233" t="str">
        <f>VLOOKUP(D4233,Products!A:C,2,FALSE)</f>
        <v>Foot Snacks</v>
      </c>
      <c r="K4233" t="str">
        <f>VLOOKUP(D4233,Products!A:C,3,FALSE)</f>
        <v>Groceries</v>
      </c>
      <c r="L4233" t="str">
        <f>VLOOKUP(E4233,Stores!A:B,2,FALSE)</f>
        <v>MegaMart Jimenezborough</v>
      </c>
      <c r="M4233">
        <f>VLOOKUP(D4233,Products!A:E,5,FALSE)</f>
        <v>1095.72</v>
      </c>
      <c r="N4233" s="5">
        <f t="shared" si="66"/>
        <v>1095.72</v>
      </c>
    </row>
    <row r="4234" spans="1:14" x14ac:dyDescent="0.3">
      <c r="A4234" t="s">
        <v>5090</v>
      </c>
      <c r="B4234" s="2">
        <v>45702</v>
      </c>
      <c r="C4234" t="s">
        <v>198</v>
      </c>
      <c r="D4234" t="s">
        <v>792</v>
      </c>
      <c r="E4234" t="s">
        <v>835</v>
      </c>
      <c r="F4234">
        <v>5</v>
      </c>
      <c r="G4234">
        <v>0.1</v>
      </c>
      <c r="H4234" t="s">
        <v>861</v>
      </c>
      <c r="I4234" t="str">
        <f>VLOOKUP(C4234,Customers!A:C,2,FALSE)&amp;" "&amp;VLOOKUP(C4234,Customers!A:C,3,FALSE)</f>
        <v>Madison Sellers</v>
      </c>
      <c r="J4234" t="str">
        <f>VLOOKUP(D4234,Products!A:C,2,FALSE)</f>
        <v>Beat Accessories</v>
      </c>
      <c r="K4234" t="str">
        <f>VLOOKUP(D4234,Products!A:C,3,FALSE)</f>
        <v>Fashion</v>
      </c>
      <c r="L4234" t="str">
        <f>VLOOKUP(E4234,Stores!A:B,2,FALSE)</f>
        <v>MegaMart Peckmouth</v>
      </c>
      <c r="M4234">
        <f>VLOOKUP(D4234,Products!A:E,5,FALSE)</f>
        <v>1798.97</v>
      </c>
      <c r="N4234" s="5">
        <f t="shared" si="66"/>
        <v>8095.3650000000007</v>
      </c>
    </row>
    <row r="4235" spans="1:14" x14ac:dyDescent="0.3">
      <c r="A4235" t="s">
        <v>5091</v>
      </c>
      <c r="B4235" s="2">
        <v>45420</v>
      </c>
      <c r="C4235" t="s">
        <v>509</v>
      </c>
      <c r="D4235" t="s">
        <v>814</v>
      </c>
      <c r="E4235" t="s">
        <v>842</v>
      </c>
      <c r="F4235">
        <v>2</v>
      </c>
      <c r="G4235">
        <v>0</v>
      </c>
      <c r="H4235" t="s">
        <v>865</v>
      </c>
      <c r="I4235" t="str">
        <f>VLOOKUP(C4235,Customers!A:C,2,FALSE)&amp;" "&amp;VLOOKUP(C4235,Customers!A:C,3,FALSE)</f>
        <v>Stacy Williams</v>
      </c>
      <c r="J4235" t="str">
        <f>VLOOKUP(D4235,Products!A:C,2,FALSE)</f>
        <v>Least Accessories</v>
      </c>
      <c r="K4235" t="str">
        <f>VLOOKUP(D4235,Products!A:C,3,FALSE)</f>
        <v>Fashion</v>
      </c>
      <c r="L4235" t="str">
        <f>VLOOKUP(E4235,Stores!A:B,2,FALSE)</f>
        <v>MegaMart Brianahaven</v>
      </c>
      <c r="M4235">
        <f>VLOOKUP(D4235,Products!A:E,5,FALSE)</f>
        <v>1286.55</v>
      </c>
      <c r="N4235" s="5">
        <f t="shared" si="66"/>
        <v>2573.1</v>
      </c>
    </row>
    <row r="4236" spans="1:14" x14ac:dyDescent="0.3">
      <c r="A4236" t="s">
        <v>5092</v>
      </c>
      <c r="B4236" s="2">
        <v>45847</v>
      </c>
      <c r="C4236" t="s">
        <v>313</v>
      </c>
      <c r="D4236" t="s">
        <v>782</v>
      </c>
      <c r="E4236" t="s">
        <v>831</v>
      </c>
      <c r="F4236">
        <v>3</v>
      </c>
      <c r="G4236">
        <v>0.05</v>
      </c>
      <c r="H4236" t="s">
        <v>855</v>
      </c>
      <c r="I4236" t="str">
        <f>VLOOKUP(C4236,Customers!A:C,2,FALSE)&amp;" "&amp;VLOOKUP(C4236,Customers!A:C,3,FALSE)</f>
        <v>Jeremy Robles</v>
      </c>
      <c r="J4236" t="str">
        <f>VLOOKUP(D4236,Products!A:C,2,FALSE)</f>
        <v>Deal Smartphone</v>
      </c>
      <c r="K4236" t="str">
        <f>VLOOKUP(D4236,Products!A:C,3,FALSE)</f>
        <v>Electronics</v>
      </c>
      <c r="L4236" t="str">
        <f>VLOOKUP(E4236,Stores!A:B,2,FALSE)</f>
        <v>MegaMart Jimenezborough</v>
      </c>
      <c r="M4236">
        <f>VLOOKUP(D4236,Products!A:E,5,FALSE)</f>
        <v>673.78</v>
      </c>
      <c r="N4236" s="5">
        <f t="shared" si="66"/>
        <v>1920.2729999999999</v>
      </c>
    </row>
    <row r="4237" spans="1:14" x14ac:dyDescent="0.3">
      <c r="A4237" t="s">
        <v>5093</v>
      </c>
      <c r="B4237" s="2">
        <v>45684</v>
      </c>
      <c r="C4237" t="s">
        <v>241</v>
      </c>
      <c r="D4237" t="s">
        <v>769</v>
      </c>
      <c r="E4237" t="s">
        <v>846</v>
      </c>
      <c r="F4237">
        <v>2</v>
      </c>
      <c r="G4237">
        <v>0</v>
      </c>
      <c r="H4237" t="s">
        <v>855</v>
      </c>
      <c r="I4237" t="str">
        <f>VLOOKUP(C4237,Customers!A:C,2,FALSE)&amp;" "&amp;VLOOKUP(C4237,Customers!A:C,3,FALSE)</f>
        <v>Michael Johnson</v>
      </c>
      <c r="J4237" t="str">
        <f>VLOOKUP(D4237,Products!A:C,2,FALSE)</f>
        <v>How Vegetables</v>
      </c>
      <c r="K4237" t="str">
        <f>VLOOKUP(D4237,Products!A:C,3,FALSE)</f>
        <v>Groceries</v>
      </c>
      <c r="L4237" t="str">
        <f>VLOOKUP(E4237,Stores!A:B,2,FALSE)</f>
        <v>MegaMart Johnmouth</v>
      </c>
      <c r="M4237">
        <f>VLOOKUP(D4237,Products!A:E,5,FALSE)</f>
        <v>25.57</v>
      </c>
      <c r="N4237" s="5">
        <f t="shared" si="66"/>
        <v>51.14</v>
      </c>
    </row>
    <row r="4238" spans="1:14" x14ac:dyDescent="0.3">
      <c r="A4238" t="s">
        <v>5094</v>
      </c>
      <c r="B4238" s="2">
        <v>45213</v>
      </c>
      <c r="C4238" t="s">
        <v>516</v>
      </c>
      <c r="D4238" t="s">
        <v>750</v>
      </c>
      <c r="E4238" t="s">
        <v>835</v>
      </c>
      <c r="F4238">
        <v>4</v>
      </c>
      <c r="G4238">
        <v>0.05</v>
      </c>
      <c r="H4238" t="s">
        <v>865</v>
      </c>
      <c r="I4238" t="str">
        <f>VLOOKUP(C4238,Customers!A:C,2,FALSE)&amp;" "&amp;VLOOKUP(C4238,Customers!A:C,3,FALSE)</f>
        <v>Suzanne Fox</v>
      </c>
      <c r="J4238" t="str">
        <f>VLOOKUP(D4238,Products!A:C,2,FALSE)</f>
        <v>Add Clothing</v>
      </c>
      <c r="K4238" t="str">
        <f>VLOOKUP(D4238,Products!A:C,3,FALSE)</f>
        <v>Fashion</v>
      </c>
      <c r="L4238" t="str">
        <f>VLOOKUP(E4238,Stores!A:B,2,FALSE)</f>
        <v>MegaMart Peckmouth</v>
      </c>
      <c r="M4238">
        <f>VLOOKUP(D4238,Products!A:E,5,FALSE)</f>
        <v>1342.75</v>
      </c>
      <c r="N4238" s="5">
        <f t="shared" si="66"/>
        <v>5102.45</v>
      </c>
    </row>
    <row r="4239" spans="1:14" x14ac:dyDescent="0.3">
      <c r="A4239" t="s">
        <v>5095</v>
      </c>
      <c r="B4239" s="2">
        <v>45303</v>
      </c>
      <c r="C4239" t="s">
        <v>67</v>
      </c>
      <c r="D4239" t="s">
        <v>718</v>
      </c>
      <c r="E4239" t="s">
        <v>842</v>
      </c>
      <c r="F4239">
        <v>4</v>
      </c>
      <c r="G4239">
        <v>0.15</v>
      </c>
      <c r="H4239" t="s">
        <v>861</v>
      </c>
      <c r="I4239" t="str">
        <f>VLOOKUP(C4239,Customers!A:C,2,FALSE)&amp;" "&amp;VLOOKUP(C4239,Customers!A:C,3,FALSE)</f>
        <v>Miguel Johnson</v>
      </c>
      <c r="J4239" t="str">
        <f>VLOOKUP(D4239,Products!A:C,2,FALSE)</f>
        <v>Here Footwear</v>
      </c>
      <c r="K4239" t="str">
        <f>VLOOKUP(D4239,Products!A:C,3,FALSE)</f>
        <v>Fashion</v>
      </c>
      <c r="L4239" t="str">
        <f>VLOOKUP(E4239,Stores!A:B,2,FALSE)</f>
        <v>MegaMart Brianahaven</v>
      </c>
      <c r="M4239">
        <f>VLOOKUP(D4239,Products!A:E,5,FALSE)</f>
        <v>337.63</v>
      </c>
      <c r="N4239" s="5">
        <f t="shared" si="66"/>
        <v>1147.942</v>
      </c>
    </row>
    <row r="4240" spans="1:14" x14ac:dyDescent="0.3">
      <c r="A4240" t="s">
        <v>5096</v>
      </c>
      <c r="B4240" s="2">
        <v>45721</v>
      </c>
      <c r="C4240" t="s">
        <v>438</v>
      </c>
      <c r="D4240" t="s">
        <v>800</v>
      </c>
      <c r="E4240" t="s">
        <v>842</v>
      </c>
      <c r="F4240">
        <v>2</v>
      </c>
      <c r="G4240">
        <v>0.05</v>
      </c>
      <c r="H4240" t="s">
        <v>861</v>
      </c>
      <c r="I4240" t="str">
        <f>VLOOKUP(C4240,Customers!A:C,2,FALSE)&amp;" "&amp;VLOOKUP(C4240,Customers!A:C,3,FALSE)</f>
        <v>Gina Bradford</v>
      </c>
      <c r="J4240" t="str">
        <f>VLOOKUP(D4240,Products!A:C,2,FALSE)</f>
        <v>Book Television</v>
      </c>
      <c r="K4240" t="str">
        <f>VLOOKUP(D4240,Products!A:C,3,FALSE)</f>
        <v>Electronics</v>
      </c>
      <c r="L4240" t="str">
        <f>VLOOKUP(E4240,Stores!A:B,2,FALSE)</f>
        <v>MegaMart Brianahaven</v>
      </c>
      <c r="M4240">
        <f>VLOOKUP(D4240,Products!A:E,5,FALSE)</f>
        <v>1952.65</v>
      </c>
      <c r="N4240" s="5">
        <f t="shared" si="66"/>
        <v>3710.0349999999999</v>
      </c>
    </row>
    <row r="4241" spans="1:14" x14ac:dyDescent="0.3">
      <c r="A4241" t="s">
        <v>5097</v>
      </c>
      <c r="B4241" s="2">
        <v>45908</v>
      </c>
      <c r="C4241" t="s">
        <v>520</v>
      </c>
      <c r="D4241" t="s">
        <v>780</v>
      </c>
      <c r="E4241" t="s">
        <v>835</v>
      </c>
      <c r="F4241">
        <v>5</v>
      </c>
      <c r="G4241">
        <v>0.15</v>
      </c>
      <c r="H4241" t="s">
        <v>861</v>
      </c>
      <c r="I4241" t="str">
        <f>VLOOKUP(C4241,Customers!A:C,2,FALSE)&amp;" "&amp;VLOOKUP(C4241,Customers!A:C,3,FALSE)</f>
        <v>Cynthia Carlson</v>
      </c>
      <c r="J4241" t="str">
        <f>VLOOKUP(D4241,Products!A:C,2,FALSE)</f>
        <v>Hospital Smartphone</v>
      </c>
      <c r="K4241" t="str">
        <f>VLOOKUP(D4241,Products!A:C,3,FALSE)</f>
        <v>Electronics</v>
      </c>
      <c r="L4241" t="str">
        <f>VLOOKUP(E4241,Stores!A:B,2,FALSE)</f>
        <v>MegaMart Peckmouth</v>
      </c>
      <c r="M4241">
        <f>VLOOKUP(D4241,Products!A:E,5,FALSE)</f>
        <v>1272.23</v>
      </c>
      <c r="N4241" s="5">
        <f t="shared" si="66"/>
        <v>5406.9775</v>
      </c>
    </row>
    <row r="4242" spans="1:14" x14ac:dyDescent="0.3">
      <c r="A4242" t="s">
        <v>5098</v>
      </c>
      <c r="B4242" s="2">
        <v>45656</v>
      </c>
      <c r="C4242" t="s">
        <v>213</v>
      </c>
      <c r="D4242" t="s">
        <v>745</v>
      </c>
      <c r="E4242" t="s">
        <v>842</v>
      </c>
      <c r="F4242">
        <v>4</v>
      </c>
      <c r="G4242">
        <v>0</v>
      </c>
      <c r="H4242" t="s">
        <v>855</v>
      </c>
      <c r="I4242" t="str">
        <f>VLOOKUP(C4242,Customers!A:C,2,FALSE)&amp;" "&amp;VLOOKUP(C4242,Customers!A:C,3,FALSE)</f>
        <v>Deborah Moody</v>
      </c>
      <c r="J4242" t="str">
        <f>VLOOKUP(D4242,Products!A:C,2,FALSE)</f>
        <v>Above Camera</v>
      </c>
      <c r="K4242" t="str">
        <f>VLOOKUP(D4242,Products!A:C,3,FALSE)</f>
        <v>Electronics</v>
      </c>
      <c r="L4242" t="str">
        <f>VLOOKUP(E4242,Stores!A:B,2,FALSE)</f>
        <v>MegaMart Brianahaven</v>
      </c>
      <c r="M4242">
        <f>VLOOKUP(D4242,Products!A:E,5,FALSE)</f>
        <v>1193.0899999999999</v>
      </c>
      <c r="N4242" s="5">
        <f t="shared" si="66"/>
        <v>4772.3599999999997</v>
      </c>
    </row>
    <row r="4243" spans="1:14" x14ac:dyDescent="0.3">
      <c r="A4243" t="s">
        <v>5099</v>
      </c>
      <c r="B4243" s="2">
        <v>45604</v>
      </c>
      <c r="C4243" t="s">
        <v>582</v>
      </c>
      <c r="D4243" t="s">
        <v>766</v>
      </c>
      <c r="E4243" t="s">
        <v>831</v>
      </c>
      <c r="F4243">
        <v>5</v>
      </c>
      <c r="G4243">
        <v>0.15</v>
      </c>
      <c r="H4243" t="s">
        <v>861</v>
      </c>
      <c r="I4243" t="str">
        <f>VLOOKUP(C4243,Customers!A:C,2,FALSE)&amp;" "&amp;VLOOKUP(C4243,Customers!A:C,3,FALSE)</f>
        <v>Erin Rogers</v>
      </c>
      <c r="J4243" t="str">
        <f>VLOOKUP(D4243,Products!A:C,2,FALSE)</f>
        <v>Firm Dairy</v>
      </c>
      <c r="K4243" t="str">
        <f>VLOOKUP(D4243,Products!A:C,3,FALSE)</f>
        <v>Groceries</v>
      </c>
      <c r="L4243" t="str">
        <f>VLOOKUP(E4243,Stores!A:B,2,FALSE)</f>
        <v>MegaMart Jimenezborough</v>
      </c>
      <c r="M4243">
        <f>VLOOKUP(D4243,Products!A:E,5,FALSE)</f>
        <v>1227.24</v>
      </c>
      <c r="N4243" s="5">
        <f t="shared" si="66"/>
        <v>5215.7699999999995</v>
      </c>
    </row>
    <row r="4244" spans="1:14" x14ac:dyDescent="0.3">
      <c r="A4244" t="s">
        <v>5100</v>
      </c>
      <c r="B4244" s="2">
        <v>45332</v>
      </c>
      <c r="C4244" t="s">
        <v>382</v>
      </c>
      <c r="D4244" t="s">
        <v>755</v>
      </c>
      <c r="E4244" t="s">
        <v>842</v>
      </c>
      <c r="F4244">
        <v>1</v>
      </c>
      <c r="G4244">
        <v>0.05</v>
      </c>
      <c r="H4244" t="s">
        <v>858</v>
      </c>
      <c r="I4244" t="str">
        <f>VLOOKUP(C4244,Customers!A:C,2,FALSE)&amp;" "&amp;VLOOKUP(C4244,Customers!A:C,3,FALSE)</f>
        <v>Carolyn Perez</v>
      </c>
      <c r="J4244" t="str">
        <f>VLOOKUP(D4244,Products!A:C,2,FALSE)</f>
        <v>House Accessories</v>
      </c>
      <c r="K4244" t="str">
        <f>VLOOKUP(D4244,Products!A:C,3,FALSE)</f>
        <v>Fashion</v>
      </c>
      <c r="L4244" t="str">
        <f>VLOOKUP(E4244,Stores!A:B,2,FALSE)</f>
        <v>MegaMart Brianahaven</v>
      </c>
      <c r="M4244">
        <f>VLOOKUP(D4244,Products!A:E,5,FALSE)</f>
        <v>1858.75</v>
      </c>
      <c r="N4244" s="5">
        <f t="shared" si="66"/>
        <v>1765.8125</v>
      </c>
    </row>
    <row r="4245" spans="1:14" x14ac:dyDescent="0.3">
      <c r="A4245" t="s">
        <v>5101</v>
      </c>
      <c r="B4245" s="2">
        <v>45320</v>
      </c>
      <c r="C4245" t="s">
        <v>516</v>
      </c>
      <c r="D4245" t="s">
        <v>788</v>
      </c>
      <c r="E4245" t="s">
        <v>839</v>
      </c>
      <c r="F4245">
        <v>1</v>
      </c>
      <c r="G4245">
        <v>0</v>
      </c>
      <c r="H4245" t="s">
        <v>865</v>
      </c>
      <c r="I4245" t="str">
        <f>VLOOKUP(C4245,Customers!A:C,2,FALSE)&amp;" "&amp;VLOOKUP(C4245,Customers!A:C,3,FALSE)</f>
        <v>Suzanne Fox</v>
      </c>
      <c r="J4245" t="str">
        <f>VLOOKUP(D4245,Products!A:C,2,FALSE)</f>
        <v>Foot Snacks</v>
      </c>
      <c r="K4245" t="str">
        <f>VLOOKUP(D4245,Products!A:C,3,FALSE)</f>
        <v>Groceries</v>
      </c>
      <c r="L4245" t="str">
        <f>VLOOKUP(E4245,Stores!A:B,2,FALSE)</f>
        <v>MegaMart New Michele</v>
      </c>
      <c r="M4245">
        <f>VLOOKUP(D4245,Products!A:E,5,FALSE)</f>
        <v>1095.72</v>
      </c>
      <c r="N4245" s="5">
        <f t="shared" si="66"/>
        <v>1095.72</v>
      </c>
    </row>
    <row r="4246" spans="1:14" x14ac:dyDescent="0.3">
      <c r="A4246" t="s">
        <v>5102</v>
      </c>
      <c r="B4246" s="2">
        <v>45631</v>
      </c>
      <c r="C4246" t="s">
        <v>191</v>
      </c>
      <c r="D4246" t="s">
        <v>764</v>
      </c>
      <c r="E4246" t="s">
        <v>835</v>
      </c>
      <c r="F4246">
        <v>5</v>
      </c>
      <c r="G4246">
        <v>0.05</v>
      </c>
      <c r="H4246" t="s">
        <v>861</v>
      </c>
      <c r="I4246" t="str">
        <f>VLOOKUP(C4246,Customers!A:C,2,FALSE)&amp;" "&amp;VLOOKUP(C4246,Customers!A:C,3,FALSE)</f>
        <v>Antonio Hamilton</v>
      </c>
      <c r="J4246" t="str">
        <f>VLOOKUP(D4246,Products!A:C,2,FALSE)</f>
        <v>Simple Accessories</v>
      </c>
      <c r="K4246" t="str">
        <f>VLOOKUP(D4246,Products!A:C,3,FALSE)</f>
        <v>Fashion</v>
      </c>
      <c r="L4246" t="str">
        <f>VLOOKUP(E4246,Stores!A:B,2,FALSE)</f>
        <v>MegaMart Peckmouth</v>
      </c>
      <c r="M4246">
        <f>VLOOKUP(D4246,Products!A:E,5,FALSE)</f>
        <v>323.92</v>
      </c>
      <c r="N4246" s="5">
        <f t="shared" si="66"/>
        <v>1538.6200000000001</v>
      </c>
    </row>
    <row r="4247" spans="1:14" x14ac:dyDescent="0.3">
      <c r="A4247" t="s">
        <v>5103</v>
      </c>
      <c r="B4247" s="2">
        <v>45764</v>
      </c>
      <c r="C4247" t="s">
        <v>224</v>
      </c>
      <c r="D4247" t="s">
        <v>734</v>
      </c>
      <c r="E4247" t="s">
        <v>846</v>
      </c>
      <c r="F4247">
        <v>2</v>
      </c>
      <c r="G4247">
        <v>0</v>
      </c>
      <c r="H4247" t="s">
        <v>861</v>
      </c>
      <c r="I4247" t="str">
        <f>VLOOKUP(C4247,Customers!A:C,2,FALSE)&amp;" "&amp;VLOOKUP(C4247,Customers!A:C,3,FALSE)</f>
        <v>Lawrence Stewart</v>
      </c>
      <c r="J4247" t="str">
        <f>VLOOKUP(D4247,Products!A:C,2,FALSE)</f>
        <v>Recognize Footwear</v>
      </c>
      <c r="K4247" t="str">
        <f>VLOOKUP(D4247,Products!A:C,3,FALSE)</f>
        <v>Fashion</v>
      </c>
      <c r="L4247" t="str">
        <f>VLOOKUP(E4247,Stores!A:B,2,FALSE)</f>
        <v>MegaMart Johnmouth</v>
      </c>
      <c r="M4247">
        <f>VLOOKUP(D4247,Products!A:E,5,FALSE)</f>
        <v>109.78</v>
      </c>
      <c r="N4247" s="5">
        <f t="shared" si="66"/>
        <v>219.56</v>
      </c>
    </row>
    <row r="4248" spans="1:14" x14ac:dyDescent="0.3">
      <c r="A4248" t="s">
        <v>5104</v>
      </c>
      <c r="B4248" s="2">
        <v>45641</v>
      </c>
      <c r="C4248" t="s">
        <v>339</v>
      </c>
      <c r="D4248" t="s">
        <v>757</v>
      </c>
      <c r="E4248" t="s">
        <v>835</v>
      </c>
      <c r="F4248">
        <v>4</v>
      </c>
      <c r="G4248">
        <v>0</v>
      </c>
      <c r="H4248" t="s">
        <v>858</v>
      </c>
      <c r="I4248" t="str">
        <f>VLOOKUP(C4248,Customers!A:C,2,FALSE)&amp;" "&amp;VLOOKUP(C4248,Customers!A:C,3,FALSE)</f>
        <v>Carrie Peterson</v>
      </c>
      <c r="J4248" t="str">
        <f>VLOOKUP(D4248,Products!A:C,2,FALSE)</f>
        <v>Find Headphones</v>
      </c>
      <c r="K4248" t="str">
        <f>VLOOKUP(D4248,Products!A:C,3,FALSE)</f>
        <v>Electronics</v>
      </c>
      <c r="L4248" t="str">
        <f>VLOOKUP(E4248,Stores!A:B,2,FALSE)</f>
        <v>MegaMart Peckmouth</v>
      </c>
      <c r="M4248">
        <f>VLOOKUP(D4248,Products!A:E,5,FALSE)</f>
        <v>1246.1099999999999</v>
      </c>
      <c r="N4248" s="5">
        <f t="shared" si="66"/>
        <v>4984.4399999999996</v>
      </c>
    </row>
    <row r="4249" spans="1:14" x14ac:dyDescent="0.3">
      <c r="A4249" t="s">
        <v>5105</v>
      </c>
      <c r="B4249" s="2">
        <v>45631</v>
      </c>
      <c r="C4249" t="s">
        <v>317</v>
      </c>
      <c r="D4249" t="s">
        <v>808</v>
      </c>
      <c r="E4249" t="s">
        <v>831</v>
      </c>
      <c r="F4249">
        <v>4</v>
      </c>
      <c r="G4249">
        <v>0.15</v>
      </c>
      <c r="H4249" t="s">
        <v>858</v>
      </c>
      <c r="I4249" t="str">
        <f>VLOOKUP(C4249,Customers!A:C,2,FALSE)&amp;" "&amp;VLOOKUP(C4249,Customers!A:C,3,FALSE)</f>
        <v>Amanda Lee</v>
      </c>
      <c r="J4249" t="str">
        <f>VLOOKUP(D4249,Products!A:C,2,FALSE)</f>
        <v>Present Television</v>
      </c>
      <c r="K4249" t="str">
        <f>VLOOKUP(D4249,Products!A:C,3,FALSE)</f>
        <v>Electronics</v>
      </c>
      <c r="L4249" t="str">
        <f>VLOOKUP(E4249,Stores!A:B,2,FALSE)</f>
        <v>MegaMart Jimenezborough</v>
      </c>
      <c r="M4249">
        <f>VLOOKUP(D4249,Products!A:E,5,FALSE)</f>
        <v>1635.01</v>
      </c>
      <c r="N4249" s="5">
        <f t="shared" si="66"/>
        <v>5559.0339999999997</v>
      </c>
    </row>
    <row r="4250" spans="1:14" x14ac:dyDescent="0.3">
      <c r="A4250" t="s">
        <v>5106</v>
      </c>
      <c r="B4250" s="2">
        <v>45692</v>
      </c>
      <c r="C4250" t="s">
        <v>372</v>
      </c>
      <c r="D4250" t="s">
        <v>806</v>
      </c>
      <c r="E4250" t="s">
        <v>831</v>
      </c>
      <c r="F4250">
        <v>1</v>
      </c>
      <c r="G4250">
        <v>0.15</v>
      </c>
      <c r="H4250" t="s">
        <v>855</v>
      </c>
      <c r="I4250" t="str">
        <f>VLOOKUP(C4250,Customers!A:C,2,FALSE)&amp;" "&amp;VLOOKUP(C4250,Customers!A:C,3,FALSE)</f>
        <v>Kimberly Jones</v>
      </c>
      <c r="J4250" t="str">
        <f>VLOOKUP(D4250,Products!A:C,2,FALSE)</f>
        <v>Piece Headphones</v>
      </c>
      <c r="K4250" t="str">
        <f>VLOOKUP(D4250,Products!A:C,3,FALSE)</f>
        <v>Electronics</v>
      </c>
      <c r="L4250" t="str">
        <f>VLOOKUP(E4250,Stores!A:B,2,FALSE)</f>
        <v>MegaMart Jimenezborough</v>
      </c>
      <c r="M4250">
        <f>VLOOKUP(D4250,Products!A:E,5,FALSE)</f>
        <v>1745.61</v>
      </c>
      <c r="N4250" s="5">
        <f t="shared" si="66"/>
        <v>1483.7684999999999</v>
      </c>
    </row>
    <row r="4251" spans="1:14" x14ac:dyDescent="0.3">
      <c r="A4251" t="s">
        <v>5107</v>
      </c>
      <c r="B4251" s="2">
        <v>45813</v>
      </c>
      <c r="C4251" t="s">
        <v>539</v>
      </c>
      <c r="D4251" t="s">
        <v>790</v>
      </c>
      <c r="E4251" t="s">
        <v>835</v>
      </c>
      <c r="F4251">
        <v>1</v>
      </c>
      <c r="G4251">
        <v>0</v>
      </c>
      <c r="H4251" t="s">
        <v>855</v>
      </c>
      <c r="I4251" t="str">
        <f>VLOOKUP(C4251,Customers!A:C,2,FALSE)&amp;" "&amp;VLOOKUP(C4251,Customers!A:C,3,FALSE)</f>
        <v>Melissa Torres</v>
      </c>
      <c r="J4251" t="str">
        <f>VLOOKUP(D4251,Products!A:C,2,FALSE)</f>
        <v>Difficult Vegetables</v>
      </c>
      <c r="K4251" t="str">
        <f>VLOOKUP(D4251,Products!A:C,3,FALSE)</f>
        <v>Groceries</v>
      </c>
      <c r="L4251" t="str">
        <f>VLOOKUP(E4251,Stores!A:B,2,FALSE)</f>
        <v>MegaMart Peckmouth</v>
      </c>
      <c r="M4251">
        <f>VLOOKUP(D4251,Products!A:E,5,FALSE)</f>
        <v>304.70999999999998</v>
      </c>
      <c r="N4251" s="5">
        <f t="shared" si="66"/>
        <v>304.70999999999998</v>
      </c>
    </row>
    <row r="4252" spans="1:14" x14ac:dyDescent="0.3">
      <c r="A4252" t="s">
        <v>5108</v>
      </c>
      <c r="B4252" s="2">
        <v>45616</v>
      </c>
      <c r="C4252" t="s">
        <v>243</v>
      </c>
      <c r="D4252" t="s">
        <v>800</v>
      </c>
      <c r="E4252" t="s">
        <v>831</v>
      </c>
      <c r="F4252">
        <v>5</v>
      </c>
      <c r="G4252">
        <v>0.05</v>
      </c>
      <c r="H4252" t="s">
        <v>858</v>
      </c>
      <c r="I4252" t="str">
        <f>VLOOKUP(C4252,Customers!A:C,2,FALSE)&amp;" "&amp;VLOOKUP(C4252,Customers!A:C,3,FALSE)</f>
        <v>Amanda Hoover</v>
      </c>
      <c r="J4252" t="str">
        <f>VLOOKUP(D4252,Products!A:C,2,FALSE)</f>
        <v>Book Television</v>
      </c>
      <c r="K4252" t="str">
        <f>VLOOKUP(D4252,Products!A:C,3,FALSE)</f>
        <v>Electronics</v>
      </c>
      <c r="L4252" t="str">
        <f>VLOOKUP(E4252,Stores!A:B,2,FALSE)</f>
        <v>MegaMart Jimenezborough</v>
      </c>
      <c r="M4252">
        <f>VLOOKUP(D4252,Products!A:E,5,FALSE)</f>
        <v>1952.65</v>
      </c>
      <c r="N4252" s="5">
        <f t="shared" si="66"/>
        <v>9275.0874999999996</v>
      </c>
    </row>
    <row r="4253" spans="1:14" x14ac:dyDescent="0.3">
      <c r="A4253" t="s">
        <v>5109</v>
      </c>
      <c r="B4253" s="2">
        <v>45252</v>
      </c>
      <c r="C4253" t="s">
        <v>560</v>
      </c>
      <c r="D4253" t="s">
        <v>808</v>
      </c>
      <c r="E4253" t="s">
        <v>842</v>
      </c>
      <c r="F4253">
        <v>4</v>
      </c>
      <c r="G4253">
        <v>0</v>
      </c>
      <c r="H4253" t="s">
        <v>858</v>
      </c>
      <c r="I4253" t="str">
        <f>VLOOKUP(C4253,Customers!A:C,2,FALSE)&amp;" "&amp;VLOOKUP(C4253,Customers!A:C,3,FALSE)</f>
        <v>George Young</v>
      </c>
      <c r="J4253" t="str">
        <f>VLOOKUP(D4253,Products!A:C,2,FALSE)</f>
        <v>Present Television</v>
      </c>
      <c r="K4253" t="str">
        <f>VLOOKUP(D4253,Products!A:C,3,FALSE)</f>
        <v>Electronics</v>
      </c>
      <c r="L4253" t="str">
        <f>VLOOKUP(E4253,Stores!A:B,2,FALSE)</f>
        <v>MegaMart Brianahaven</v>
      </c>
      <c r="M4253">
        <f>VLOOKUP(D4253,Products!A:E,5,FALSE)</f>
        <v>1635.01</v>
      </c>
      <c r="N4253" s="5">
        <f t="shared" si="66"/>
        <v>6540.04</v>
      </c>
    </row>
    <row r="4254" spans="1:14" x14ac:dyDescent="0.3">
      <c r="A4254" t="s">
        <v>5110</v>
      </c>
      <c r="B4254" s="2">
        <v>45728</v>
      </c>
      <c r="C4254" t="s">
        <v>472</v>
      </c>
      <c r="D4254" t="s">
        <v>759</v>
      </c>
      <c r="E4254" t="s">
        <v>831</v>
      </c>
      <c r="F4254">
        <v>3</v>
      </c>
      <c r="G4254">
        <v>0.15</v>
      </c>
      <c r="H4254" t="s">
        <v>861</v>
      </c>
      <c r="I4254" t="str">
        <f>VLOOKUP(C4254,Customers!A:C,2,FALSE)&amp;" "&amp;VLOOKUP(C4254,Customers!A:C,3,FALSE)</f>
        <v>Gary Taylor</v>
      </c>
      <c r="J4254" t="str">
        <f>VLOOKUP(D4254,Products!A:C,2,FALSE)</f>
        <v>Democratic Smartphone</v>
      </c>
      <c r="K4254" t="str">
        <f>VLOOKUP(D4254,Products!A:C,3,FALSE)</f>
        <v>Electronics</v>
      </c>
      <c r="L4254" t="str">
        <f>VLOOKUP(E4254,Stores!A:B,2,FALSE)</f>
        <v>MegaMart Jimenezborough</v>
      </c>
      <c r="M4254">
        <f>VLOOKUP(D4254,Products!A:E,5,FALSE)</f>
        <v>1079.8900000000001</v>
      </c>
      <c r="N4254" s="5">
        <f t="shared" si="66"/>
        <v>2753.7195000000002</v>
      </c>
    </row>
    <row r="4255" spans="1:14" x14ac:dyDescent="0.3">
      <c r="A4255" t="s">
        <v>5111</v>
      </c>
      <c r="B4255" s="2">
        <v>45385</v>
      </c>
      <c r="C4255" t="s">
        <v>505</v>
      </c>
      <c r="D4255" t="s">
        <v>745</v>
      </c>
      <c r="E4255" t="s">
        <v>839</v>
      </c>
      <c r="F4255">
        <v>3</v>
      </c>
      <c r="G4255">
        <v>0.15</v>
      </c>
      <c r="H4255" t="s">
        <v>861</v>
      </c>
      <c r="I4255" t="str">
        <f>VLOOKUP(C4255,Customers!A:C,2,FALSE)&amp;" "&amp;VLOOKUP(C4255,Customers!A:C,3,FALSE)</f>
        <v>Alexander Mcfarland</v>
      </c>
      <c r="J4255" t="str">
        <f>VLOOKUP(D4255,Products!A:C,2,FALSE)</f>
        <v>Above Camera</v>
      </c>
      <c r="K4255" t="str">
        <f>VLOOKUP(D4255,Products!A:C,3,FALSE)</f>
        <v>Electronics</v>
      </c>
      <c r="L4255" t="str">
        <f>VLOOKUP(E4255,Stores!A:B,2,FALSE)</f>
        <v>MegaMart New Michele</v>
      </c>
      <c r="M4255">
        <f>VLOOKUP(D4255,Products!A:E,5,FALSE)</f>
        <v>1193.0899999999999</v>
      </c>
      <c r="N4255" s="5">
        <f t="shared" si="66"/>
        <v>3042.3794999999996</v>
      </c>
    </row>
    <row r="4256" spans="1:14" x14ac:dyDescent="0.3">
      <c r="A4256" t="s">
        <v>5112</v>
      </c>
      <c r="B4256" s="2">
        <v>45682</v>
      </c>
      <c r="C4256" t="s">
        <v>666</v>
      </c>
      <c r="D4256" t="s">
        <v>812</v>
      </c>
      <c r="E4256" t="s">
        <v>831</v>
      </c>
      <c r="F4256">
        <v>2</v>
      </c>
      <c r="G4256">
        <v>0.15</v>
      </c>
      <c r="H4256" t="s">
        <v>858</v>
      </c>
      <c r="I4256" t="str">
        <f>VLOOKUP(C4256,Customers!A:C,2,FALSE)&amp;" "&amp;VLOOKUP(C4256,Customers!A:C,3,FALSE)</f>
        <v>Steve Flynn</v>
      </c>
      <c r="J4256" t="str">
        <f>VLOOKUP(D4256,Products!A:C,2,FALSE)</f>
        <v>Soon Accessories</v>
      </c>
      <c r="K4256" t="str">
        <f>VLOOKUP(D4256,Products!A:C,3,FALSE)</f>
        <v>Fashion</v>
      </c>
      <c r="L4256" t="str">
        <f>VLOOKUP(E4256,Stores!A:B,2,FALSE)</f>
        <v>MegaMart Jimenezborough</v>
      </c>
      <c r="M4256">
        <f>VLOOKUP(D4256,Products!A:E,5,FALSE)</f>
        <v>564.41999999999996</v>
      </c>
      <c r="N4256" s="5">
        <f t="shared" si="66"/>
        <v>959.5139999999999</v>
      </c>
    </row>
    <row r="4257" spans="1:14" x14ac:dyDescent="0.3">
      <c r="A4257" t="s">
        <v>5113</v>
      </c>
      <c r="B4257" s="2">
        <v>45838</v>
      </c>
      <c r="C4257" t="s">
        <v>358</v>
      </c>
      <c r="D4257" t="s">
        <v>736</v>
      </c>
      <c r="E4257" t="s">
        <v>842</v>
      </c>
      <c r="F4257">
        <v>5</v>
      </c>
      <c r="G4257">
        <v>0.15</v>
      </c>
      <c r="H4257" t="s">
        <v>861</v>
      </c>
      <c r="I4257" t="str">
        <f>VLOOKUP(C4257,Customers!A:C,2,FALSE)&amp;" "&amp;VLOOKUP(C4257,Customers!A:C,3,FALSE)</f>
        <v>Kevin Snyder</v>
      </c>
      <c r="J4257" t="str">
        <f>VLOOKUP(D4257,Products!A:C,2,FALSE)</f>
        <v>Us Snacks</v>
      </c>
      <c r="K4257" t="str">
        <f>VLOOKUP(D4257,Products!A:C,3,FALSE)</f>
        <v>Groceries</v>
      </c>
      <c r="L4257" t="str">
        <f>VLOOKUP(E4257,Stores!A:B,2,FALSE)</f>
        <v>MegaMart Brianahaven</v>
      </c>
      <c r="M4257">
        <f>VLOOKUP(D4257,Products!A:E,5,FALSE)</f>
        <v>123.19</v>
      </c>
      <c r="N4257" s="5">
        <f t="shared" si="66"/>
        <v>523.5575</v>
      </c>
    </row>
    <row r="4258" spans="1:14" x14ac:dyDescent="0.3">
      <c r="A4258" t="s">
        <v>5114</v>
      </c>
      <c r="B4258" s="2">
        <v>45589</v>
      </c>
      <c r="C4258" t="s">
        <v>563</v>
      </c>
      <c r="D4258" t="s">
        <v>820</v>
      </c>
      <c r="E4258" t="s">
        <v>839</v>
      </c>
      <c r="F4258">
        <v>5</v>
      </c>
      <c r="G4258">
        <v>0</v>
      </c>
      <c r="H4258" t="s">
        <v>861</v>
      </c>
      <c r="I4258" t="str">
        <f>VLOOKUP(C4258,Customers!A:C,2,FALSE)&amp;" "&amp;VLOOKUP(C4258,Customers!A:C,3,FALSE)</f>
        <v>Connie Terry</v>
      </c>
      <c r="J4258" t="str">
        <f>VLOOKUP(D4258,Products!A:C,2,FALSE)</f>
        <v>Or Smartphone</v>
      </c>
      <c r="K4258" t="str">
        <f>VLOOKUP(D4258,Products!A:C,3,FALSE)</f>
        <v>Electronics</v>
      </c>
      <c r="L4258" t="str">
        <f>VLOOKUP(E4258,Stores!A:B,2,FALSE)</f>
        <v>MegaMart New Michele</v>
      </c>
      <c r="M4258">
        <f>VLOOKUP(D4258,Products!A:E,5,FALSE)</f>
        <v>1197.18</v>
      </c>
      <c r="N4258" s="5">
        <f t="shared" si="66"/>
        <v>5985.9000000000005</v>
      </c>
    </row>
    <row r="4259" spans="1:14" x14ac:dyDescent="0.3">
      <c r="A4259" t="s">
        <v>5115</v>
      </c>
      <c r="B4259" s="2">
        <v>45517</v>
      </c>
      <c r="C4259" t="s">
        <v>313</v>
      </c>
      <c r="D4259" t="s">
        <v>734</v>
      </c>
      <c r="E4259" t="s">
        <v>842</v>
      </c>
      <c r="F4259">
        <v>2</v>
      </c>
      <c r="G4259">
        <v>0.1</v>
      </c>
      <c r="H4259" t="s">
        <v>861</v>
      </c>
      <c r="I4259" t="str">
        <f>VLOOKUP(C4259,Customers!A:C,2,FALSE)&amp;" "&amp;VLOOKUP(C4259,Customers!A:C,3,FALSE)</f>
        <v>Jeremy Robles</v>
      </c>
      <c r="J4259" t="str">
        <f>VLOOKUP(D4259,Products!A:C,2,FALSE)</f>
        <v>Recognize Footwear</v>
      </c>
      <c r="K4259" t="str">
        <f>VLOOKUP(D4259,Products!A:C,3,FALSE)</f>
        <v>Fashion</v>
      </c>
      <c r="L4259" t="str">
        <f>VLOOKUP(E4259,Stores!A:B,2,FALSE)</f>
        <v>MegaMart Brianahaven</v>
      </c>
      <c r="M4259">
        <f>VLOOKUP(D4259,Products!A:E,5,FALSE)</f>
        <v>109.78</v>
      </c>
      <c r="N4259" s="5">
        <f t="shared" si="66"/>
        <v>197.60400000000001</v>
      </c>
    </row>
    <row r="4260" spans="1:14" x14ac:dyDescent="0.3">
      <c r="A4260" t="s">
        <v>5116</v>
      </c>
      <c r="B4260" s="2">
        <v>45486</v>
      </c>
      <c r="C4260" t="s">
        <v>331</v>
      </c>
      <c r="D4260" t="s">
        <v>766</v>
      </c>
      <c r="E4260" t="s">
        <v>839</v>
      </c>
      <c r="F4260">
        <v>2</v>
      </c>
      <c r="G4260">
        <v>0.1</v>
      </c>
      <c r="H4260" t="s">
        <v>858</v>
      </c>
      <c r="I4260" t="str">
        <f>VLOOKUP(C4260,Customers!A:C,2,FALSE)&amp;" "&amp;VLOOKUP(C4260,Customers!A:C,3,FALSE)</f>
        <v>Brenda Costa</v>
      </c>
      <c r="J4260" t="str">
        <f>VLOOKUP(D4260,Products!A:C,2,FALSE)</f>
        <v>Firm Dairy</v>
      </c>
      <c r="K4260" t="str">
        <f>VLOOKUP(D4260,Products!A:C,3,FALSE)</f>
        <v>Groceries</v>
      </c>
      <c r="L4260" t="str">
        <f>VLOOKUP(E4260,Stores!A:B,2,FALSE)</f>
        <v>MegaMart New Michele</v>
      </c>
      <c r="M4260">
        <f>VLOOKUP(D4260,Products!A:E,5,FALSE)</f>
        <v>1227.24</v>
      </c>
      <c r="N4260" s="5">
        <f t="shared" si="66"/>
        <v>2209.0320000000002</v>
      </c>
    </row>
    <row r="4261" spans="1:14" x14ac:dyDescent="0.3">
      <c r="A4261" t="s">
        <v>5117</v>
      </c>
      <c r="B4261" s="2">
        <v>45479</v>
      </c>
      <c r="C4261" t="s">
        <v>577</v>
      </c>
      <c r="D4261" t="s">
        <v>778</v>
      </c>
      <c r="E4261" t="s">
        <v>831</v>
      </c>
      <c r="F4261">
        <v>4</v>
      </c>
      <c r="G4261">
        <v>0.1</v>
      </c>
      <c r="H4261" t="s">
        <v>861</v>
      </c>
      <c r="I4261" t="str">
        <f>VLOOKUP(C4261,Customers!A:C,2,FALSE)&amp;" "&amp;VLOOKUP(C4261,Customers!A:C,3,FALSE)</f>
        <v>Michael Perez</v>
      </c>
      <c r="J4261" t="str">
        <f>VLOOKUP(D4261,Products!A:C,2,FALSE)</f>
        <v>Behavior Dairy</v>
      </c>
      <c r="K4261" t="str">
        <f>VLOOKUP(D4261,Products!A:C,3,FALSE)</f>
        <v>Groceries</v>
      </c>
      <c r="L4261" t="str">
        <f>VLOOKUP(E4261,Stores!A:B,2,FALSE)</f>
        <v>MegaMart Jimenezborough</v>
      </c>
      <c r="M4261">
        <f>VLOOKUP(D4261,Products!A:E,5,FALSE)</f>
        <v>1015.76</v>
      </c>
      <c r="N4261" s="5">
        <f t="shared" si="66"/>
        <v>3656.7359999999999</v>
      </c>
    </row>
    <row r="4262" spans="1:14" x14ac:dyDescent="0.3">
      <c r="A4262" t="s">
        <v>5118</v>
      </c>
      <c r="B4262" s="2">
        <v>45787</v>
      </c>
      <c r="C4262" t="s">
        <v>539</v>
      </c>
      <c r="D4262" t="s">
        <v>755</v>
      </c>
      <c r="E4262" t="s">
        <v>846</v>
      </c>
      <c r="F4262">
        <v>1</v>
      </c>
      <c r="G4262">
        <v>0.15</v>
      </c>
      <c r="H4262" t="s">
        <v>855</v>
      </c>
      <c r="I4262" t="str">
        <f>VLOOKUP(C4262,Customers!A:C,2,FALSE)&amp;" "&amp;VLOOKUP(C4262,Customers!A:C,3,FALSE)</f>
        <v>Melissa Torres</v>
      </c>
      <c r="J4262" t="str">
        <f>VLOOKUP(D4262,Products!A:C,2,FALSE)</f>
        <v>House Accessories</v>
      </c>
      <c r="K4262" t="str">
        <f>VLOOKUP(D4262,Products!A:C,3,FALSE)</f>
        <v>Fashion</v>
      </c>
      <c r="L4262" t="str">
        <f>VLOOKUP(E4262,Stores!A:B,2,FALSE)</f>
        <v>MegaMart Johnmouth</v>
      </c>
      <c r="M4262">
        <f>VLOOKUP(D4262,Products!A:E,5,FALSE)</f>
        <v>1858.75</v>
      </c>
      <c r="N4262" s="5">
        <f t="shared" si="66"/>
        <v>1579.9375</v>
      </c>
    </row>
    <row r="4263" spans="1:14" x14ac:dyDescent="0.3">
      <c r="A4263" t="s">
        <v>5119</v>
      </c>
      <c r="B4263" s="2">
        <v>45597</v>
      </c>
      <c r="C4263" t="s">
        <v>577</v>
      </c>
      <c r="D4263" t="s">
        <v>764</v>
      </c>
      <c r="E4263" t="s">
        <v>842</v>
      </c>
      <c r="F4263">
        <v>2</v>
      </c>
      <c r="G4263">
        <v>0.15</v>
      </c>
      <c r="H4263" t="s">
        <v>858</v>
      </c>
      <c r="I4263" t="str">
        <f>VLOOKUP(C4263,Customers!A:C,2,FALSE)&amp;" "&amp;VLOOKUP(C4263,Customers!A:C,3,FALSE)</f>
        <v>Michael Perez</v>
      </c>
      <c r="J4263" t="str">
        <f>VLOOKUP(D4263,Products!A:C,2,FALSE)</f>
        <v>Simple Accessories</v>
      </c>
      <c r="K4263" t="str">
        <f>VLOOKUP(D4263,Products!A:C,3,FALSE)</f>
        <v>Fashion</v>
      </c>
      <c r="L4263" t="str">
        <f>VLOOKUP(E4263,Stores!A:B,2,FALSE)</f>
        <v>MegaMart Brianahaven</v>
      </c>
      <c r="M4263">
        <f>VLOOKUP(D4263,Products!A:E,5,FALSE)</f>
        <v>323.92</v>
      </c>
      <c r="N4263" s="5">
        <f t="shared" si="66"/>
        <v>550.66399999999999</v>
      </c>
    </row>
    <row r="4264" spans="1:14" x14ac:dyDescent="0.3">
      <c r="A4264" t="s">
        <v>5120</v>
      </c>
      <c r="B4264" s="2">
        <v>45206</v>
      </c>
      <c r="C4264" t="s">
        <v>549</v>
      </c>
      <c r="D4264" t="s">
        <v>782</v>
      </c>
      <c r="E4264" t="s">
        <v>839</v>
      </c>
      <c r="F4264">
        <v>1</v>
      </c>
      <c r="G4264">
        <v>0.15</v>
      </c>
      <c r="H4264" t="s">
        <v>858</v>
      </c>
      <c r="I4264" t="str">
        <f>VLOOKUP(C4264,Customers!A:C,2,FALSE)&amp;" "&amp;VLOOKUP(C4264,Customers!A:C,3,FALSE)</f>
        <v>Brittany Green</v>
      </c>
      <c r="J4264" t="str">
        <f>VLOOKUP(D4264,Products!A:C,2,FALSE)</f>
        <v>Deal Smartphone</v>
      </c>
      <c r="K4264" t="str">
        <f>VLOOKUP(D4264,Products!A:C,3,FALSE)</f>
        <v>Electronics</v>
      </c>
      <c r="L4264" t="str">
        <f>VLOOKUP(E4264,Stores!A:B,2,FALSE)</f>
        <v>MegaMart New Michele</v>
      </c>
      <c r="M4264">
        <f>VLOOKUP(D4264,Products!A:E,5,FALSE)</f>
        <v>673.78</v>
      </c>
      <c r="N4264" s="5">
        <f t="shared" si="66"/>
        <v>572.71299999999997</v>
      </c>
    </row>
    <row r="4265" spans="1:14" x14ac:dyDescent="0.3">
      <c r="A4265" t="s">
        <v>5121</v>
      </c>
      <c r="B4265" s="2">
        <v>45548</v>
      </c>
      <c r="C4265" t="s">
        <v>462</v>
      </c>
      <c r="D4265" t="s">
        <v>808</v>
      </c>
      <c r="E4265" t="s">
        <v>831</v>
      </c>
      <c r="F4265">
        <v>5</v>
      </c>
      <c r="G4265">
        <v>0</v>
      </c>
      <c r="H4265" t="s">
        <v>858</v>
      </c>
      <c r="I4265" t="str">
        <f>VLOOKUP(C4265,Customers!A:C,2,FALSE)&amp;" "&amp;VLOOKUP(C4265,Customers!A:C,3,FALSE)</f>
        <v>Kimberly Parker</v>
      </c>
      <c r="J4265" t="str">
        <f>VLOOKUP(D4265,Products!A:C,2,FALSE)</f>
        <v>Present Television</v>
      </c>
      <c r="K4265" t="str">
        <f>VLOOKUP(D4265,Products!A:C,3,FALSE)</f>
        <v>Electronics</v>
      </c>
      <c r="L4265" t="str">
        <f>VLOOKUP(E4265,Stores!A:B,2,FALSE)</f>
        <v>MegaMart Jimenezborough</v>
      </c>
      <c r="M4265">
        <f>VLOOKUP(D4265,Products!A:E,5,FALSE)</f>
        <v>1635.01</v>
      </c>
      <c r="N4265" s="5">
        <f t="shared" si="66"/>
        <v>8175.05</v>
      </c>
    </row>
    <row r="4266" spans="1:14" x14ac:dyDescent="0.3">
      <c r="A4266" t="s">
        <v>5122</v>
      </c>
      <c r="B4266" s="2">
        <v>45508</v>
      </c>
      <c r="C4266" t="s">
        <v>298</v>
      </c>
      <c r="D4266" t="s">
        <v>722</v>
      </c>
      <c r="E4266" t="s">
        <v>842</v>
      </c>
      <c r="F4266">
        <v>3</v>
      </c>
      <c r="G4266">
        <v>0.1</v>
      </c>
      <c r="H4266" t="s">
        <v>855</v>
      </c>
      <c r="I4266" t="str">
        <f>VLOOKUP(C4266,Customers!A:C,2,FALSE)&amp;" "&amp;VLOOKUP(C4266,Customers!A:C,3,FALSE)</f>
        <v>Donald Marsh</v>
      </c>
      <c r="J4266" t="str">
        <f>VLOOKUP(D4266,Products!A:C,2,FALSE)</f>
        <v>Four Accessories</v>
      </c>
      <c r="K4266" t="str">
        <f>VLOOKUP(D4266,Products!A:C,3,FALSE)</f>
        <v>Fashion</v>
      </c>
      <c r="L4266" t="str">
        <f>VLOOKUP(E4266,Stores!A:B,2,FALSE)</f>
        <v>MegaMart Brianahaven</v>
      </c>
      <c r="M4266">
        <f>VLOOKUP(D4266,Products!A:E,5,FALSE)</f>
        <v>1853.77</v>
      </c>
      <c r="N4266" s="5">
        <f t="shared" si="66"/>
        <v>5005.1790000000001</v>
      </c>
    </row>
    <row r="4267" spans="1:14" x14ac:dyDescent="0.3">
      <c r="A4267" t="s">
        <v>5123</v>
      </c>
      <c r="B4267" s="2">
        <v>45718</v>
      </c>
      <c r="C4267" t="s">
        <v>390</v>
      </c>
      <c r="D4267" t="s">
        <v>818</v>
      </c>
      <c r="E4267" t="s">
        <v>839</v>
      </c>
      <c r="F4267">
        <v>1</v>
      </c>
      <c r="G4267">
        <v>0.05</v>
      </c>
      <c r="H4267" t="s">
        <v>855</v>
      </c>
      <c r="I4267" t="str">
        <f>VLOOKUP(C4267,Customers!A:C,2,FALSE)&amp;" "&amp;VLOOKUP(C4267,Customers!A:C,3,FALSE)</f>
        <v>Brenda Dean</v>
      </c>
      <c r="J4267" t="str">
        <f>VLOOKUP(D4267,Products!A:C,2,FALSE)</f>
        <v>Nature Clothing</v>
      </c>
      <c r="K4267" t="str">
        <f>VLOOKUP(D4267,Products!A:C,3,FALSE)</f>
        <v>Fashion</v>
      </c>
      <c r="L4267" t="str">
        <f>VLOOKUP(E4267,Stores!A:B,2,FALSE)</f>
        <v>MegaMart New Michele</v>
      </c>
      <c r="M4267">
        <f>VLOOKUP(D4267,Products!A:E,5,FALSE)</f>
        <v>1165.3699999999999</v>
      </c>
      <c r="N4267" s="5">
        <f t="shared" si="66"/>
        <v>1107.1014999999998</v>
      </c>
    </row>
    <row r="4268" spans="1:14" x14ac:dyDescent="0.3">
      <c r="A4268" t="s">
        <v>5124</v>
      </c>
      <c r="B4268" s="2">
        <v>45196</v>
      </c>
      <c r="C4268" t="s">
        <v>115</v>
      </c>
      <c r="D4268" t="s">
        <v>800</v>
      </c>
      <c r="E4268" t="s">
        <v>842</v>
      </c>
      <c r="F4268">
        <v>4</v>
      </c>
      <c r="G4268">
        <v>0.05</v>
      </c>
      <c r="H4268" t="s">
        <v>855</v>
      </c>
      <c r="I4268" t="str">
        <f>VLOOKUP(C4268,Customers!A:C,2,FALSE)&amp;" "&amp;VLOOKUP(C4268,Customers!A:C,3,FALSE)</f>
        <v>Tyler Levine</v>
      </c>
      <c r="J4268" t="str">
        <f>VLOOKUP(D4268,Products!A:C,2,FALSE)</f>
        <v>Book Television</v>
      </c>
      <c r="K4268" t="str">
        <f>VLOOKUP(D4268,Products!A:C,3,FALSE)</f>
        <v>Electronics</v>
      </c>
      <c r="L4268" t="str">
        <f>VLOOKUP(E4268,Stores!A:B,2,FALSE)</f>
        <v>MegaMart Brianahaven</v>
      </c>
      <c r="M4268">
        <f>VLOOKUP(D4268,Products!A:E,5,FALSE)</f>
        <v>1952.65</v>
      </c>
      <c r="N4268" s="5">
        <f t="shared" si="66"/>
        <v>7420.07</v>
      </c>
    </row>
    <row r="4269" spans="1:14" x14ac:dyDescent="0.3">
      <c r="A4269" t="s">
        <v>5125</v>
      </c>
      <c r="B4269" s="2">
        <v>45189</v>
      </c>
      <c r="C4269" t="s">
        <v>438</v>
      </c>
      <c r="D4269" t="s">
        <v>725</v>
      </c>
      <c r="E4269" t="s">
        <v>846</v>
      </c>
      <c r="F4269">
        <v>3</v>
      </c>
      <c r="G4269">
        <v>0.05</v>
      </c>
      <c r="H4269" t="s">
        <v>858</v>
      </c>
      <c r="I4269" t="str">
        <f>VLOOKUP(C4269,Customers!A:C,2,FALSE)&amp;" "&amp;VLOOKUP(C4269,Customers!A:C,3,FALSE)</f>
        <v>Gina Bradford</v>
      </c>
      <c r="J4269" t="str">
        <f>VLOOKUP(D4269,Products!A:C,2,FALSE)</f>
        <v>Knowledge Bags</v>
      </c>
      <c r="K4269" t="str">
        <f>VLOOKUP(D4269,Products!A:C,3,FALSE)</f>
        <v>Fashion</v>
      </c>
      <c r="L4269" t="str">
        <f>VLOOKUP(E4269,Stores!A:B,2,FALSE)</f>
        <v>MegaMart Johnmouth</v>
      </c>
      <c r="M4269">
        <f>VLOOKUP(D4269,Products!A:E,5,FALSE)</f>
        <v>1396.22</v>
      </c>
      <c r="N4269" s="5">
        <f t="shared" si="66"/>
        <v>3979.2269999999999</v>
      </c>
    </row>
    <row r="4270" spans="1:14" x14ac:dyDescent="0.3">
      <c r="A4270" t="s">
        <v>5126</v>
      </c>
      <c r="B4270" s="2">
        <v>45599</v>
      </c>
      <c r="C4270" t="s">
        <v>664</v>
      </c>
      <c r="D4270" t="s">
        <v>812</v>
      </c>
      <c r="E4270" t="s">
        <v>846</v>
      </c>
      <c r="F4270">
        <v>5</v>
      </c>
      <c r="G4270">
        <v>0</v>
      </c>
      <c r="H4270" t="s">
        <v>858</v>
      </c>
      <c r="I4270" t="str">
        <f>VLOOKUP(C4270,Customers!A:C,2,FALSE)&amp;" "&amp;VLOOKUP(C4270,Customers!A:C,3,FALSE)</f>
        <v>Ryan Flores</v>
      </c>
      <c r="J4270" t="str">
        <f>VLOOKUP(D4270,Products!A:C,2,FALSE)</f>
        <v>Soon Accessories</v>
      </c>
      <c r="K4270" t="str">
        <f>VLOOKUP(D4270,Products!A:C,3,FALSE)</f>
        <v>Fashion</v>
      </c>
      <c r="L4270" t="str">
        <f>VLOOKUP(E4270,Stores!A:B,2,FALSE)</f>
        <v>MegaMart Johnmouth</v>
      </c>
      <c r="M4270">
        <f>VLOOKUP(D4270,Products!A:E,5,FALSE)</f>
        <v>564.41999999999996</v>
      </c>
      <c r="N4270" s="5">
        <f t="shared" si="66"/>
        <v>2822.1</v>
      </c>
    </row>
    <row r="4271" spans="1:14" x14ac:dyDescent="0.3">
      <c r="A4271" t="s">
        <v>5127</v>
      </c>
      <c r="B4271" s="2">
        <v>45435</v>
      </c>
      <c r="C4271" t="s">
        <v>284</v>
      </c>
      <c r="D4271" t="s">
        <v>802</v>
      </c>
      <c r="E4271" t="s">
        <v>846</v>
      </c>
      <c r="F4271">
        <v>5</v>
      </c>
      <c r="G4271">
        <v>0</v>
      </c>
      <c r="H4271" t="s">
        <v>855</v>
      </c>
      <c r="I4271" t="str">
        <f>VLOOKUP(C4271,Customers!A:C,2,FALSE)&amp;" "&amp;VLOOKUP(C4271,Customers!A:C,3,FALSE)</f>
        <v>Seth Moore</v>
      </c>
      <c r="J4271" t="str">
        <f>VLOOKUP(D4271,Products!A:C,2,FALSE)</f>
        <v>Stage Footwear</v>
      </c>
      <c r="K4271" t="str">
        <f>VLOOKUP(D4271,Products!A:C,3,FALSE)</f>
        <v>Fashion</v>
      </c>
      <c r="L4271" t="str">
        <f>VLOOKUP(E4271,Stores!A:B,2,FALSE)</f>
        <v>MegaMart Johnmouth</v>
      </c>
      <c r="M4271">
        <f>VLOOKUP(D4271,Products!A:E,5,FALSE)</f>
        <v>366.93</v>
      </c>
      <c r="N4271" s="5">
        <f t="shared" si="66"/>
        <v>1834.65</v>
      </c>
    </row>
    <row r="4272" spans="1:14" x14ac:dyDescent="0.3">
      <c r="A4272" t="s">
        <v>5128</v>
      </c>
      <c r="B4272" s="2">
        <v>45691</v>
      </c>
      <c r="C4272" t="s">
        <v>284</v>
      </c>
      <c r="D4272" t="s">
        <v>778</v>
      </c>
      <c r="E4272" t="s">
        <v>839</v>
      </c>
      <c r="F4272">
        <v>1</v>
      </c>
      <c r="G4272">
        <v>0.05</v>
      </c>
      <c r="H4272" t="s">
        <v>858</v>
      </c>
      <c r="I4272" t="str">
        <f>VLOOKUP(C4272,Customers!A:C,2,FALSE)&amp;" "&amp;VLOOKUP(C4272,Customers!A:C,3,FALSE)</f>
        <v>Seth Moore</v>
      </c>
      <c r="J4272" t="str">
        <f>VLOOKUP(D4272,Products!A:C,2,FALSE)</f>
        <v>Behavior Dairy</v>
      </c>
      <c r="K4272" t="str">
        <f>VLOOKUP(D4272,Products!A:C,3,FALSE)</f>
        <v>Groceries</v>
      </c>
      <c r="L4272" t="str">
        <f>VLOOKUP(E4272,Stores!A:B,2,FALSE)</f>
        <v>MegaMart New Michele</v>
      </c>
      <c r="M4272">
        <f>VLOOKUP(D4272,Products!A:E,5,FALSE)</f>
        <v>1015.76</v>
      </c>
      <c r="N4272" s="5">
        <f t="shared" si="66"/>
        <v>964.97199999999998</v>
      </c>
    </row>
    <row r="4273" spans="1:14" x14ac:dyDescent="0.3">
      <c r="A4273" t="s">
        <v>5129</v>
      </c>
      <c r="B4273" s="2">
        <v>45526</v>
      </c>
      <c r="C4273" t="s">
        <v>15</v>
      </c>
      <c r="D4273" t="s">
        <v>739</v>
      </c>
      <c r="E4273" t="s">
        <v>839</v>
      </c>
      <c r="F4273">
        <v>2</v>
      </c>
      <c r="G4273">
        <v>0</v>
      </c>
      <c r="H4273" t="s">
        <v>865</v>
      </c>
      <c r="I4273" t="str">
        <f>VLOOKUP(C4273,Customers!A:C,2,FALSE)&amp;" "&amp;VLOOKUP(C4273,Customers!A:C,3,FALSE)</f>
        <v>Carol Hays</v>
      </c>
      <c r="J4273" t="str">
        <f>VLOOKUP(D4273,Products!A:C,2,FALSE)</f>
        <v>Step Smartphone</v>
      </c>
      <c r="K4273" t="str">
        <f>VLOOKUP(D4273,Products!A:C,3,FALSE)</f>
        <v>Electronics</v>
      </c>
      <c r="L4273" t="str">
        <f>VLOOKUP(E4273,Stores!A:B,2,FALSE)</f>
        <v>MegaMart New Michele</v>
      </c>
      <c r="M4273">
        <f>VLOOKUP(D4273,Products!A:E,5,FALSE)</f>
        <v>1194.1199999999999</v>
      </c>
      <c r="N4273" s="5">
        <f t="shared" si="66"/>
        <v>2388.2399999999998</v>
      </c>
    </row>
    <row r="4274" spans="1:14" x14ac:dyDescent="0.3">
      <c r="A4274" t="s">
        <v>5130</v>
      </c>
      <c r="B4274" s="2">
        <v>45594</v>
      </c>
      <c r="C4274" t="s">
        <v>163</v>
      </c>
      <c r="D4274" t="s">
        <v>739</v>
      </c>
      <c r="E4274" t="s">
        <v>842</v>
      </c>
      <c r="F4274">
        <v>2</v>
      </c>
      <c r="G4274">
        <v>0.15</v>
      </c>
      <c r="H4274" t="s">
        <v>865</v>
      </c>
      <c r="I4274" t="str">
        <f>VLOOKUP(C4274,Customers!A:C,2,FALSE)&amp;" "&amp;VLOOKUP(C4274,Customers!A:C,3,FALSE)</f>
        <v>Anna Andrews</v>
      </c>
      <c r="J4274" t="str">
        <f>VLOOKUP(D4274,Products!A:C,2,FALSE)</f>
        <v>Step Smartphone</v>
      </c>
      <c r="K4274" t="str">
        <f>VLOOKUP(D4274,Products!A:C,3,FALSE)</f>
        <v>Electronics</v>
      </c>
      <c r="L4274" t="str">
        <f>VLOOKUP(E4274,Stores!A:B,2,FALSE)</f>
        <v>MegaMart Brianahaven</v>
      </c>
      <c r="M4274">
        <f>VLOOKUP(D4274,Products!A:E,5,FALSE)</f>
        <v>1194.1199999999999</v>
      </c>
      <c r="N4274" s="5">
        <f t="shared" si="66"/>
        <v>2030.0039999999997</v>
      </c>
    </row>
    <row r="4275" spans="1:14" x14ac:dyDescent="0.3">
      <c r="A4275" t="s">
        <v>5131</v>
      </c>
      <c r="B4275" s="2">
        <v>45380</v>
      </c>
      <c r="C4275" t="s">
        <v>382</v>
      </c>
      <c r="D4275" t="s">
        <v>745</v>
      </c>
      <c r="E4275" t="s">
        <v>842</v>
      </c>
      <c r="F4275">
        <v>3</v>
      </c>
      <c r="G4275">
        <v>0</v>
      </c>
      <c r="H4275" t="s">
        <v>865</v>
      </c>
      <c r="I4275" t="str">
        <f>VLOOKUP(C4275,Customers!A:C,2,FALSE)&amp;" "&amp;VLOOKUP(C4275,Customers!A:C,3,FALSE)</f>
        <v>Carolyn Perez</v>
      </c>
      <c r="J4275" t="str">
        <f>VLOOKUP(D4275,Products!A:C,2,FALSE)</f>
        <v>Above Camera</v>
      </c>
      <c r="K4275" t="str">
        <f>VLOOKUP(D4275,Products!A:C,3,FALSE)</f>
        <v>Electronics</v>
      </c>
      <c r="L4275" t="str">
        <f>VLOOKUP(E4275,Stores!A:B,2,FALSE)</f>
        <v>MegaMart Brianahaven</v>
      </c>
      <c r="M4275">
        <f>VLOOKUP(D4275,Products!A:E,5,FALSE)</f>
        <v>1193.0899999999999</v>
      </c>
      <c r="N4275" s="5">
        <f t="shared" si="66"/>
        <v>3579.2699999999995</v>
      </c>
    </row>
    <row r="4276" spans="1:14" x14ac:dyDescent="0.3">
      <c r="A4276" t="s">
        <v>5132</v>
      </c>
      <c r="B4276" s="2">
        <v>45595</v>
      </c>
      <c r="C4276" t="s">
        <v>509</v>
      </c>
      <c r="D4276" t="s">
        <v>780</v>
      </c>
      <c r="E4276" t="s">
        <v>835</v>
      </c>
      <c r="F4276">
        <v>3</v>
      </c>
      <c r="G4276">
        <v>0.1</v>
      </c>
      <c r="H4276" t="s">
        <v>855</v>
      </c>
      <c r="I4276" t="str">
        <f>VLOOKUP(C4276,Customers!A:C,2,FALSE)&amp;" "&amp;VLOOKUP(C4276,Customers!A:C,3,FALSE)</f>
        <v>Stacy Williams</v>
      </c>
      <c r="J4276" t="str">
        <f>VLOOKUP(D4276,Products!A:C,2,FALSE)</f>
        <v>Hospital Smartphone</v>
      </c>
      <c r="K4276" t="str">
        <f>VLOOKUP(D4276,Products!A:C,3,FALSE)</f>
        <v>Electronics</v>
      </c>
      <c r="L4276" t="str">
        <f>VLOOKUP(E4276,Stores!A:B,2,FALSE)</f>
        <v>MegaMart Peckmouth</v>
      </c>
      <c r="M4276">
        <f>VLOOKUP(D4276,Products!A:E,5,FALSE)</f>
        <v>1272.23</v>
      </c>
      <c r="N4276" s="5">
        <f t="shared" si="66"/>
        <v>3435.0210000000002</v>
      </c>
    </row>
    <row r="4277" spans="1:14" x14ac:dyDescent="0.3">
      <c r="A4277" t="s">
        <v>5133</v>
      </c>
      <c r="B4277" s="2">
        <v>45404</v>
      </c>
      <c r="C4277" t="s">
        <v>491</v>
      </c>
      <c r="D4277" t="s">
        <v>792</v>
      </c>
      <c r="E4277" t="s">
        <v>831</v>
      </c>
      <c r="F4277">
        <v>2</v>
      </c>
      <c r="G4277">
        <v>0</v>
      </c>
      <c r="H4277" t="s">
        <v>861</v>
      </c>
      <c r="I4277" t="str">
        <f>VLOOKUP(C4277,Customers!A:C,2,FALSE)&amp;" "&amp;VLOOKUP(C4277,Customers!A:C,3,FALSE)</f>
        <v>Emily Hart</v>
      </c>
      <c r="J4277" t="str">
        <f>VLOOKUP(D4277,Products!A:C,2,FALSE)</f>
        <v>Beat Accessories</v>
      </c>
      <c r="K4277" t="str">
        <f>VLOOKUP(D4277,Products!A:C,3,FALSE)</f>
        <v>Fashion</v>
      </c>
      <c r="L4277" t="str">
        <f>VLOOKUP(E4277,Stores!A:B,2,FALSE)</f>
        <v>MegaMart Jimenezborough</v>
      </c>
      <c r="M4277">
        <f>VLOOKUP(D4277,Products!A:E,5,FALSE)</f>
        <v>1798.97</v>
      </c>
      <c r="N4277" s="5">
        <f t="shared" si="66"/>
        <v>3597.94</v>
      </c>
    </row>
    <row r="4278" spans="1:14" x14ac:dyDescent="0.3">
      <c r="A4278" t="s">
        <v>5134</v>
      </c>
      <c r="B4278" s="2">
        <v>45653</v>
      </c>
      <c r="C4278" t="s">
        <v>608</v>
      </c>
      <c r="D4278" t="s">
        <v>718</v>
      </c>
      <c r="E4278" t="s">
        <v>831</v>
      </c>
      <c r="F4278">
        <v>3</v>
      </c>
      <c r="G4278">
        <v>0.15</v>
      </c>
      <c r="H4278" t="s">
        <v>855</v>
      </c>
      <c r="I4278" t="str">
        <f>VLOOKUP(C4278,Customers!A:C,2,FALSE)&amp;" "&amp;VLOOKUP(C4278,Customers!A:C,3,FALSE)</f>
        <v>Christina Dominguez</v>
      </c>
      <c r="J4278" t="str">
        <f>VLOOKUP(D4278,Products!A:C,2,FALSE)</f>
        <v>Here Footwear</v>
      </c>
      <c r="K4278" t="str">
        <f>VLOOKUP(D4278,Products!A:C,3,FALSE)</f>
        <v>Fashion</v>
      </c>
      <c r="L4278" t="str">
        <f>VLOOKUP(E4278,Stores!A:B,2,FALSE)</f>
        <v>MegaMart Jimenezborough</v>
      </c>
      <c r="M4278">
        <f>VLOOKUP(D4278,Products!A:E,5,FALSE)</f>
        <v>337.63</v>
      </c>
      <c r="N4278" s="5">
        <f t="shared" si="66"/>
        <v>860.95650000000001</v>
      </c>
    </row>
    <row r="4279" spans="1:14" x14ac:dyDescent="0.3">
      <c r="A4279" t="s">
        <v>5135</v>
      </c>
      <c r="B4279" s="2">
        <v>45214</v>
      </c>
      <c r="C4279" t="s">
        <v>608</v>
      </c>
      <c r="D4279" t="s">
        <v>769</v>
      </c>
      <c r="E4279" t="s">
        <v>846</v>
      </c>
      <c r="F4279">
        <v>5</v>
      </c>
      <c r="G4279">
        <v>0.05</v>
      </c>
      <c r="H4279" t="s">
        <v>858</v>
      </c>
      <c r="I4279" t="str">
        <f>VLOOKUP(C4279,Customers!A:C,2,FALSE)&amp;" "&amp;VLOOKUP(C4279,Customers!A:C,3,FALSE)</f>
        <v>Christina Dominguez</v>
      </c>
      <c r="J4279" t="str">
        <f>VLOOKUP(D4279,Products!A:C,2,FALSE)</f>
        <v>How Vegetables</v>
      </c>
      <c r="K4279" t="str">
        <f>VLOOKUP(D4279,Products!A:C,3,FALSE)</f>
        <v>Groceries</v>
      </c>
      <c r="L4279" t="str">
        <f>VLOOKUP(E4279,Stores!A:B,2,FALSE)</f>
        <v>MegaMart Johnmouth</v>
      </c>
      <c r="M4279">
        <f>VLOOKUP(D4279,Products!A:E,5,FALSE)</f>
        <v>25.57</v>
      </c>
      <c r="N4279" s="5">
        <f t="shared" si="66"/>
        <v>121.4575</v>
      </c>
    </row>
    <row r="4280" spans="1:14" x14ac:dyDescent="0.3">
      <c r="A4280" t="s">
        <v>5136</v>
      </c>
      <c r="B4280" s="2">
        <v>45628</v>
      </c>
      <c r="C4280" t="s">
        <v>258</v>
      </c>
      <c r="D4280" t="s">
        <v>804</v>
      </c>
      <c r="E4280" t="s">
        <v>831</v>
      </c>
      <c r="F4280">
        <v>5</v>
      </c>
      <c r="G4280">
        <v>0.1</v>
      </c>
      <c r="H4280" t="s">
        <v>858</v>
      </c>
      <c r="I4280" t="str">
        <f>VLOOKUP(C4280,Customers!A:C,2,FALSE)&amp;" "&amp;VLOOKUP(C4280,Customers!A:C,3,FALSE)</f>
        <v>Alexandra Montoya</v>
      </c>
      <c r="J4280" t="str">
        <f>VLOOKUP(D4280,Products!A:C,2,FALSE)</f>
        <v>Church Clothing</v>
      </c>
      <c r="K4280" t="str">
        <f>VLOOKUP(D4280,Products!A:C,3,FALSE)</f>
        <v>Fashion</v>
      </c>
      <c r="L4280" t="str">
        <f>VLOOKUP(E4280,Stores!A:B,2,FALSE)</f>
        <v>MegaMart Jimenezborough</v>
      </c>
      <c r="M4280">
        <f>VLOOKUP(D4280,Products!A:E,5,FALSE)</f>
        <v>540.94000000000005</v>
      </c>
      <c r="N4280" s="5">
        <f t="shared" si="66"/>
        <v>2434.2300000000005</v>
      </c>
    </row>
    <row r="4281" spans="1:14" x14ac:dyDescent="0.3">
      <c r="A4281" t="s">
        <v>5137</v>
      </c>
      <c r="B4281" s="2">
        <v>45796</v>
      </c>
      <c r="C4281" t="s">
        <v>234</v>
      </c>
      <c r="D4281" t="s">
        <v>792</v>
      </c>
      <c r="E4281" t="s">
        <v>831</v>
      </c>
      <c r="F4281">
        <v>2</v>
      </c>
      <c r="G4281">
        <v>0.15</v>
      </c>
      <c r="H4281" t="s">
        <v>855</v>
      </c>
      <c r="I4281" t="str">
        <f>VLOOKUP(C4281,Customers!A:C,2,FALSE)&amp;" "&amp;VLOOKUP(C4281,Customers!A:C,3,FALSE)</f>
        <v>Heather Russell</v>
      </c>
      <c r="J4281" t="str">
        <f>VLOOKUP(D4281,Products!A:C,2,FALSE)</f>
        <v>Beat Accessories</v>
      </c>
      <c r="K4281" t="str">
        <f>VLOOKUP(D4281,Products!A:C,3,FALSE)</f>
        <v>Fashion</v>
      </c>
      <c r="L4281" t="str">
        <f>VLOOKUP(E4281,Stores!A:B,2,FALSE)</f>
        <v>MegaMart Jimenezborough</v>
      </c>
      <c r="M4281">
        <f>VLOOKUP(D4281,Products!A:E,5,FALSE)</f>
        <v>1798.97</v>
      </c>
      <c r="N4281" s="5">
        <f t="shared" si="66"/>
        <v>3058.2489999999998</v>
      </c>
    </row>
    <row r="4282" spans="1:14" x14ac:dyDescent="0.3">
      <c r="A4282" t="s">
        <v>5138</v>
      </c>
      <c r="B4282" s="2">
        <v>45863</v>
      </c>
      <c r="C4282" t="s">
        <v>20</v>
      </c>
      <c r="D4282" t="s">
        <v>808</v>
      </c>
      <c r="E4282" t="s">
        <v>831</v>
      </c>
      <c r="F4282">
        <v>1</v>
      </c>
      <c r="G4282">
        <v>0.05</v>
      </c>
      <c r="H4282" t="s">
        <v>865</v>
      </c>
      <c r="I4282" t="str">
        <f>VLOOKUP(C4282,Customers!A:C,2,FALSE)&amp;" "&amp;VLOOKUP(C4282,Customers!A:C,3,FALSE)</f>
        <v>Joseph Ward</v>
      </c>
      <c r="J4282" t="str">
        <f>VLOOKUP(D4282,Products!A:C,2,FALSE)</f>
        <v>Present Television</v>
      </c>
      <c r="K4282" t="str">
        <f>VLOOKUP(D4282,Products!A:C,3,FALSE)</f>
        <v>Electronics</v>
      </c>
      <c r="L4282" t="str">
        <f>VLOOKUP(E4282,Stores!A:B,2,FALSE)</f>
        <v>MegaMart Jimenezborough</v>
      </c>
      <c r="M4282">
        <f>VLOOKUP(D4282,Products!A:E,5,FALSE)</f>
        <v>1635.01</v>
      </c>
      <c r="N4282" s="5">
        <f t="shared" si="66"/>
        <v>1553.2594999999999</v>
      </c>
    </row>
    <row r="4283" spans="1:14" x14ac:dyDescent="0.3">
      <c r="A4283" t="s">
        <v>5139</v>
      </c>
      <c r="B4283" s="2">
        <v>45755</v>
      </c>
      <c r="C4283" t="s">
        <v>618</v>
      </c>
      <c r="D4283" t="s">
        <v>820</v>
      </c>
      <c r="E4283" t="s">
        <v>839</v>
      </c>
      <c r="F4283">
        <v>4</v>
      </c>
      <c r="G4283">
        <v>0.15</v>
      </c>
      <c r="H4283" t="s">
        <v>865</v>
      </c>
      <c r="I4283" t="str">
        <f>VLOOKUP(C4283,Customers!A:C,2,FALSE)&amp;" "&amp;VLOOKUP(C4283,Customers!A:C,3,FALSE)</f>
        <v>Scott Howell</v>
      </c>
      <c r="J4283" t="str">
        <f>VLOOKUP(D4283,Products!A:C,2,FALSE)</f>
        <v>Or Smartphone</v>
      </c>
      <c r="K4283" t="str">
        <f>VLOOKUP(D4283,Products!A:C,3,FALSE)</f>
        <v>Electronics</v>
      </c>
      <c r="L4283" t="str">
        <f>VLOOKUP(E4283,Stores!A:B,2,FALSE)</f>
        <v>MegaMart New Michele</v>
      </c>
      <c r="M4283">
        <f>VLOOKUP(D4283,Products!A:E,5,FALSE)</f>
        <v>1197.18</v>
      </c>
      <c r="N4283" s="5">
        <f t="shared" si="66"/>
        <v>4070.4120000000003</v>
      </c>
    </row>
    <row r="4284" spans="1:14" x14ac:dyDescent="0.3">
      <c r="A4284" t="s">
        <v>5140</v>
      </c>
      <c r="B4284" s="2">
        <v>45339</v>
      </c>
      <c r="C4284" t="s">
        <v>549</v>
      </c>
      <c r="D4284" t="s">
        <v>822</v>
      </c>
      <c r="E4284" t="s">
        <v>846</v>
      </c>
      <c r="F4284">
        <v>3</v>
      </c>
      <c r="G4284">
        <v>0.05</v>
      </c>
      <c r="H4284" t="s">
        <v>865</v>
      </c>
      <c r="I4284" t="str">
        <f>VLOOKUP(C4284,Customers!A:C,2,FALSE)&amp;" "&amp;VLOOKUP(C4284,Customers!A:C,3,FALSE)</f>
        <v>Brittany Green</v>
      </c>
      <c r="J4284" t="str">
        <f>VLOOKUP(D4284,Products!A:C,2,FALSE)</f>
        <v>Nor Bags</v>
      </c>
      <c r="K4284" t="str">
        <f>VLOOKUP(D4284,Products!A:C,3,FALSE)</f>
        <v>Fashion</v>
      </c>
      <c r="L4284" t="str">
        <f>VLOOKUP(E4284,Stores!A:B,2,FALSE)</f>
        <v>MegaMart Johnmouth</v>
      </c>
      <c r="M4284">
        <f>VLOOKUP(D4284,Products!A:E,5,FALSE)</f>
        <v>1216.3599999999999</v>
      </c>
      <c r="N4284" s="5">
        <f t="shared" si="66"/>
        <v>3466.6259999999997</v>
      </c>
    </row>
    <row r="4285" spans="1:14" x14ac:dyDescent="0.3">
      <c r="A4285" t="s">
        <v>5141</v>
      </c>
      <c r="B4285" s="2">
        <v>45663</v>
      </c>
      <c r="C4285" t="s">
        <v>347</v>
      </c>
      <c r="D4285" t="s">
        <v>796</v>
      </c>
      <c r="E4285" t="s">
        <v>842</v>
      </c>
      <c r="F4285">
        <v>3</v>
      </c>
      <c r="G4285">
        <v>0</v>
      </c>
      <c r="H4285" t="s">
        <v>855</v>
      </c>
      <c r="I4285" t="str">
        <f>VLOOKUP(C4285,Customers!A:C,2,FALSE)&amp;" "&amp;VLOOKUP(C4285,Customers!A:C,3,FALSE)</f>
        <v>Lindsey Holder</v>
      </c>
      <c r="J4285" t="str">
        <f>VLOOKUP(D4285,Products!A:C,2,FALSE)</f>
        <v>Chair Laptop</v>
      </c>
      <c r="K4285" t="str">
        <f>VLOOKUP(D4285,Products!A:C,3,FALSE)</f>
        <v>Electronics</v>
      </c>
      <c r="L4285" t="str">
        <f>VLOOKUP(E4285,Stores!A:B,2,FALSE)</f>
        <v>MegaMart Brianahaven</v>
      </c>
      <c r="M4285">
        <f>VLOOKUP(D4285,Products!A:E,5,FALSE)</f>
        <v>1562.43</v>
      </c>
      <c r="N4285" s="5">
        <f t="shared" si="66"/>
        <v>4687.29</v>
      </c>
    </row>
    <row r="4286" spans="1:14" x14ac:dyDescent="0.3">
      <c r="A4286" t="s">
        <v>5142</v>
      </c>
      <c r="B4286" s="2">
        <v>45884</v>
      </c>
      <c r="C4286" t="s">
        <v>693</v>
      </c>
      <c r="D4286" t="s">
        <v>780</v>
      </c>
      <c r="E4286" t="s">
        <v>846</v>
      </c>
      <c r="F4286">
        <v>2</v>
      </c>
      <c r="G4286">
        <v>0.15</v>
      </c>
      <c r="H4286" t="s">
        <v>855</v>
      </c>
      <c r="I4286" t="str">
        <f>VLOOKUP(C4286,Customers!A:C,2,FALSE)&amp;" "&amp;VLOOKUP(C4286,Customers!A:C,3,FALSE)</f>
        <v>Matthew Dixon</v>
      </c>
      <c r="J4286" t="str">
        <f>VLOOKUP(D4286,Products!A:C,2,FALSE)</f>
        <v>Hospital Smartphone</v>
      </c>
      <c r="K4286" t="str">
        <f>VLOOKUP(D4286,Products!A:C,3,FALSE)</f>
        <v>Electronics</v>
      </c>
      <c r="L4286" t="str">
        <f>VLOOKUP(E4286,Stores!A:B,2,FALSE)</f>
        <v>MegaMart Johnmouth</v>
      </c>
      <c r="M4286">
        <f>VLOOKUP(D4286,Products!A:E,5,FALSE)</f>
        <v>1272.23</v>
      </c>
      <c r="N4286" s="5">
        <f t="shared" si="66"/>
        <v>2162.7910000000002</v>
      </c>
    </row>
    <row r="4287" spans="1:14" x14ac:dyDescent="0.3">
      <c r="A4287" t="s">
        <v>5143</v>
      </c>
      <c r="B4287" s="2">
        <v>45221</v>
      </c>
      <c r="C4287" t="s">
        <v>415</v>
      </c>
      <c r="D4287" t="s">
        <v>810</v>
      </c>
      <c r="E4287" t="s">
        <v>842</v>
      </c>
      <c r="F4287">
        <v>5</v>
      </c>
      <c r="G4287">
        <v>0</v>
      </c>
      <c r="H4287" t="s">
        <v>858</v>
      </c>
      <c r="I4287" t="str">
        <f>VLOOKUP(C4287,Customers!A:C,2,FALSE)&amp;" "&amp;VLOOKUP(C4287,Customers!A:C,3,FALSE)</f>
        <v>Dylan Booker</v>
      </c>
      <c r="J4287" t="str">
        <f>VLOOKUP(D4287,Products!A:C,2,FALSE)</f>
        <v>Maybe Clothing</v>
      </c>
      <c r="K4287" t="str">
        <f>VLOOKUP(D4287,Products!A:C,3,FALSE)</f>
        <v>Fashion</v>
      </c>
      <c r="L4287" t="str">
        <f>VLOOKUP(E4287,Stores!A:B,2,FALSE)</f>
        <v>MegaMart Brianahaven</v>
      </c>
      <c r="M4287">
        <f>VLOOKUP(D4287,Products!A:E,5,FALSE)</f>
        <v>453.62</v>
      </c>
      <c r="N4287" s="5">
        <f t="shared" si="66"/>
        <v>2268.1</v>
      </c>
    </row>
    <row r="4288" spans="1:14" x14ac:dyDescent="0.3">
      <c r="A4288" t="s">
        <v>5144</v>
      </c>
      <c r="B4288" s="2">
        <v>45807</v>
      </c>
      <c r="C4288" t="s">
        <v>653</v>
      </c>
      <c r="D4288" t="s">
        <v>782</v>
      </c>
      <c r="E4288" t="s">
        <v>831</v>
      </c>
      <c r="F4288">
        <v>1</v>
      </c>
      <c r="G4288">
        <v>0.15</v>
      </c>
      <c r="H4288" t="s">
        <v>861</v>
      </c>
      <c r="I4288" t="str">
        <f>VLOOKUP(C4288,Customers!A:C,2,FALSE)&amp;" "&amp;VLOOKUP(C4288,Customers!A:C,3,FALSE)</f>
        <v>Joe Vincent</v>
      </c>
      <c r="J4288" t="str">
        <f>VLOOKUP(D4288,Products!A:C,2,FALSE)</f>
        <v>Deal Smartphone</v>
      </c>
      <c r="K4288" t="str">
        <f>VLOOKUP(D4288,Products!A:C,3,FALSE)</f>
        <v>Electronics</v>
      </c>
      <c r="L4288" t="str">
        <f>VLOOKUP(E4288,Stores!A:B,2,FALSE)</f>
        <v>MegaMart Jimenezborough</v>
      </c>
      <c r="M4288">
        <f>VLOOKUP(D4288,Products!A:E,5,FALSE)</f>
        <v>673.78</v>
      </c>
      <c r="N4288" s="5">
        <f t="shared" si="66"/>
        <v>572.71299999999997</v>
      </c>
    </row>
    <row r="4289" spans="1:14" x14ac:dyDescent="0.3">
      <c r="A4289" t="s">
        <v>5145</v>
      </c>
      <c r="B4289" s="2">
        <v>45544</v>
      </c>
      <c r="C4289" t="s">
        <v>399</v>
      </c>
      <c r="D4289" t="s">
        <v>753</v>
      </c>
      <c r="E4289" t="s">
        <v>831</v>
      </c>
      <c r="F4289">
        <v>1</v>
      </c>
      <c r="G4289">
        <v>0</v>
      </c>
      <c r="H4289" t="s">
        <v>861</v>
      </c>
      <c r="I4289" t="str">
        <f>VLOOKUP(C4289,Customers!A:C,2,FALSE)&amp;" "&amp;VLOOKUP(C4289,Customers!A:C,3,FALSE)</f>
        <v>Victoria Hansen</v>
      </c>
      <c r="J4289" t="str">
        <f>VLOOKUP(D4289,Products!A:C,2,FALSE)</f>
        <v>Whether Bags</v>
      </c>
      <c r="K4289" t="str">
        <f>VLOOKUP(D4289,Products!A:C,3,FALSE)</f>
        <v>Fashion</v>
      </c>
      <c r="L4289" t="str">
        <f>VLOOKUP(E4289,Stores!A:B,2,FALSE)</f>
        <v>MegaMart Jimenezborough</v>
      </c>
      <c r="M4289">
        <f>VLOOKUP(D4289,Products!A:E,5,FALSE)</f>
        <v>270.45</v>
      </c>
      <c r="N4289" s="5">
        <f t="shared" si="66"/>
        <v>270.45</v>
      </c>
    </row>
    <row r="4290" spans="1:14" x14ac:dyDescent="0.3">
      <c r="A4290" t="s">
        <v>5146</v>
      </c>
      <c r="B4290" s="2">
        <v>45214</v>
      </c>
      <c r="C4290" t="s">
        <v>411</v>
      </c>
      <c r="D4290" t="s">
        <v>764</v>
      </c>
      <c r="E4290" t="s">
        <v>839</v>
      </c>
      <c r="F4290">
        <v>1</v>
      </c>
      <c r="G4290">
        <v>0</v>
      </c>
      <c r="H4290" t="s">
        <v>861</v>
      </c>
      <c r="I4290" t="str">
        <f>VLOOKUP(C4290,Customers!A:C,2,FALSE)&amp;" "&amp;VLOOKUP(C4290,Customers!A:C,3,FALSE)</f>
        <v>Travis Peters</v>
      </c>
      <c r="J4290" t="str">
        <f>VLOOKUP(D4290,Products!A:C,2,FALSE)</f>
        <v>Simple Accessories</v>
      </c>
      <c r="K4290" t="str">
        <f>VLOOKUP(D4290,Products!A:C,3,FALSE)</f>
        <v>Fashion</v>
      </c>
      <c r="L4290" t="str">
        <f>VLOOKUP(E4290,Stores!A:B,2,FALSE)</f>
        <v>MegaMart New Michele</v>
      </c>
      <c r="M4290">
        <f>VLOOKUP(D4290,Products!A:E,5,FALSE)</f>
        <v>323.92</v>
      </c>
      <c r="N4290" s="5">
        <f t="shared" si="66"/>
        <v>323.92</v>
      </c>
    </row>
    <row r="4291" spans="1:14" x14ac:dyDescent="0.3">
      <c r="A4291" t="s">
        <v>5147</v>
      </c>
      <c r="B4291" s="2">
        <v>45298</v>
      </c>
      <c r="C4291" t="s">
        <v>266</v>
      </c>
      <c r="D4291" t="s">
        <v>792</v>
      </c>
      <c r="E4291" t="s">
        <v>839</v>
      </c>
      <c r="F4291">
        <v>3</v>
      </c>
      <c r="G4291">
        <v>0.1</v>
      </c>
      <c r="H4291" t="s">
        <v>861</v>
      </c>
      <c r="I4291" t="str">
        <f>VLOOKUP(C4291,Customers!A:C,2,FALSE)&amp;" "&amp;VLOOKUP(C4291,Customers!A:C,3,FALSE)</f>
        <v>Eric Bryan</v>
      </c>
      <c r="J4291" t="str">
        <f>VLOOKUP(D4291,Products!A:C,2,FALSE)</f>
        <v>Beat Accessories</v>
      </c>
      <c r="K4291" t="str">
        <f>VLOOKUP(D4291,Products!A:C,3,FALSE)</f>
        <v>Fashion</v>
      </c>
      <c r="L4291" t="str">
        <f>VLOOKUP(E4291,Stores!A:B,2,FALSE)</f>
        <v>MegaMart New Michele</v>
      </c>
      <c r="M4291">
        <f>VLOOKUP(D4291,Products!A:E,5,FALSE)</f>
        <v>1798.97</v>
      </c>
      <c r="N4291" s="5">
        <f t="shared" ref="N4291:N4354" si="67">F4291*M4291*(1-G4291)</f>
        <v>4857.2190000000001</v>
      </c>
    </row>
    <row r="4292" spans="1:14" x14ac:dyDescent="0.3">
      <c r="A4292" t="s">
        <v>5148</v>
      </c>
      <c r="B4292" s="2">
        <v>45541</v>
      </c>
      <c r="C4292" t="s">
        <v>554</v>
      </c>
      <c r="D4292" t="s">
        <v>784</v>
      </c>
      <c r="E4292" t="s">
        <v>846</v>
      </c>
      <c r="F4292">
        <v>1</v>
      </c>
      <c r="G4292">
        <v>0.15</v>
      </c>
      <c r="H4292" t="s">
        <v>858</v>
      </c>
      <c r="I4292" t="str">
        <f>VLOOKUP(C4292,Customers!A:C,2,FALSE)&amp;" "&amp;VLOOKUP(C4292,Customers!A:C,3,FALSE)</f>
        <v>Lisa Martinez</v>
      </c>
      <c r="J4292" t="str">
        <f>VLOOKUP(D4292,Products!A:C,2,FALSE)</f>
        <v>Road Clothing</v>
      </c>
      <c r="K4292" t="str">
        <f>VLOOKUP(D4292,Products!A:C,3,FALSE)</f>
        <v>Fashion</v>
      </c>
      <c r="L4292" t="str">
        <f>VLOOKUP(E4292,Stores!A:B,2,FALSE)</f>
        <v>MegaMart Johnmouth</v>
      </c>
      <c r="M4292">
        <f>VLOOKUP(D4292,Products!A:E,5,FALSE)</f>
        <v>1485.05</v>
      </c>
      <c r="N4292" s="5">
        <f t="shared" si="67"/>
        <v>1262.2925</v>
      </c>
    </row>
    <row r="4293" spans="1:14" x14ac:dyDescent="0.3">
      <c r="A4293" t="s">
        <v>5149</v>
      </c>
      <c r="B4293" s="2">
        <v>45591</v>
      </c>
      <c r="C4293" t="s">
        <v>270</v>
      </c>
      <c r="D4293" t="s">
        <v>804</v>
      </c>
      <c r="E4293" t="s">
        <v>839</v>
      </c>
      <c r="F4293">
        <v>4</v>
      </c>
      <c r="G4293">
        <v>0.15</v>
      </c>
      <c r="H4293" t="s">
        <v>855</v>
      </c>
      <c r="I4293" t="str">
        <f>VLOOKUP(C4293,Customers!A:C,2,FALSE)&amp;" "&amp;VLOOKUP(C4293,Customers!A:C,3,FALSE)</f>
        <v>Denise Gutierrez</v>
      </c>
      <c r="J4293" t="str">
        <f>VLOOKUP(D4293,Products!A:C,2,FALSE)</f>
        <v>Church Clothing</v>
      </c>
      <c r="K4293" t="str">
        <f>VLOOKUP(D4293,Products!A:C,3,FALSE)</f>
        <v>Fashion</v>
      </c>
      <c r="L4293" t="str">
        <f>VLOOKUP(E4293,Stores!A:B,2,FALSE)</f>
        <v>MegaMart New Michele</v>
      </c>
      <c r="M4293">
        <f>VLOOKUP(D4293,Products!A:E,5,FALSE)</f>
        <v>540.94000000000005</v>
      </c>
      <c r="N4293" s="5">
        <f t="shared" si="67"/>
        <v>1839.1960000000001</v>
      </c>
    </row>
    <row r="4294" spans="1:14" x14ac:dyDescent="0.3">
      <c r="A4294" t="s">
        <v>5150</v>
      </c>
      <c r="B4294" s="2">
        <v>45729</v>
      </c>
      <c r="C4294" t="s">
        <v>167</v>
      </c>
      <c r="D4294" t="s">
        <v>766</v>
      </c>
      <c r="E4294" t="s">
        <v>839</v>
      </c>
      <c r="F4294">
        <v>1</v>
      </c>
      <c r="G4294">
        <v>0.15</v>
      </c>
      <c r="H4294" t="s">
        <v>861</v>
      </c>
      <c r="I4294" t="str">
        <f>VLOOKUP(C4294,Customers!A:C,2,FALSE)&amp;" "&amp;VLOOKUP(C4294,Customers!A:C,3,FALSE)</f>
        <v>Kenneth Allen</v>
      </c>
      <c r="J4294" t="str">
        <f>VLOOKUP(D4294,Products!A:C,2,FALSE)</f>
        <v>Firm Dairy</v>
      </c>
      <c r="K4294" t="str">
        <f>VLOOKUP(D4294,Products!A:C,3,FALSE)</f>
        <v>Groceries</v>
      </c>
      <c r="L4294" t="str">
        <f>VLOOKUP(E4294,Stores!A:B,2,FALSE)</f>
        <v>MegaMart New Michele</v>
      </c>
      <c r="M4294">
        <f>VLOOKUP(D4294,Products!A:E,5,FALSE)</f>
        <v>1227.24</v>
      </c>
      <c r="N4294" s="5">
        <f t="shared" si="67"/>
        <v>1043.154</v>
      </c>
    </row>
    <row r="4295" spans="1:14" x14ac:dyDescent="0.3">
      <c r="A4295" t="s">
        <v>5151</v>
      </c>
      <c r="B4295" s="2">
        <v>45424</v>
      </c>
      <c r="C4295" t="s">
        <v>702</v>
      </c>
      <c r="D4295" t="s">
        <v>808</v>
      </c>
      <c r="E4295" t="s">
        <v>835</v>
      </c>
      <c r="F4295">
        <v>1</v>
      </c>
      <c r="G4295">
        <v>0.1</v>
      </c>
      <c r="H4295" t="s">
        <v>855</v>
      </c>
      <c r="I4295" t="str">
        <f>VLOOKUP(C4295,Customers!A:C,2,FALSE)&amp;" "&amp;VLOOKUP(C4295,Customers!A:C,3,FALSE)</f>
        <v>Ronald Haley</v>
      </c>
      <c r="J4295" t="str">
        <f>VLOOKUP(D4295,Products!A:C,2,FALSE)</f>
        <v>Present Television</v>
      </c>
      <c r="K4295" t="str">
        <f>VLOOKUP(D4295,Products!A:C,3,FALSE)</f>
        <v>Electronics</v>
      </c>
      <c r="L4295" t="str">
        <f>VLOOKUP(E4295,Stores!A:B,2,FALSE)</f>
        <v>MegaMart Peckmouth</v>
      </c>
      <c r="M4295">
        <f>VLOOKUP(D4295,Products!A:E,5,FALSE)</f>
        <v>1635.01</v>
      </c>
      <c r="N4295" s="5">
        <f t="shared" si="67"/>
        <v>1471.509</v>
      </c>
    </row>
    <row r="4296" spans="1:14" x14ac:dyDescent="0.3">
      <c r="A4296" t="s">
        <v>5152</v>
      </c>
      <c r="B4296" s="2">
        <v>45740</v>
      </c>
      <c r="C4296" t="s">
        <v>563</v>
      </c>
      <c r="D4296" t="s">
        <v>745</v>
      </c>
      <c r="E4296" t="s">
        <v>846</v>
      </c>
      <c r="F4296">
        <v>4</v>
      </c>
      <c r="G4296">
        <v>0.15</v>
      </c>
      <c r="H4296" t="s">
        <v>861</v>
      </c>
      <c r="I4296" t="str">
        <f>VLOOKUP(C4296,Customers!A:C,2,FALSE)&amp;" "&amp;VLOOKUP(C4296,Customers!A:C,3,FALSE)</f>
        <v>Connie Terry</v>
      </c>
      <c r="J4296" t="str">
        <f>VLOOKUP(D4296,Products!A:C,2,FALSE)</f>
        <v>Above Camera</v>
      </c>
      <c r="K4296" t="str">
        <f>VLOOKUP(D4296,Products!A:C,3,FALSE)</f>
        <v>Electronics</v>
      </c>
      <c r="L4296" t="str">
        <f>VLOOKUP(E4296,Stores!A:B,2,FALSE)</f>
        <v>MegaMart Johnmouth</v>
      </c>
      <c r="M4296">
        <f>VLOOKUP(D4296,Products!A:E,5,FALSE)</f>
        <v>1193.0899999999999</v>
      </c>
      <c r="N4296" s="5">
        <f t="shared" si="67"/>
        <v>4056.5059999999994</v>
      </c>
    </row>
    <row r="4297" spans="1:14" x14ac:dyDescent="0.3">
      <c r="A4297" t="s">
        <v>5153</v>
      </c>
      <c r="B4297" s="2">
        <v>45844</v>
      </c>
      <c r="C4297" t="s">
        <v>306</v>
      </c>
      <c r="D4297" t="s">
        <v>778</v>
      </c>
      <c r="E4297" t="s">
        <v>842</v>
      </c>
      <c r="F4297">
        <v>2</v>
      </c>
      <c r="G4297">
        <v>0.05</v>
      </c>
      <c r="H4297" t="s">
        <v>861</v>
      </c>
      <c r="I4297" t="str">
        <f>VLOOKUP(C4297,Customers!A:C,2,FALSE)&amp;" "&amp;VLOOKUP(C4297,Customers!A:C,3,FALSE)</f>
        <v>Sarah Reynolds</v>
      </c>
      <c r="J4297" t="str">
        <f>VLOOKUP(D4297,Products!A:C,2,FALSE)</f>
        <v>Behavior Dairy</v>
      </c>
      <c r="K4297" t="str">
        <f>VLOOKUP(D4297,Products!A:C,3,FALSE)</f>
        <v>Groceries</v>
      </c>
      <c r="L4297" t="str">
        <f>VLOOKUP(E4297,Stores!A:B,2,FALSE)</f>
        <v>MegaMart Brianahaven</v>
      </c>
      <c r="M4297">
        <f>VLOOKUP(D4297,Products!A:E,5,FALSE)</f>
        <v>1015.76</v>
      </c>
      <c r="N4297" s="5">
        <f t="shared" si="67"/>
        <v>1929.944</v>
      </c>
    </row>
    <row r="4298" spans="1:14" x14ac:dyDescent="0.3">
      <c r="A4298" t="s">
        <v>5154</v>
      </c>
      <c r="B4298" s="2">
        <v>45262</v>
      </c>
      <c r="C4298" t="s">
        <v>127</v>
      </c>
      <c r="D4298" t="s">
        <v>764</v>
      </c>
      <c r="E4298" t="s">
        <v>846</v>
      </c>
      <c r="F4298">
        <v>1</v>
      </c>
      <c r="G4298">
        <v>0.1</v>
      </c>
      <c r="H4298" t="s">
        <v>861</v>
      </c>
      <c r="I4298" t="str">
        <f>VLOOKUP(C4298,Customers!A:C,2,FALSE)&amp;" "&amp;VLOOKUP(C4298,Customers!A:C,3,FALSE)</f>
        <v>Valerie Macdonald</v>
      </c>
      <c r="J4298" t="str">
        <f>VLOOKUP(D4298,Products!A:C,2,FALSE)</f>
        <v>Simple Accessories</v>
      </c>
      <c r="K4298" t="str">
        <f>VLOOKUP(D4298,Products!A:C,3,FALSE)</f>
        <v>Fashion</v>
      </c>
      <c r="L4298" t="str">
        <f>VLOOKUP(E4298,Stores!A:B,2,FALSE)</f>
        <v>MegaMart Johnmouth</v>
      </c>
      <c r="M4298">
        <f>VLOOKUP(D4298,Products!A:E,5,FALSE)</f>
        <v>323.92</v>
      </c>
      <c r="N4298" s="5">
        <f t="shared" si="67"/>
        <v>291.52800000000002</v>
      </c>
    </row>
    <row r="4299" spans="1:14" x14ac:dyDescent="0.3">
      <c r="A4299" t="s">
        <v>5155</v>
      </c>
      <c r="B4299" s="2">
        <v>45773</v>
      </c>
      <c r="C4299" t="s">
        <v>217</v>
      </c>
      <c r="D4299" t="s">
        <v>792</v>
      </c>
      <c r="E4299" t="s">
        <v>839</v>
      </c>
      <c r="F4299">
        <v>4</v>
      </c>
      <c r="G4299">
        <v>0</v>
      </c>
      <c r="H4299" t="s">
        <v>855</v>
      </c>
      <c r="I4299" t="str">
        <f>VLOOKUP(C4299,Customers!A:C,2,FALSE)&amp;" "&amp;VLOOKUP(C4299,Customers!A:C,3,FALSE)</f>
        <v>Carl Wyatt</v>
      </c>
      <c r="J4299" t="str">
        <f>VLOOKUP(D4299,Products!A:C,2,FALSE)</f>
        <v>Beat Accessories</v>
      </c>
      <c r="K4299" t="str">
        <f>VLOOKUP(D4299,Products!A:C,3,FALSE)</f>
        <v>Fashion</v>
      </c>
      <c r="L4299" t="str">
        <f>VLOOKUP(E4299,Stores!A:B,2,FALSE)</f>
        <v>MegaMart New Michele</v>
      </c>
      <c r="M4299">
        <f>VLOOKUP(D4299,Products!A:E,5,FALSE)</f>
        <v>1798.97</v>
      </c>
      <c r="N4299" s="5">
        <f t="shared" si="67"/>
        <v>7195.88</v>
      </c>
    </row>
    <row r="4300" spans="1:14" x14ac:dyDescent="0.3">
      <c r="A4300" t="s">
        <v>5156</v>
      </c>
      <c r="B4300" s="2">
        <v>45240</v>
      </c>
      <c r="C4300" t="s">
        <v>469</v>
      </c>
      <c r="D4300" t="s">
        <v>810</v>
      </c>
      <c r="E4300" t="s">
        <v>839</v>
      </c>
      <c r="F4300">
        <v>4</v>
      </c>
      <c r="G4300">
        <v>0.15</v>
      </c>
      <c r="H4300" t="s">
        <v>855</v>
      </c>
      <c r="I4300" t="str">
        <f>VLOOKUP(C4300,Customers!A:C,2,FALSE)&amp;" "&amp;VLOOKUP(C4300,Customers!A:C,3,FALSE)</f>
        <v>Robert Collins</v>
      </c>
      <c r="J4300" t="str">
        <f>VLOOKUP(D4300,Products!A:C,2,FALSE)</f>
        <v>Maybe Clothing</v>
      </c>
      <c r="K4300" t="str">
        <f>VLOOKUP(D4300,Products!A:C,3,FALSE)</f>
        <v>Fashion</v>
      </c>
      <c r="L4300" t="str">
        <f>VLOOKUP(E4300,Stores!A:B,2,FALSE)</f>
        <v>MegaMart New Michele</v>
      </c>
      <c r="M4300">
        <f>VLOOKUP(D4300,Products!A:E,5,FALSE)</f>
        <v>453.62</v>
      </c>
      <c r="N4300" s="5">
        <f t="shared" si="67"/>
        <v>1542.308</v>
      </c>
    </row>
    <row r="4301" spans="1:14" x14ac:dyDescent="0.3">
      <c r="A4301" t="s">
        <v>5157</v>
      </c>
      <c r="B4301" s="2">
        <v>45191</v>
      </c>
      <c r="C4301" t="s">
        <v>505</v>
      </c>
      <c r="D4301" t="s">
        <v>725</v>
      </c>
      <c r="E4301" t="s">
        <v>839</v>
      </c>
      <c r="F4301">
        <v>3</v>
      </c>
      <c r="G4301">
        <v>0.1</v>
      </c>
      <c r="H4301" t="s">
        <v>861</v>
      </c>
      <c r="I4301" t="str">
        <f>VLOOKUP(C4301,Customers!A:C,2,FALSE)&amp;" "&amp;VLOOKUP(C4301,Customers!A:C,3,FALSE)</f>
        <v>Alexander Mcfarland</v>
      </c>
      <c r="J4301" t="str">
        <f>VLOOKUP(D4301,Products!A:C,2,FALSE)</f>
        <v>Knowledge Bags</v>
      </c>
      <c r="K4301" t="str">
        <f>VLOOKUP(D4301,Products!A:C,3,FALSE)</f>
        <v>Fashion</v>
      </c>
      <c r="L4301" t="str">
        <f>VLOOKUP(E4301,Stores!A:B,2,FALSE)</f>
        <v>MegaMart New Michele</v>
      </c>
      <c r="M4301">
        <f>VLOOKUP(D4301,Products!A:E,5,FALSE)</f>
        <v>1396.22</v>
      </c>
      <c r="N4301" s="5">
        <f t="shared" si="67"/>
        <v>3769.7939999999999</v>
      </c>
    </row>
    <row r="4302" spans="1:14" x14ac:dyDescent="0.3">
      <c r="A4302" t="s">
        <v>5158</v>
      </c>
      <c r="B4302" s="2">
        <v>45347</v>
      </c>
      <c r="C4302" t="s">
        <v>554</v>
      </c>
      <c r="D4302" t="s">
        <v>798</v>
      </c>
      <c r="E4302" t="s">
        <v>842</v>
      </c>
      <c r="F4302">
        <v>3</v>
      </c>
      <c r="G4302">
        <v>0.05</v>
      </c>
      <c r="H4302" t="s">
        <v>865</v>
      </c>
      <c r="I4302" t="str">
        <f>VLOOKUP(C4302,Customers!A:C,2,FALSE)&amp;" "&amp;VLOOKUP(C4302,Customers!A:C,3,FALSE)</f>
        <v>Lisa Martinez</v>
      </c>
      <c r="J4302" t="str">
        <f>VLOOKUP(D4302,Products!A:C,2,FALSE)</f>
        <v>New Watches</v>
      </c>
      <c r="K4302" t="str">
        <f>VLOOKUP(D4302,Products!A:C,3,FALSE)</f>
        <v>Fashion</v>
      </c>
      <c r="L4302" t="str">
        <f>VLOOKUP(E4302,Stores!A:B,2,FALSE)</f>
        <v>MegaMart Brianahaven</v>
      </c>
      <c r="M4302">
        <f>VLOOKUP(D4302,Products!A:E,5,FALSE)</f>
        <v>1501.46</v>
      </c>
      <c r="N4302" s="5">
        <f t="shared" si="67"/>
        <v>4279.1610000000001</v>
      </c>
    </row>
    <row r="4303" spans="1:14" x14ac:dyDescent="0.3">
      <c r="A4303" t="s">
        <v>5159</v>
      </c>
      <c r="B4303" s="2">
        <v>45383</v>
      </c>
      <c r="C4303" t="s">
        <v>230</v>
      </c>
      <c r="D4303" t="s">
        <v>798</v>
      </c>
      <c r="E4303" t="s">
        <v>846</v>
      </c>
      <c r="F4303">
        <v>2</v>
      </c>
      <c r="G4303">
        <v>0.1</v>
      </c>
      <c r="H4303" t="s">
        <v>865</v>
      </c>
      <c r="I4303" t="str">
        <f>VLOOKUP(C4303,Customers!A:C,2,FALSE)&amp;" "&amp;VLOOKUP(C4303,Customers!A:C,3,FALSE)</f>
        <v>Anthony Conway</v>
      </c>
      <c r="J4303" t="str">
        <f>VLOOKUP(D4303,Products!A:C,2,FALSE)</f>
        <v>New Watches</v>
      </c>
      <c r="K4303" t="str">
        <f>VLOOKUP(D4303,Products!A:C,3,FALSE)</f>
        <v>Fashion</v>
      </c>
      <c r="L4303" t="str">
        <f>VLOOKUP(E4303,Stores!A:B,2,FALSE)</f>
        <v>MegaMart Johnmouth</v>
      </c>
      <c r="M4303">
        <f>VLOOKUP(D4303,Products!A:E,5,FALSE)</f>
        <v>1501.46</v>
      </c>
      <c r="N4303" s="5">
        <f t="shared" si="67"/>
        <v>2702.6280000000002</v>
      </c>
    </row>
    <row r="4304" spans="1:14" x14ac:dyDescent="0.3">
      <c r="A4304" t="s">
        <v>5160</v>
      </c>
      <c r="B4304" s="2">
        <v>45809</v>
      </c>
      <c r="C4304" t="s">
        <v>464</v>
      </c>
      <c r="D4304" t="s">
        <v>711</v>
      </c>
      <c r="E4304" t="s">
        <v>831</v>
      </c>
      <c r="F4304">
        <v>2</v>
      </c>
      <c r="G4304">
        <v>0.1</v>
      </c>
      <c r="H4304" t="s">
        <v>855</v>
      </c>
      <c r="I4304" t="str">
        <f>VLOOKUP(C4304,Customers!A:C,2,FALSE)&amp;" "&amp;VLOOKUP(C4304,Customers!A:C,3,FALSE)</f>
        <v>Monique Johnson</v>
      </c>
      <c r="J4304" t="str">
        <f>VLOOKUP(D4304,Products!A:C,2,FALSE)</f>
        <v>Like Camera</v>
      </c>
      <c r="K4304" t="str">
        <f>VLOOKUP(D4304,Products!A:C,3,FALSE)</f>
        <v>Electronics</v>
      </c>
      <c r="L4304" t="str">
        <f>VLOOKUP(E4304,Stores!A:B,2,FALSE)</f>
        <v>MegaMart Jimenezborough</v>
      </c>
      <c r="M4304">
        <f>VLOOKUP(D4304,Products!A:E,5,FALSE)</f>
        <v>1673.69</v>
      </c>
      <c r="N4304" s="5">
        <f t="shared" si="67"/>
        <v>3012.6420000000003</v>
      </c>
    </row>
    <row r="4305" spans="1:14" x14ac:dyDescent="0.3">
      <c r="A4305" t="s">
        <v>5161</v>
      </c>
      <c r="B4305" s="2">
        <v>45548</v>
      </c>
      <c r="C4305" t="s">
        <v>661</v>
      </c>
      <c r="D4305" t="s">
        <v>745</v>
      </c>
      <c r="E4305" t="s">
        <v>839</v>
      </c>
      <c r="F4305">
        <v>2</v>
      </c>
      <c r="G4305">
        <v>0</v>
      </c>
      <c r="H4305" t="s">
        <v>861</v>
      </c>
      <c r="I4305" t="str">
        <f>VLOOKUP(C4305,Customers!A:C,2,FALSE)&amp;" "&amp;VLOOKUP(C4305,Customers!A:C,3,FALSE)</f>
        <v>Cynthia Cherry</v>
      </c>
      <c r="J4305" t="str">
        <f>VLOOKUP(D4305,Products!A:C,2,FALSE)</f>
        <v>Above Camera</v>
      </c>
      <c r="K4305" t="str">
        <f>VLOOKUP(D4305,Products!A:C,3,FALSE)</f>
        <v>Electronics</v>
      </c>
      <c r="L4305" t="str">
        <f>VLOOKUP(E4305,Stores!A:B,2,FALSE)</f>
        <v>MegaMart New Michele</v>
      </c>
      <c r="M4305">
        <f>VLOOKUP(D4305,Products!A:E,5,FALSE)</f>
        <v>1193.0899999999999</v>
      </c>
      <c r="N4305" s="5">
        <f t="shared" si="67"/>
        <v>2386.1799999999998</v>
      </c>
    </row>
    <row r="4306" spans="1:14" x14ac:dyDescent="0.3">
      <c r="A4306" t="s">
        <v>5162</v>
      </c>
      <c r="B4306" s="2">
        <v>45488</v>
      </c>
      <c r="C4306" t="s">
        <v>636</v>
      </c>
      <c r="D4306" t="s">
        <v>715</v>
      </c>
      <c r="E4306" t="s">
        <v>846</v>
      </c>
      <c r="F4306">
        <v>1</v>
      </c>
      <c r="G4306">
        <v>0</v>
      </c>
      <c r="H4306" t="s">
        <v>861</v>
      </c>
      <c r="I4306" t="str">
        <f>VLOOKUP(C4306,Customers!A:C,2,FALSE)&amp;" "&amp;VLOOKUP(C4306,Customers!A:C,3,FALSE)</f>
        <v>Nichole Calhoun</v>
      </c>
      <c r="J4306" t="str">
        <f>VLOOKUP(D4306,Products!A:C,2,FALSE)</f>
        <v>Audience Television</v>
      </c>
      <c r="K4306" t="str">
        <f>VLOOKUP(D4306,Products!A:C,3,FALSE)</f>
        <v>Electronics</v>
      </c>
      <c r="L4306" t="str">
        <f>VLOOKUP(E4306,Stores!A:B,2,FALSE)</f>
        <v>MegaMart Johnmouth</v>
      </c>
      <c r="M4306">
        <f>VLOOKUP(D4306,Products!A:E,5,FALSE)</f>
        <v>818.76</v>
      </c>
      <c r="N4306" s="5">
        <f t="shared" si="67"/>
        <v>818.76</v>
      </c>
    </row>
    <row r="4307" spans="1:14" x14ac:dyDescent="0.3">
      <c r="A4307" t="s">
        <v>5163</v>
      </c>
      <c r="B4307" s="2">
        <v>45843</v>
      </c>
      <c r="C4307" t="s">
        <v>379</v>
      </c>
      <c r="D4307" t="s">
        <v>722</v>
      </c>
      <c r="E4307" t="s">
        <v>835</v>
      </c>
      <c r="F4307">
        <v>2</v>
      </c>
      <c r="G4307">
        <v>0</v>
      </c>
      <c r="H4307" t="s">
        <v>865</v>
      </c>
      <c r="I4307" t="str">
        <f>VLOOKUP(C4307,Customers!A:C,2,FALSE)&amp;" "&amp;VLOOKUP(C4307,Customers!A:C,3,FALSE)</f>
        <v>William Pope</v>
      </c>
      <c r="J4307" t="str">
        <f>VLOOKUP(D4307,Products!A:C,2,FALSE)</f>
        <v>Four Accessories</v>
      </c>
      <c r="K4307" t="str">
        <f>VLOOKUP(D4307,Products!A:C,3,FALSE)</f>
        <v>Fashion</v>
      </c>
      <c r="L4307" t="str">
        <f>VLOOKUP(E4307,Stores!A:B,2,FALSE)</f>
        <v>MegaMart Peckmouth</v>
      </c>
      <c r="M4307">
        <f>VLOOKUP(D4307,Products!A:E,5,FALSE)</f>
        <v>1853.77</v>
      </c>
      <c r="N4307" s="5">
        <f t="shared" si="67"/>
        <v>3707.54</v>
      </c>
    </row>
    <row r="4308" spans="1:14" x14ac:dyDescent="0.3">
      <c r="A4308" t="s">
        <v>5164</v>
      </c>
      <c r="B4308" s="2">
        <v>45540</v>
      </c>
      <c r="C4308" t="s">
        <v>650</v>
      </c>
      <c r="D4308" t="s">
        <v>745</v>
      </c>
      <c r="E4308" t="s">
        <v>842</v>
      </c>
      <c r="F4308">
        <v>2</v>
      </c>
      <c r="G4308">
        <v>0.05</v>
      </c>
      <c r="H4308" t="s">
        <v>858</v>
      </c>
      <c r="I4308" t="str">
        <f>VLOOKUP(C4308,Customers!A:C,2,FALSE)&amp;" "&amp;VLOOKUP(C4308,Customers!A:C,3,FALSE)</f>
        <v>Daniel Mcintyre</v>
      </c>
      <c r="J4308" t="str">
        <f>VLOOKUP(D4308,Products!A:C,2,FALSE)</f>
        <v>Above Camera</v>
      </c>
      <c r="K4308" t="str">
        <f>VLOOKUP(D4308,Products!A:C,3,FALSE)</f>
        <v>Electronics</v>
      </c>
      <c r="L4308" t="str">
        <f>VLOOKUP(E4308,Stores!A:B,2,FALSE)</f>
        <v>MegaMart Brianahaven</v>
      </c>
      <c r="M4308">
        <f>VLOOKUP(D4308,Products!A:E,5,FALSE)</f>
        <v>1193.0899999999999</v>
      </c>
      <c r="N4308" s="5">
        <f t="shared" si="67"/>
        <v>2266.8709999999996</v>
      </c>
    </row>
    <row r="4309" spans="1:14" x14ac:dyDescent="0.3">
      <c r="A4309" t="s">
        <v>5165</v>
      </c>
      <c r="B4309" s="2">
        <v>45441</v>
      </c>
      <c r="C4309" t="s">
        <v>467</v>
      </c>
      <c r="D4309" t="s">
        <v>725</v>
      </c>
      <c r="E4309" t="s">
        <v>835</v>
      </c>
      <c r="F4309">
        <v>4</v>
      </c>
      <c r="G4309">
        <v>0.1</v>
      </c>
      <c r="H4309" t="s">
        <v>861</v>
      </c>
      <c r="I4309" t="str">
        <f>VLOOKUP(C4309,Customers!A:C,2,FALSE)&amp;" "&amp;VLOOKUP(C4309,Customers!A:C,3,FALSE)</f>
        <v>John Allen</v>
      </c>
      <c r="J4309" t="str">
        <f>VLOOKUP(D4309,Products!A:C,2,FALSE)</f>
        <v>Knowledge Bags</v>
      </c>
      <c r="K4309" t="str">
        <f>VLOOKUP(D4309,Products!A:C,3,FALSE)</f>
        <v>Fashion</v>
      </c>
      <c r="L4309" t="str">
        <f>VLOOKUP(E4309,Stores!A:B,2,FALSE)</f>
        <v>MegaMart Peckmouth</v>
      </c>
      <c r="M4309">
        <f>VLOOKUP(D4309,Products!A:E,5,FALSE)</f>
        <v>1396.22</v>
      </c>
      <c r="N4309" s="5">
        <f t="shared" si="67"/>
        <v>5026.3919999999998</v>
      </c>
    </row>
    <row r="4310" spans="1:14" x14ac:dyDescent="0.3">
      <c r="A4310" t="s">
        <v>5166</v>
      </c>
      <c r="B4310" s="2">
        <v>45663</v>
      </c>
      <c r="C4310" t="s">
        <v>570</v>
      </c>
      <c r="D4310" t="s">
        <v>747</v>
      </c>
      <c r="E4310" t="s">
        <v>839</v>
      </c>
      <c r="F4310">
        <v>5</v>
      </c>
      <c r="G4310">
        <v>0.1</v>
      </c>
      <c r="H4310" t="s">
        <v>855</v>
      </c>
      <c r="I4310" t="str">
        <f>VLOOKUP(C4310,Customers!A:C,2,FALSE)&amp;" "&amp;VLOOKUP(C4310,Customers!A:C,3,FALSE)</f>
        <v>Thomas Chung</v>
      </c>
      <c r="J4310" t="str">
        <f>VLOOKUP(D4310,Products!A:C,2,FALSE)</f>
        <v>World Watches</v>
      </c>
      <c r="K4310" t="str">
        <f>VLOOKUP(D4310,Products!A:C,3,FALSE)</f>
        <v>Fashion</v>
      </c>
      <c r="L4310" t="str">
        <f>VLOOKUP(E4310,Stores!A:B,2,FALSE)</f>
        <v>MegaMart New Michele</v>
      </c>
      <c r="M4310">
        <f>VLOOKUP(D4310,Products!A:E,5,FALSE)</f>
        <v>1134.8</v>
      </c>
      <c r="N4310" s="5">
        <f t="shared" si="67"/>
        <v>5106.6000000000004</v>
      </c>
    </row>
    <row r="4311" spans="1:14" x14ac:dyDescent="0.3">
      <c r="A4311" t="s">
        <v>5167</v>
      </c>
      <c r="B4311" s="2">
        <v>45465</v>
      </c>
      <c r="C4311" t="s">
        <v>516</v>
      </c>
      <c r="D4311" t="s">
        <v>818</v>
      </c>
      <c r="E4311" t="s">
        <v>839</v>
      </c>
      <c r="F4311">
        <v>2</v>
      </c>
      <c r="G4311">
        <v>0.05</v>
      </c>
      <c r="H4311" t="s">
        <v>855</v>
      </c>
      <c r="I4311" t="str">
        <f>VLOOKUP(C4311,Customers!A:C,2,FALSE)&amp;" "&amp;VLOOKUP(C4311,Customers!A:C,3,FALSE)</f>
        <v>Suzanne Fox</v>
      </c>
      <c r="J4311" t="str">
        <f>VLOOKUP(D4311,Products!A:C,2,FALSE)</f>
        <v>Nature Clothing</v>
      </c>
      <c r="K4311" t="str">
        <f>VLOOKUP(D4311,Products!A:C,3,FALSE)</f>
        <v>Fashion</v>
      </c>
      <c r="L4311" t="str">
        <f>VLOOKUP(E4311,Stores!A:B,2,FALSE)</f>
        <v>MegaMart New Michele</v>
      </c>
      <c r="M4311">
        <f>VLOOKUP(D4311,Products!A:E,5,FALSE)</f>
        <v>1165.3699999999999</v>
      </c>
      <c r="N4311" s="5">
        <f t="shared" si="67"/>
        <v>2214.2029999999995</v>
      </c>
    </row>
    <row r="4312" spans="1:14" x14ac:dyDescent="0.3">
      <c r="A4312" t="s">
        <v>5168</v>
      </c>
      <c r="B4312" s="2">
        <v>45843</v>
      </c>
      <c r="C4312" t="s">
        <v>171</v>
      </c>
      <c r="D4312" t="s">
        <v>808</v>
      </c>
      <c r="E4312" t="s">
        <v>839</v>
      </c>
      <c r="F4312">
        <v>2</v>
      </c>
      <c r="G4312">
        <v>0.1</v>
      </c>
      <c r="H4312" t="s">
        <v>865</v>
      </c>
      <c r="I4312" t="str">
        <f>VLOOKUP(C4312,Customers!A:C,2,FALSE)&amp;" "&amp;VLOOKUP(C4312,Customers!A:C,3,FALSE)</f>
        <v>Parker Sparks</v>
      </c>
      <c r="J4312" t="str">
        <f>VLOOKUP(D4312,Products!A:C,2,FALSE)</f>
        <v>Present Television</v>
      </c>
      <c r="K4312" t="str">
        <f>VLOOKUP(D4312,Products!A:C,3,FALSE)</f>
        <v>Electronics</v>
      </c>
      <c r="L4312" t="str">
        <f>VLOOKUP(E4312,Stores!A:B,2,FALSE)</f>
        <v>MegaMart New Michele</v>
      </c>
      <c r="M4312">
        <f>VLOOKUP(D4312,Products!A:E,5,FALSE)</f>
        <v>1635.01</v>
      </c>
      <c r="N4312" s="5">
        <f t="shared" si="67"/>
        <v>2943.018</v>
      </c>
    </row>
    <row r="4313" spans="1:14" x14ac:dyDescent="0.3">
      <c r="A4313" t="s">
        <v>5169</v>
      </c>
      <c r="B4313" s="2">
        <v>45648</v>
      </c>
      <c r="C4313" t="s">
        <v>390</v>
      </c>
      <c r="D4313" t="s">
        <v>761</v>
      </c>
      <c r="E4313" t="s">
        <v>831</v>
      </c>
      <c r="F4313">
        <v>5</v>
      </c>
      <c r="G4313">
        <v>0.1</v>
      </c>
      <c r="H4313" t="s">
        <v>858</v>
      </c>
      <c r="I4313" t="str">
        <f>VLOOKUP(C4313,Customers!A:C,2,FALSE)&amp;" "&amp;VLOOKUP(C4313,Customers!A:C,3,FALSE)</f>
        <v>Brenda Dean</v>
      </c>
      <c r="J4313" t="str">
        <f>VLOOKUP(D4313,Products!A:C,2,FALSE)</f>
        <v>Traditional Laptop</v>
      </c>
      <c r="K4313" t="str">
        <f>VLOOKUP(D4313,Products!A:C,3,FALSE)</f>
        <v>Electronics</v>
      </c>
      <c r="L4313" t="str">
        <f>VLOOKUP(E4313,Stores!A:B,2,FALSE)</f>
        <v>MegaMart Jimenezborough</v>
      </c>
      <c r="M4313">
        <f>VLOOKUP(D4313,Products!A:E,5,FALSE)</f>
        <v>1762.92</v>
      </c>
      <c r="N4313" s="5">
        <f t="shared" si="67"/>
        <v>7933.14</v>
      </c>
    </row>
    <row r="4314" spans="1:14" x14ac:dyDescent="0.3">
      <c r="A4314" t="s">
        <v>5170</v>
      </c>
      <c r="B4314" s="2">
        <v>45408</v>
      </c>
      <c r="C4314" t="s">
        <v>358</v>
      </c>
      <c r="D4314" t="s">
        <v>778</v>
      </c>
      <c r="E4314" t="s">
        <v>846</v>
      </c>
      <c r="F4314">
        <v>1</v>
      </c>
      <c r="G4314">
        <v>0.15</v>
      </c>
      <c r="H4314" t="s">
        <v>865</v>
      </c>
      <c r="I4314" t="str">
        <f>VLOOKUP(C4314,Customers!A:C,2,FALSE)&amp;" "&amp;VLOOKUP(C4314,Customers!A:C,3,FALSE)</f>
        <v>Kevin Snyder</v>
      </c>
      <c r="J4314" t="str">
        <f>VLOOKUP(D4314,Products!A:C,2,FALSE)</f>
        <v>Behavior Dairy</v>
      </c>
      <c r="K4314" t="str">
        <f>VLOOKUP(D4314,Products!A:C,3,FALSE)</f>
        <v>Groceries</v>
      </c>
      <c r="L4314" t="str">
        <f>VLOOKUP(E4314,Stores!A:B,2,FALSE)</f>
        <v>MegaMart Johnmouth</v>
      </c>
      <c r="M4314">
        <f>VLOOKUP(D4314,Products!A:E,5,FALSE)</f>
        <v>1015.76</v>
      </c>
      <c r="N4314" s="5">
        <f t="shared" si="67"/>
        <v>863.39599999999996</v>
      </c>
    </row>
    <row r="4315" spans="1:14" x14ac:dyDescent="0.3">
      <c r="A4315" t="s">
        <v>5171</v>
      </c>
      <c r="B4315" s="2">
        <v>45295</v>
      </c>
      <c r="C4315" t="s">
        <v>63</v>
      </c>
      <c r="D4315" t="s">
        <v>734</v>
      </c>
      <c r="E4315" t="s">
        <v>839</v>
      </c>
      <c r="F4315">
        <v>1</v>
      </c>
      <c r="G4315">
        <v>0</v>
      </c>
      <c r="H4315" t="s">
        <v>855</v>
      </c>
      <c r="I4315" t="str">
        <f>VLOOKUP(C4315,Customers!A:C,2,FALSE)&amp;" "&amp;VLOOKUP(C4315,Customers!A:C,3,FALSE)</f>
        <v>Matthew Molina</v>
      </c>
      <c r="J4315" t="str">
        <f>VLOOKUP(D4315,Products!A:C,2,FALSE)</f>
        <v>Recognize Footwear</v>
      </c>
      <c r="K4315" t="str">
        <f>VLOOKUP(D4315,Products!A:C,3,FALSE)</f>
        <v>Fashion</v>
      </c>
      <c r="L4315" t="str">
        <f>VLOOKUP(E4315,Stores!A:B,2,FALSE)</f>
        <v>MegaMart New Michele</v>
      </c>
      <c r="M4315">
        <f>VLOOKUP(D4315,Products!A:E,5,FALSE)</f>
        <v>109.78</v>
      </c>
      <c r="N4315" s="5">
        <f t="shared" si="67"/>
        <v>109.78</v>
      </c>
    </row>
    <row r="4316" spans="1:14" x14ac:dyDescent="0.3">
      <c r="A4316" t="s">
        <v>5172</v>
      </c>
      <c r="B4316" s="2">
        <v>45279</v>
      </c>
      <c r="C4316" t="s">
        <v>298</v>
      </c>
      <c r="D4316" t="s">
        <v>784</v>
      </c>
      <c r="E4316" t="s">
        <v>846</v>
      </c>
      <c r="F4316">
        <v>1</v>
      </c>
      <c r="G4316">
        <v>0.1</v>
      </c>
      <c r="H4316" t="s">
        <v>858</v>
      </c>
      <c r="I4316" t="str">
        <f>VLOOKUP(C4316,Customers!A:C,2,FALSE)&amp;" "&amp;VLOOKUP(C4316,Customers!A:C,3,FALSE)</f>
        <v>Donald Marsh</v>
      </c>
      <c r="J4316" t="str">
        <f>VLOOKUP(D4316,Products!A:C,2,FALSE)</f>
        <v>Road Clothing</v>
      </c>
      <c r="K4316" t="str">
        <f>VLOOKUP(D4316,Products!A:C,3,FALSE)</f>
        <v>Fashion</v>
      </c>
      <c r="L4316" t="str">
        <f>VLOOKUP(E4316,Stores!A:B,2,FALSE)</f>
        <v>MegaMart Johnmouth</v>
      </c>
      <c r="M4316">
        <f>VLOOKUP(D4316,Products!A:E,5,FALSE)</f>
        <v>1485.05</v>
      </c>
      <c r="N4316" s="5">
        <f t="shared" si="67"/>
        <v>1336.5450000000001</v>
      </c>
    </row>
    <row r="4317" spans="1:14" x14ac:dyDescent="0.3">
      <c r="A4317" t="s">
        <v>5173</v>
      </c>
      <c r="B4317" s="2">
        <v>45228</v>
      </c>
      <c r="C4317" t="s">
        <v>435</v>
      </c>
      <c r="D4317" t="s">
        <v>806</v>
      </c>
      <c r="E4317" t="s">
        <v>839</v>
      </c>
      <c r="F4317">
        <v>3</v>
      </c>
      <c r="G4317">
        <v>0.15</v>
      </c>
      <c r="H4317" t="s">
        <v>861</v>
      </c>
      <c r="I4317" t="str">
        <f>VLOOKUP(C4317,Customers!A:C,2,FALSE)&amp;" "&amp;VLOOKUP(C4317,Customers!A:C,3,FALSE)</f>
        <v>Timothy Beck</v>
      </c>
      <c r="J4317" t="str">
        <f>VLOOKUP(D4317,Products!A:C,2,FALSE)</f>
        <v>Piece Headphones</v>
      </c>
      <c r="K4317" t="str">
        <f>VLOOKUP(D4317,Products!A:C,3,FALSE)</f>
        <v>Electronics</v>
      </c>
      <c r="L4317" t="str">
        <f>VLOOKUP(E4317,Stores!A:B,2,FALSE)</f>
        <v>MegaMart New Michele</v>
      </c>
      <c r="M4317">
        <f>VLOOKUP(D4317,Products!A:E,5,FALSE)</f>
        <v>1745.61</v>
      </c>
      <c r="N4317" s="5">
        <f t="shared" si="67"/>
        <v>4451.3054999999995</v>
      </c>
    </row>
    <row r="4318" spans="1:14" x14ac:dyDescent="0.3">
      <c r="A4318" t="s">
        <v>5174</v>
      </c>
      <c r="B4318" s="2">
        <v>45379</v>
      </c>
      <c r="C4318" t="s">
        <v>690</v>
      </c>
      <c r="D4318" t="s">
        <v>734</v>
      </c>
      <c r="E4318" t="s">
        <v>839</v>
      </c>
      <c r="F4318">
        <v>2</v>
      </c>
      <c r="G4318">
        <v>0.1</v>
      </c>
      <c r="H4318" t="s">
        <v>861</v>
      </c>
      <c r="I4318" t="str">
        <f>VLOOKUP(C4318,Customers!A:C,2,FALSE)&amp;" "&amp;VLOOKUP(C4318,Customers!A:C,3,FALSE)</f>
        <v>James Noble</v>
      </c>
      <c r="J4318" t="str">
        <f>VLOOKUP(D4318,Products!A:C,2,FALSE)</f>
        <v>Recognize Footwear</v>
      </c>
      <c r="K4318" t="str">
        <f>VLOOKUP(D4318,Products!A:C,3,FALSE)</f>
        <v>Fashion</v>
      </c>
      <c r="L4318" t="str">
        <f>VLOOKUP(E4318,Stores!A:B,2,FALSE)</f>
        <v>MegaMart New Michele</v>
      </c>
      <c r="M4318">
        <f>VLOOKUP(D4318,Products!A:E,5,FALSE)</f>
        <v>109.78</v>
      </c>
      <c r="N4318" s="5">
        <f t="shared" si="67"/>
        <v>197.60400000000001</v>
      </c>
    </row>
    <row r="4319" spans="1:14" x14ac:dyDescent="0.3">
      <c r="A4319" t="s">
        <v>5175</v>
      </c>
      <c r="B4319" s="2">
        <v>45200</v>
      </c>
      <c r="C4319" t="s">
        <v>291</v>
      </c>
      <c r="D4319" t="s">
        <v>822</v>
      </c>
      <c r="E4319" t="s">
        <v>842</v>
      </c>
      <c r="F4319">
        <v>5</v>
      </c>
      <c r="G4319">
        <v>0.1</v>
      </c>
      <c r="H4319" t="s">
        <v>865</v>
      </c>
      <c r="I4319" t="str">
        <f>VLOOKUP(C4319,Customers!A:C,2,FALSE)&amp;" "&amp;VLOOKUP(C4319,Customers!A:C,3,FALSE)</f>
        <v>Matthew Juarez</v>
      </c>
      <c r="J4319" t="str">
        <f>VLOOKUP(D4319,Products!A:C,2,FALSE)</f>
        <v>Nor Bags</v>
      </c>
      <c r="K4319" t="str">
        <f>VLOOKUP(D4319,Products!A:C,3,FALSE)</f>
        <v>Fashion</v>
      </c>
      <c r="L4319" t="str">
        <f>VLOOKUP(E4319,Stores!A:B,2,FALSE)</f>
        <v>MegaMart Brianahaven</v>
      </c>
      <c r="M4319">
        <f>VLOOKUP(D4319,Products!A:E,5,FALSE)</f>
        <v>1216.3599999999999</v>
      </c>
      <c r="N4319" s="5">
        <f t="shared" si="67"/>
        <v>5473.62</v>
      </c>
    </row>
    <row r="4320" spans="1:14" x14ac:dyDescent="0.3">
      <c r="A4320" t="s">
        <v>5176</v>
      </c>
      <c r="B4320" s="2">
        <v>45636</v>
      </c>
      <c r="C4320" t="s">
        <v>442</v>
      </c>
      <c r="D4320" t="s">
        <v>796</v>
      </c>
      <c r="E4320" t="s">
        <v>831</v>
      </c>
      <c r="F4320">
        <v>3</v>
      </c>
      <c r="G4320">
        <v>0.1</v>
      </c>
      <c r="H4320" t="s">
        <v>858</v>
      </c>
      <c r="I4320" t="str">
        <f>VLOOKUP(C4320,Customers!A:C,2,FALSE)&amp;" "&amp;VLOOKUP(C4320,Customers!A:C,3,FALSE)</f>
        <v>Jason Lloyd</v>
      </c>
      <c r="J4320" t="str">
        <f>VLOOKUP(D4320,Products!A:C,2,FALSE)</f>
        <v>Chair Laptop</v>
      </c>
      <c r="K4320" t="str">
        <f>VLOOKUP(D4320,Products!A:C,3,FALSE)</f>
        <v>Electronics</v>
      </c>
      <c r="L4320" t="str">
        <f>VLOOKUP(E4320,Stores!A:B,2,FALSE)</f>
        <v>MegaMart Jimenezborough</v>
      </c>
      <c r="M4320">
        <f>VLOOKUP(D4320,Products!A:E,5,FALSE)</f>
        <v>1562.43</v>
      </c>
      <c r="N4320" s="5">
        <f t="shared" si="67"/>
        <v>4218.5609999999997</v>
      </c>
    </row>
    <row r="4321" spans="1:14" x14ac:dyDescent="0.3">
      <c r="A4321" t="s">
        <v>5177</v>
      </c>
      <c r="B4321" s="2">
        <v>45444</v>
      </c>
      <c r="C4321" t="s">
        <v>202</v>
      </c>
      <c r="D4321" t="s">
        <v>739</v>
      </c>
      <c r="E4321" t="s">
        <v>839</v>
      </c>
      <c r="F4321">
        <v>3</v>
      </c>
      <c r="G4321">
        <v>0.05</v>
      </c>
      <c r="H4321" t="s">
        <v>865</v>
      </c>
      <c r="I4321" t="str">
        <f>VLOOKUP(C4321,Customers!A:C,2,FALSE)&amp;" "&amp;VLOOKUP(C4321,Customers!A:C,3,FALSE)</f>
        <v>Billy Hernandez</v>
      </c>
      <c r="J4321" t="str">
        <f>VLOOKUP(D4321,Products!A:C,2,FALSE)</f>
        <v>Step Smartphone</v>
      </c>
      <c r="K4321" t="str">
        <f>VLOOKUP(D4321,Products!A:C,3,FALSE)</f>
        <v>Electronics</v>
      </c>
      <c r="L4321" t="str">
        <f>VLOOKUP(E4321,Stores!A:B,2,FALSE)</f>
        <v>MegaMart New Michele</v>
      </c>
      <c r="M4321">
        <f>VLOOKUP(D4321,Products!A:E,5,FALSE)</f>
        <v>1194.1199999999999</v>
      </c>
      <c r="N4321" s="5">
        <f t="shared" si="67"/>
        <v>3403.2419999999997</v>
      </c>
    </row>
    <row r="4322" spans="1:14" x14ac:dyDescent="0.3">
      <c r="A4322" t="s">
        <v>5178</v>
      </c>
      <c r="B4322" s="2">
        <v>45628</v>
      </c>
      <c r="C4322" t="s">
        <v>324</v>
      </c>
      <c r="D4322" t="s">
        <v>790</v>
      </c>
      <c r="E4322" t="s">
        <v>835</v>
      </c>
      <c r="F4322">
        <v>4</v>
      </c>
      <c r="G4322">
        <v>0</v>
      </c>
      <c r="H4322" t="s">
        <v>861</v>
      </c>
      <c r="I4322" t="str">
        <f>VLOOKUP(C4322,Customers!A:C,2,FALSE)&amp;" "&amp;VLOOKUP(C4322,Customers!A:C,3,FALSE)</f>
        <v>Lawrence Hunter</v>
      </c>
      <c r="J4322" t="str">
        <f>VLOOKUP(D4322,Products!A:C,2,FALSE)</f>
        <v>Difficult Vegetables</v>
      </c>
      <c r="K4322" t="str">
        <f>VLOOKUP(D4322,Products!A:C,3,FALSE)</f>
        <v>Groceries</v>
      </c>
      <c r="L4322" t="str">
        <f>VLOOKUP(E4322,Stores!A:B,2,FALSE)</f>
        <v>MegaMart Peckmouth</v>
      </c>
      <c r="M4322">
        <f>VLOOKUP(D4322,Products!A:E,5,FALSE)</f>
        <v>304.70999999999998</v>
      </c>
      <c r="N4322" s="5">
        <f t="shared" si="67"/>
        <v>1218.8399999999999</v>
      </c>
    </row>
    <row r="4323" spans="1:14" x14ac:dyDescent="0.3">
      <c r="A4323" t="s">
        <v>5179</v>
      </c>
      <c r="B4323" s="2">
        <v>45217</v>
      </c>
      <c r="C4323" t="s">
        <v>195</v>
      </c>
      <c r="D4323" t="s">
        <v>816</v>
      </c>
      <c r="E4323" t="s">
        <v>831</v>
      </c>
      <c r="F4323">
        <v>5</v>
      </c>
      <c r="G4323">
        <v>0.05</v>
      </c>
      <c r="H4323" t="s">
        <v>858</v>
      </c>
      <c r="I4323" t="str">
        <f>VLOOKUP(C4323,Customers!A:C,2,FALSE)&amp;" "&amp;VLOOKUP(C4323,Customers!A:C,3,FALSE)</f>
        <v>Kelly Mcmillan</v>
      </c>
      <c r="J4323" t="str">
        <f>VLOOKUP(D4323,Products!A:C,2,FALSE)</f>
        <v>Set Dairy</v>
      </c>
      <c r="K4323" t="str">
        <f>VLOOKUP(D4323,Products!A:C,3,FALSE)</f>
        <v>Groceries</v>
      </c>
      <c r="L4323" t="str">
        <f>VLOOKUP(E4323,Stores!A:B,2,FALSE)</f>
        <v>MegaMart Jimenezborough</v>
      </c>
      <c r="M4323">
        <f>VLOOKUP(D4323,Products!A:E,5,FALSE)</f>
        <v>1879.08</v>
      </c>
      <c r="N4323" s="5">
        <f t="shared" si="67"/>
        <v>8925.6299999999992</v>
      </c>
    </row>
    <row r="4324" spans="1:14" x14ac:dyDescent="0.3">
      <c r="A4324" t="s">
        <v>5180</v>
      </c>
      <c r="B4324" s="2">
        <v>45732</v>
      </c>
      <c r="C4324" t="s">
        <v>89</v>
      </c>
      <c r="D4324" t="s">
        <v>796</v>
      </c>
      <c r="E4324" t="s">
        <v>831</v>
      </c>
      <c r="F4324">
        <v>2</v>
      </c>
      <c r="G4324">
        <v>0.05</v>
      </c>
      <c r="H4324" t="s">
        <v>861</v>
      </c>
      <c r="I4324" t="str">
        <f>VLOOKUP(C4324,Customers!A:C,2,FALSE)&amp;" "&amp;VLOOKUP(C4324,Customers!A:C,3,FALSE)</f>
        <v>Megan Velasquez</v>
      </c>
      <c r="J4324" t="str">
        <f>VLOOKUP(D4324,Products!A:C,2,FALSE)</f>
        <v>Chair Laptop</v>
      </c>
      <c r="K4324" t="str">
        <f>VLOOKUP(D4324,Products!A:C,3,FALSE)</f>
        <v>Electronics</v>
      </c>
      <c r="L4324" t="str">
        <f>VLOOKUP(E4324,Stores!A:B,2,FALSE)</f>
        <v>MegaMart Jimenezborough</v>
      </c>
      <c r="M4324">
        <f>VLOOKUP(D4324,Products!A:E,5,FALSE)</f>
        <v>1562.43</v>
      </c>
      <c r="N4324" s="5">
        <f t="shared" si="67"/>
        <v>2968.6170000000002</v>
      </c>
    </row>
    <row r="4325" spans="1:14" x14ac:dyDescent="0.3">
      <c r="A4325" t="s">
        <v>5181</v>
      </c>
      <c r="B4325" s="2">
        <v>45311</v>
      </c>
      <c r="C4325" t="s">
        <v>411</v>
      </c>
      <c r="D4325" t="s">
        <v>816</v>
      </c>
      <c r="E4325" t="s">
        <v>831</v>
      </c>
      <c r="F4325">
        <v>5</v>
      </c>
      <c r="G4325">
        <v>0.15</v>
      </c>
      <c r="H4325" t="s">
        <v>861</v>
      </c>
      <c r="I4325" t="str">
        <f>VLOOKUP(C4325,Customers!A:C,2,FALSE)&amp;" "&amp;VLOOKUP(C4325,Customers!A:C,3,FALSE)</f>
        <v>Travis Peters</v>
      </c>
      <c r="J4325" t="str">
        <f>VLOOKUP(D4325,Products!A:C,2,FALSE)</f>
        <v>Set Dairy</v>
      </c>
      <c r="K4325" t="str">
        <f>VLOOKUP(D4325,Products!A:C,3,FALSE)</f>
        <v>Groceries</v>
      </c>
      <c r="L4325" t="str">
        <f>VLOOKUP(E4325,Stores!A:B,2,FALSE)</f>
        <v>MegaMart Jimenezborough</v>
      </c>
      <c r="M4325">
        <f>VLOOKUP(D4325,Products!A:E,5,FALSE)</f>
        <v>1879.08</v>
      </c>
      <c r="N4325" s="5">
        <f t="shared" si="67"/>
        <v>7986.0899999999992</v>
      </c>
    </row>
    <row r="4326" spans="1:14" x14ac:dyDescent="0.3">
      <c r="A4326" t="s">
        <v>5182</v>
      </c>
      <c r="B4326" s="2">
        <v>45280</v>
      </c>
      <c r="C4326" t="s">
        <v>520</v>
      </c>
      <c r="D4326" t="s">
        <v>782</v>
      </c>
      <c r="E4326" t="s">
        <v>831</v>
      </c>
      <c r="F4326">
        <v>3</v>
      </c>
      <c r="G4326">
        <v>0.05</v>
      </c>
      <c r="H4326" t="s">
        <v>858</v>
      </c>
      <c r="I4326" t="str">
        <f>VLOOKUP(C4326,Customers!A:C,2,FALSE)&amp;" "&amp;VLOOKUP(C4326,Customers!A:C,3,FALSE)</f>
        <v>Cynthia Carlson</v>
      </c>
      <c r="J4326" t="str">
        <f>VLOOKUP(D4326,Products!A:C,2,FALSE)</f>
        <v>Deal Smartphone</v>
      </c>
      <c r="K4326" t="str">
        <f>VLOOKUP(D4326,Products!A:C,3,FALSE)</f>
        <v>Electronics</v>
      </c>
      <c r="L4326" t="str">
        <f>VLOOKUP(E4326,Stores!A:B,2,FALSE)</f>
        <v>MegaMart Jimenezborough</v>
      </c>
      <c r="M4326">
        <f>VLOOKUP(D4326,Products!A:E,5,FALSE)</f>
        <v>673.78</v>
      </c>
      <c r="N4326" s="5">
        <f t="shared" si="67"/>
        <v>1920.2729999999999</v>
      </c>
    </row>
    <row r="4327" spans="1:14" x14ac:dyDescent="0.3">
      <c r="A4327" t="s">
        <v>5183</v>
      </c>
      <c r="B4327" s="2">
        <v>45302</v>
      </c>
      <c r="C4327" t="s">
        <v>509</v>
      </c>
      <c r="D4327" t="s">
        <v>728</v>
      </c>
      <c r="E4327" t="s">
        <v>842</v>
      </c>
      <c r="F4327">
        <v>2</v>
      </c>
      <c r="G4327">
        <v>0</v>
      </c>
      <c r="H4327" t="s">
        <v>855</v>
      </c>
      <c r="I4327" t="str">
        <f>VLOOKUP(C4327,Customers!A:C,2,FALSE)&amp;" "&amp;VLOOKUP(C4327,Customers!A:C,3,FALSE)</f>
        <v>Stacy Williams</v>
      </c>
      <c r="J4327" t="str">
        <f>VLOOKUP(D4327,Products!A:C,2,FALSE)</f>
        <v>Company Fruits</v>
      </c>
      <c r="K4327" t="str">
        <f>VLOOKUP(D4327,Products!A:C,3,FALSE)</f>
        <v>Groceries</v>
      </c>
      <c r="L4327" t="str">
        <f>VLOOKUP(E4327,Stores!A:B,2,FALSE)</f>
        <v>MegaMart Brianahaven</v>
      </c>
      <c r="M4327">
        <f>VLOOKUP(D4327,Products!A:E,5,FALSE)</f>
        <v>318.05</v>
      </c>
      <c r="N4327" s="5">
        <f t="shared" si="67"/>
        <v>636.1</v>
      </c>
    </row>
    <row r="4328" spans="1:14" x14ac:dyDescent="0.3">
      <c r="A4328" t="s">
        <v>5184</v>
      </c>
      <c r="B4328" s="2">
        <v>45187</v>
      </c>
      <c r="C4328" t="s">
        <v>520</v>
      </c>
      <c r="D4328" t="s">
        <v>734</v>
      </c>
      <c r="E4328" t="s">
        <v>842</v>
      </c>
      <c r="F4328">
        <v>2</v>
      </c>
      <c r="G4328">
        <v>0.1</v>
      </c>
      <c r="H4328" t="s">
        <v>865</v>
      </c>
      <c r="I4328" t="str">
        <f>VLOOKUP(C4328,Customers!A:C,2,FALSE)&amp;" "&amp;VLOOKUP(C4328,Customers!A:C,3,FALSE)</f>
        <v>Cynthia Carlson</v>
      </c>
      <c r="J4328" t="str">
        <f>VLOOKUP(D4328,Products!A:C,2,FALSE)</f>
        <v>Recognize Footwear</v>
      </c>
      <c r="K4328" t="str">
        <f>VLOOKUP(D4328,Products!A:C,3,FALSE)</f>
        <v>Fashion</v>
      </c>
      <c r="L4328" t="str">
        <f>VLOOKUP(E4328,Stores!A:B,2,FALSE)</f>
        <v>MegaMart Brianahaven</v>
      </c>
      <c r="M4328">
        <f>VLOOKUP(D4328,Products!A:E,5,FALSE)</f>
        <v>109.78</v>
      </c>
      <c r="N4328" s="5">
        <f t="shared" si="67"/>
        <v>197.60400000000001</v>
      </c>
    </row>
    <row r="4329" spans="1:14" x14ac:dyDescent="0.3">
      <c r="A4329" t="s">
        <v>5185</v>
      </c>
      <c r="B4329" s="2">
        <v>45495</v>
      </c>
      <c r="C4329" t="s">
        <v>306</v>
      </c>
      <c r="D4329" t="s">
        <v>804</v>
      </c>
      <c r="E4329" t="s">
        <v>835</v>
      </c>
      <c r="F4329">
        <v>1</v>
      </c>
      <c r="G4329">
        <v>0.15</v>
      </c>
      <c r="H4329" t="s">
        <v>855</v>
      </c>
      <c r="I4329" t="str">
        <f>VLOOKUP(C4329,Customers!A:C,2,FALSE)&amp;" "&amp;VLOOKUP(C4329,Customers!A:C,3,FALSE)</f>
        <v>Sarah Reynolds</v>
      </c>
      <c r="J4329" t="str">
        <f>VLOOKUP(D4329,Products!A:C,2,FALSE)</f>
        <v>Church Clothing</v>
      </c>
      <c r="K4329" t="str">
        <f>VLOOKUP(D4329,Products!A:C,3,FALSE)</f>
        <v>Fashion</v>
      </c>
      <c r="L4329" t="str">
        <f>VLOOKUP(E4329,Stores!A:B,2,FALSE)</f>
        <v>MegaMart Peckmouth</v>
      </c>
      <c r="M4329">
        <f>VLOOKUP(D4329,Products!A:E,5,FALSE)</f>
        <v>540.94000000000005</v>
      </c>
      <c r="N4329" s="5">
        <f t="shared" si="67"/>
        <v>459.79900000000004</v>
      </c>
    </row>
    <row r="4330" spans="1:14" x14ac:dyDescent="0.3">
      <c r="A4330" t="s">
        <v>5186</v>
      </c>
      <c r="B4330" s="2">
        <v>45417</v>
      </c>
      <c r="C4330" t="s">
        <v>393</v>
      </c>
      <c r="D4330" t="s">
        <v>722</v>
      </c>
      <c r="E4330" t="s">
        <v>839</v>
      </c>
      <c r="F4330">
        <v>2</v>
      </c>
      <c r="G4330">
        <v>0.1</v>
      </c>
      <c r="H4330" t="s">
        <v>861</v>
      </c>
      <c r="I4330" t="str">
        <f>VLOOKUP(C4330,Customers!A:C,2,FALSE)&amp;" "&amp;VLOOKUP(C4330,Customers!A:C,3,FALSE)</f>
        <v>Kenneth Berg</v>
      </c>
      <c r="J4330" t="str">
        <f>VLOOKUP(D4330,Products!A:C,2,FALSE)</f>
        <v>Four Accessories</v>
      </c>
      <c r="K4330" t="str">
        <f>VLOOKUP(D4330,Products!A:C,3,FALSE)</f>
        <v>Fashion</v>
      </c>
      <c r="L4330" t="str">
        <f>VLOOKUP(E4330,Stores!A:B,2,FALSE)</f>
        <v>MegaMart New Michele</v>
      </c>
      <c r="M4330">
        <f>VLOOKUP(D4330,Products!A:E,5,FALSE)</f>
        <v>1853.77</v>
      </c>
      <c r="N4330" s="5">
        <f t="shared" si="67"/>
        <v>3336.7860000000001</v>
      </c>
    </row>
    <row r="4331" spans="1:14" x14ac:dyDescent="0.3">
      <c r="A4331" t="s">
        <v>5187</v>
      </c>
      <c r="B4331" s="2">
        <v>45628</v>
      </c>
      <c r="C4331" t="s">
        <v>458</v>
      </c>
      <c r="D4331" t="s">
        <v>820</v>
      </c>
      <c r="E4331" t="s">
        <v>846</v>
      </c>
      <c r="F4331">
        <v>1</v>
      </c>
      <c r="G4331">
        <v>0</v>
      </c>
      <c r="H4331" t="s">
        <v>865</v>
      </c>
      <c r="I4331" t="str">
        <f>VLOOKUP(C4331,Customers!A:C,2,FALSE)&amp;" "&amp;VLOOKUP(C4331,Customers!A:C,3,FALSE)</f>
        <v>Chad Roberts</v>
      </c>
      <c r="J4331" t="str">
        <f>VLOOKUP(D4331,Products!A:C,2,FALSE)</f>
        <v>Or Smartphone</v>
      </c>
      <c r="K4331" t="str">
        <f>VLOOKUP(D4331,Products!A:C,3,FALSE)</f>
        <v>Electronics</v>
      </c>
      <c r="L4331" t="str">
        <f>VLOOKUP(E4331,Stores!A:B,2,FALSE)</f>
        <v>MegaMart Johnmouth</v>
      </c>
      <c r="M4331">
        <f>VLOOKUP(D4331,Products!A:E,5,FALSE)</f>
        <v>1197.18</v>
      </c>
      <c r="N4331" s="5">
        <f t="shared" si="67"/>
        <v>1197.18</v>
      </c>
    </row>
    <row r="4332" spans="1:14" x14ac:dyDescent="0.3">
      <c r="A4332" t="s">
        <v>5188</v>
      </c>
      <c r="B4332" s="2">
        <v>45518</v>
      </c>
      <c r="C4332" t="s">
        <v>347</v>
      </c>
      <c r="D4332" t="s">
        <v>755</v>
      </c>
      <c r="E4332" t="s">
        <v>842</v>
      </c>
      <c r="F4332">
        <v>4</v>
      </c>
      <c r="G4332">
        <v>0.05</v>
      </c>
      <c r="H4332" t="s">
        <v>855</v>
      </c>
      <c r="I4332" t="str">
        <f>VLOOKUP(C4332,Customers!A:C,2,FALSE)&amp;" "&amp;VLOOKUP(C4332,Customers!A:C,3,FALSE)</f>
        <v>Lindsey Holder</v>
      </c>
      <c r="J4332" t="str">
        <f>VLOOKUP(D4332,Products!A:C,2,FALSE)</f>
        <v>House Accessories</v>
      </c>
      <c r="K4332" t="str">
        <f>VLOOKUP(D4332,Products!A:C,3,FALSE)</f>
        <v>Fashion</v>
      </c>
      <c r="L4332" t="str">
        <f>VLOOKUP(E4332,Stores!A:B,2,FALSE)</f>
        <v>MegaMart Brianahaven</v>
      </c>
      <c r="M4332">
        <f>VLOOKUP(D4332,Products!A:E,5,FALSE)</f>
        <v>1858.75</v>
      </c>
      <c r="N4332" s="5">
        <f t="shared" si="67"/>
        <v>7063.25</v>
      </c>
    </row>
    <row r="4333" spans="1:14" x14ac:dyDescent="0.3">
      <c r="A4333" t="s">
        <v>5189</v>
      </c>
      <c r="B4333" s="2">
        <v>45618</v>
      </c>
      <c r="C4333" t="s">
        <v>274</v>
      </c>
      <c r="D4333" t="s">
        <v>761</v>
      </c>
      <c r="E4333" t="s">
        <v>842</v>
      </c>
      <c r="F4333">
        <v>4</v>
      </c>
      <c r="G4333">
        <v>0</v>
      </c>
      <c r="H4333" t="s">
        <v>858</v>
      </c>
      <c r="I4333" t="str">
        <f>VLOOKUP(C4333,Customers!A:C,2,FALSE)&amp;" "&amp;VLOOKUP(C4333,Customers!A:C,3,FALSE)</f>
        <v>Eric Watkins</v>
      </c>
      <c r="J4333" t="str">
        <f>VLOOKUP(D4333,Products!A:C,2,FALSE)</f>
        <v>Traditional Laptop</v>
      </c>
      <c r="K4333" t="str">
        <f>VLOOKUP(D4333,Products!A:C,3,FALSE)</f>
        <v>Electronics</v>
      </c>
      <c r="L4333" t="str">
        <f>VLOOKUP(E4333,Stores!A:B,2,FALSE)</f>
        <v>MegaMart Brianahaven</v>
      </c>
      <c r="M4333">
        <f>VLOOKUP(D4333,Products!A:E,5,FALSE)</f>
        <v>1762.92</v>
      </c>
      <c r="N4333" s="5">
        <f t="shared" si="67"/>
        <v>7051.68</v>
      </c>
    </row>
    <row r="4334" spans="1:14" x14ac:dyDescent="0.3">
      <c r="A4334" t="s">
        <v>5190</v>
      </c>
      <c r="B4334" s="2">
        <v>45477</v>
      </c>
      <c r="C4334" t="s">
        <v>426</v>
      </c>
      <c r="D4334" t="s">
        <v>745</v>
      </c>
      <c r="E4334" t="s">
        <v>842</v>
      </c>
      <c r="F4334">
        <v>2</v>
      </c>
      <c r="G4334">
        <v>0.15</v>
      </c>
      <c r="H4334" t="s">
        <v>865</v>
      </c>
      <c r="I4334" t="str">
        <f>VLOOKUP(C4334,Customers!A:C,2,FALSE)&amp;" "&amp;VLOOKUP(C4334,Customers!A:C,3,FALSE)</f>
        <v>Miranda Rodriguez</v>
      </c>
      <c r="J4334" t="str">
        <f>VLOOKUP(D4334,Products!A:C,2,FALSE)</f>
        <v>Above Camera</v>
      </c>
      <c r="K4334" t="str">
        <f>VLOOKUP(D4334,Products!A:C,3,FALSE)</f>
        <v>Electronics</v>
      </c>
      <c r="L4334" t="str">
        <f>VLOOKUP(E4334,Stores!A:B,2,FALSE)</f>
        <v>MegaMart Brianahaven</v>
      </c>
      <c r="M4334">
        <f>VLOOKUP(D4334,Products!A:E,5,FALSE)</f>
        <v>1193.0899999999999</v>
      </c>
      <c r="N4334" s="5">
        <f t="shared" si="67"/>
        <v>2028.2529999999997</v>
      </c>
    </row>
    <row r="4335" spans="1:14" x14ac:dyDescent="0.3">
      <c r="A4335" t="s">
        <v>5191</v>
      </c>
      <c r="B4335" s="2">
        <v>45362</v>
      </c>
      <c r="C4335" t="s">
        <v>302</v>
      </c>
      <c r="D4335" t="s">
        <v>739</v>
      </c>
      <c r="E4335" t="s">
        <v>835</v>
      </c>
      <c r="F4335">
        <v>2</v>
      </c>
      <c r="G4335">
        <v>0.15</v>
      </c>
      <c r="H4335" t="s">
        <v>861</v>
      </c>
      <c r="I4335" t="str">
        <f>VLOOKUP(C4335,Customers!A:C,2,FALSE)&amp;" "&amp;VLOOKUP(C4335,Customers!A:C,3,FALSE)</f>
        <v>Grace Garcia</v>
      </c>
      <c r="J4335" t="str">
        <f>VLOOKUP(D4335,Products!A:C,2,FALSE)</f>
        <v>Step Smartphone</v>
      </c>
      <c r="K4335" t="str">
        <f>VLOOKUP(D4335,Products!A:C,3,FALSE)</f>
        <v>Electronics</v>
      </c>
      <c r="L4335" t="str">
        <f>VLOOKUP(E4335,Stores!A:B,2,FALSE)</f>
        <v>MegaMart Peckmouth</v>
      </c>
      <c r="M4335">
        <f>VLOOKUP(D4335,Products!A:E,5,FALSE)</f>
        <v>1194.1199999999999</v>
      </c>
      <c r="N4335" s="5">
        <f t="shared" si="67"/>
        <v>2030.0039999999997</v>
      </c>
    </row>
    <row r="4336" spans="1:14" x14ac:dyDescent="0.3">
      <c r="A4336" t="s">
        <v>5192</v>
      </c>
      <c r="B4336" s="2">
        <v>45804</v>
      </c>
      <c r="C4336" t="s">
        <v>545</v>
      </c>
      <c r="D4336" t="s">
        <v>808</v>
      </c>
      <c r="E4336" t="s">
        <v>846</v>
      </c>
      <c r="F4336">
        <v>5</v>
      </c>
      <c r="G4336">
        <v>0.1</v>
      </c>
      <c r="H4336" t="s">
        <v>858</v>
      </c>
      <c r="I4336" t="str">
        <f>VLOOKUP(C4336,Customers!A:C,2,FALSE)&amp;" "&amp;VLOOKUP(C4336,Customers!A:C,3,FALSE)</f>
        <v>Dawn Fletcher</v>
      </c>
      <c r="J4336" t="str">
        <f>VLOOKUP(D4336,Products!A:C,2,FALSE)</f>
        <v>Present Television</v>
      </c>
      <c r="K4336" t="str">
        <f>VLOOKUP(D4336,Products!A:C,3,FALSE)</f>
        <v>Electronics</v>
      </c>
      <c r="L4336" t="str">
        <f>VLOOKUP(E4336,Stores!A:B,2,FALSE)</f>
        <v>MegaMart Johnmouth</v>
      </c>
      <c r="M4336">
        <f>VLOOKUP(D4336,Products!A:E,5,FALSE)</f>
        <v>1635.01</v>
      </c>
      <c r="N4336" s="5">
        <f t="shared" si="67"/>
        <v>7357.5450000000001</v>
      </c>
    </row>
    <row r="4337" spans="1:14" x14ac:dyDescent="0.3">
      <c r="A4337" t="s">
        <v>5193</v>
      </c>
      <c r="B4337" s="2">
        <v>45898</v>
      </c>
      <c r="C4337" t="s">
        <v>579</v>
      </c>
      <c r="D4337" t="s">
        <v>774</v>
      </c>
      <c r="E4337" t="s">
        <v>842</v>
      </c>
      <c r="F4337">
        <v>3</v>
      </c>
      <c r="G4337">
        <v>0.1</v>
      </c>
      <c r="H4337" t="s">
        <v>865</v>
      </c>
      <c r="I4337" t="str">
        <f>VLOOKUP(C4337,Customers!A:C,2,FALSE)&amp;" "&amp;VLOOKUP(C4337,Customers!A:C,3,FALSE)</f>
        <v>Jill Roach</v>
      </c>
      <c r="J4337" t="str">
        <f>VLOOKUP(D4337,Products!A:C,2,FALSE)</f>
        <v>Him Smartphone</v>
      </c>
      <c r="K4337" t="str">
        <f>VLOOKUP(D4337,Products!A:C,3,FALSE)</f>
        <v>Electronics</v>
      </c>
      <c r="L4337" t="str">
        <f>VLOOKUP(E4337,Stores!A:B,2,FALSE)</f>
        <v>MegaMart Brianahaven</v>
      </c>
      <c r="M4337">
        <f>VLOOKUP(D4337,Products!A:E,5,FALSE)</f>
        <v>1487.41</v>
      </c>
      <c r="N4337" s="5">
        <f t="shared" si="67"/>
        <v>4016.0070000000005</v>
      </c>
    </row>
    <row r="4338" spans="1:14" x14ac:dyDescent="0.3">
      <c r="A4338" t="s">
        <v>5194</v>
      </c>
      <c r="B4338" s="2">
        <v>45338</v>
      </c>
      <c r="C4338" t="s">
        <v>563</v>
      </c>
      <c r="D4338" t="s">
        <v>814</v>
      </c>
      <c r="E4338" t="s">
        <v>846</v>
      </c>
      <c r="F4338">
        <v>5</v>
      </c>
      <c r="G4338">
        <v>0</v>
      </c>
      <c r="H4338" t="s">
        <v>865</v>
      </c>
      <c r="I4338" t="str">
        <f>VLOOKUP(C4338,Customers!A:C,2,FALSE)&amp;" "&amp;VLOOKUP(C4338,Customers!A:C,3,FALSE)</f>
        <v>Connie Terry</v>
      </c>
      <c r="J4338" t="str">
        <f>VLOOKUP(D4338,Products!A:C,2,FALSE)</f>
        <v>Least Accessories</v>
      </c>
      <c r="K4338" t="str">
        <f>VLOOKUP(D4338,Products!A:C,3,FALSE)</f>
        <v>Fashion</v>
      </c>
      <c r="L4338" t="str">
        <f>VLOOKUP(E4338,Stores!A:B,2,FALSE)</f>
        <v>MegaMart Johnmouth</v>
      </c>
      <c r="M4338">
        <f>VLOOKUP(D4338,Products!A:E,5,FALSE)</f>
        <v>1286.55</v>
      </c>
      <c r="N4338" s="5">
        <f t="shared" si="67"/>
        <v>6432.75</v>
      </c>
    </row>
    <row r="4339" spans="1:14" x14ac:dyDescent="0.3">
      <c r="A4339" t="s">
        <v>5195</v>
      </c>
      <c r="B4339" s="2">
        <v>45437</v>
      </c>
      <c r="C4339" t="s">
        <v>115</v>
      </c>
      <c r="D4339" t="s">
        <v>734</v>
      </c>
      <c r="E4339" t="s">
        <v>831</v>
      </c>
      <c r="F4339">
        <v>5</v>
      </c>
      <c r="G4339">
        <v>0.1</v>
      </c>
      <c r="H4339" t="s">
        <v>858</v>
      </c>
      <c r="I4339" t="str">
        <f>VLOOKUP(C4339,Customers!A:C,2,FALSE)&amp;" "&amp;VLOOKUP(C4339,Customers!A:C,3,FALSE)</f>
        <v>Tyler Levine</v>
      </c>
      <c r="J4339" t="str">
        <f>VLOOKUP(D4339,Products!A:C,2,FALSE)</f>
        <v>Recognize Footwear</v>
      </c>
      <c r="K4339" t="str">
        <f>VLOOKUP(D4339,Products!A:C,3,FALSE)</f>
        <v>Fashion</v>
      </c>
      <c r="L4339" t="str">
        <f>VLOOKUP(E4339,Stores!A:B,2,FALSE)</f>
        <v>MegaMart Jimenezborough</v>
      </c>
      <c r="M4339">
        <f>VLOOKUP(D4339,Products!A:E,5,FALSE)</f>
        <v>109.78</v>
      </c>
      <c r="N4339" s="5">
        <f t="shared" si="67"/>
        <v>494.01</v>
      </c>
    </row>
    <row r="4340" spans="1:14" x14ac:dyDescent="0.3">
      <c r="A4340" t="s">
        <v>5196</v>
      </c>
      <c r="B4340" s="2">
        <v>45600</v>
      </c>
      <c r="C4340" t="s">
        <v>228</v>
      </c>
      <c r="D4340" t="s">
        <v>759</v>
      </c>
      <c r="E4340" t="s">
        <v>846</v>
      </c>
      <c r="F4340">
        <v>1</v>
      </c>
      <c r="G4340">
        <v>0.05</v>
      </c>
      <c r="H4340" t="s">
        <v>855</v>
      </c>
      <c r="I4340" t="str">
        <f>VLOOKUP(C4340,Customers!A:C,2,FALSE)&amp;" "&amp;VLOOKUP(C4340,Customers!A:C,3,FALSE)</f>
        <v>Scott Wyatt</v>
      </c>
      <c r="J4340" t="str">
        <f>VLOOKUP(D4340,Products!A:C,2,FALSE)</f>
        <v>Democratic Smartphone</v>
      </c>
      <c r="K4340" t="str">
        <f>VLOOKUP(D4340,Products!A:C,3,FALSE)</f>
        <v>Electronics</v>
      </c>
      <c r="L4340" t="str">
        <f>VLOOKUP(E4340,Stores!A:B,2,FALSE)</f>
        <v>MegaMart Johnmouth</v>
      </c>
      <c r="M4340">
        <f>VLOOKUP(D4340,Products!A:E,5,FALSE)</f>
        <v>1079.8900000000001</v>
      </c>
      <c r="N4340" s="5">
        <f t="shared" si="67"/>
        <v>1025.8955000000001</v>
      </c>
    </row>
    <row r="4341" spans="1:14" x14ac:dyDescent="0.3">
      <c r="A4341" t="s">
        <v>5197</v>
      </c>
      <c r="B4341" s="2">
        <v>45655</v>
      </c>
      <c r="C4341" t="s">
        <v>163</v>
      </c>
      <c r="D4341" t="s">
        <v>822</v>
      </c>
      <c r="E4341" t="s">
        <v>831</v>
      </c>
      <c r="F4341">
        <v>1</v>
      </c>
      <c r="G4341">
        <v>0.15</v>
      </c>
      <c r="H4341" t="s">
        <v>855</v>
      </c>
      <c r="I4341" t="str">
        <f>VLOOKUP(C4341,Customers!A:C,2,FALSE)&amp;" "&amp;VLOOKUP(C4341,Customers!A:C,3,FALSE)</f>
        <v>Anna Andrews</v>
      </c>
      <c r="J4341" t="str">
        <f>VLOOKUP(D4341,Products!A:C,2,FALSE)</f>
        <v>Nor Bags</v>
      </c>
      <c r="K4341" t="str">
        <f>VLOOKUP(D4341,Products!A:C,3,FALSE)</f>
        <v>Fashion</v>
      </c>
      <c r="L4341" t="str">
        <f>VLOOKUP(E4341,Stores!A:B,2,FALSE)</f>
        <v>MegaMart Jimenezborough</v>
      </c>
      <c r="M4341">
        <f>VLOOKUP(D4341,Products!A:E,5,FALSE)</f>
        <v>1216.3599999999999</v>
      </c>
      <c r="N4341" s="5">
        <f t="shared" si="67"/>
        <v>1033.9059999999999</v>
      </c>
    </row>
    <row r="4342" spans="1:14" x14ac:dyDescent="0.3">
      <c r="A4342" t="s">
        <v>5198</v>
      </c>
      <c r="B4342" s="2">
        <v>45413</v>
      </c>
      <c r="C4342" t="s">
        <v>280</v>
      </c>
      <c r="D4342" t="s">
        <v>732</v>
      </c>
      <c r="E4342" t="s">
        <v>835</v>
      </c>
      <c r="F4342">
        <v>3</v>
      </c>
      <c r="G4342">
        <v>0.15</v>
      </c>
      <c r="H4342" t="s">
        <v>855</v>
      </c>
      <c r="I4342" t="str">
        <f>VLOOKUP(C4342,Customers!A:C,2,FALSE)&amp;" "&amp;VLOOKUP(C4342,Customers!A:C,3,FALSE)</f>
        <v>Jesus Singh</v>
      </c>
      <c r="J4342" t="str">
        <f>VLOOKUP(D4342,Products!A:C,2,FALSE)</f>
        <v>Understand Camera</v>
      </c>
      <c r="K4342" t="str">
        <f>VLOOKUP(D4342,Products!A:C,3,FALSE)</f>
        <v>Electronics</v>
      </c>
      <c r="L4342" t="str">
        <f>VLOOKUP(E4342,Stores!A:B,2,FALSE)</f>
        <v>MegaMart Peckmouth</v>
      </c>
      <c r="M4342">
        <f>VLOOKUP(D4342,Products!A:E,5,FALSE)</f>
        <v>1474.12</v>
      </c>
      <c r="N4342" s="5">
        <f t="shared" si="67"/>
        <v>3759.0059999999994</v>
      </c>
    </row>
    <row r="4343" spans="1:14" x14ac:dyDescent="0.3">
      <c r="A4343" t="s">
        <v>5199</v>
      </c>
      <c r="B4343" s="2">
        <v>45598</v>
      </c>
      <c r="C4343" t="s">
        <v>666</v>
      </c>
      <c r="D4343" t="s">
        <v>745</v>
      </c>
      <c r="E4343" t="s">
        <v>846</v>
      </c>
      <c r="F4343">
        <v>5</v>
      </c>
      <c r="G4343">
        <v>0.1</v>
      </c>
      <c r="H4343" t="s">
        <v>858</v>
      </c>
      <c r="I4343" t="str">
        <f>VLOOKUP(C4343,Customers!A:C,2,FALSE)&amp;" "&amp;VLOOKUP(C4343,Customers!A:C,3,FALSE)</f>
        <v>Steve Flynn</v>
      </c>
      <c r="J4343" t="str">
        <f>VLOOKUP(D4343,Products!A:C,2,FALSE)</f>
        <v>Above Camera</v>
      </c>
      <c r="K4343" t="str">
        <f>VLOOKUP(D4343,Products!A:C,3,FALSE)</f>
        <v>Electronics</v>
      </c>
      <c r="L4343" t="str">
        <f>VLOOKUP(E4343,Stores!A:B,2,FALSE)</f>
        <v>MegaMart Johnmouth</v>
      </c>
      <c r="M4343">
        <f>VLOOKUP(D4343,Products!A:E,5,FALSE)</f>
        <v>1193.0899999999999</v>
      </c>
      <c r="N4343" s="5">
        <f t="shared" si="67"/>
        <v>5368.9049999999997</v>
      </c>
    </row>
    <row r="4344" spans="1:14" x14ac:dyDescent="0.3">
      <c r="A4344" t="s">
        <v>5200</v>
      </c>
      <c r="B4344" s="2">
        <v>45500</v>
      </c>
      <c r="C4344" t="s">
        <v>542</v>
      </c>
      <c r="D4344" t="s">
        <v>745</v>
      </c>
      <c r="E4344" t="s">
        <v>839</v>
      </c>
      <c r="F4344">
        <v>4</v>
      </c>
      <c r="G4344">
        <v>0.05</v>
      </c>
      <c r="H4344" t="s">
        <v>855</v>
      </c>
      <c r="I4344" t="str">
        <f>VLOOKUP(C4344,Customers!A:C,2,FALSE)&amp;" "&amp;VLOOKUP(C4344,Customers!A:C,3,FALSE)</f>
        <v>Francis Hernandez</v>
      </c>
      <c r="J4344" t="str">
        <f>VLOOKUP(D4344,Products!A:C,2,FALSE)</f>
        <v>Above Camera</v>
      </c>
      <c r="K4344" t="str">
        <f>VLOOKUP(D4344,Products!A:C,3,FALSE)</f>
        <v>Electronics</v>
      </c>
      <c r="L4344" t="str">
        <f>VLOOKUP(E4344,Stores!A:B,2,FALSE)</f>
        <v>MegaMart New Michele</v>
      </c>
      <c r="M4344">
        <f>VLOOKUP(D4344,Products!A:E,5,FALSE)</f>
        <v>1193.0899999999999</v>
      </c>
      <c r="N4344" s="5">
        <f t="shared" si="67"/>
        <v>4533.7419999999993</v>
      </c>
    </row>
    <row r="4345" spans="1:14" x14ac:dyDescent="0.3">
      <c r="A4345" t="s">
        <v>5201</v>
      </c>
      <c r="B4345" s="2">
        <v>45748</v>
      </c>
      <c r="C4345" t="s">
        <v>700</v>
      </c>
      <c r="D4345" t="s">
        <v>718</v>
      </c>
      <c r="E4345" t="s">
        <v>842</v>
      </c>
      <c r="F4345">
        <v>3</v>
      </c>
      <c r="G4345">
        <v>0.1</v>
      </c>
      <c r="H4345" t="s">
        <v>861</v>
      </c>
      <c r="I4345" t="str">
        <f>VLOOKUP(C4345,Customers!A:C,2,FALSE)&amp;" "&amp;VLOOKUP(C4345,Customers!A:C,3,FALSE)</f>
        <v>Juan Johnson</v>
      </c>
      <c r="J4345" t="str">
        <f>VLOOKUP(D4345,Products!A:C,2,FALSE)</f>
        <v>Here Footwear</v>
      </c>
      <c r="K4345" t="str">
        <f>VLOOKUP(D4345,Products!A:C,3,FALSE)</f>
        <v>Fashion</v>
      </c>
      <c r="L4345" t="str">
        <f>VLOOKUP(E4345,Stores!A:B,2,FALSE)</f>
        <v>MegaMart Brianahaven</v>
      </c>
      <c r="M4345">
        <f>VLOOKUP(D4345,Products!A:E,5,FALSE)</f>
        <v>337.63</v>
      </c>
      <c r="N4345" s="5">
        <f t="shared" si="67"/>
        <v>911.601</v>
      </c>
    </row>
    <row r="4346" spans="1:14" x14ac:dyDescent="0.3">
      <c r="A4346" t="s">
        <v>5202</v>
      </c>
      <c r="B4346" s="2">
        <v>45424</v>
      </c>
      <c r="C4346" t="s">
        <v>487</v>
      </c>
      <c r="D4346" t="s">
        <v>816</v>
      </c>
      <c r="E4346" t="s">
        <v>831</v>
      </c>
      <c r="F4346">
        <v>5</v>
      </c>
      <c r="G4346">
        <v>0</v>
      </c>
      <c r="H4346" t="s">
        <v>861</v>
      </c>
      <c r="I4346" t="str">
        <f>VLOOKUP(C4346,Customers!A:C,2,FALSE)&amp;" "&amp;VLOOKUP(C4346,Customers!A:C,3,FALSE)</f>
        <v>Yvette Roth</v>
      </c>
      <c r="J4346" t="str">
        <f>VLOOKUP(D4346,Products!A:C,2,FALSE)</f>
        <v>Set Dairy</v>
      </c>
      <c r="K4346" t="str">
        <f>VLOOKUP(D4346,Products!A:C,3,FALSE)</f>
        <v>Groceries</v>
      </c>
      <c r="L4346" t="str">
        <f>VLOOKUP(E4346,Stores!A:B,2,FALSE)</f>
        <v>MegaMart Jimenezborough</v>
      </c>
      <c r="M4346">
        <f>VLOOKUP(D4346,Products!A:E,5,FALSE)</f>
        <v>1879.08</v>
      </c>
      <c r="N4346" s="5">
        <f t="shared" si="67"/>
        <v>9395.4</v>
      </c>
    </row>
    <row r="4347" spans="1:14" x14ac:dyDescent="0.3">
      <c r="A4347" t="s">
        <v>5203</v>
      </c>
      <c r="B4347" s="2">
        <v>45756</v>
      </c>
      <c r="C4347" t="s">
        <v>144</v>
      </c>
      <c r="D4347" t="s">
        <v>728</v>
      </c>
      <c r="E4347" t="s">
        <v>831</v>
      </c>
      <c r="F4347">
        <v>4</v>
      </c>
      <c r="G4347">
        <v>0.15</v>
      </c>
      <c r="H4347" t="s">
        <v>865</v>
      </c>
      <c r="I4347" t="str">
        <f>VLOOKUP(C4347,Customers!A:C,2,FALSE)&amp;" "&amp;VLOOKUP(C4347,Customers!A:C,3,FALSE)</f>
        <v>Miranda Nelson</v>
      </c>
      <c r="J4347" t="str">
        <f>VLOOKUP(D4347,Products!A:C,2,FALSE)</f>
        <v>Company Fruits</v>
      </c>
      <c r="K4347" t="str">
        <f>VLOOKUP(D4347,Products!A:C,3,FALSE)</f>
        <v>Groceries</v>
      </c>
      <c r="L4347" t="str">
        <f>VLOOKUP(E4347,Stores!A:B,2,FALSE)</f>
        <v>MegaMart Jimenezborough</v>
      </c>
      <c r="M4347">
        <f>VLOOKUP(D4347,Products!A:E,5,FALSE)</f>
        <v>318.05</v>
      </c>
      <c r="N4347" s="5">
        <f t="shared" si="67"/>
        <v>1081.3700000000001</v>
      </c>
    </row>
    <row r="4348" spans="1:14" x14ac:dyDescent="0.3">
      <c r="A4348" t="s">
        <v>5204</v>
      </c>
      <c r="B4348" s="2">
        <v>45696</v>
      </c>
      <c r="C4348" t="s">
        <v>141</v>
      </c>
      <c r="D4348" t="s">
        <v>761</v>
      </c>
      <c r="E4348" t="s">
        <v>839</v>
      </c>
      <c r="F4348">
        <v>5</v>
      </c>
      <c r="G4348">
        <v>0.05</v>
      </c>
      <c r="H4348" t="s">
        <v>858</v>
      </c>
      <c r="I4348" t="str">
        <f>VLOOKUP(C4348,Customers!A:C,2,FALSE)&amp;" "&amp;VLOOKUP(C4348,Customers!A:C,3,FALSE)</f>
        <v>Michael Cervantes</v>
      </c>
      <c r="J4348" t="str">
        <f>VLOOKUP(D4348,Products!A:C,2,FALSE)</f>
        <v>Traditional Laptop</v>
      </c>
      <c r="K4348" t="str">
        <f>VLOOKUP(D4348,Products!A:C,3,FALSE)</f>
        <v>Electronics</v>
      </c>
      <c r="L4348" t="str">
        <f>VLOOKUP(E4348,Stores!A:B,2,FALSE)</f>
        <v>MegaMart New Michele</v>
      </c>
      <c r="M4348">
        <f>VLOOKUP(D4348,Products!A:E,5,FALSE)</f>
        <v>1762.92</v>
      </c>
      <c r="N4348" s="5">
        <f t="shared" si="67"/>
        <v>8373.8700000000008</v>
      </c>
    </row>
    <row r="4349" spans="1:14" x14ac:dyDescent="0.3">
      <c r="A4349" t="s">
        <v>5205</v>
      </c>
      <c r="B4349" s="2">
        <v>45383</v>
      </c>
      <c r="C4349" t="s">
        <v>85</v>
      </c>
      <c r="D4349" t="s">
        <v>776</v>
      </c>
      <c r="E4349" t="s">
        <v>842</v>
      </c>
      <c r="F4349">
        <v>1</v>
      </c>
      <c r="G4349">
        <v>0.1</v>
      </c>
      <c r="H4349" t="s">
        <v>855</v>
      </c>
      <c r="I4349" t="str">
        <f>VLOOKUP(C4349,Customers!A:C,2,FALSE)&amp;" "&amp;VLOOKUP(C4349,Customers!A:C,3,FALSE)</f>
        <v>Debbie Martin</v>
      </c>
      <c r="J4349" t="str">
        <f>VLOOKUP(D4349,Products!A:C,2,FALSE)</f>
        <v>Little Watches</v>
      </c>
      <c r="K4349" t="str">
        <f>VLOOKUP(D4349,Products!A:C,3,FALSE)</f>
        <v>Fashion</v>
      </c>
      <c r="L4349" t="str">
        <f>VLOOKUP(E4349,Stores!A:B,2,FALSE)</f>
        <v>MegaMart Brianahaven</v>
      </c>
      <c r="M4349">
        <f>VLOOKUP(D4349,Products!A:E,5,FALSE)</f>
        <v>429.15</v>
      </c>
      <c r="N4349" s="5">
        <f t="shared" si="67"/>
        <v>386.23500000000001</v>
      </c>
    </row>
    <row r="4350" spans="1:14" x14ac:dyDescent="0.3">
      <c r="A4350" t="s">
        <v>5206</v>
      </c>
      <c r="B4350" s="2">
        <v>45223</v>
      </c>
      <c r="C4350" t="s">
        <v>258</v>
      </c>
      <c r="D4350" t="s">
        <v>759</v>
      </c>
      <c r="E4350" t="s">
        <v>839</v>
      </c>
      <c r="F4350">
        <v>1</v>
      </c>
      <c r="G4350">
        <v>0.1</v>
      </c>
      <c r="H4350" t="s">
        <v>861</v>
      </c>
      <c r="I4350" t="str">
        <f>VLOOKUP(C4350,Customers!A:C,2,FALSE)&amp;" "&amp;VLOOKUP(C4350,Customers!A:C,3,FALSE)</f>
        <v>Alexandra Montoya</v>
      </c>
      <c r="J4350" t="str">
        <f>VLOOKUP(D4350,Products!A:C,2,FALSE)</f>
        <v>Democratic Smartphone</v>
      </c>
      <c r="K4350" t="str">
        <f>VLOOKUP(D4350,Products!A:C,3,FALSE)</f>
        <v>Electronics</v>
      </c>
      <c r="L4350" t="str">
        <f>VLOOKUP(E4350,Stores!A:B,2,FALSE)</f>
        <v>MegaMart New Michele</v>
      </c>
      <c r="M4350">
        <f>VLOOKUP(D4350,Products!A:E,5,FALSE)</f>
        <v>1079.8900000000001</v>
      </c>
      <c r="N4350" s="5">
        <f t="shared" si="67"/>
        <v>971.90100000000007</v>
      </c>
    </row>
    <row r="4351" spans="1:14" x14ac:dyDescent="0.3">
      <c r="A4351" t="s">
        <v>5207</v>
      </c>
      <c r="B4351" s="2">
        <v>45186</v>
      </c>
      <c r="C4351" t="s">
        <v>407</v>
      </c>
      <c r="D4351" t="s">
        <v>814</v>
      </c>
      <c r="E4351" t="s">
        <v>842</v>
      </c>
      <c r="F4351">
        <v>2</v>
      </c>
      <c r="G4351">
        <v>0.15</v>
      </c>
      <c r="H4351" t="s">
        <v>865</v>
      </c>
      <c r="I4351" t="str">
        <f>VLOOKUP(C4351,Customers!A:C,2,FALSE)&amp;" "&amp;VLOOKUP(C4351,Customers!A:C,3,FALSE)</f>
        <v>Austin Hogan</v>
      </c>
      <c r="J4351" t="str">
        <f>VLOOKUP(D4351,Products!A:C,2,FALSE)</f>
        <v>Least Accessories</v>
      </c>
      <c r="K4351" t="str">
        <f>VLOOKUP(D4351,Products!A:C,3,FALSE)</f>
        <v>Fashion</v>
      </c>
      <c r="L4351" t="str">
        <f>VLOOKUP(E4351,Stores!A:B,2,FALSE)</f>
        <v>MegaMart Brianahaven</v>
      </c>
      <c r="M4351">
        <f>VLOOKUP(D4351,Products!A:E,5,FALSE)</f>
        <v>1286.55</v>
      </c>
      <c r="N4351" s="5">
        <f t="shared" si="67"/>
        <v>2187.1349999999998</v>
      </c>
    </row>
    <row r="4352" spans="1:14" x14ac:dyDescent="0.3">
      <c r="A4352" t="s">
        <v>5208</v>
      </c>
      <c r="B4352" s="2">
        <v>45836</v>
      </c>
      <c r="C4352" t="s">
        <v>89</v>
      </c>
      <c r="D4352" t="s">
        <v>747</v>
      </c>
      <c r="E4352" t="s">
        <v>835</v>
      </c>
      <c r="F4352">
        <v>2</v>
      </c>
      <c r="G4352">
        <v>0</v>
      </c>
      <c r="H4352" t="s">
        <v>861</v>
      </c>
      <c r="I4352" t="str">
        <f>VLOOKUP(C4352,Customers!A:C,2,FALSE)&amp;" "&amp;VLOOKUP(C4352,Customers!A:C,3,FALSE)</f>
        <v>Megan Velasquez</v>
      </c>
      <c r="J4352" t="str">
        <f>VLOOKUP(D4352,Products!A:C,2,FALSE)</f>
        <v>World Watches</v>
      </c>
      <c r="K4352" t="str">
        <f>VLOOKUP(D4352,Products!A:C,3,FALSE)</f>
        <v>Fashion</v>
      </c>
      <c r="L4352" t="str">
        <f>VLOOKUP(E4352,Stores!A:B,2,FALSE)</f>
        <v>MegaMart Peckmouth</v>
      </c>
      <c r="M4352">
        <f>VLOOKUP(D4352,Products!A:E,5,FALSE)</f>
        <v>1134.8</v>
      </c>
      <c r="N4352" s="5">
        <f t="shared" si="67"/>
        <v>2269.6</v>
      </c>
    </row>
    <row r="4353" spans="1:14" x14ac:dyDescent="0.3">
      <c r="A4353" t="s">
        <v>5209</v>
      </c>
      <c r="B4353" s="2">
        <v>45417</v>
      </c>
      <c r="C4353" t="s">
        <v>498</v>
      </c>
      <c r="D4353" t="s">
        <v>718</v>
      </c>
      <c r="E4353" t="s">
        <v>846</v>
      </c>
      <c r="F4353">
        <v>3</v>
      </c>
      <c r="G4353">
        <v>0.15</v>
      </c>
      <c r="H4353" t="s">
        <v>865</v>
      </c>
      <c r="I4353" t="str">
        <f>VLOOKUP(C4353,Customers!A:C,2,FALSE)&amp;" "&amp;VLOOKUP(C4353,Customers!A:C,3,FALSE)</f>
        <v>Amanda Garcia</v>
      </c>
      <c r="J4353" t="str">
        <f>VLOOKUP(D4353,Products!A:C,2,FALSE)</f>
        <v>Here Footwear</v>
      </c>
      <c r="K4353" t="str">
        <f>VLOOKUP(D4353,Products!A:C,3,FALSE)</f>
        <v>Fashion</v>
      </c>
      <c r="L4353" t="str">
        <f>VLOOKUP(E4353,Stores!A:B,2,FALSE)</f>
        <v>MegaMart Johnmouth</v>
      </c>
      <c r="M4353">
        <f>VLOOKUP(D4353,Products!A:E,5,FALSE)</f>
        <v>337.63</v>
      </c>
      <c r="N4353" s="5">
        <f t="shared" si="67"/>
        <v>860.95650000000001</v>
      </c>
    </row>
    <row r="4354" spans="1:14" x14ac:dyDescent="0.3">
      <c r="A4354" t="s">
        <v>5210</v>
      </c>
      <c r="B4354" s="2">
        <v>45249</v>
      </c>
      <c r="C4354" t="s">
        <v>700</v>
      </c>
      <c r="D4354" t="s">
        <v>794</v>
      </c>
      <c r="E4354" t="s">
        <v>831</v>
      </c>
      <c r="F4354">
        <v>5</v>
      </c>
      <c r="G4354">
        <v>0.05</v>
      </c>
      <c r="H4354" t="s">
        <v>858</v>
      </c>
      <c r="I4354" t="str">
        <f>VLOOKUP(C4354,Customers!A:C,2,FALSE)&amp;" "&amp;VLOOKUP(C4354,Customers!A:C,3,FALSE)</f>
        <v>Juan Johnson</v>
      </c>
      <c r="J4354" t="str">
        <f>VLOOKUP(D4354,Products!A:C,2,FALSE)</f>
        <v>Everything Laptop</v>
      </c>
      <c r="K4354" t="str">
        <f>VLOOKUP(D4354,Products!A:C,3,FALSE)</f>
        <v>Electronics</v>
      </c>
      <c r="L4354" t="str">
        <f>VLOOKUP(E4354,Stores!A:B,2,FALSE)</f>
        <v>MegaMart Jimenezborough</v>
      </c>
      <c r="M4354">
        <f>VLOOKUP(D4354,Products!A:E,5,FALSE)</f>
        <v>428.05</v>
      </c>
      <c r="N4354" s="5">
        <f t="shared" si="67"/>
        <v>2033.2375</v>
      </c>
    </row>
    <row r="4355" spans="1:14" x14ac:dyDescent="0.3">
      <c r="A4355" t="s">
        <v>5211</v>
      </c>
      <c r="B4355" s="2">
        <v>45587</v>
      </c>
      <c r="C4355" t="s">
        <v>503</v>
      </c>
      <c r="D4355" t="s">
        <v>764</v>
      </c>
      <c r="E4355" t="s">
        <v>831</v>
      </c>
      <c r="F4355">
        <v>3</v>
      </c>
      <c r="G4355">
        <v>0.1</v>
      </c>
      <c r="H4355" t="s">
        <v>865</v>
      </c>
      <c r="I4355" t="str">
        <f>VLOOKUP(C4355,Customers!A:C,2,FALSE)&amp;" "&amp;VLOOKUP(C4355,Customers!A:C,3,FALSE)</f>
        <v>Breanna Moore</v>
      </c>
      <c r="J4355" t="str">
        <f>VLOOKUP(D4355,Products!A:C,2,FALSE)</f>
        <v>Simple Accessories</v>
      </c>
      <c r="K4355" t="str">
        <f>VLOOKUP(D4355,Products!A:C,3,FALSE)</f>
        <v>Fashion</v>
      </c>
      <c r="L4355" t="str">
        <f>VLOOKUP(E4355,Stores!A:B,2,FALSE)</f>
        <v>MegaMart Jimenezborough</v>
      </c>
      <c r="M4355">
        <f>VLOOKUP(D4355,Products!A:E,5,FALSE)</f>
        <v>323.92</v>
      </c>
      <c r="N4355" s="5">
        <f t="shared" ref="N4355:N4418" si="68">F4355*M4355*(1-G4355)</f>
        <v>874.58400000000006</v>
      </c>
    </row>
    <row r="4356" spans="1:14" x14ac:dyDescent="0.3">
      <c r="A4356" t="s">
        <v>5212</v>
      </c>
      <c r="B4356" s="2">
        <v>45281</v>
      </c>
      <c r="C4356" t="s">
        <v>28</v>
      </c>
      <c r="D4356" t="s">
        <v>759</v>
      </c>
      <c r="E4356" t="s">
        <v>846</v>
      </c>
      <c r="F4356">
        <v>5</v>
      </c>
      <c r="G4356">
        <v>0.05</v>
      </c>
      <c r="H4356" t="s">
        <v>865</v>
      </c>
      <c r="I4356" t="str">
        <f>VLOOKUP(C4356,Customers!A:C,2,FALSE)&amp;" "&amp;VLOOKUP(C4356,Customers!A:C,3,FALSE)</f>
        <v>Danny Moore</v>
      </c>
      <c r="J4356" t="str">
        <f>VLOOKUP(D4356,Products!A:C,2,FALSE)</f>
        <v>Democratic Smartphone</v>
      </c>
      <c r="K4356" t="str">
        <f>VLOOKUP(D4356,Products!A:C,3,FALSE)</f>
        <v>Electronics</v>
      </c>
      <c r="L4356" t="str">
        <f>VLOOKUP(E4356,Stores!A:B,2,FALSE)</f>
        <v>MegaMart Johnmouth</v>
      </c>
      <c r="M4356">
        <f>VLOOKUP(D4356,Products!A:E,5,FALSE)</f>
        <v>1079.8900000000001</v>
      </c>
      <c r="N4356" s="5">
        <f t="shared" si="68"/>
        <v>5129.4775000000009</v>
      </c>
    </row>
    <row r="4357" spans="1:14" x14ac:dyDescent="0.3">
      <c r="A4357" t="s">
        <v>5213</v>
      </c>
      <c r="B4357" s="2">
        <v>45616</v>
      </c>
      <c r="C4357" t="s">
        <v>426</v>
      </c>
      <c r="D4357" t="s">
        <v>766</v>
      </c>
      <c r="E4357" t="s">
        <v>842</v>
      </c>
      <c r="F4357">
        <v>5</v>
      </c>
      <c r="G4357">
        <v>0</v>
      </c>
      <c r="H4357" t="s">
        <v>855</v>
      </c>
      <c r="I4357" t="str">
        <f>VLOOKUP(C4357,Customers!A:C,2,FALSE)&amp;" "&amp;VLOOKUP(C4357,Customers!A:C,3,FALSE)</f>
        <v>Miranda Rodriguez</v>
      </c>
      <c r="J4357" t="str">
        <f>VLOOKUP(D4357,Products!A:C,2,FALSE)</f>
        <v>Firm Dairy</v>
      </c>
      <c r="K4357" t="str">
        <f>VLOOKUP(D4357,Products!A:C,3,FALSE)</f>
        <v>Groceries</v>
      </c>
      <c r="L4357" t="str">
        <f>VLOOKUP(E4357,Stores!A:B,2,FALSE)</f>
        <v>MegaMart Brianahaven</v>
      </c>
      <c r="M4357">
        <f>VLOOKUP(D4357,Products!A:E,5,FALSE)</f>
        <v>1227.24</v>
      </c>
      <c r="N4357" s="5">
        <f t="shared" si="68"/>
        <v>6136.2</v>
      </c>
    </row>
    <row r="4358" spans="1:14" x14ac:dyDescent="0.3">
      <c r="A4358" t="s">
        <v>5214</v>
      </c>
      <c r="B4358" s="2">
        <v>45485</v>
      </c>
      <c r="C4358" t="s">
        <v>306</v>
      </c>
      <c r="D4358" t="s">
        <v>794</v>
      </c>
      <c r="E4358" t="s">
        <v>835</v>
      </c>
      <c r="F4358">
        <v>5</v>
      </c>
      <c r="G4358">
        <v>0.15</v>
      </c>
      <c r="H4358" t="s">
        <v>858</v>
      </c>
      <c r="I4358" t="str">
        <f>VLOOKUP(C4358,Customers!A:C,2,FALSE)&amp;" "&amp;VLOOKUP(C4358,Customers!A:C,3,FALSE)</f>
        <v>Sarah Reynolds</v>
      </c>
      <c r="J4358" t="str">
        <f>VLOOKUP(D4358,Products!A:C,2,FALSE)</f>
        <v>Everything Laptop</v>
      </c>
      <c r="K4358" t="str">
        <f>VLOOKUP(D4358,Products!A:C,3,FALSE)</f>
        <v>Electronics</v>
      </c>
      <c r="L4358" t="str">
        <f>VLOOKUP(E4358,Stores!A:B,2,FALSE)</f>
        <v>MegaMart Peckmouth</v>
      </c>
      <c r="M4358">
        <f>VLOOKUP(D4358,Products!A:E,5,FALSE)</f>
        <v>428.05</v>
      </c>
      <c r="N4358" s="5">
        <f t="shared" si="68"/>
        <v>1819.2124999999999</v>
      </c>
    </row>
    <row r="4359" spans="1:14" x14ac:dyDescent="0.3">
      <c r="A4359" t="s">
        <v>5215</v>
      </c>
      <c r="B4359" s="2">
        <v>45844</v>
      </c>
      <c r="C4359" t="s">
        <v>542</v>
      </c>
      <c r="D4359" t="s">
        <v>757</v>
      </c>
      <c r="E4359" t="s">
        <v>835</v>
      </c>
      <c r="F4359">
        <v>2</v>
      </c>
      <c r="G4359">
        <v>0.1</v>
      </c>
      <c r="H4359" t="s">
        <v>865</v>
      </c>
      <c r="I4359" t="str">
        <f>VLOOKUP(C4359,Customers!A:C,2,FALSE)&amp;" "&amp;VLOOKUP(C4359,Customers!A:C,3,FALSE)</f>
        <v>Francis Hernandez</v>
      </c>
      <c r="J4359" t="str">
        <f>VLOOKUP(D4359,Products!A:C,2,FALSE)</f>
        <v>Find Headphones</v>
      </c>
      <c r="K4359" t="str">
        <f>VLOOKUP(D4359,Products!A:C,3,FALSE)</f>
        <v>Electronics</v>
      </c>
      <c r="L4359" t="str">
        <f>VLOOKUP(E4359,Stores!A:B,2,FALSE)</f>
        <v>MegaMart Peckmouth</v>
      </c>
      <c r="M4359">
        <f>VLOOKUP(D4359,Products!A:E,5,FALSE)</f>
        <v>1246.1099999999999</v>
      </c>
      <c r="N4359" s="5">
        <f t="shared" si="68"/>
        <v>2242.998</v>
      </c>
    </row>
    <row r="4360" spans="1:14" x14ac:dyDescent="0.3">
      <c r="A4360" t="s">
        <v>5216</v>
      </c>
      <c r="B4360" s="2">
        <v>45630</v>
      </c>
      <c r="C4360" t="s">
        <v>577</v>
      </c>
      <c r="D4360" t="s">
        <v>794</v>
      </c>
      <c r="E4360" t="s">
        <v>839</v>
      </c>
      <c r="F4360">
        <v>5</v>
      </c>
      <c r="G4360">
        <v>0</v>
      </c>
      <c r="H4360" t="s">
        <v>858</v>
      </c>
      <c r="I4360" t="str">
        <f>VLOOKUP(C4360,Customers!A:C,2,FALSE)&amp;" "&amp;VLOOKUP(C4360,Customers!A:C,3,FALSE)</f>
        <v>Michael Perez</v>
      </c>
      <c r="J4360" t="str">
        <f>VLOOKUP(D4360,Products!A:C,2,FALSE)</f>
        <v>Everything Laptop</v>
      </c>
      <c r="K4360" t="str">
        <f>VLOOKUP(D4360,Products!A:C,3,FALSE)</f>
        <v>Electronics</v>
      </c>
      <c r="L4360" t="str">
        <f>VLOOKUP(E4360,Stores!A:B,2,FALSE)</f>
        <v>MegaMart New Michele</v>
      </c>
      <c r="M4360">
        <f>VLOOKUP(D4360,Products!A:E,5,FALSE)</f>
        <v>428.05</v>
      </c>
      <c r="N4360" s="5">
        <f t="shared" si="68"/>
        <v>2140.25</v>
      </c>
    </row>
    <row r="4361" spans="1:14" x14ac:dyDescent="0.3">
      <c r="A4361" t="s">
        <v>5217</v>
      </c>
      <c r="B4361" s="2">
        <v>45250</v>
      </c>
      <c r="C4361" t="s">
        <v>677</v>
      </c>
      <c r="D4361" t="s">
        <v>780</v>
      </c>
      <c r="E4361" t="s">
        <v>831</v>
      </c>
      <c r="F4361">
        <v>3</v>
      </c>
      <c r="G4361">
        <v>0.05</v>
      </c>
      <c r="H4361" t="s">
        <v>861</v>
      </c>
      <c r="I4361" t="str">
        <f>VLOOKUP(C4361,Customers!A:C,2,FALSE)&amp;" "&amp;VLOOKUP(C4361,Customers!A:C,3,FALSE)</f>
        <v>James Wilson</v>
      </c>
      <c r="J4361" t="str">
        <f>VLOOKUP(D4361,Products!A:C,2,FALSE)</f>
        <v>Hospital Smartphone</v>
      </c>
      <c r="K4361" t="str">
        <f>VLOOKUP(D4361,Products!A:C,3,FALSE)</f>
        <v>Electronics</v>
      </c>
      <c r="L4361" t="str">
        <f>VLOOKUP(E4361,Stores!A:B,2,FALSE)</f>
        <v>MegaMart Jimenezborough</v>
      </c>
      <c r="M4361">
        <f>VLOOKUP(D4361,Products!A:E,5,FALSE)</f>
        <v>1272.23</v>
      </c>
      <c r="N4361" s="5">
        <f t="shared" si="68"/>
        <v>3625.8554999999997</v>
      </c>
    </row>
    <row r="4362" spans="1:14" x14ac:dyDescent="0.3">
      <c r="A4362" t="s">
        <v>5218</v>
      </c>
      <c r="B4362" s="2">
        <v>45790</v>
      </c>
      <c r="C4362" t="s">
        <v>615</v>
      </c>
      <c r="D4362" t="s">
        <v>824</v>
      </c>
      <c r="E4362" t="s">
        <v>842</v>
      </c>
      <c r="F4362">
        <v>1</v>
      </c>
      <c r="G4362">
        <v>0</v>
      </c>
      <c r="H4362" t="s">
        <v>865</v>
      </c>
      <c r="I4362" t="str">
        <f>VLOOKUP(C4362,Customers!A:C,2,FALSE)&amp;" "&amp;VLOOKUP(C4362,Customers!A:C,3,FALSE)</f>
        <v>Lisa Ruiz</v>
      </c>
      <c r="J4362" t="str">
        <f>VLOOKUP(D4362,Products!A:C,2,FALSE)</f>
        <v>Possible Watches</v>
      </c>
      <c r="K4362" t="str">
        <f>VLOOKUP(D4362,Products!A:C,3,FALSE)</f>
        <v>Fashion</v>
      </c>
      <c r="L4362" t="str">
        <f>VLOOKUP(E4362,Stores!A:B,2,FALSE)</f>
        <v>MegaMart Brianahaven</v>
      </c>
      <c r="M4362">
        <f>VLOOKUP(D4362,Products!A:E,5,FALSE)</f>
        <v>388.26</v>
      </c>
      <c r="N4362" s="5">
        <f t="shared" si="68"/>
        <v>388.26</v>
      </c>
    </row>
    <row r="4363" spans="1:14" x14ac:dyDescent="0.3">
      <c r="A4363" t="s">
        <v>5219</v>
      </c>
      <c r="B4363" s="2">
        <v>45404</v>
      </c>
      <c r="C4363" t="s">
        <v>536</v>
      </c>
      <c r="D4363" t="s">
        <v>778</v>
      </c>
      <c r="E4363" t="s">
        <v>835</v>
      </c>
      <c r="F4363">
        <v>5</v>
      </c>
      <c r="G4363">
        <v>0</v>
      </c>
      <c r="H4363" t="s">
        <v>865</v>
      </c>
      <c r="I4363" t="str">
        <f>VLOOKUP(C4363,Customers!A:C,2,FALSE)&amp;" "&amp;VLOOKUP(C4363,Customers!A:C,3,FALSE)</f>
        <v>John Foster</v>
      </c>
      <c r="J4363" t="str">
        <f>VLOOKUP(D4363,Products!A:C,2,FALSE)</f>
        <v>Behavior Dairy</v>
      </c>
      <c r="K4363" t="str">
        <f>VLOOKUP(D4363,Products!A:C,3,FALSE)</f>
        <v>Groceries</v>
      </c>
      <c r="L4363" t="str">
        <f>VLOOKUP(E4363,Stores!A:B,2,FALSE)</f>
        <v>MegaMart Peckmouth</v>
      </c>
      <c r="M4363">
        <f>VLOOKUP(D4363,Products!A:E,5,FALSE)</f>
        <v>1015.76</v>
      </c>
      <c r="N4363" s="5">
        <f t="shared" si="68"/>
        <v>5078.8</v>
      </c>
    </row>
    <row r="4364" spans="1:14" x14ac:dyDescent="0.3">
      <c r="A4364" t="s">
        <v>5220</v>
      </c>
      <c r="B4364" s="2">
        <v>45609</v>
      </c>
      <c r="C4364" t="s">
        <v>243</v>
      </c>
      <c r="D4364" t="s">
        <v>753</v>
      </c>
      <c r="E4364" t="s">
        <v>846</v>
      </c>
      <c r="F4364">
        <v>2</v>
      </c>
      <c r="G4364">
        <v>0.15</v>
      </c>
      <c r="H4364" t="s">
        <v>855</v>
      </c>
      <c r="I4364" t="str">
        <f>VLOOKUP(C4364,Customers!A:C,2,FALSE)&amp;" "&amp;VLOOKUP(C4364,Customers!A:C,3,FALSE)</f>
        <v>Amanda Hoover</v>
      </c>
      <c r="J4364" t="str">
        <f>VLOOKUP(D4364,Products!A:C,2,FALSE)</f>
        <v>Whether Bags</v>
      </c>
      <c r="K4364" t="str">
        <f>VLOOKUP(D4364,Products!A:C,3,FALSE)</f>
        <v>Fashion</v>
      </c>
      <c r="L4364" t="str">
        <f>VLOOKUP(E4364,Stores!A:B,2,FALSE)</f>
        <v>MegaMart Johnmouth</v>
      </c>
      <c r="M4364">
        <f>VLOOKUP(D4364,Products!A:E,5,FALSE)</f>
        <v>270.45</v>
      </c>
      <c r="N4364" s="5">
        <f t="shared" si="68"/>
        <v>459.76499999999999</v>
      </c>
    </row>
    <row r="4365" spans="1:14" x14ac:dyDescent="0.3">
      <c r="A4365" t="s">
        <v>5221</v>
      </c>
      <c r="B4365" s="2">
        <v>45530</v>
      </c>
      <c r="C4365" t="s">
        <v>137</v>
      </c>
      <c r="D4365" t="s">
        <v>806</v>
      </c>
      <c r="E4365" t="s">
        <v>839</v>
      </c>
      <c r="F4365">
        <v>3</v>
      </c>
      <c r="G4365">
        <v>0</v>
      </c>
      <c r="H4365" t="s">
        <v>861</v>
      </c>
      <c r="I4365" t="str">
        <f>VLOOKUP(C4365,Customers!A:C,2,FALSE)&amp;" "&amp;VLOOKUP(C4365,Customers!A:C,3,FALSE)</f>
        <v>Kimberly King</v>
      </c>
      <c r="J4365" t="str">
        <f>VLOOKUP(D4365,Products!A:C,2,FALSE)</f>
        <v>Piece Headphones</v>
      </c>
      <c r="K4365" t="str">
        <f>VLOOKUP(D4365,Products!A:C,3,FALSE)</f>
        <v>Electronics</v>
      </c>
      <c r="L4365" t="str">
        <f>VLOOKUP(E4365,Stores!A:B,2,FALSE)</f>
        <v>MegaMart New Michele</v>
      </c>
      <c r="M4365">
        <f>VLOOKUP(D4365,Products!A:E,5,FALSE)</f>
        <v>1745.61</v>
      </c>
      <c r="N4365" s="5">
        <f t="shared" si="68"/>
        <v>5236.83</v>
      </c>
    </row>
    <row r="4366" spans="1:14" x14ac:dyDescent="0.3">
      <c r="A4366" t="s">
        <v>5222</v>
      </c>
      <c r="B4366" s="2">
        <v>45635</v>
      </c>
      <c r="C4366" t="s">
        <v>657</v>
      </c>
      <c r="D4366" t="s">
        <v>796</v>
      </c>
      <c r="E4366" t="s">
        <v>842</v>
      </c>
      <c r="F4366">
        <v>1</v>
      </c>
      <c r="G4366">
        <v>0</v>
      </c>
      <c r="H4366" t="s">
        <v>855</v>
      </c>
      <c r="I4366" t="str">
        <f>VLOOKUP(C4366,Customers!A:C,2,FALSE)&amp;" "&amp;VLOOKUP(C4366,Customers!A:C,3,FALSE)</f>
        <v>Vicki Guzman</v>
      </c>
      <c r="J4366" t="str">
        <f>VLOOKUP(D4366,Products!A:C,2,FALSE)</f>
        <v>Chair Laptop</v>
      </c>
      <c r="K4366" t="str">
        <f>VLOOKUP(D4366,Products!A:C,3,FALSE)</f>
        <v>Electronics</v>
      </c>
      <c r="L4366" t="str">
        <f>VLOOKUP(E4366,Stores!A:B,2,FALSE)</f>
        <v>MegaMart Brianahaven</v>
      </c>
      <c r="M4366">
        <f>VLOOKUP(D4366,Products!A:E,5,FALSE)</f>
        <v>1562.43</v>
      </c>
      <c r="N4366" s="5">
        <f t="shared" si="68"/>
        <v>1562.43</v>
      </c>
    </row>
    <row r="4367" spans="1:14" x14ac:dyDescent="0.3">
      <c r="A4367" t="s">
        <v>5223</v>
      </c>
      <c r="B4367" s="2">
        <v>45605</v>
      </c>
      <c r="C4367" t="s">
        <v>500</v>
      </c>
      <c r="D4367" t="s">
        <v>734</v>
      </c>
      <c r="E4367" t="s">
        <v>831</v>
      </c>
      <c r="F4367">
        <v>5</v>
      </c>
      <c r="G4367">
        <v>0</v>
      </c>
      <c r="H4367" t="s">
        <v>865</v>
      </c>
      <c r="I4367" t="str">
        <f>VLOOKUP(C4367,Customers!A:C,2,FALSE)&amp;" "&amp;VLOOKUP(C4367,Customers!A:C,3,FALSE)</f>
        <v>Gary Lopez</v>
      </c>
      <c r="J4367" t="str">
        <f>VLOOKUP(D4367,Products!A:C,2,FALSE)</f>
        <v>Recognize Footwear</v>
      </c>
      <c r="K4367" t="str">
        <f>VLOOKUP(D4367,Products!A:C,3,FALSE)</f>
        <v>Fashion</v>
      </c>
      <c r="L4367" t="str">
        <f>VLOOKUP(E4367,Stores!A:B,2,FALSE)</f>
        <v>MegaMart Jimenezborough</v>
      </c>
      <c r="M4367">
        <f>VLOOKUP(D4367,Products!A:E,5,FALSE)</f>
        <v>109.78</v>
      </c>
      <c r="N4367" s="5">
        <f t="shared" si="68"/>
        <v>548.9</v>
      </c>
    </row>
    <row r="4368" spans="1:14" x14ac:dyDescent="0.3">
      <c r="A4368" t="s">
        <v>5224</v>
      </c>
      <c r="B4368" s="2">
        <v>45643</v>
      </c>
      <c r="C4368" t="s">
        <v>277</v>
      </c>
      <c r="D4368" t="s">
        <v>816</v>
      </c>
      <c r="E4368" t="s">
        <v>839</v>
      </c>
      <c r="F4368">
        <v>1</v>
      </c>
      <c r="G4368">
        <v>0.05</v>
      </c>
      <c r="H4368" t="s">
        <v>855</v>
      </c>
      <c r="I4368" t="str">
        <f>VLOOKUP(C4368,Customers!A:C,2,FALSE)&amp;" "&amp;VLOOKUP(C4368,Customers!A:C,3,FALSE)</f>
        <v>Carl Armstrong</v>
      </c>
      <c r="J4368" t="str">
        <f>VLOOKUP(D4368,Products!A:C,2,FALSE)</f>
        <v>Set Dairy</v>
      </c>
      <c r="K4368" t="str">
        <f>VLOOKUP(D4368,Products!A:C,3,FALSE)</f>
        <v>Groceries</v>
      </c>
      <c r="L4368" t="str">
        <f>VLOOKUP(E4368,Stores!A:B,2,FALSE)</f>
        <v>MegaMart New Michele</v>
      </c>
      <c r="M4368">
        <f>VLOOKUP(D4368,Products!A:E,5,FALSE)</f>
        <v>1879.08</v>
      </c>
      <c r="N4368" s="5">
        <f t="shared" si="68"/>
        <v>1785.1259999999997</v>
      </c>
    </row>
    <row r="4369" spans="1:14" x14ac:dyDescent="0.3">
      <c r="A4369" t="s">
        <v>5225</v>
      </c>
      <c r="B4369" s="2">
        <v>45902</v>
      </c>
      <c r="C4369" t="s">
        <v>213</v>
      </c>
      <c r="D4369" t="s">
        <v>780</v>
      </c>
      <c r="E4369" t="s">
        <v>842</v>
      </c>
      <c r="F4369">
        <v>2</v>
      </c>
      <c r="G4369">
        <v>0.15</v>
      </c>
      <c r="H4369" t="s">
        <v>865</v>
      </c>
      <c r="I4369" t="str">
        <f>VLOOKUP(C4369,Customers!A:C,2,FALSE)&amp;" "&amp;VLOOKUP(C4369,Customers!A:C,3,FALSE)</f>
        <v>Deborah Moody</v>
      </c>
      <c r="J4369" t="str">
        <f>VLOOKUP(D4369,Products!A:C,2,FALSE)</f>
        <v>Hospital Smartphone</v>
      </c>
      <c r="K4369" t="str">
        <f>VLOOKUP(D4369,Products!A:C,3,FALSE)</f>
        <v>Electronics</v>
      </c>
      <c r="L4369" t="str">
        <f>VLOOKUP(E4369,Stores!A:B,2,FALSE)</f>
        <v>MegaMart Brianahaven</v>
      </c>
      <c r="M4369">
        <f>VLOOKUP(D4369,Products!A:E,5,FALSE)</f>
        <v>1272.23</v>
      </c>
      <c r="N4369" s="5">
        <f t="shared" si="68"/>
        <v>2162.7910000000002</v>
      </c>
    </row>
    <row r="4370" spans="1:14" x14ac:dyDescent="0.3">
      <c r="A4370" t="s">
        <v>5226</v>
      </c>
      <c r="B4370" s="2">
        <v>45429</v>
      </c>
      <c r="C4370" t="s">
        <v>331</v>
      </c>
      <c r="D4370" t="s">
        <v>820</v>
      </c>
      <c r="E4370" t="s">
        <v>846</v>
      </c>
      <c r="F4370">
        <v>4</v>
      </c>
      <c r="G4370">
        <v>0.05</v>
      </c>
      <c r="H4370" t="s">
        <v>858</v>
      </c>
      <c r="I4370" t="str">
        <f>VLOOKUP(C4370,Customers!A:C,2,FALSE)&amp;" "&amp;VLOOKUP(C4370,Customers!A:C,3,FALSE)</f>
        <v>Brenda Costa</v>
      </c>
      <c r="J4370" t="str">
        <f>VLOOKUP(D4370,Products!A:C,2,FALSE)</f>
        <v>Or Smartphone</v>
      </c>
      <c r="K4370" t="str">
        <f>VLOOKUP(D4370,Products!A:C,3,FALSE)</f>
        <v>Electronics</v>
      </c>
      <c r="L4370" t="str">
        <f>VLOOKUP(E4370,Stores!A:B,2,FALSE)</f>
        <v>MegaMart Johnmouth</v>
      </c>
      <c r="M4370">
        <f>VLOOKUP(D4370,Products!A:E,5,FALSE)</f>
        <v>1197.18</v>
      </c>
      <c r="N4370" s="5">
        <f t="shared" si="68"/>
        <v>4549.2839999999997</v>
      </c>
    </row>
    <row r="4371" spans="1:14" x14ac:dyDescent="0.3">
      <c r="A4371" t="s">
        <v>5227</v>
      </c>
      <c r="B4371" s="2">
        <v>45730</v>
      </c>
      <c r="C4371" t="s">
        <v>683</v>
      </c>
      <c r="D4371" t="s">
        <v>761</v>
      </c>
      <c r="E4371" t="s">
        <v>842</v>
      </c>
      <c r="F4371">
        <v>2</v>
      </c>
      <c r="G4371">
        <v>0.15</v>
      </c>
      <c r="H4371" t="s">
        <v>865</v>
      </c>
      <c r="I4371" t="str">
        <f>VLOOKUP(C4371,Customers!A:C,2,FALSE)&amp;" "&amp;VLOOKUP(C4371,Customers!A:C,3,FALSE)</f>
        <v>Ann West</v>
      </c>
      <c r="J4371" t="str">
        <f>VLOOKUP(D4371,Products!A:C,2,FALSE)</f>
        <v>Traditional Laptop</v>
      </c>
      <c r="K4371" t="str">
        <f>VLOOKUP(D4371,Products!A:C,3,FALSE)</f>
        <v>Electronics</v>
      </c>
      <c r="L4371" t="str">
        <f>VLOOKUP(E4371,Stores!A:B,2,FALSE)</f>
        <v>MegaMart Brianahaven</v>
      </c>
      <c r="M4371">
        <f>VLOOKUP(D4371,Products!A:E,5,FALSE)</f>
        <v>1762.92</v>
      </c>
      <c r="N4371" s="5">
        <f t="shared" si="68"/>
        <v>2996.9639999999999</v>
      </c>
    </row>
    <row r="4372" spans="1:14" x14ac:dyDescent="0.3">
      <c r="A4372" t="s">
        <v>5228</v>
      </c>
      <c r="B4372" s="2">
        <v>45548</v>
      </c>
      <c r="C4372" t="s">
        <v>217</v>
      </c>
      <c r="D4372" t="s">
        <v>826</v>
      </c>
      <c r="E4372" t="s">
        <v>839</v>
      </c>
      <c r="F4372">
        <v>5</v>
      </c>
      <c r="G4372">
        <v>0.15</v>
      </c>
      <c r="H4372" t="s">
        <v>861</v>
      </c>
      <c r="I4372" t="str">
        <f>VLOOKUP(C4372,Customers!A:C,2,FALSE)&amp;" "&amp;VLOOKUP(C4372,Customers!A:C,3,FALSE)</f>
        <v>Carl Wyatt</v>
      </c>
      <c r="J4372" t="str">
        <f>VLOOKUP(D4372,Products!A:C,2,FALSE)</f>
        <v>Maybe Footwear</v>
      </c>
      <c r="K4372" t="str">
        <f>VLOOKUP(D4372,Products!A:C,3,FALSE)</f>
        <v>Fashion</v>
      </c>
      <c r="L4372" t="str">
        <f>VLOOKUP(E4372,Stores!A:B,2,FALSE)</f>
        <v>MegaMart New Michele</v>
      </c>
      <c r="M4372">
        <f>VLOOKUP(D4372,Products!A:E,5,FALSE)</f>
        <v>1044.6400000000001</v>
      </c>
      <c r="N4372" s="5">
        <f t="shared" si="68"/>
        <v>4439.72</v>
      </c>
    </row>
    <row r="4373" spans="1:14" x14ac:dyDescent="0.3">
      <c r="A4373" t="s">
        <v>5229</v>
      </c>
      <c r="B4373" s="2">
        <v>45448</v>
      </c>
      <c r="C4373" t="s">
        <v>210</v>
      </c>
      <c r="D4373" t="s">
        <v>734</v>
      </c>
      <c r="E4373" t="s">
        <v>839</v>
      </c>
      <c r="F4373">
        <v>2</v>
      </c>
      <c r="G4373">
        <v>0</v>
      </c>
      <c r="H4373" t="s">
        <v>865</v>
      </c>
      <c r="I4373" t="str">
        <f>VLOOKUP(C4373,Customers!A:C,2,FALSE)&amp;" "&amp;VLOOKUP(C4373,Customers!A:C,3,FALSE)</f>
        <v>Crystal Johnson</v>
      </c>
      <c r="J4373" t="str">
        <f>VLOOKUP(D4373,Products!A:C,2,FALSE)</f>
        <v>Recognize Footwear</v>
      </c>
      <c r="K4373" t="str">
        <f>VLOOKUP(D4373,Products!A:C,3,FALSE)</f>
        <v>Fashion</v>
      </c>
      <c r="L4373" t="str">
        <f>VLOOKUP(E4373,Stores!A:B,2,FALSE)</f>
        <v>MegaMart New Michele</v>
      </c>
      <c r="M4373">
        <f>VLOOKUP(D4373,Products!A:E,5,FALSE)</f>
        <v>109.78</v>
      </c>
      <c r="N4373" s="5">
        <f t="shared" si="68"/>
        <v>219.56</v>
      </c>
    </row>
    <row r="4374" spans="1:14" x14ac:dyDescent="0.3">
      <c r="A4374" t="s">
        <v>5230</v>
      </c>
      <c r="B4374" s="2">
        <v>45263</v>
      </c>
      <c r="C4374" t="s">
        <v>577</v>
      </c>
      <c r="D4374" t="s">
        <v>747</v>
      </c>
      <c r="E4374" t="s">
        <v>839</v>
      </c>
      <c r="F4374">
        <v>5</v>
      </c>
      <c r="G4374">
        <v>0.1</v>
      </c>
      <c r="H4374" t="s">
        <v>858</v>
      </c>
      <c r="I4374" t="str">
        <f>VLOOKUP(C4374,Customers!A:C,2,FALSE)&amp;" "&amp;VLOOKUP(C4374,Customers!A:C,3,FALSE)</f>
        <v>Michael Perez</v>
      </c>
      <c r="J4374" t="str">
        <f>VLOOKUP(D4374,Products!A:C,2,FALSE)</f>
        <v>World Watches</v>
      </c>
      <c r="K4374" t="str">
        <f>VLOOKUP(D4374,Products!A:C,3,FALSE)</f>
        <v>Fashion</v>
      </c>
      <c r="L4374" t="str">
        <f>VLOOKUP(E4374,Stores!A:B,2,FALSE)</f>
        <v>MegaMart New Michele</v>
      </c>
      <c r="M4374">
        <f>VLOOKUP(D4374,Products!A:E,5,FALSE)</f>
        <v>1134.8</v>
      </c>
      <c r="N4374" s="5">
        <f t="shared" si="68"/>
        <v>5106.6000000000004</v>
      </c>
    </row>
    <row r="4375" spans="1:14" x14ac:dyDescent="0.3">
      <c r="A4375" t="s">
        <v>5231</v>
      </c>
      <c r="B4375" s="2">
        <v>45517</v>
      </c>
      <c r="C4375" t="s">
        <v>97</v>
      </c>
      <c r="D4375" t="s">
        <v>800</v>
      </c>
      <c r="E4375" t="s">
        <v>839</v>
      </c>
      <c r="F4375">
        <v>3</v>
      </c>
      <c r="G4375">
        <v>0.15</v>
      </c>
      <c r="H4375" t="s">
        <v>861</v>
      </c>
      <c r="I4375" t="str">
        <f>VLOOKUP(C4375,Customers!A:C,2,FALSE)&amp;" "&amp;VLOOKUP(C4375,Customers!A:C,3,FALSE)</f>
        <v>Molly Murray</v>
      </c>
      <c r="J4375" t="str">
        <f>VLOOKUP(D4375,Products!A:C,2,FALSE)</f>
        <v>Book Television</v>
      </c>
      <c r="K4375" t="str">
        <f>VLOOKUP(D4375,Products!A:C,3,FALSE)</f>
        <v>Electronics</v>
      </c>
      <c r="L4375" t="str">
        <f>VLOOKUP(E4375,Stores!A:B,2,FALSE)</f>
        <v>MegaMart New Michele</v>
      </c>
      <c r="M4375">
        <f>VLOOKUP(D4375,Products!A:E,5,FALSE)</f>
        <v>1952.65</v>
      </c>
      <c r="N4375" s="5">
        <f t="shared" si="68"/>
        <v>4979.2575000000006</v>
      </c>
    </row>
    <row r="4376" spans="1:14" x14ac:dyDescent="0.3">
      <c r="A4376" t="s">
        <v>5232</v>
      </c>
      <c r="B4376" s="2">
        <v>45879</v>
      </c>
      <c r="C4376" t="s">
        <v>93</v>
      </c>
      <c r="D4376" t="s">
        <v>794</v>
      </c>
      <c r="E4376" t="s">
        <v>839</v>
      </c>
      <c r="F4376">
        <v>4</v>
      </c>
      <c r="G4376">
        <v>0.15</v>
      </c>
      <c r="H4376" t="s">
        <v>861</v>
      </c>
      <c r="I4376" t="str">
        <f>VLOOKUP(C4376,Customers!A:C,2,FALSE)&amp;" "&amp;VLOOKUP(C4376,Customers!A:C,3,FALSE)</f>
        <v>Mark Martinez</v>
      </c>
      <c r="J4376" t="str">
        <f>VLOOKUP(D4376,Products!A:C,2,FALSE)</f>
        <v>Everything Laptop</v>
      </c>
      <c r="K4376" t="str">
        <f>VLOOKUP(D4376,Products!A:C,3,FALSE)</f>
        <v>Electronics</v>
      </c>
      <c r="L4376" t="str">
        <f>VLOOKUP(E4376,Stores!A:B,2,FALSE)</f>
        <v>MegaMart New Michele</v>
      </c>
      <c r="M4376">
        <f>VLOOKUP(D4376,Products!A:E,5,FALSE)</f>
        <v>428.05</v>
      </c>
      <c r="N4376" s="5">
        <f t="shared" si="68"/>
        <v>1455.37</v>
      </c>
    </row>
    <row r="4377" spans="1:14" x14ac:dyDescent="0.3">
      <c r="A4377" t="s">
        <v>5233</v>
      </c>
      <c r="B4377" s="2">
        <v>45827</v>
      </c>
      <c r="C4377" t="s">
        <v>542</v>
      </c>
      <c r="D4377" t="s">
        <v>772</v>
      </c>
      <c r="E4377" t="s">
        <v>842</v>
      </c>
      <c r="F4377">
        <v>5</v>
      </c>
      <c r="G4377">
        <v>0.05</v>
      </c>
      <c r="H4377" t="s">
        <v>855</v>
      </c>
      <c r="I4377" t="str">
        <f>VLOOKUP(C4377,Customers!A:C,2,FALSE)&amp;" "&amp;VLOOKUP(C4377,Customers!A:C,3,FALSE)</f>
        <v>Francis Hernandez</v>
      </c>
      <c r="J4377" t="str">
        <f>VLOOKUP(D4377,Products!A:C,2,FALSE)</f>
        <v>And Footwear</v>
      </c>
      <c r="K4377" t="str">
        <f>VLOOKUP(D4377,Products!A:C,3,FALSE)</f>
        <v>Fashion</v>
      </c>
      <c r="L4377" t="str">
        <f>VLOOKUP(E4377,Stores!A:B,2,FALSE)</f>
        <v>MegaMart Brianahaven</v>
      </c>
      <c r="M4377">
        <f>VLOOKUP(D4377,Products!A:E,5,FALSE)</f>
        <v>1878.47</v>
      </c>
      <c r="N4377" s="5">
        <f t="shared" si="68"/>
        <v>8922.7325000000001</v>
      </c>
    </row>
    <row r="4378" spans="1:14" x14ac:dyDescent="0.3">
      <c r="A4378" t="s">
        <v>5234</v>
      </c>
      <c r="B4378" s="2">
        <v>45651</v>
      </c>
      <c r="C4378" t="s">
        <v>335</v>
      </c>
      <c r="D4378" t="s">
        <v>810</v>
      </c>
      <c r="E4378" t="s">
        <v>831</v>
      </c>
      <c r="F4378">
        <v>1</v>
      </c>
      <c r="G4378">
        <v>0.15</v>
      </c>
      <c r="H4378" t="s">
        <v>855</v>
      </c>
      <c r="I4378" t="str">
        <f>VLOOKUP(C4378,Customers!A:C,2,FALSE)&amp;" "&amp;VLOOKUP(C4378,Customers!A:C,3,FALSE)</f>
        <v>William Warner</v>
      </c>
      <c r="J4378" t="str">
        <f>VLOOKUP(D4378,Products!A:C,2,FALSE)</f>
        <v>Maybe Clothing</v>
      </c>
      <c r="K4378" t="str">
        <f>VLOOKUP(D4378,Products!A:C,3,FALSE)</f>
        <v>Fashion</v>
      </c>
      <c r="L4378" t="str">
        <f>VLOOKUP(E4378,Stores!A:B,2,FALSE)</f>
        <v>MegaMart Jimenezborough</v>
      </c>
      <c r="M4378">
        <f>VLOOKUP(D4378,Products!A:E,5,FALSE)</f>
        <v>453.62</v>
      </c>
      <c r="N4378" s="5">
        <f t="shared" si="68"/>
        <v>385.577</v>
      </c>
    </row>
    <row r="4379" spans="1:14" x14ac:dyDescent="0.3">
      <c r="A4379" t="s">
        <v>5235</v>
      </c>
      <c r="B4379" s="2">
        <v>45521</v>
      </c>
      <c r="C4379" t="s">
        <v>243</v>
      </c>
      <c r="D4379" t="s">
        <v>822</v>
      </c>
      <c r="E4379" t="s">
        <v>842</v>
      </c>
      <c r="F4379">
        <v>5</v>
      </c>
      <c r="G4379">
        <v>0</v>
      </c>
      <c r="H4379" t="s">
        <v>861</v>
      </c>
      <c r="I4379" t="str">
        <f>VLOOKUP(C4379,Customers!A:C,2,FALSE)&amp;" "&amp;VLOOKUP(C4379,Customers!A:C,3,FALSE)</f>
        <v>Amanda Hoover</v>
      </c>
      <c r="J4379" t="str">
        <f>VLOOKUP(D4379,Products!A:C,2,FALSE)</f>
        <v>Nor Bags</v>
      </c>
      <c r="K4379" t="str">
        <f>VLOOKUP(D4379,Products!A:C,3,FALSE)</f>
        <v>Fashion</v>
      </c>
      <c r="L4379" t="str">
        <f>VLOOKUP(E4379,Stores!A:B,2,FALSE)</f>
        <v>MegaMart Brianahaven</v>
      </c>
      <c r="M4379">
        <f>VLOOKUP(D4379,Products!A:E,5,FALSE)</f>
        <v>1216.3599999999999</v>
      </c>
      <c r="N4379" s="5">
        <f t="shared" si="68"/>
        <v>6081.7999999999993</v>
      </c>
    </row>
    <row r="4380" spans="1:14" x14ac:dyDescent="0.3">
      <c r="A4380" t="s">
        <v>5236</v>
      </c>
      <c r="B4380" s="2">
        <v>45662</v>
      </c>
      <c r="C4380" t="s">
        <v>480</v>
      </c>
      <c r="D4380" t="s">
        <v>786</v>
      </c>
      <c r="E4380" t="s">
        <v>835</v>
      </c>
      <c r="F4380">
        <v>4</v>
      </c>
      <c r="G4380">
        <v>0.15</v>
      </c>
      <c r="H4380" t="s">
        <v>861</v>
      </c>
      <c r="I4380" t="str">
        <f>VLOOKUP(C4380,Customers!A:C,2,FALSE)&amp;" "&amp;VLOOKUP(C4380,Customers!A:C,3,FALSE)</f>
        <v>Denise Jackson</v>
      </c>
      <c r="J4380" t="str">
        <f>VLOOKUP(D4380,Products!A:C,2,FALSE)</f>
        <v>National Watches</v>
      </c>
      <c r="K4380" t="str">
        <f>VLOOKUP(D4380,Products!A:C,3,FALSE)</f>
        <v>Fashion</v>
      </c>
      <c r="L4380" t="str">
        <f>VLOOKUP(E4380,Stores!A:B,2,FALSE)</f>
        <v>MegaMart Peckmouth</v>
      </c>
      <c r="M4380">
        <f>VLOOKUP(D4380,Products!A:E,5,FALSE)</f>
        <v>29.24</v>
      </c>
      <c r="N4380" s="5">
        <f t="shared" si="68"/>
        <v>99.415999999999997</v>
      </c>
    </row>
    <row r="4381" spans="1:14" x14ac:dyDescent="0.3">
      <c r="A4381" t="s">
        <v>5237</v>
      </c>
      <c r="B4381" s="2">
        <v>45546</v>
      </c>
      <c r="C4381" t="s">
        <v>435</v>
      </c>
      <c r="D4381" t="s">
        <v>757</v>
      </c>
      <c r="E4381" t="s">
        <v>831</v>
      </c>
      <c r="F4381">
        <v>2</v>
      </c>
      <c r="G4381">
        <v>0.15</v>
      </c>
      <c r="H4381" t="s">
        <v>858</v>
      </c>
      <c r="I4381" t="str">
        <f>VLOOKUP(C4381,Customers!A:C,2,FALSE)&amp;" "&amp;VLOOKUP(C4381,Customers!A:C,3,FALSE)</f>
        <v>Timothy Beck</v>
      </c>
      <c r="J4381" t="str">
        <f>VLOOKUP(D4381,Products!A:C,2,FALSE)</f>
        <v>Find Headphones</v>
      </c>
      <c r="K4381" t="str">
        <f>VLOOKUP(D4381,Products!A:C,3,FALSE)</f>
        <v>Electronics</v>
      </c>
      <c r="L4381" t="str">
        <f>VLOOKUP(E4381,Stores!A:B,2,FALSE)</f>
        <v>MegaMart Jimenezborough</v>
      </c>
      <c r="M4381">
        <f>VLOOKUP(D4381,Products!A:E,5,FALSE)</f>
        <v>1246.1099999999999</v>
      </c>
      <c r="N4381" s="5">
        <f t="shared" si="68"/>
        <v>2118.3869999999997</v>
      </c>
    </row>
    <row r="4382" spans="1:14" x14ac:dyDescent="0.3">
      <c r="A4382" t="s">
        <v>5238</v>
      </c>
      <c r="B4382" s="2">
        <v>45458</v>
      </c>
      <c r="C4382" t="s">
        <v>393</v>
      </c>
      <c r="D4382" t="s">
        <v>745</v>
      </c>
      <c r="E4382" t="s">
        <v>831</v>
      </c>
      <c r="F4382">
        <v>3</v>
      </c>
      <c r="G4382">
        <v>0.05</v>
      </c>
      <c r="H4382" t="s">
        <v>855</v>
      </c>
      <c r="I4382" t="str">
        <f>VLOOKUP(C4382,Customers!A:C,2,FALSE)&amp;" "&amp;VLOOKUP(C4382,Customers!A:C,3,FALSE)</f>
        <v>Kenneth Berg</v>
      </c>
      <c r="J4382" t="str">
        <f>VLOOKUP(D4382,Products!A:C,2,FALSE)</f>
        <v>Above Camera</v>
      </c>
      <c r="K4382" t="str">
        <f>VLOOKUP(D4382,Products!A:C,3,FALSE)</f>
        <v>Electronics</v>
      </c>
      <c r="L4382" t="str">
        <f>VLOOKUP(E4382,Stores!A:B,2,FALSE)</f>
        <v>MegaMart Jimenezborough</v>
      </c>
      <c r="M4382">
        <f>VLOOKUP(D4382,Products!A:E,5,FALSE)</f>
        <v>1193.0899999999999</v>
      </c>
      <c r="N4382" s="5">
        <f t="shared" si="68"/>
        <v>3400.3064999999992</v>
      </c>
    </row>
    <row r="4383" spans="1:14" x14ac:dyDescent="0.3">
      <c r="A4383" t="s">
        <v>5239</v>
      </c>
      <c r="B4383" s="2">
        <v>45200</v>
      </c>
      <c r="C4383" t="s">
        <v>179</v>
      </c>
      <c r="D4383" t="s">
        <v>804</v>
      </c>
      <c r="E4383" t="s">
        <v>846</v>
      </c>
      <c r="F4383">
        <v>1</v>
      </c>
      <c r="G4383">
        <v>0.15</v>
      </c>
      <c r="H4383" t="s">
        <v>855</v>
      </c>
      <c r="I4383" t="str">
        <f>VLOOKUP(C4383,Customers!A:C,2,FALSE)&amp;" "&amp;VLOOKUP(C4383,Customers!A:C,3,FALSE)</f>
        <v>Dennis Poole</v>
      </c>
      <c r="J4383" t="str">
        <f>VLOOKUP(D4383,Products!A:C,2,FALSE)</f>
        <v>Church Clothing</v>
      </c>
      <c r="K4383" t="str">
        <f>VLOOKUP(D4383,Products!A:C,3,FALSE)</f>
        <v>Fashion</v>
      </c>
      <c r="L4383" t="str">
        <f>VLOOKUP(E4383,Stores!A:B,2,FALSE)</f>
        <v>MegaMart Johnmouth</v>
      </c>
      <c r="M4383">
        <f>VLOOKUP(D4383,Products!A:E,5,FALSE)</f>
        <v>540.94000000000005</v>
      </c>
      <c r="N4383" s="5">
        <f t="shared" si="68"/>
        <v>459.79900000000004</v>
      </c>
    </row>
    <row r="4384" spans="1:14" x14ac:dyDescent="0.3">
      <c r="A4384" t="s">
        <v>5240</v>
      </c>
      <c r="B4384" s="2">
        <v>45220</v>
      </c>
      <c r="C4384" t="s">
        <v>250</v>
      </c>
      <c r="D4384" t="s">
        <v>792</v>
      </c>
      <c r="E4384" t="s">
        <v>831</v>
      </c>
      <c r="F4384">
        <v>4</v>
      </c>
      <c r="G4384">
        <v>0</v>
      </c>
      <c r="H4384" t="s">
        <v>865</v>
      </c>
      <c r="I4384" t="str">
        <f>VLOOKUP(C4384,Customers!A:C,2,FALSE)&amp;" "&amp;VLOOKUP(C4384,Customers!A:C,3,FALSE)</f>
        <v>Jason Jenkins</v>
      </c>
      <c r="J4384" t="str">
        <f>VLOOKUP(D4384,Products!A:C,2,FALSE)</f>
        <v>Beat Accessories</v>
      </c>
      <c r="K4384" t="str">
        <f>VLOOKUP(D4384,Products!A:C,3,FALSE)</f>
        <v>Fashion</v>
      </c>
      <c r="L4384" t="str">
        <f>VLOOKUP(E4384,Stores!A:B,2,FALSE)</f>
        <v>MegaMart Jimenezborough</v>
      </c>
      <c r="M4384">
        <f>VLOOKUP(D4384,Products!A:E,5,FALSE)</f>
        <v>1798.97</v>
      </c>
      <c r="N4384" s="5">
        <f t="shared" si="68"/>
        <v>7195.88</v>
      </c>
    </row>
    <row r="4385" spans="1:14" x14ac:dyDescent="0.3">
      <c r="A4385" t="s">
        <v>5241</v>
      </c>
      <c r="B4385" s="2">
        <v>45711</v>
      </c>
      <c r="C4385" t="s">
        <v>109</v>
      </c>
      <c r="D4385" t="s">
        <v>747</v>
      </c>
      <c r="E4385" t="s">
        <v>846</v>
      </c>
      <c r="F4385">
        <v>4</v>
      </c>
      <c r="G4385">
        <v>0.1</v>
      </c>
      <c r="H4385" t="s">
        <v>861</v>
      </c>
      <c r="I4385" t="str">
        <f>VLOOKUP(C4385,Customers!A:C,2,FALSE)&amp;" "&amp;VLOOKUP(C4385,Customers!A:C,3,FALSE)</f>
        <v>Jacqueline Martin</v>
      </c>
      <c r="J4385" t="str">
        <f>VLOOKUP(D4385,Products!A:C,2,FALSE)</f>
        <v>World Watches</v>
      </c>
      <c r="K4385" t="str">
        <f>VLOOKUP(D4385,Products!A:C,3,FALSE)</f>
        <v>Fashion</v>
      </c>
      <c r="L4385" t="str">
        <f>VLOOKUP(E4385,Stores!A:B,2,FALSE)</f>
        <v>MegaMart Johnmouth</v>
      </c>
      <c r="M4385">
        <f>VLOOKUP(D4385,Products!A:E,5,FALSE)</f>
        <v>1134.8</v>
      </c>
      <c r="N4385" s="5">
        <f t="shared" si="68"/>
        <v>4085.2799999999997</v>
      </c>
    </row>
    <row r="4386" spans="1:14" x14ac:dyDescent="0.3">
      <c r="A4386" t="s">
        <v>5242</v>
      </c>
      <c r="B4386" s="2">
        <v>45412</v>
      </c>
      <c r="C4386" t="s">
        <v>324</v>
      </c>
      <c r="D4386" t="s">
        <v>806</v>
      </c>
      <c r="E4386" t="s">
        <v>846</v>
      </c>
      <c r="F4386">
        <v>3</v>
      </c>
      <c r="G4386">
        <v>0.15</v>
      </c>
      <c r="H4386" t="s">
        <v>855</v>
      </c>
      <c r="I4386" t="str">
        <f>VLOOKUP(C4386,Customers!A:C,2,FALSE)&amp;" "&amp;VLOOKUP(C4386,Customers!A:C,3,FALSE)</f>
        <v>Lawrence Hunter</v>
      </c>
      <c r="J4386" t="str">
        <f>VLOOKUP(D4386,Products!A:C,2,FALSE)</f>
        <v>Piece Headphones</v>
      </c>
      <c r="K4386" t="str">
        <f>VLOOKUP(D4386,Products!A:C,3,FALSE)</f>
        <v>Electronics</v>
      </c>
      <c r="L4386" t="str">
        <f>VLOOKUP(E4386,Stores!A:B,2,FALSE)</f>
        <v>MegaMart Johnmouth</v>
      </c>
      <c r="M4386">
        <f>VLOOKUP(D4386,Products!A:E,5,FALSE)</f>
        <v>1745.61</v>
      </c>
      <c r="N4386" s="5">
        <f t="shared" si="68"/>
        <v>4451.3054999999995</v>
      </c>
    </row>
    <row r="4387" spans="1:14" x14ac:dyDescent="0.3">
      <c r="A4387" t="s">
        <v>5243</v>
      </c>
      <c r="B4387" s="2">
        <v>45541</v>
      </c>
      <c r="C4387" t="s">
        <v>48</v>
      </c>
      <c r="D4387" t="s">
        <v>812</v>
      </c>
      <c r="E4387" t="s">
        <v>839</v>
      </c>
      <c r="F4387">
        <v>1</v>
      </c>
      <c r="G4387">
        <v>0</v>
      </c>
      <c r="H4387" t="s">
        <v>861</v>
      </c>
      <c r="I4387" t="str">
        <f>VLOOKUP(C4387,Customers!A:C,2,FALSE)&amp;" "&amp;VLOOKUP(C4387,Customers!A:C,3,FALSE)</f>
        <v>Haley Williams</v>
      </c>
      <c r="J4387" t="str">
        <f>VLOOKUP(D4387,Products!A:C,2,FALSE)</f>
        <v>Soon Accessories</v>
      </c>
      <c r="K4387" t="str">
        <f>VLOOKUP(D4387,Products!A:C,3,FALSE)</f>
        <v>Fashion</v>
      </c>
      <c r="L4387" t="str">
        <f>VLOOKUP(E4387,Stores!A:B,2,FALSE)</f>
        <v>MegaMart New Michele</v>
      </c>
      <c r="M4387">
        <f>VLOOKUP(D4387,Products!A:E,5,FALSE)</f>
        <v>564.41999999999996</v>
      </c>
      <c r="N4387" s="5">
        <f t="shared" si="68"/>
        <v>564.41999999999996</v>
      </c>
    </row>
    <row r="4388" spans="1:14" x14ac:dyDescent="0.3">
      <c r="A4388" t="s">
        <v>5244</v>
      </c>
      <c r="B4388" s="2">
        <v>45486</v>
      </c>
      <c r="C4388" t="s">
        <v>612</v>
      </c>
      <c r="D4388" t="s">
        <v>715</v>
      </c>
      <c r="E4388" t="s">
        <v>846</v>
      </c>
      <c r="F4388">
        <v>5</v>
      </c>
      <c r="G4388">
        <v>0</v>
      </c>
      <c r="H4388" t="s">
        <v>861</v>
      </c>
      <c r="I4388" t="str">
        <f>VLOOKUP(C4388,Customers!A:C,2,FALSE)&amp;" "&amp;VLOOKUP(C4388,Customers!A:C,3,FALSE)</f>
        <v>Michelle Smith</v>
      </c>
      <c r="J4388" t="str">
        <f>VLOOKUP(D4388,Products!A:C,2,FALSE)</f>
        <v>Audience Television</v>
      </c>
      <c r="K4388" t="str">
        <f>VLOOKUP(D4388,Products!A:C,3,FALSE)</f>
        <v>Electronics</v>
      </c>
      <c r="L4388" t="str">
        <f>VLOOKUP(E4388,Stores!A:B,2,FALSE)</f>
        <v>MegaMart Johnmouth</v>
      </c>
      <c r="M4388">
        <f>VLOOKUP(D4388,Products!A:E,5,FALSE)</f>
        <v>818.76</v>
      </c>
      <c r="N4388" s="5">
        <f t="shared" si="68"/>
        <v>4093.8</v>
      </c>
    </row>
    <row r="4389" spans="1:14" x14ac:dyDescent="0.3">
      <c r="A4389" t="s">
        <v>5245</v>
      </c>
      <c r="B4389" s="2">
        <v>45705</v>
      </c>
      <c r="C4389" t="s">
        <v>464</v>
      </c>
      <c r="D4389" t="s">
        <v>782</v>
      </c>
      <c r="E4389" t="s">
        <v>835</v>
      </c>
      <c r="F4389">
        <v>1</v>
      </c>
      <c r="G4389">
        <v>0.1</v>
      </c>
      <c r="H4389" t="s">
        <v>861</v>
      </c>
      <c r="I4389" t="str">
        <f>VLOOKUP(C4389,Customers!A:C,2,FALSE)&amp;" "&amp;VLOOKUP(C4389,Customers!A:C,3,FALSE)</f>
        <v>Monique Johnson</v>
      </c>
      <c r="J4389" t="str">
        <f>VLOOKUP(D4389,Products!A:C,2,FALSE)</f>
        <v>Deal Smartphone</v>
      </c>
      <c r="K4389" t="str">
        <f>VLOOKUP(D4389,Products!A:C,3,FALSE)</f>
        <v>Electronics</v>
      </c>
      <c r="L4389" t="str">
        <f>VLOOKUP(E4389,Stores!A:B,2,FALSE)</f>
        <v>MegaMart Peckmouth</v>
      </c>
      <c r="M4389">
        <f>VLOOKUP(D4389,Products!A:E,5,FALSE)</f>
        <v>673.78</v>
      </c>
      <c r="N4389" s="5">
        <f t="shared" si="68"/>
        <v>606.40200000000004</v>
      </c>
    </row>
    <row r="4390" spans="1:14" x14ac:dyDescent="0.3">
      <c r="A4390" t="s">
        <v>5246</v>
      </c>
      <c r="B4390" s="2">
        <v>45271</v>
      </c>
      <c r="C4390" t="s">
        <v>462</v>
      </c>
      <c r="D4390" t="s">
        <v>745</v>
      </c>
      <c r="E4390" t="s">
        <v>842</v>
      </c>
      <c r="F4390">
        <v>2</v>
      </c>
      <c r="G4390">
        <v>0.15</v>
      </c>
      <c r="H4390" t="s">
        <v>861</v>
      </c>
      <c r="I4390" t="str">
        <f>VLOOKUP(C4390,Customers!A:C,2,FALSE)&amp;" "&amp;VLOOKUP(C4390,Customers!A:C,3,FALSE)</f>
        <v>Kimberly Parker</v>
      </c>
      <c r="J4390" t="str">
        <f>VLOOKUP(D4390,Products!A:C,2,FALSE)</f>
        <v>Above Camera</v>
      </c>
      <c r="K4390" t="str">
        <f>VLOOKUP(D4390,Products!A:C,3,FALSE)</f>
        <v>Electronics</v>
      </c>
      <c r="L4390" t="str">
        <f>VLOOKUP(E4390,Stores!A:B,2,FALSE)</f>
        <v>MegaMart Brianahaven</v>
      </c>
      <c r="M4390">
        <f>VLOOKUP(D4390,Products!A:E,5,FALSE)</f>
        <v>1193.0899999999999</v>
      </c>
      <c r="N4390" s="5">
        <f t="shared" si="68"/>
        <v>2028.2529999999997</v>
      </c>
    </row>
    <row r="4391" spans="1:14" x14ac:dyDescent="0.3">
      <c r="A4391" t="s">
        <v>5247</v>
      </c>
      <c r="B4391" s="2">
        <v>45583</v>
      </c>
      <c r="C4391" t="s">
        <v>480</v>
      </c>
      <c r="D4391" t="s">
        <v>728</v>
      </c>
      <c r="E4391" t="s">
        <v>831</v>
      </c>
      <c r="F4391">
        <v>3</v>
      </c>
      <c r="G4391">
        <v>0.1</v>
      </c>
      <c r="H4391" t="s">
        <v>855</v>
      </c>
      <c r="I4391" t="str">
        <f>VLOOKUP(C4391,Customers!A:C,2,FALSE)&amp;" "&amp;VLOOKUP(C4391,Customers!A:C,3,FALSE)</f>
        <v>Denise Jackson</v>
      </c>
      <c r="J4391" t="str">
        <f>VLOOKUP(D4391,Products!A:C,2,FALSE)</f>
        <v>Company Fruits</v>
      </c>
      <c r="K4391" t="str">
        <f>VLOOKUP(D4391,Products!A:C,3,FALSE)</f>
        <v>Groceries</v>
      </c>
      <c r="L4391" t="str">
        <f>VLOOKUP(E4391,Stores!A:B,2,FALSE)</f>
        <v>MegaMart Jimenezborough</v>
      </c>
      <c r="M4391">
        <f>VLOOKUP(D4391,Products!A:E,5,FALSE)</f>
        <v>318.05</v>
      </c>
      <c r="N4391" s="5">
        <f t="shared" si="68"/>
        <v>858.73500000000013</v>
      </c>
    </row>
    <row r="4392" spans="1:14" x14ac:dyDescent="0.3">
      <c r="A4392" t="s">
        <v>5248</v>
      </c>
      <c r="B4392" s="2">
        <v>45387</v>
      </c>
      <c r="C4392" t="s">
        <v>435</v>
      </c>
      <c r="D4392" t="s">
        <v>753</v>
      </c>
      <c r="E4392" t="s">
        <v>831</v>
      </c>
      <c r="F4392">
        <v>5</v>
      </c>
      <c r="G4392">
        <v>0.05</v>
      </c>
      <c r="H4392" t="s">
        <v>855</v>
      </c>
      <c r="I4392" t="str">
        <f>VLOOKUP(C4392,Customers!A:C,2,FALSE)&amp;" "&amp;VLOOKUP(C4392,Customers!A:C,3,FALSE)</f>
        <v>Timothy Beck</v>
      </c>
      <c r="J4392" t="str">
        <f>VLOOKUP(D4392,Products!A:C,2,FALSE)</f>
        <v>Whether Bags</v>
      </c>
      <c r="K4392" t="str">
        <f>VLOOKUP(D4392,Products!A:C,3,FALSE)</f>
        <v>Fashion</v>
      </c>
      <c r="L4392" t="str">
        <f>VLOOKUP(E4392,Stores!A:B,2,FALSE)</f>
        <v>MegaMart Jimenezborough</v>
      </c>
      <c r="M4392">
        <f>VLOOKUP(D4392,Products!A:E,5,FALSE)</f>
        <v>270.45</v>
      </c>
      <c r="N4392" s="5">
        <f t="shared" si="68"/>
        <v>1284.6375</v>
      </c>
    </row>
    <row r="4393" spans="1:14" x14ac:dyDescent="0.3">
      <c r="A4393" t="s">
        <v>5249</v>
      </c>
      <c r="B4393" s="2">
        <v>45833</v>
      </c>
      <c r="C4393" t="s">
        <v>213</v>
      </c>
      <c r="D4393" t="s">
        <v>794</v>
      </c>
      <c r="E4393" t="s">
        <v>831</v>
      </c>
      <c r="F4393">
        <v>5</v>
      </c>
      <c r="G4393">
        <v>0.15</v>
      </c>
      <c r="H4393" t="s">
        <v>865</v>
      </c>
      <c r="I4393" t="str">
        <f>VLOOKUP(C4393,Customers!A:C,2,FALSE)&amp;" "&amp;VLOOKUP(C4393,Customers!A:C,3,FALSE)</f>
        <v>Deborah Moody</v>
      </c>
      <c r="J4393" t="str">
        <f>VLOOKUP(D4393,Products!A:C,2,FALSE)</f>
        <v>Everything Laptop</v>
      </c>
      <c r="K4393" t="str">
        <f>VLOOKUP(D4393,Products!A:C,3,FALSE)</f>
        <v>Electronics</v>
      </c>
      <c r="L4393" t="str">
        <f>VLOOKUP(E4393,Stores!A:B,2,FALSE)</f>
        <v>MegaMart Jimenezborough</v>
      </c>
      <c r="M4393">
        <f>VLOOKUP(D4393,Products!A:E,5,FALSE)</f>
        <v>428.05</v>
      </c>
      <c r="N4393" s="5">
        <f t="shared" si="68"/>
        <v>1819.2124999999999</v>
      </c>
    </row>
    <row r="4394" spans="1:14" x14ac:dyDescent="0.3">
      <c r="A4394" t="s">
        <v>5250</v>
      </c>
      <c r="B4394" s="2">
        <v>45227</v>
      </c>
      <c r="C4394" t="s">
        <v>403</v>
      </c>
      <c r="D4394" t="s">
        <v>736</v>
      </c>
      <c r="E4394" t="s">
        <v>842</v>
      </c>
      <c r="F4394">
        <v>4</v>
      </c>
      <c r="G4394">
        <v>0.1</v>
      </c>
      <c r="H4394" t="s">
        <v>865</v>
      </c>
      <c r="I4394" t="str">
        <f>VLOOKUP(C4394,Customers!A:C,2,FALSE)&amp;" "&amp;VLOOKUP(C4394,Customers!A:C,3,FALSE)</f>
        <v>Samantha Hill</v>
      </c>
      <c r="J4394" t="str">
        <f>VLOOKUP(D4394,Products!A:C,2,FALSE)</f>
        <v>Us Snacks</v>
      </c>
      <c r="K4394" t="str">
        <f>VLOOKUP(D4394,Products!A:C,3,FALSE)</f>
        <v>Groceries</v>
      </c>
      <c r="L4394" t="str">
        <f>VLOOKUP(E4394,Stores!A:B,2,FALSE)</f>
        <v>MegaMart Brianahaven</v>
      </c>
      <c r="M4394">
        <f>VLOOKUP(D4394,Products!A:E,5,FALSE)</f>
        <v>123.19</v>
      </c>
      <c r="N4394" s="5">
        <f t="shared" si="68"/>
        <v>443.48399999999998</v>
      </c>
    </row>
    <row r="4395" spans="1:14" x14ac:dyDescent="0.3">
      <c r="A4395" t="s">
        <v>5251</v>
      </c>
      <c r="B4395" s="2">
        <v>45454</v>
      </c>
      <c r="C4395" t="s">
        <v>531</v>
      </c>
      <c r="D4395" t="s">
        <v>796</v>
      </c>
      <c r="E4395" t="s">
        <v>835</v>
      </c>
      <c r="F4395">
        <v>2</v>
      </c>
      <c r="G4395">
        <v>0.1</v>
      </c>
      <c r="H4395" t="s">
        <v>858</v>
      </c>
      <c r="I4395" t="str">
        <f>VLOOKUP(C4395,Customers!A:C,2,FALSE)&amp;" "&amp;VLOOKUP(C4395,Customers!A:C,3,FALSE)</f>
        <v>John Johnson</v>
      </c>
      <c r="J4395" t="str">
        <f>VLOOKUP(D4395,Products!A:C,2,FALSE)</f>
        <v>Chair Laptop</v>
      </c>
      <c r="K4395" t="str">
        <f>VLOOKUP(D4395,Products!A:C,3,FALSE)</f>
        <v>Electronics</v>
      </c>
      <c r="L4395" t="str">
        <f>VLOOKUP(E4395,Stores!A:B,2,FALSE)</f>
        <v>MegaMart Peckmouth</v>
      </c>
      <c r="M4395">
        <f>VLOOKUP(D4395,Products!A:E,5,FALSE)</f>
        <v>1562.43</v>
      </c>
      <c r="N4395" s="5">
        <f t="shared" si="68"/>
        <v>2812.3740000000003</v>
      </c>
    </row>
    <row r="4396" spans="1:14" x14ac:dyDescent="0.3">
      <c r="A4396" t="s">
        <v>5252</v>
      </c>
      <c r="B4396" s="2">
        <v>45563</v>
      </c>
      <c r="C4396" t="s">
        <v>690</v>
      </c>
      <c r="D4396" t="s">
        <v>786</v>
      </c>
      <c r="E4396" t="s">
        <v>839</v>
      </c>
      <c r="F4396">
        <v>3</v>
      </c>
      <c r="G4396">
        <v>0.1</v>
      </c>
      <c r="H4396" t="s">
        <v>865</v>
      </c>
      <c r="I4396" t="str">
        <f>VLOOKUP(C4396,Customers!A:C,2,FALSE)&amp;" "&amp;VLOOKUP(C4396,Customers!A:C,3,FALSE)</f>
        <v>James Noble</v>
      </c>
      <c r="J4396" t="str">
        <f>VLOOKUP(D4396,Products!A:C,2,FALSE)</f>
        <v>National Watches</v>
      </c>
      <c r="K4396" t="str">
        <f>VLOOKUP(D4396,Products!A:C,3,FALSE)</f>
        <v>Fashion</v>
      </c>
      <c r="L4396" t="str">
        <f>VLOOKUP(E4396,Stores!A:B,2,FALSE)</f>
        <v>MegaMart New Michele</v>
      </c>
      <c r="M4396">
        <f>VLOOKUP(D4396,Products!A:E,5,FALSE)</f>
        <v>29.24</v>
      </c>
      <c r="N4396" s="5">
        <f t="shared" si="68"/>
        <v>78.948000000000008</v>
      </c>
    </row>
    <row r="4397" spans="1:14" x14ac:dyDescent="0.3">
      <c r="A4397" t="s">
        <v>5253</v>
      </c>
      <c r="B4397" s="2">
        <v>45877</v>
      </c>
      <c r="C4397" t="s">
        <v>640</v>
      </c>
      <c r="D4397" t="s">
        <v>794</v>
      </c>
      <c r="E4397" t="s">
        <v>835</v>
      </c>
      <c r="F4397">
        <v>3</v>
      </c>
      <c r="G4397">
        <v>0.15</v>
      </c>
      <c r="H4397" t="s">
        <v>861</v>
      </c>
      <c r="I4397" t="str">
        <f>VLOOKUP(C4397,Customers!A:C,2,FALSE)&amp;" "&amp;VLOOKUP(C4397,Customers!A:C,3,FALSE)</f>
        <v>Brittany Oneal</v>
      </c>
      <c r="J4397" t="str">
        <f>VLOOKUP(D4397,Products!A:C,2,FALSE)</f>
        <v>Everything Laptop</v>
      </c>
      <c r="K4397" t="str">
        <f>VLOOKUP(D4397,Products!A:C,3,FALSE)</f>
        <v>Electronics</v>
      </c>
      <c r="L4397" t="str">
        <f>VLOOKUP(E4397,Stores!A:B,2,FALSE)</f>
        <v>MegaMart Peckmouth</v>
      </c>
      <c r="M4397">
        <f>VLOOKUP(D4397,Products!A:E,5,FALSE)</f>
        <v>428.05</v>
      </c>
      <c r="N4397" s="5">
        <f t="shared" si="68"/>
        <v>1091.5275000000001</v>
      </c>
    </row>
    <row r="4398" spans="1:14" x14ac:dyDescent="0.3">
      <c r="A4398" t="s">
        <v>5254</v>
      </c>
      <c r="B4398" s="2">
        <v>45716</v>
      </c>
      <c r="C4398" t="s">
        <v>464</v>
      </c>
      <c r="D4398" t="s">
        <v>769</v>
      </c>
      <c r="E4398" t="s">
        <v>831</v>
      </c>
      <c r="F4398">
        <v>4</v>
      </c>
      <c r="G4398">
        <v>0.1</v>
      </c>
      <c r="H4398" t="s">
        <v>861</v>
      </c>
      <c r="I4398" t="str">
        <f>VLOOKUP(C4398,Customers!A:C,2,FALSE)&amp;" "&amp;VLOOKUP(C4398,Customers!A:C,3,FALSE)</f>
        <v>Monique Johnson</v>
      </c>
      <c r="J4398" t="str">
        <f>VLOOKUP(D4398,Products!A:C,2,FALSE)</f>
        <v>How Vegetables</v>
      </c>
      <c r="K4398" t="str">
        <f>VLOOKUP(D4398,Products!A:C,3,FALSE)</f>
        <v>Groceries</v>
      </c>
      <c r="L4398" t="str">
        <f>VLOOKUP(E4398,Stores!A:B,2,FALSE)</f>
        <v>MegaMart Jimenezborough</v>
      </c>
      <c r="M4398">
        <f>VLOOKUP(D4398,Products!A:E,5,FALSE)</f>
        <v>25.57</v>
      </c>
      <c r="N4398" s="5">
        <f t="shared" si="68"/>
        <v>92.052000000000007</v>
      </c>
    </row>
    <row r="4399" spans="1:14" x14ac:dyDescent="0.3">
      <c r="A4399" t="s">
        <v>5255</v>
      </c>
      <c r="B4399" s="2">
        <v>45898</v>
      </c>
      <c r="C4399" t="s">
        <v>28</v>
      </c>
      <c r="D4399" t="s">
        <v>742</v>
      </c>
      <c r="E4399" t="s">
        <v>842</v>
      </c>
      <c r="F4399">
        <v>5</v>
      </c>
      <c r="G4399">
        <v>0</v>
      </c>
      <c r="H4399" t="s">
        <v>865</v>
      </c>
      <c r="I4399" t="str">
        <f>VLOOKUP(C4399,Customers!A:C,2,FALSE)&amp;" "&amp;VLOOKUP(C4399,Customers!A:C,3,FALSE)</f>
        <v>Danny Moore</v>
      </c>
      <c r="J4399" t="str">
        <f>VLOOKUP(D4399,Products!A:C,2,FALSE)</f>
        <v>Either Headphones</v>
      </c>
      <c r="K4399" t="str">
        <f>VLOOKUP(D4399,Products!A:C,3,FALSE)</f>
        <v>Electronics</v>
      </c>
      <c r="L4399" t="str">
        <f>VLOOKUP(E4399,Stores!A:B,2,FALSE)</f>
        <v>MegaMart Brianahaven</v>
      </c>
      <c r="M4399">
        <f>VLOOKUP(D4399,Products!A:E,5,FALSE)</f>
        <v>248.57</v>
      </c>
      <c r="N4399" s="5">
        <f t="shared" si="68"/>
        <v>1242.8499999999999</v>
      </c>
    </row>
    <row r="4400" spans="1:14" x14ac:dyDescent="0.3">
      <c r="A4400" t="s">
        <v>5256</v>
      </c>
      <c r="B4400" s="2">
        <v>45695</v>
      </c>
      <c r="C4400" t="s">
        <v>683</v>
      </c>
      <c r="D4400" t="s">
        <v>747</v>
      </c>
      <c r="E4400" t="s">
        <v>842</v>
      </c>
      <c r="F4400">
        <v>3</v>
      </c>
      <c r="G4400">
        <v>0</v>
      </c>
      <c r="H4400" t="s">
        <v>861</v>
      </c>
      <c r="I4400" t="str">
        <f>VLOOKUP(C4400,Customers!A:C,2,FALSE)&amp;" "&amp;VLOOKUP(C4400,Customers!A:C,3,FALSE)</f>
        <v>Ann West</v>
      </c>
      <c r="J4400" t="str">
        <f>VLOOKUP(D4400,Products!A:C,2,FALSE)</f>
        <v>World Watches</v>
      </c>
      <c r="K4400" t="str">
        <f>VLOOKUP(D4400,Products!A:C,3,FALSE)</f>
        <v>Fashion</v>
      </c>
      <c r="L4400" t="str">
        <f>VLOOKUP(E4400,Stores!A:B,2,FALSE)</f>
        <v>MegaMart Brianahaven</v>
      </c>
      <c r="M4400">
        <f>VLOOKUP(D4400,Products!A:E,5,FALSE)</f>
        <v>1134.8</v>
      </c>
      <c r="N4400" s="5">
        <f t="shared" si="68"/>
        <v>3404.3999999999996</v>
      </c>
    </row>
    <row r="4401" spans="1:14" x14ac:dyDescent="0.3">
      <c r="A4401" t="s">
        <v>5257</v>
      </c>
      <c r="B4401" s="2">
        <v>45823</v>
      </c>
      <c r="C4401" t="s">
        <v>298</v>
      </c>
      <c r="D4401" t="s">
        <v>820</v>
      </c>
      <c r="E4401" t="s">
        <v>835</v>
      </c>
      <c r="F4401">
        <v>5</v>
      </c>
      <c r="G4401">
        <v>0</v>
      </c>
      <c r="H4401" t="s">
        <v>858</v>
      </c>
      <c r="I4401" t="str">
        <f>VLOOKUP(C4401,Customers!A:C,2,FALSE)&amp;" "&amp;VLOOKUP(C4401,Customers!A:C,3,FALSE)</f>
        <v>Donald Marsh</v>
      </c>
      <c r="J4401" t="str">
        <f>VLOOKUP(D4401,Products!A:C,2,FALSE)</f>
        <v>Or Smartphone</v>
      </c>
      <c r="K4401" t="str">
        <f>VLOOKUP(D4401,Products!A:C,3,FALSE)</f>
        <v>Electronics</v>
      </c>
      <c r="L4401" t="str">
        <f>VLOOKUP(E4401,Stores!A:B,2,FALSE)</f>
        <v>MegaMart Peckmouth</v>
      </c>
      <c r="M4401">
        <f>VLOOKUP(D4401,Products!A:E,5,FALSE)</f>
        <v>1197.18</v>
      </c>
      <c r="N4401" s="5">
        <f t="shared" si="68"/>
        <v>5985.9000000000005</v>
      </c>
    </row>
    <row r="4402" spans="1:14" x14ac:dyDescent="0.3">
      <c r="A4402" t="s">
        <v>5258</v>
      </c>
      <c r="B4402" s="2">
        <v>45713</v>
      </c>
      <c r="C4402" t="s">
        <v>206</v>
      </c>
      <c r="D4402" t="s">
        <v>816</v>
      </c>
      <c r="E4402" t="s">
        <v>846</v>
      </c>
      <c r="F4402">
        <v>4</v>
      </c>
      <c r="G4402">
        <v>0.15</v>
      </c>
      <c r="H4402" t="s">
        <v>855</v>
      </c>
      <c r="I4402" t="str">
        <f>VLOOKUP(C4402,Customers!A:C,2,FALSE)&amp;" "&amp;VLOOKUP(C4402,Customers!A:C,3,FALSE)</f>
        <v>Felicia Morgan</v>
      </c>
      <c r="J4402" t="str">
        <f>VLOOKUP(D4402,Products!A:C,2,FALSE)</f>
        <v>Set Dairy</v>
      </c>
      <c r="K4402" t="str">
        <f>VLOOKUP(D4402,Products!A:C,3,FALSE)</f>
        <v>Groceries</v>
      </c>
      <c r="L4402" t="str">
        <f>VLOOKUP(E4402,Stores!A:B,2,FALSE)</f>
        <v>MegaMart Johnmouth</v>
      </c>
      <c r="M4402">
        <f>VLOOKUP(D4402,Products!A:E,5,FALSE)</f>
        <v>1879.08</v>
      </c>
      <c r="N4402" s="5">
        <f t="shared" si="68"/>
        <v>6388.8719999999994</v>
      </c>
    </row>
    <row r="4403" spans="1:14" x14ac:dyDescent="0.3">
      <c r="A4403" t="s">
        <v>5259</v>
      </c>
      <c r="B4403" s="2">
        <v>45605</v>
      </c>
      <c r="C4403" t="s">
        <v>483</v>
      </c>
      <c r="D4403" t="s">
        <v>755</v>
      </c>
      <c r="E4403" t="s">
        <v>835</v>
      </c>
      <c r="F4403">
        <v>2</v>
      </c>
      <c r="G4403">
        <v>0.05</v>
      </c>
      <c r="H4403" t="s">
        <v>858</v>
      </c>
      <c r="I4403" t="str">
        <f>VLOOKUP(C4403,Customers!A:C,2,FALSE)&amp;" "&amp;VLOOKUP(C4403,Customers!A:C,3,FALSE)</f>
        <v>Jared Ochoa</v>
      </c>
      <c r="J4403" t="str">
        <f>VLOOKUP(D4403,Products!A:C,2,FALSE)</f>
        <v>House Accessories</v>
      </c>
      <c r="K4403" t="str">
        <f>VLOOKUP(D4403,Products!A:C,3,FALSE)</f>
        <v>Fashion</v>
      </c>
      <c r="L4403" t="str">
        <f>VLOOKUP(E4403,Stores!A:B,2,FALSE)</f>
        <v>MegaMart Peckmouth</v>
      </c>
      <c r="M4403">
        <f>VLOOKUP(D4403,Products!A:E,5,FALSE)</f>
        <v>1858.75</v>
      </c>
      <c r="N4403" s="5">
        <f t="shared" si="68"/>
        <v>3531.625</v>
      </c>
    </row>
    <row r="4404" spans="1:14" x14ac:dyDescent="0.3">
      <c r="A4404" t="s">
        <v>5260</v>
      </c>
      <c r="B4404" s="2">
        <v>45773</v>
      </c>
      <c r="C4404" t="s">
        <v>277</v>
      </c>
      <c r="D4404" t="s">
        <v>780</v>
      </c>
      <c r="E4404" t="s">
        <v>842</v>
      </c>
      <c r="F4404">
        <v>4</v>
      </c>
      <c r="G4404">
        <v>0</v>
      </c>
      <c r="H4404" t="s">
        <v>855</v>
      </c>
      <c r="I4404" t="str">
        <f>VLOOKUP(C4404,Customers!A:C,2,FALSE)&amp;" "&amp;VLOOKUP(C4404,Customers!A:C,3,FALSE)</f>
        <v>Carl Armstrong</v>
      </c>
      <c r="J4404" t="str">
        <f>VLOOKUP(D4404,Products!A:C,2,FALSE)</f>
        <v>Hospital Smartphone</v>
      </c>
      <c r="K4404" t="str">
        <f>VLOOKUP(D4404,Products!A:C,3,FALSE)</f>
        <v>Electronics</v>
      </c>
      <c r="L4404" t="str">
        <f>VLOOKUP(E4404,Stores!A:B,2,FALSE)</f>
        <v>MegaMart Brianahaven</v>
      </c>
      <c r="M4404">
        <f>VLOOKUP(D4404,Products!A:E,5,FALSE)</f>
        <v>1272.23</v>
      </c>
      <c r="N4404" s="5">
        <f t="shared" si="68"/>
        <v>5088.92</v>
      </c>
    </row>
    <row r="4405" spans="1:14" x14ac:dyDescent="0.3">
      <c r="A4405" t="s">
        <v>5261</v>
      </c>
      <c r="B4405" s="2">
        <v>45342</v>
      </c>
      <c r="C4405" t="s">
        <v>101</v>
      </c>
      <c r="D4405" t="s">
        <v>792</v>
      </c>
      <c r="E4405" t="s">
        <v>835</v>
      </c>
      <c r="F4405">
        <v>1</v>
      </c>
      <c r="G4405">
        <v>0</v>
      </c>
      <c r="H4405" t="s">
        <v>865</v>
      </c>
      <c r="I4405" t="str">
        <f>VLOOKUP(C4405,Customers!A:C,2,FALSE)&amp;" "&amp;VLOOKUP(C4405,Customers!A:C,3,FALSE)</f>
        <v>Cheryl Gilbert</v>
      </c>
      <c r="J4405" t="str">
        <f>VLOOKUP(D4405,Products!A:C,2,FALSE)</f>
        <v>Beat Accessories</v>
      </c>
      <c r="K4405" t="str">
        <f>VLOOKUP(D4405,Products!A:C,3,FALSE)</f>
        <v>Fashion</v>
      </c>
      <c r="L4405" t="str">
        <f>VLOOKUP(E4405,Stores!A:B,2,FALSE)</f>
        <v>MegaMart Peckmouth</v>
      </c>
      <c r="M4405">
        <f>VLOOKUP(D4405,Products!A:E,5,FALSE)</f>
        <v>1798.97</v>
      </c>
      <c r="N4405" s="5">
        <f t="shared" si="68"/>
        <v>1798.97</v>
      </c>
    </row>
    <row r="4406" spans="1:14" x14ac:dyDescent="0.3">
      <c r="A4406" t="s">
        <v>5262</v>
      </c>
      <c r="B4406" s="2">
        <v>45217</v>
      </c>
      <c r="C4406" t="s">
        <v>339</v>
      </c>
      <c r="D4406" t="s">
        <v>715</v>
      </c>
      <c r="E4406" t="s">
        <v>835</v>
      </c>
      <c r="F4406">
        <v>5</v>
      </c>
      <c r="G4406">
        <v>0.15</v>
      </c>
      <c r="H4406" t="s">
        <v>865</v>
      </c>
      <c r="I4406" t="str">
        <f>VLOOKUP(C4406,Customers!A:C,2,FALSE)&amp;" "&amp;VLOOKUP(C4406,Customers!A:C,3,FALSE)</f>
        <v>Carrie Peterson</v>
      </c>
      <c r="J4406" t="str">
        <f>VLOOKUP(D4406,Products!A:C,2,FALSE)</f>
        <v>Audience Television</v>
      </c>
      <c r="K4406" t="str">
        <f>VLOOKUP(D4406,Products!A:C,3,FALSE)</f>
        <v>Electronics</v>
      </c>
      <c r="L4406" t="str">
        <f>VLOOKUP(E4406,Stores!A:B,2,FALSE)</f>
        <v>MegaMart Peckmouth</v>
      </c>
      <c r="M4406">
        <f>VLOOKUP(D4406,Products!A:E,5,FALSE)</f>
        <v>818.76</v>
      </c>
      <c r="N4406" s="5">
        <f t="shared" si="68"/>
        <v>3479.73</v>
      </c>
    </row>
    <row r="4407" spans="1:14" x14ac:dyDescent="0.3">
      <c r="A4407" t="s">
        <v>5263</v>
      </c>
      <c r="B4407" s="2">
        <v>45571</v>
      </c>
      <c r="C4407" t="s">
        <v>187</v>
      </c>
      <c r="D4407" t="s">
        <v>734</v>
      </c>
      <c r="E4407" t="s">
        <v>846</v>
      </c>
      <c r="F4407">
        <v>2</v>
      </c>
      <c r="G4407">
        <v>0.15</v>
      </c>
      <c r="H4407" t="s">
        <v>861</v>
      </c>
      <c r="I4407" t="str">
        <f>VLOOKUP(C4407,Customers!A:C,2,FALSE)&amp;" "&amp;VLOOKUP(C4407,Customers!A:C,3,FALSE)</f>
        <v>Alexis Crane</v>
      </c>
      <c r="J4407" t="str">
        <f>VLOOKUP(D4407,Products!A:C,2,FALSE)</f>
        <v>Recognize Footwear</v>
      </c>
      <c r="K4407" t="str">
        <f>VLOOKUP(D4407,Products!A:C,3,FALSE)</f>
        <v>Fashion</v>
      </c>
      <c r="L4407" t="str">
        <f>VLOOKUP(E4407,Stores!A:B,2,FALSE)</f>
        <v>MegaMart Johnmouth</v>
      </c>
      <c r="M4407">
        <f>VLOOKUP(D4407,Products!A:E,5,FALSE)</f>
        <v>109.78</v>
      </c>
      <c r="N4407" s="5">
        <f t="shared" si="68"/>
        <v>186.626</v>
      </c>
    </row>
    <row r="4408" spans="1:14" x14ac:dyDescent="0.3">
      <c r="A4408" t="s">
        <v>5264</v>
      </c>
      <c r="B4408" s="2">
        <v>45589</v>
      </c>
      <c r="C4408" t="s">
        <v>339</v>
      </c>
      <c r="D4408" t="s">
        <v>736</v>
      </c>
      <c r="E4408" t="s">
        <v>839</v>
      </c>
      <c r="F4408">
        <v>2</v>
      </c>
      <c r="G4408">
        <v>0</v>
      </c>
      <c r="H4408" t="s">
        <v>855</v>
      </c>
      <c r="I4408" t="str">
        <f>VLOOKUP(C4408,Customers!A:C,2,FALSE)&amp;" "&amp;VLOOKUP(C4408,Customers!A:C,3,FALSE)</f>
        <v>Carrie Peterson</v>
      </c>
      <c r="J4408" t="str">
        <f>VLOOKUP(D4408,Products!A:C,2,FALSE)</f>
        <v>Us Snacks</v>
      </c>
      <c r="K4408" t="str">
        <f>VLOOKUP(D4408,Products!A:C,3,FALSE)</f>
        <v>Groceries</v>
      </c>
      <c r="L4408" t="str">
        <f>VLOOKUP(E4408,Stores!A:B,2,FALSE)</f>
        <v>MegaMart New Michele</v>
      </c>
      <c r="M4408">
        <f>VLOOKUP(D4408,Products!A:E,5,FALSE)</f>
        <v>123.19</v>
      </c>
      <c r="N4408" s="5">
        <f t="shared" si="68"/>
        <v>246.38</v>
      </c>
    </row>
    <row r="4409" spans="1:14" x14ac:dyDescent="0.3">
      <c r="A4409" t="s">
        <v>5265</v>
      </c>
      <c r="B4409" s="2">
        <v>45830</v>
      </c>
      <c r="C4409" t="s">
        <v>74</v>
      </c>
      <c r="D4409" t="s">
        <v>757</v>
      </c>
      <c r="E4409" t="s">
        <v>835</v>
      </c>
      <c r="F4409">
        <v>2</v>
      </c>
      <c r="G4409">
        <v>0</v>
      </c>
      <c r="H4409" t="s">
        <v>865</v>
      </c>
      <c r="I4409" t="str">
        <f>VLOOKUP(C4409,Customers!A:C,2,FALSE)&amp;" "&amp;VLOOKUP(C4409,Customers!A:C,3,FALSE)</f>
        <v>Breanna Davis</v>
      </c>
      <c r="J4409" t="str">
        <f>VLOOKUP(D4409,Products!A:C,2,FALSE)</f>
        <v>Find Headphones</v>
      </c>
      <c r="K4409" t="str">
        <f>VLOOKUP(D4409,Products!A:C,3,FALSE)</f>
        <v>Electronics</v>
      </c>
      <c r="L4409" t="str">
        <f>VLOOKUP(E4409,Stores!A:B,2,FALSE)</f>
        <v>MegaMart Peckmouth</v>
      </c>
      <c r="M4409">
        <f>VLOOKUP(D4409,Products!A:E,5,FALSE)</f>
        <v>1246.1099999999999</v>
      </c>
      <c r="N4409" s="5">
        <f t="shared" si="68"/>
        <v>2492.2199999999998</v>
      </c>
    </row>
    <row r="4410" spans="1:14" x14ac:dyDescent="0.3">
      <c r="A4410" t="s">
        <v>5266</v>
      </c>
      <c r="B4410" s="2">
        <v>45652</v>
      </c>
      <c r="C4410" t="s">
        <v>657</v>
      </c>
      <c r="D4410" t="s">
        <v>759</v>
      </c>
      <c r="E4410" t="s">
        <v>839</v>
      </c>
      <c r="F4410">
        <v>4</v>
      </c>
      <c r="G4410">
        <v>0.15</v>
      </c>
      <c r="H4410" t="s">
        <v>861</v>
      </c>
      <c r="I4410" t="str">
        <f>VLOOKUP(C4410,Customers!A:C,2,FALSE)&amp;" "&amp;VLOOKUP(C4410,Customers!A:C,3,FALSE)</f>
        <v>Vicki Guzman</v>
      </c>
      <c r="J4410" t="str">
        <f>VLOOKUP(D4410,Products!A:C,2,FALSE)</f>
        <v>Democratic Smartphone</v>
      </c>
      <c r="K4410" t="str">
        <f>VLOOKUP(D4410,Products!A:C,3,FALSE)</f>
        <v>Electronics</v>
      </c>
      <c r="L4410" t="str">
        <f>VLOOKUP(E4410,Stores!A:B,2,FALSE)</f>
        <v>MegaMart New Michele</v>
      </c>
      <c r="M4410">
        <f>VLOOKUP(D4410,Products!A:E,5,FALSE)</f>
        <v>1079.8900000000001</v>
      </c>
      <c r="N4410" s="5">
        <f t="shared" si="68"/>
        <v>3671.6260000000002</v>
      </c>
    </row>
    <row r="4411" spans="1:14" x14ac:dyDescent="0.3">
      <c r="A4411" t="s">
        <v>5267</v>
      </c>
      <c r="B4411" s="2">
        <v>45570</v>
      </c>
      <c r="C4411" t="s">
        <v>12</v>
      </c>
      <c r="D4411" t="s">
        <v>784</v>
      </c>
      <c r="E4411" t="s">
        <v>839</v>
      </c>
      <c r="F4411">
        <v>3</v>
      </c>
      <c r="G4411">
        <v>0</v>
      </c>
      <c r="H4411" t="s">
        <v>865</v>
      </c>
      <c r="I4411" t="str">
        <f>VLOOKUP(C4411,Customers!A:C,2,FALSE)&amp;" "&amp;VLOOKUP(C4411,Customers!A:C,3,FALSE)</f>
        <v>Michael Miller</v>
      </c>
      <c r="J4411" t="str">
        <f>VLOOKUP(D4411,Products!A:C,2,FALSE)</f>
        <v>Road Clothing</v>
      </c>
      <c r="K4411" t="str">
        <f>VLOOKUP(D4411,Products!A:C,3,FALSE)</f>
        <v>Fashion</v>
      </c>
      <c r="L4411" t="str">
        <f>VLOOKUP(E4411,Stores!A:B,2,FALSE)</f>
        <v>MegaMart New Michele</v>
      </c>
      <c r="M4411">
        <f>VLOOKUP(D4411,Products!A:E,5,FALSE)</f>
        <v>1485.05</v>
      </c>
      <c r="N4411" s="5">
        <f t="shared" si="68"/>
        <v>4455.1499999999996</v>
      </c>
    </row>
    <row r="4412" spans="1:14" x14ac:dyDescent="0.3">
      <c r="A4412" t="s">
        <v>5268</v>
      </c>
      <c r="B4412" s="2">
        <v>45748</v>
      </c>
      <c r="C4412" t="s">
        <v>63</v>
      </c>
      <c r="D4412" t="s">
        <v>753</v>
      </c>
      <c r="E4412" t="s">
        <v>842</v>
      </c>
      <c r="F4412">
        <v>5</v>
      </c>
      <c r="G4412">
        <v>0.1</v>
      </c>
      <c r="H4412" t="s">
        <v>865</v>
      </c>
      <c r="I4412" t="str">
        <f>VLOOKUP(C4412,Customers!A:C,2,FALSE)&amp;" "&amp;VLOOKUP(C4412,Customers!A:C,3,FALSE)</f>
        <v>Matthew Molina</v>
      </c>
      <c r="J4412" t="str">
        <f>VLOOKUP(D4412,Products!A:C,2,FALSE)</f>
        <v>Whether Bags</v>
      </c>
      <c r="K4412" t="str">
        <f>VLOOKUP(D4412,Products!A:C,3,FALSE)</f>
        <v>Fashion</v>
      </c>
      <c r="L4412" t="str">
        <f>VLOOKUP(E4412,Stores!A:B,2,FALSE)</f>
        <v>MegaMart Brianahaven</v>
      </c>
      <c r="M4412">
        <f>VLOOKUP(D4412,Products!A:E,5,FALSE)</f>
        <v>270.45</v>
      </c>
      <c r="N4412" s="5">
        <f t="shared" si="68"/>
        <v>1217.0250000000001</v>
      </c>
    </row>
    <row r="4413" spans="1:14" x14ac:dyDescent="0.3">
      <c r="A4413" t="s">
        <v>5269</v>
      </c>
      <c r="B4413" s="2">
        <v>45905</v>
      </c>
      <c r="C4413" t="s">
        <v>527</v>
      </c>
      <c r="D4413" t="s">
        <v>780</v>
      </c>
      <c r="E4413" t="s">
        <v>835</v>
      </c>
      <c r="F4413">
        <v>2</v>
      </c>
      <c r="G4413">
        <v>0.1</v>
      </c>
      <c r="H4413" t="s">
        <v>855</v>
      </c>
      <c r="I4413" t="str">
        <f>VLOOKUP(C4413,Customers!A:C,2,FALSE)&amp;" "&amp;VLOOKUP(C4413,Customers!A:C,3,FALSE)</f>
        <v>Paige Osborne</v>
      </c>
      <c r="J4413" t="str">
        <f>VLOOKUP(D4413,Products!A:C,2,FALSE)</f>
        <v>Hospital Smartphone</v>
      </c>
      <c r="K4413" t="str">
        <f>VLOOKUP(D4413,Products!A:C,3,FALSE)</f>
        <v>Electronics</v>
      </c>
      <c r="L4413" t="str">
        <f>VLOOKUP(E4413,Stores!A:B,2,FALSE)</f>
        <v>MegaMart Peckmouth</v>
      </c>
      <c r="M4413">
        <f>VLOOKUP(D4413,Products!A:E,5,FALSE)</f>
        <v>1272.23</v>
      </c>
      <c r="N4413" s="5">
        <f t="shared" si="68"/>
        <v>2290.0140000000001</v>
      </c>
    </row>
    <row r="4414" spans="1:14" x14ac:dyDescent="0.3">
      <c r="A4414" t="s">
        <v>5270</v>
      </c>
      <c r="B4414" s="2">
        <v>45291</v>
      </c>
      <c r="C4414" t="s">
        <v>702</v>
      </c>
      <c r="D4414" t="s">
        <v>734</v>
      </c>
      <c r="E4414" t="s">
        <v>835</v>
      </c>
      <c r="F4414">
        <v>5</v>
      </c>
      <c r="G4414">
        <v>0</v>
      </c>
      <c r="H4414" t="s">
        <v>865</v>
      </c>
      <c r="I4414" t="str">
        <f>VLOOKUP(C4414,Customers!A:C,2,FALSE)&amp;" "&amp;VLOOKUP(C4414,Customers!A:C,3,FALSE)</f>
        <v>Ronald Haley</v>
      </c>
      <c r="J4414" t="str">
        <f>VLOOKUP(D4414,Products!A:C,2,FALSE)</f>
        <v>Recognize Footwear</v>
      </c>
      <c r="K4414" t="str">
        <f>VLOOKUP(D4414,Products!A:C,3,FALSE)</f>
        <v>Fashion</v>
      </c>
      <c r="L4414" t="str">
        <f>VLOOKUP(E4414,Stores!A:B,2,FALSE)</f>
        <v>MegaMart Peckmouth</v>
      </c>
      <c r="M4414">
        <f>VLOOKUP(D4414,Products!A:E,5,FALSE)</f>
        <v>109.78</v>
      </c>
      <c r="N4414" s="5">
        <f t="shared" si="68"/>
        <v>548.9</v>
      </c>
    </row>
    <row r="4415" spans="1:14" x14ac:dyDescent="0.3">
      <c r="A4415" t="s">
        <v>5271</v>
      </c>
      <c r="B4415" s="2">
        <v>45701</v>
      </c>
      <c r="C4415" t="s">
        <v>574</v>
      </c>
      <c r="D4415" t="s">
        <v>722</v>
      </c>
      <c r="E4415" t="s">
        <v>842</v>
      </c>
      <c r="F4415">
        <v>5</v>
      </c>
      <c r="G4415">
        <v>0.1</v>
      </c>
      <c r="H4415" t="s">
        <v>865</v>
      </c>
      <c r="I4415" t="str">
        <f>VLOOKUP(C4415,Customers!A:C,2,FALSE)&amp;" "&amp;VLOOKUP(C4415,Customers!A:C,3,FALSE)</f>
        <v>Meagan Macdonald</v>
      </c>
      <c r="J4415" t="str">
        <f>VLOOKUP(D4415,Products!A:C,2,FALSE)</f>
        <v>Four Accessories</v>
      </c>
      <c r="K4415" t="str">
        <f>VLOOKUP(D4415,Products!A:C,3,FALSE)</f>
        <v>Fashion</v>
      </c>
      <c r="L4415" t="str">
        <f>VLOOKUP(E4415,Stores!A:B,2,FALSE)</f>
        <v>MegaMart Brianahaven</v>
      </c>
      <c r="M4415">
        <f>VLOOKUP(D4415,Products!A:E,5,FALSE)</f>
        <v>1853.77</v>
      </c>
      <c r="N4415" s="5">
        <f t="shared" si="68"/>
        <v>8341.9650000000001</v>
      </c>
    </row>
    <row r="4416" spans="1:14" x14ac:dyDescent="0.3">
      <c r="A4416" t="s">
        <v>5272</v>
      </c>
      <c r="B4416" s="2">
        <v>45538</v>
      </c>
      <c r="C4416" t="s">
        <v>582</v>
      </c>
      <c r="D4416" t="s">
        <v>764</v>
      </c>
      <c r="E4416" t="s">
        <v>835</v>
      </c>
      <c r="F4416">
        <v>2</v>
      </c>
      <c r="G4416">
        <v>0.1</v>
      </c>
      <c r="H4416" t="s">
        <v>858</v>
      </c>
      <c r="I4416" t="str">
        <f>VLOOKUP(C4416,Customers!A:C,2,FALSE)&amp;" "&amp;VLOOKUP(C4416,Customers!A:C,3,FALSE)</f>
        <v>Erin Rogers</v>
      </c>
      <c r="J4416" t="str">
        <f>VLOOKUP(D4416,Products!A:C,2,FALSE)</f>
        <v>Simple Accessories</v>
      </c>
      <c r="K4416" t="str">
        <f>VLOOKUP(D4416,Products!A:C,3,FALSE)</f>
        <v>Fashion</v>
      </c>
      <c r="L4416" t="str">
        <f>VLOOKUP(E4416,Stores!A:B,2,FALSE)</f>
        <v>MegaMart Peckmouth</v>
      </c>
      <c r="M4416">
        <f>VLOOKUP(D4416,Products!A:E,5,FALSE)</f>
        <v>323.92</v>
      </c>
      <c r="N4416" s="5">
        <f t="shared" si="68"/>
        <v>583.05600000000004</v>
      </c>
    </row>
    <row r="4417" spans="1:14" x14ac:dyDescent="0.3">
      <c r="A4417" t="s">
        <v>5273</v>
      </c>
      <c r="B4417" s="2">
        <v>45249</v>
      </c>
      <c r="C4417" t="s">
        <v>36</v>
      </c>
      <c r="D4417" t="s">
        <v>718</v>
      </c>
      <c r="E4417" t="s">
        <v>846</v>
      </c>
      <c r="F4417">
        <v>5</v>
      </c>
      <c r="G4417">
        <v>0.15</v>
      </c>
      <c r="H4417" t="s">
        <v>861</v>
      </c>
      <c r="I4417" t="str">
        <f>VLOOKUP(C4417,Customers!A:C,2,FALSE)&amp;" "&amp;VLOOKUP(C4417,Customers!A:C,3,FALSE)</f>
        <v>Isaiah Williams</v>
      </c>
      <c r="J4417" t="str">
        <f>VLOOKUP(D4417,Products!A:C,2,FALSE)</f>
        <v>Here Footwear</v>
      </c>
      <c r="K4417" t="str">
        <f>VLOOKUP(D4417,Products!A:C,3,FALSE)</f>
        <v>Fashion</v>
      </c>
      <c r="L4417" t="str">
        <f>VLOOKUP(E4417,Stores!A:B,2,FALSE)</f>
        <v>MegaMart Johnmouth</v>
      </c>
      <c r="M4417">
        <f>VLOOKUP(D4417,Products!A:E,5,FALSE)</f>
        <v>337.63</v>
      </c>
      <c r="N4417" s="5">
        <f t="shared" si="68"/>
        <v>1434.9275</v>
      </c>
    </row>
    <row r="4418" spans="1:14" x14ac:dyDescent="0.3">
      <c r="A4418" t="s">
        <v>5274</v>
      </c>
      <c r="B4418" s="2">
        <v>45525</v>
      </c>
      <c r="C4418" t="s">
        <v>673</v>
      </c>
      <c r="D4418" t="s">
        <v>711</v>
      </c>
      <c r="E4418" t="s">
        <v>842</v>
      </c>
      <c r="F4418">
        <v>3</v>
      </c>
      <c r="G4418">
        <v>0.15</v>
      </c>
      <c r="H4418" t="s">
        <v>861</v>
      </c>
      <c r="I4418" t="str">
        <f>VLOOKUP(C4418,Customers!A:C,2,FALSE)&amp;" "&amp;VLOOKUP(C4418,Customers!A:C,3,FALSE)</f>
        <v>Karen Quinn</v>
      </c>
      <c r="J4418" t="str">
        <f>VLOOKUP(D4418,Products!A:C,2,FALSE)</f>
        <v>Like Camera</v>
      </c>
      <c r="K4418" t="str">
        <f>VLOOKUP(D4418,Products!A:C,3,FALSE)</f>
        <v>Electronics</v>
      </c>
      <c r="L4418" t="str">
        <f>VLOOKUP(E4418,Stores!A:B,2,FALSE)</f>
        <v>MegaMart Brianahaven</v>
      </c>
      <c r="M4418">
        <f>VLOOKUP(D4418,Products!A:E,5,FALSE)</f>
        <v>1673.69</v>
      </c>
      <c r="N4418" s="5">
        <f t="shared" si="68"/>
        <v>4267.9094999999998</v>
      </c>
    </row>
    <row r="4419" spans="1:14" x14ac:dyDescent="0.3">
      <c r="A4419" t="s">
        <v>5275</v>
      </c>
      <c r="B4419" s="2">
        <v>45440</v>
      </c>
      <c r="C4419" t="s">
        <v>183</v>
      </c>
      <c r="D4419" t="s">
        <v>782</v>
      </c>
      <c r="E4419" t="s">
        <v>835</v>
      </c>
      <c r="F4419">
        <v>3</v>
      </c>
      <c r="G4419">
        <v>0</v>
      </c>
      <c r="H4419" t="s">
        <v>858</v>
      </c>
      <c r="I4419" t="str">
        <f>VLOOKUP(C4419,Customers!A:C,2,FALSE)&amp;" "&amp;VLOOKUP(C4419,Customers!A:C,3,FALSE)</f>
        <v>Mary Decker</v>
      </c>
      <c r="J4419" t="str">
        <f>VLOOKUP(D4419,Products!A:C,2,FALSE)</f>
        <v>Deal Smartphone</v>
      </c>
      <c r="K4419" t="str">
        <f>VLOOKUP(D4419,Products!A:C,3,FALSE)</f>
        <v>Electronics</v>
      </c>
      <c r="L4419" t="str">
        <f>VLOOKUP(E4419,Stores!A:B,2,FALSE)</f>
        <v>MegaMart Peckmouth</v>
      </c>
      <c r="M4419">
        <f>VLOOKUP(D4419,Products!A:E,5,FALSE)</f>
        <v>673.78</v>
      </c>
      <c r="N4419" s="5">
        <f t="shared" ref="N4419:N4482" si="69">F4419*M4419*(1-G4419)</f>
        <v>2021.34</v>
      </c>
    </row>
    <row r="4420" spans="1:14" x14ac:dyDescent="0.3">
      <c r="A4420" t="s">
        <v>5276</v>
      </c>
      <c r="B4420" s="2">
        <v>45600</v>
      </c>
      <c r="C4420" t="s">
        <v>291</v>
      </c>
      <c r="D4420" t="s">
        <v>722</v>
      </c>
      <c r="E4420" t="s">
        <v>835</v>
      </c>
      <c r="F4420">
        <v>2</v>
      </c>
      <c r="G4420">
        <v>0.1</v>
      </c>
      <c r="H4420" t="s">
        <v>865</v>
      </c>
      <c r="I4420" t="str">
        <f>VLOOKUP(C4420,Customers!A:C,2,FALSE)&amp;" "&amp;VLOOKUP(C4420,Customers!A:C,3,FALSE)</f>
        <v>Matthew Juarez</v>
      </c>
      <c r="J4420" t="str">
        <f>VLOOKUP(D4420,Products!A:C,2,FALSE)</f>
        <v>Four Accessories</v>
      </c>
      <c r="K4420" t="str">
        <f>VLOOKUP(D4420,Products!A:C,3,FALSE)</f>
        <v>Fashion</v>
      </c>
      <c r="L4420" t="str">
        <f>VLOOKUP(E4420,Stores!A:B,2,FALSE)</f>
        <v>MegaMart Peckmouth</v>
      </c>
      <c r="M4420">
        <f>VLOOKUP(D4420,Products!A:E,5,FALSE)</f>
        <v>1853.77</v>
      </c>
      <c r="N4420" s="5">
        <f t="shared" si="69"/>
        <v>3336.7860000000001</v>
      </c>
    </row>
    <row r="4421" spans="1:14" x14ac:dyDescent="0.3">
      <c r="A4421" t="s">
        <v>5277</v>
      </c>
      <c r="B4421" s="2">
        <v>45773</v>
      </c>
      <c r="C4421" t="s">
        <v>258</v>
      </c>
      <c r="D4421" t="s">
        <v>796</v>
      </c>
      <c r="E4421" t="s">
        <v>835</v>
      </c>
      <c r="F4421">
        <v>2</v>
      </c>
      <c r="G4421">
        <v>0.15</v>
      </c>
      <c r="H4421" t="s">
        <v>865</v>
      </c>
      <c r="I4421" t="str">
        <f>VLOOKUP(C4421,Customers!A:C,2,FALSE)&amp;" "&amp;VLOOKUP(C4421,Customers!A:C,3,FALSE)</f>
        <v>Alexandra Montoya</v>
      </c>
      <c r="J4421" t="str">
        <f>VLOOKUP(D4421,Products!A:C,2,FALSE)</f>
        <v>Chair Laptop</v>
      </c>
      <c r="K4421" t="str">
        <f>VLOOKUP(D4421,Products!A:C,3,FALSE)</f>
        <v>Electronics</v>
      </c>
      <c r="L4421" t="str">
        <f>VLOOKUP(E4421,Stores!A:B,2,FALSE)</f>
        <v>MegaMart Peckmouth</v>
      </c>
      <c r="M4421">
        <f>VLOOKUP(D4421,Products!A:E,5,FALSE)</f>
        <v>1562.43</v>
      </c>
      <c r="N4421" s="5">
        <f t="shared" si="69"/>
        <v>2656.1309999999999</v>
      </c>
    </row>
    <row r="4422" spans="1:14" x14ac:dyDescent="0.3">
      <c r="A4422" t="s">
        <v>5278</v>
      </c>
      <c r="B4422" s="2">
        <v>45271</v>
      </c>
      <c r="C4422" t="s">
        <v>112</v>
      </c>
      <c r="D4422" t="s">
        <v>784</v>
      </c>
      <c r="E4422" t="s">
        <v>846</v>
      </c>
      <c r="F4422">
        <v>5</v>
      </c>
      <c r="G4422">
        <v>0</v>
      </c>
      <c r="H4422" t="s">
        <v>865</v>
      </c>
      <c r="I4422" t="str">
        <f>VLOOKUP(C4422,Customers!A:C,2,FALSE)&amp;" "&amp;VLOOKUP(C4422,Customers!A:C,3,FALSE)</f>
        <v>John Carr</v>
      </c>
      <c r="J4422" t="str">
        <f>VLOOKUP(D4422,Products!A:C,2,FALSE)</f>
        <v>Road Clothing</v>
      </c>
      <c r="K4422" t="str">
        <f>VLOOKUP(D4422,Products!A:C,3,FALSE)</f>
        <v>Fashion</v>
      </c>
      <c r="L4422" t="str">
        <f>VLOOKUP(E4422,Stores!A:B,2,FALSE)</f>
        <v>MegaMart Johnmouth</v>
      </c>
      <c r="M4422">
        <f>VLOOKUP(D4422,Products!A:E,5,FALSE)</f>
        <v>1485.05</v>
      </c>
      <c r="N4422" s="5">
        <f t="shared" si="69"/>
        <v>7425.25</v>
      </c>
    </row>
    <row r="4423" spans="1:14" x14ac:dyDescent="0.3">
      <c r="A4423" t="s">
        <v>5279</v>
      </c>
      <c r="B4423" s="2">
        <v>45690</v>
      </c>
      <c r="C4423" t="s">
        <v>195</v>
      </c>
      <c r="D4423" t="s">
        <v>766</v>
      </c>
      <c r="E4423" t="s">
        <v>839</v>
      </c>
      <c r="F4423">
        <v>4</v>
      </c>
      <c r="G4423">
        <v>0.15</v>
      </c>
      <c r="H4423" t="s">
        <v>865</v>
      </c>
      <c r="I4423" t="str">
        <f>VLOOKUP(C4423,Customers!A:C,2,FALSE)&amp;" "&amp;VLOOKUP(C4423,Customers!A:C,3,FALSE)</f>
        <v>Kelly Mcmillan</v>
      </c>
      <c r="J4423" t="str">
        <f>VLOOKUP(D4423,Products!A:C,2,FALSE)</f>
        <v>Firm Dairy</v>
      </c>
      <c r="K4423" t="str">
        <f>VLOOKUP(D4423,Products!A:C,3,FALSE)</f>
        <v>Groceries</v>
      </c>
      <c r="L4423" t="str">
        <f>VLOOKUP(E4423,Stores!A:B,2,FALSE)</f>
        <v>MegaMart New Michele</v>
      </c>
      <c r="M4423">
        <f>VLOOKUP(D4423,Products!A:E,5,FALSE)</f>
        <v>1227.24</v>
      </c>
      <c r="N4423" s="5">
        <f t="shared" si="69"/>
        <v>4172.616</v>
      </c>
    </row>
    <row r="4424" spans="1:14" x14ac:dyDescent="0.3">
      <c r="A4424" t="s">
        <v>5280</v>
      </c>
      <c r="B4424" s="2">
        <v>45836</v>
      </c>
      <c r="C4424" t="s">
        <v>627</v>
      </c>
      <c r="D4424" t="s">
        <v>804</v>
      </c>
      <c r="E4424" t="s">
        <v>842</v>
      </c>
      <c r="F4424">
        <v>2</v>
      </c>
      <c r="G4424">
        <v>0</v>
      </c>
      <c r="H4424" t="s">
        <v>858</v>
      </c>
      <c r="I4424" t="str">
        <f>VLOOKUP(C4424,Customers!A:C,2,FALSE)&amp;" "&amp;VLOOKUP(C4424,Customers!A:C,3,FALSE)</f>
        <v>Anthony Gould</v>
      </c>
      <c r="J4424" t="str">
        <f>VLOOKUP(D4424,Products!A:C,2,FALSE)</f>
        <v>Church Clothing</v>
      </c>
      <c r="K4424" t="str">
        <f>VLOOKUP(D4424,Products!A:C,3,FALSE)</f>
        <v>Fashion</v>
      </c>
      <c r="L4424" t="str">
        <f>VLOOKUP(E4424,Stores!A:B,2,FALSE)</f>
        <v>MegaMart Brianahaven</v>
      </c>
      <c r="M4424">
        <f>VLOOKUP(D4424,Products!A:E,5,FALSE)</f>
        <v>540.94000000000005</v>
      </c>
      <c r="N4424" s="5">
        <f t="shared" si="69"/>
        <v>1081.8800000000001</v>
      </c>
    </row>
    <row r="4425" spans="1:14" x14ac:dyDescent="0.3">
      <c r="A4425" t="s">
        <v>5281</v>
      </c>
      <c r="B4425" s="2">
        <v>45873</v>
      </c>
      <c r="C4425" t="s">
        <v>20</v>
      </c>
      <c r="D4425" t="s">
        <v>826</v>
      </c>
      <c r="E4425" t="s">
        <v>835</v>
      </c>
      <c r="F4425">
        <v>5</v>
      </c>
      <c r="G4425">
        <v>0.15</v>
      </c>
      <c r="H4425" t="s">
        <v>858</v>
      </c>
      <c r="I4425" t="str">
        <f>VLOOKUP(C4425,Customers!A:C,2,FALSE)&amp;" "&amp;VLOOKUP(C4425,Customers!A:C,3,FALSE)</f>
        <v>Joseph Ward</v>
      </c>
      <c r="J4425" t="str">
        <f>VLOOKUP(D4425,Products!A:C,2,FALSE)</f>
        <v>Maybe Footwear</v>
      </c>
      <c r="K4425" t="str">
        <f>VLOOKUP(D4425,Products!A:C,3,FALSE)</f>
        <v>Fashion</v>
      </c>
      <c r="L4425" t="str">
        <f>VLOOKUP(E4425,Stores!A:B,2,FALSE)</f>
        <v>MegaMart Peckmouth</v>
      </c>
      <c r="M4425">
        <f>VLOOKUP(D4425,Products!A:E,5,FALSE)</f>
        <v>1044.6400000000001</v>
      </c>
      <c r="N4425" s="5">
        <f t="shared" si="69"/>
        <v>4439.72</v>
      </c>
    </row>
    <row r="4426" spans="1:14" x14ac:dyDescent="0.3">
      <c r="A4426" t="s">
        <v>5282</v>
      </c>
      <c r="B4426" s="2">
        <v>45611</v>
      </c>
      <c r="C4426" t="s">
        <v>630</v>
      </c>
      <c r="D4426" t="s">
        <v>792</v>
      </c>
      <c r="E4426" t="s">
        <v>835</v>
      </c>
      <c r="F4426">
        <v>1</v>
      </c>
      <c r="G4426">
        <v>0.05</v>
      </c>
      <c r="H4426" t="s">
        <v>865</v>
      </c>
      <c r="I4426" t="str">
        <f>VLOOKUP(C4426,Customers!A:C,2,FALSE)&amp;" "&amp;VLOOKUP(C4426,Customers!A:C,3,FALSE)</f>
        <v>Mark Mcdonald</v>
      </c>
      <c r="J4426" t="str">
        <f>VLOOKUP(D4426,Products!A:C,2,FALSE)</f>
        <v>Beat Accessories</v>
      </c>
      <c r="K4426" t="str">
        <f>VLOOKUP(D4426,Products!A:C,3,FALSE)</f>
        <v>Fashion</v>
      </c>
      <c r="L4426" t="str">
        <f>VLOOKUP(E4426,Stores!A:B,2,FALSE)</f>
        <v>MegaMart Peckmouth</v>
      </c>
      <c r="M4426">
        <f>VLOOKUP(D4426,Products!A:E,5,FALSE)</f>
        <v>1798.97</v>
      </c>
      <c r="N4426" s="5">
        <f t="shared" si="69"/>
        <v>1709.0214999999998</v>
      </c>
    </row>
    <row r="4427" spans="1:14" x14ac:dyDescent="0.3">
      <c r="A4427" t="s">
        <v>5283</v>
      </c>
      <c r="B4427" s="2">
        <v>45880</v>
      </c>
      <c r="C4427" t="s">
        <v>40</v>
      </c>
      <c r="D4427" t="s">
        <v>728</v>
      </c>
      <c r="E4427" t="s">
        <v>846</v>
      </c>
      <c r="F4427">
        <v>3</v>
      </c>
      <c r="G4427">
        <v>0.05</v>
      </c>
      <c r="H4427" t="s">
        <v>858</v>
      </c>
      <c r="I4427" t="str">
        <f>VLOOKUP(C4427,Customers!A:C,2,FALSE)&amp;" "&amp;VLOOKUP(C4427,Customers!A:C,3,FALSE)</f>
        <v>Richard Pacheco</v>
      </c>
      <c r="J4427" t="str">
        <f>VLOOKUP(D4427,Products!A:C,2,FALSE)</f>
        <v>Company Fruits</v>
      </c>
      <c r="K4427" t="str">
        <f>VLOOKUP(D4427,Products!A:C,3,FALSE)</f>
        <v>Groceries</v>
      </c>
      <c r="L4427" t="str">
        <f>VLOOKUP(E4427,Stores!A:B,2,FALSE)</f>
        <v>MegaMart Johnmouth</v>
      </c>
      <c r="M4427">
        <f>VLOOKUP(D4427,Products!A:E,5,FALSE)</f>
        <v>318.05</v>
      </c>
      <c r="N4427" s="5">
        <f t="shared" si="69"/>
        <v>906.4425</v>
      </c>
    </row>
    <row r="4428" spans="1:14" x14ac:dyDescent="0.3">
      <c r="A4428" t="s">
        <v>5284</v>
      </c>
      <c r="B4428" s="2">
        <v>45611</v>
      </c>
      <c r="C4428" t="s">
        <v>399</v>
      </c>
      <c r="D4428" t="s">
        <v>782</v>
      </c>
      <c r="E4428" t="s">
        <v>835</v>
      </c>
      <c r="F4428">
        <v>1</v>
      </c>
      <c r="G4428">
        <v>0.1</v>
      </c>
      <c r="H4428" t="s">
        <v>861</v>
      </c>
      <c r="I4428" t="str">
        <f>VLOOKUP(C4428,Customers!A:C,2,FALSE)&amp;" "&amp;VLOOKUP(C4428,Customers!A:C,3,FALSE)</f>
        <v>Victoria Hansen</v>
      </c>
      <c r="J4428" t="str">
        <f>VLOOKUP(D4428,Products!A:C,2,FALSE)</f>
        <v>Deal Smartphone</v>
      </c>
      <c r="K4428" t="str">
        <f>VLOOKUP(D4428,Products!A:C,3,FALSE)</f>
        <v>Electronics</v>
      </c>
      <c r="L4428" t="str">
        <f>VLOOKUP(E4428,Stores!A:B,2,FALSE)</f>
        <v>MegaMart Peckmouth</v>
      </c>
      <c r="M4428">
        <f>VLOOKUP(D4428,Products!A:E,5,FALSE)</f>
        <v>673.78</v>
      </c>
      <c r="N4428" s="5">
        <f t="shared" si="69"/>
        <v>606.40200000000004</v>
      </c>
    </row>
    <row r="4429" spans="1:14" x14ac:dyDescent="0.3">
      <c r="A4429" t="s">
        <v>5285</v>
      </c>
      <c r="B4429" s="2">
        <v>45333</v>
      </c>
      <c r="C4429" t="s">
        <v>393</v>
      </c>
      <c r="D4429" t="s">
        <v>747</v>
      </c>
      <c r="E4429" t="s">
        <v>846</v>
      </c>
      <c r="F4429">
        <v>5</v>
      </c>
      <c r="G4429">
        <v>0</v>
      </c>
      <c r="H4429" t="s">
        <v>865</v>
      </c>
      <c r="I4429" t="str">
        <f>VLOOKUP(C4429,Customers!A:C,2,FALSE)&amp;" "&amp;VLOOKUP(C4429,Customers!A:C,3,FALSE)</f>
        <v>Kenneth Berg</v>
      </c>
      <c r="J4429" t="str">
        <f>VLOOKUP(D4429,Products!A:C,2,FALSE)</f>
        <v>World Watches</v>
      </c>
      <c r="K4429" t="str">
        <f>VLOOKUP(D4429,Products!A:C,3,FALSE)</f>
        <v>Fashion</v>
      </c>
      <c r="L4429" t="str">
        <f>VLOOKUP(E4429,Stores!A:B,2,FALSE)</f>
        <v>MegaMart Johnmouth</v>
      </c>
      <c r="M4429">
        <f>VLOOKUP(D4429,Products!A:E,5,FALSE)</f>
        <v>1134.8</v>
      </c>
      <c r="N4429" s="5">
        <f t="shared" si="69"/>
        <v>5674</v>
      </c>
    </row>
    <row r="4430" spans="1:14" x14ac:dyDescent="0.3">
      <c r="A4430" t="s">
        <v>5286</v>
      </c>
      <c r="B4430" s="2">
        <v>45617</v>
      </c>
      <c r="C4430" t="s">
        <v>327</v>
      </c>
      <c r="D4430" t="s">
        <v>826</v>
      </c>
      <c r="E4430" t="s">
        <v>842</v>
      </c>
      <c r="F4430">
        <v>4</v>
      </c>
      <c r="G4430">
        <v>0.1</v>
      </c>
      <c r="H4430" t="s">
        <v>865</v>
      </c>
      <c r="I4430" t="str">
        <f>VLOOKUP(C4430,Customers!A:C,2,FALSE)&amp;" "&amp;VLOOKUP(C4430,Customers!A:C,3,FALSE)</f>
        <v>Laurie Mason</v>
      </c>
      <c r="J4430" t="str">
        <f>VLOOKUP(D4430,Products!A:C,2,FALSE)</f>
        <v>Maybe Footwear</v>
      </c>
      <c r="K4430" t="str">
        <f>VLOOKUP(D4430,Products!A:C,3,FALSE)</f>
        <v>Fashion</v>
      </c>
      <c r="L4430" t="str">
        <f>VLOOKUP(E4430,Stores!A:B,2,FALSE)</f>
        <v>MegaMart Brianahaven</v>
      </c>
      <c r="M4430">
        <f>VLOOKUP(D4430,Products!A:E,5,FALSE)</f>
        <v>1044.6400000000001</v>
      </c>
      <c r="N4430" s="5">
        <f t="shared" si="69"/>
        <v>3760.7040000000006</v>
      </c>
    </row>
    <row r="4431" spans="1:14" x14ac:dyDescent="0.3">
      <c r="A4431" t="s">
        <v>5287</v>
      </c>
      <c r="B4431" s="2">
        <v>45895</v>
      </c>
      <c r="C4431" t="s">
        <v>67</v>
      </c>
      <c r="D4431" t="s">
        <v>736</v>
      </c>
      <c r="E4431" t="s">
        <v>831</v>
      </c>
      <c r="F4431">
        <v>4</v>
      </c>
      <c r="G4431">
        <v>0.05</v>
      </c>
      <c r="H4431" t="s">
        <v>861</v>
      </c>
      <c r="I4431" t="str">
        <f>VLOOKUP(C4431,Customers!A:C,2,FALSE)&amp;" "&amp;VLOOKUP(C4431,Customers!A:C,3,FALSE)</f>
        <v>Miguel Johnson</v>
      </c>
      <c r="J4431" t="str">
        <f>VLOOKUP(D4431,Products!A:C,2,FALSE)</f>
        <v>Us Snacks</v>
      </c>
      <c r="K4431" t="str">
        <f>VLOOKUP(D4431,Products!A:C,3,FALSE)</f>
        <v>Groceries</v>
      </c>
      <c r="L4431" t="str">
        <f>VLOOKUP(E4431,Stores!A:B,2,FALSE)</f>
        <v>MegaMart Jimenezborough</v>
      </c>
      <c r="M4431">
        <f>VLOOKUP(D4431,Products!A:E,5,FALSE)</f>
        <v>123.19</v>
      </c>
      <c r="N4431" s="5">
        <f t="shared" si="69"/>
        <v>468.12199999999996</v>
      </c>
    </row>
    <row r="4432" spans="1:14" x14ac:dyDescent="0.3">
      <c r="A4432" t="s">
        <v>5288</v>
      </c>
      <c r="B4432" s="2">
        <v>45275</v>
      </c>
      <c r="C4432" t="s">
        <v>324</v>
      </c>
      <c r="D4432" t="s">
        <v>782</v>
      </c>
      <c r="E4432" t="s">
        <v>846</v>
      </c>
      <c r="F4432">
        <v>1</v>
      </c>
      <c r="G4432">
        <v>0</v>
      </c>
      <c r="H4432" t="s">
        <v>858</v>
      </c>
      <c r="I4432" t="str">
        <f>VLOOKUP(C4432,Customers!A:C,2,FALSE)&amp;" "&amp;VLOOKUP(C4432,Customers!A:C,3,FALSE)</f>
        <v>Lawrence Hunter</v>
      </c>
      <c r="J4432" t="str">
        <f>VLOOKUP(D4432,Products!A:C,2,FALSE)</f>
        <v>Deal Smartphone</v>
      </c>
      <c r="K4432" t="str">
        <f>VLOOKUP(D4432,Products!A:C,3,FALSE)</f>
        <v>Electronics</v>
      </c>
      <c r="L4432" t="str">
        <f>VLOOKUP(E4432,Stores!A:B,2,FALSE)</f>
        <v>MegaMart Johnmouth</v>
      </c>
      <c r="M4432">
        <f>VLOOKUP(D4432,Products!A:E,5,FALSE)</f>
        <v>673.78</v>
      </c>
      <c r="N4432" s="5">
        <f t="shared" si="69"/>
        <v>673.78</v>
      </c>
    </row>
    <row r="4433" spans="1:14" x14ac:dyDescent="0.3">
      <c r="A4433" t="s">
        <v>5289</v>
      </c>
      <c r="B4433" s="2">
        <v>45469</v>
      </c>
      <c r="C4433" t="s">
        <v>217</v>
      </c>
      <c r="D4433" t="s">
        <v>810</v>
      </c>
      <c r="E4433" t="s">
        <v>846</v>
      </c>
      <c r="F4433">
        <v>4</v>
      </c>
      <c r="G4433">
        <v>0</v>
      </c>
      <c r="H4433" t="s">
        <v>861</v>
      </c>
      <c r="I4433" t="str">
        <f>VLOOKUP(C4433,Customers!A:C,2,FALSE)&amp;" "&amp;VLOOKUP(C4433,Customers!A:C,3,FALSE)</f>
        <v>Carl Wyatt</v>
      </c>
      <c r="J4433" t="str">
        <f>VLOOKUP(D4433,Products!A:C,2,FALSE)</f>
        <v>Maybe Clothing</v>
      </c>
      <c r="K4433" t="str">
        <f>VLOOKUP(D4433,Products!A:C,3,FALSE)</f>
        <v>Fashion</v>
      </c>
      <c r="L4433" t="str">
        <f>VLOOKUP(E4433,Stores!A:B,2,FALSE)</f>
        <v>MegaMart Johnmouth</v>
      </c>
      <c r="M4433">
        <f>VLOOKUP(D4433,Products!A:E,5,FALSE)</f>
        <v>453.62</v>
      </c>
      <c r="N4433" s="5">
        <f t="shared" si="69"/>
        <v>1814.48</v>
      </c>
    </row>
    <row r="4434" spans="1:14" x14ac:dyDescent="0.3">
      <c r="A4434" t="s">
        <v>5290</v>
      </c>
      <c r="B4434" s="2">
        <v>45512</v>
      </c>
      <c r="C4434" t="s">
        <v>680</v>
      </c>
      <c r="D4434" t="s">
        <v>806</v>
      </c>
      <c r="E4434" t="s">
        <v>831</v>
      </c>
      <c r="F4434">
        <v>4</v>
      </c>
      <c r="G4434">
        <v>0.05</v>
      </c>
      <c r="H4434" t="s">
        <v>861</v>
      </c>
      <c r="I4434" t="str">
        <f>VLOOKUP(C4434,Customers!A:C,2,FALSE)&amp;" "&amp;VLOOKUP(C4434,Customers!A:C,3,FALSE)</f>
        <v>Donald Meza</v>
      </c>
      <c r="J4434" t="str">
        <f>VLOOKUP(D4434,Products!A:C,2,FALSE)</f>
        <v>Piece Headphones</v>
      </c>
      <c r="K4434" t="str">
        <f>VLOOKUP(D4434,Products!A:C,3,FALSE)</f>
        <v>Electronics</v>
      </c>
      <c r="L4434" t="str">
        <f>VLOOKUP(E4434,Stores!A:B,2,FALSE)</f>
        <v>MegaMart Jimenezborough</v>
      </c>
      <c r="M4434">
        <f>VLOOKUP(D4434,Products!A:E,5,FALSE)</f>
        <v>1745.61</v>
      </c>
      <c r="N4434" s="5">
        <f t="shared" si="69"/>
        <v>6633.3179999999993</v>
      </c>
    </row>
    <row r="4435" spans="1:14" x14ac:dyDescent="0.3">
      <c r="A4435" t="s">
        <v>5291</v>
      </c>
      <c r="B4435" s="2">
        <v>45530</v>
      </c>
      <c r="C4435" t="s">
        <v>97</v>
      </c>
      <c r="D4435" t="s">
        <v>788</v>
      </c>
      <c r="E4435" t="s">
        <v>831</v>
      </c>
      <c r="F4435">
        <v>2</v>
      </c>
      <c r="G4435">
        <v>0.15</v>
      </c>
      <c r="H4435" t="s">
        <v>865</v>
      </c>
      <c r="I4435" t="str">
        <f>VLOOKUP(C4435,Customers!A:C,2,FALSE)&amp;" "&amp;VLOOKUP(C4435,Customers!A:C,3,FALSE)</f>
        <v>Molly Murray</v>
      </c>
      <c r="J4435" t="str">
        <f>VLOOKUP(D4435,Products!A:C,2,FALSE)</f>
        <v>Foot Snacks</v>
      </c>
      <c r="K4435" t="str">
        <f>VLOOKUP(D4435,Products!A:C,3,FALSE)</f>
        <v>Groceries</v>
      </c>
      <c r="L4435" t="str">
        <f>VLOOKUP(E4435,Stores!A:B,2,FALSE)</f>
        <v>MegaMart Jimenezborough</v>
      </c>
      <c r="M4435">
        <f>VLOOKUP(D4435,Products!A:E,5,FALSE)</f>
        <v>1095.72</v>
      </c>
      <c r="N4435" s="5">
        <f t="shared" si="69"/>
        <v>1862.7239999999999</v>
      </c>
    </row>
    <row r="4436" spans="1:14" x14ac:dyDescent="0.3">
      <c r="A4436" t="s">
        <v>5292</v>
      </c>
      <c r="B4436" s="2">
        <v>45895</v>
      </c>
      <c r="C4436" t="s">
        <v>673</v>
      </c>
      <c r="D4436" t="s">
        <v>755</v>
      </c>
      <c r="E4436" t="s">
        <v>846</v>
      </c>
      <c r="F4436">
        <v>4</v>
      </c>
      <c r="G4436">
        <v>0</v>
      </c>
      <c r="H4436" t="s">
        <v>858</v>
      </c>
      <c r="I4436" t="str">
        <f>VLOOKUP(C4436,Customers!A:C,2,FALSE)&amp;" "&amp;VLOOKUP(C4436,Customers!A:C,3,FALSE)</f>
        <v>Karen Quinn</v>
      </c>
      <c r="J4436" t="str">
        <f>VLOOKUP(D4436,Products!A:C,2,FALSE)</f>
        <v>House Accessories</v>
      </c>
      <c r="K4436" t="str">
        <f>VLOOKUP(D4436,Products!A:C,3,FALSE)</f>
        <v>Fashion</v>
      </c>
      <c r="L4436" t="str">
        <f>VLOOKUP(E4436,Stores!A:B,2,FALSE)</f>
        <v>MegaMart Johnmouth</v>
      </c>
      <c r="M4436">
        <f>VLOOKUP(D4436,Products!A:E,5,FALSE)</f>
        <v>1858.75</v>
      </c>
      <c r="N4436" s="5">
        <f t="shared" si="69"/>
        <v>7435</v>
      </c>
    </row>
    <row r="4437" spans="1:14" x14ac:dyDescent="0.3">
      <c r="A4437" t="s">
        <v>5293</v>
      </c>
      <c r="B4437" s="2">
        <v>45275</v>
      </c>
      <c r="C4437" t="s">
        <v>467</v>
      </c>
      <c r="D4437" t="s">
        <v>718</v>
      </c>
      <c r="E4437" t="s">
        <v>835</v>
      </c>
      <c r="F4437">
        <v>2</v>
      </c>
      <c r="G4437">
        <v>0</v>
      </c>
      <c r="H4437" t="s">
        <v>865</v>
      </c>
      <c r="I4437" t="str">
        <f>VLOOKUP(C4437,Customers!A:C,2,FALSE)&amp;" "&amp;VLOOKUP(C4437,Customers!A:C,3,FALSE)</f>
        <v>John Allen</v>
      </c>
      <c r="J4437" t="str">
        <f>VLOOKUP(D4437,Products!A:C,2,FALSE)</f>
        <v>Here Footwear</v>
      </c>
      <c r="K4437" t="str">
        <f>VLOOKUP(D4437,Products!A:C,3,FALSE)</f>
        <v>Fashion</v>
      </c>
      <c r="L4437" t="str">
        <f>VLOOKUP(E4437,Stores!A:B,2,FALSE)</f>
        <v>MegaMart Peckmouth</v>
      </c>
      <c r="M4437">
        <f>VLOOKUP(D4437,Products!A:E,5,FALSE)</f>
        <v>337.63</v>
      </c>
      <c r="N4437" s="5">
        <f t="shared" si="69"/>
        <v>675.26</v>
      </c>
    </row>
    <row r="4438" spans="1:14" x14ac:dyDescent="0.3">
      <c r="A4438" t="s">
        <v>5294</v>
      </c>
      <c r="B4438" s="2">
        <v>45463</v>
      </c>
      <c r="C4438" t="s">
        <v>247</v>
      </c>
      <c r="D4438" t="s">
        <v>722</v>
      </c>
      <c r="E4438" t="s">
        <v>839</v>
      </c>
      <c r="F4438">
        <v>3</v>
      </c>
      <c r="G4438">
        <v>0.15</v>
      </c>
      <c r="H4438" t="s">
        <v>865</v>
      </c>
      <c r="I4438" t="str">
        <f>VLOOKUP(C4438,Customers!A:C,2,FALSE)&amp;" "&amp;VLOOKUP(C4438,Customers!A:C,3,FALSE)</f>
        <v>Scott Duke</v>
      </c>
      <c r="J4438" t="str">
        <f>VLOOKUP(D4438,Products!A:C,2,FALSE)</f>
        <v>Four Accessories</v>
      </c>
      <c r="K4438" t="str">
        <f>VLOOKUP(D4438,Products!A:C,3,FALSE)</f>
        <v>Fashion</v>
      </c>
      <c r="L4438" t="str">
        <f>VLOOKUP(E4438,Stores!A:B,2,FALSE)</f>
        <v>MegaMart New Michele</v>
      </c>
      <c r="M4438">
        <f>VLOOKUP(D4438,Products!A:E,5,FALSE)</f>
        <v>1853.77</v>
      </c>
      <c r="N4438" s="5">
        <f t="shared" si="69"/>
        <v>4727.1134999999995</v>
      </c>
    </row>
    <row r="4439" spans="1:14" x14ac:dyDescent="0.3">
      <c r="A4439" t="s">
        <v>5295</v>
      </c>
      <c r="B4439" s="2">
        <v>45472</v>
      </c>
      <c r="C4439" t="s">
        <v>467</v>
      </c>
      <c r="D4439" t="s">
        <v>757</v>
      </c>
      <c r="E4439" t="s">
        <v>831</v>
      </c>
      <c r="F4439">
        <v>5</v>
      </c>
      <c r="G4439">
        <v>0.05</v>
      </c>
      <c r="H4439" t="s">
        <v>865</v>
      </c>
      <c r="I4439" t="str">
        <f>VLOOKUP(C4439,Customers!A:C,2,FALSE)&amp;" "&amp;VLOOKUP(C4439,Customers!A:C,3,FALSE)</f>
        <v>John Allen</v>
      </c>
      <c r="J4439" t="str">
        <f>VLOOKUP(D4439,Products!A:C,2,FALSE)</f>
        <v>Find Headphones</v>
      </c>
      <c r="K4439" t="str">
        <f>VLOOKUP(D4439,Products!A:C,3,FALSE)</f>
        <v>Electronics</v>
      </c>
      <c r="L4439" t="str">
        <f>VLOOKUP(E4439,Stores!A:B,2,FALSE)</f>
        <v>MegaMart Jimenezborough</v>
      </c>
      <c r="M4439">
        <f>VLOOKUP(D4439,Products!A:E,5,FALSE)</f>
        <v>1246.1099999999999</v>
      </c>
      <c r="N4439" s="5">
        <f t="shared" si="69"/>
        <v>5919.0224999999991</v>
      </c>
    </row>
    <row r="4440" spans="1:14" x14ac:dyDescent="0.3">
      <c r="A4440" t="s">
        <v>5296</v>
      </c>
      <c r="B4440" s="2">
        <v>45790</v>
      </c>
      <c r="C4440" t="s">
        <v>452</v>
      </c>
      <c r="D4440" t="s">
        <v>780</v>
      </c>
      <c r="E4440" t="s">
        <v>831</v>
      </c>
      <c r="F4440">
        <v>4</v>
      </c>
      <c r="G4440">
        <v>0.1</v>
      </c>
      <c r="H4440" t="s">
        <v>855</v>
      </c>
      <c r="I4440" t="str">
        <f>VLOOKUP(C4440,Customers!A:C,2,FALSE)&amp;" "&amp;VLOOKUP(C4440,Customers!A:C,3,FALSE)</f>
        <v>Amy Smith</v>
      </c>
      <c r="J4440" t="str">
        <f>VLOOKUP(D4440,Products!A:C,2,FALSE)</f>
        <v>Hospital Smartphone</v>
      </c>
      <c r="K4440" t="str">
        <f>VLOOKUP(D4440,Products!A:C,3,FALSE)</f>
        <v>Electronics</v>
      </c>
      <c r="L4440" t="str">
        <f>VLOOKUP(E4440,Stores!A:B,2,FALSE)</f>
        <v>MegaMart Jimenezborough</v>
      </c>
      <c r="M4440">
        <f>VLOOKUP(D4440,Products!A:E,5,FALSE)</f>
        <v>1272.23</v>
      </c>
      <c r="N4440" s="5">
        <f t="shared" si="69"/>
        <v>4580.0280000000002</v>
      </c>
    </row>
    <row r="4441" spans="1:14" x14ac:dyDescent="0.3">
      <c r="A4441" t="s">
        <v>5297</v>
      </c>
      <c r="B4441" s="2">
        <v>45825</v>
      </c>
      <c r="C4441" t="s">
        <v>241</v>
      </c>
      <c r="D4441" t="s">
        <v>816</v>
      </c>
      <c r="E4441" t="s">
        <v>842</v>
      </c>
      <c r="F4441">
        <v>1</v>
      </c>
      <c r="G4441">
        <v>0.05</v>
      </c>
      <c r="H4441" t="s">
        <v>861</v>
      </c>
      <c r="I4441" t="str">
        <f>VLOOKUP(C4441,Customers!A:C,2,FALSE)&amp;" "&amp;VLOOKUP(C4441,Customers!A:C,3,FALSE)</f>
        <v>Michael Johnson</v>
      </c>
      <c r="J4441" t="str">
        <f>VLOOKUP(D4441,Products!A:C,2,FALSE)</f>
        <v>Set Dairy</v>
      </c>
      <c r="K4441" t="str">
        <f>VLOOKUP(D4441,Products!A:C,3,FALSE)</f>
        <v>Groceries</v>
      </c>
      <c r="L4441" t="str">
        <f>VLOOKUP(E4441,Stores!A:B,2,FALSE)</f>
        <v>MegaMart Brianahaven</v>
      </c>
      <c r="M4441">
        <f>VLOOKUP(D4441,Products!A:E,5,FALSE)</f>
        <v>1879.08</v>
      </c>
      <c r="N4441" s="5">
        <f t="shared" si="69"/>
        <v>1785.1259999999997</v>
      </c>
    </row>
    <row r="4442" spans="1:14" x14ac:dyDescent="0.3">
      <c r="A4442" t="s">
        <v>5298</v>
      </c>
      <c r="B4442" s="2">
        <v>45278</v>
      </c>
      <c r="C4442" t="s">
        <v>687</v>
      </c>
      <c r="D4442" t="s">
        <v>739</v>
      </c>
      <c r="E4442" t="s">
        <v>839</v>
      </c>
      <c r="F4442">
        <v>3</v>
      </c>
      <c r="G4442">
        <v>0.05</v>
      </c>
      <c r="H4442" t="s">
        <v>861</v>
      </c>
      <c r="I4442" t="str">
        <f>VLOOKUP(C4442,Customers!A:C,2,FALSE)&amp;" "&amp;VLOOKUP(C4442,Customers!A:C,3,FALSE)</f>
        <v>James Mitchell</v>
      </c>
      <c r="J4442" t="str">
        <f>VLOOKUP(D4442,Products!A:C,2,FALSE)</f>
        <v>Step Smartphone</v>
      </c>
      <c r="K4442" t="str">
        <f>VLOOKUP(D4442,Products!A:C,3,FALSE)</f>
        <v>Electronics</v>
      </c>
      <c r="L4442" t="str">
        <f>VLOOKUP(E4442,Stores!A:B,2,FALSE)</f>
        <v>MegaMart New Michele</v>
      </c>
      <c r="M4442">
        <f>VLOOKUP(D4442,Products!A:E,5,FALSE)</f>
        <v>1194.1199999999999</v>
      </c>
      <c r="N4442" s="5">
        <f t="shared" si="69"/>
        <v>3403.2419999999997</v>
      </c>
    </row>
    <row r="4443" spans="1:14" x14ac:dyDescent="0.3">
      <c r="A4443" t="s">
        <v>5299</v>
      </c>
      <c r="B4443" s="2">
        <v>45521</v>
      </c>
      <c r="C4443" t="s">
        <v>351</v>
      </c>
      <c r="D4443" t="s">
        <v>808</v>
      </c>
      <c r="E4443" t="s">
        <v>835</v>
      </c>
      <c r="F4443">
        <v>1</v>
      </c>
      <c r="G4443">
        <v>0.15</v>
      </c>
      <c r="H4443" t="s">
        <v>865</v>
      </c>
      <c r="I4443" t="str">
        <f>VLOOKUP(C4443,Customers!A:C,2,FALSE)&amp;" "&amp;VLOOKUP(C4443,Customers!A:C,3,FALSE)</f>
        <v>Stanley Brown</v>
      </c>
      <c r="J4443" t="str">
        <f>VLOOKUP(D4443,Products!A:C,2,FALSE)</f>
        <v>Present Television</v>
      </c>
      <c r="K4443" t="str">
        <f>VLOOKUP(D4443,Products!A:C,3,FALSE)</f>
        <v>Electronics</v>
      </c>
      <c r="L4443" t="str">
        <f>VLOOKUP(E4443,Stores!A:B,2,FALSE)</f>
        <v>MegaMart Peckmouth</v>
      </c>
      <c r="M4443">
        <f>VLOOKUP(D4443,Products!A:E,5,FALSE)</f>
        <v>1635.01</v>
      </c>
      <c r="N4443" s="5">
        <f t="shared" si="69"/>
        <v>1389.7584999999999</v>
      </c>
    </row>
    <row r="4444" spans="1:14" x14ac:dyDescent="0.3">
      <c r="A4444" t="s">
        <v>5300</v>
      </c>
      <c r="B4444" s="2">
        <v>45283</v>
      </c>
      <c r="C4444" t="s">
        <v>144</v>
      </c>
      <c r="D4444" t="s">
        <v>804</v>
      </c>
      <c r="E4444" t="s">
        <v>839</v>
      </c>
      <c r="F4444">
        <v>2</v>
      </c>
      <c r="G4444">
        <v>0.05</v>
      </c>
      <c r="H4444" t="s">
        <v>855</v>
      </c>
      <c r="I4444" t="str">
        <f>VLOOKUP(C4444,Customers!A:C,2,FALSE)&amp;" "&amp;VLOOKUP(C4444,Customers!A:C,3,FALSE)</f>
        <v>Miranda Nelson</v>
      </c>
      <c r="J4444" t="str">
        <f>VLOOKUP(D4444,Products!A:C,2,FALSE)</f>
        <v>Church Clothing</v>
      </c>
      <c r="K4444" t="str">
        <f>VLOOKUP(D4444,Products!A:C,3,FALSE)</f>
        <v>Fashion</v>
      </c>
      <c r="L4444" t="str">
        <f>VLOOKUP(E4444,Stores!A:B,2,FALSE)</f>
        <v>MegaMart New Michele</v>
      </c>
      <c r="M4444">
        <f>VLOOKUP(D4444,Products!A:E,5,FALSE)</f>
        <v>540.94000000000005</v>
      </c>
      <c r="N4444" s="5">
        <f t="shared" si="69"/>
        <v>1027.7860000000001</v>
      </c>
    </row>
    <row r="4445" spans="1:14" x14ac:dyDescent="0.3">
      <c r="A4445" t="s">
        <v>5301</v>
      </c>
      <c r="B4445" s="2">
        <v>45249</v>
      </c>
      <c r="C4445" t="s">
        <v>683</v>
      </c>
      <c r="D4445" t="s">
        <v>734</v>
      </c>
      <c r="E4445" t="s">
        <v>831</v>
      </c>
      <c r="F4445">
        <v>2</v>
      </c>
      <c r="G4445">
        <v>0</v>
      </c>
      <c r="H4445" t="s">
        <v>855</v>
      </c>
      <c r="I4445" t="str">
        <f>VLOOKUP(C4445,Customers!A:C,2,FALSE)&amp;" "&amp;VLOOKUP(C4445,Customers!A:C,3,FALSE)</f>
        <v>Ann West</v>
      </c>
      <c r="J4445" t="str">
        <f>VLOOKUP(D4445,Products!A:C,2,FALSE)</f>
        <v>Recognize Footwear</v>
      </c>
      <c r="K4445" t="str">
        <f>VLOOKUP(D4445,Products!A:C,3,FALSE)</f>
        <v>Fashion</v>
      </c>
      <c r="L4445" t="str">
        <f>VLOOKUP(E4445,Stores!A:B,2,FALSE)</f>
        <v>MegaMart Jimenezborough</v>
      </c>
      <c r="M4445">
        <f>VLOOKUP(D4445,Products!A:E,5,FALSE)</f>
        <v>109.78</v>
      </c>
      <c r="N4445" s="5">
        <f t="shared" si="69"/>
        <v>219.56</v>
      </c>
    </row>
    <row r="4446" spans="1:14" x14ac:dyDescent="0.3">
      <c r="A4446" t="s">
        <v>5302</v>
      </c>
      <c r="B4446" s="2">
        <v>45599</v>
      </c>
      <c r="C4446" t="s">
        <v>298</v>
      </c>
      <c r="D4446" t="s">
        <v>824</v>
      </c>
      <c r="E4446" t="s">
        <v>842</v>
      </c>
      <c r="F4446">
        <v>4</v>
      </c>
      <c r="G4446">
        <v>0.05</v>
      </c>
      <c r="H4446" t="s">
        <v>858</v>
      </c>
      <c r="I4446" t="str">
        <f>VLOOKUP(C4446,Customers!A:C,2,FALSE)&amp;" "&amp;VLOOKUP(C4446,Customers!A:C,3,FALSE)</f>
        <v>Donald Marsh</v>
      </c>
      <c r="J4446" t="str">
        <f>VLOOKUP(D4446,Products!A:C,2,FALSE)</f>
        <v>Possible Watches</v>
      </c>
      <c r="K4446" t="str">
        <f>VLOOKUP(D4446,Products!A:C,3,FALSE)</f>
        <v>Fashion</v>
      </c>
      <c r="L4446" t="str">
        <f>VLOOKUP(E4446,Stores!A:B,2,FALSE)</f>
        <v>MegaMart Brianahaven</v>
      </c>
      <c r="M4446">
        <f>VLOOKUP(D4446,Products!A:E,5,FALSE)</f>
        <v>388.26</v>
      </c>
      <c r="N4446" s="5">
        <f t="shared" si="69"/>
        <v>1475.3879999999999</v>
      </c>
    </row>
    <row r="4447" spans="1:14" x14ac:dyDescent="0.3">
      <c r="A4447" t="s">
        <v>5303</v>
      </c>
      <c r="B4447" s="2">
        <v>45322</v>
      </c>
      <c r="C4447" t="s">
        <v>567</v>
      </c>
      <c r="D4447" t="s">
        <v>812</v>
      </c>
      <c r="E4447" t="s">
        <v>831</v>
      </c>
      <c r="F4447">
        <v>2</v>
      </c>
      <c r="G4447">
        <v>0.05</v>
      </c>
      <c r="H4447" t="s">
        <v>858</v>
      </c>
      <c r="I4447" t="str">
        <f>VLOOKUP(C4447,Customers!A:C,2,FALSE)&amp;" "&amp;VLOOKUP(C4447,Customers!A:C,3,FALSE)</f>
        <v>Crystal Aguirre</v>
      </c>
      <c r="J4447" t="str">
        <f>VLOOKUP(D4447,Products!A:C,2,FALSE)</f>
        <v>Soon Accessories</v>
      </c>
      <c r="K4447" t="str">
        <f>VLOOKUP(D4447,Products!A:C,3,FALSE)</f>
        <v>Fashion</v>
      </c>
      <c r="L4447" t="str">
        <f>VLOOKUP(E4447,Stores!A:B,2,FALSE)</f>
        <v>MegaMart Jimenezborough</v>
      </c>
      <c r="M4447">
        <f>VLOOKUP(D4447,Products!A:E,5,FALSE)</f>
        <v>564.41999999999996</v>
      </c>
      <c r="N4447" s="5">
        <f t="shared" si="69"/>
        <v>1072.3979999999999</v>
      </c>
    </row>
    <row r="4448" spans="1:14" x14ac:dyDescent="0.3">
      <c r="A4448" t="s">
        <v>5304</v>
      </c>
      <c r="B4448" s="2">
        <v>45758</v>
      </c>
      <c r="C4448" t="s">
        <v>589</v>
      </c>
      <c r="D4448" t="s">
        <v>824</v>
      </c>
      <c r="E4448" t="s">
        <v>839</v>
      </c>
      <c r="F4448">
        <v>3</v>
      </c>
      <c r="G4448">
        <v>0</v>
      </c>
      <c r="H4448" t="s">
        <v>861</v>
      </c>
      <c r="I4448" t="str">
        <f>VLOOKUP(C4448,Customers!A:C,2,FALSE)&amp;" "&amp;VLOOKUP(C4448,Customers!A:C,3,FALSE)</f>
        <v>Tanya Mueller</v>
      </c>
      <c r="J4448" t="str">
        <f>VLOOKUP(D4448,Products!A:C,2,FALSE)</f>
        <v>Possible Watches</v>
      </c>
      <c r="K4448" t="str">
        <f>VLOOKUP(D4448,Products!A:C,3,FALSE)</f>
        <v>Fashion</v>
      </c>
      <c r="L4448" t="str">
        <f>VLOOKUP(E4448,Stores!A:B,2,FALSE)</f>
        <v>MegaMart New Michele</v>
      </c>
      <c r="M4448">
        <f>VLOOKUP(D4448,Products!A:E,5,FALSE)</f>
        <v>388.26</v>
      </c>
      <c r="N4448" s="5">
        <f t="shared" si="69"/>
        <v>1164.78</v>
      </c>
    </row>
    <row r="4449" spans="1:14" x14ac:dyDescent="0.3">
      <c r="A4449" t="s">
        <v>5305</v>
      </c>
      <c r="B4449" s="2">
        <v>45392</v>
      </c>
      <c r="C4449" t="s">
        <v>134</v>
      </c>
      <c r="D4449" t="s">
        <v>750</v>
      </c>
      <c r="E4449" t="s">
        <v>842</v>
      </c>
      <c r="F4449">
        <v>4</v>
      </c>
      <c r="G4449">
        <v>0</v>
      </c>
      <c r="H4449" t="s">
        <v>858</v>
      </c>
      <c r="I4449" t="str">
        <f>VLOOKUP(C4449,Customers!A:C,2,FALSE)&amp;" "&amp;VLOOKUP(C4449,Customers!A:C,3,FALSE)</f>
        <v>Kari Miller</v>
      </c>
      <c r="J4449" t="str">
        <f>VLOOKUP(D4449,Products!A:C,2,FALSE)</f>
        <v>Add Clothing</v>
      </c>
      <c r="K4449" t="str">
        <f>VLOOKUP(D4449,Products!A:C,3,FALSE)</f>
        <v>Fashion</v>
      </c>
      <c r="L4449" t="str">
        <f>VLOOKUP(E4449,Stores!A:B,2,FALSE)</f>
        <v>MegaMart Brianahaven</v>
      </c>
      <c r="M4449">
        <f>VLOOKUP(D4449,Products!A:E,5,FALSE)</f>
        <v>1342.75</v>
      </c>
      <c r="N4449" s="5">
        <f t="shared" si="69"/>
        <v>5371</v>
      </c>
    </row>
    <row r="4450" spans="1:14" x14ac:dyDescent="0.3">
      <c r="A4450" t="s">
        <v>5306</v>
      </c>
      <c r="B4450" s="2">
        <v>45434</v>
      </c>
      <c r="C4450" t="s">
        <v>556</v>
      </c>
      <c r="D4450" t="s">
        <v>790</v>
      </c>
      <c r="E4450" t="s">
        <v>839</v>
      </c>
      <c r="F4450">
        <v>5</v>
      </c>
      <c r="G4450">
        <v>0</v>
      </c>
      <c r="H4450" t="s">
        <v>861</v>
      </c>
      <c r="I4450" t="str">
        <f>VLOOKUP(C4450,Customers!A:C,2,FALSE)&amp;" "&amp;VLOOKUP(C4450,Customers!A:C,3,FALSE)</f>
        <v>Jill Mcconnell</v>
      </c>
      <c r="J4450" t="str">
        <f>VLOOKUP(D4450,Products!A:C,2,FALSE)</f>
        <v>Difficult Vegetables</v>
      </c>
      <c r="K4450" t="str">
        <f>VLOOKUP(D4450,Products!A:C,3,FALSE)</f>
        <v>Groceries</v>
      </c>
      <c r="L4450" t="str">
        <f>VLOOKUP(E4450,Stores!A:B,2,FALSE)</f>
        <v>MegaMart New Michele</v>
      </c>
      <c r="M4450">
        <f>VLOOKUP(D4450,Products!A:E,5,FALSE)</f>
        <v>304.70999999999998</v>
      </c>
      <c r="N4450" s="5">
        <f t="shared" si="69"/>
        <v>1523.55</v>
      </c>
    </row>
    <row r="4451" spans="1:14" x14ac:dyDescent="0.3">
      <c r="A4451" t="s">
        <v>5307</v>
      </c>
      <c r="B4451" s="2">
        <v>45621</v>
      </c>
      <c r="C4451" t="s">
        <v>266</v>
      </c>
      <c r="D4451" t="s">
        <v>798</v>
      </c>
      <c r="E4451" t="s">
        <v>839</v>
      </c>
      <c r="F4451">
        <v>3</v>
      </c>
      <c r="G4451">
        <v>0.1</v>
      </c>
      <c r="H4451" t="s">
        <v>865</v>
      </c>
      <c r="I4451" t="str">
        <f>VLOOKUP(C4451,Customers!A:C,2,FALSE)&amp;" "&amp;VLOOKUP(C4451,Customers!A:C,3,FALSE)</f>
        <v>Eric Bryan</v>
      </c>
      <c r="J4451" t="str">
        <f>VLOOKUP(D4451,Products!A:C,2,FALSE)</f>
        <v>New Watches</v>
      </c>
      <c r="K4451" t="str">
        <f>VLOOKUP(D4451,Products!A:C,3,FALSE)</f>
        <v>Fashion</v>
      </c>
      <c r="L4451" t="str">
        <f>VLOOKUP(E4451,Stores!A:B,2,FALSE)</f>
        <v>MegaMart New Michele</v>
      </c>
      <c r="M4451">
        <f>VLOOKUP(D4451,Products!A:E,5,FALSE)</f>
        <v>1501.46</v>
      </c>
      <c r="N4451" s="5">
        <f t="shared" si="69"/>
        <v>4053.942</v>
      </c>
    </row>
    <row r="4452" spans="1:14" x14ac:dyDescent="0.3">
      <c r="A4452" t="s">
        <v>5308</v>
      </c>
      <c r="B4452" s="2">
        <v>45676</v>
      </c>
      <c r="C4452" t="s">
        <v>368</v>
      </c>
      <c r="D4452" t="s">
        <v>764</v>
      </c>
      <c r="E4452" t="s">
        <v>831</v>
      </c>
      <c r="F4452">
        <v>2</v>
      </c>
      <c r="G4452">
        <v>0</v>
      </c>
      <c r="H4452" t="s">
        <v>865</v>
      </c>
      <c r="I4452" t="str">
        <f>VLOOKUP(C4452,Customers!A:C,2,FALSE)&amp;" "&amp;VLOOKUP(C4452,Customers!A:C,3,FALSE)</f>
        <v>Lisa Vega</v>
      </c>
      <c r="J4452" t="str">
        <f>VLOOKUP(D4452,Products!A:C,2,FALSE)</f>
        <v>Simple Accessories</v>
      </c>
      <c r="K4452" t="str">
        <f>VLOOKUP(D4452,Products!A:C,3,FALSE)</f>
        <v>Fashion</v>
      </c>
      <c r="L4452" t="str">
        <f>VLOOKUP(E4452,Stores!A:B,2,FALSE)</f>
        <v>MegaMart Jimenezborough</v>
      </c>
      <c r="M4452">
        <f>VLOOKUP(D4452,Products!A:E,5,FALSE)</f>
        <v>323.92</v>
      </c>
      <c r="N4452" s="5">
        <f t="shared" si="69"/>
        <v>647.84</v>
      </c>
    </row>
    <row r="4453" spans="1:14" x14ac:dyDescent="0.3">
      <c r="A4453" t="s">
        <v>5309</v>
      </c>
      <c r="B4453" s="2">
        <v>45421</v>
      </c>
      <c r="C4453" t="s">
        <v>536</v>
      </c>
      <c r="D4453" t="s">
        <v>792</v>
      </c>
      <c r="E4453" t="s">
        <v>831</v>
      </c>
      <c r="F4453">
        <v>3</v>
      </c>
      <c r="G4453">
        <v>0</v>
      </c>
      <c r="H4453" t="s">
        <v>861</v>
      </c>
      <c r="I4453" t="str">
        <f>VLOOKUP(C4453,Customers!A:C,2,FALSE)&amp;" "&amp;VLOOKUP(C4453,Customers!A:C,3,FALSE)</f>
        <v>John Foster</v>
      </c>
      <c r="J4453" t="str">
        <f>VLOOKUP(D4453,Products!A:C,2,FALSE)</f>
        <v>Beat Accessories</v>
      </c>
      <c r="K4453" t="str">
        <f>VLOOKUP(D4453,Products!A:C,3,FALSE)</f>
        <v>Fashion</v>
      </c>
      <c r="L4453" t="str">
        <f>VLOOKUP(E4453,Stores!A:B,2,FALSE)</f>
        <v>MegaMart Jimenezborough</v>
      </c>
      <c r="M4453">
        <f>VLOOKUP(D4453,Products!A:E,5,FALSE)</f>
        <v>1798.97</v>
      </c>
      <c r="N4453" s="5">
        <f t="shared" si="69"/>
        <v>5396.91</v>
      </c>
    </row>
    <row r="4454" spans="1:14" x14ac:dyDescent="0.3">
      <c r="A4454" t="s">
        <v>5310</v>
      </c>
      <c r="B4454" s="2">
        <v>45770</v>
      </c>
      <c r="C4454" t="s">
        <v>415</v>
      </c>
      <c r="D4454" t="s">
        <v>736</v>
      </c>
      <c r="E4454" t="s">
        <v>846</v>
      </c>
      <c r="F4454">
        <v>4</v>
      </c>
      <c r="G4454">
        <v>0.1</v>
      </c>
      <c r="H4454" t="s">
        <v>858</v>
      </c>
      <c r="I4454" t="str">
        <f>VLOOKUP(C4454,Customers!A:C,2,FALSE)&amp;" "&amp;VLOOKUP(C4454,Customers!A:C,3,FALSE)</f>
        <v>Dylan Booker</v>
      </c>
      <c r="J4454" t="str">
        <f>VLOOKUP(D4454,Products!A:C,2,FALSE)</f>
        <v>Us Snacks</v>
      </c>
      <c r="K4454" t="str">
        <f>VLOOKUP(D4454,Products!A:C,3,FALSE)</f>
        <v>Groceries</v>
      </c>
      <c r="L4454" t="str">
        <f>VLOOKUP(E4454,Stores!A:B,2,FALSE)</f>
        <v>MegaMart Johnmouth</v>
      </c>
      <c r="M4454">
        <f>VLOOKUP(D4454,Products!A:E,5,FALSE)</f>
        <v>123.19</v>
      </c>
      <c r="N4454" s="5">
        <f t="shared" si="69"/>
        <v>443.48399999999998</v>
      </c>
    </row>
    <row r="4455" spans="1:14" x14ac:dyDescent="0.3">
      <c r="A4455" t="s">
        <v>5311</v>
      </c>
      <c r="B4455" s="2">
        <v>45318</v>
      </c>
      <c r="C4455" t="s">
        <v>250</v>
      </c>
      <c r="D4455" t="s">
        <v>790</v>
      </c>
      <c r="E4455" t="s">
        <v>842</v>
      </c>
      <c r="F4455">
        <v>5</v>
      </c>
      <c r="G4455">
        <v>0.15</v>
      </c>
      <c r="H4455" t="s">
        <v>858</v>
      </c>
      <c r="I4455" t="str">
        <f>VLOOKUP(C4455,Customers!A:C,2,FALSE)&amp;" "&amp;VLOOKUP(C4455,Customers!A:C,3,FALSE)</f>
        <v>Jason Jenkins</v>
      </c>
      <c r="J4455" t="str">
        <f>VLOOKUP(D4455,Products!A:C,2,FALSE)</f>
        <v>Difficult Vegetables</v>
      </c>
      <c r="K4455" t="str">
        <f>VLOOKUP(D4455,Products!A:C,3,FALSE)</f>
        <v>Groceries</v>
      </c>
      <c r="L4455" t="str">
        <f>VLOOKUP(E4455,Stores!A:B,2,FALSE)</f>
        <v>MegaMart Brianahaven</v>
      </c>
      <c r="M4455">
        <f>VLOOKUP(D4455,Products!A:E,5,FALSE)</f>
        <v>304.70999999999998</v>
      </c>
      <c r="N4455" s="5">
        <f t="shared" si="69"/>
        <v>1295.0174999999999</v>
      </c>
    </row>
    <row r="4456" spans="1:14" x14ac:dyDescent="0.3">
      <c r="A4456" t="s">
        <v>5312</v>
      </c>
      <c r="B4456" s="2">
        <v>45506</v>
      </c>
      <c r="C4456" t="s">
        <v>130</v>
      </c>
      <c r="D4456" t="s">
        <v>732</v>
      </c>
      <c r="E4456" t="s">
        <v>835</v>
      </c>
      <c r="F4456">
        <v>4</v>
      </c>
      <c r="G4456">
        <v>0.15</v>
      </c>
      <c r="H4456" t="s">
        <v>865</v>
      </c>
      <c r="I4456" t="str">
        <f>VLOOKUP(C4456,Customers!A:C,2,FALSE)&amp;" "&amp;VLOOKUP(C4456,Customers!A:C,3,FALSE)</f>
        <v>Jenny Beck</v>
      </c>
      <c r="J4456" t="str">
        <f>VLOOKUP(D4456,Products!A:C,2,FALSE)</f>
        <v>Understand Camera</v>
      </c>
      <c r="K4456" t="str">
        <f>VLOOKUP(D4456,Products!A:C,3,FALSE)</f>
        <v>Electronics</v>
      </c>
      <c r="L4456" t="str">
        <f>VLOOKUP(E4456,Stores!A:B,2,FALSE)</f>
        <v>MegaMart Peckmouth</v>
      </c>
      <c r="M4456">
        <f>VLOOKUP(D4456,Products!A:E,5,FALSE)</f>
        <v>1474.12</v>
      </c>
      <c r="N4456" s="5">
        <f t="shared" si="69"/>
        <v>5012.0079999999998</v>
      </c>
    </row>
    <row r="4457" spans="1:14" x14ac:dyDescent="0.3">
      <c r="A4457" t="s">
        <v>5313</v>
      </c>
      <c r="B4457" s="2">
        <v>45203</v>
      </c>
      <c r="C4457" t="s">
        <v>15</v>
      </c>
      <c r="D4457" t="s">
        <v>774</v>
      </c>
      <c r="E4457" t="s">
        <v>846</v>
      </c>
      <c r="F4457">
        <v>5</v>
      </c>
      <c r="G4457">
        <v>0.1</v>
      </c>
      <c r="H4457" t="s">
        <v>855</v>
      </c>
      <c r="I4457" t="str">
        <f>VLOOKUP(C4457,Customers!A:C,2,FALSE)&amp;" "&amp;VLOOKUP(C4457,Customers!A:C,3,FALSE)</f>
        <v>Carol Hays</v>
      </c>
      <c r="J4457" t="str">
        <f>VLOOKUP(D4457,Products!A:C,2,FALSE)</f>
        <v>Him Smartphone</v>
      </c>
      <c r="K4457" t="str">
        <f>VLOOKUP(D4457,Products!A:C,3,FALSE)</f>
        <v>Electronics</v>
      </c>
      <c r="L4457" t="str">
        <f>VLOOKUP(E4457,Stores!A:B,2,FALSE)</f>
        <v>MegaMart Johnmouth</v>
      </c>
      <c r="M4457">
        <f>VLOOKUP(D4457,Products!A:E,5,FALSE)</f>
        <v>1487.41</v>
      </c>
      <c r="N4457" s="5">
        <f t="shared" si="69"/>
        <v>6693.3450000000003</v>
      </c>
    </row>
    <row r="4458" spans="1:14" x14ac:dyDescent="0.3">
      <c r="A4458" t="s">
        <v>5314</v>
      </c>
      <c r="B4458" s="2">
        <v>45302</v>
      </c>
      <c r="C4458" t="s">
        <v>435</v>
      </c>
      <c r="D4458" t="s">
        <v>732</v>
      </c>
      <c r="E4458" t="s">
        <v>839</v>
      </c>
      <c r="F4458">
        <v>1</v>
      </c>
      <c r="G4458">
        <v>0.05</v>
      </c>
      <c r="H4458" t="s">
        <v>858</v>
      </c>
      <c r="I4458" t="str">
        <f>VLOOKUP(C4458,Customers!A:C,2,FALSE)&amp;" "&amp;VLOOKUP(C4458,Customers!A:C,3,FALSE)</f>
        <v>Timothy Beck</v>
      </c>
      <c r="J4458" t="str">
        <f>VLOOKUP(D4458,Products!A:C,2,FALSE)</f>
        <v>Understand Camera</v>
      </c>
      <c r="K4458" t="str">
        <f>VLOOKUP(D4458,Products!A:C,3,FALSE)</f>
        <v>Electronics</v>
      </c>
      <c r="L4458" t="str">
        <f>VLOOKUP(E4458,Stores!A:B,2,FALSE)</f>
        <v>MegaMart New Michele</v>
      </c>
      <c r="M4458">
        <f>VLOOKUP(D4458,Products!A:E,5,FALSE)</f>
        <v>1474.12</v>
      </c>
      <c r="N4458" s="5">
        <f t="shared" si="69"/>
        <v>1400.4139999999998</v>
      </c>
    </row>
    <row r="4459" spans="1:14" x14ac:dyDescent="0.3">
      <c r="A4459" t="s">
        <v>5315</v>
      </c>
      <c r="B4459" s="2">
        <v>45240</v>
      </c>
      <c r="C4459" t="s">
        <v>601</v>
      </c>
      <c r="D4459" t="s">
        <v>722</v>
      </c>
      <c r="E4459" t="s">
        <v>846</v>
      </c>
      <c r="F4459">
        <v>1</v>
      </c>
      <c r="G4459">
        <v>0</v>
      </c>
      <c r="H4459" t="s">
        <v>865</v>
      </c>
      <c r="I4459" t="str">
        <f>VLOOKUP(C4459,Customers!A:C,2,FALSE)&amp;" "&amp;VLOOKUP(C4459,Customers!A:C,3,FALSE)</f>
        <v>Travis Watson</v>
      </c>
      <c r="J4459" t="str">
        <f>VLOOKUP(D4459,Products!A:C,2,FALSE)</f>
        <v>Four Accessories</v>
      </c>
      <c r="K4459" t="str">
        <f>VLOOKUP(D4459,Products!A:C,3,FALSE)</f>
        <v>Fashion</v>
      </c>
      <c r="L4459" t="str">
        <f>VLOOKUP(E4459,Stores!A:B,2,FALSE)</f>
        <v>MegaMart Johnmouth</v>
      </c>
      <c r="M4459">
        <f>VLOOKUP(D4459,Products!A:E,5,FALSE)</f>
        <v>1853.77</v>
      </c>
      <c r="N4459" s="5">
        <f t="shared" si="69"/>
        <v>1853.77</v>
      </c>
    </row>
    <row r="4460" spans="1:14" x14ac:dyDescent="0.3">
      <c r="A4460" t="s">
        <v>5316</v>
      </c>
      <c r="B4460" s="2">
        <v>45688</v>
      </c>
      <c r="C4460" t="s">
        <v>464</v>
      </c>
      <c r="D4460" t="s">
        <v>761</v>
      </c>
      <c r="E4460" t="s">
        <v>839</v>
      </c>
      <c r="F4460">
        <v>5</v>
      </c>
      <c r="G4460">
        <v>0.05</v>
      </c>
      <c r="H4460" t="s">
        <v>865</v>
      </c>
      <c r="I4460" t="str">
        <f>VLOOKUP(C4460,Customers!A:C,2,FALSE)&amp;" "&amp;VLOOKUP(C4460,Customers!A:C,3,FALSE)</f>
        <v>Monique Johnson</v>
      </c>
      <c r="J4460" t="str">
        <f>VLOOKUP(D4460,Products!A:C,2,FALSE)</f>
        <v>Traditional Laptop</v>
      </c>
      <c r="K4460" t="str">
        <f>VLOOKUP(D4460,Products!A:C,3,FALSE)</f>
        <v>Electronics</v>
      </c>
      <c r="L4460" t="str">
        <f>VLOOKUP(E4460,Stores!A:B,2,FALSE)</f>
        <v>MegaMart New Michele</v>
      </c>
      <c r="M4460">
        <f>VLOOKUP(D4460,Products!A:E,5,FALSE)</f>
        <v>1762.92</v>
      </c>
      <c r="N4460" s="5">
        <f t="shared" si="69"/>
        <v>8373.8700000000008</v>
      </c>
    </row>
    <row r="4461" spans="1:14" x14ac:dyDescent="0.3">
      <c r="A4461" t="s">
        <v>5317</v>
      </c>
      <c r="B4461" s="2">
        <v>45793</v>
      </c>
      <c r="C4461" t="s">
        <v>419</v>
      </c>
      <c r="D4461" t="s">
        <v>782</v>
      </c>
      <c r="E4461" t="s">
        <v>839</v>
      </c>
      <c r="F4461">
        <v>1</v>
      </c>
      <c r="G4461">
        <v>0</v>
      </c>
      <c r="H4461" t="s">
        <v>858</v>
      </c>
      <c r="I4461" t="str">
        <f>VLOOKUP(C4461,Customers!A:C,2,FALSE)&amp;" "&amp;VLOOKUP(C4461,Customers!A:C,3,FALSE)</f>
        <v>Jeffrey Smith</v>
      </c>
      <c r="J4461" t="str">
        <f>VLOOKUP(D4461,Products!A:C,2,FALSE)</f>
        <v>Deal Smartphone</v>
      </c>
      <c r="K4461" t="str">
        <f>VLOOKUP(D4461,Products!A:C,3,FALSE)</f>
        <v>Electronics</v>
      </c>
      <c r="L4461" t="str">
        <f>VLOOKUP(E4461,Stores!A:B,2,FALSE)</f>
        <v>MegaMart New Michele</v>
      </c>
      <c r="M4461">
        <f>VLOOKUP(D4461,Products!A:E,5,FALSE)</f>
        <v>673.78</v>
      </c>
      <c r="N4461" s="5">
        <f t="shared" si="69"/>
        <v>673.78</v>
      </c>
    </row>
    <row r="4462" spans="1:14" x14ac:dyDescent="0.3">
      <c r="A4462" t="s">
        <v>5318</v>
      </c>
      <c r="B4462" s="2">
        <v>45814</v>
      </c>
      <c r="C4462" t="s">
        <v>533</v>
      </c>
      <c r="D4462" t="s">
        <v>772</v>
      </c>
      <c r="E4462" t="s">
        <v>846</v>
      </c>
      <c r="F4462">
        <v>2</v>
      </c>
      <c r="G4462">
        <v>0.15</v>
      </c>
      <c r="H4462" t="s">
        <v>861</v>
      </c>
      <c r="I4462" t="str">
        <f>VLOOKUP(C4462,Customers!A:C,2,FALSE)&amp;" "&amp;VLOOKUP(C4462,Customers!A:C,3,FALSE)</f>
        <v>Crystal Garrison</v>
      </c>
      <c r="J4462" t="str">
        <f>VLOOKUP(D4462,Products!A:C,2,FALSE)</f>
        <v>And Footwear</v>
      </c>
      <c r="K4462" t="str">
        <f>VLOOKUP(D4462,Products!A:C,3,FALSE)</f>
        <v>Fashion</v>
      </c>
      <c r="L4462" t="str">
        <f>VLOOKUP(E4462,Stores!A:B,2,FALSE)</f>
        <v>MegaMart Johnmouth</v>
      </c>
      <c r="M4462">
        <f>VLOOKUP(D4462,Products!A:E,5,FALSE)</f>
        <v>1878.47</v>
      </c>
      <c r="N4462" s="5">
        <f t="shared" si="69"/>
        <v>3193.3989999999999</v>
      </c>
    </row>
    <row r="4463" spans="1:14" x14ac:dyDescent="0.3">
      <c r="A4463" t="s">
        <v>5319</v>
      </c>
      <c r="B4463" s="2">
        <v>45825</v>
      </c>
      <c r="C4463" t="s">
        <v>198</v>
      </c>
      <c r="D4463" t="s">
        <v>794</v>
      </c>
      <c r="E4463" t="s">
        <v>839</v>
      </c>
      <c r="F4463">
        <v>2</v>
      </c>
      <c r="G4463">
        <v>0.1</v>
      </c>
      <c r="H4463" t="s">
        <v>855</v>
      </c>
      <c r="I4463" t="str">
        <f>VLOOKUP(C4463,Customers!A:C,2,FALSE)&amp;" "&amp;VLOOKUP(C4463,Customers!A:C,3,FALSE)</f>
        <v>Madison Sellers</v>
      </c>
      <c r="J4463" t="str">
        <f>VLOOKUP(D4463,Products!A:C,2,FALSE)</f>
        <v>Everything Laptop</v>
      </c>
      <c r="K4463" t="str">
        <f>VLOOKUP(D4463,Products!A:C,3,FALSE)</f>
        <v>Electronics</v>
      </c>
      <c r="L4463" t="str">
        <f>VLOOKUP(E4463,Stores!A:B,2,FALSE)</f>
        <v>MegaMart New Michele</v>
      </c>
      <c r="M4463">
        <f>VLOOKUP(D4463,Products!A:E,5,FALSE)</f>
        <v>428.05</v>
      </c>
      <c r="N4463" s="5">
        <f t="shared" si="69"/>
        <v>770.49</v>
      </c>
    </row>
    <row r="4464" spans="1:14" x14ac:dyDescent="0.3">
      <c r="A4464" t="s">
        <v>5320</v>
      </c>
      <c r="B4464" s="2">
        <v>45651</v>
      </c>
      <c r="C4464" t="s">
        <v>480</v>
      </c>
      <c r="D4464" t="s">
        <v>742</v>
      </c>
      <c r="E4464" t="s">
        <v>842</v>
      </c>
      <c r="F4464">
        <v>3</v>
      </c>
      <c r="G4464">
        <v>0.15</v>
      </c>
      <c r="H4464" t="s">
        <v>865</v>
      </c>
      <c r="I4464" t="str">
        <f>VLOOKUP(C4464,Customers!A:C,2,FALSE)&amp;" "&amp;VLOOKUP(C4464,Customers!A:C,3,FALSE)</f>
        <v>Denise Jackson</v>
      </c>
      <c r="J4464" t="str">
        <f>VLOOKUP(D4464,Products!A:C,2,FALSE)</f>
        <v>Either Headphones</v>
      </c>
      <c r="K4464" t="str">
        <f>VLOOKUP(D4464,Products!A:C,3,FALSE)</f>
        <v>Electronics</v>
      </c>
      <c r="L4464" t="str">
        <f>VLOOKUP(E4464,Stores!A:B,2,FALSE)</f>
        <v>MegaMart Brianahaven</v>
      </c>
      <c r="M4464">
        <f>VLOOKUP(D4464,Products!A:E,5,FALSE)</f>
        <v>248.57</v>
      </c>
      <c r="N4464" s="5">
        <f t="shared" si="69"/>
        <v>633.85350000000005</v>
      </c>
    </row>
    <row r="4465" spans="1:14" x14ac:dyDescent="0.3">
      <c r="A4465" t="s">
        <v>5321</v>
      </c>
      <c r="B4465" s="2">
        <v>45743</v>
      </c>
      <c r="C4465" t="s">
        <v>476</v>
      </c>
      <c r="D4465" t="s">
        <v>816</v>
      </c>
      <c r="E4465" t="s">
        <v>835</v>
      </c>
      <c r="F4465">
        <v>1</v>
      </c>
      <c r="G4465">
        <v>0.05</v>
      </c>
      <c r="H4465" t="s">
        <v>858</v>
      </c>
      <c r="I4465" t="str">
        <f>VLOOKUP(C4465,Customers!A:C,2,FALSE)&amp;" "&amp;VLOOKUP(C4465,Customers!A:C,3,FALSE)</f>
        <v>Aaron Bailey</v>
      </c>
      <c r="J4465" t="str">
        <f>VLOOKUP(D4465,Products!A:C,2,FALSE)</f>
        <v>Set Dairy</v>
      </c>
      <c r="K4465" t="str">
        <f>VLOOKUP(D4465,Products!A:C,3,FALSE)</f>
        <v>Groceries</v>
      </c>
      <c r="L4465" t="str">
        <f>VLOOKUP(E4465,Stores!A:B,2,FALSE)</f>
        <v>MegaMart Peckmouth</v>
      </c>
      <c r="M4465">
        <f>VLOOKUP(D4465,Products!A:E,5,FALSE)</f>
        <v>1879.08</v>
      </c>
      <c r="N4465" s="5">
        <f t="shared" si="69"/>
        <v>1785.1259999999997</v>
      </c>
    </row>
    <row r="4466" spans="1:14" x14ac:dyDescent="0.3">
      <c r="A4466" t="s">
        <v>5322</v>
      </c>
      <c r="B4466" s="2">
        <v>45206</v>
      </c>
      <c r="C4466" t="s">
        <v>310</v>
      </c>
      <c r="D4466" t="s">
        <v>792</v>
      </c>
      <c r="E4466" t="s">
        <v>839</v>
      </c>
      <c r="F4466">
        <v>4</v>
      </c>
      <c r="G4466">
        <v>0.05</v>
      </c>
      <c r="H4466" t="s">
        <v>861</v>
      </c>
      <c r="I4466" t="str">
        <f>VLOOKUP(C4466,Customers!A:C,2,FALSE)&amp;" "&amp;VLOOKUP(C4466,Customers!A:C,3,FALSE)</f>
        <v>Amy Haley</v>
      </c>
      <c r="J4466" t="str">
        <f>VLOOKUP(D4466,Products!A:C,2,FALSE)</f>
        <v>Beat Accessories</v>
      </c>
      <c r="K4466" t="str">
        <f>VLOOKUP(D4466,Products!A:C,3,FALSE)</f>
        <v>Fashion</v>
      </c>
      <c r="L4466" t="str">
        <f>VLOOKUP(E4466,Stores!A:B,2,FALSE)</f>
        <v>MegaMart New Michele</v>
      </c>
      <c r="M4466">
        <f>VLOOKUP(D4466,Products!A:E,5,FALSE)</f>
        <v>1798.97</v>
      </c>
      <c r="N4466" s="5">
        <f t="shared" si="69"/>
        <v>6836.0859999999993</v>
      </c>
    </row>
    <row r="4467" spans="1:14" x14ac:dyDescent="0.3">
      <c r="A4467" t="s">
        <v>5323</v>
      </c>
      <c r="B4467" s="2">
        <v>45823</v>
      </c>
      <c r="C4467" t="s">
        <v>647</v>
      </c>
      <c r="D4467" t="s">
        <v>711</v>
      </c>
      <c r="E4467" t="s">
        <v>831</v>
      </c>
      <c r="F4467">
        <v>2</v>
      </c>
      <c r="G4467">
        <v>0</v>
      </c>
      <c r="H4467" t="s">
        <v>861</v>
      </c>
      <c r="I4467" t="str">
        <f>VLOOKUP(C4467,Customers!A:C,2,FALSE)&amp;" "&amp;VLOOKUP(C4467,Customers!A:C,3,FALSE)</f>
        <v>Mary Dawson</v>
      </c>
      <c r="J4467" t="str">
        <f>VLOOKUP(D4467,Products!A:C,2,FALSE)</f>
        <v>Like Camera</v>
      </c>
      <c r="K4467" t="str">
        <f>VLOOKUP(D4467,Products!A:C,3,FALSE)</f>
        <v>Electronics</v>
      </c>
      <c r="L4467" t="str">
        <f>VLOOKUP(E4467,Stores!A:B,2,FALSE)</f>
        <v>MegaMart Jimenezborough</v>
      </c>
      <c r="M4467">
        <f>VLOOKUP(D4467,Products!A:E,5,FALSE)</f>
        <v>1673.69</v>
      </c>
      <c r="N4467" s="5">
        <f t="shared" si="69"/>
        <v>3347.38</v>
      </c>
    </row>
    <row r="4468" spans="1:14" x14ac:dyDescent="0.3">
      <c r="A4468" t="s">
        <v>5324</v>
      </c>
      <c r="B4468" s="2">
        <v>45569</v>
      </c>
      <c r="C4468" t="s">
        <v>202</v>
      </c>
      <c r="D4468" t="s">
        <v>794</v>
      </c>
      <c r="E4468" t="s">
        <v>842</v>
      </c>
      <c r="F4468">
        <v>2</v>
      </c>
      <c r="G4468">
        <v>0</v>
      </c>
      <c r="H4468" t="s">
        <v>855</v>
      </c>
      <c r="I4468" t="str">
        <f>VLOOKUP(C4468,Customers!A:C,2,FALSE)&amp;" "&amp;VLOOKUP(C4468,Customers!A:C,3,FALSE)</f>
        <v>Billy Hernandez</v>
      </c>
      <c r="J4468" t="str">
        <f>VLOOKUP(D4468,Products!A:C,2,FALSE)</f>
        <v>Everything Laptop</v>
      </c>
      <c r="K4468" t="str">
        <f>VLOOKUP(D4468,Products!A:C,3,FALSE)</f>
        <v>Electronics</v>
      </c>
      <c r="L4468" t="str">
        <f>VLOOKUP(E4468,Stores!A:B,2,FALSE)</f>
        <v>MegaMart Brianahaven</v>
      </c>
      <c r="M4468">
        <f>VLOOKUP(D4468,Products!A:E,5,FALSE)</f>
        <v>428.05</v>
      </c>
      <c r="N4468" s="5">
        <f t="shared" si="69"/>
        <v>856.1</v>
      </c>
    </row>
    <row r="4469" spans="1:14" x14ac:dyDescent="0.3">
      <c r="A4469" t="s">
        <v>5325</v>
      </c>
      <c r="B4469" s="2">
        <v>45601</v>
      </c>
      <c r="C4469" t="s">
        <v>320</v>
      </c>
      <c r="D4469" t="s">
        <v>753</v>
      </c>
      <c r="E4469" t="s">
        <v>831</v>
      </c>
      <c r="F4469">
        <v>2</v>
      </c>
      <c r="G4469">
        <v>0.05</v>
      </c>
      <c r="H4469" t="s">
        <v>865</v>
      </c>
      <c r="I4469" t="str">
        <f>VLOOKUP(C4469,Customers!A:C,2,FALSE)&amp;" "&amp;VLOOKUP(C4469,Customers!A:C,3,FALSE)</f>
        <v>Juan Ramirez</v>
      </c>
      <c r="J4469" t="str">
        <f>VLOOKUP(D4469,Products!A:C,2,FALSE)</f>
        <v>Whether Bags</v>
      </c>
      <c r="K4469" t="str">
        <f>VLOOKUP(D4469,Products!A:C,3,FALSE)</f>
        <v>Fashion</v>
      </c>
      <c r="L4469" t="str">
        <f>VLOOKUP(E4469,Stores!A:B,2,FALSE)</f>
        <v>MegaMart Jimenezborough</v>
      </c>
      <c r="M4469">
        <f>VLOOKUP(D4469,Products!A:E,5,FALSE)</f>
        <v>270.45</v>
      </c>
      <c r="N4469" s="5">
        <f t="shared" si="69"/>
        <v>513.8549999999999</v>
      </c>
    </row>
    <row r="4470" spans="1:14" x14ac:dyDescent="0.3">
      <c r="A4470" t="s">
        <v>5326</v>
      </c>
      <c r="B4470" s="2">
        <v>45319</v>
      </c>
      <c r="C4470" t="s">
        <v>67</v>
      </c>
      <c r="D4470" t="s">
        <v>747</v>
      </c>
      <c r="E4470" t="s">
        <v>831</v>
      </c>
      <c r="F4470">
        <v>1</v>
      </c>
      <c r="G4470">
        <v>0.15</v>
      </c>
      <c r="H4470" t="s">
        <v>861</v>
      </c>
      <c r="I4470" t="str">
        <f>VLOOKUP(C4470,Customers!A:C,2,FALSE)&amp;" "&amp;VLOOKUP(C4470,Customers!A:C,3,FALSE)</f>
        <v>Miguel Johnson</v>
      </c>
      <c r="J4470" t="str">
        <f>VLOOKUP(D4470,Products!A:C,2,FALSE)</f>
        <v>World Watches</v>
      </c>
      <c r="K4470" t="str">
        <f>VLOOKUP(D4470,Products!A:C,3,FALSE)</f>
        <v>Fashion</v>
      </c>
      <c r="L4470" t="str">
        <f>VLOOKUP(E4470,Stores!A:B,2,FALSE)</f>
        <v>MegaMart Jimenezborough</v>
      </c>
      <c r="M4470">
        <f>VLOOKUP(D4470,Products!A:E,5,FALSE)</f>
        <v>1134.8</v>
      </c>
      <c r="N4470" s="5">
        <f t="shared" si="69"/>
        <v>964.57999999999993</v>
      </c>
    </row>
    <row r="4471" spans="1:14" x14ac:dyDescent="0.3">
      <c r="A4471" t="s">
        <v>5327</v>
      </c>
      <c r="B4471" s="2">
        <v>45809</v>
      </c>
      <c r="C4471" t="s">
        <v>284</v>
      </c>
      <c r="D4471" t="s">
        <v>798</v>
      </c>
      <c r="E4471" t="s">
        <v>842</v>
      </c>
      <c r="F4471">
        <v>4</v>
      </c>
      <c r="G4471">
        <v>0.05</v>
      </c>
      <c r="H4471" t="s">
        <v>865</v>
      </c>
      <c r="I4471" t="str">
        <f>VLOOKUP(C4471,Customers!A:C,2,FALSE)&amp;" "&amp;VLOOKUP(C4471,Customers!A:C,3,FALSE)</f>
        <v>Seth Moore</v>
      </c>
      <c r="J4471" t="str">
        <f>VLOOKUP(D4471,Products!A:C,2,FALSE)</f>
        <v>New Watches</v>
      </c>
      <c r="K4471" t="str">
        <f>VLOOKUP(D4471,Products!A:C,3,FALSE)</f>
        <v>Fashion</v>
      </c>
      <c r="L4471" t="str">
        <f>VLOOKUP(E4471,Stores!A:B,2,FALSE)</f>
        <v>MegaMart Brianahaven</v>
      </c>
      <c r="M4471">
        <f>VLOOKUP(D4471,Products!A:E,5,FALSE)</f>
        <v>1501.46</v>
      </c>
      <c r="N4471" s="5">
        <f t="shared" si="69"/>
        <v>5705.5479999999998</v>
      </c>
    </row>
    <row r="4472" spans="1:14" x14ac:dyDescent="0.3">
      <c r="A4472" t="s">
        <v>5328</v>
      </c>
      <c r="B4472" s="2">
        <v>45536</v>
      </c>
      <c r="C4472" t="s">
        <v>563</v>
      </c>
      <c r="D4472" t="s">
        <v>747</v>
      </c>
      <c r="E4472" t="s">
        <v>831</v>
      </c>
      <c r="F4472">
        <v>1</v>
      </c>
      <c r="G4472">
        <v>0</v>
      </c>
      <c r="H4472" t="s">
        <v>865</v>
      </c>
      <c r="I4472" t="str">
        <f>VLOOKUP(C4472,Customers!A:C,2,FALSE)&amp;" "&amp;VLOOKUP(C4472,Customers!A:C,3,FALSE)</f>
        <v>Connie Terry</v>
      </c>
      <c r="J4472" t="str">
        <f>VLOOKUP(D4472,Products!A:C,2,FALSE)</f>
        <v>World Watches</v>
      </c>
      <c r="K4472" t="str">
        <f>VLOOKUP(D4472,Products!A:C,3,FALSE)</f>
        <v>Fashion</v>
      </c>
      <c r="L4472" t="str">
        <f>VLOOKUP(E4472,Stores!A:B,2,FALSE)</f>
        <v>MegaMart Jimenezborough</v>
      </c>
      <c r="M4472">
        <f>VLOOKUP(D4472,Products!A:E,5,FALSE)</f>
        <v>1134.8</v>
      </c>
      <c r="N4472" s="5">
        <f t="shared" si="69"/>
        <v>1134.8</v>
      </c>
    </row>
    <row r="4473" spans="1:14" x14ac:dyDescent="0.3">
      <c r="A4473" t="s">
        <v>5329</v>
      </c>
      <c r="B4473" s="2">
        <v>45348</v>
      </c>
      <c r="C4473" t="s">
        <v>247</v>
      </c>
      <c r="D4473" t="s">
        <v>794</v>
      </c>
      <c r="E4473" t="s">
        <v>831</v>
      </c>
      <c r="F4473">
        <v>4</v>
      </c>
      <c r="G4473">
        <v>0</v>
      </c>
      <c r="H4473" t="s">
        <v>865</v>
      </c>
      <c r="I4473" t="str">
        <f>VLOOKUP(C4473,Customers!A:C,2,FALSE)&amp;" "&amp;VLOOKUP(C4473,Customers!A:C,3,FALSE)</f>
        <v>Scott Duke</v>
      </c>
      <c r="J4473" t="str">
        <f>VLOOKUP(D4473,Products!A:C,2,FALSE)</f>
        <v>Everything Laptop</v>
      </c>
      <c r="K4473" t="str">
        <f>VLOOKUP(D4473,Products!A:C,3,FALSE)</f>
        <v>Electronics</v>
      </c>
      <c r="L4473" t="str">
        <f>VLOOKUP(E4473,Stores!A:B,2,FALSE)</f>
        <v>MegaMart Jimenezborough</v>
      </c>
      <c r="M4473">
        <f>VLOOKUP(D4473,Products!A:E,5,FALSE)</f>
        <v>428.05</v>
      </c>
      <c r="N4473" s="5">
        <f t="shared" si="69"/>
        <v>1712.2</v>
      </c>
    </row>
    <row r="4474" spans="1:14" x14ac:dyDescent="0.3">
      <c r="A4474" t="s">
        <v>5330</v>
      </c>
      <c r="B4474" s="2">
        <v>45625</v>
      </c>
      <c r="C4474" t="s">
        <v>539</v>
      </c>
      <c r="D4474" t="s">
        <v>776</v>
      </c>
      <c r="E4474" t="s">
        <v>831</v>
      </c>
      <c r="F4474">
        <v>4</v>
      </c>
      <c r="G4474">
        <v>0.05</v>
      </c>
      <c r="H4474" t="s">
        <v>861</v>
      </c>
      <c r="I4474" t="str">
        <f>VLOOKUP(C4474,Customers!A:C,2,FALSE)&amp;" "&amp;VLOOKUP(C4474,Customers!A:C,3,FALSE)</f>
        <v>Melissa Torres</v>
      </c>
      <c r="J4474" t="str">
        <f>VLOOKUP(D4474,Products!A:C,2,FALSE)</f>
        <v>Little Watches</v>
      </c>
      <c r="K4474" t="str">
        <f>VLOOKUP(D4474,Products!A:C,3,FALSE)</f>
        <v>Fashion</v>
      </c>
      <c r="L4474" t="str">
        <f>VLOOKUP(E4474,Stores!A:B,2,FALSE)</f>
        <v>MegaMart Jimenezborough</v>
      </c>
      <c r="M4474">
        <f>VLOOKUP(D4474,Products!A:E,5,FALSE)</f>
        <v>429.15</v>
      </c>
      <c r="N4474" s="5">
        <f t="shared" si="69"/>
        <v>1630.7699999999998</v>
      </c>
    </row>
    <row r="4475" spans="1:14" x14ac:dyDescent="0.3">
      <c r="A4475" t="s">
        <v>5331</v>
      </c>
      <c r="B4475" s="2">
        <v>45375</v>
      </c>
      <c r="C4475" t="s">
        <v>141</v>
      </c>
      <c r="D4475" t="s">
        <v>812</v>
      </c>
      <c r="E4475" t="s">
        <v>842</v>
      </c>
      <c r="F4475">
        <v>2</v>
      </c>
      <c r="G4475">
        <v>0.15</v>
      </c>
      <c r="H4475" t="s">
        <v>858</v>
      </c>
      <c r="I4475" t="str">
        <f>VLOOKUP(C4475,Customers!A:C,2,FALSE)&amp;" "&amp;VLOOKUP(C4475,Customers!A:C,3,FALSE)</f>
        <v>Michael Cervantes</v>
      </c>
      <c r="J4475" t="str">
        <f>VLOOKUP(D4475,Products!A:C,2,FALSE)</f>
        <v>Soon Accessories</v>
      </c>
      <c r="K4475" t="str">
        <f>VLOOKUP(D4475,Products!A:C,3,FALSE)</f>
        <v>Fashion</v>
      </c>
      <c r="L4475" t="str">
        <f>VLOOKUP(E4475,Stores!A:B,2,FALSE)</f>
        <v>MegaMart Brianahaven</v>
      </c>
      <c r="M4475">
        <f>VLOOKUP(D4475,Products!A:E,5,FALSE)</f>
        <v>564.41999999999996</v>
      </c>
      <c r="N4475" s="5">
        <f t="shared" si="69"/>
        <v>959.5139999999999</v>
      </c>
    </row>
    <row r="4476" spans="1:14" x14ac:dyDescent="0.3">
      <c r="A4476" t="s">
        <v>5332</v>
      </c>
      <c r="B4476" s="2">
        <v>45694</v>
      </c>
      <c r="C4476" t="s">
        <v>670</v>
      </c>
      <c r="D4476" t="s">
        <v>711</v>
      </c>
      <c r="E4476" t="s">
        <v>846</v>
      </c>
      <c r="F4476">
        <v>1</v>
      </c>
      <c r="G4476">
        <v>0.15</v>
      </c>
      <c r="H4476" t="s">
        <v>865</v>
      </c>
      <c r="I4476" t="str">
        <f>VLOOKUP(C4476,Customers!A:C,2,FALSE)&amp;" "&amp;VLOOKUP(C4476,Customers!A:C,3,FALSE)</f>
        <v>Daniel Lawson</v>
      </c>
      <c r="J4476" t="str">
        <f>VLOOKUP(D4476,Products!A:C,2,FALSE)</f>
        <v>Like Camera</v>
      </c>
      <c r="K4476" t="str">
        <f>VLOOKUP(D4476,Products!A:C,3,FALSE)</f>
        <v>Electronics</v>
      </c>
      <c r="L4476" t="str">
        <f>VLOOKUP(E4476,Stores!A:B,2,FALSE)</f>
        <v>MegaMart Johnmouth</v>
      </c>
      <c r="M4476">
        <f>VLOOKUP(D4476,Products!A:E,5,FALSE)</f>
        <v>1673.69</v>
      </c>
      <c r="N4476" s="5">
        <f t="shared" si="69"/>
        <v>1422.6365000000001</v>
      </c>
    </row>
    <row r="4477" spans="1:14" x14ac:dyDescent="0.3">
      <c r="A4477" t="s">
        <v>5333</v>
      </c>
      <c r="B4477" s="2">
        <v>45872</v>
      </c>
      <c r="C4477" t="s">
        <v>505</v>
      </c>
      <c r="D4477" t="s">
        <v>757</v>
      </c>
      <c r="E4477" t="s">
        <v>839</v>
      </c>
      <c r="F4477">
        <v>3</v>
      </c>
      <c r="G4477">
        <v>0</v>
      </c>
      <c r="H4477" t="s">
        <v>858</v>
      </c>
      <c r="I4477" t="str">
        <f>VLOOKUP(C4477,Customers!A:C,2,FALSE)&amp;" "&amp;VLOOKUP(C4477,Customers!A:C,3,FALSE)</f>
        <v>Alexander Mcfarland</v>
      </c>
      <c r="J4477" t="str">
        <f>VLOOKUP(D4477,Products!A:C,2,FALSE)</f>
        <v>Find Headphones</v>
      </c>
      <c r="K4477" t="str">
        <f>VLOOKUP(D4477,Products!A:C,3,FALSE)</f>
        <v>Electronics</v>
      </c>
      <c r="L4477" t="str">
        <f>VLOOKUP(E4477,Stores!A:B,2,FALSE)</f>
        <v>MegaMart New Michele</v>
      </c>
      <c r="M4477">
        <f>VLOOKUP(D4477,Products!A:E,5,FALSE)</f>
        <v>1246.1099999999999</v>
      </c>
      <c r="N4477" s="5">
        <f t="shared" si="69"/>
        <v>3738.33</v>
      </c>
    </row>
    <row r="4478" spans="1:14" x14ac:dyDescent="0.3">
      <c r="A4478" t="s">
        <v>5334</v>
      </c>
      <c r="B4478" s="2">
        <v>45814</v>
      </c>
      <c r="C4478" t="s">
        <v>454</v>
      </c>
      <c r="D4478" t="s">
        <v>820</v>
      </c>
      <c r="E4478" t="s">
        <v>839</v>
      </c>
      <c r="F4478">
        <v>4</v>
      </c>
      <c r="G4478">
        <v>0.05</v>
      </c>
      <c r="H4478" t="s">
        <v>865</v>
      </c>
      <c r="I4478" t="str">
        <f>VLOOKUP(C4478,Customers!A:C,2,FALSE)&amp;" "&amp;VLOOKUP(C4478,Customers!A:C,3,FALSE)</f>
        <v>Peter Edwards</v>
      </c>
      <c r="J4478" t="str">
        <f>VLOOKUP(D4478,Products!A:C,2,FALSE)</f>
        <v>Or Smartphone</v>
      </c>
      <c r="K4478" t="str">
        <f>VLOOKUP(D4478,Products!A:C,3,FALSE)</f>
        <v>Electronics</v>
      </c>
      <c r="L4478" t="str">
        <f>VLOOKUP(E4478,Stores!A:B,2,FALSE)</f>
        <v>MegaMart New Michele</v>
      </c>
      <c r="M4478">
        <f>VLOOKUP(D4478,Products!A:E,5,FALSE)</f>
        <v>1197.18</v>
      </c>
      <c r="N4478" s="5">
        <f t="shared" si="69"/>
        <v>4549.2839999999997</v>
      </c>
    </row>
    <row r="4479" spans="1:14" x14ac:dyDescent="0.3">
      <c r="A4479" t="s">
        <v>5335</v>
      </c>
      <c r="B4479" s="2">
        <v>45637</v>
      </c>
      <c r="C4479" t="s">
        <v>55</v>
      </c>
      <c r="D4479" t="s">
        <v>776</v>
      </c>
      <c r="E4479" t="s">
        <v>831</v>
      </c>
      <c r="F4479">
        <v>5</v>
      </c>
      <c r="G4479">
        <v>0.1</v>
      </c>
      <c r="H4479" t="s">
        <v>861</v>
      </c>
      <c r="I4479" t="str">
        <f>VLOOKUP(C4479,Customers!A:C,2,FALSE)&amp;" "&amp;VLOOKUP(C4479,Customers!A:C,3,FALSE)</f>
        <v>Robert Anderson</v>
      </c>
      <c r="J4479" t="str">
        <f>VLOOKUP(D4479,Products!A:C,2,FALSE)</f>
        <v>Little Watches</v>
      </c>
      <c r="K4479" t="str">
        <f>VLOOKUP(D4479,Products!A:C,3,FALSE)</f>
        <v>Fashion</v>
      </c>
      <c r="L4479" t="str">
        <f>VLOOKUP(E4479,Stores!A:B,2,FALSE)</f>
        <v>MegaMart Jimenezborough</v>
      </c>
      <c r="M4479">
        <f>VLOOKUP(D4479,Products!A:E,5,FALSE)</f>
        <v>429.15</v>
      </c>
      <c r="N4479" s="5">
        <f t="shared" si="69"/>
        <v>1931.175</v>
      </c>
    </row>
    <row r="4480" spans="1:14" x14ac:dyDescent="0.3">
      <c r="A4480" t="s">
        <v>5336</v>
      </c>
      <c r="B4480" s="2">
        <v>45616</v>
      </c>
      <c r="C4480" t="s">
        <v>243</v>
      </c>
      <c r="D4480" t="s">
        <v>780</v>
      </c>
      <c r="E4480" t="s">
        <v>842</v>
      </c>
      <c r="F4480">
        <v>1</v>
      </c>
      <c r="G4480">
        <v>0</v>
      </c>
      <c r="H4480" t="s">
        <v>861</v>
      </c>
      <c r="I4480" t="str">
        <f>VLOOKUP(C4480,Customers!A:C,2,FALSE)&amp;" "&amp;VLOOKUP(C4480,Customers!A:C,3,FALSE)</f>
        <v>Amanda Hoover</v>
      </c>
      <c r="J4480" t="str">
        <f>VLOOKUP(D4480,Products!A:C,2,FALSE)</f>
        <v>Hospital Smartphone</v>
      </c>
      <c r="K4480" t="str">
        <f>VLOOKUP(D4480,Products!A:C,3,FALSE)</f>
        <v>Electronics</v>
      </c>
      <c r="L4480" t="str">
        <f>VLOOKUP(E4480,Stores!A:B,2,FALSE)</f>
        <v>MegaMart Brianahaven</v>
      </c>
      <c r="M4480">
        <f>VLOOKUP(D4480,Products!A:E,5,FALSE)</f>
        <v>1272.23</v>
      </c>
      <c r="N4480" s="5">
        <f t="shared" si="69"/>
        <v>1272.23</v>
      </c>
    </row>
    <row r="4481" spans="1:14" x14ac:dyDescent="0.3">
      <c r="A4481" t="s">
        <v>5337</v>
      </c>
      <c r="B4481" s="2">
        <v>45518</v>
      </c>
      <c r="C4481" t="s">
        <v>429</v>
      </c>
      <c r="D4481" t="s">
        <v>800</v>
      </c>
      <c r="E4481" t="s">
        <v>831</v>
      </c>
      <c r="F4481">
        <v>1</v>
      </c>
      <c r="G4481">
        <v>0</v>
      </c>
      <c r="H4481" t="s">
        <v>855</v>
      </c>
      <c r="I4481" t="str">
        <f>VLOOKUP(C4481,Customers!A:C,2,FALSE)&amp;" "&amp;VLOOKUP(C4481,Customers!A:C,3,FALSE)</f>
        <v>Jose Smith</v>
      </c>
      <c r="J4481" t="str">
        <f>VLOOKUP(D4481,Products!A:C,2,FALSE)</f>
        <v>Book Television</v>
      </c>
      <c r="K4481" t="str">
        <f>VLOOKUP(D4481,Products!A:C,3,FALSE)</f>
        <v>Electronics</v>
      </c>
      <c r="L4481" t="str">
        <f>VLOOKUP(E4481,Stores!A:B,2,FALSE)</f>
        <v>MegaMart Jimenezborough</v>
      </c>
      <c r="M4481">
        <f>VLOOKUP(D4481,Products!A:E,5,FALSE)</f>
        <v>1952.65</v>
      </c>
      <c r="N4481" s="5">
        <f t="shared" si="69"/>
        <v>1952.65</v>
      </c>
    </row>
    <row r="4482" spans="1:14" x14ac:dyDescent="0.3">
      <c r="A4482" t="s">
        <v>5338</v>
      </c>
      <c r="B4482" s="2">
        <v>45896</v>
      </c>
      <c r="C4482" t="s">
        <v>97</v>
      </c>
      <c r="D4482" t="s">
        <v>725</v>
      </c>
      <c r="E4482" t="s">
        <v>846</v>
      </c>
      <c r="F4482">
        <v>5</v>
      </c>
      <c r="G4482">
        <v>0.1</v>
      </c>
      <c r="H4482" t="s">
        <v>855</v>
      </c>
      <c r="I4482" t="str">
        <f>VLOOKUP(C4482,Customers!A:C,2,FALSE)&amp;" "&amp;VLOOKUP(C4482,Customers!A:C,3,FALSE)</f>
        <v>Molly Murray</v>
      </c>
      <c r="J4482" t="str">
        <f>VLOOKUP(D4482,Products!A:C,2,FALSE)</f>
        <v>Knowledge Bags</v>
      </c>
      <c r="K4482" t="str">
        <f>VLOOKUP(D4482,Products!A:C,3,FALSE)</f>
        <v>Fashion</v>
      </c>
      <c r="L4482" t="str">
        <f>VLOOKUP(E4482,Stores!A:B,2,FALSE)</f>
        <v>MegaMart Johnmouth</v>
      </c>
      <c r="M4482">
        <f>VLOOKUP(D4482,Products!A:E,5,FALSE)</f>
        <v>1396.22</v>
      </c>
      <c r="N4482" s="5">
        <f t="shared" si="69"/>
        <v>6282.9900000000007</v>
      </c>
    </row>
    <row r="4483" spans="1:14" x14ac:dyDescent="0.3">
      <c r="A4483" t="s">
        <v>5339</v>
      </c>
      <c r="B4483" s="2">
        <v>45322</v>
      </c>
      <c r="C4483" t="s">
        <v>320</v>
      </c>
      <c r="D4483" t="s">
        <v>796</v>
      </c>
      <c r="E4483" t="s">
        <v>846</v>
      </c>
      <c r="F4483">
        <v>2</v>
      </c>
      <c r="G4483">
        <v>0.1</v>
      </c>
      <c r="H4483" t="s">
        <v>861</v>
      </c>
      <c r="I4483" t="str">
        <f>VLOOKUP(C4483,Customers!A:C,2,FALSE)&amp;" "&amp;VLOOKUP(C4483,Customers!A:C,3,FALSE)</f>
        <v>Juan Ramirez</v>
      </c>
      <c r="J4483" t="str">
        <f>VLOOKUP(D4483,Products!A:C,2,FALSE)</f>
        <v>Chair Laptop</v>
      </c>
      <c r="K4483" t="str">
        <f>VLOOKUP(D4483,Products!A:C,3,FALSE)</f>
        <v>Electronics</v>
      </c>
      <c r="L4483" t="str">
        <f>VLOOKUP(E4483,Stores!A:B,2,FALSE)</f>
        <v>MegaMart Johnmouth</v>
      </c>
      <c r="M4483">
        <f>VLOOKUP(D4483,Products!A:E,5,FALSE)</f>
        <v>1562.43</v>
      </c>
      <c r="N4483" s="5">
        <f t="shared" ref="N4483:N4546" si="70">F4483*M4483*(1-G4483)</f>
        <v>2812.3740000000003</v>
      </c>
    </row>
    <row r="4484" spans="1:14" x14ac:dyDescent="0.3">
      <c r="A4484" t="s">
        <v>5340</v>
      </c>
      <c r="B4484" s="2">
        <v>45646</v>
      </c>
      <c r="C4484" t="s">
        <v>24</v>
      </c>
      <c r="D4484" t="s">
        <v>802</v>
      </c>
      <c r="E4484" t="s">
        <v>835</v>
      </c>
      <c r="F4484">
        <v>3</v>
      </c>
      <c r="G4484">
        <v>0</v>
      </c>
      <c r="H4484" t="s">
        <v>865</v>
      </c>
      <c r="I4484" t="str">
        <f>VLOOKUP(C4484,Customers!A:C,2,FALSE)&amp;" "&amp;VLOOKUP(C4484,Customers!A:C,3,FALSE)</f>
        <v>Jamie Salinas</v>
      </c>
      <c r="J4484" t="str">
        <f>VLOOKUP(D4484,Products!A:C,2,FALSE)</f>
        <v>Stage Footwear</v>
      </c>
      <c r="K4484" t="str">
        <f>VLOOKUP(D4484,Products!A:C,3,FALSE)</f>
        <v>Fashion</v>
      </c>
      <c r="L4484" t="str">
        <f>VLOOKUP(E4484,Stores!A:B,2,FALSE)</f>
        <v>MegaMart Peckmouth</v>
      </c>
      <c r="M4484">
        <f>VLOOKUP(D4484,Products!A:E,5,FALSE)</f>
        <v>366.93</v>
      </c>
      <c r="N4484" s="5">
        <f t="shared" si="70"/>
        <v>1100.79</v>
      </c>
    </row>
    <row r="4485" spans="1:14" x14ac:dyDescent="0.3">
      <c r="A4485" t="s">
        <v>5341</v>
      </c>
      <c r="B4485" s="2">
        <v>45477</v>
      </c>
      <c r="C4485" t="s">
        <v>351</v>
      </c>
      <c r="D4485" t="s">
        <v>788</v>
      </c>
      <c r="E4485" t="s">
        <v>835</v>
      </c>
      <c r="F4485">
        <v>3</v>
      </c>
      <c r="G4485">
        <v>0.05</v>
      </c>
      <c r="H4485" t="s">
        <v>855</v>
      </c>
      <c r="I4485" t="str">
        <f>VLOOKUP(C4485,Customers!A:C,2,FALSE)&amp;" "&amp;VLOOKUP(C4485,Customers!A:C,3,FALSE)</f>
        <v>Stanley Brown</v>
      </c>
      <c r="J4485" t="str">
        <f>VLOOKUP(D4485,Products!A:C,2,FALSE)</f>
        <v>Foot Snacks</v>
      </c>
      <c r="K4485" t="str">
        <f>VLOOKUP(D4485,Products!A:C,3,FALSE)</f>
        <v>Groceries</v>
      </c>
      <c r="L4485" t="str">
        <f>VLOOKUP(E4485,Stores!A:B,2,FALSE)</f>
        <v>MegaMart Peckmouth</v>
      </c>
      <c r="M4485">
        <f>VLOOKUP(D4485,Products!A:E,5,FALSE)</f>
        <v>1095.72</v>
      </c>
      <c r="N4485" s="5">
        <f t="shared" si="70"/>
        <v>3122.8019999999997</v>
      </c>
    </row>
    <row r="4486" spans="1:14" x14ac:dyDescent="0.3">
      <c r="A4486" t="s">
        <v>5342</v>
      </c>
      <c r="B4486" s="2">
        <v>45853</v>
      </c>
      <c r="C4486" t="s">
        <v>396</v>
      </c>
      <c r="D4486" t="s">
        <v>820</v>
      </c>
      <c r="E4486" t="s">
        <v>842</v>
      </c>
      <c r="F4486">
        <v>1</v>
      </c>
      <c r="G4486">
        <v>0.15</v>
      </c>
      <c r="H4486" t="s">
        <v>855</v>
      </c>
      <c r="I4486" t="str">
        <f>VLOOKUP(C4486,Customers!A:C,2,FALSE)&amp;" "&amp;VLOOKUP(C4486,Customers!A:C,3,FALSE)</f>
        <v>Kevin Flores</v>
      </c>
      <c r="J4486" t="str">
        <f>VLOOKUP(D4486,Products!A:C,2,FALSE)</f>
        <v>Or Smartphone</v>
      </c>
      <c r="K4486" t="str">
        <f>VLOOKUP(D4486,Products!A:C,3,FALSE)</f>
        <v>Electronics</v>
      </c>
      <c r="L4486" t="str">
        <f>VLOOKUP(E4486,Stores!A:B,2,FALSE)</f>
        <v>MegaMart Brianahaven</v>
      </c>
      <c r="M4486">
        <f>VLOOKUP(D4486,Products!A:E,5,FALSE)</f>
        <v>1197.18</v>
      </c>
      <c r="N4486" s="5">
        <f t="shared" si="70"/>
        <v>1017.6030000000001</v>
      </c>
    </row>
    <row r="4487" spans="1:14" x14ac:dyDescent="0.3">
      <c r="A4487" t="s">
        <v>5343</v>
      </c>
      <c r="B4487" s="2">
        <v>45351</v>
      </c>
      <c r="C4487" t="s">
        <v>364</v>
      </c>
      <c r="D4487" t="s">
        <v>774</v>
      </c>
      <c r="E4487" t="s">
        <v>846</v>
      </c>
      <c r="F4487">
        <v>5</v>
      </c>
      <c r="G4487">
        <v>0.1</v>
      </c>
      <c r="H4487" t="s">
        <v>855</v>
      </c>
      <c r="I4487" t="str">
        <f>VLOOKUP(C4487,Customers!A:C,2,FALSE)&amp;" "&amp;VLOOKUP(C4487,Customers!A:C,3,FALSE)</f>
        <v>Evelyn Gray</v>
      </c>
      <c r="J4487" t="str">
        <f>VLOOKUP(D4487,Products!A:C,2,FALSE)</f>
        <v>Him Smartphone</v>
      </c>
      <c r="K4487" t="str">
        <f>VLOOKUP(D4487,Products!A:C,3,FALSE)</f>
        <v>Electronics</v>
      </c>
      <c r="L4487" t="str">
        <f>VLOOKUP(E4487,Stores!A:B,2,FALSE)</f>
        <v>MegaMart Johnmouth</v>
      </c>
      <c r="M4487">
        <f>VLOOKUP(D4487,Products!A:E,5,FALSE)</f>
        <v>1487.41</v>
      </c>
      <c r="N4487" s="5">
        <f t="shared" si="70"/>
        <v>6693.3450000000003</v>
      </c>
    </row>
    <row r="4488" spans="1:14" x14ac:dyDescent="0.3">
      <c r="A4488" t="s">
        <v>5344</v>
      </c>
      <c r="B4488" s="2">
        <v>45403</v>
      </c>
      <c r="C4488" t="s">
        <v>539</v>
      </c>
      <c r="D4488" t="s">
        <v>761</v>
      </c>
      <c r="E4488" t="s">
        <v>839</v>
      </c>
      <c r="F4488">
        <v>4</v>
      </c>
      <c r="G4488">
        <v>0.15</v>
      </c>
      <c r="H4488" t="s">
        <v>858</v>
      </c>
      <c r="I4488" t="str">
        <f>VLOOKUP(C4488,Customers!A:C,2,FALSE)&amp;" "&amp;VLOOKUP(C4488,Customers!A:C,3,FALSE)</f>
        <v>Melissa Torres</v>
      </c>
      <c r="J4488" t="str">
        <f>VLOOKUP(D4488,Products!A:C,2,FALSE)</f>
        <v>Traditional Laptop</v>
      </c>
      <c r="K4488" t="str">
        <f>VLOOKUP(D4488,Products!A:C,3,FALSE)</f>
        <v>Electronics</v>
      </c>
      <c r="L4488" t="str">
        <f>VLOOKUP(E4488,Stores!A:B,2,FALSE)</f>
        <v>MegaMart New Michele</v>
      </c>
      <c r="M4488">
        <f>VLOOKUP(D4488,Products!A:E,5,FALSE)</f>
        <v>1762.92</v>
      </c>
      <c r="N4488" s="5">
        <f t="shared" si="70"/>
        <v>5993.9279999999999</v>
      </c>
    </row>
    <row r="4489" spans="1:14" x14ac:dyDescent="0.3">
      <c r="A4489" t="s">
        <v>5345</v>
      </c>
      <c r="B4489" s="2">
        <v>45671</v>
      </c>
      <c r="C4489" t="s">
        <v>148</v>
      </c>
      <c r="D4489" t="s">
        <v>778</v>
      </c>
      <c r="E4489" t="s">
        <v>831</v>
      </c>
      <c r="F4489">
        <v>1</v>
      </c>
      <c r="G4489">
        <v>0</v>
      </c>
      <c r="H4489" t="s">
        <v>861</v>
      </c>
      <c r="I4489" t="str">
        <f>VLOOKUP(C4489,Customers!A:C,2,FALSE)&amp;" "&amp;VLOOKUP(C4489,Customers!A:C,3,FALSE)</f>
        <v>Tracey Davis</v>
      </c>
      <c r="J4489" t="str">
        <f>VLOOKUP(D4489,Products!A:C,2,FALSE)</f>
        <v>Behavior Dairy</v>
      </c>
      <c r="K4489" t="str">
        <f>VLOOKUP(D4489,Products!A:C,3,FALSE)</f>
        <v>Groceries</v>
      </c>
      <c r="L4489" t="str">
        <f>VLOOKUP(E4489,Stores!A:B,2,FALSE)</f>
        <v>MegaMart Jimenezborough</v>
      </c>
      <c r="M4489">
        <f>VLOOKUP(D4489,Products!A:E,5,FALSE)</f>
        <v>1015.76</v>
      </c>
      <c r="N4489" s="5">
        <f t="shared" si="70"/>
        <v>1015.76</v>
      </c>
    </row>
    <row r="4490" spans="1:14" x14ac:dyDescent="0.3">
      <c r="A4490" t="s">
        <v>5346</v>
      </c>
      <c r="B4490" s="2">
        <v>45524</v>
      </c>
      <c r="C4490" t="s">
        <v>262</v>
      </c>
      <c r="D4490" t="s">
        <v>734</v>
      </c>
      <c r="E4490" t="s">
        <v>831</v>
      </c>
      <c r="F4490">
        <v>2</v>
      </c>
      <c r="G4490">
        <v>0</v>
      </c>
      <c r="H4490" t="s">
        <v>861</v>
      </c>
      <c r="I4490" t="str">
        <f>VLOOKUP(C4490,Customers!A:C,2,FALSE)&amp;" "&amp;VLOOKUP(C4490,Customers!A:C,3,FALSE)</f>
        <v>Gabriel Daugherty</v>
      </c>
      <c r="J4490" t="str">
        <f>VLOOKUP(D4490,Products!A:C,2,FALSE)</f>
        <v>Recognize Footwear</v>
      </c>
      <c r="K4490" t="str">
        <f>VLOOKUP(D4490,Products!A:C,3,FALSE)</f>
        <v>Fashion</v>
      </c>
      <c r="L4490" t="str">
        <f>VLOOKUP(E4490,Stores!A:B,2,FALSE)</f>
        <v>MegaMart Jimenezborough</v>
      </c>
      <c r="M4490">
        <f>VLOOKUP(D4490,Products!A:E,5,FALSE)</f>
        <v>109.78</v>
      </c>
      <c r="N4490" s="5">
        <f t="shared" si="70"/>
        <v>219.56</v>
      </c>
    </row>
    <row r="4491" spans="1:14" x14ac:dyDescent="0.3">
      <c r="A4491" t="s">
        <v>5347</v>
      </c>
      <c r="B4491" s="2">
        <v>45364</v>
      </c>
      <c r="C4491" t="s">
        <v>141</v>
      </c>
      <c r="D4491" t="s">
        <v>778</v>
      </c>
      <c r="E4491" t="s">
        <v>835</v>
      </c>
      <c r="F4491">
        <v>5</v>
      </c>
      <c r="G4491">
        <v>0.15</v>
      </c>
      <c r="H4491" t="s">
        <v>855</v>
      </c>
      <c r="I4491" t="str">
        <f>VLOOKUP(C4491,Customers!A:C,2,FALSE)&amp;" "&amp;VLOOKUP(C4491,Customers!A:C,3,FALSE)</f>
        <v>Michael Cervantes</v>
      </c>
      <c r="J4491" t="str">
        <f>VLOOKUP(D4491,Products!A:C,2,FALSE)</f>
        <v>Behavior Dairy</v>
      </c>
      <c r="K4491" t="str">
        <f>VLOOKUP(D4491,Products!A:C,3,FALSE)</f>
        <v>Groceries</v>
      </c>
      <c r="L4491" t="str">
        <f>VLOOKUP(E4491,Stores!A:B,2,FALSE)</f>
        <v>MegaMart Peckmouth</v>
      </c>
      <c r="M4491">
        <f>VLOOKUP(D4491,Products!A:E,5,FALSE)</f>
        <v>1015.76</v>
      </c>
      <c r="N4491" s="5">
        <f t="shared" si="70"/>
        <v>4316.9800000000005</v>
      </c>
    </row>
    <row r="4492" spans="1:14" x14ac:dyDescent="0.3">
      <c r="A4492" t="s">
        <v>5348</v>
      </c>
      <c r="B4492" s="2">
        <v>45807</v>
      </c>
      <c r="C4492" t="s">
        <v>7</v>
      </c>
      <c r="D4492" t="s">
        <v>747</v>
      </c>
      <c r="E4492" t="s">
        <v>835</v>
      </c>
      <c r="F4492">
        <v>4</v>
      </c>
      <c r="G4492">
        <v>0.05</v>
      </c>
      <c r="H4492" t="s">
        <v>865</v>
      </c>
      <c r="I4492" t="str">
        <f>VLOOKUP(C4492,Customers!A:C,2,FALSE)&amp;" "&amp;VLOOKUP(C4492,Customers!A:C,3,FALSE)</f>
        <v>Michael Davis</v>
      </c>
      <c r="J4492" t="str">
        <f>VLOOKUP(D4492,Products!A:C,2,FALSE)</f>
        <v>World Watches</v>
      </c>
      <c r="K4492" t="str">
        <f>VLOOKUP(D4492,Products!A:C,3,FALSE)</f>
        <v>Fashion</v>
      </c>
      <c r="L4492" t="str">
        <f>VLOOKUP(E4492,Stores!A:B,2,FALSE)</f>
        <v>MegaMart Peckmouth</v>
      </c>
      <c r="M4492">
        <f>VLOOKUP(D4492,Products!A:E,5,FALSE)</f>
        <v>1134.8</v>
      </c>
      <c r="N4492" s="5">
        <f t="shared" si="70"/>
        <v>4312.24</v>
      </c>
    </row>
    <row r="4493" spans="1:14" x14ac:dyDescent="0.3">
      <c r="A4493" t="s">
        <v>5349</v>
      </c>
      <c r="B4493" s="2">
        <v>45337</v>
      </c>
      <c r="C4493" t="s">
        <v>498</v>
      </c>
      <c r="D4493" t="s">
        <v>715</v>
      </c>
      <c r="E4493" t="s">
        <v>839</v>
      </c>
      <c r="F4493">
        <v>5</v>
      </c>
      <c r="G4493">
        <v>0</v>
      </c>
      <c r="H4493" t="s">
        <v>858</v>
      </c>
      <c r="I4493" t="str">
        <f>VLOOKUP(C4493,Customers!A:C,2,FALSE)&amp;" "&amp;VLOOKUP(C4493,Customers!A:C,3,FALSE)</f>
        <v>Amanda Garcia</v>
      </c>
      <c r="J4493" t="str">
        <f>VLOOKUP(D4493,Products!A:C,2,FALSE)</f>
        <v>Audience Television</v>
      </c>
      <c r="K4493" t="str">
        <f>VLOOKUP(D4493,Products!A:C,3,FALSE)</f>
        <v>Electronics</v>
      </c>
      <c r="L4493" t="str">
        <f>VLOOKUP(E4493,Stores!A:B,2,FALSE)</f>
        <v>MegaMart New Michele</v>
      </c>
      <c r="M4493">
        <f>VLOOKUP(D4493,Products!A:E,5,FALSE)</f>
        <v>818.76</v>
      </c>
      <c r="N4493" s="5">
        <f t="shared" si="70"/>
        <v>4093.8</v>
      </c>
    </row>
    <row r="4494" spans="1:14" x14ac:dyDescent="0.3">
      <c r="A4494" t="s">
        <v>5350</v>
      </c>
      <c r="B4494" s="2">
        <v>45844</v>
      </c>
      <c r="C4494" t="s">
        <v>258</v>
      </c>
      <c r="D4494" t="s">
        <v>810</v>
      </c>
      <c r="E4494" t="s">
        <v>839</v>
      </c>
      <c r="F4494">
        <v>2</v>
      </c>
      <c r="G4494">
        <v>0.15</v>
      </c>
      <c r="H4494" t="s">
        <v>861</v>
      </c>
      <c r="I4494" t="str">
        <f>VLOOKUP(C4494,Customers!A:C,2,FALSE)&amp;" "&amp;VLOOKUP(C4494,Customers!A:C,3,FALSE)</f>
        <v>Alexandra Montoya</v>
      </c>
      <c r="J4494" t="str">
        <f>VLOOKUP(D4494,Products!A:C,2,FALSE)</f>
        <v>Maybe Clothing</v>
      </c>
      <c r="K4494" t="str">
        <f>VLOOKUP(D4494,Products!A:C,3,FALSE)</f>
        <v>Fashion</v>
      </c>
      <c r="L4494" t="str">
        <f>VLOOKUP(E4494,Stores!A:B,2,FALSE)</f>
        <v>MegaMart New Michele</v>
      </c>
      <c r="M4494">
        <f>VLOOKUP(D4494,Products!A:E,5,FALSE)</f>
        <v>453.62</v>
      </c>
      <c r="N4494" s="5">
        <f t="shared" si="70"/>
        <v>771.154</v>
      </c>
    </row>
    <row r="4495" spans="1:14" x14ac:dyDescent="0.3">
      <c r="A4495" t="s">
        <v>5351</v>
      </c>
      <c r="B4495" s="2">
        <v>45470</v>
      </c>
      <c r="C4495" t="s">
        <v>347</v>
      </c>
      <c r="D4495" t="s">
        <v>812</v>
      </c>
      <c r="E4495" t="s">
        <v>835</v>
      </c>
      <c r="F4495">
        <v>4</v>
      </c>
      <c r="G4495">
        <v>0.1</v>
      </c>
      <c r="H4495" t="s">
        <v>861</v>
      </c>
      <c r="I4495" t="str">
        <f>VLOOKUP(C4495,Customers!A:C,2,FALSE)&amp;" "&amp;VLOOKUP(C4495,Customers!A:C,3,FALSE)</f>
        <v>Lindsey Holder</v>
      </c>
      <c r="J4495" t="str">
        <f>VLOOKUP(D4495,Products!A:C,2,FALSE)</f>
        <v>Soon Accessories</v>
      </c>
      <c r="K4495" t="str">
        <f>VLOOKUP(D4495,Products!A:C,3,FALSE)</f>
        <v>Fashion</v>
      </c>
      <c r="L4495" t="str">
        <f>VLOOKUP(E4495,Stores!A:B,2,FALSE)</f>
        <v>MegaMart Peckmouth</v>
      </c>
      <c r="M4495">
        <f>VLOOKUP(D4495,Products!A:E,5,FALSE)</f>
        <v>564.41999999999996</v>
      </c>
      <c r="N4495" s="5">
        <f t="shared" si="70"/>
        <v>2031.9119999999998</v>
      </c>
    </row>
    <row r="4496" spans="1:14" x14ac:dyDescent="0.3">
      <c r="A4496" t="s">
        <v>5352</v>
      </c>
      <c r="B4496" s="2">
        <v>45187</v>
      </c>
      <c r="C4496" t="s">
        <v>221</v>
      </c>
      <c r="D4496" t="s">
        <v>794</v>
      </c>
      <c r="E4496" t="s">
        <v>839</v>
      </c>
      <c r="F4496">
        <v>4</v>
      </c>
      <c r="G4496">
        <v>0</v>
      </c>
      <c r="H4496" t="s">
        <v>865</v>
      </c>
      <c r="I4496" t="str">
        <f>VLOOKUP(C4496,Customers!A:C,2,FALSE)&amp;" "&amp;VLOOKUP(C4496,Customers!A:C,3,FALSE)</f>
        <v>Julie Gibson</v>
      </c>
      <c r="J4496" t="str">
        <f>VLOOKUP(D4496,Products!A:C,2,FALSE)</f>
        <v>Everything Laptop</v>
      </c>
      <c r="K4496" t="str">
        <f>VLOOKUP(D4496,Products!A:C,3,FALSE)</f>
        <v>Electronics</v>
      </c>
      <c r="L4496" t="str">
        <f>VLOOKUP(E4496,Stores!A:B,2,FALSE)</f>
        <v>MegaMart New Michele</v>
      </c>
      <c r="M4496">
        <f>VLOOKUP(D4496,Products!A:E,5,FALSE)</f>
        <v>428.05</v>
      </c>
      <c r="N4496" s="5">
        <f t="shared" si="70"/>
        <v>1712.2</v>
      </c>
    </row>
    <row r="4497" spans="1:14" x14ac:dyDescent="0.3">
      <c r="A4497" t="s">
        <v>5353</v>
      </c>
      <c r="B4497" s="2">
        <v>45301</v>
      </c>
      <c r="C4497" t="s">
        <v>287</v>
      </c>
      <c r="D4497" t="s">
        <v>715</v>
      </c>
      <c r="E4497" t="s">
        <v>831</v>
      </c>
      <c r="F4497">
        <v>2</v>
      </c>
      <c r="G4497">
        <v>0</v>
      </c>
      <c r="H4497" t="s">
        <v>861</v>
      </c>
      <c r="I4497" t="str">
        <f>VLOOKUP(C4497,Customers!A:C,2,FALSE)&amp;" "&amp;VLOOKUP(C4497,Customers!A:C,3,FALSE)</f>
        <v>Phyllis Durham</v>
      </c>
      <c r="J4497" t="str">
        <f>VLOOKUP(D4497,Products!A:C,2,FALSE)</f>
        <v>Audience Television</v>
      </c>
      <c r="K4497" t="str">
        <f>VLOOKUP(D4497,Products!A:C,3,FALSE)</f>
        <v>Electronics</v>
      </c>
      <c r="L4497" t="str">
        <f>VLOOKUP(E4497,Stores!A:B,2,FALSE)</f>
        <v>MegaMart Jimenezborough</v>
      </c>
      <c r="M4497">
        <f>VLOOKUP(D4497,Products!A:E,5,FALSE)</f>
        <v>818.76</v>
      </c>
      <c r="N4497" s="5">
        <f t="shared" si="70"/>
        <v>1637.52</v>
      </c>
    </row>
    <row r="4498" spans="1:14" x14ac:dyDescent="0.3">
      <c r="A4498" t="s">
        <v>5354</v>
      </c>
      <c r="B4498" s="2">
        <v>45368</v>
      </c>
      <c r="C4498" t="s">
        <v>516</v>
      </c>
      <c r="D4498" t="s">
        <v>776</v>
      </c>
      <c r="E4498" t="s">
        <v>839</v>
      </c>
      <c r="F4498">
        <v>1</v>
      </c>
      <c r="G4498">
        <v>0</v>
      </c>
      <c r="H4498" t="s">
        <v>858</v>
      </c>
      <c r="I4498" t="str">
        <f>VLOOKUP(C4498,Customers!A:C,2,FALSE)&amp;" "&amp;VLOOKUP(C4498,Customers!A:C,3,FALSE)</f>
        <v>Suzanne Fox</v>
      </c>
      <c r="J4498" t="str">
        <f>VLOOKUP(D4498,Products!A:C,2,FALSE)</f>
        <v>Little Watches</v>
      </c>
      <c r="K4498" t="str">
        <f>VLOOKUP(D4498,Products!A:C,3,FALSE)</f>
        <v>Fashion</v>
      </c>
      <c r="L4498" t="str">
        <f>VLOOKUP(E4498,Stores!A:B,2,FALSE)</f>
        <v>MegaMart New Michele</v>
      </c>
      <c r="M4498">
        <f>VLOOKUP(D4498,Products!A:E,5,FALSE)</f>
        <v>429.15</v>
      </c>
      <c r="N4498" s="5">
        <f t="shared" si="70"/>
        <v>429.15</v>
      </c>
    </row>
    <row r="4499" spans="1:14" x14ac:dyDescent="0.3">
      <c r="A4499" t="s">
        <v>5355</v>
      </c>
      <c r="B4499" s="2">
        <v>45214</v>
      </c>
      <c r="C4499" t="s">
        <v>74</v>
      </c>
      <c r="D4499" t="s">
        <v>772</v>
      </c>
      <c r="E4499" t="s">
        <v>835</v>
      </c>
      <c r="F4499">
        <v>3</v>
      </c>
      <c r="G4499">
        <v>0.1</v>
      </c>
      <c r="H4499" t="s">
        <v>865</v>
      </c>
      <c r="I4499" t="str">
        <f>VLOOKUP(C4499,Customers!A:C,2,FALSE)&amp;" "&amp;VLOOKUP(C4499,Customers!A:C,3,FALSE)</f>
        <v>Breanna Davis</v>
      </c>
      <c r="J4499" t="str">
        <f>VLOOKUP(D4499,Products!A:C,2,FALSE)</f>
        <v>And Footwear</v>
      </c>
      <c r="K4499" t="str">
        <f>VLOOKUP(D4499,Products!A:C,3,FALSE)</f>
        <v>Fashion</v>
      </c>
      <c r="L4499" t="str">
        <f>VLOOKUP(E4499,Stores!A:B,2,FALSE)</f>
        <v>MegaMart Peckmouth</v>
      </c>
      <c r="M4499">
        <f>VLOOKUP(D4499,Products!A:E,5,FALSE)</f>
        <v>1878.47</v>
      </c>
      <c r="N4499" s="5">
        <f t="shared" si="70"/>
        <v>5071.8689999999997</v>
      </c>
    </row>
    <row r="4500" spans="1:14" x14ac:dyDescent="0.3">
      <c r="A4500" t="s">
        <v>5356</v>
      </c>
      <c r="B4500" s="2">
        <v>45749</v>
      </c>
      <c r="C4500" t="s">
        <v>280</v>
      </c>
      <c r="D4500" t="s">
        <v>800</v>
      </c>
      <c r="E4500" t="s">
        <v>842</v>
      </c>
      <c r="F4500">
        <v>1</v>
      </c>
      <c r="G4500">
        <v>0</v>
      </c>
      <c r="H4500" t="s">
        <v>865</v>
      </c>
      <c r="I4500" t="str">
        <f>VLOOKUP(C4500,Customers!A:C,2,FALSE)&amp;" "&amp;VLOOKUP(C4500,Customers!A:C,3,FALSE)</f>
        <v>Jesus Singh</v>
      </c>
      <c r="J4500" t="str">
        <f>VLOOKUP(D4500,Products!A:C,2,FALSE)</f>
        <v>Book Television</v>
      </c>
      <c r="K4500" t="str">
        <f>VLOOKUP(D4500,Products!A:C,3,FALSE)</f>
        <v>Electronics</v>
      </c>
      <c r="L4500" t="str">
        <f>VLOOKUP(E4500,Stores!A:B,2,FALSE)</f>
        <v>MegaMart Brianahaven</v>
      </c>
      <c r="M4500">
        <f>VLOOKUP(D4500,Products!A:E,5,FALSE)</f>
        <v>1952.65</v>
      </c>
      <c r="N4500" s="5">
        <f t="shared" si="70"/>
        <v>1952.65</v>
      </c>
    </row>
    <row r="4501" spans="1:14" x14ac:dyDescent="0.3">
      <c r="A4501" t="s">
        <v>5357</v>
      </c>
      <c r="B4501" s="2">
        <v>45717</v>
      </c>
      <c r="C4501" t="s">
        <v>442</v>
      </c>
      <c r="D4501" t="s">
        <v>816</v>
      </c>
      <c r="E4501" t="s">
        <v>846</v>
      </c>
      <c r="F4501">
        <v>2</v>
      </c>
      <c r="G4501">
        <v>0.05</v>
      </c>
      <c r="H4501" t="s">
        <v>865</v>
      </c>
      <c r="I4501" t="str">
        <f>VLOOKUP(C4501,Customers!A:C,2,FALSE)&amp;" "&amp;VLOOKUP(C4501,Customers!A:C,3,FALSE)</f>
        <v>Jason Lloyd</v>
      </c>
      <c r="J4501" t="str">
        <f>VLOOKUP(D4501,Products!A:C,2,FALSE)</f>
        <v>Set Dairy</v>
      </c>
      <c r="K4501" t="str">
        <f>VLOOKUP(D4501,Products!A:C,3,FALSE)</f>
        <v>Groceries</v>
      </c>
      <c r="L4501" t="str">
        <f>VLOOKUP(E4501,Stores!A:B,2,FALSE)</f>
        <v>MegaMart Johnmouth</v>
      </c>
      <c r="M4501">
        <f>VLOOKUP(D4501,Products!A:E,5,FALSE)</f>
        <v>1879.08</v>
      </c>
      <c r="N4501" s="5">
        <f t="shared" si="70"/>
        <v>3570.2519999999995</v>
      </c>
    </row>
    <row r="4502" spans="1:14" x14ac:dyDescent="0.3">
      <c r="A4502" t="s">
        <v>5358</v>
      </c>
      <c r="B4502" s="2">
        <v>45199</v>
      </c>
      <c r="C4502" t="s">
        <v>258</v>
      </c>
      <c r="D4502" t="s">
        <v>824</v>
      </c>
      <c r="E4502" t="s">
        <v>842</v>
      </c>
      <c r="F4502">
        <v>4</v>
      </c>
      <c r="G4502">
        <v>0</v>
      </c>
      <c r="H4502" t="s">
        <v>865</v>
      </c>
      <c r="I4502" t="str">
        <f>VLOOKUP(C4502,Customers!A:C,2,FALSE)&amp;" "&amp;VLOOKUP(C4502,Customers!A:C,3,FALSE)</f>
        <v>Alexandra Montoya</v>
      </c>
      <c r="J4502" t="str">
        <f>VLOOKUP(D4502,Products!A:C,2,FALSE)</f>
        <v>Possible Watches</v>
      </c>
      <c r="K4502" t="str">
        <f>VLOOKUP(D4502,Products!A:C,3,FALSE)</f>
        <v>Fashion</v>
      </c>
      <c r="L4502" t="str">
        <f>VLOOKUP(E4502,Stores!A:B,2,FALSE)</f>
        <v>MegaMart Brianahaven</v>
      </c>
      <c r="M4502">
        <f>VLOOKUP(D4502,Products!A:E,5,FALSE)</f>
        <v>388.26</v>
      </c>
      <c r="N4502" s="5">
        <f t="shared" si="70"/>
        <v>1553.04</v>
      </c>
    </row>
    <row r="4503" spans="1:14" x14ac:dyDescent="0.3">
      <c r="A4503" t="s">
        <v>5359</v>
      </c>
      <c r="B4503" s="2">
        <v>45764</v>
      </c>
      <c r="C4503" t="s">
        <v>89</v>
      </c>
      <c r="D4503" t="s">
        <v>734</v>
      </c>
      <c r="E4503" t="s">
        <v>835</v>
      </c>
      <c r="F4503">
        <v>5</v>
      </c>
      <c r="G4503">
        <v>0.05</v>
      </c>
      <c r="H4503" t="s">
        <v>861</v>
      </c>
      <c r="I4503" t="str">
        <f>VLOOKUP(C4503,Customers!A:C,2,FALSE)&amp;" "&amp;VLOOKUP(C4503,Customers!A:C,3,FALSE)</f>
        <v>Megan Velasquez</v>
      </c>
      <c r="J4503" t="str">
        <f>VLOOKUP(D4503,Products!A:C,2,FALSE)</f>
        <v>Recognize Footwear</v>
      </c>
      <c r="K4503" t="str">
        <f>VLOOKUP(D4503,Products!A:C,3,FALSE)</f>
        <v>Fashion</v>
      </c>
      <c r="L4503" t="str">
        <f>VLOOKUP(E4503,Stores!A:B,2,FALSE)</f>
        <v>MegaMart Peckmouth</v>
      </c>
      <c r="M4503">
        <f>VLOOKUP(D4503,Products!A:E,5,FALSE)</f>
        <v>109.78</v>
      </c>
      <c r="N4503" s="5">
        <f t="shared" si="70"/>
        <v>521.45499999999993</v>
      </c>
    </row>
    <row r="4504" spans="1:14" x14ac:dyDescent="0.3">
      <c r="A4504" t="s">
        <v>5360</v>
      </c>
      <c r="B4504" s="2">
        <v>45731</v>
      </c>
      <c r="C4504" t="s">
        <v>438</v>
      </c>
      <c r="D4504" t="s">
        <v>728</v>
      </c>
      <c r="E4504" t="s">
        <v>831</v>
      </c>
      <c r="F4504">
        <v>1</v>
      </c>
      <c r="G4504">
        <v>0</v>
      </c>
      <c r="H4504" t="s">
        <v>861</v>
      </c>
      <c r="I4504" t="str">
        <f>VLOOKUP(C4504,Customers!A:C,2,FALSE)&amp;" "&amp;VLOOKUP(C4504,Customers!A:C,3,FALSE)</f>
        <v>Gina Bradford</v>
      </c>
      <c r="J4504" t="str">
        <f>VLOOKUP(D4504,Products!A:C,2,FALSE)</f>
        <v>Company Fruits</v>
      </c>
      <c r="K4504" t="str">
        <f>VLOOKUP(D4504,Products!A:C,3,FALSE)</f>
        <v>Groceries</v>
      </c>
      <c r="L4504" t="str">
        <f>VLOOKUP(E4504,Stores!A:B,2,FALSE)</f>
        <v>MegaMart Jimenezborough</v>
      </c>
      <c r="M4504">
        <f>VLOOKUP(D4504,Products!A:E,5,FALSE)</f>
        <v>318.05</v>
      </c>
      <c r="N4504" s="5">
        <f t="shared" si="70"/>
        <v>318.05</v>
      </c>
    </row>
    <row r="4505" spans="1:14" x14ac:dyDescent="0.3">
      <c r="A4505" t="s">
        <v>5361</v>
      </c>
      <c r="B4505" s="2">
        <v>45794</v>
      </c>
      <c r="C4505" t="s">
        <v>202</v>
      </c>
      <c r="D4505" t="s">
        <v>715</v>
      </c>
      <c r="E4505" t="s">
        <v>835</v>
      </c>
      <c r="F4505">
        <v>5</v>
      </c>
      <c r="G4505">
        <v>0.15</v>
      </c>
      <c r="H4505" t="s">
        <v>865</v>
      </c>
      <c r="I4505" t="str">
        <f>VLOOKUP(C4505,Customers!A:C,2,FALSE)&amp;" "&amp;VLOOKUP(C4505,Customers!A:C,3,FALSE)</f>
        <v>Billy Hernandez</v>
      </c>
      <c r="J4505" t="str">
        <f>VLOOKUP(D4505,Products!A:C,2,FALSE)</f>
        <v>Audience Television</v>
      </c>
      <c r="K4505" t="str">
        <f>VLOOKUP(D4505,Products!A:C,3,FALSE)</f>
        <v>Electronics</v>
      </c>
      <c r="L4505" t="str">
        <f>VLOOKUP(E4505,Stores!A:B,2,FALSE)</f>
        <v>MegaMart Peckmouth</v>
      </c>
      <c r="M4505">
        <f>VLOOKUP(D4505,Products!A:E,5,FALSE)</f>
        <v>818.76</v>
      </c>
      <c r="N4505" s="5">
        <f t="shared" si="70"/>
        <v>3479.73</v>
      </c>
    </row>
    <row r="4506" spans="1:14" x14ac:dyDescent="0.3">
      <c r="A4506" t="s">
        <v>5362</v>
      </c>
      <c r="B4506" s="2">
        <v>45630</v>
      </c>
      <c r="C4506" t="s">
        <v>339</v>
      </c>
      <c r="D4506" t="s">
        <v>784</v>
      </c>
      <c r="E4506" t="s">
        <v>831</v>
      </c>
      <c r="F4506">
        <v>2</v>
      </c>
      <c r="G4506">
        <v>0</v>
      </c>
      <c r="H4506" t="s">
        <v>855</v>
      </c>
      <c r="I4506" t="str">
        <f>VLOOKUP(C4506,Customers!A:C,2,FALSE)&amp;" "&amp;VLOOKUP(C4506,Customers!A:C,3,FALSE)</f>
        <v>Carrie Peterson</v>
      </c>
      <c r="J4506" t="str">
        <f>VLOOKUP(D4506,Products!A:C,2,FALSE)</f>
        <v>Road Clothing</v>
      </c>
      <c r="K4506" t="str">
        <f>VLOOKUP(D4506,Products!A:C,3,FALSE)</f>
        <v>Fashion</v>
      </c>
      <c r="L4506" t="str">
        <f>VLOOKUP(E4506,Stores!A:B,2,FALSE)</f>
        <v>MegaMart Jimenezborough</v>
      </c>
      <c r="M4506">
        <f>VLOOKUP(D4506,Products!A:E,5,FALSE)</f>
        <v>1485.05</v>
      </c>
      <c r="N4506" s="5">
        <f t="shared" si="70"/>
        <v>2970.1</v>
      </c>
    </row>
    <row r="4507" spans="1:14" x14ac:dyDescent="0.3">
      <c r="A4507" t="s">
        <v>5363</v>
      </c>
      <c r="B4507" s="2">
        <v>45180</v>
      </c>
      <c r="C4507" t="s">
        <v>500</v>
      </c>
      <c r="D4507" t="s">
        <v>778</v>
      </c>
      <c r="E4507" t="s">
        <v>839</v>
      </c>
      <c r="F4507">
        <v>1</v>
      </c>
      <c r="G4507">
        <v>0.15</v>
      </c>
      <c r="H4507" t="s">
        <v>858</v>
      </c>
      <c r="I4507" t="str">
        <f>VLOOKUP(C4507,Customers!A:C,2,FALSE)&amp;" "&amp;VLOOKUP(C4507,Customers!A:C,3,FALSE)</f>
        <v>Gary Lopez</v>
      </c>
      <c r="J4507" t="str">
        <f>VLOOKUP(D4507,Products!A:C,2,FALSE)</f>
        <v>Behavior Dairy</v>
      </c>
      <c r="K4507" t="str">
        <f>VLOOKUP(D4507,Products!A:C,3,FALSE)</f>
        <v>Groceries</v>
      </c>
      <c r="L4507" t="str">
        <f>VLOOKUP(E4507,Stores!A:B,2,FALSE)</f>
        <v>MegaMart New Michele</v>
      </c>
      <c r="M4507">
        <f>VLOOKUP(D4507,Products!A:E,5,FALSE)</f>
        <v>1015.76</v>
      </c>
      <c r="N4507" s="5">
        <f t="shared" si="70"/>
        <v>863.39599999999996</v>
      </c>
    </row>
    <row r="4508" spans="1:14" x14ac:dyDescent="0.3">
      <c r="A4508" t="s">
        <v>5364</v>
      </c>
      <c r="B4508" s="2">
        <v>45207</v>
      </c>
      <c r="C4508" t="s">
        <v>419</v>
      </c>
      <c r="D4508" t="s">
        <v>790</v>
      </c>
      <c r="E4508" t="s">
        <v>839</v>
      </c>
      <c r="F4508">
        <v>2</v>
      </c>
      <c r="G4508">
        <v>0.1</v>
      </c>
      <c r="H4508" t="s">
        <v>855</v>
      </c>
      <c r="I4508" t="str">
        <f>VLOOKUP(C4508,Customers!A:C,2,FALSE)&amp;" "&amp;VLOOKUP(C4508,Customers!A:C,3,FALSE)</f>
        <v>Jeffrey Smith</v>
      </c>
      <c r="J4508" t="str">
        <f>VLOOKUP(D4508,Products!A:C,2,FALSE)</f>
        <v>Difficult Vegetables</v>
      </c>
      <c r="K4508" t="str">
        <f>VLOOKUP(D4508,Products!A:C,3,FALSE)</f>
        <v>Groceries</v>
      </c>
      <c r="L4508" t="str">
        <f>VLOOKUP(E4508,Stores!A:B,2,FALSE)</f>
        <v>MegaMart New Michele</v>
      </c>
      <c r="M4508">
        <f>VLOOKUP(D4508,Products!A:E,5,FALSE)</f>
        <v>304.70999999999998</v>
      </c>
      <c r="N4508" s="5">
        <f t="shared" si="70"/>
        <v>548.47799999999995</v>
      </c>
    </row>
    <row r="4509" spans="1:14" x14ac:dyDescent="0.3">
      <c r="A4509" t="s">
        <v>5365</v>
      </c>
      <c r="B4509" s="2">
        <v>45650</v>
      </c>
      <c r="C4509" t="s">
        <v>368</v>
      </c>
      <c r="D4509" t="s">
        <v>759</v>
      </c>
      <c r="E4509" t="s">
        <v>831</v>
      </c>
      <c r="F4509">
        <v>3</v>
      </c>
      <c r="G4509">
        <v>0.05</v>
      </c>
      <c r="H4509" t="s">
        <v>861</v>
      </c>
      <c r="I4509" t="str">
        <f>VLOOKUP(C4509,Customers!A:C,2,FALSE)&amp;" "&amp;VLOOKUP(C4509,Customers!A:C,3,FALSE)</f>
        <v>Lisa Vega</v>
      </c>
      <c r="J4509" t="str">
        <f>VLOOKUP(D4509,Products!A:C,2,FALSE)</f>
        <v>Democratic Smartphone</v>
      </c>
      <c r="K4509" t="str">
        <f>VLOOKUP(D4509,Products!A:C,3,FALSE)</f>
        <v>Electronics</v>
      </c>
      <c r="L4509" t="str">
        <f>VLOOKUP(E4509,Stores!A:B,2,FALSE)</f>
        <v>MegaMart Jimenezborough</v>
      </c>
      <c r="M4509">
        <f>VLOOKUP(D4509,Products!A:E,5,FALSE)</f>
        <v>1079.8900000000001</v>
      </c>
      <c r="N4509" s="5">
        <f t="shared" si="70"/>
        <v>3077.6864999999998</v>
      </c>
    </row>
    <row r="4510" spans="1:14" x14ac:dyDescent="0.3">
      <c r="A4510" t="s">
        <v>5366</v>
      </c>
      <c r="B4510" s="2">
        <v>45643</v>
      </c>
      <c r="C4510" t="s">
        <v>422</v>
      </c>
      <c r="D4510" t="s">
        <v>796</v>
      </c>
      <c r="E4510" t="s">
        <v>842</v>
      </c>
      <c r="F4510">
        <v>2</v>
      </c>
      <c r="G4510">
        <v>0.1</v>
      </c>
      <c r="H4510" t="s">
        <v>858</v>
      </c>
      <c r="I4510" t="str">
        <f>VLOOKUP(C4510,Customers!A:C,2,FALSE)&amp;" "&amp;VLOOKUP(C4510,Customers!A:C,3,FALSE)</f>
        <v>Heidi Wilson</v>
      </c>
      <c r="J4510" t="str">
        <f>VLOOKUP(D4510,Products!A:C,2,FALSE)</f>
        <v>Chair Laptop</v>
      </c>
      <c r="K4510" t="str">
        <f>VLOOKUP(D4510,Products!A:C,3,FALSE)</f>
        <v>Electronics</v>
      </c>
      <c r="L4510" t="str">
        <f>VLOOKUP(E4510,Stores!A:B,2,FALSE)</f>
        <v>MegaMart Brianahaven</v>
      </c>
      <c r="M4510">
        <f>VLOOKUP(D4510,Products!A:E,5,FALSE)</f>
        <v>1562.43</v>
      </c>
      <c r="N4510" s="5">
        <f t="shared" si="70"/>
        <v>2812.3740000000003</v>
      </c>
    </row>
    <row r="4511" spans="1:14" x14ac:dyDescent="0.3">
      <c r="A4511" t="s">
        <v>5367</v>
      </c>
      <c r="B4511" s="2">
        <v>45544</v>
      </c>
      <c r="C4511" t="s">
        <v>32</v>
      </c>
      <c r="D4511" t="s">
        <v>802</v>
      </c>
      <c r="E4511" t="s">
        <v>831</v>
      </c>
      <c r="F4511">
        <v>5</v>
      </c>
      <c r="G4511">
        <v>0</v>
      </c>
      <c r="H4511" t="s">
        <v>855</v>
      </c>
      <c r="I4511" t="str">
        <f>VLOOKUP(C4511,Customers!A:C,2,FALSE)&amp;" "&amp;VLOOKUP(C4511,Customers!A:C,3,FALSE)</f>
        <v>Erin Walker</v>
      </c>
      <c r="J4511" t="str">
        <f>VLOOKUP(D4511,Products!A:C,2,FALSE)</f>
        <v>Stage Footwear</v>
      </c>
      <c r="K4511" t="str">
        <f>VLOOKUP(D4511,Products!A:C,3,FALSE)</f>
        <v>Fashion</v>
      </c>
      <c r="L4511" t="str">
        <f>VLOOKUP(E4511,Stores!A:B,2,FALSE)</f>
        <v>MegaMart Jimenezborough</v>
      </c>
      <c r="M4511">
        <f>VLOOKUP(D4511,Products!A:E,5,FALSE)</f>
        <v>366.93</v>
      </c>
      <c r="N4511" s="5">
        <f t="shared" si="70"/>
        <v>1834.65</v>
      </c>
    </row>
    <row r="4512" spans="1:14" x14ac:dyDescent="0.3">
      <c r="A4512" t="s">
        <v>5368</v>
      </c>
      <c r="B4512" s="2">
        <v>45731</v>
      </c>
      <c r="C4512" t="s">
        <v>234</v>
      </c>
      <c r="D4512" t="s">
        <v>788</v>
      </c>
      <c r="E4512" t="s">
        <v>831</v>
      </c>
      <c r="F4512">
        <v>3</v>
      </c>
      <c r="G4512">
        <v>0.15</v>
      </c>
      <c r="H4512" t="s">
        <v>861</v>
      </c>
      <c r="I4512" t="str">
        <f>VLOOKUP(C4512,Customers!A:C,2,FALSE)&amp;" "&amp;VLOOKUP(C4512,Customers!A:C,3,FALSE)</f>
        <v>Heather Russell</v>
      </c>
      <c r="J4512" t="str">
        <f>VLOOKUP(D4512,Products!A:C,2,FALSE)</f>
        <v>Foot Snacks</v>
      </c>
      <c r="K4512" t="str">
        <f>VLOOKUP(D4512,Products!A:C,3,FALSE)</f>
        <v>Groceries</v>
      </c>
      <c r="L4512" t="str">
        <f>VLOOKUP(E4512,Stores!A:B,2,FALSE)</f>
        <v>MegaMart Jimenezborough</v>
      </c>
      <c r="M4512">
        <f>VLOOKUP(D4512,Products!A:E,5,FALSE)</f>
        <v>1095.72</v>
      </c>
      <c r="N4512" s="5">
        <f t="shared" si="70"/>
        <v>2794.0859999999998</v>
      </c>
    </row>
    <row r="4513" spans="1:14" x14ac:dyDescent="0.3">
      <c r="A4513" t="s">
        <v>5369</v>
      </c>
      <c r="B4513" s="2">
        <v>45193</v>
      </c>
      <c r="C4513" t="s">
        <v>664</v>
      </c>
      <c r="D4513" t="s">
        <v>778</v>
      </c>
      <c r="E4513" t="s">
        <v>839</v>
      </c>
      <c r="F4513">
        <v>4</v>
      </c>
      <c r="G4513">
        <v>0.05</v>
      </c>
      <c r="H4513" t="s">
        <v>855</v>
      </c>
      <c r="I4513" t="str">
        <f>VLOOKUP(C4513,Customers!A:C,2,FALSE)&amp;" "&amp;VLOOKUP(C4513,Customers!A:C,3,FALSE)</f>
        <v>Ryan Flores</v>
      </c>
      <c r="J4513" t="str">
        <f>VLOOKUP(D4513,Products!A:C,2,FALSE)</f>
        <v>Behavior Dairy</v>
      </c>
      <c r="K4513" t="str">
        <f>VLOOKUP(D4513,Products!A:C,3,FALSE)</f>
        <v>Groceries</v>
      </c>
      <c r="L4513" t="str">
        <f>VLOOKUP(E4513,Stores!A:B,2,FALSE)</f>
        <v>MegaMart New Michele</v>
      </c>
      <c r="M4513">
        <f>VLOOKUP(D4513,Products!A:E,5,FALSE)</f>
        <v>1015.76</v>
      </c>
      <c r="N4513" s="5">
        <f t="shared" si="70"/>
        <v>3859.8879999999999</v>
      </c>
    </row>
    <row r="4514" spans="1:14" x14ac:dyDescent="0.3">
      <c r="A4514" t="s">
        <v>5370</v>
      </c>
      <c r="B4514" s="2">
        <v>45271</v>
      </c>
      <c r="C4514" t="s">
        <v>234</v>
      </c>
      <c r="D4514" t="s">
        <v>818</v>
      </c>
      <c r="E4514" t="s">
        <v>839</v>
      </c>
      <c r="F4514">
        <v>5</v>
      </c>
      <c r="G4514">
        <v>0.15</v>
      </c>
      <c r="H4514" t="s">
        <v>865</v>
      </c>
      <c r="I4514" t="str">
        <f>VLOOKUP(C4514,Customers!A:C,2,FALSE)&amp;" "&amp;VLOOKUP(C4514,Customers!A:C,3,FALSE)</f>
        <v>Heather Russell</v>
      </c>
      <c r="J4514" t="str">
        <f>VLOOKUP(D4514,Products!A:C,2,FALSE)</f>
        <v>Nature Clothing</v>
      </c>
      <c r="K4514" t="str">
        <f>VLOOKUP(D4514,Products!A:C,3,FALSE)</f>
        <v>Fashion</v>
      </c>
      <c r="L4514" t="str">
        <f>VLOOKUP(E4514,Stores!A:B,2,FALSE)</f>
        <v>MegaMart New Michele</v>
      </c>
      <c r="M4514">
        <f>VLOOKUP(D4514,Products!A:E,5,FALSE)</f>
        <v>1165.3699999999999</v>
      </c>
      <c r="N4514" s="5">
        <f t="shared" si="70"/>
        <v>4952.8224999999993</v>
      </c>
    </row>
    <row r="4515" spans="1:14" x14ac:dyDescent="0.3">
      <c r="A4515" t="s">
        <v>5371</v>
      </c>
      <c r="B4515" s="2">
        <v>45718</v>
      </c>
      <c r="C4515" t="s">
        <v>464</v>
      </c>
      <c r="D4515" t="s">
        <v>774</v>
      </c>
      <c r="E4515" t="s">
        <v>842</v>
      </c>
      <c r="F4515">
        <v>5</v>
      </c>
      <c r="G4515">
        <v>0.05</v>
      </c>
      <c r="H4515" t="s">
        <v>861</v>
      </c>
      <c r="I4515" t="str">
        <f>VLOOKUP(C4515,Customers!A:C,2,FALSE)&amp;" "&amp;VLOOKUP(C4515,Customers!A:C,3,FALSE)</f>
        <v>Monique Johnson</v>
      </c>
      <c r="J4515" t="str">
        <f>VLOOKUP(D4515,Products!A:C,2,FALSE)</f>
        <v>Him Smartphone</v>
      </c>
      <c r="K4515" t="str">
        <f>VLOOKUP(D4515,Products!A:C,3,FALSE)</f>
        <v>Electronics</v>
      </c>
      <c r="L4515" t="str">
        <f>VLOOKUP(E4515,Stores!A:B,2,FALSE)</f>
        <v>MegaMart Brianahaven</v>
      </c>
      <c r="M4515">
        <f>VLOOKUP(D4515,Products!A:E,5,FALSE)</f>
        <v>1487.41</v>
      </c>
      <c r="N4515" s="5">
        <f t="shared" si="70"/>
        <v>7065.1975000000002</v>
      </c>
    </row>
    <row r="4516" spans="1:14" x14ac:dyDescent="0.3">
      <c r="A4516" t="s">
        <v>5372</v>
      </c>
      <c r="B4516" s="2">
        <v>45811</v>
      </c>
      <c r="C4516" t="s">
        <v>310</v>
      </c>
      <c r="D4516" t="s">
        <v>711</v>
      </c>
      <c r="E4516" t="s">
        <v>831</v>
      </c>
      <c r="F4516">
        <v>2</v>
      </c>
      <c r="G4516">
        <v>0.15</v>
      </c>
      <c r="H4516" t="s">
        <v>861</v>
      </c>
      <c r="I4516" t="str">
        <f>VLOOKUP(C4516,Customers!A:C,2,FALSE)&amp;" "&amp;VLOOKUP(C4516,Customers!A:C,3,FALSE)</f>
        <v>Amy Haley</v>
      </c>
      <c r="J4516" t="str">
        <f>VLOOKUP(D4516,Products!A:C,2,FALSE)</f>
        <v>Like Camera</v>
      </c>
      <c r="K4516" t="str">
        <f>VLOOKUP(D4516,Products!A:C,3,FALSE)</f>
        <v>Electronics</v>
      </c>
      <c r="L4516" t="str">
        <f>VLOOKUP(E4516,Stores!A:B,2,FALSE)</f>
        <v>MegaMart Jimenezborough</v>
      </c>
      <c r="M4516">
        <f>VLOOKUP(D4516,Products!A:E,5,FALSE)</f>
        <v>1673.69</v>
      </c>
      <c r="N4516" s="5">
        <f t="shared" si="70"/>
        <v>2845.2730000000001</v>
      </c>
    </row>
    <row r="4517" spans="1:14" x14ac:dyDescent="0.3">
      <c r="A4517" t="s">
        <v>5373</v>
      </c>
      <c r="B4517" s="2">
        <v>45507</v>
      </c>
      <c r="C4517" t="s">
        <v>379</v>
      </c>
      <c r="D4517" t="s">
        <v>725</v>
      </c>
      <c r="E4517" t="s">
        <v>842</v>
      </c>
      <c r="F4517">
        <v>1</v>
      </c>
      <c r="G4517">
        <v>0.15</v>
      </c>
      <c r="H4517" t="s">
        <v>858</v>
      </c>
      <c r="I4517" t="str">
        <f>VLOOKUP(C4517,Customers!A:C,2,FALSE)&amp;" "&amp;VLOOKUP(C4517,Customers!A:C,3,FALSE)</f>
        <v>William Pope</v>
      </c>
      <c r="J4517" t="str">
        <f>VLOOKUP(D4517,Products!A:C,2,FALSE)</f>
        <v>Knowledge Bags</v>
      </c>
      <c r="K4517" t="str">
        <f>VLOOKUP(D4517,Products!A:C,3,FALSE)</f>
        <v>Fashion</v>
      </c>
      <c r="L4517" t="str">
        <f>VLOOKUP(E4517,Stores!A:B,2,FALSE)</f>
        <v>MegaMart Brianahaven</v>
      </c>
      <c r="M4517">
        <f>VLOOKUP(D4517,Products!A:E,5,FALSE)</f>
        <v>1396.22</v>
      </c>
      <c r="N4517" s="5">
        <f t="shared" si="70"/>
        <v>1186.787</v>
      </c>
    </row>
    <row r="4518" spans="1:14" x14ac:dyDescent="0.3">
      <c r="A4518" t="s">
        <v>5374</v>
      </c>
      <c r="B4518" s="2">
        <v>45430</v>
      </c>
      <c r="C4518" t="s">
        <v>640</v>
      </c>
      <c r="D4518" t="s">
        <v>784</v>
      </c>
      <c r="E4518" t="s">
        <v>842</v>
      </c>
      <c r="F4518">
        <v>3</v>
      </c>
      <c r="G4518">
        <v>0.15</v>
      </c>
      <c r="H4518" t="s">
        <v>861</v>
      </c>
      <c r="I4518" t="str">
        <f>VLOOKUP(C4518,Customers!A:C,2,FALSE)&amp;" "&amp;VLOOKUP(C4518,Customers!A:C,3,FALSE)</f>
        <v>Brittany Oneal</v>
      </c>
      <c r="J4518" t="str">
        <f>VLOOKUP(D4518,Products!A:C,2,FALSE)</f>
        <v>Road Clothing</v>
      </c>
      <c r="K4518" t="str">
        <f>VLOOKUP(D4518,Products!A:C,3,FALSE)</f>
        <v>Fashion</v>
      </c>
      <c r="L4518" t="str">
        <f>VLOOKUP(E4518,Stores!A:B,2,FALSE)</f>
        <v>MegaMart Brianahaven</v>
      </c>
      <c r="M4518">
        <f>VLOOKUP(D4518,Products!A:E,5,FALSE)</f>
        <v>1485.05</v>
      </c>
      <c r="N4518" s="5">
        <f t="shared" si="70"/>
        <v>3786.8774999999996</v>
      </c>
    </row>
    <row r="4519" spans="1:14" x14ac:dyDescent="0.3">
      <c r="A4519" t="s">
        <v>5375</v>
      </c>
      <c r="B4519" s="2">
        <v>45428</v>
      </c>
      <c r="C4519" t="s">
        <v>134</v>
      </c>
      <c r="D4519" t="s">
        <v>798</v>
      </c>
      <c r="E4519" t="s">
        <v>839</v>
      </c>
      <c r="F4519">
        <v>1</v>
      </c>
      <c r="G4519">
        <v>0.15</v>
      </c>
      <c r="H4519" t="s">
        <v>858</v>
      </c>
      <c r="I4519" t="str">
        <f>VLOOKUP(C4519,Customers!A:C,2,FALSE)&amp;" "&amp;VLOOKUP(C4519,Customers!A:C,3,FALSE)</f>
        <v>Kari Miller</v>
      </c>
      <c r="J4519" t="str">
        <f>VLOOKUP(D4519,Products!A:C,2,FALSE)</f>
        <v>New Watches</v>
      </c>
      <c r="K4519" t="str">
        <f>VLOOKUP(D4519,Products!A:C,3,FALSE)</f>
        <v>Fashion</v>
      </c>
      <c r="L4519" t="str">
        <f>VLOOKUP(E4519,Stores!A:B,2,FALSE)</f>
        <v>MegaMart New Michele</v>
      </c>
      <c r="M4519">
        <f>VLOOKUP(D4519,Products!A:E,5,FALSE)</f>
        <v>1501.46</v>
      </c>
      <c r="N4519" s="5">
        <f t="shared" si="70"/>
        <v>1276.241</v>
      </c>
    </row>
    <row r="4520" spans="1:14" x14ac:dyDescent="0.3">
      <c r="A4520" t="s">
        <v>5376</v>
      </c>
      <c r="B4520" s="2">
        <v>45467</v>
      </c>
      <c r="C4520" t="s">
        <v>509</v>
      </c>
      <c r="D4520" t="s">
        <v>725</v>
      </c>
      <c r="E4520" t="s">
        <v>842</v>
      </c>
      <c r="F4520">
        <v>5</v>
      </c>
      <c r="G4520">
        <v>0.1</v>
      </c>
      <c r="H4520" t="s">
        <v>855</v>
      </c>
      <c r="I4520" t="str">
        <f>VLOOKUP(C4520,Customers!A:C,2,FALSE)&amp;" "&amp;VLOOKUP(C4520,Customers!A:C,3,FALSE)</f>
        <v>Stacy Williams</v>
      </c>
      <c r="J4520" t="str">
        <f>VLOOKUP(D4520,Products!A:C,2,FALSE)</f>
        <v>Knowledge Bags</v>
      </c>
      <c r="K4520" t="str">
        <f>VLOOKUP(D4520,Products!A:C,3,FALSE)</f>
        <v>Fashion</v>
      </c>
      <c r="L4520" t="str">
        <f>VLOOKUP(E4520,Stores!A:B,2,FALSE)</f>
        <v>MegaMart Brianahaven</v>
      </c>
      <c r="M4520">
        <f>VLOOKUP(D4520,Products!A:E,5,FALSE)</f>
        <v>1396.22</v>
      </c>
      <c r="N4520" s="5">
        <f t="shared" si="70"/>
        <v>6282.9900000000007</v>
      </c>
    </row>
    <row r="4521" spans="1:14" x14ac:dyDescent="0.3">
      <c r="A4521" t="s">
        <v>5377</v>
      </c>
      <c r="B4521" s="2">
        <v>45817</v>
      </c>
      <c r="C4521" t="s">
        <v>452</v>
      </c>
      <c r="D4521" t="s">
        <v>806</v>
      </c>
      <c r="E4521" t="s">
        <v>842</v>
      </c>
      <c r="F4521">
        <v>1</v>
      </c>
      <c r="G4521">
        <v>0.05</v>
      </c>
      <c r="H4521" t="s">
        <v>865</v>
      </c>
      <c r="I4521" t="str">
        <f>VLOOKUP(C4521,Customers!A:C,2,FALSE)&amp;" "&amp;VLOOKUP(C4521,Customers!A:C,3,FALSE)</f>
        <v>Amy Smith</v>
      </c>
      <c r="J4521" t="str">
        <f>VLOOKUP(D4521,Products!A:C,2,FALSE)</f>
        <v>Piece Headphones</v>
      </c>
      <c r="K4521" t="str">
        <f>VLOOKUP(D4521,Products!A:C,3,FALSE)</f>
        <v>Electronics</v>
      </c>
      <c r="L4521" t="str">
        <f>VLOOKUP(E4521,Stores!A:B,2,FALSE)</f>
        <v>MegaMart Brianahaven</v>
      </c>
      <c r="M4521">
        <f>VLOOKUP(D4521,Products!A:E,5,FALSE)</f>
        <v>1745.61</v>
      </c>
      <c r="N4521" s="5">
        <f t="shared" si="70"/>
        <v>1658.3294999999998</v>
      </c>
    </row>
    <row r="4522" spans="1:14" x14ac:dyDescent="0.3">
      <c r="A4522" t="s">
        <v>5378</v>
      </c>
      <c r="B4522" s="2">
        <v>45455</v>
      </c>
      <c r="C4522" t="s">
        <v>585</v>
      </c>
      <c r="D4522" t="s">
        <v>824</v>
      </c>
      <c r="E4522" t="s">
        <v>835</v>
      </c>
      <c r="F4522">
        <v>3</v>
      </c>
      <c r="G4522">
        <v>0</v>
      </c>
      <c r="H4522" t="s">
        <v>865</v>
      </c>
      <c r="I4522" t="str">
        <f>VLOOKUP(C4522,Customers!A:C,2,FALSE)&amp;" "&amp;VLOOKUP(C4522,Customers!A:C,3,FALSE)</f>
        <v>Linda Vasquez</v>
      </c>
      <c r="J4522" t="str">
        <f>VLOOKUP(D4522,Products!A:C,2,FALSE)</f>
        <v>Possible Watches</v>
      </c>
      <c r="K4522" t="str">
        <f>VLOOKUP(D4522,Products!A:C,3,FALSE)</f>
        <v>Fashion</v>
      </c>
      <c r="L4522" t="str">
        <f>VLOOKUP(E4522,Stores!A:B,2,FALSE)</f>
        <v>MegaMart Peckmouth</v>
      </c>
      <c r="M4522">
        <f>VLOOKUP(D4522,Products!A:E,5,FALSE)</f>
        <v>388.26</v>
      </c>
      <c r="N4522" s="5">
        <f t="shared" si="70"/>
        <v>1164.78</v>
      </c>
    </row>
    <row r="4523" spans="1:14" x14ac:dyDescent="0.3">
      <c r="A4523" t="s">
        <v>5379</v>
      </c>
      <c r="B4523" s="2">
        <v>45723</v>
      </c>
      <c r="C4523" t="s">
        <v>396</v>
      </c>
      <c r="D4523" t="s">
        <v>715</v>
      </c>
      <c r="E4523" t="s">
        <v>831</v>
      </c>
      <c r="F4523">
        <v>5</v>
      </c>
      <c r="G4523">
        <v>0.1</v>
      </c>
      <c r="H4523" t="s">
        <v>858</v>
      </c>
      <c r="I4523" t="str">
        <f>VLOOKUP(C4523,Customers!A:C,2,FALSE)&amp;" "&amp;VLOOKUP(C4523,Customers!A:C,3,FALSE)</f>
        <v>Kevin Flores</v>
      </c>
      <c r="J4523" t="str">
        <f>VLOOKUP(D4523,Products!A:C,2,FALSE)</f>
        <v>Audience Television</v>
      </c>
      <c r="K4523" t="str">
        <f>VLOOKUP(D4523,Products!A:C,3,FALSE)</f>
        <v>Electronics</v>
      </c>
      <c r="L4523" t="str">
        <f>VLOOKUP(E4523,Stores!A:B,2,FALSE)</f>
        <v>MegaMart Jimenezborough</v>
      </c>
      <c r="M4523">
        <f>VLOOKUP(D4523,Products!A:E,5,FALSE)</f>
        <v>818.76</v>
      </c>
      <c r="N4523" s="5">
        <f t="shared" si="70"/>
        <v>3684.42</v>
      </c>
    </row>
    <row r="4524" spans="1:14" x14ac:dyDescent="0.3">
      <c r="A4524" t="s">
        <v>5380</v>
      </c>
      <c r="B4524" s="2">
        <v>45752</v>
      </c>
      <c r="C4524" t="s">
        <v>294</v>
      </c>
      <c r="D4524" t="s">
        <v>761</v>
      </c>
      <c r="E4524" t="s">
        <v>835</v>
      </c>
      <c r="F4524">
        <v>2</v>
      </c>
      <c r="G4524">
        <v>0.05</v>
      </c>
      <c r="H4524" t="s">
        <v>855</v>
      </c>
      <c r="I4524" t="str">
        <f>VLOOKUP(C4524,Customers!A:C,2,FALSE)&amp;" "&amp;VLOOKUP(C4524,Customers!A:C,3,FALSE)</f>
        <v>Jeanne Young</v>
      </c>
      <c r="J4524" t="str">
        <f>VLOOKUP(D4524,Products!A:C,2,FALSE)</f>
        <v>Traditional Laptop</v>
      </c>
      <c r="K4524" t="str">
        <f>VLOOKUP(D4524,Products!A:C,3,FALSE)</f>
        <v>Electronics</v>
      </c>
      <c r="L4524" t="str">
        <f>VLOOKUP(E4524,Stores!A:B,2,FALSE)</f>
        <v>MegaMart Peckmouth</v>
      </c>
      <c r="M4524">
        <f>VLOOKUP(D4524,Products!A:E,5,FALSE)</f>
        <v>1762.92</v>
      </c>
      <c r="N4524" s="5">
        <f t="shared" si="70"/>
        <v>3349.5479999999998</v>
      </c>
    </row>
    <row r="4525" spans="1:14" x14ac:dyDescent="0.3">
      <c r="A4525" t="s">
        <v>5381</v>
      </c>
      <c r="B4525" s="2">
        <v>45897</v>
      </c>
      <c r="C4525" t="s">
        <v>266</v>
      </c>
      <c r="D4525" t="s">
        <v>824</v>
      </c>
      <c r="E4525" t="s">
        <v>835</v>
      </c>
      <c r="F4525">
        <v>3</v>
      </c>
      <c r="G4525">
        <v>0</v>
      </c>
      <c r="H4525" t="s">
        <v>855</v>
      </c>
      <c r="I4525" t="str">
        <f>VLOOKUP(C4525,Customers!A:C,2,FALSE)&amp;" "&amp;VLOOKUP(C4525,Customers!A:C,3,FALSE)</f>
        <v>Eric Bryan</v>
      </c>
      <c r="J4525" t="str">
        <f>VLOOKUP(D4525,Products!A:C,2,FALSE)</f>
        <v>Possible Watches</v>
      </c>
      <c r="K4525" t="str">
        <f>VLOOKUP(D4525,Products!A:C,3,FALSE)</f>
        <v>Fashion</v>
      </c>
      <c r="L4525" t="str">
        <f>VLOOKUP(E4525,Stores!A:B,2,FALSE)</f>
        <v>MegaMart Peckmouth</v>
      </c>
      <c r="M4525">
        <f>VLOOKUP(D4525,Products!A:E,5,FALSE)</f>
        <v>388.26</v>
      </c>
      <c r="N4525" s="5">
        <f t="shared" si="70"/>
        <v>1164.78</v>
      </c>
    </row>
    <row r="4526" spans="1:14" x14ac:dyDescent="0.3">
      <c r="A4526" t="s">
        <v>5382</v>
      </c>
      <c r="B4526" s="2">
        <v>45406</v>
      </c>
      <c r="C4526" t="s">
        <v>657</v>
      </c>
      <c r="D4526" t="s">
        <v>736</v>
      </c>
      <c r="E4526" t="s">
        <v>842</v>
      </c>
      <c r="F4526">
        <v>4</v>
      </c>
      <c r="G4526">
        <v>0.05</v>
      </c>
      <c r="H4526" t="s">
        <v>865</v>
      </c>
      <c r="I4526" t="str">
        <f>VLOOKUP(C4526,Customers!A:C,2,FALSE)&amp;" "&amp;VLOOKUP(C4526,Customers!A:C,3,FALSE)</f>
        <v>Vicki Guzman</v>
      </c>
      <c r="J4526" t="str">
        <f>VLOOKUP(D4526,Products!A:C,2,FALSE)</f>
        <v>Us Snacks</v>
      </c>
      <c r="K4526" t="str">
        <f>VLOOKUP(D4526,Products!A:C,3,FALSE)</f>
        <v>Groceries</v>
      </c>
      <c r="L4526" t="str">
        <f>VLOOKUP(E4526,Stores!A:B,2,FALSE)</f>
        <v>MegaMart Brianahaven</v>
      </c>
      <c r="M4526">
        <f>VLOOKUP(D4526,Products!A:E,5,FALSE)</f>
        <v>123.19</v>
      </c>
      <c r="N4526" s="5">
        <f t="shared" si="70"/>
        <v>468.12199999999996</v>
      </c>
    </row>
    <row r="4527" spans="1:14" x14ac:dyDescent="0.3">
      <c r="A4527" t="s">
        <v>5383</v>
      </c>
      <c r="B4527" s="2">
        <v>45366</v>
      </c>
      <c r="C4527" t="s">
        <v>151</v>
      </c>
      <c r="D4527" t="s">
        <v>715</v>
      </c>
      <c r="E4527" t="s">
        <v>831</v>
      </c>
      <c r="F4527">
        <v>3</v>
      </c>
      <c r="G4527">
        <v>0.15</v>
      </c>
      <c r="H4527" t="s">
        <v>855</v>
      </c>
      <c r="I4527" t="str">
        <f>VLOOKUP(C4527,Customers!A:C,2,FALSE)&amp;" "&amp;VLOOKUP(C4527,Customers!A:C,3,FALSE)</f>
        <v>Nancy Savage</v>
      </c>
      <c r="J4527" t="str">
        <f>VLOOKUP(D4527,Products!A:C,2,FALSE)</f>
        <v>Audience Television</v>
      </c>
      <c r="K4527" t="str">
        <f>VLOOKUP(D4527,Products!A:C,3,FALSE)</f>
        <v>Electronics</v>
      </c>
      <c r="L4527" t="str">
        <f>VLOOKUP(E4527,Stores!A:B,2,FALSE)</f>
        <v>MegaMart Jimenezborough</v>
      </c>
      <c r="M4527">
        <f>VLOOKUP(D4527,Products!A:E,5,FALSE)</f>
        <v>818.76</v>
      </c>
      <c r="N4527" s="5">
        <f t="shared" si="70"/>
        <v>2087.8379999999997</v>
      </c>
    </row>
    <row r="4528" spans="1:14" x14ac:dyDescent="0.3">
      <c r="A4528" t="s">
        <v>5384</v>
      </c>
      <c r="B4528" s="2">
        <v>45571</v>
      </c>
      <c r="C4528" t="s">
        <v>556</v>
      </c>
      <c r="D4528" t="s">
        <v>810</v>
      </c>
      <c r="E4528" t="s">
        <v>839</v>
      </c>
      <c r="F4528">
        <v>2</v>
      </c>
      <c r="G4528">
        <v>0.1</v>
      </c>
      <c r="H4528" t="s">
        <v>855</v>
      </c>
      <c r="I4528" t="str">
        <f>VLOOKUP(C4528,Customers!A:C,2,FALSE)&amp;" "&amp;VLOOKUP(C4528,Customers!A:C,3,FALSE)</f>
        <v>Jill Mcconnell</v>
      </c>
      <c r="J4528" t="str">
        <f>VLOOKUP(D4528,Products!A:C,2,FALSE)</f>
        <v>Maybe Clothing</v>
      </c>
      <c r="K4528" t="str">
        <f>VLOOKUP(D4528,Products!A:C,3,FALSE)</f>
        <v>Fashion</v>
      </c>
      <c r="L4528" t="str">
        <f>VLOOKUP(E4528,Stores!A:B,2,FALSE)</f>
        <v>MegaMart New Michele</v>
      </c>
      <c r="M4528">
        <f>VLOOKUP(D4528,Products!A:E,5,FALSE)</f>
        <v>453.62</v>
      </c>
      <c r="N4528" s="5">
        <f t="shared" si="70"/>
        <v>816.51600000000008</v>
      </c>
    </row>
    <row r="4529" spans="1:14" x14ac:dyDescent="0.3">
      <c r="A4529" t="s">
        <v>5385</v>
      </c>
      <c r="B4529" s="2">
        <v>45853</v>
      </c>
      <c r="C4529" t="s">
        <v>536</v>
      </c>
      <c r="D4529" t="s">
        <v>755</v>
      </c>
      <c r="E4529" t="s">
        <v>835</v>
      </c>
      <c r="F4529">
        <v>1</v>
      </c>
      <c r="G4529">
        <v>0.15</v>
      </c>
      <c r="H4529" t="s">
        <v>855</v>
      </c>
      <c r="I4529" t="str">
        <f>VLOOKUP(C4529,Customers!A:C,2,FALSE)&amp;" "&amp;VLOOKUP(C4529,Customers!A:C,3,FALSE)</f>
        <v>John Foster</v>
      </c>
      <c r="J4529" t="str">
        <f>VLOOKUP(D4529,Products!A:C,2,FALSE)</f>
        <v>House Accessories</v>
      </c>
      <c r="K4529" t="str">
        <f>VLOOKUP(D4529,Products!A:C,3,FALSE)</f>
        <v>Fashion</v>
      </c>
      <c r="L4529" t="str">
        <f>VLOOKUP(E4529,Stores!A:B,2,FALSE)</f>
        <v>MegaMart Peckmouth</v>
      </c>
      <c r="M4529">
        <f>VLOOKUP(D4529,Products!A:E,5,FALSE)</f>
        <v>1858.75</v>
      </c>
      <c r="N4529" s="5">
        <f t="shared" si="70"/>
        <v>1579.9375</v>
      </c>
    </row>
    <row r="4530" spans="1:14" x14ac:dyDescent="0.3">
      <c r="A4530" t="s">
        <v>5386</v>
      </c>
      <c r="B4530" s="2">
        <v>45711</v>
      </c>
      <c r="C4530" t="s">
        <v>277</v>
      </c>
      <c r="D4530" t="s">
        <v>732</v>
      </c>
      <c r="E4530" t="s">
        <v>831</v>
      </c>
      <c r="F4530">
        <v>1</v>
      </c>
      <c r="G4530">
        <v>0</v>
      </c>
      <c r="H4530" t="s">
        <v>858</v>
      </c>
      <c r="I4530" t="str">
        <f>VLOOKUP(C4530,Customers!A:C,2,FALSE)&amp;" "&amp;VLOOKUP(C4530,Customers!A:C,3,FALSE)</f>
        <v>Carl Armstrong</v>
      </c>
      <c r="J4530" t="str">
        <f>VLOOKUP(D4530,Products!A:C,2,FALSE)</f>
        <v>Understand Camera</v>
      </c>
      <c r="K4530" t="str">
        <f>VLOOKUP(D4530,Products!A:C,3,FALSE)</f>
        <v>Electronics</v>
      </c>
      <c r="L4530" t="str">
        <f>VLOOKUP(E4530,Stores!A:B,2,FALSE)</f>
        <v>MegaMart Jimenezborough</v>
      </c>
      <c r="M4530">
        <f>VLOOKUP(D4530,Products!A:E,5,FALSE)</f>
        <v>1474.12</v>
      </c>
      <c r="N4530" s="5">
        <f t="shared" si="70"/>
        <v>1474.12</v>
      </c>
    </row>
    <row r="4531" spans="1:14" x14ac:dyDescent="0.3">
      <c r="A4531" t="s">
        <v>5387</v>
      </c>
      <c r="B4531" s="2">
        <v>45808</v>
      </c>
      <c r="C4531" t="s">
        <v>700</v>
      </c>
      <c r="D4531" t="s">
        <v>816</v>
      </c>
      <c r="E4531" t="s">
        <v>835</v>
      </c>
      <c r="F4531">
        <v>5</v>
      </c>
      <c r="G4531">
        <v>0</v>
      </c>
      <c r="H4531" t="s">
        <v>861</v>
      </c>
      <c r="I4531" t="str">
        <f>VLOOKUP(C4531,Customers!A:C,2,FALSE)&amp;" "&amp;VLOOKUP(C4531,Customers!A:C,3,FALSE)</f>
        <v>Juan Johnson</v>
      </c>
      <c r="J4531" t="str">
        <f>VLOOKUP(D4531,Products!A:C,2,FALSE)</f>
        <v>Set Dairy</v>
      </c>
      <c r="K4531" t="str">
        <f>VLOOKUP(D4531,Products!A:C,3,FALSE)</f>
        <v>Groceries</v>
      </c>
      <c r="L4531" t="str">
        <f>VLOOKUP(E4531,Stores!A:B,2,FALSE)</f>
        <v>MegaMart Peckmouth</v>
      </c>
      <c r="M4531">
        <f>VLOOKUP(D4531,Products!A:E,5,FALSE)</f>
        <v>1879.08</v>
      </c>
      <c r="N4531" s="5">
        <f t="shared" si="70"/>
        <v>9395.4</v>
      </c>
    </row>
    <row r="4532" spans="1:14" x14ac:dyDescent="0.3">
      <c r="A4532" t="s">
        <v>5388</v>
      </c>
      <c r="B4532" s="2">
        <v>45387</v>
      </c>
      <c r="C4532" t="s">
        <v>442</v>
      </c>
      <c r="D4532" t="s">
        <v>725</v>
      </c>
      <c r="E4532" t="s">
        <v>835</v>
      </c>
      <c r="F4532">
        <v>1</v>
      </c>
      <c r="G4532">
        <v>0.15</v>
      </c>
      <c r="H4532" t="s">
        <v>861</v>
      </c>
      <c r="I4532" t="str">
        <f>VLOOKUP(C4532,Customers!A:C,2,FALSE)&amp;" "&amp;VLOOKUP(C4532,Customers!A:C,3,FALSE)</f>
        <v>Jason Lloyd</v>
      </c>
      <c r="J4532" t="str">
        <f>VLOOKUP(D4532,Products!A:C,2,FALSE)</f>
        <v>Knowledge Bags</v>
      </c>
      <c r="K4532" t="str">
        <f>VLOOKUP(D4532,Products!A:C,3,FALSE)</f>
        <v>Fashion</v>
      </c>
      <c r="L4532" t="str">
        <f>VLOOKUP(E4532,Stores!A:B,2,FALSE)</f>
        <v>MegaMart Peckmouth</v>
      </c>
      <c r="M4532">
        <f>VLOOKUP(D4532,Products!A:E,5,FALSE)</f>
        <v>1396.22</v>
      </c>
      <c r="N4532" s="5">
        <f t="shared" si="70"/>
        <v>1186.787</v>
      </c>
    </row>
    <row r="4533" spans="1:14" x14ac:dyDescent="0.3">
      <c r="A4533" t="s">
        <v>5389</v>
      </c>
      <c r="B4533" s="2">
        <v>45826</v>
      </c>
      <c r="C4533" t="s">
        <v>298</v>
      </c>
      <c r="D4533" t="s">
        <v>814</v>
      </c>
      <c r="E4533" t="s">
        <v>835</v>
      </c>
      <c r="F4533">
        <v>3</v>
      </c>
      <c r="G4533">
        <v>0.1</v>
      </c>
      <c r="H4533" t="s">
        <v>861</v>
      </c>
      <c r="I4533" t="str">
        <f>VLOOKUP(C4533,Customers!A:C,2,FALSE)&amp;" "&amp;VLOOKUP(C4533,Customers!A:C,3,FALSE)</f>
        <v>Donald Marsh</v>
      </c>
      <c r="J4533" t="str">
        <f>VLOOKUP(D4533,Products!A:C,2,FALSE)</f>
        <v>Least Accessories</v>
      </c>
      <c r="K4533" t="str">
        <f>VLOOKUP(D4533,Products!A:C,3,FALSE)</f>
        <v>Fashion</v>
      </c>
      <c r="L4533" t="str">
        <f>VLOOKUP(E4533,Stores!A:B,2,FALSE)</f>
        <v>MegaMart Peckmouth</v>
      </c>
      <c r="M4533">
        <f>VLOOKUP(D4533,Products!A:E,5,FALSE)</f>
        <v>1286.55</v>
      </c>
      <c r="N4533" s="5">
        <f t="shared" si="70"/>
        <v>3473.6849999999999</v>
      </c>
    </row>
    <row r="4534" spans="1:14" x14ac:dyDescent="0.3">
      <c r="A4534" t="s">
        <v>5390</v>
      </c>
      <c r="B4534" s="2">
        <v>45749</v>
      </c>
      <c r="C4534" t="s">
        <v>657</v>
      </c>
      <c r="D4534" t="s">
        <v>742</v>
      </c>
      <c r="E4534" t="s">
        <v>831</v>
      </c>
      <c r="F4534">
        <v>5</v>
      </c>
      <c r="G4534">
        <v>0.1</v>
      </c>
      <c r="H4534" t="s">
        <v>858</v>
      </c>
      <c r="I4534" t="str">
        <f>VLOOKUP(C4534,Customers!A:C,2,FALSE)&amp;" "&amp;VLOOKUP(C4534,Customers!A:C,3,FALSE)</f>
        <v>Vicki Guzman</v>
      </c>
      <c r="J4534" t="str">
        <f>VLOOKUP(D4534,Products!A:C,2,FALSE)</f>
        <v>Either Headphones</v>
      </c>
      <c r="K4534" t="str">
        <f>VLOOKUP(D4534,Products!A:C,3,FALSE)</f>
        <v>Electronics</v>
      </c>
      <c r="L4534" t="str">
        <f>VLOOKUP(E4534,Stores!A:B,2,FALSE)</f>
        <v>MegaMart Jimenezborough</v>
      </c>
      <c r="M4534">
        <f>VLOOKUP(D4534,Products!A:E,5,FALSE)</f>
        <v>248.57</v>
      </c>
      <c r="N4534" s="5">
        <f t="shared" si="70"/>
        <v>1118.5650000000001</v>
      </c>
    </row>
    <row r="4535" spans="1:14" x14ac:dyDescent="0.3">
      <c r="A4535" t="s">
        <v>5391</v>
      </c>
      <c r="B4535" s="2">
        <v>45641</v>
      </c>
      <c r="C4535" t="s">
        <v>503</v>
      </c>
      <c r="D4535" t="s">
        <v>728</v>
      </c>
      <c r="E4535" t="s">
        <v>831</v>
      </c>
      <c r="F4535">
        <v>4</v>
      </c>
      <c r="G4535">
        <v>0.15</v>
      </c>
      <c r="H4535" t="s">
        <v>855</v>
      </c>
      <c r="I4535" t="str">
        <f>VLOOKUP(C4535,Customers!A:C,2,FALSE)&amp;" "&amp;VLOOKUP(C4535,Customers!A:C,3,FALSE)</f>
        <v>Breanna Moore</v>
      </c>
      <c r="J4535" t="str">
        <f>VLOOKUP(D4535,Products!A:C,2,FALSE)</f>
        <v>Company Fruits</v>
      </c>
      <c r="K4535" t="str">
        <f>VLOOKUP(D4535,Products!A:C,3,FALSE)</f>
        <v>Groceries</v>
      </c>
      <c r="L4535" t="str">
        <f>VLOOKUP(E4535,Stores!A:B,2,FALSE)</f>
        <v>MegaMart Jimenezborough</v>
      </c>
      <c r="M4535">
        <f>VLOOKUP(D4535,Products!A:E,5,FALSE)</f>
        <v>318.05</v>
      </c>
      <c r="N4535" s="5">
        <f t="shared" si="70"/>
        <v>1081.3700000000001</v>
      </c>
    </row>
    <row r="4536" spans="1:14" x14ac:dyDescent="0.3">
      <c r="A4536" t="s">
        <v>5392</v>
      </c>
      <c r="B4536" s="2">
        <v>45772</v>
      </c>
      <c r="C4536" t="s">
        <v>700</v>
      </c>
      <c r="D4536" t="s">
        <v>759</v>
      </c>
      <c r="E4536" t="s">
        <v>831</v>
      </c>
      <c r="F4536">
        <v>3</v>
      </c>
      <c r="G4536">
        <v>0</v>
      </c>
      <c r="H4536" t="s">
        <v>865</v>
      </c>
      <c r="I4536" t="str">
        <f>VLOOKUP(C4536,Customers!A:C,2,FALSE)&amp;" "&amp;VLOOKUP(C4536,Customers!A:C,3,FALSE)</f>
        <v>Juan Johnson</v>
      </c>
      <c r="J4536" t="str">
        <f>VLOOKUP(D4536,Products!A:C,2,FALSE)</f>
        <v>Democratic Smartphone</v>
      </c>
      <c r="K4536" t="str">
        <f>VLOOKUP(D4536,Products!A:C,3,FALSE)</f>
        <v>Electronics</v>
      </c>
      <c r="L4536" t="str">
        <f>VLOOKUP(E4536,Stores!A:B,2,FALSE)</f>
        <v>MegaMart Jimenezborough</v>
      </c>
      <c r="M4536">
        <f>VLOOKUP(D4536,Products!A:E,5,FALSE)</f>
        <v>1079.8900000000001</v>
      </c>
      <c r="N4536" s="5">
        <f t="shared" si="70"/>
        <v>3239.67</v>
      </c>
    </row>
    <row r="4537" spans="1:14" x14ac:dyDescent="0.3">
      <c r="A4537" t="s">
        <v>5393</v>
      </c>
      <c r="B4537" s="2">
        <v>45546</v>
      </c>
      <c r="C4537" t="s">
        <v>51</v>
      </c>
      <c r="D4537" t="s">
        <v>788</v>
      </c>
      <c r="E4537" t="s">
        <v>835</v>
      </c>
      <c r="F4537">
        <v>1</v>
      </c>
      <c r="G4537">
        <v>0.05</v>
      </c>
      <c r="H4537" t="s">
        <v>855</v>
      </c>
      <c r="I4537" t="str">
        <f>VLOOKUP(C4537,Customers!A:C,2,FALSE)&amp;" "&amp;VLOOKUP(C4537,Customers!A:C,3,FALSE)</f>
        <v>Dale Perry</v>
      </c>
      <c r="J4537" t="str">
        <f>VLOOKUP(D4537,Products!A:C,2,FALSE)</f>
        <v>Foot Snacks</v>
      </c>
      <c r="K4537" t="str">
        <f>VLOOKUP(D4537,Products!A:C,3,FALSE)</f>
        <v>Groceries</v>
      </c>
      <c r="L4537" t="str">
        <f>VLOOKUP(E4537,Stores!A:B,2,FALSE)</f>
        <v>MegaMart Peckmouth</v>
      </c>
      <c r="M4537">
        <f>VLOOKUP(D4537,Products!A:E,5,FALSE)</f>
        <v>1095.72</v>
      </c>
      <c r="N4537" s="5">
        <f t="shared" si="70"/>
        <v>1040.934</v>
      </c>
    </row>
    <row r="4538" spans="1:14" x14ac:dyDescent="0.3">
      <c r="A4538" t="s">
        <v>5394</v>
      </c>
      <c r="B4538" s="2">
        <v>45249</v>
      </c>
      <c r="C4538" t="s">
        <v>302</v>
      </c>
      <c r="D4538" t="s">
        <v>764</v>
      </c>
      <c r="E4538" t="s">
        <v>835</v>
      </c>
      <c r="F4538">
        <v>3</v>
      </c>
      <c r="G4538">
        <v>0</v>
      </c>
      <c r="H4538" t="s">
        <v>861</v>
      </c>
      <c r="I4538" t="str">
        <f>VLOOKUP(C4538,Customers!A:C,2,FALSE)&amp;" "&amp;VLOOKUP(C4538,Customers!A:C,3,FALSE)</f>
        <v>Grace Garcia</v>
      </c>
      <c r="J4538" t="str">
        <f>VLOOKUP(D4538,Products!A:C,2,FALSE)</f>
        <v>Simple Accessories</v>
      </c>
      <c r="K4538" t="str">
        <f>VLOOKUP(D4538,Products!A:C,3,FALSE)</f>
        <v>Fashion</v>
      </c>
      <c r="L4538" t="str">
        <f>VLOOKUP(E4538,Stores!A:B,2,FALSE)</f>
        <v>MegaMart Peckmouth</v>
      </c>
      <c r="M4538">
        <f>VLOOKUP(D4538,Products!A:E,5,FALSE)</f>
        <v>323.92</v>
      </c>
      <c r="N4538" s="5">
        <f t="shared" si="70"/>
        <v>971.76</v>
      </c>
    </row>
    <row r="4539" spans="1:14" x14ac:dyDescent="0.3">
      <c r="A4539" t="s">
        <v>5395</v>
      </c>
      <c r="B4539" s="2">
        <v>45506</v>
      </c>
      <c r="C4539" t="s">
        <v>243</v>
      </c>
      <c r="D4539" t="s">
        <v>759</v>
      </c>
      <c r="E4539" t="s">
        <v>831</v>
      </c>
      <c r="F4539">
        <v>1</v>
      </c>
      <c r="G4539">
        <v>0.15</v>
      </c>
      <c r="H4539" t="s">
        <v>865</v>
      </c>
      <c r="I4539" t="str">
        <f>VLOOKUP(C4539,Customers!A:C,2,FALSE)&amp;" "&amp;VLOOKUP(C4539,Customers!A:C,3,FALSE)</f>
        <v>Amanda Hoover</v>
      </c>
      <c r="J4539" t="str">
        <f>VLOOKUP(D4539,Products!A:C,2,FALSE)</f>
        <v>Democratic Smartphone</v>
      </c>
      <c r="K4539" t="str">
        <f>VLOOKUP(D4539,Products!A:C,3,FALSE)</f>
        <v>Electronics</v>
      </c>
      <c r="L4539" t="str">
        <f>VLOOKUP(E4539,Stores!A:B,2,FALSE)</f>
        <v>MegaMart Jimenezborough</v>
      </c>
      <c r="M4539">
        <f>VLOOKUP(D4539,Products!A:E,5,FALSE)</f>
        <v>1079.8900000000001</v>
      </c>
      <c r="N4539" s="5">
        <f t="shared" si="70"/>
        <v>917.90650000000005</v>
      </c>
    </row>
    <row r="4540" spans="1:14" x14ac:dyDescent="0.3">
      <c r="A4540" t="s">
        <v>5396</v>
      </c>
      <c r="B4540" s="2">
        <v>45565</v>
      </c>
      <c r="C4540" t="s">
        <v>302</v>
      </c>
      <c r="D4540" t="s">
        <v>764</v>
      </c>
      <c r="E4540" t="s">
        <v>846</v>
      </c>
      <c r="F4540">
        <v>5</v>
      </c>
      <c r="G4540">
        <v>0.15</v>
      </c>
      <c r="H4540" t="s">
        <v>865</v>
      </c>
      <c r="I4540" t="str">
        <f>VLOOKUP(C4540,Customers!A:C,2,FALSE)&amp;" "&amp;VLOOKUP(C4540,Customers!A:C,3,FALSE)</f>
        <v>Grace Garcia</v>
      </c>
      <c r="J4540" t="str">
        <f>VLOOKUP(D4540,Products!A:C,2,FALSE)</f>
        <v>Simple Accessories</v>
      </c>
      <c r="K4540" t="str">
        <f>VLOOKUP(D4540,Products!A:C,3,FALSE)</f>
        <v>Fashion</v>
      </c>
      <c r="L4540" t="str">
        <f>VLOOKUP(E4540,Stores!A:B,2,FALSE)</f>
        <v>MegaMart Johnmouth</v>
      </c>
      <c r="M4540">
        <f>VLOOKUP(D4540,Products!A:E,5,FALSE)</f>
        <v>323.92</v>
      </c>
      <c r="N4540" s="5">
        <f t="shared" si="70"/>
        <v>1376.66</v>
      </c>
    </row>
    <row r="4541" spans="1:14" x14ac:dyDescent="0.3">
      <c r="A4541" t="s">
        <v>5397</v>
      </c>
      <c r="B4541" s="2">
        <v>45885</v>
      </c>
      <c r="C4541" t="s">
        <v>238</v>
      </c>
      <c r="D4541" t="s">
        <v>769</v>
      </c>
      <c r="E4541" t="s">
        <v>842</v>
      </c>
      <c r="F4541">
        <v>2</v>
      </c>
      <c r="G4541">
        <v>0</v>
      </c>
      <c r="H4541" t="s">
        <v>858</v>
      </c>
      <c r="I4541" t="str">
        <f>VLOOKUP(C4541,Customers!A:C,2,FALSE)&amp;" "&amp;VLOOKUP(C4541,Customers!A:C,3,FALSE)</f>
        <v>Susan Salinas</v>
      </c>
      <c r="J4541" t="str">
        <f>VLOOKUP(D4541,Products!A:C,2,FALSE)</f>
        <v>How Vegetables</v>
      </c>
      <c r="K4541" t="str">
        <f>VLOOKUP(D4541,Products!A:C,3,FALSE)</f>
        <v>Groceries</v>
      </c>
      <c r="L4541" t="str">
        <f>VLOOKUP(E4541,Stores!A:B,2,FALSE)</f>
        <v>MegaMart Brianahaven</v>
      </c>
      <c r="M4541">
        <f>VLOOKUP(D4541,Products!A:E,5,FALSE)</f>
        <v>25.57</v>
      </c>
      <c r="N4541" s="5">
        <f t="shared" si="70"/>
        <v>51.14</v>
      </c>
    </row>
    <row r="4542" spans="1:14" x14ac:dyDescent="0.3">
      <c r="A4542" t="s">
        <v>5398</v>
      </c>
      <c r="B4542" s="2">
        <v>45645</v>
      </c>
      <c r="C4542" t="s">
        <v>59</v>
      </c>
      <c r="D4542" t="s">
        <v>812</v>
      </c>
      <c r="E4542" t="s">
        <v>831</v>
      </c>
      <c r="F4542">
        <v>2</v>
      </c>
      <c r="G4542">
        <v>0.05</v>
      </c>
      <c r="H4542" t="s">
        <v>865</v>
      </c>
      <c r="I4542" t="str">
        <f>VLOOKUP(C4542,Customers!A:C,2,FALSE)&amp;" "&amp;VLOOKUP(C4542,Customers!A:C,3,FALSE)</f>
        <v>Brittany Green</v>
      </c>
      <c r="J4542" t="str">
        <f>VLOOKUP(D4542,Products!A:C,2,FALSE)</f>
        <v>Soon Accessories</v>
      </c>
      <c r="K4542" t="str">
        <f>VLOOKUP(D4542,Products!A:C,3,FALSE)</f>
        <v>Fashion</v>
      </c>
      <c r="L4542" t="str">
        <f>VLOOKUP(E4542,Stores!A:B,2,FALSE)</f>
        <v>MegaMart Jimenezborough</v>
      </c>
      <c r="M4542">
        <f>VLOOKUP(D4542,Products!A:E,5,FALSE)</f>
        <v>564.41999999999996</v>
      </c>
      <c r="N4542" s="5">
        <f t="shared" si="70"/>
        <v>1072.3979999999999</v>
      </c>
    </row>
    <row r="4543" spans="1:14" x14ac:dyDescent="0.3">
      <c r="A4543" t="s">
        <v>5399</v>
      </c>
      <c r="B4543" s="2">
        <v>45663</v>
      </c>
      <c r="C4543" t="s">
        <v>633</v>
      </c>
      <c r="D4543" t="s">
        <v>778</v>
      </c>
      <c r="E4543" t="s">
        <v>835</v>
      </c>
      <c r="F4543">
        <v>1</v>
      </c>
      <c r="G4543">
        <v>0.15</v>
      </c>
      <c r="H4543" t="s">
        <v>865</v>
      </c>
      <c r="I4543" t="str">
        <f>VLOOKUP(C4543,Customers!A:C,2,FALSE)&amp;" "&amp;VLOOKUP(C4543,Customers!A:C,3,FALSE)</f>
        <v>Dennis Wallace</v>
      </c>
      <c r="J4543" t="str">
        <f>VLOOKUP(D4543,Products!A:C,2,FALSE)</f>
        <v>Behavior Dairy</v>
      </c>
      <c r="K4543" t="str">
        <f>VLOOKUP(D4543,Products!A:C,3,FALSE)</f>
        <v>Groceries</v>
      </c>
      <c r="L4543" t="str">
        <f>VLOOKUP(E4543,Stores!A:B,2,FALSE)</f>
        <v>MegaMart Peckmouth</v>
      </c>
      <c r="M4543">
        <f>VLOOKUP(D4543,Products!A:E,5,FALSE)</f>
        <v>1015.76</v>
      </c>
      <c r="N4543" s="5">
        <f t="shared" si="70"/>
        <v>863.39599999999996</v>
      </c>
    </row>
    <row r="4544" spans="1:14" x14ac:dyDescent="0.3">
      <c r="A4544" t="s">
        <v>5400</v>
      </c>
      <c r="B4544" s="2">
        <v>45452</v>
      </c>
      <c r="C4544" t="s">
        <v>85</v>
      </c>
      <c r="D4544" t="s">
        <v>814</v>
      </c>
      <c r="E4544" t="s">
        <v>831</v>
      </c>
      <c r="F4544">
        <v>3</v>
      </c>
      <c r="G4544">
        <v>0</v>
      </c>
      <c r="H4544" t="s">
        <v>865</v>
      </c>
      <c r="I4544" t="str">
        <f>VLOOKUP(C4544,Customers!A:C,2,FALSE)&amp;" "&amp;VLOOKUP(C4544,Customers!A:C,3,FALSE)</f>
        <v>Debbie Martin</v>
      </c>
      <c r="J4544" t="str">
        <f>VLOOKUP(D4544,Products!A:C,2,FALSE)</f>
        <v>Least Accessories</v>
      </c>
      <c r="K4544" t="str">
        <f>VLOOKUP(D4544,Products!A:C,3,FALSE)</f>
        <v>Fashion</v>
      </c>
      <c r="L4544" t="str">
        <f>VLOOKUP(E4544,Stores!A:B,2,FALSE)</f>
        <v>MegaMart Jimenezborough</v>
      </c>
      <c r="M4544">
        <f>VLOOKUP(D4544,Products!A:E,5,FALSE)</f>
        <v>1286.55</v>
      </c>
      <c r="N4544" s="5">
        <f t="shared" si="70"/>
        <v>3859.6499999999996</v>
      </c>
    </row>
    <row r="4545" spans="1:14" x14ac:dyDescent="0.3">
      <c r="A4545" t="s">
        <v>5401</v>
      </c>
      <c r="B4545" s="2">
        <v>45227</v>
      </c>
      <c r="C4545" t="s">
        <v>210</v>
      </c>
      <c r="D4545" t="s">
        <v>761</v>
      </c>
      <c r="E4545" t="s">
        <v>839</v>
      </c>
      <c r="F4545">
        <v>4</v>
      </c>
      <c r="G4545">
        <v>0</v>
      </c>
      <c r="H4545" t="s">
        <v>861</v>
      </c>
      <c r="I4545" t="str">
        <f>VLOOKUP(C4545,Customers!A:C,2,FALSE)&amp;" "&amp;VLOOKUP(C4545,Customers!A:C,3,FALSE)</f>
        <v>Crystal Johnson</v>
      </c>
      <c r="J4545" t="str">
        <f>VLOOKUP(D4545,Products!A:C,2,FALSE)</f>
        <v>Traditional Laptop</v>
      </c>
      <c r="K4545" t="str">
        <f>VLOOKUP(D4545,Products!A:C,3,FALSE)</f>
        <v>Electronics</v>
      </c>
      <c r="L4545" t="str">
        <f>VLOOKUP(E4545,Stores!A:B,2,FALSE)</f>
        <v>MegaMart New Michele</v>
      </c>
      <c r="M4545">
        <f>VLOOKUP(D4545,Products!A:E,5,FALSE)</f>
        <v>1762.92</v>
      </c>
      <c r="N4545" s="5">
        <f t="shared" si="70"/>
        <v>7051.68</v>
      </c>
    </row>
    <row r="4546" spans="1:14" x14ac:dyDescent="0.3">
      <c r="A4546" t="s">
        <v>5402</v>
      </c>
      <c r="B4546" s="2">
        <v>45198</v>
      </c>
      <c r="C4546" t="s">
        <v>112</v>
      </c>
      <c r="D4546" t="s">
        <v>764</v>
      </c>
      <c r="E4546" t="s">
        <v>842</v>
      </c>
      <c r="F4546">
        <v>1</v>
      </c>
      <c r="G4546">
        <v>0.15</v>
      </c>
      <c r="H4546" t="s">
        <v>858</v>
      </c>
      <c r="I4546" t="str">
        <f>VLOOKUP(C4546,Customers!A:C,2,FALSE)&amp;" "&amp;VLOOKUP(C4546,Customers!A:C,3,FALSE)</f>
        <v>John Carr</v>
      </c>
      <c r="J4546" t="str">
        <f>VLOOKUP(D4546,Products!A:C,2,FALSE)</f>
        <v>Simple Accessories</v>
      </c>
      <c r="K4546" t="str">
        <f>VLOOKUP(D4546,Products!A:C,3,FALSE)</f>
        <v>Fashion</v>
      </c>
      <c r="L4546" t="str">
        <f>VLOOKUP(E4546,Stores!A:B,2,FALSE)</f>
        <v>MegaMart Brianahaven</v>
      </c>
      <c r="M4546">
        <f>VLOOKUP(D4546,Products!A:E,5,FALSE)</f>
        <v>323.92</v>
      </c>
      <c r="N4546" s="5">
        <f t="shared" si="70"/>
        <v>275.33199999999999</v>
      </c>
    </row>
    <row r="4547" spans="1:14" x14ac:dyDescent="0.3">
      <c r="A4547" t="s">
        <v>5403</v>
      </c>
      <c r="B4547" s="2">
        <v>45892</v>
      </c>
      <c r="C4547" t="s">
        <v>51</v>
      </c>
      <c r="D4547" t="s">
        <v>812</v>
      </c>
      <c r="E4547" t="s">
        <v>831</v>
      </c>
      <c r="F4547">
        <v>4</v>
      </c>
      <c r="G4547">
        <v>0.05</v>
      </c>
      <c r="H4547" t="s">
        <v>855</v>
      </c>
      <c r="I4547" t="str">
        <f>VLOOKUP(C4547,Customers!A:C,2,FALSE)&amp;" "&amp;VLOOKUP(C4547,Customers!A:C,3,FALSE)</f>
        <v>Dale Perry</v>
      </c>
      <c r="J4547" t="str">
        <f>VLOOKUP(D4547,Products!A:C,2,FALSE)</f>
        <v>Soon Accessories</v>
      </c>
      <c r="K4547" t="str">
        <f>VLOOKUP(D4547,Products!A:C,3,FALSE)</f>
        <v>Fashion</v>
      </c>
      <c r="L4547" t="str">
        <f>VLOOKUP(E4547,Stores!A:B,2,FALSE)</f>
        <v>MegaMart Jimenezborough</v>
      </c>
      <c r="M4547">
        <f>VLOOKUP(D4547,Products!A:E,5,FALSE)</f>
        <v>564.41999999999996</v>
      </c>
      <c r="N4547" s="5">
        <f t="shared" ref="N4547:N4610" si="71">F4547*M4547*(1-G4547)</f>
        <v>2144.7959999999998</v>
      </c>
    </row>
    <row r="4548" spans="1:14" x14ac:dyDescent="0.3">
      <c r="A4548" t="s">
        <v>5404</v>
      </c>
      <c r="B4548" s="2">
        <v>45806</v>
      </c>
      <c r="C4548" t="s">
        <v>625</v>
      </c>
      <c r="D4548" t="s">
        <v>810</v>
      </c>
      <c r="E4548" t="s">
        <v>846</v>
      </c>
      <c r="F4548">
        <v>1</v>
      </c>
      <c r="G4548">
        <v>0.1</v>
      </c>
      <c r="H4548" t="s">
        <v>865</v>
      </c>
      <c r="I4548" t="str">
        <f>VLOOKUP(C4548,Customers!A:C,2,FALSE)&amp;" "&amp;VLOOKUP(C4548,Customers!A:C,3,FALSE)</f>
        <v>Peter Garcia</v>
      </c>
      <c r="J4548" t="str">
        <f>VLOOKUP(D4548,Products!A:C,2,FALSE)</f>
        <v>Maybe Clothing</v>
      </c>
      <c r="K4548" t="str">
        <f>VLOOKUP(D4548,Products!A:C,3,FALSE)</f>
        <v>Fashion</v>
      </c>
      <c r="L4548" t="str">
        <f>VLOOKUP(E4548,Stores!A:B,2,FALSE)</f>
        <v>MegaMart Johnmouth</v>
      </c>
      <c r="M4548">
        <f>VLOOKUP(D4548,Products!A:E,5,FALSE)</f>
        <v>453.62</v>
      </c>
      <c r="N4548" s="5">
        <f t="shared" si="71"/>
        <v>408.25800000000004</v>
      </c>
    </row>
    <row r="4549" spans="1:14" x14ac:dyDescent="0.3">
      <c r="A4549" t="s">
        <v>5405</v>
      </c>
      <c r="B4549" s="2">
        <v>45304</v>
      </c>
      <c r="C4549" t="s">
        <v>539</v>
      </c>
      <c r="D4549" t="s">
        <v>798</v>
      </c>
      <c r="E4549" t="s">
        <v>839</v>
      </c>
      <c r="F4549">
        <v>4</v>
      </c>
      <c r="G4549">
        <v>0.1</v>
      </c>
      <c r="H4549" t="s">
        <v>855</v>
      </c>
      <c r="I4549" t="str">
        <f>VLOOKUP(C4549,Customers!A:C,2,FALSE)&amp;" "&amp;VLOOKUP(C4549,Customers!A:C,3,FALSE)</f>
        <v>Melissa Torres</v>
      </c>
      <c r="J4549" t="str">
        <f>VLOOKUP(D4549,Products!A:C,2,FALSE)</f>
        <v>New Watches</v>
      </c>
      <c r="K4549" t="str">
        <f>VLOOKUP(D4549,Products!A:C,3,FALSE)</f>
        <v>Fashion</v>
      </c>
      <c r="L4549" t="str">
        <f>VLOOKUP(E4549,Stores!A:B,2,FALSE)</f>
        <v>MegaMart New Michele</v>
      </c>
      <c r="M4549">
        <f>VLOOKUP(D4549,Products!A:E,5,FALSE)</f>
        <v>1501.46</v>
      </c>
      <c r="N4549" s="5">
        <f t="shared" si="71"/>
        <v>5405.2560000000003</v>
      </c>
    </row>
    <row r="4550" spans="1:14" x14ac:dyDescent="0.3">
      <c r="A4550" t="s">
        <v>5406</v>
      </c>
      <c r="B4550" s="2">
        <v>45439</v>
      </c>
      <c r="C4550" t="s">
        <v>15</v>
      </c>
      <c r="D4550" t="s">
        <v>794</v>
      </c>
      <c r="E4550" t="s">
        <v>831</v>
      </c>
      <c r="F4550">
        <v>1</v>
      </c>
      <c r="G4550">
        <v>0.05</v>
      </c>
      <c r="H4550" t="s">
        <v>858</v>
      </c>
      <c r="I4550" t="str">
        <f>VLOOKUP(C4550,Customers!A:C,2,FALSE)&amp;" "&amp;VLOOKUP(C4550,Customers!A:C,3,FALSE)</f>
        <v>Carol Hays</v>
      </c>
      <c r="J4550" t="str">
        <f>VLOOKUP(D4550,Products!A:C,2,FALSE)</f>
        <v>Everything Laptop</v>
      </c>
      <c r="K4550" t="str">
        <f>VLOOKUP(D4550,Products!A:C,3,FALSE)</f>
        <v>Electronics</v>
      </c>
      <c r="L4550" t="str">
        <f>VLOOKUP(E4550,Stores!A:B,2,FALSE)</f>
        <v>MegaMart Jimenezborough</v>
      </c>
      <c r="M4550">
        <f>VLOOKUP(D4550,Products!A:E,5,FALSE)</f>
        <v>428.05</v>
      </c>
      <c r="N4550" s="5">
        <f t="shared" si="71"/>
        <v>406.64749999999998</v>
      </c>
    </row>
    <row r="4551" spans="1:14" x14ac:dyDescent="0.3">
      <c r="A4551" t="s">
        <v>5407</v>
      </c>
      <c r="B4551" s="2">
        <v>45414</v>
      </c>
      <c r="C4551" t="s">
        <v>331</v>
      </c>
      <c r="D4551" t="s">
        <v>761</v>
      </c>
      <c r="E4551" t="s">
        <v>835</v>
      </c>
      <c r="F4551">
        <v>3</v>
      </c>
      <c r="G4551">
        <v>0.05</v>
      </c>
      <c r="H4551" t="s">
        <v>865</v>
      </c>
      <c r="I4551" t="str">
        <f>VLOOKUP(C4551,Customers!A:C,2,FALSE)&amp;" "&amp;VLOOKUP(C4551,Customers!A:C,3,FALSE)</f>
        <v>Brenda Costa</v>
      </c>
      <c r="J4551" t="str">
        <f>VLOOKUP(D4551,Products!A:C,2,FALSE)</f>
        <v>Traditional Laptop</v>
      </c>
      <c r="K4551" t="str">
        <f>VLOOKUP(D4551,Products!A:C,3,FALSE)</f>
        <v>Electronics</v>
      </c>
      <c r="L4551" t="str">
        <f>VLOOKUP(E4551,Stores!A:B,2,FALSE)</f>
        <v>MegaMart Peckmouth</v>
      </c>
      <c r="M4551">
        <f>VLOOKUP(D4551,Products!A:E,5,FALSE)</f>
        <v>1762.92</v>
      </c>
      <c r="N4551" s="5">
        <f t="shared" si="71"/>
        <v>5024.3220000000001</v>
      </c>
    </row>
    <row r="4552" spans="1:14" x14ac:dyDescent="0.3">
      <c r="A4552" t="s">
        <v>5408</v>
      </c>
      <c r="B4552" s="2">
        <v>45264</v>
      </c>
      <c r="C4552" t="s">
        <v>28</v>
      </c>
      <c r="D4552" t="s">
        <v>732</v>
      </c>
      <c r="E4552" t="s">
        <v>842</v>
      </c>
      <c r="F4552">
        <v>2</v>
      </c>
      <c r="G4552">
        <v>0.15</v>
      </c>
      <c r="H4552" t="s">
        <v>865</v>
      </c>
      <c r="I4552" t="str">
        <f>VLOOKUP(C4552,Customers!A:C,2,FALSE)&amp;" "&amp;VLOOKUP(C4552,Customers!A:C,3,FALSE)</f>
        <v>Danny Moore</v>
      </c>
      <c r="J4552" t="str">
        <f>VLOOKUP(D4552,Products!A:C,2,FALSE)</f>
        <v>Understand Camera</v>
      </c>
      <c r="K4552" t="str">
        <f>VLOOKUP(D4552,Products!A:C,3,FALSE)</f>
        <v>Electronics</v>
      </c>
      <c r="L4552" t="str">
        <f>VLOOKUP(E4552,Stores!A:B,2,FALSE)</f>
        <v>MegaMart Brianahaven</v>
      </c>
      <c r="M4552">
        <f>VLOOKUP(D4552,Products!A:E,5,FALSE)</f>
        <v>1474.12</v>
      </c>
      <c r="N4552" s="5">
        <f t="shared" si="71"/>
        <v>2506.0039999999999</v>
      </c>
    </row>
    <row r="4553" spans="1:14" x14ac:dyDescent="0.3">
      <c r="A4553" t="s">
        <v>5409</v>
      </c>
      <c r="B4553" s="2">
        <v>45198</v>
      </c>
      <c r="C4553" t="s">
        <v>449</v>
      </c>
      <c r="D4553" t="s">
        <v>794</v>
      </c>
      <c r="E4553" t="s">
        <v>835</v>
      </c>
      <c r="F4553">
        <v>4</v>
      </c>
      <c r="G4553">
        <v>0</v>
      </c>
      <c r="H4553" t="s">
        <v>861</v>
      </c>
      <c r="I4553" t="str">
        <f>VLOOKUP(C4553,Customers!A:C,2,FALSE)&amp;" "&amp;VLOOKUP(C4553,Customers!A:C,3,FALSE)</f>
        <v>John Bell</v>
      </c>
      <c r="J4553" t="str">
        <f>VLOOKUP(D4553,Products!A:C,2,FALSE)</f>
        <v>Everything Laptop</v>
      </c>
      <c r="K4553" t="str">
        <f>VLOOKUP(D4553,Products!A:C,3,FALSE)</f>
        <v>Electronics</v>
      </c>
      <c r="L4553" t="str">
        <f>VLOOKUP(E4553,Stores!A:B,2,FALSE)</f>
        <v>MegaMart Peckmouth</v>
      </c>
      <c r="M4553">
        <f>VLOOKUP(D4553,Products!A:E,5,FALSE)</f>
        <v>428.05</v>
      </c>
      <c r="N4553" s="5">
        <f t="shared" si="71"/>
        <v>1712.2</v>
      </c>
    </row>
    <row r="4554" spans="1:14" x14ac:dyDescent="0.3">
      <c r="A4554" t="s">
        <v>5410</v>
      </c>
      <c r="B4554" s="2">
        <v>45286</v>
      </c>
      <c r="C4554" t="s">
        <v>445</v>
      </c>
      <c r="D4554" t="s">
        <v>824</v>
      </c>
      <c r="E4554" t="s">
        <v>831</v>
      </c>
      <c r="F4554">
        <v>4</v>
      </c>
      <c r="G4554">
        <v>0</v>
      </c>
      <c r="H4554" t="s">
        <v>858</v>
      </c>
      <c r="I4554" t="str">
        <f>VLOOKUP(C4554,Customers!A:C,2,FALSE)&amp;" "&amp;VLOOKUP(C4554,Customers!A:C,3,FALSE)</f>
        <v>Curtis Faulkner</v>
      </c>
      <c r="J4554" t="str">
        <f>VLOOKUP(D4554,Products!A:C,2,FALSE)</f>
        <v>Possible Watches</v>
      </c>
      <c r="K4554" t="str">
        <f>VLOOKUP(D4554,Products!A:C,3,FALSE)</f>
        <v>Fashion</v>
      </c>
      <c r="L4554" t="str">
        <f>VLOOKUP(E4554,Stores!A:B,2,FALSE)</f>
        <v>MegaMart Jimenezborough</v>
      </c>
      <c r="M4554">
        <f>VLOOKUP(D4554,Products!A:E,5,FALSE)</f>
        <v>388.26</v>
      </c>
      <c r="N4554" s="5">
        <f t="shared" si="71"/>
        <v>1553.04</v>
      </c>
    </row>
    <row r="4555" spans="1:14" x14ac:dyDescent="0.3">
      <c r="A4555" t="s">
        <v>5411</v>
      </c>
      <c r="B4555" s="2">
        <v>45740</v>
      </c>
      <c r="C4555" t="s">
        <v>36</v>
      </c>
      <c r="D4555" t="s">
        <v>800</v>
      </c>
      <c r="E4555" t="s">
        <v>846</v>
      </c>
      <c r="F4555">
        <v>5</v>
      </c>
      <c r="G4555">
        <v>0</v>
      </c>
      <c r="H4555" t="s">
        <v>858</v>
      </c>
      <c r="I4555" t="str">
        <f>VLOOKUP(C4555,Customers!A:C,2,FALSE)&amp;" "&amp;VLOOKUP(C4555,Customers!A:C,3,FALSE)</f>
        <v>Isaiah Williams</v>
      </c>
      <c r="J4555" t="str">
        <f>VLOOKUP(D4555,Products!A:C,2,FALSE)</f>
        <v>Book Television</v>
      </c>
      <c r="K4555" t="str">
        <f>VLOOKUP(D4555,Products!A:C,3,FALSE)</f>
        <v>Electronics</v>
      </c>
      <c r="L4555" t="str">
        <f>VLOOKUP(E4555,Stores!A:B,2,FALSE)</f>
        <v>MegaMart Johnmouth</v>
      </c>
      <c r="M4555">
        <f>VLOOKUP(D4555,Products!A:E,5,FALSE)</f>
        <v>1952.65</v>
      </c>
      <c r="N4555" s="5">
        <f t="shared" si="71"/>
        <v>9763.25</v>
      </c>
    </row>
    <row r="4556" spans="1:14" x14ac:dyDescent="0.3">
      <c r="A4556" t="s">
        <v>5412</v>
      </c>
      <c r="B4556" s="2">
        <v>45746</v>
      </c>
      <c r="C4556" t="s">
        <v>155</v>
      </c>
      <c r="D4556" t="s">
        <v>728</v>
      </c>
      <c r="E4556" t="s">
        <v>835</v>
      </c>
      <c r="F4556">
        <v>2</v>
      </c>
      <c r="G4556">
        <v>0.15</v>
      </c>
      <c r="H4556" t="s">
        <v>855</v>
      </c>
      <c r="I4556" t="str">
        <f>VLOOKUP(C4556,Customers!A:C,2,FALSE)&amp;" "&amp;VLOOKUP(C4556,Customers!A:C,3,FALSE)</f>
        <v>Scott Powell</v>
      </c>
      <c r="J4556" t="str">
        <f>VLOOKUP(D4556,Products!A:C,2,FALSE)</f>
        <v>Company Fruits</v>
      </c>
      <c r="K4556" t="str">
        <f>VLOOKUP(D4556,Products!A:C,3,FALSE)</f>
        <v>Groceries</v>
      </c>
      <c r="L4556" t="str">
        <f>VLOOKUP(E4556,Stores!A:B,2,FALSE)</f>
        <v>MegaMart Peckmouth</v>
      </c>
      <c r="M4556">
        <f>VLOOKUP(D4556,Products!A:E,5,FALSE)</f>
        <v>318.05</v>
      </c>
      <c r="N4556" s="5">
        <f t="shared" si="71"/>
        <v>540.68500000000006</v>
      </c>
    </row>
    <row r="4557" spans="1:14" x14ac:dyDescent="0.3">
      <c r="A4557" t="s">
        <v>5413</v>
      </c>
      <c r="B4557" s="2">
        <v>45622</v>
      </c>
      <c r="C4557" t="s">
        <v>458</v>
      </c>
      <c r="D4557" t="s">
        <v>822</v>
      </c>
      <c r="E4557" t="s">
        <v>842</v>
      </c>
      <c r="F4557">
        <v>1</v>
      </c>
      <c r="G4557">
        <v>0.05</v>
      </c>
      <c r="H4557" t="s">
        <v>858</v>
      </c>
      <c r="I4557" t="str">
        <f>VLOOKUP(C4557,Customers!A:C,2,FALSE)&amp;" "&amp;VLOOKUP(C4557,Customers!A:C,3,FALSE)</f>
        <v>Chad Roberts</v>
      </c>
      <c r="J4557" t="str">
        <f>VLOOKUP(D4557,Products!A:C,2,FALSE)</f>
        <v>Nor Bags</v>
      </c>
      <c r="K4557" t="str">
        <f>VLOOKUP(D4557,Products!A:C,3,FALSE)</f>
        <v>Fashion</v>
      </c>
      <c r="L4557" t="str">
        <f>VLOOKUP(E4557,Stores!A:B,2,FALSE)</f>
        <v>MegaMart Brianahaven</v>
      </c>
      <c r="M4557">
        <f>VLOOKUP(D4557,Products!A:E,5,FALSE)</f>
        <v>1216.3599999999999</v>
      </c>
      <c r="N4557" s="5">
        <f t="shared" si="71"/>
        <v>1155.5419999999999</v>
      </c>
    </row>
    <row r="4558" spans="1:14" x14ac:dyDescent="0.3">
      <c r="A4558" t="s">
        <v>5414</v>
      </c>
      <c r="B4558" s="2">
        <v>45292</v>
      </c>
      <c r="C4558" t="s">
        <v>327</v>
      </c>
      <c r="D4558" t="s">
        <v>824</v>
      </c>
      <c r="E4558" t="s">
        <v>835</v>
      </c>
      <c r="F4558">
        <v>1</v>
      </c>
      <c r="G4558">
        <v>0.15</v>
      </c>
      <c r="H4558" t="s">
        <v>858</v>
      </c>
      <c r="I4558" t="str">
        <f>VLOOKUP(C4558,Customers!A:C,2,FALSE)&amp;" "&amp;VLOOKUP(C4558,Customers!A:C,3,FALSE)</f>
        <v>Laurie Mason</v>
      </c>
      <c r="J4558" t="str">
        <f>VLOOKUP(D4558,Products!A:C,2,FALSE)</f>
        <v>Possible Watches</v>
      </c>
      <c r="K4558" t="str">
        <f>VLOOKUP(D4558,Products!A:C,3,FALSE)</f>
        <v>Fashion</v>
      </c>
      <c r="L4558" t="str">
        <f>VLOOKUP(E4558,Stores!A:B,2,FALSE)</f>
        <v>MegaMart Peckmouth</v>
      </c>
      <c r="M4558">
        <f>VLOOKUP(D4558,Products!A:E,5,FALSE)</f>
        <v>388.26</v>
      </c>
      <c r="N4558" s="5">
        <f t="shared" si="71"/>
        <v>330.02099999999996</v>
      </c>
    </row>
    <row r="4559" spans="1:14" x14ac:dyDescent="0.3">
      <c r="A4559" t="s">
        <v>5415</v>
      </c>
      <c r="B4559" s="2">
        <v>45749</v>
      </c>
      <c r="C4559" t="s">
        <v>524</v>
      </c>
      <c r="D4559" t="s">
        <v>725</v>
      </c>
      <c r="E4559" t="s">
        <v>831</v>
      </c>
      <c r="F4559">
        <v>1</v>
      </c>
      <c r="G4559">
        <v>0.05</v>
      </c>
      <c r="H4559" t="s">
        <v>855</v>
      </c>
      <c r="I4559" t="str">
        <f>VLOOKUP(C4559,Customers!A:C,2,FALSE)&amp;" "&amp;VLOOKUP(C4559,Customers!A:C,3,FALSE)</f>
        <v>Betty Johnson</v>
      </c>
      <c r="J4559" t="str">
        <f>VLOOKUP(D4559,Products!A:C,2,FALSE)</f>
        <v>Knowledge Bags</v>
      </c>
      <c r="K4559" t="str">
        <f>VLOOKUP(D4559,Products!A:C,3,FALSE)</f>
        <v>Fashion</v>
      </c>
      <c r="L4559" t="str">
        <f>VLOOKUP(E4559,Stores!A:B,2,FALSE)</f>
        <v>MegaMart Jimenezborough</v>
      </c>
      <c r="M4559">
        <f>VLOOKUP(D4559,Products!A:E,5,FALSE)</f>
        <v>1396.22</v>
      </c>
      <c r="N4559" s="5">
        <f t="shared" si="71"/>
        <v>1326.4089999999999</v>
      </c>
    </row>
    <row r="4560" spans="1:14" x14ac:dyDescent="0.3">
      <c r="A4560" t="s">
        <v>5416</v>
      </c>
      <c r="B4560" s="2">
        <v>45402</v>
      </c>
      <c r="C4560" t="s">
        <v>512</v>
      </c>
      <c r="D4560" t="s">
        <v>732</v>
      </c>
      <c r="E4560" t="s">
        <v>831</v>
      </c>
      <c r="F4560">
        <v>5</v>
      </c>
      <c r="G4560">
        <v>0.1</v>
      </c>
      <c r="H4560" t="s">
        <v>855</v>
      </c>
      <c r="I4560" t="str">
        <f>VLOOKUP(C4560,Customers!A:C,2,FALSE)&amp;" "&amp;VLOOKUP(C4560,Customers!A:C,3,FALSE)</f>
        <v>Adam Lucas</v>
      </c>
      <c r="J4560" t="str">
        <f>VLOOKUP(D4560,Products!A:C,2,FALSE)</f>
        <v>Understand Camera</v>
      </c>
      <c r="K4560" t="str">
        <f>VLOOKUP(D4560,Products!A:C,3,FALSE)</f>
        <v>Electronics</v>
      </c>
      <c r="L4560" t="str">
        <f>VLOOKUP(E4560,Stores!A:B,2,FALSE)</f>
        <v>MegaMart Jimenezborough</v>
      </c>
      <c r="M4560">
        <f>VLOOKUP(D4560,Products!A:E,5,FALSE)</f>
        <v>1474.12</v>
      </c>
      <c r="N4560" s="5">
        <f t="shared" si="71"/>
        <v>6633.54</v>
      </c>
    </row>
    <row r="4561" spans="1:14" x14ac:dyDescent="0.3">
      <c r="A4561" t="s">
        <v>5417</v>
      </c>
      <c r="B4561" s="2">
        <v>45181</v>
      </c>
      <c r="C4561" t="s">
        <v>445</v>
      </c>
      <c r="D4561" t="s">
        <v>818</v>
      </c>
      <c r="E4561" t="s">
        <v>846</v>
      </c>
      <c r="F4561">
        <v>1</v>
      </c>
      <c r="G4561">
        <v>0</v>
      </c>
      <c r="H4561" t="s">
        <v>861</v>
      </c>
      <c r="I4561" t="str">
        <f>VLOOKUP(C4561,Customers!A:C,2,FALSE)&amp;" "&amp;VLOOKUP(C4561,Customers!A:C,3,FALSE)</f>
        <v>Curtis Faulkner</v>
      </c>
      <c r="J4561" t="str">
        <f>VLOOKUP(D4561,Products!A:C,2,FALSE)</f>
        <v>Nature Clothing</v>
      </c>
      <c r="K4561" t="str">
        <f>VLOOKUP(D4561,Products!A:C,3,FALSE)</f>
        <v>Fashion</v>
      </c>
      <c r="L4561" t="str">
        <f>VLOOKUP(E4561,Stores!A:B,2,FALSE)</f>
        <v>MegaMart Johnmouth</v>
      </c>
      <c r="M4561">
        <f>VLOOKUP(D4561,Products!A:E,5,FALSE)</f>
        <v>1165.3699999999999</v>
      </c>
      <c r="N4561" s="5">
        <f t="shared" si="71"/>
        <v>1165.3699999999999</v>
      </c>
    </row>
    <row r="4562" spans="1:14" x14ac:dyDescent="0.3">
      <c r="A4562" t="s">
        <v>5418</v>
      </c>
      <c r="B4562" s="2">
        <v>45508</v>
      </c>
      <c r="C4562" t="s">
        <v>596</v>
      </c>
      <c r="D4562" t="s">
        <v>808</v>
      </c>
      <c r="E4562" t="s">
        <v>839</v>
      </c>
      <c r="F4562">
        <v>3</v>
      </c>
      <c r="G4562">
        <v>0.05</v>
      </c>
      <c r="H4562" t="s">
        <v>861</v>
      </c>
      <c r="I4562" t="str">
        <f>VLOOKUP(C4562,Customers!A:C,2,FALSE)&amp;" "&amp;VLOOKUP(C4562,Customers!A:C,3,FALSE)</f>
        <v>Kimberly Lin</v>
      </c>
      <c r="J4562" t="str">
        <f>VLOOKUP(D4562,Products!A:C,2,FALSE)</f>
        <v>Present Television</v>
      </c>
      <c r="K4562" t="str">
        <f>VLOOKUP(D4562,Products!A:C,3,FALSE)</f>
        <v>Electronics</v>
      </c>
      <c r="L4562" t="str">
        <f>VLOOKUP(E4562,Stores!A:B,2,FALSE)</f>
        <v>MegaMart New Michele</v>
      </c>
      <c r="M4562">
        <f>VLOOKUP(D4562,Products!A:E,5,FALSE)</f>
        <v>1635.01</v>
      </c>
      <c r="N4562" s="5">
        <f t="shared" si="71"/>
        <v>4659.7784999999994</v>
      </c>
    </row>
    <row r="4563" spans="1:14" x14ac:dyDescent="0.3">
      <c r="A4563" t="s">
        <v>5419</v>
      </c>
      <c r="B4563" s="2">
        <v>45262</v>
      </c>
      <c r="C4563" t="s">
        <v>213</v>
      </c>
      <c r="D4563" t="s">
        <v>818</v>
      </c>
      <c r="E4563" t="s">
        <v>842</v>
      </c>
      <c r="F4563">
        <v>2</v>
      </c>
      <c r="G4563">
        <v>0.05</v>
      </c>
      <c r="H4563" t="s">
        <v>865</v>
      </c>
      <c r="I4563" t="str">
        <f>VLOOKUP(C4563,Customers!A:C,2,FALSE)&amp;" "&amp;VLOOKUP(C4563,Customers!A:C,3,FALSE)</f>
        <v>Deborah Moody</v>
      </c>
      <c r="J4563" t="str">
        <f>VLOOKUP(D4563,Products!A:C,2,FALSE)</f>
        <v>Nature Clothing</v>
      </c>
      <c r="K4563" t="str">
        <f>VLOOKUP(D4563,Products!A:C,3,FALSE)</f>
        <v>Fashion</v>
      </c>
      <c r="L4563" t="str">
        <f>VLOOKUP(E4563,Stores!A:B,2,FALSE)</f>
        <v>MegaMart Brianahaven</v>
      </c>
      <c r="M4563">
        <f>VLOOKUP(D4563,Products!A:E,5,FALSE)</f>
        <v>1165.3699999999999</v>
      </c>
      <c r="N4563" s="5">
        <f t="shared" si="71"/>
        <v>2214.2029999999995</v>
      </c>
    </row>
    <row r="4564" spans="1:14" x14ac:dyDescent="0.3">
      <c r="A4564" t="s">
        <v>5420</v>
      </c>
      <c r="B4564" s="2">
        <v>45193</v>
      </c>
      <c r="C4564" t="s">
        <v>379</v>
      </c>
      <c r="D4564" t="s">
        <v>802</v>
      </c>
      <c r="E4564" t="s">
        <v>846</v>
      </c>
      <c r="F4564">
        <v>1</v>
      </c>
      <c r="G4564">
        <v>0.15</v>
      </c>
      <c r="H4564" t="s">
        <v>858</v>
      </c>
      <c r="I4564" t="str">
        <f>VLOOKUP(C4564,Customers!A:C,2,FALSE)&amp;" "&amp;VLOOKUP(C4564,Customers!A:C,3,FALSE)</f>
        <v>William Pope</v>
      </c>
      <c r="J4564" t="str">
        <f>VLOOKUP(D4564,Products!A:C,2,FALSE)</f>
        <v>Stage Footwear</v>
      </c>
      <c r="K4564" t="str">
        <f>VLOOKUP(D4564,Products!A:C,3,FALSE)</f>
        <v>Fashion</v>
      </c>
      <c r="L4564" t="str">
        <f>VLOOKUP(E4564,Stores!A:B,2,FALSE)</f>
        <v>MegaMart Johnmouth</v>
      </c>
      <c r="M4564">
        <f>VLOOKUP(D4564,Products!A:E,5,FALSE)</f>
        <v>366.93</v>
      </c>
      <c r="N4564" s="5">
        <f t="shared" si="71"/>
        <v>311.89049999999997</v>
      </c>
    </row>
    <row r="4565" spans="1:14" x14ac:dyDescent="0.3">
      <c r="A4565" t="s">
        <v>5421</v>
      </c>
      <c r="B4565" s="2">
        <v>45849</v>
      </c>
      <c r="C4565" t="s">
        <v>516</v>
      </c>
      <c r="D4565" t="s">
        <v>736</v>
      </c>
      <c r="E4565" t="s">
        <v>839</v>
      </c>
      <c r="F4565">
        <v>4</v>
      </c>
      <c r="G4565">
        <v>0.1</v>
      </c>
      <c r="H4565" t="s">
        <v>858</v>
      </c>
      <c r="I4565" t="str">
        <f>VLOOKUP(C4565,Customers!A:C,2,FALSE)&amp;" "&amp;VLOOKUP(C4565,Customers!A:C,3,FALSE)</f>
        <v>Suzanne Fox</v>
      </c>
      <c r="J4565" t="str">
        <f>VLOOKUP(D4565,Products!A:C,2,FALSE)</f>
        <v>Us Snacks</v>
      </c>
      <c r="K4565" t="str">
        <f>VLOOKUP(D4565,Products!A:C,3,FALSE)</f>
        <v>Groceries</v>
      </c>
      <c r="L4565" t="str">
        <f>VLOOKUP(E4565,Stores!A:B,2,FALSE)</f>
        <v>MegaMart New Michele</v>
      </c>
      <c r="M4565">
        <f>VLOOKUP(D4565,Products!A:E,5,FALSE)</f>
        <v>123.19</v>
      </c>
      <c r="N4565" s="5">
        <f t="shared" si="71"/>
        <v>443.48399999999998</v>
      </c>
    </row>
    <row r="4566" spans="1:14" x14ac:dyDescent="0.3">
      <c r="A4566" t="s">
        <v>5422</v>
      </c>
      <c r="B4566" s="2">
        <v>45810</v>
      </c>
      <c r="C4566" t="s">
        <v>608</v>
      </c>
      <c r="D4566" t="s">
        <v>722</v>
      </c>
      <c r="E4566" t="s">
        <v>842</v>
      </c>
      <c r="F4566">
        <v>1</v>
      </c>
      <c r="G4566">
        <v>0.15</v>
      </c>
      <c r="H4566" t="s">
        <v>858</v>
      </c>
      <c r="I4566" t="str">
        <f>VLOOKUP(C4566,Customers!A:C,2,FALSE)&amp;" "&amp;VLOOKUP(C4566,Customers!A:C,3,FALSE)</f>
        <v>Christina Dominguez</v>
      </c>
      <c r="J4566" t="str">
        <f>VLOOKUP(D4566,Products!A:C,2,FALSE)</f>
        <v>Four Accessories</v>
      </c>
      <c r="K4566" t="str">
        <f>VLOOKUP(D4566,Products!A:C,3,FALSE)</f>
        <v>Fashion</v>
      </c>
      <c r="L4566" t="str">
        <f>VLOOKUP(E4566,Stores!A:B,2,FALSE)</f>
        <v>MegaMart Brianahaven</v>
      </c>
      <c r="M4566">
        <f>VLOOKUP(D4566,Products!A:E,5,FALSE)</f>
        <v>1853.77</v>
      </c>
      <c r="N4566" s="5">
        <f t="shared" si="71"/>
        <v>1575.7045000000001</v>
      </c>
    </row>
    <row r="4567" spans="1:14" x14ac:dyDescent="0.3">
      <c r="A4567" t="s">
        <v>5423</v>
      </c>
      <c r="B4567" s="2">
        <v>45214</v>
      </c>
      <c r="C4567" t="s">
        <v>621</v>
      </c>
      <c r="D4567" t="s">
        <v>780</v>
      </c>
      <c r="E4567" t="s">
        <v>839</v>
      </c>
      <c r="F4567">
        <v>1</v>
      </c>
      <c r="G4567">
        <v>0.15</v>
      </c>
      <c r="H4567" t="s">
        <v>865</v>
      </c>
      <c r="I4567" t="str">
        <f>VLOOKUP(C4567,Customers!A:C,2,FALSE)&amp;" "&amp;VLOOKUP(C4567,Customers!A:C,3,FALSE)</f>
        <v>Stacey Thompson</v>
      </c>
      <c r="J4567" t="str">
        <f>VLOOKUP(D4567,Products!A:C,2,FALSE)</f>
        <v>Hospital Smartphone</v>
      </c>
      <c r="K4567" t="str">
        <f>VLOOKUP(D4567,Products!A:C,3,FALSE)</f>
        <v>Electronics</v>
      </c>
      <c r="L4567" t="str">
        <f>VLOOKUP(E4567,Stores!A:B,2,FALSE)</f>
        <v>MegaMart New Michele</v>
      </c>
      <c r="M4567">
        <f>VLOOKUP(D4567,Products!A:E,5,FALSE)</f>
        <v>1272.23</v>
      </c>
      <c r="N4567" s="5">
        <f t="shared" si="71"/>
        <v>1081.3955000000001</v>
      </c>
    </row>
    <row r="4568" spans="1:14" x14ac:dyDescent="0.3">
      <c r="A4568" t="s">
        <v>5424</v>
      </c>
      <c r="B4568" s="2">
        <v>45407</v>
      </c>
      <c r="C4568" t="s">
        <v>241</v>
      </c>
      <c r="D4568" t="s">
        <v>786</v>
      </c>
      <c r="E4568" t="s">
        <v>846</v>
      </c>
      <c r="F4568">
        <v>3</v>
      </c>
      <c r="G4568">
        <v>0.05</v>
      </c>
      <c r="H4568" t="s">
        <v>865</v>
      </c>
      <c r="I4568" t="str">
        <f>VLOOKUP(C4568,Customers!A:C,2,FALSE)&amp;" "&amp;VLOOKUP(C4568,Customers!A:C,3,FALSE)</f>
        <v>Michael Johnson</v>
      </c>
      <c r="J4568" t="str">
        <f>VLOOKUP(D4568,Products!A:C,2,FALSE)</f>
        <v>National Watches</v>
      </c>
      <c r="K4568" t="str">
        <f>VLOOKUP(D4568,Products!A:C,3,FALSE)</f>
        <v>Fashion</v>
      </c>
      <c r="L4568" t="str">
        <f>VLOOKUP(E4568,Stores!A:B,2,FALSE)</f>
        <v>MegaMart Johnmouth</v>
      </c>
      <c r="M4568">
        <f>VLOOKUP(D4568,Products!A:E,5,FALSE)</f>
        <v>29.24</v>
      </c>
      <c r="N4568" s="5">
        <f t="shared" si="71"/>
        <v>83.333999999999989</v>
      </c>
    </row>
    <row r="4569" spans="1:14" x14ac:dyDescent="0.3">
      <c r="A4569" t="s">
        <v>5425</v>
      </c>
      <c r="B4569" s="2">
        <v>45259</v>
      </c>
      <c r="C4569" t="s">
        <v>313</v>
      </c>
      <c r="D4569" t="s">
        <v>788</v>
      </c>
      <c r="E4569" t="s">
        <v>831</v>
      </c>
      <c r="F4569">
        <v>1</v>
      </c>
      <c r="G4569">
        <v>0.15</v>
      </c>
      <c r="H4569" t="s">
        <v>855</v>
      </c>
      <c r="I4569" t="str">
        <f>VLOOKUP(C4569,Customers!A:C,2,FALSE)&amp;" "&amp;VLOOKUP(C4569,Customers!A:C,3,FALSE)</f>
        <v>Jeremy Robles</v>
      </c>
      <c r="J4569" t="str">
        <f>VLOOKUP(D4569,Products!A:C,2,FALSE)</f>
        <v>Foot Snacks</v>
      </c>
      <c r="K4569" t="str">
        <f>VLOOKUP(D4569,Products!A:C,3,FALSE)</f>
        <v>Groceries</v>
      </c>
      <c r="L4569" t="str">
        <f>VLOOKUP(E4569,Stores!A:B,2,FALSE)</f>
        <v>MegaMart Jimenezborough</v>
      </c>
      <c r="M4569">
        <f>VLOOKUP(D4569,Products!A:E,5,FALSE)</f>
        <v>1095.72</v>
      </c>
      <c r="N4569" s="5">
        <f t="shared" si="71"/>
        <v>931.36199999999997</v>
      </c>
    </row>
    <row r="4570" spans="1:14" x14ac:dyDescent="0.3">
      <c r="A4570" t="s">
        <v>5426</v>
      </c>
      <c r="B4570" s="2">
        <v>45696</v>
      </c>
      <c r="C4570" t="s">
        <v>148</v>
      </c>
      <c r="D4570" t="s">
        <v>750</v>
      </c>
      <c r="E4570" t="s">
        <v>842</v>
      </c>
      <c r="F4570">
        <v>1</v>
      </c>
      <c r="G4570">
        <v>0</v>
      </c>
      <c r="H4570" t="s">
        <v>858</v>
      </c>
      <c r="I4570" t="str">
        <f>VLOOKUP(C4570,Customers!A:C,2,FALSE)&amp;" "&amp;VLOOKUP(C4570,Customers!A:C,3,FALSE)</f>
        <v>Tracey Davis</v>
      </c>
      <c r="J4570" t="str">
        <f>VLOOKUP(D4570,Products!A:C,2,FALSE)</f>
        <v>Add Clothing</v>
      </c>
      <c r="K4570" t="str">
        <f>VLOOKUP(D4570,Products!A:C,3,FALSE)</f>
        <v>Fashion</v>
      </c>
      <c r="L4570" t="str">
        <f>VLOOKUP(E4570,Stores!A:B,2,FALSE)</f>
        <v>MegaMart Brianahaven</v>
      </c>
      <c r="M4570">
        <f>VLOOKUP(D4570,Products!A:E,5,FALSE)</f>
        <v>1342.75</v>
      </c>
      <c r="N4570" s="5">
        <f t="shared" si="71"/>
        <v>1342.75</v>
      </c>
    </row>
    <row r="4571" spans="1:14" x14ac:dyDescent="0.3">
      <c r="A4571" t="s">
        <v>5427</v>
      </c>
      <c r="B4571" s="2">
        <v>45833</v>
      </c>
      <c r="C4571" t="s">
        <v>15</v>
      </c>
      <c r="D4571" t="s">
        <v>766</v>
      </c>
      <c r="E4571" t="s">
        <v>835</v>
      </c>
      <c r="F4571">
        <v>2</v>
      </c>
      <c r="G4571">
        <v>0.1</v>
      </c>
      <c r="H4571" t="s">
        <v>865</v>
      </c>
      <c r="I4571" t="str">
        <f>VLOOKUP(C4571,Customers!A:C,2,FALSE)&amp;" "&amp;VLOOKUP(C4571,Customers!A:C,3,FALSE)</f>
        <v>Carol Hays</v>
      </c>
      <c r="J4571" t="str">
        <f>VLOOKUP(D4571,Products!A:C,2,FALSE)</f>
        <v>Firm Dairy</v>
      </c>
      <c r="K4571" t="str">
        <f>VLOOKUP(D4571,Products!A:C,3,FALSE)</f>
        <v>Groceries</v>
      </c>
      <c r="L4571" t="str">
        <f>VLOOKUP(E4571,Stores!A:B,2,FALSE)</f>
        <v>MegaMart Peckmouth</v>
      </c>
      <c r="M4571">
        <f>VLOOKUP(D4571,Products!A:E,5,FALSE)</f>
        <v>1227.24</v>
      </c>
      <c r="N4571" s="5">
        <f t="shared" si="71"/>
        <v>2209.0320000000002</v>
      </c>
    </row>
    <row r="4572" spans="1:14" x14ac:dyDescent="0.3">
      <c r="A4572" t="s">
        <v>5428</v>
      </c>
      <c r="B4572" s="2">
        <v>45504</v>
      </c>
      <c r="C4572" t="s">
        <v>596</v>
      </c>
      <c r="D4572" t="s">
        <v>725</v>
      </c>
      <c r="E4572" t="s">
        <v>846</v>
      </c>
      <c r="F4572">
        <v>3</v>
      </c>
      <c r="G4572">
        <v>0.05</v>
      </c>
      <c r="H4572" t="s">
        <v>855</v>
      </c>
      <c r="I4572" t="str">
        <f>VLOOKUP(C4572,Customers!A:C,2,FALSE)&amp;" "&amp;VLOOKUP(C4572,Customers!A:C,3,FALSE)</f>
        <v>Kimberly Lin</v>
      </c>
      <c r="J4572" t="str">
        <f>VLOOKUP(D4572,Products!A:C,2,FALSE)</f>
        <v>Knowledge Bags</v>
      </c>
      <c r="K4572" t="str">
        <f>VLOOKUP(D4572,Products!A:C,3,FALSE)</f>
        <v>Fashion</v>
      </c>
      <c r="L4572" t="str">
        <f>VLOOKUP(E4572,Stores!A:B,2,FALSE)</f>
        <v>MegaMart Johnmouth</v>
      </c>
      <c r="M4572">
        <f>VLOOKUP(D4572,Products!A:E,5,FALSE)</f>
        <v>1396.22</v>
      </c>
      <c r="N4572" s="5">
        <f t="shared" si="71"/>
        <v>3979.2269999999999</v>
      </c>
    </row>
    <row r="4573" spans="1:14" x14ac:dyDescent="0.3">
      <c r="A4573" t="s">
        <v>5429</v>
      </c>
      <c r="B4573" s="2">
        <v>45252</v>
      </c>
      <c r="C4573" t="s">
        <v>213</v>
      </c>
      <c r="D4573" t="s">
        <v>784</v>
      </c>
      <c r="E4573" t="s">
        <v>831</v>
      </c>
      <c r="F4573">
        <v>5</v>
      </c>
      <c r="G4573">
        <v>0.05</v>
      </c>
      <c r="H4573" t="s">
        <v>861</v>
      </c>
      <c r="I4573" t="str">
        <f>VLOOKUP(C4573,Customers!A:C,2,FALSE)&amp;" "&amp;VLOOKUP(C4573,Customers!A:C,3,FALSE)</f>
        <v>Deborah Moody</v>
      </c>
      <c r="J4573" t="str">
        <f>VLOOKUP(D4573,Products!A:C,2,FALSE)</f>
        <v>Road Clothing</v>
      </c>
      <c r="K4573" t="str">
        <f>VLOOKUP(D4573,Products!A:C,3,FALSE)</f>
        <v>Fashion</v>
      </c>
      <c r="L4573" t="str">
        <f>VLOOKUP(E4573,Stores!A:B,2,FALSE)</f>
        <v>MegaMart Jimenezborough</v>
      </c>
      <c r="M4573">
        <f>VLOOKUP(D4573,Products!A:E,5,FALSE)</f>
        <v>1485.05</v>
      </c>
      <c r="N4573" s="5">
        <f t="shared" si="71"/>
        <v>7053.9874999999993</v>
      </c>
    </row>
    <row r="4574" spans="1:14" x14ac:dyDescent="0.3">
      <c r="A4574" t="s">
        <v>5430</v>
      </c>
      <c r="B4574" s="2">
        <v>45692</v>
      </c>
      <c r="C4574" t="s">
        <v>280</v>
      </c>
      <c r="D4574" t="s">
        <v>826</v>
      </c>
      <c r="E4574" t="s">
        <v>846</v>
      </c>
      <c r="F4574">
        <v>3</v>
      </c>
      <c r="G4574">
        <v>0</v>
      </c>
      <c r="H4574" t="s">
        <v>861</v>
      </c>
      <c r="I4574" t="str">
        <f>VLOOKUP(C4574,Customers!A:C,2,FALSE)&amp;" "&amp;VLOOKUP(C4574,Customers!A:C,3,FALSE)</f>
        <v>Jesus Singh</v>
      </c>
      <c r="J4574" t="str">
        <f>VLOOKUP(D4574,Products!A:C,2,FALSE)</f>
        <v>Maybe Footwear</v>
      </c>
      <c r="K4574" t="str">
        <f>VLOOKUP(D4574,Products!A:C,3,FALSE)</f>
        <v>Fashion</v>
      </c>
      <c r="L4574" t="str">
        <f>VLOOKUP(E4574,Stores!A:B,2,FALSE)</f>
        <v>MegaMart Johnmouth</v>
      </c>
      <c r="M4574">
        <f>VLOOKUP(D4574,Products!A:E,5,FALSE)</f>
        <v>1044.6400000000001</v>
      </c>
      <c r="N4574" s="5">
        <f t="shared" si="71"/>
        <v>3133.92</v>
      </c>
    </row>
    <row r="4575" spans="1:14" x14ac:dyDescent="0.3">
      <c r="A4575" t="s">
        <v>5431</v>
      </c>
      <c r="B4575" s="2">
        <v>45632</v>
      </c>
      <c r="C4575" t="s">
        <v>32</v>
      </c>
      <c r="D4575" t="s">
        <v>728</v>
      </c>
      <c r="E4575" t="s">
        <v>831</v>
      </c>
      <c r="F4575">
        <v>3</v>
      </c>
      <c r="G4575">
        <v>0</v>
      </c>
      <c r="H4575" t="s">
        <v>858</v>
      </c>
      <c r="I4575" t="str">
        <f>VLOOKUP(C4575,Customers!A:C,2,FALSE)&amp;" "&amp;VLOOKUP(C4575,Customers!A:C,3,FALSE)</f>
        <v>Erin Walker</v>
      </c>
      <c r="J4575" t="str">
        <f>VLOOKUP(D4575,Products!A:C,2,FALSE)</f>
        <v>Company Fruits</v>
      </c>
      <c r="K4575" t="str">
        <f>VLOOKUP(D4575,Products!A:C,3,FALSE)</f>
        <v>Groceries</v>
      </c>
      <c r="L4575" t="str">
        <f>VLOOKUP(E4575,Stores!A:B,2,FALSE)</f>
        <v>MegaMart Jimenezborough</v>
      </c>
      <c r="M4575">
        <f>VLOOKUP(D4575,Products!A:E,5,FALSE)</f>
        <v>318.05</v>
      </c>
      <c r="N4575" s="5">
        <f t="shared" si="71"/>
        <v>954.15000000000009</v>
      </c>
    </row>
    <row r="4576" spans="1:14" x14ac:dyDescent="0.3">
      <c r="A4576" t="s">
        <v>5432</v>
      </c>
      <c r="B4576" s="2">
        <v>45707</v>
      </c>
      <c r="C4576" t="s">
        <v>554</v>
      </c>
      <c r="D4576" t="s">
        <v>826</v>
      </c>
      <c r="E4576" t="s">
        <v>831</v>
      </c>
      <c r="F4576">
        <v>1</v>
      </c>
      <c r="G4576">
        <v>0.1</v>
      </c>
      <c r="H4576" t="s">
        <v>861</v>
      </c>
      <c r="I4576" t="str">
        <f>VLOOKUP(C4576,Customers!A:C,2,FALSE)&amp;" "&amp;VLOOKUP(C4576,Customers!A:C,3,FALSE)</f>
        <v>Lisa Martinez</v>
      </c>
      <c r="J4576" t="str">
        <f>VLOOKUP(D4576,Products!A:C,2,FALSE)</f>
        <v>Maybe Footwear</v>
      </c>
      <c r="K4576" t="str">
        <f>VLOOKUP(D4576,Products!A:C,3,FALSE)</f>
        <v>Fashion</v>
      </c>
      <c r="L4576" t="str">
        <f>VLOOKUP(E4576,Stores!A:B,2,FALSE)</f>
        <v>MegaMart Jimenezborough</v>
      </c>
      <c r="M4576">
        <f>VLOOKUP(D4576,Products!A:E,5,FALSE)</f>
        <v>1044.6400000000001</v>
      </c>
      <c r="N4576" s="5">
        <f t="shared" si="71"/>
        <v>940.17600000000016</v>
      </c>
    </row>
    <row r="4577" spans="1:14" x14ac:dyDescent="0.3">
      <c r="A4577" t="s">
        <v>5433</v>
      </c>
      <c r="B4577" s="2">
        <v>45245</v>
      </c>
      <c r="C4577" t="s">
        <v>51</v>
      </c>
      <c r="D4577" t="s">
        <v>736</v>
      </c>
      <c r="E4577" t="s">
        <v>835</v>
      </c>
      <c r="F4577">
        <v>1</v>
      </c>
      <c r="G4577">
        <v>0.1</v>
      </c>
      <c r="H4577" t="s">
        <v>865</v>
      </c>
      <c r="I4577" t="str">
        <f>VLOOKUP(C4577,Customers!A:C,2,FALSE)&amp;" "&amp;VLOOKUP(C4577,Customers!A:C,3,FALSE)</f>
        <v>Dale Perry</v>
      </c>
      <c r="J4577" t="str">
        <f>VLOOKUP(D4577,Products!A:C,2,FALSE)</f>
        <v>Us Snacks</v>
      </c>
      <c r="K4577" t="str">
        <f>VLOOKUP(D4577,Products!A:C,3,FALSE)</f>
        <v>Groceries</v>
      </c>
      <c r="L4577" t="str">
        <f>VLOOKUP(E4577,Stores!A:B,2,FALSE)</f>
        <v>MegaMart Peckmouth</v>
      </c>
      <c r="M4577">
        <f>VLOOKUP(D4577,Products!A:E,5,FALSE)</f>
        <v>123.19</v>
      </c>
      <c r="N4577" s="5">
        <f t="shared" si="71"/>
        <v>110.871</v>
      </c>
    </row>
    <row r="4578" spans="1:14" x14ac:dyDescent="0.3">
      <c r="A4578" t="s">
        <v>5434</v>
      </c>
      <c r="B4578" s="2">
        <v>45694</v>
      </c>
      <c r="C4578" t="s">
        <v>364</v>
      </c>
      <c r="D4578" t="s">
        <v>788</v>
      </c>
      <c r="E4578" t="s">
        <v>842</v>
      </c>
      <c r="F4578">
        <v>3</v>
      </c>
      <c r="G4578">
        <v>0.15</v>
      </c>
      <c r="H4578" t="s">
        <v>855</v>
      </c>
      <c r="I4578" t="str">
        <f>VLOOKUP(C4578,Customers!A:C,2,FALSE)&amp;" "&amp;VLOOKUP(C4578,Customers!A:C,3,FALSE)</f>
        <v>Evelyn Gray</v>
      </c>
      <c r="J4578" t="str">
        <f>VLOOKUP(D4578,Products!A:C,2,FALSE)</f>
        <v>Foot Snacks</v>
      </c>
      <c r="K4578" t="str">
        <f>VLOOKUP(D4578,Products!A:C,3,FALSE)</f>
        <v>Groceries</v>
      </c>
      <c r="L4578" t="str">
        <f>VLOOKUP(E4578,Stores!A:B,2,FALSE)</f>
        <v>MegaMart Brianahaven</v>
      </c>
      <c r="M4578">
        <f>VLOOKUP(D4578,Products!A:E,5,FALSE)</f>
        <v>1095.72</v>
      </c>
      <c r="N4578" s="5">
        <f t="shared" si="71"/>
        <v>2794.0859999999998</v>
      </c>
    </row>
    <row r="4579" spans="1:14" x14ac:dyDescent="0.3">
      <c r="A4579" t="s">
        <v>5435</v>
      </c>
      <c r="B4579" s="2">
        <v>45554</v>
      </c>
      <c r="C4579" t="s">
        <v>390</v>
      </c>
      <c r="D4579" t="s">
        <v>812</v>
      </c>
      <c r="E4579" t="s">
        <v>835</v>
      </c>
      <c r="F4579">
        <v>2</v>
      </c>
      <c r="G4579">
        <v>0.1</v>
      </c>
      <c r="H4579" t="s">
        <v>861</v>
      </c>
      <c r="I4579" t="str">
        <f>VLOOKUP(C4579,Customers!A:C,2,FALSE)&amp;" "&amp;VLOOKUP(C4579,Customers!A:C,3,FALSE)</f>
        <v>Brenda Dean</v>
      </c>
      <c r="J4579" t="str">
        <f>VLOOKUP(D4579,Products!A:C,2,FALSE)</f>
        <v>Soon Accessories</v>
      </c>
      <c r="K4579" t="str">
        <f>VLOOKUP(D4579,Products!A:C,3,FALSE)</f>
        <v>Fashion</v>
      </c>
      <c r="L4579" t="str">
        <f>VLOOKUP(E4579,Stores!A:B,2,FALSE)</f>
        <v>MegaMart Peckmouth</v>
      </c>
      <c r="M4579">
        <f>VLOOKUP(D4579,Products!A:E,5,FALSE)</f>
        <v>564.41999999999996</v>
      </c>
      <c r="N4579" s="5">
        <f t="shared" si="71"/>
        <v>1015.9559999999999</v>
      </c>
    </row>
    <row r="4580" spans="1:14" x14ac:dyDescent="0.3">
      <c r="A4580" t="s">
        <v>5436</v>
      </c>
      <c r="B4580" s="2">
        <v>45594</v>
      </c>
      <c r="C4580" t="s">
        <v>302</v>
      </c>
      <c r="D4580" t="s">
        <v>800</v>
      </c>
      <c r="E4580" t="s">
        <v>846</v>
      </c>
      <c r="F4580">
        <v>1</v>
      </c>
      <c r="G4580">
        <v>0</v>
      </c>
      <c r="H4580" t="s">
        <v>865</v>
      </c>
      <c r="I4580" t="str">
        <f>VLOOKUP(C4580,Customers!A:C,2,FALSE)&amp;" "&amp;VLOOKUP(C4580,Customers!A:C,3,FALSE)</f>
        <v>Grace Garcia</v>
      </c>
      <c r="J4580" t="str">
        <f>VLOOKUP(D4580,Products!A:C,2,FALSE)</f>
        <v>Book Television</v>
      </c>
      <c r="K4580" t="str">
        <f>VLOOKUP(D4580,Products!A:C,3,FALSE)</f>
        <v>Electronics</v>
      </c>
      <c r="L4580" t="str">
        <f>VLOOKUP(E4580,Stores!A:B,2,FALSE)</f>
        <v>MegaMart Johnmouth</v>
      </c>
      <c r="M4580">
        <f>VLOOKUP(D4580,Products!A:E,5,FALSE)</f>
        <v>1952.65</v>
      </c>
      <c r="N4580" s="5">
        <f t="shared" si="71"/>
        <v>1952.65</v>
      </c>
    </row>
    <row r="4581" spans="1:14" x14ac:dyDescent="0.3">
      <c r="A4581" t="s">
        <v>5437</v>
      </c>
      <c r="B4581" s="2">
        <v>45745</v>
      </c>
      <c r="C4581" t="s">
        <v>317</v>
      </c>
      <c r="D4581" t="s">
        <v>761</v>
      </c>
      <c r="E4581" t="s">
        <v>831</v>
      </c>
      <c r="F4581">
        <v>1</v>
      </c>
      <c r="G4581">
        <v>0.1</v>
      </c>
      <c r="H4581" t="s">
        <v>858</v>
      </c>
      <c r="I4581" t="str">
        <f>VLOOKUP(C4581,Customers!A:C,2,FALSE)&amp;" "&amp;VLOOKUP(C4581,Customers!A:C,3,FALSE)</f>
        <v>Amanda Lee</v>
      </c>
      <c r="J4581" t="str">
        <f>VLOOKUP(D4581,Products!A:C,2,FALSE)</f>
        <v>Traditional Laptop</v>
      </c>
      <c r="K4581" t="str">
        <f>VLOOKUP(D4581,Products!A:C,3,FALSE)</f>
        <v>Electronics</v>
      </c>
      <c r="L4581" t="str">
        <f>VLOOKUP(E4581,Stores!A:B,2,FALSE)</f>
        <v>MegaMart Jimenezborough</v>
      </c>
      <c r="M4581">
        <f>VLOOKUP(D4581,Products!A:E,5,FALSE)</f>
        <v>1762.92</v>
      </c>
      <c r="N4581" s="5">
        <f t="shared" si="71"/>
        <v>1586.6280000000002</v>
      </c>
    </row>
    <row r="4582" spans="1:14" x14ac:dyDescent="0.3">
      <c r="A4582" t="s">
        <v>5438</v>
      </c>
      <c r="B4582" s="2">
        <v>45847</v>
      </c>
      <c r="C4582" t="s">
        <v>403</v>
      </c>
      <c r="D4582" t="s">
        <v>782</v>
      </c>
      <c r="E4582" t="s">
        <v>839</v>
      </c>
      <c r="F4582">
        <v>2</v>
      </c>
      <c r="G4582">
        <v>0.15</v>
      </c>
      <c r="H4582" t="s">
        <v>858</v>
      </c>
      <c r="I4582" t="str">
        <f>VLOOKUP(C4582,Customers!A:C,2,FALSE)&amp;" "&amp;VLOOKUP(C4582,Customers!A:C,3,FALSE)</f>
        <v>Samantha Hill</v>
      </c>
      <c r="J4582" t="str">
        <f>VLOOKUP(D4582,Products!A:C,2,FALSE)</f>
        <v>Deal Smartphone</v>
      </c>
      <c r="K4582" t="str">
        <f>VLOOKUP(D4582,Products!A:C,3,FALSE)</f>
        <v>Electronics</v>
      </c>
      <c r="L4582" t="str">
        <f>VLOOKUP(E4582,Stores!A:B,2,FALSE)</f>
        <v>MegaMart New Michele</v>
      </c>
      <c r="M4582">
        <f>VLOOKUP(D4582,Products!A:E,5,FALSE)</f>
        <v>673.78</v>
      </c>
      <c r="N4582" s="5">
        <f t="shared" si="71"/>
        <v>1145.4259999999999</v>
      </c>
    </row>
    <row r="4583" spans="1:14" x14ac:dyDescent="0.3">
      <c r="A4583" t="s">
        <v>5439</v>
      </c>
      <c r="B4583" s="2">
        <v>45840</v>
      </c>
      <c r="C4583" t="s">
        <v>127</v>
      </c>
      <c r="D4583" t="s">
        <v>786</v>
      </c>
      <c r="E4583" t="s">
        <v>839</v>
      </c>
      <c r="F4583">
        <v>4</v>
      </c>
      <c r="G4583">
        <v>0.05</v>
      </c>
      <c r="H4583" t="s">
        <v>855</v>
      </c>
      <c r="I4583" t="str">
        <f>VLOOKUP(C4583,Customers!A:C,2,FALSE)&amp;" "&amp;VLOOKUP(C4583,Customers!A:C,3,FALSE)</f>
        <v>Valerie Macdonald</v>
      </c>
      <c r="J4583" t="str">
        <f>VLOOKUP(D4583,Products!A:C,2,FALSE)</f>
        <v>National Watches</v>
      </c>
      <c r="K4583" t="str">
        <f>VLOOKUP(D4583,Products!A:C,3,FALSE)</f>
        <v>Fashion</v>
      </c>
      <c r="L4583" t="str">
        <f>VLOOKUP(E4583,Stores!A:B,2,FALSE)</f>
        <v>MegaMart New Michele</v>
      </c>
      <c r="M4583">
        <f>VLOOKUP(D4583,Products!A:E,5,FALSE)</f>
        <v>29.24</v>
      </c>
      <c r="N4583" s="5">
        <f t="shared" si="71"/>
        <v>111.11199999999999</v>
      </c>
    </row>
    <row r="4584" spans="1:14" x14ac:dyDescent="0.3">
      <c r="A4584" t="s">
        <v>5440</v>
      </c>
      <c r="B4584" s="2">
        <v>45454</v>
      </c>
      <c r="C4584" t="s">
        <v>313</v>
      </c>
      <c r="D4584" t="s">
        <v>711</v>
      </c>
      <c r="E4584" t="s">
        <v>831</v>
      </c>
      <c r="F4584">
        <v>2</v>
      </c>
      <c r="G4584">
        <v>0</v>
      </c>
      <c r="H4584" t="s">
        <v>858</v>
      </c>
      <c r="I4584" t="str">
        <f>VLOOKUP(C4584,Customers!A:C,2,FALSE)&amp;" "&amp;VLOOKUP(C4584,Customers!A:C,3,FALSE)</f>
        <v>Jeremy Robles</v>
      </c>
      <c r="J4584" t="str">
        <f>VLOOKUP(D4584,Products!A:C,2,FALSE)</f>
        <v>Like Camera</v>
      </c>
      <c r="K4584" t="str">
        <f>VLOOKUP(D4584,Products!A:C,3,FALSE)</f>
        <v>Electronics</v>
      </c>
      <c r="L4584" t="str">
        <f>VLOOKUP(E4584,Stores!A:B,2,FALSE)</f>
        <v>MegaMart Jimenezborough</v>
      </c>
      <c r="M4584">
        <f>VLOOKUP(D4584,Products!A:E,5,FALSE)</f>
        <v>1673.69</v>
      </c>
      <c r="N4584" s="5">
        <f t="shared" si="71"/>
        <v>3347.38</v>
      </c>
    </row>
    <row r="4585" spans="1:14" x14ac:dyDescent="0.3">
      <c r="A4585" t="s">
        <v>5441</v>
      </c>
      <c r="B4585" s="2">
        <v>45557</v>
      </c>
      <c r="C4585" t="s">
        <v>467</v>
      </c>
      <c r="D4585" t="s">
        <v>794</v>
      </c>
      <c r="E4585" t="s">
        <v>839</v>
      </c>
      <c r="F4585">
        <v>1</v>
      </c>
      <c r="G4585">
        <v>0.05</v>
      </c>
      <c r="H4585" t="s">
        <v>861</v>
      </c>
      <c r="I4585" t="str">
        <f>VLOOKUP(C4585,Customers!A:C,2,FALSE)&amp;" "&amp;VLOOKUP(C4585,Customers!A:C,3,FALSE)</f>
        <v>John Allen</v>
      </c>
      <c r="J4585" t="str">
        <f>VLOOKUP(D4585,Products!A:C,2,FALSE)</f>
        <v>Everything Laptop</v>
      </c>
      <c r="K4585" t="str">
        <f>VLOOKUP(D4585,Products!A:C,3,FALSE)</f>
        <v>Electronics</v>
      </c>
      <c r="L4585" t="str">
        <f>VLOOKUP(E4585,Stores!A:B,2,FALSE)</f>
        <v>MegaMart New Michele</v>
      </c>
      <c r="M4585">
        <f>VLOOKUP(D4585,Products!A:E,5,FALSE)</f>
        <v>428.05</v>
      </c>
      <c r="N4585" s="5">
        <f t="shared" si="71"/>
        <v>406.64749999999998</v>
      </c>
    </row>
    <row r="4586" spans="1:14" x14ac:dyDescent="0.3">
      <c r="A4586" t="s">
        <v>5442</v>
      </c>
      <c r="B4586" s="2">
        <v>45460</v>
      </c>
      <c r="C4586" t="s">
        <v>549</v>
      </c>
      <c r="D4586" t="s">
        <v>739</v>
      </c>
      <c r="E4586" t="s">
        <v>839</v>
      </c>
      <c r="F4586">
        <v>5</v>
      </c>
      <c r="G4586">
        <v>0.15</v>
      </c>
      <c r="H4586" t="s">
        <v>865</v>
      </c>
      <c r="I4586" t="str">
        <f>VLOOKUP(C4586,Customers!A:C,2,FALSE)&amp;" "&amp;VLOOKUP(C4586,Customers!A:C,3,FALSE)</f>
        <v>Brittany Green</v>
      </c>
      <c r="J4586" t="str">
        <f>VLOOKUP(D4586,Products!A:C,2,FALSE)</f>
        <v>Step Smartphone</v>
      </c>
      <c r="K4586" t="str">
        <f>VLOOKUP(D4586,Products!A:C,3,FALSE)</f>
        <v>Electronics</v>
      </c>
      <c r="L4586" t="str">
        <f>VLOOKUP(E4586,Stores!A:B,2,FALSE)</f>
        <v>MegaMart New Michele</v>
      </c>
      <c r="M4586">
        <f>VLOOKUP(D4586,Products!A:E,5,FALSE)</f>
        <v>1194.1199999999999</v>
      </c>
      <c r="N4586" s="5">
        <f t="shared" si="71"/>
        <v>5075.0099999999993</v>
      </c>
    </row>
    <row r="4587" spans="1:14" x14ac:dyDescent="0.3">
      <c r="A4587" t="s">
        <v>5443</v>
      </c>
      <c r="B4587" s="2">
        <v>45668</v>
      </c>
      <c r="C4587" t="s">
        <v>331</v>
      </c>
      <c r="D4587" t="s">
        <v>759</v>
      </c>
      <c r="E4587" t="s">
        <v>839</v>
      </c>
      <c r="F4587">
        <v>3</v>
      </c>
      <c r="G4587">
        <v>0.05</v>
      </c>
      <c r="H4587" t="s">
        <v>858</v>
      </c>
      <c r="I4587" t="str">
        <f>VLOOKUP(C4587,Customers!A:C,2,FALSE)&amp;" "&amp;VLOOKUP(C4587,Customers!A:C,3,FALSE)</f>
        <v>Brenda Costa</v>
      </c>
      <c r="J4587" t="str">
        <f>VLOOKUP(D4587,Products!A:C,2,FALSE)</f>
        <v>Democratic Smartphone</v>
      </c>
      <c r="K4587" t="str">
        <f>VLOOKUP(D4587,Products!A:C,3,FALSE)</f>
        <v>Electronics</v>
      </c>
      <c r="L4587" t="str">
        <f>VLOOKUP(E4587,Stores!A:B,2,FALSE)</f>
        <v>MegaMart New Michele</v>
      </c>
      <c r="M4587">
        <f>VLOOKUP(D4587,Products!A:E,5,FALSE)</f>
        <v>1079.8900000000001</v>
      </c>
      <c r="N4587" s="5">
        <f t="shared" si="71"/>
        <v>3077.6864999999998</v>
      </c>
    </row>
    <row r="4588" spans="1:14" x14ac:dyDescent="0.3">
      <c r="A4588" t="s">
        <v>5444</v>
      </c>
      <c r="B4588" s="2">
        <v>45798</v>
      </c>
      <c r="C4588" t="s">
        <v>585</v>
      </c>
      <c r="D4588" t="s">
        <v>806</v>
      </c>
      <c r="E4588" t="s">
        <v>831</v>
      </c>
      <c r="F4588">
        <v>5</v>
      </c>
      <c r="G4588">
        <v>0.15</v>
      </c>
      <c r="H4588" t="s">
        <v>861</v>
      </c>
      <c r="I4588" t="str">
        <f>VLOOKUP(C4588,Customers!A:C,2,FALSE)&amp;" "&amp;VLOOKUP(C4588,Customers!A:C,3,FALSE)</f>
        <v>Linda Vasquez</v>
      </c>
      <c r="J4588" t="str">
        <f>VLOOKUP(D4588,Products!A:C,2,FALSE)</f>
        <v>Piece Headphones</v>
      </c>
      <c r="K4588" t="str">
        <f>VLOOKUP(D4588,Products!A:C,3,FALSE)</f>
        <v>Electronics</v>
      </c>
      <c r="L4588" t="str">
        <f>VLOOKUP(E4588,Stores!A:B,2,FALSE)</f>
        <v>MegaMart Jimenezborough</v>
      </c>
      <c r="M4588">
        <f>VLOOKUP(D4588,Products!A:E,5,FALSE)</f>
        <v>1745.61</v>
      </c>
      <c r="N4588" s="5">
        <f t="shared" si="71"/>
        <v>7418.8424999999988</v>
      </c>
    </row>
    <row r="4589" spans="1:14" x14ac:dyDescent="0.3">
      <c r="A4589" t="s">
        <v>5445</v>
      </c>
      <c r="B4589" s="2">
        <v>45476</v>
      </c>
      <c r="C4589" t="s">
        <v>228</v>
      </c>
      <c r="D4589" t="s">
        <v>800</v>
      </c>
      <c r="E4589" t="s">
        <v>842</v>
      </c>
      <c r="F4589">
        <v>1</v>
      </c>
      <c r="G4589">
        <v>0.05</v>
      </c>
      <c r="H4589" t="s">
        <v>855</v>
      </c>
      <c r="I4589" t="str">
        <f>VLOOKUP(C4589,Customers!A:C,2,FALSE)&amp;" "&amp;VLOOKUP(C4589,Customers!A:C,3,FALSE)</f>
        <v>Scott Wyatt</v>
      </c>
      <c r="J4589" t="str">
        <f>VLOOKUP(D4589,Products!A:C,2,FALSE)</f>
        <v>Book Television</v>
      </c>
      <c r="K4589" t="str">
        <f>VLOOKUP(D4589,Products!A:C,3,FALSE)</f>
        <v>Electronics</v>
      </c>
      <c r="L4589" t="str">
        <f>VLOOKUP(E4589,Stores!A:B,2,FALSE)</f>
        <v>MegaMart Brianahaven</v>
      </c>
      <c r="M4589">
        <f>VLOOKUP(D4589,Products!A:E,5,FALSE)</f>
        <v>1952.65</v>
      </c>
      <c r="N4589" s="5">
        <f t="shared" si="71"/>
        <v>1855.0174999999999</v>
      </c>
    </row>
    <row r="4590" spans="1:14" x14ac:dyDescent="0.3">
      <c r="A4590" t="s">
        <v>5446</v>
      </c>
      <c r="B4590" s="2">
        <v>45705</v>
      </c>
      <c r="C4590" t="s">
        <v>284</v>
      </c>
      <c r="D4590" t="s">
        <v>814</v>
      </c>
      <c r="E4590" t="s">
        <v>842</v>
      </c>
      <c r="F4590">
        <v>3</v>
      </c>
      <c r="G4590">
        <v>0.1</v>
      </c>
      <c r="H4590" t="s">
        <v>858</v>
      </c>
      <c r="I4590" t="str">
        <f>VLOOKUP(C4590,Customers!A:C,2,FALSE)&amp;" "&amp;VLOOKUP(C4590,Customers!A:C,3,FALSE)</f>
        <v>Seth Moore</v>
      </c>
      <c r="J4590" t="str">
        <f>VLOOKUP(D4590,Products!A:C,2,FALSE)</f>
        <v>Least Accessories</v>
      </c>
      <c r="K4590" t="str">
        <f>VLOOKUP(D4590,Products!A:C,3,FALSE)</f>
        <v>Fashion</v>
      </c>
      <c r="L4590" t="str">
        <f>VLOOKUP(E4590,Stores!A:B,2,FALSE)</f>
        <v>MegaMart Brianahaven</v>
      </c>
      <c r="M4590">
        <f>VLOOKUP(D4590,Products!A:E,5,FALSE)</f>
        <v>1286.55</v>
      </c>
      <c r="N4590" s="5">
        <f t="shared" si="71"/>
        <v>3473.6849999999999</v>
      </c>
    </row>
    <row r="4591" spans="1:14" x14ac:dyDescent="0.3">
      <c r="A4591" t="s">
        <v>5447</v>
      </c>
      <c r="B4591" s="2">
        <v>45801</v>
      </c>
      <c r="C4591" t="s">
        <v>696</v>
      </c>
      <c r="D4591" t="s">
        <v>800</v>
      </c>
      <c r="E4591" t="s">
        <v>842</v>
      </c>
      <c r="F4591">
        <v>4</v>
      </c>
      <c r="G4591">
        <v>0.05</v>
      </c>
      <c r="H4591" t="s">
        <v>865</v>
      </c>
      <c r="I4591" t="str">
        <f>VLOOKUP(C4591,Customers!A:C,2,FALSE)&amp;" "&amp;VLOOKUP(C4591,Customers!A:C,3,FALSE)</f>
        <v>Jessica Mullins</v>
      </c>
      <c r="J4591" t="str">
        <f>VLOOKUP(D4591,Products!A:C,2,FALSE)</f>
        <v>Book Television</v>
      </c>
      <c r="K4591" t="str">
        <f>VLOOKUP(D4591,Products!A:C,3,FALSE)</f>
        <v>Electronics</v>
      </c>
      <c r="L4591" t="str">
        <f>VLOOKUP(E4591,Stores!A:B,2,FALSE)</f>
        <v>MegaMart Brianahaven</v>
      </c>
      <c r="M4591">
        <f>VLOOKUP(D4591,Products!A:E,5,FALSE)</f>
        <v>1952.65</v>
      </c>
      <c r="N4591" s="5">
        <f t="shared" si="71"/>
        <v>7420.07</v>
      </c>
    </row>
    <row r="4592" spans="1:14" x14ac:dyDescent="0.3">
      <c r="A4592" t="s">
        <v>5448</v>
      </c>
      <c r="B4592" s="2">
        <v>45754</v>
      </c>
      <c r="C4592" t="s">
        <v>347</v>
      </c>
      <c r="D4592" t="s">
        <v>822</v>
      </c>
      <c r="E4592" t="s">
        <v>831</v>
      </c>
      <c r="F4592">
        <v>4</v>
      </c>
      <c r="G4592">
        <v>0</v>
      </c>
      <c r="H4592" t="s">
        <v>865</v>
      </c>
      <c r="I4592" t="str">
        <f>VLOOKUP(C4592,Customers!A:C,2,FALSE)&amp;" "&amp;VLOOKUP(C4592,Customers!A:C,3,FALSE)</f>
        <v>Lindsey Holder</v>
      </c>
      <c r="J4592" t="str">
        <f>VLOOKUP(D4592,Products!A:C,2,FALSE)</f>
        <v>Nor Bags</v>
      </c>
      <c r="K4592" t="str">
        <f>VLOOKUP(D4592,Products!A:C,3,FALSE)</f>
        <v>Fashion</v>
      </c>
      <c r="L4592" t="str">
        <f>VLOOKUP(E4592,Stores!A:B,2,FALSE)</f>
        <v>MegaMart Jimenezborough</v>
      </c>
      <c r="M4592">
        <f>VLOOKUP(D4592,Products!A:E,5,FALSE)</f>
        <v>1216.3599999999999</v>
      </c>
      <c r="N4592" s="5">
        <f t="shared" si="71"/>
        <v>4865.4399999999996</v>
      </c>
    </row>
    <row r="4593" spans="1:14" x14ac:dyDescent="0.3">
      <c r="A4593" t="s">
        <v>5449</v>
      </c>
      <c r="B4593" s="2">
        <v>45831</v>
      </c>
      <c r="C4593" t="s">
        <v>438</v>
      </c>
      <c r="D4593" t="s">
        <v>810</v>
      </c>
      <c r="E4593" t="s">
        <v>835</v>
      </c>
      <c r="F4593">
        <v>1</v>
      </c>
      <c r="G4593">
        <v>0.15</v>
      </c>
      <c r="H4593" t="s">
        <v>865</v>
      </c>
      <c r="I4593" t="str">
        <f>VLOOKUP(C4593,Customers!A:C,2,FALSE)&amp;" "&amp;VLOOKUP(C4593,Customers!A:C,3,FALSE)</f>
        <v>Gina Bradford</v>
      </c>
      <c r="J4593" t="str">
        <f>VLOOKUP(D4593,Products!A:C,2,FALSE)</f>
        <v>Maybe Clothing</v>
      </c>
      <c r="K4593" t="str">
        <f>VLOOKUP(D4593,Products!A:C,3,FALSE)</f>
        <v>Fashion</v>
      </c>
      <c r="L4593" t="str">
        <f>VLOOKUP(E4593,Stores!A:B,2,FALSE)</f>
        <v>MegaMart Peckmouth</v>
      </c>
      <c r="M4593">
        <f>VLOOKUP(D4593,Products!A:E,5,FALSE)</f>
        <v>453.62</v>
      </c>
      <c r="N4593" s="5">
        <f t="shared" si="71"/>
        <v>385.577</v>
      </c>
    </row>
    <row r="4594" spans="1:14" x14ac:dyDescent="0.3">
      <c r="A4594" t="s">
        <v>5450</v>
      </c>
      <c r="B4594" s="2">
        <v>45861</v>
      </c>
      <c r="C4594" t="s">
        <v>351</v>
      </c>
      <c r="D4594" t="s">
        <v>802</v>
      </c>
      <c r="E4594" t="s">
        <v>842</v>
      </c>
      <c r="F4594">
        <v>3</v>
      </c>
      <c r="G4594">
        <v>0.15</v>
      </c>
      <c r="H4594" t="s">
        <v>861</v>
      </c>
      <c r="I4594" t="str">
        <f>VLOOKUP(C4594,Customers!A:C,2,FALSE)&amp;" "&amp;VLOOKUP(C4594,Customers!A:C,3,FALSE)</f>
        <v>Stanley Brown</v>
      </c>
      <c r="J4594" t="str">
        <f>VLOOKUP(D4594,Products!A:C,2,FALSE)</f>
        <v>Stage Footwear</v>
      </c>
      <c r="K4594" t="str">
        <f>VLOOKUP(D4594,Products!A:C,3,FALSE)</f>
        <v>Fashion</v>
      </c>
      <c r="L4594" t="str">
        <f>VLOOKUP(E4594,Stores!A:B,2,FALSE)</f>
        <v>MegaMart Brianahaven</v>
      </c>
      <c r="M4594">
        <f>VLOOKUP(D4594,Products!A:E,5,FALSE)</f>
        <v>366.93</v>
      </c>
      <c r="N4594" s="5">
        <f t="shared" si="71"/>
        <v>935.67149999999992</v>
      </c>
    </row>
    <row r="4595" spans="1:14" x14ac:dyDescent="0.3">
      <c r="A4595" t="s">
        <v>5451</v>
      </c>
      <c r="B4595" s="2">
        <v>45666</v>
      </c>
      <c r="C4595" t="s">
        <v>458</v>
      </c>
      <c r="D4595" t="s">
        <v>784</v>
      </c>
      <c r="E4595" t="s">
        <v>831</v>
      </c>
      <c r="F4595">
        <v>2</v>
      </c>
      <c r="G4595">
        <v>0</v>
      </c>
      <c r="H4595" t="s">
        <v>858</v>
      </c>
      <c r="I4595" t="str">
        <f>VLOOKUP(C4595,Customers!A:C,2,FALSE)&amp;" "&amp;VLOOKUP(C4595,Customers!A:C,3,FALSE)</f>
        <v>Chad Roberts</v>
      </c>
      <c r="J4595" t="str">
        <f>VLOOKUP(D4595,Products!A:C,2,FALSE)</f>
        <v>Road Clothing</v>
      </c>
      <c r="K4595" t="str">
        <f>VLOOKUP(D4595,Products!A:C,3,FALSE)</f>
        <v>Fashion</v>
      </c>
      <c r="L4595" t="str">
        <f>VLOOKUP(E4595,Stores!A:B,2,FALSE)</f>
        <v>MegaMart Jimenezborough</v>
      </c>
      <c r="M4595">
        <f>VLOOKUP(D4595,Products!A:E,5,FALSE)</f>
        <v>1485.05</v>
      </c>
      <c r="N4595" s="5">
        <f t="shared" si="71"/>
        <v>2970.1</v>
      </c>
    </row>
    <row r="4596" spans="1:14" x14ac:dyDescent="0.3">
      <c r="A4596" t="s">
        <v>5452</v>
      </c>
      <c r="B4596" s="2">
        <v>45732</v>
      </c>
      <c r="C4596" t="s">
        <v>310</v>
      </c>
      <c r="D4596" t="s">
        <v>725</v>
      </c>
      <c r="E4596" t="s">
        <v>839</v>
      </c>
      <c r="F4596">
        <v>2</v>
      </c>
      <c r="G4596">
        <v>0</v>
      </c>
      <c r="H4596" t="s">
        <v>861</v>
      </c>
      <c r="I4596" t="str">
        <f>VLOOKUP(C4596,Customers!A:C,2,FALSE)&amp;" "&amp;VLOOKUP(C4596,Customers!A:C,3,FALSE)</f>
        <v>Amy Haley</v>
      </c>
      <c r="J4596" t="str">
        <f>VLOOKUP(D4596,Products!A:C,2,FALSE)</f>
        <v>Knowledge Bags</v>
      </c>
      <c r="K4596" t="str">
        <f>VLOOKUP(D4596,Products!A:C,3,FALSE)</f>
        <v>Fashion</v>
      </c>
      <c r="L4596" t="str">
        <f>VLOOKUP(E4596,Stores!A:B,2,FALSE)</f>
        <v>MegaMart New Michele</v>
      </c>
      <c r="M4596">
        <f>VLOOKUP(D4596,Products!A:E,5,FALSE)</f>
        <v>1396.22</v>
      </c>
      <c r="N4596" s="5">
        <f t="shared" si="71"/>
        <v>2792.44</v>
      </c>
    </row>
    <row r="4597" spans="1:14" x14ac:dyDescent="0.3">
      <c r="A4597" t="s">
        <v>5453</v>
      </c>
      <c r="B4597" s="2">
        <v>45663</v>
      </c>
      <c r="C4597" t="s">
        <v>426</v>
      </c>
      <c r="D4597" t="s">
        <v>759</v>
      </c>
      <c r="E4597" t="s">
        <v>839</v>
      </c>
      <c r="F4597">
        <v>1</v>
      </c>
      <c r="G4597">
        <v>0.1</v>
      </c>
      <c r="H4597" t="s">
        <v>855</v>
      </c>
      <c r="I4597" t="str">
        <f>VLOOKUP(C4597,Customers!A:C,2,FALSE)&amp;" "&amp;VLOOKUP(C4597,Customers!A:C,3,FALSE)</f>
        <v>Miranda Rodriguez</v>
      </c>
      <c r="J4597" t="str">
        <f>VLOOKUP(D4597,Products!A:C,2,FALSE)</f>
        <v>Democratic Smartphone</v>
      </c>
      <c r="K4597" t="str">
        <f>VLOOKUP(D4597,Products!A:C,3,FALSE)</f>
        <v>Electronics</v>
      </c>
      <c r="L4597" t="str">
        <f>VLOOKUP(E4597,Stores!A:B,2,FALSE)</f>
        <v>MegaMart New Michele</v>
      </c>
      <c r="M4597">
        <f>VLOOKUP(D4597,Products!A:E,5,FALSE)</f>
        <v>1079.8900000000001</v>
      </c>
      <c r="N4597" s="5">
        <f t="shared" si="71"/>
        <v>971.90100000000007</v>
      </c>
    </row>
    <row r="4598" spans="1:14" x14ac:dyDescent="0.3">
      <c r="A4598" t="s">
        <v>5454</v>
      </c>
      <c r="B4598" s="2">
        <v>45798</v>
      </c>
      <c r="C4598" t="s">
        <v>640</v>
      </c>
      <c r="D4598" t="s">
        <v>745</v>
      </c>
      <c r="E4598" t="s">
        <v>842</v>
      </c>
      <c r="F4598">
        <v>2</v>
      </c>
      <c r="G4598">
        <v>0.15</v>
      </c>
      <c r="H4598" t="s">
        <v>865</v>
      </c>
      <c r="I4598" t="str">
        <f>VLOOKUP(C4598,Customers!A:C,2,FALSE)&amp;" "&amp;VLOOKUP(C4598,Customers!A:C,3,FALSE)</f>
        <v>Brittany Oneal</v>
      </c>
      <c r="J4598" t="str">
        <f>VLOOKUP(D4598,Products!A:C,2,FALSE)</f>
        <v>Above Camera</v>
      </c>
      <c r="K4598" t="str">
        <f>VLOOKUP(D4598,Products!A:C,3,FALSE)</f>
        <v>Electronics</v>
      </c>
      <c r="L4598" t="str">
        <f>VLOOKUP(E4598,Stores!A:B,2,FALSE)</f>
        <v>MegaMart Brianahaven</v>
      </c>
      <c r="M4598">
        <f>VLOOKUP(D4598,Products!A:E,5,FALSE)</f>
        <v>1193.0899999999999</v>
      </c>
      <c r="N4598" s="5">
        <f t="shared" si="71"/>
        <v>2028.2529999999997</v>
      </c>
    </row>
    <row r="4599" spans="1:14" x14ac:dyDescent="0.3">
      <c r="A4599" t="s">
        <v>5455</v>
      </c>
      <c r="B4599" s="2">
        <v>45832</v>
      </c>
      <c r="C4599" t="s">
        <v>163</v>
      </c>
      <c r="D4599" t="s">
        <v>757</v>
      </c>
      <c r="E4599" t="s">
        <v>846</v>
      </c>
      <c r="F4599">
        <v>2</v>
      </c>
      <c r="G4599">
        <v>0.1</v>
      </c>
      <c r="H4599" t="s">
        <v>855</v>
      </c>
      <c r="I4599" t="str">
        <f>VLOOKUP(C4599,Customers!A:C,2,FALSE)&amp;" "&amp;VLOOKUP(C4599,Customers!A:C,3,FALSE)</f>
        <v>Anna Andrews</v>
      </c>
      <c r="J4599" t="str">
        <f>VLOOKUP(D4599,Products!A:C,2,FALSE)</f>
        <v>Find Headphones</v>
      </c>
      <c r="K4599" t="str">
        <f>VLOOKUP(D4599,Products!A:C,3,FALSE)</f>
        <v>Electronics</v>
      </c>
      <c r="L4599" t="str">
        <f>VLOOKUP(E4599,Stores!A:B,2,FALSE)</f>
        <v>MegaMart Johnmouth</v>
      </c>
      <c r="M4599">
        <f>VLOOKUP(D4599,Products!A:E,5,FALSE)</f>
        <v>1246.1099999999999</v>
      </c>
      <c r="N4599" s="5">
        <f t="shared" si="71"/>
        <v>2242.998</v>
      </c>
    </row>
    <row r="4600" spans="1:14" x14ac:dyDescent="0.3">
      <c r="A4600" t="s">
        <v>5456</v>
      </c>
      <c r="B4600" s="2">
        <v>45366</v>
      </c>
      <c r="C4600" t="s">
        <v>696</v>
      </c>
      <c r="D4600" t="s">
        <v>728</v>
      </c>
      <c r="E4600" t="s">
        <v>842</v>
      </c>
      <c r="F4600">
        <v>5</v>
      </c>
      <c r="G4600">
        <v>0.15</v>
      </c>
      <c r="H4600" t="s">
        <v>861</v>
      </c>
      <c r="I4600" t="str">
        <f>VLOOKUP(C4600,Customers!A:C,2,FALSE)&amp;" "&amp;VLOOKUP(C4600,Customers!A:C,3,FALSE)</f>
        <v>Jessica Mullins</v>
      </c>
      <c r="J4600" t="str">
        <f>VLOOKUP(D4600,Products!A:C,2,FALSE)</f>
        <v>Company Fruits</v>
      </c>
      <c r="K4600" t="str">
        <f>VLOOKUP(D4600,Products!A:C,3,FALSE)</f>
        <v>Groceries</v>
      </c>
      <c r="L4600" t="str">
        <f>VLOOKUP(E4600,Stores!A:B,2,FALSE)</f>
        <v>MegaMart Brianahaven</v>
      </c>
      <c r="M4600">
        <f>VLOOKUP(D4600,Products!A:E,5,FALSE)</f>
        <v>318.05</v>
      </c>
      <c r="N4600" s="5">
        <f t="shared" si="71"/>
        <v>1351.7124999999999</v>
      </c>
    </row>
    <row r="4601" spans="1:14" x14ac:dyDescent="0.3">
      <c r="A4601" t="s">
        <v>5457</v>
      </c>
      <c r="B4601" s="2">
        <v>45645</v>
      </c>
      <c r="C4601" t="s">
        <v>432</v>
      </c>
      <c r="D4601" t="s">
        <v>766</v>
      </c>
      <c r="E4601" t="s">
        <v>835</v>
      </c>
      <c r="F4601">
        <v>5</v>
      </c>
      <c r="G4601">
        <v>0.1</v>
      </c>
      <c r="H4601" t="s">
        <v>865</v>
      </c>
      <c r="I4601" t="str">
        <f>VLOOKUP(C4601,Customers!A:C,2,FALSE)&amp;" "&amp;VLOOKUP(C4601,Customers!A:C,3,FALSE)</f>
        <v>Jamie Webb</v>
      </c>
      <c r="J4601" t="str">
        <f>VLOOKUP(D4601,Products!A:C,2,FALSE)</f>
        <v>Firm Dairy</v>
      </c>
      <c r="K4601" t="str">
        <f>VLOOKUP(D4601,Products!A:C,3,FALSE)</f>
        <v>Groceries</v>
      </c>
      <c r="L4601" t="str">
        <f>VLOOKUP(E4601,Stores!A:B,2,FALSE)</f>
        <v>MegaMart Peckmouth</v>
      </c>
      <c r="M4601">
        <f>VLOOKUP(D4601,Products!A:E,5,FALSE)</f>
        <v>1227.24</v>
      </c>
      <c r="N4601" s="5">
        <f t="shared" si="71"/>
        <v>5522.58</v>
      </c>
    </row>
    <row r="4602" spans="1:14" x14ac:dyDescent="0.3">
      <c r="A4602" t="s">
        <v>5458</v>
      </c>
      <c r="B4602" s="2">
        <v>45807</v>
      </c>
      <c r="C4602" t="s">
        <v>429</v>
      </c>
      <c r="D4602" t="s">
        <v>824</v>
      </c>
      <c r="E4602" t="s">
        <v>842</v>
      </c>
      <c r="F4602">
        <v>4</v>
      </c>
      <c r="G4602">
        <v>0.1</v>
      </c>
      <c r="H4602" t="s">
        <v>861</v>
      </c>
      <c r="I4602" t="str">
        <f>VLOOKUP(C4602,Customers!A:C,2,FALSE)&amp;" "&amp;VLOOKUP(C4602,Customers!A:C,3,FALSE)</f>
        <v>Jose Smith</v>
      </c>
      <c r="J4602" t="str">
        <f>VLOOKUP(D4602,Products!A:C,2,FALSE)</f>
        <v>Possible Watches</v>
      </c>
      <c r="K4602" t="str">
        <f>VLOOKUP(D4602,Products!A:C,3,FALSE)</f>
        <v>Fashion</v>
      </c>
      <c r="L4602" t="str">
        <f>VLOOKUP(E4602,Stores!A:B,2,FALSE)</f>
        <v>MegaMart Brianahaven</v>
      </c>
      <c r="M4602">
        <f>VLOOKUP(D4602,Products!A:E,5,FALSE)</f>
        <v>388.26</v>
      </c>
      <c r="N4602" s="5">
        <f t="shared" si="71"/>
        <v>1397.7360000000001</v>
      </c>
    </row>
    <row r="4603" spans="1:14" x14ac:dyDescent="0.3">
      <c r="A4603" t="s">
        <v>5459</v>
      </c>
      <c r="B4603" s="2">
        <v>45374</v>
      </c>
      <c r="C4603" t="s">
        <v>15</v>
      </c>
      <c r="D4603" t="s">
        <v>718</v>
      </c>
      <c r="E4603" t="s">
        <v>842</v>
      </c>
      <c r="F4603">
        <v>4</v>
      </c>
      <c r="G4603">
        <v>0.05</v>
      </c>
      <c r="H4603" t="s">
        <v>861</v>
      </c>
      <c r="I4603" t="str">
        <f>VLOOKUP(C4603,Customers!A:C,2,FALSE)&amp;" "&amp;VLOOKUP(C4603,Customers!A:C,3,FALSE)</f>
        <v>Carol Hays</v>
      </c>
      <c r="J4603" t="str">
        <f>VLOOKUP(D4603,Products!A:C,2,FALSE)</f>
        <v>Here Footwear</v>
      </c>
      <c r="K4603" t="str">
        <f>VLOOKUP(D4603,Products!A:C,3,FALSE)</f>
        <v>Fashion</v>
      </c>
      <c r="L4603" t="str">
        <f>VLOOKUP(E4603,Stores!A:B,2,FALSE)</f>
        <v>MegaMart Brianahaven</v>
      </c>
      <c r="M4603">
        <f>VLOOKUP(D4603,Products!A:E,5,FALSE)</f>
        <v>337.63</v>
      </c>
      <c r="N4603" s="5">
        <f t="shared" si="71"/>
        <v>1282.9939999999999</v>
      </c>
    </row>
    <row r="4604" spans="1:14" x14ac:dyDescent="0.3">
      <c r="A4604" t="s">
        <v>5460</v>
      </c>
      <c r="B4604" s="2">
        <v>45261</v>
      </c>
      <c r="C4604" t="s">
        <v>454</v>
      </c>
      <c r="D4604" t="s">
        <v>774</v>
      </c>
      <c r="E4604" t="s">
        <v>831</v>
      </c>
      <c r="F4604">
        <v>2</v>
      </c>
      <c r="G4604">
        <v>0.1</v>
      </c>
      <c r="H4604" t="s">
        <v>861</v>
      </c>
      <c r="I4604" t="str">
        <f>VLOOKUP(C4604,Customers!A:C,2,FALSE)&amp;" "&amp;VLOOKUP(C4604,Customers!A:C,3,FALSE)</f>
        <v>Peter Edwards</v>
      </c>
      <c r="J4604" t="str">
        <f>VLOOKUP(D4604,Products!A:C,2,FALSE)</f>
        <v>Him Smartphone</v>
      </c>
      <c r="K4604" t="str">
        <f>VLOOKUP(D4604,Products!A:C,3,FALSE)</f>
        <v>Electronics</v>
      </c>
      <c r="L4604" t="str">
        <f>VLOOKUP(E4604,Stores!A:B,2,FALSE)</f>
        <v>MegaMart Jimenezborough</v>
      </c>
      <c r="M4604">
        <f>VLOOKUP(D4604,Products!A:E,5,FALSE)</f>
        <v>1487.41</v>
      </c>
      <c r="N4604" s="5">
        <f t="shared" si="71"/>
        <v>2677.3380000000002</v>
      </c>
    </row>
    <row r="4605" spans="1:14" x14ac:dyDescent="0.3">
      <c r="A4605" t="s">
        <v>5461</v>
      </c>
      <c r="B4605" s="2">
        <v>45703</v>
      </c>
      <c r="C4605" t="s">
        <v>661</v>
      </c>
      <c r="D4605" t="s">
        <v>732</v>
      </c>
      <c r="E4605" t="s">
        <v>846</v>
      </c>
      <c r="F4605">
        <v>4</v>
      </c>
      <c r="G4605">
        <v>0.15</v>
      </c>
      <c r="H4605" t="s">
        <v>858</v>
      </c>
      <c r="I4605" t="str">
        <f>VLOOKUP(C4605,Customers!A:C,2,FALSE)&amp;" "&amp;VLOOKUP(C4605,Customers!A:C,3,FALSE)</f>
        <v>Cynthia Cherry</v>
      </c>
      <c r="J4605" t="str">
        <f>VLOOKUP(D4605,Products!A:C,2,FALSE)</f>
        <v>Understand Camera</v>
      </c>
      <c r="K4605" t="str">
        <f>VLOOKUP(D4605,Products!A:C,3,FALSE)</f>
        <v>Electronics</v>
      </c>
      <c r="L4605" t="str">
        <f>VLOOKUP(E4605,Stores!A:B,2,FALSE)</f>
        <v>MegaMart Johnmouth</v>
      </c>
      <c r="M4605">
        <f>VLOOKUP(D4605,Products!A:E,5,FALSE)</f>
        <v>1474.12</v>
      </c>
      <c r="N4605" s="5">
        <f t="shared" si="71"/>
        <v>5012.0079999999998</v>
      </c>
    </row>
    <row r="4606" spans="1:14" x14ac:dyDescent="0.3">
      <c r="A4606" t="s">
        <v>5462</v>
      </c>
      <c r="B4606" s="2">
        <v>45573</v>
      </c>
      <c r="C4606" t="s">
        <v>630</v>
      </c>
      <c r="D4606" t="s">
        <v>788</v>
      </c>
      <c r="E4606" t="s">
        <v>835</v>
      </c>
      <c r="F4606">
        <v>3</v>
      </c>
      <c r="G4606">
        <v>0.05</v>
      </c>
      <c r="H4606" t="s">
        <v>861</v>
      </c>
      <c r="I4606" t="str">
        <f>VLOOKUP(C4606,Customers!A:C,2,FALSE)&amp;" "&amp;VLOOKUP(C4606,Customers!A:C,3,FALSE)</f>
        <v>Mark Mcdonald</v>
      </c>
      <c r="J4606" t="str">
        <f>VLOOKUP(D4606,Products!A:C,2,FALSE)</f>
        <v>Foot Snacks</v>
      </c>
      <c r="K4606" t="str">
        <f>VLOOKUP(D4606,Products!A:C,3,FALSE)</f>
        <v>Groceries</v>
      </c>
      <c r="L4606" t="str">
        <f>VLOOKUP(E4606,Stores!A:B,2,FALSE)</f>
        <v>MegaMart Peckmouth</v>
      </c>
      <c r="M4606">
        <f>VLOOKUP(D4606,Products!A:E,5,FALSE)</f>
        <v>1095.72</v>
      </c>
      <c r="N4606" s="5">
        <f t="shared" si="71"/>
        <v>3122.8019999999997</v>
      </c>
    </row>
    <row r="4607" spans="1:14" x14ac:dyDescent="0.3">
      <c r="A4607" t="s">
        <v>5463</v>
      </c>
      <c r="B4607" s="2">
        <v>45741</v>
      </c>
      <c r="C4607" t="s">
        <v>498</v>
      </c>
      <c r="D4607" t="s">
        <v>814</v>
      </c>
      <c r="E4607" t="s">
        <v>842</v>
      </c>
      <c r="F4607">
        <v>5</v>
      </c>
      <c r="G4607">
        <v>0.15</v>
      </c>
      <c r="H4607" t="s">
        <v>865</v>
      </c>
      <c r="I4607" t="str">
        <f>VLOOKUP(C4607,Customers!A:C,2,FALSE)&amp;" "&amp;VLOOKUP(C4607,Customers!A:C,3,FALSE)</f>
        <v>Amanda Garcia</v>
      </c>
      <c r="J4607" t="str">
        <f>VLOOKUP(D4607,Products!A:C,2,FALSE)</f>
        <v>Least Accessories</v>
      </c>
      <c r="K4607" t="str">
        <f>VLOOKUP(D4607,Products!A:C,3,FALSE)</f>
        <v>Fashion</v>
      </c>
      <c r="L4607" t="str">
        <f>VLOOKUP(E4607,Stores!A:B,2,FALSE)</f>
        <v>MegaMart Brianahaven</v>
      </c>
      <c r="M4607">
        <f>VLOOKUP(D4607,Products!A:E,5,FALSE)</f>
        <v>1286.55</v>
      </c>
      <c r="N4607" s="5">
        <f t="shared" si="71"/>
        <v>5467.8374999999996</v>
      </c>
    </row>
    <row r="4608" spans="1:14" x14ac:dyDescent="0.3">
      <c r="A4608" t="s">
        <v>5464</v>
      </c>
      <c r="B4608" s="2">
        <v>45623</v>
      </c>
      <c r="C4608" t="s">
        <v>393</v>
      </c>
      <c r="D4608" t="s">
        <v>812</v>
      </c>
      <c r="E4608" t="s">
        <v>831</v>
      </c>
      <c r="F4608">
        <v>3</v>
      </c>
      <c r="G4608">
        <v>0.15</v>
      </c>
      <c r="H4608" t="s">
        <v>861</v>
      </c>
      <c r="I4608" t="str">
        <f>VLOOKUP(C4608,Customers!A:C,2,FALSE)&amp;" "&amp;VLOOKUP(C4608,Customers!A:C,3,FALSE)</f>
        <v>Kenneth Berg</v>
      </c>
      <c r="J4608" t="str">
        <f>VLOOKUP(D4608,Products!A:C,2,FALSE)</f>
        <v>Soon Accessories</v>
      </c>
      <c r="K4608" t="str">
        <f>VLOOKUP(D4608,Products!A:C,3,FALSE)</f>
        <v>Fashion</v>
      </c>
      <c r="L4608" t="str">
        <f>VLOOKUP(E4608,Stores!A:B,2,FALSE)</f>
        <v>MegaMart Jimenezborough</v>
      </c>
      <c r="M4608">
        <f>VLOOKUP(D4608,Products!A:E,5,FALSE)</f>
        <v>564.41999999999996</v>
      </c>
      <c r="N4608" s="5">
        <f t="shared" si="71"/>
        <v>1439.2709999999997</v>
      </c>
    </row>
    <row r="4609" spans="1:14" x14ac:dyDescent="0.3">
      <c r="A4609" t="s">
        <v>5465</v>
      </c>
      <c r="B4609" s="2">
        <v>45792</v>
      </c>
      <c r="C4609" t="s">
        <v>179</v>
      </c>
      <c r="D4609" t="s">
        <v>734</v>
      </c>
      <c r="E4609" t="s">
        <v>831</v>
      </c>
      <c r="F4609">
        <v>3</v>
      </c>
      <c r="G4609">
        <v>0.1</v>
      </c>
      <c r="H4609" t="s">
        <v>861</v>
      </c>
      <c r="I4609" t="str">
        <f>VLOOKUP(C4609,Customers!A:C,2,FALSE)&amp;" "&amp;VLOOKUP(C4609,Customers!A:C,3,FALSE)</f>
        <v>Dennis Poole</v>
      </c>
      <c r="J4609" t="str">
        <f>VLOOKUP(D4609,Products!A:C,2,FALSE)</f>
        <v>Recognize Footwear</v>
      </c>
      <c r="K4609" t="str">
        <f>VLOOKUP(D4609,Products!A:C,3,FALSE)</f>
        <v>Fashion</v>
      </c>
      <c r="L4609" t="str">
        <f>VLOOKUP(E4609,Stores!A:B,2,FALSE)</f>
        <v>MegaMart Jimenezborough</v>
      </c>
      <c r="M4609">
        <f>VLOOKUP(D4609,Products!A:E,5,FALSE)</f>
        <v>109.78</v>
      </c>
      <c r="N4609" s="5">
        <f t="shared" si="71"/>
        <v>296.40600000000006</v>
      </c>
    </row>
    <row r="4610" spans="1:14" x14ac:dyDescent="0.3">
      <c r="A4610" t="s">
        <v>5466</v>
      </c>
      <c r="B4610" s="2">
        <v>45643</v>
      </c>
      <c r="C4610" t="s">
        <v>254</v>
      </c>
      <c r="D4610" t="s">
        <v>739</v>
      </c>
      <c r="E4610" t="s">
        <v>831</v>
      </c>
      <c r="F4610">
        <v>3</v>
      </c>
      <c r="G4610">
        <v>0</v>
      </c>
      <c r="H4610" t="s">
        <v>861</v>
      </c>
      <c r="I4610" t="str">
        <f>VLOOKUP(C4610,Customers!A:C,2,FALSE)&amp;" "&amp;VLOOKUP(C4610,Customers!A:C,3,FALSE)</f>
        <v>Daniel Maldonado</v>
      </c>
      <c r="J4610" t="str">
        <f>VLOOKUP(D4610,Products!A:C,2,FALSE)</f>
        <v>Step Smartphone</v>
      </c>
      <c r="K4610" t="str">
        <f>VLOOKUP(D4610,Products!A:C,3,FALSE)</f>
        <v>Electronics</v>
      </c>
      <c r="L4610" t="str">
        <f>VLOOKUP(E4610,Stores!A:B,2,FALSE)</f>
        <v>MegaMart Jimenezborough</v>
      </c>
      <c r="M4610">
        <f>VLOOKUP(D4610,Products!A:E,5,FALSE)</f>
        <v>1194.1199999999999</v>
      </c>
      <c r="N4610" s="5">
        <f t="shared" si="71"/>
        <v>3582.3599999999997</v>
      </c>
    </row>
    <row r="4611" spans="1:14" x14ac:dyDescent="0.3">
      <c r="A4611" t="s">
        <v>5467</v>
      </c>
      <c r="B4611" s="2">
        <v>45471</v>
      </c>
      <c r="C4611" t="s">
        <v>452</v>
      </c>
      <c r="D4611" t="s">
        <v>794</v>
      </c>
      <c r="E4611" t="s">
        <v>835</v>
      </c>
      <c r="F4611">
        <v>5</v>
      </c>
      <c r="G4611">
        <v>0.15</v>
      </c>
      <c r="H4611" t="s">
        <v>865</v>
      </c>
      <c r="I4611" t="str">
        <f>VLOOKUP(C4611,Customers!A:C,2,FALSE)&amp;" "&amp;VLOOKUP(C4611,Customers!A:C,3,FALSE)</f>
        <v>Amy Smith</v>
      </c>
      <c r="J4611" t="str">
        <f>VLOOKUP(D4611,Products!A:C,2,FALSE)</f>
        <v>Everything Laptop</v>
      </c>
      <c r="K4611" t="str">
        <f>VLOOKUP(D4611,Products!A:C,3,FALSE)</f>
        <v>Electronics</v>
      </c>
      <c r="L4611" t="str">
        <f>VLOOKUP(E4611,Stores!A:B,2,FALSE)</f>
        <v>MegaMart Peckmouth</v>
      </c>
      <c r="M4611">
        <f>VLOOKUP(D4611,Products!A:E,5,FALSE)</f>
        <v>428.05</v>
      </c>
      <c r="N4611" s="5">
        <f t="shared" ref="N4611:N4674" si="72">F4611*M4611*(1-G4611)</f>
        <v>1819.2124999999999</v>
      </c>
    </row>
    <row r="4612" spans="1:14" x14ac:dyDescent="0.3">
      <c r="A4612" t="s">
        <v>5468</v>
      </c>
      <c r="B4612" s="2">
        <v>45893</v>
      </c>
      <c r="C4612" t="s">
        <v>317</v>
      </c>
      <c r="D4612" t="s">
        <v>732</v>
      </c>
      <c r="E4612" t="s">
        <v>846</v>
      </c>
      <c r="F4612">
        <v>4</v>
      </c>
      <c r="G4612">
        <v>0.15</v>
      </c>
      <c r="H4612" t="s">
        <v>855</v>
      </c>
      <c r="I4612" t="str">
        <f>VLOOKUP(C4612,Customers!A:C,2,FALSE)&amp;" "&amp;VLOOKUP(C4612,Customers!A:C,3,FALSE)</f>
        <v>Amanda Lee</v>
      </c>
      <c r="J4612" t="str">
        <f>VLOOKUP(D4612,Products!A:C,2,FALSE)</f>
        <v>Understand Camera</v>
      </c>
      <c r="K4612" t="str">
        <f>VLOOKUP(D4612,Products!A:C,3,FALSE)</f>
        <v>Electronics</v>
      </c>
      <c r="L4612" t="str">
        <f>VLOOKUP(E4612,Stores!A:B,2,FALSE)</f>
        <v>MegaMart Johnmouth</v>
      </c>
      <c r="M4612">
        <f>VLOOKUP(D4612,Products!A:E,5,FALSE)</f>
        <v>1474.12</v>
      </c>
      <c r="N4612" s="5">
        <f t="shared" si="72"/>
        <v>5012.0079999999998</v>
      </c>
    </row>
    <row r="4613" spans="1:14" x14ac:dyDescent="0.3">
      <c r="A4613" t="s">
        <v>5469</v>
      </c>
      <c r="B4613" s="2">
        <v>45707</v>
      </c>
      <c r="C4613" t="s">
        <v>700</v>
      </c>
      <c r="D4613" t="s">
        <v>788</v>
      </c>
      <c r="E4613" t="s">
        <v>831</v>
      </c>
      <c r="F4613">
        <v>3</v>
      </c>
      <c r="G4613">
        <v>0.05</v>
      </c>
      <c r="H4613" t="s">
        <v>855</v>
      </c>
      <c r="I4613" t="str">
        <f>VLOOKUP(C4613,Customers!A:C,2,FALSE)&amp;" "&amp;VLOOKUP(C4613,Customers!A:C,3,FALSE)</f>
        <v>Juan Johnson</v>
      </c>
      <c r="J4613" t="str">
        <f>VLOOKUP(D4613,Products!A:C,2,FALSE)</f>
        <v>Foot Snacks</v>
      </c>
      <c r="K4613" t="str">
        <f>VLOOKUP(D4613,Products!A:C,3,FALSE)</f>
        <v>Groceries</v>
      </c>
      <c r="L4613" t="str">
        <f>VLOOKUP(E4613,Stores!A:B,2,FALSE)</f>
        <v>MegaMart Jimenezborough</v>
      </c>
      <c r="M4613">
        <f>VLOOKUP(D4613,Products!A:E,5,FALSE)</f>
        <v>1095.72</v>
      </c>
      <c r="N4613" s="5">
        <f t="shared" si="72"/>
        <v>3122.8019999999997</v>
      </c>
    </row>
    <row r="4614" spans="1:14" x14ac:dyDescent="0.3">
      <c r="A4614" t="s">
        <v>5470</v>
      </c>
      <c r="B4614" s="2">
        <v>45297</v>
      </c>
      <c r="C4614" t="s">
        <v>396</v>
      </c>
      <c r="D4614" t="s">
        <v>718</v>
      </c>
      <c r="E4614" t="s">
        <v>842</v>
      </c>
      <c r="F4614">
        <v>1</v>
      </c>
      <c r="G4614">
        <v>0.15</v>
      </c>
      <c r="H4614" t="s">
        <v>858</v>
      </c>
      <c r="I4614" t="str">
        <f>VLOOKUP(C4614,Customers!A:C,2,FALSE)&amp;" "&amp;VLOOKUP(C4614,Customers!A:C,3,FALSE)</f>
        <v>Kevin Flores</v>
      </c>
      <c r="J4614" t="str">
        <f>VLOOKUP(D4614,Products!A:C,2,FALSE)</f>
        <v>Here Footwear</v>
      </c>
      <c r="K4614" t="str">
        <f>VLOOKUP(D4614,Products!A:C,3,FALSE)</f>
        <v>Fashion</v>
      </c>
      <c r="L4614" t="str">
        <f>VLOOKUP(E4614,Stores!A:B,2,FALSE)</f>
        <v>MegaMart Brianahaven</v>
      </c>
      <c r="M4614">
        <f>VLOOKUP(D4614,Products!A:E,5,FALSE)</f>
        <v>337.63</v>
      </c>
      <c r="N4614" s="5">
        <f t="shared" si="72"/>
        <v>286.9855</v>
      </c>
    </row>
    <row r="4615" spans="1:14" x14ac:dyDescent="0.3">
      <c r="A4615" t="s">
        <v>5471</v>
      </c>
      <c r="B4615" s="2">
        <v>45564</v>
      </c>
      <c r="C4615" t="s">
        <v>469</v>
      </c>
      <c r="D4615" t="s">
        <v>816</v>
      </c>
      <c r="E4615" t="s">
        <v>839</v>
      </c>
      <c r="F4615">
        <v>3</v>
      </c>
      <c r="G4615">
        <v>0.1</v>
      </c>
      <c r="H4615" t="s">
        <v>861</v>
      </c>
      <c r="I4615" t="str">
        <f>VLOOKUP(C4615,Customers!A:C,2,FALSE)&amp;" "&amp;VLOOKUP(C4615,Customers!A:C,3,FALSE)</f>
        <v>Robert Collins</v>
      </c>
      <c r="J4615" t="str">
        <f>VLOOKUP(D4615,Products!A:C,2,FALSE)</f>
        <v>Set Dairy</v>
      </c>
      <c r="K4615" t="str">
        <f>VLOOKUP(D4615,Products!A:C,3,FALSE)</f>
        <v>Groceries</v>
      </c>
      <c r="L4615" t="str">
        <f>VLOOKUP(E4615,Stores!A:B,2,FALSE)</f>
        <v>MegaMart New Michele</v>
      </c>
      <c r="M4615">
        <f>VLOOKUP(D4615,Products!A:E,5,FALSE)</f>
        <v>1879.08</v>
      </c>
      <c r="N4615" s="5">
        <f t="shared" si="72"/>
        <v>5073.5159999999996</v>
      </c>
    </row>
    <row r="4616" spans="1:14" x14ac:dyDescent="0.3">
      <c r="A4616" t="s">
        <v>5472</v>
      </c>
      <c r="B4616" s="2">
        <v>45279</v>
      </c>
      <c r="C4616" t="s">
        <v>419</v>
      </c>
      <c r="D4616" t="s">
        <v>808</v>
      </c>
      <c r="E4616" t="s">
        <v>831</v>
      </c>
      <c r="F4616">
        <v>5</v>
      </c>
      <c r="G4616">
        <v>0</v>
      </c>
      <c r="H4616" t="s">
        <v>861</v>
      </c>
      <c r="I4616" t="str">
        <f>VLOOKUP(C4616,Customers!A:C,2,FALSE)&amp;" "&amp;VLOOKUP(C4616,Customers!A:C,3,FALSE)</f>
        <v>Jeffrey Smith</v>
      </c>
      <c r="J4616" t="str">
        <f>VLOOKUP(D4616,Products!A:C,2,FALSE)</f>
        <v>Present Television</v>
      </c>
      <c r="K4616" t="str">
        <f>VLOOKUP(D4616,Products!A:C,3,FALSE)</f>
        <v>Electronics</v>
      </c>
      <c r="L4616" t="str">
        <f>VLOOKUP(E4616,Stores!A:B,2,FALSE)</f>
        <v>MegaMart Jimenezborough</v>
      </c>
      <c r="M4616">
        <f>VLOOKUP(D4616,Products!A:E,5,FALSE)</f>
        <v>1635.01</v>
      </c>
      <c r="N4616" s="5">
        <f t="shared" si="72"/>
        <v>8175.05</v>
      </c>
    </row>
    <row r="4617" spans="1:14" x14ac:dyDescent="0.3">
      <c r="A4617" t="s">
        <v>5473</v>
      </c>
      <c r="B4617" s="2">
        <v>45246</v>
      </c>
      <c r="C4617" t="s">
        <v>494</v>
      </c>
      <c r="D4617" t="s">
        <v>753</v>
      </c>
      <c r="E4617" t="s">
        <v>839</v>
      </c>
      <c r="F4617">
        <v>2</v>
      </c>
      <c r="G4617">
        <v>0.05</v>
      </c>
      <c r="H4617" t="s">
        <v>858</v>
      </c>
      <c r="I4617" t="str">
        <f>VLOOKUP(C4617,Customers!A:C,2,FALSE)&amp;" "&amp;VLOOKUP(C4617,Customers!A:C,3,FALSE)</f>
        <v>Mario Cuevas</v>
      </c>
      <c r="J4617" t="str">
        <f>VLOOKUP(D4617,Products!A:C,2,FALSE)</f>
        <v>Whether Bags</v>
      </c>
      <c r="K4617" t="str">
        <f>VLOOKUP(D4617,Products!A:C,3,FALSE)</f>
        <v>Fashion</v>
      </c>
      <c r="L4617" t="str">
        <f>VLOOKUP(E4617,Stores!A:B,2,FALSE)</f>
        <v>MegaMart New Michele</v>
      </c>
      <c r="M4617">
        <f>VLOOKUP(D4617,Products!A:E,5,FALSE)</f>
        <v>270.45</v>
      </c>
      <c r="N4617" s="5">
        <f t="shared" si="72"/>
        <v>513.8549999999999</v>
      </c>
    </row>
    <row r="4618" spans="1:14" x14ac:dyDescent="0.3">
      <c r="A4618" t="s">
        <v>5474</v>
      </c>
      <c r="B4618" s="2">
        <v>45184</v>
      </c>
      <c r="C4618" t="s">
        <v>210</v>
      </c>
      <c r="D4618" t="s">
        <v>745</v>
      </c>
      <c r="E4618" t="s">
        <v>842</v>
      </c>
      <c r="F4618">
        <v>2</v>
      </c>
      <c r="G4618">
        <v>0.15</v>
      </c>
      <c r="H4618" t="s">
        <v>861</v>
      </c>
      <c r="I4618" t="str">
        <f>VLOOKUP(C4618,Customers!A:C,2,FALSE)&amp;" "&amp;VLOOKUP(C4618,Customers!A:C,3,FALSE)</f>
        <v>Crystal Johnson</v>
      </c>
      <c r="J4618" t="str">
        <f>VLOOKUP(D4618,Products!A:C,2,FALSE)</f>
        <v>Above Camera</v>
      </c>
      <c r="K4618" t="str">
        <f>VLOOKUP(D4618,Products!A:C,3,FALSE)</f>
        <v>Electronics</v>
      </c>
      <c r="L4618" t="str">
        <f>VLOOKUP(E4618,Stores!A:B,2,FALSE)</f>
        <v>MegaMart Brianahaven</v>
      </c>
      <c r="M4618">
        <f>VLOOKUP(D4618,Products!A:E,5,FALSE)</f>
        <v>1193.0899999999999</v>
      </c>
      <c r="N4618" s="5">
        <f t="shared" si="72"/>
        <v>2028.2529999999997</v>
      </c>
    </row>
    <row r="4619" spans="1:14" x14ac:dyDescent="0.3">
      <c r="A4619" t="s">
        <v>5475</v>
      </c>
      <c r="B4619" s="2">
        <v>45852</v>
      </c>
      <c r="C4619" t="s">
        <v>183</v>
      </c>
      <c r="D4619" t="s">
        <v>816</v>
      </c>
      <c r="E4619" t="s">
        <v>831</v>
      </c>
      <c r="F4619">
        <v>2</v>
      </c>
      <c r="G4619">
        <v>0.05</v>
      </c>
      <c r="H4619" t="s">
        <v>861</v>
      </c>
      <c r="I4619" t="str">
        <f>VLOOKUP(C4619,Customers!A:C,2,FALSE)&amp;" "&amp;VLOOKUP(C4619,Customers!A:C,3,FALSE)</f>
        <v>Mary Decker</v>
      </c>
      <c r="J4619" t="str">
        <f>VLOOKUP(D4619,Products!A:C,2,FALSE)</f>
        <v>Set Dairy</v>
      </c>
      <c r="K4619" t="str">
        <f>VLOOKUP(D4619,Products!A:C,3,FALSE)</f>
        <v>Groceries</v>
      </c>
      <c r="L4619" t="str">
        <f>VLOOKUP(E4619,Stores!A:B,2,FALSE)</f>
        <v>MegaMart Jimenezborough</v>
      </c>
      <c r="M4619">
        <f>VLOOKUP(D4619,Products!A:E,5,FALSE)</f>
        <v>1879.08</v>
      </c>
      <c r="N4619" s="5">
        <f t="shared" si="72"/>
        <v>3570.2519999999995</v>
      </c>
    </row>
    <row r="4620" spans="1:14" x14ac:dyDescent="0.3">
      <c r="A4620" t="s">
        <v>5476</v>
      </c>
      <c r="B4620" s="2">
        <v>45698</v>
      </c>
      <c r="C4620" t="s">
        <v>458</v>
      </c>
      <c r="D4620" t="s">
        <v>722</v>
      </c>
      <c r="E4620" t="s">
        <v>831</v>
      </c>
      <c r="F4620">
        <v>1</v>
      </c>
      <c r="G4620">
        <v>0</v>
      </c>
      <c r="H4620" t="s">
        <v>858</v>
      </c>
      <c r="I4620" t="str">
        <f>VLOOKUP(C4620,Customers!A:C,2,FALSE)&amp;" "&amp;VLOOKUP(C4620,Customers!A:C,3,FALSE)</f>
        <v>Chad Roberts</v>
      </c>
      <c r="J4620" t="str">
        <f>VLOOKUP(D4620,Products!A:C,2,FALSE)</f>
        <v>Four Accessories</v>
      </c>
      <c r="K4620" t="str">
        <f>VLOOKUP(D4620,Products!A:C,3,FALSE)</f>
        <v>Fashion</v>
      </c>
      <c r="L4620" t="str">
        <f>VLOOKUP(E4620,Stores!A:B,2,FALSE)</f>
        <v>MegaMart Jimenezborough</v>
      </c>
      <c r="M4620">
        <f>VLOOKUP(D4620,Products!A:E,5,FALSE)</f>
        <v>1853.77</v>
      </c>
      <c r="N4620" s="5">
        <f t="shared" si="72"/>
        <v>1853.77</v>
      </c>
    </row>
    <row r="4621" spans="1:14" x14ac:dyDescent="0.3">
      <c r="A4621" t="s">
        <v>5477</v>
      </c>
      <c r="B4621" s="2">
        <v>45344</v>
      </c>
      <c r="C4621" t="s">
        <v>358</v>
      </c>
      <c r="D4621" t="s">
        <v>780</v>
      </c>
      <c r="E4621" t="s">
        <v>842</v>
      </c>
      <c r="F4621">
        <v>4</v>
      </c>
      <c r="G4621">
        <v>0</v>
      </c>
      <c r="H4621" t="s">
        <v>858</v>
      </c>
      <c r="I4621" t="str">
        <f>VLOOKUP(C4621,Customers!A:C,2,FALSE)&amp;" "&amp;VLOOKUP(C4621,Customers!A:C,3,FALSE)</f>
        <v>Kevin Snyder</v>
      </c>
      <c r="J4621" t="str">
        <f>VLOOKUP(D4621,Products!A:C,2,FALSE)</f>
        <v>Hospital Smartphone</v>
      </c>
      <c r="K4621" t="str">
        <f>VLOOKUP(D4621,Products!A:C,3,FALSE)</f>
        <v>Electronics</v>
      </c>
      <c r="L4621" t="str">
        <f>VLOOKUP(E4621,Stores!A:B,2,FALSE)</f>
        <v>MegaMart Brianahaven</v>
      </c>
      <c r="M4621">
        <f>VLOOKUP(D4621,Products!A:E,5,FALSE)</f>
        <v>1272.23</v>
      </c>
      <c r="N4621" s="5">
        <f t="shared" si="72"/>
        <v>5088.92</v>
      </c>
    </row>
    <row r="4622" spans="1:14" x14ac:dyDescent="0.3">
      <c r="A4622" t="s">
        <v>5478</v>
      </c>
      <c r="B4622" s="2">
        <v>45245</v>
      </c>
      <c r="C4622" t="s">
        <v>112</v>
      </c>
      <c r="D4622" t="s">
        <v>718</v>
      </c>
      <c r="E4622" t="s">
        <v>842</v>
      </c>
      <c r="F4622">
        <v>2</v>
      </c>
      <c r="G4622">
        <v>0</v>
      </c>
      <c r="H4622" t="s">
        <v>855</v>
      </c>
      <c r="I4622" t="str">
        <f>VLOOKUP(C4622,Customers!A:C,2,FALSE)&amp;" "&amp;VLOOKUP(C4622,Customers!A:C,3,FALSE)</f>
        <v>John Carr</v>
      </c>
      <c r="J4622" t="str">
        <f>VLOOKUP(D4622,Products!A:C,2,FALSE)</f>
        <v>Here Footwear</v>
      </c>
      <c r="K4622" t="str">
        <f>VLOOKUP(D4622,Products!A:C,3,FALSE)</f>
        <v>Fashion</v>
      </c>
      <c r="L4622" t="str">
        <f>VLOOKUP(E4622,Stores!A:B,2,FALSE)</f>
        <v>MegaMart Brianahaven</v>
      </c>
      <c r="M4622">
        <f>VLOOKUP(D4622,Products!A:E,5,FALSE)</f>
        <v>337.63</v>
      </c>
      <c r="N4622" s="5">
        <f t="shared" si="72"/>
        <v>675.26</v>
      </c>
    </row>
    <row r="4623" spans="1:14" x14ac:dyDescent="0.3">
      <c r="A4623" t="s">
        <v>5479</v>
      </c>
      <c r="B4623" s="2">
        <v>45249</v>
      </c>
      <c r="C4623" t="s">
        <v>159</v>
      </c>
      <c r="D4623" t="s">
        <v>772</v>
      </c>
      <c r="E4623" t="s">
        <v>846</v>
      </c>
      <c r="F4623">
        <v>5</v>
      </c>
      <c r="G4623">
        <v>0.1</v>
      </c>
      <c r="H4623" t="s">
        <v>865</v>
      </c>
      <c r="I4623" t="str">
        <f>VLOOKUP(C4623,Customers!A:C,2,FALSE)&amp;" "&amp;VLOOKUP(C4623,Customers!A:C,3,FALSE)</f>
        <v>Melissa Rodgers</v>
      </c>
      <c r="J4623" t="str">
        <f>VLOOKUP(D4623,Products!A:C,2,FALSE)</f>
        <v>And Footwear</v>
      </c>
      <c r="K4623" t="str">
        <f>VLOOKUP(D4623,Products!A:C,3,FALSE)</f>
        <v>Fashion</v>
      </c>
      <c r="L4623" t="str">
        <f>VLOOKUP(E4623,Stores!A:B,2,FALSE)</f>
        <v>MegaMart Johnmouth</v>
      </c>
      <c r="M4623">
        <f>VLOOKUP(D4623,Products!A:E,5,FALSE)</f>
        <v>1878.47</v>
      </c>
      <c r="N4623" s="5">
        <f t="shared" si="72"/>
        <v>8453.1149999999998</v>
      </c>
    </row>
    <row r="4624" spans="1:14" x14ac:dyDescent="0.3">
      <c r="A4624" t="s">
        <v>5480</v>
      </c>
      <c r="B4624" s="2">
        <v>45810</v>
      </c>
      <c r="C4624" t="s">
        <v>280</v>
      </c>
      <c r="D4624" t="s">
        <v>747</v>
      </c>
      <c r="E4624" t="s">
        <v>839</v>
      </c>
      <c r="F4624">
        <v>5</v>
      </c>
      <c r="G4624">
        <v>0.15</v>
      </c>
      <c r="H4624" t="s">
        <v>861</v>
      </c>
      <c r="I4624" t="str">
        <f>VLOOKUP(C4624,Customers!A:C,2,FALSE)&amp;" "&amp;VLOOKUP(C4624,Customers!A:C,3,FALSE)</f>
        <v>Jesus Singh</v>
      </c>
      <c r="J4624" t="str">
        <f>VLOOKUP(D4624,Products!A:C,2,FALSE)</f>
        <v>World Watches</v>
      </c>
      <c r="K4624" t="str">
        <f>VLOOKUP(D4624,Products!A:C,3,FALSE)</f>
        <v>Fashion</v>
      </c>
      <c r="L4624" t="str">
        <f>VLOOKUP(E4624,Stores!A:B,2,FALSE)</f>
        <v>MegaMart New Michele</v>
      </c>
      <c r="M4624">
        <f>VLOOKUP(D4624,Products!A:E,5,FALSE)</f>
        <v>1134.8</v>
      </c>
      <c r="N4624" s="5">
        <f t="shared" si="72"/>
        <v>4822.8999999999996</v>
      </c>
    </row>
    <row r="4625" spans="1:14" x14ac:dyDescent="0.3">
      <c r="A4625" t="s">
        <v>5481</v>
      </c>
      <c r="B4625" s="2">
        <v>45844</v>
      </c>
      <c r="C4625" t="s">
        <v>40</v>
      </c>
      <c r="D4625" t="s">
        <v>759</v>
      </c>
      <c r="E4625" t="s">
        <v>839</v>
      </c>
      <c r="F4625">
        <v>2</v>
      </c>
      <c r="G4625">
        <v>0</v>
      </c>
      <c r="H4625" t="s">
        <v>858</v>
      </c>
      <c r="I4625" t="str">
        <f>VLOOKUP(C4625,Customers!A:C,2,FALSE)&amp;" "&amp;VLOOKUP(C4625,Customers!A:C,3,FALSE)</f>
        <v>Richard Pacheco</v>
      </c>
      <c r="J4625" t="str">
        <f>VLOOKUP(D4625,Products!A:C,2,FALSE)</f>
        <v>Democratic Smartphone</v>
      </c>
      <c r="K4625" t="str">
        <f>VLOOKUP(D4625,Products!A:C,3,FALSE)</f>
        <v>Electronics</v>
      </c>
      <c r="L4625" t="str">
        <f>VLOOKUP(E4625,Stores!A:B,2,FALSE)</f>
        <v>MegaMart New Michele</v>
      </c>
      <c r="M4625">
        <f>VLOOKUP(D4625,Products!A:E,5,FALSE)</f>
        <v>1079.8900000000001</v>
      </c>
      <c r="N4625" s="5">
        <f t="shared" si="72"/>
        <v>2159.7800000000002</v>
      </c>
    </row>
    <row r="4626" spans="1:14" x14ac:dyDescent="0.3">
      <c r="A4626" t="s">
        <v>5482</v>
      </c>
      <c r="B4626" s="2">
        <v>45403</v>
      </c>
      <c r="C4626" t="s">
        <v>539</v>
      </c>
      <c r="D4626" t="s">
        <v>808</v>
      </c>
      <c r="E4626" t="s">
        <v>831</v>
      </c>
      <c r="F4626">
        <v>2</v>
      </c>
      <c r="G4626">
        <v>0.05</v>
      </c>
      <c r="H4626" t="s">
        <v>861</v>
      </c>
      <c r="I4626" t="str">
        <f>VLOOKUP(C4626,Customers!A:C,2,FALSE)&amp;" "&amp;VLOOKUP(C4626,Customers!A:C,3,FALSE)</f>
        <v>Melissa Torres</v>
      </c>
      <c r="J4626" t="str">
        <f>VLOOKUP(D4626,Products!A:C,2,FALSE)</f>
        <v>Present Television</v>
      </c>
      <c r="K4626" t="str">
        <f>VLOOKUP(D4626,Products!A:C,3,FALSE)</f>
        <v>Electronics</v>
      </c>
      <c r="L4626" t="str">
        <f>VLOOKUP(E4626,Stores!A:B,2,FALSE)</f>
        <v>MegaMart Jimenezborough</v>
      </c>
      <c r="M4626">
        <f>VLOOKUP(D4626,Products!A:E,5,FALSE)</f>
        <v>1635.01</v>
      </c>
      <c r="N4626" s="5">
        <f t="shared" si="72"/>
        <v>3106.5189999999998</v>
      </c>
    </row>
    <row r="4627" spans="1:14" x14ac:dyDescent="0.3">
      <c r="A4627" t="s">
        <v>5483</v>
      </c>
      <c r="B4627" s="2">
        <v>45345</v>
      </c>
      <c r="C4627" t="s">
        <v>36</v>
      </c>
      <c r="D4627" t="s">
        <v>824</v>
      </c>
      <c r="E4627" t="s">
        <v>835</v>
      </c>
      <c r="F4627">
        <v>4</v>
      </c>
      <c r="G4627">
        <v>0</v>
      </c>
      <c r="H4627" t="s">
        <v>865</v>
      </c>
      <c r="I4627" t="str">
        <f>VLOOKUP(C4627,Customers!A:C,2,FALSE)&amp;" "&amp;VLOOKUP(C4627,Customers!A:C,3,FALSE)</f>
        <v>Isaiah Williams</v>
      </c>
      <c r="J4627" t="str">
        <f>VLOOKUP(D4627,Products!A:C,2,FALSE)</f>
        <v>Possible Watches</v>
      </c>
      <c r="K4627" t="str">
        <f>VLOOKUP(D4627,Products!A:C,3,FALSE)</f>
        <v>Fashion</v>
      </c>
      <c r="L4627" t="str">
        <f>VLOOKUP(E4627,Stores!A:B,2,FALSE)</f>
        <v>MegaMart Peckmouth</v>
      </c>
      <c r="M4627">
        <f>VLOOKUP(D4627,Products!A:E,5,FALSE)</f>
        <v>388.26</v>
      </c>
      <c r="N4627" s="5">
        <f t="shared" si="72"/>
        <v>1553.04</v>
      </c>
    </row>
    <row r="4628" spans="1:14" x14ac:dyDescent="0.3">
      <c r="A4628" t="s">
        <v>5484</v>
      </c>
      <c r="B4628" s="2">
        <v>45825</v>
      </c>
      <c r="C4628" t="s">
        <v>262</v>
      </c>
      <c r="D4628" t="s">
        <v>776</v>
      </c>
      <c r="E4628" t="s">
        <v>835</v>
      </c>
      <c r="F4628">
        <v>4</v>
      </c>
      <c r="G4628">
        <v>0.1</v>
      </c>
      <c r="H4628" t="s">
        <v>858</v>
      </c>
      <c r="I4628" t="str">
        <f>VLOOKUP(C4628,Customers!A:C,2,FALSE)&amp;" "&amp;VLOOKUP(C4628,Customers!A:C,3,FALSE)</f>
        <v>Gabriel Daugherty</v>
      </c>
      <c r="J4628" t="str">
        <f>VLOOKUP(D4628,Products!A:C,2,FALSE)</f>
        <v>Little Watches</v>
      </c>
      <c r="K4628" t="str">
        <f>VLOOKUP(D4628,Products!A:C,3,FALSE)</f>
        <v>Fashion</v>
      </c>
      <c r="L4628" t="str">
        <f>VLOOKUP(E4628,Stores!A:B,2,FALSE)</f>
        <v>MegaMart Peckmouth</v>
      </c>
      <c r="M4628">
        <f>VLOOKUP(D4628,Products!A:E,5,FALSE)</f>
        <v>429.15</v>
      </c>
      <c r="N4628" s="5">
        <f t="shared" si="72"/>
        <v>1544.94</v>
      </c>
    </row>
    <row r="4629" spans="1:14" x14ac:dyDescent="0.3">
      <c r="A4629" t="s">
        <v>5485</v>
      </c>
      <c r="B4629" s="2">
        <v>45753</v>
      </c>
      <c r="C4629" t="s">
        <v>81</v>
      </c>
      <c r="D4629" t="s">
        <v>757</v>
      </c>
      <c r="E4629" t="s">
        <v>831</v>
      </c>
      <c r="F4629">
        <v>4</v>
      </c>
      <c r="G4629">
        <v>0</v>
      </c>
      <c r="H4629" t="s">
        <v>865</v>
      </c>
      <c r="I4629" t="str">
        <f>VLOOKUP(C4629,Customers!A:C,2,FALSE)&amp;" "&amp;VLOOKUP(C4629,Customers!A:C,3,FALSE)</f>
        <v>Ryan Cole</v>
      </c>
      <c r="J4629" t="str">
        <f>VLOOKUP(D4629,Products!A:C,2,FALSE)</f>
        <v>Find Headphones</v>
      </c>
      <c r="K4629" t="str">
        <f>VLOOKUP(D4629,Products!A:C,3,FALSE)</f>
        <v>Electronics</v>
      </c>
      <c r="L4629" t="str">
        <f>VLOOKUP(E4629,Stores!A:B,2,FALSE)</f>
        <v>MegaMart Jimenezborough</v>
      </c>
      <c r="M4629">
        <f>VLOOKUP(D4629,Products!A:E,5,FALSE)</f>
        <v>1246.1099999999999</v>
      </c>
      <c r="N4629" s="5">
        <f t="shared" si="72"/>
        <v>4984.4399999999996</v>
      </c>
    </row>
    <row r="4630" spans="1:14" x14ac:dyDescent="0.3">
      <c r="A4630" t="s">
        <v>5486</v>
      </c>
      <c r="B4630" s="2">
        <v>45839</v>
      </c>
      <c r="C4630" t="s">
        <v>432</v>
      </c>
      <c r="D4630" t="s">
        <v>790</v>
      </c>
      <c r="E4630" t="s">
        <v>842</v>
      </c>
      <c r="F4630">
        <v>1</v>
      </c>
      <c r="G4630">
        <v>0.05</v>
      </c>
      <c r="H4630" t="s">
        <v>865</v>
      </c>
      <c r="I4630" t="str">
        <f>VLOOKUP(C4630,Customers!A:C,2,FALSE)&amp;" "&amp;VLOOKUP(C4630,Customers!A:C,3,FALSE)</f>
        <v>Jamie Webb</v>
      </c>
      <c r="J4630" t="str">
        <f>VLOOKUP(D4630,Products!A:C,2,FALSE)</f>
        <v>Difficult Vegetables</v>
      </c>
      <c r="K4630" t="str">
        <f>VLOOKUP(D4630,Products!A:C,3,FALSE)</f>
        <v>Groceries</v>
      </c>
      <c r="L4630" t="str">
        <f>VLOOKUP(E4630,Stores!A:B,2,FALSE)</f>
        <v>MegaMart Brianahaven</v>
      </c>
      <c r="M4630">
        <f>VLOOKUP(D4630,Products!A:E,5,FALSE)</f>
        <v>304.70999999999998</v>
      </c>
      <c r="N4630" s="5">
        <f t="shared" si="72"/>
        <v>289.47449999999998</v>
      </c>
    </row>
    <row r="4631" spans="1:14" x14ac:dyDescent="0.3">
      <c r="A4631" t="s">
        <v>5487</v>
      </c>
      <c r="B4631" s="2">
        <v>45258</v>
      </c>
      <c r="C4631" t="s">
        <v>386</v>
      </c>
      <c r="D4631" t="s">
        <v>774</v>
      </c>
      <c r="E4631" t="s">
        <v>835</v>
      </c>
      <c r="F4631">
        <v>4</v>
      </c>
      <c r="G4631">
        <v>0</v>
      </c>
      <c r="H4631" t="s">
        <v>855</v>
      </c>
      <c r="I4631" t="str">
        <f>VLOOKUP(C4631,Customers!A:C,2,FALSE)&amp;" "&amp;VLOOKUP(C4631,Customers!A:C,3,FALSE)</f>
        <v>David Burns</v>
      </c>
      <c r="J4631" t="str">
        <f>VLOOKUP(D4631,Products!A:C,2,FALSE)</f>
        <v>Him Smartphone</v>
      </c>
      <c r="K4631" t="str">
        <f>VLOOKUP(D4631,Products!A:C,3,FALSE)</f>
        <v>Electronics</v>
      </c>
      <c r="L4631" t="str">
        <f>VLOOKUP(E4631,Stores!A:B,2,FALSE)</f>
        <v>MegaMart Peckmouth</v>
      </c>
      <c r="M4631">
        <f>VLOOKUP(D4631,Products!A:E,5,FALSE)</f>
        <v>1487.41</v>
      </c>
      <c r="N4631" s="5">
        <f t="shared" si="72"/>
        <v>5949.64</v>
      </c>
    </row>
    <row r="4632" spans="1:14" x14ac:dyDescent="0.3">
      <c r="A4632" t="s">
        <v>5488</v>
      </c>
      <c r="B4632" s="2">
        <v>45497</v>
      </c>
      <c r="C4632" t="s">
        <v>625</v>
      </c>
      <c r="D4632" t="s">
        <v>739</v>
      </c>
      <c r="E4632" t="s">
        <v>831</v>
      </c>
      <c r="F4632">
        <v>1</v>
      </c>
      <c r="G4632">
        <v>0.1</v>
      </c>
      <c r="H4632" t="s">
        <v>861</v>
      </c>
      <c r="I4632" t="str">
        <f>VLOOKUP(C4632,Customers!A:C,2,FALSE)&amp;" "&amp;VLOOKUP(C4632,Customers!A:C,3,FALSE)</f>
        <v>Peter Garcia</v>
      </c>
      <c r="J4632" t="str">
        <f>VLOOKUP(D4632,Products!A:C,2,FALSE)</f>
        <v>Step Smartphone</v>
      </c>
      <c r="K4632" t="str">
        <f>VLOOKUP(D4632,Products!A:C,3,FALSE)</f>
        <v>Electronics</v>
      </c>
      <c r="L4632" t="str">
        <f>VLOOKUP(E4632,Stores!A:B,2,FALSE)</f>
        <v>MegaMart Jimenezborough</v>
      </c>
      <c r="M4632">
        <f>VLOOKUP(D4632,Products!A:E,5,FALSE)</f>
        <v>1194.1199999999999</v>
      </c>
      <c r="N4632" s="5">
        <f t="shared" si="72"/>
        <v>1074.7079999999999</v>
      </c>
    </row>
    <row r="4633" spans="1:14" x14ac:dyDescent="0.3">
      <c r="A4633" t="s">
        <v>5489</v>
      </c>
      <c r="B4633" s="2">
        <v>45290</v>
      </c>
      <c r="C4633" t="s">
        <v>210</v>
      </c>
      <c r="D4633" t="s">
        <v>759</v>
      </c>
      <c r="E4633" t="s">
        <v>835</v>
      </c>
      <c r="F4633">
        <v>4</v>
      </c>
      <c r="G4633">
        <v>0.15</v>
      </c>
      <c r="H4633" t="s">
        <v>861</v>
      </c>
      <c r="I4633" t="str">
        <f>VLOOKUP(C4633,Customers!A:C,2,FALSE)&amp;" "&amp;VLOOKUP(C4633,Customers!A:C,3,FALSE)</f>
        <v>Crystal Johnson</v>
      </c>
      <c r="J4633" t="str">
        <f>VLOOKUP(D4633,Products!A:C,2,FALSE)</f>
        <v>Democratic Smartphone</v>
      </c>
      <c r="K4633" t="str">
        <f>VLOOKUP(D4633,Products!A:C,3,FALSE)</f>
        <v>Electronics</v>
      </c>
      <c r="L4633" t="str">
        <f>VLOOKUP(E4633,Stores!A:B,2,FALSE)</f>
        <v>MegaMart Peckmouth</v>
      </c>
      <c r="M4633">
        <f>VLOOKUP(D4633,Products!A:E,5,FALSE)</f>
        <v>1079.8900000000001</v>
      </c>
      <c r="N4633" s="5">
        <f t="shared" si="72"/>
        <v>3671.6260000000002</v>
      </c>
    </row>
    <row r="4634" spans="1:14" x14ac:dyDescent="0.3">
      <c r="A4634" t="s">
        <v>5490</v>
      </c>
      <c r="B4634" s="2">
        <v>45697</v>
      </c>
      <c r="C4634" t="s">
        <v>247</v>
      </c>
      <c r="D4634" t="s">
        <v>814</v>
      </c>
      <c r="E4634" t="s">
        <v>839</v>
      </c>
      <c r="F4634">
        <v>4</v>
      </c>
      <c r="G4634">
        <v>0.05</v>
      </c>
      <c r="H4634" t="s">
        <v>865</v>
      </c>
      <c r="I4634" t="str">
        <f>VLOOKUP(C4634,Customers!A:C,2,FALSE)&amp;" "&amp;VLOOKUP(C4634,Customers!A:C,3,FALSE)</f>
        <v>Scott Duke</v>
      </c>
      <c r="J4634" t="str">
        <f>VLOOKUP(D4634,Products!A:C,2,FALSE)</f>
        <v>Least Accessories</v>
      </c>
      <c r="K4634" t="str">
        <f>VLOOKUP(D4634,Products!A:C,3,FALSE)</f>
        <v>Fashion</v>
      </c>
      <c r="L4634" t="str">
        <f>VLOOKUP(E4634,Stores!A:B,2,FALSE)</f>
        <v>MegaMart New Michele</v>
      </c>
      <c r="M4634">
        <f>VLOOKUP(D4634,Products!A:E,5,FALSE)</f>
        <v>1286.55</v>
      </c>
      <c r="N4634" s="5">
        <f t="shared" si="72"/>
        <v>4888.8899999999994</v>
      </c>
    </row>
    <row r="4635" spans="1:14" x14ac:dyDescent="0.3">
      <c r="A4635" t="s">
        <v>5491</v>
      </c>
      <c r="B4635" s="2">
        <v>45495</v>
      </c>
      <c r="C4635" t="s">
        <v>422</v>
      </c>
      <c r="D4635" t="s">
        <v>747</v>
      </c>
      <c r="E4635" t="s">
        <v>835</v>
      </c>
      <c r="F4635">
        <v>5</v>
      </c>
      <c r="G4635">
        <v>0.1</v>
      </c>
      <c r="H4635" t="s">
        <v>858</v>
      </c>
      <c r="I4635" t="str">
        <f>VLOOKUP(C4635,Customers!A:C,2,FALSE)&amp;" "&amp;VLOOKUP(C4635,Customers!A:C,3,FALSE)</f>
        <v>Heidi Wilson</v>
      </c>
      <c r="J4635" t="str">
        <f>VLOOKUP(D4635,Products!A:C,2,FALSE)</f>
        <v>World Watches</v>
      </c>
      <c r="K4635" t="str">
        <f>VLOOKUP(D4635,Products!A:C,3,FALSE)</f>
        <v>Fashion</v>
      </c>
      <c r="L4635" t="str">
        <f>VLOOKUP(E4635,Stores!A:B,2,FALSE)</f>
        <v>MegaMart Peckmouth</v>
      </c>
      <c r="M4635">
        <f>VLOOKUP(D4635,Products!A:E,5,FALSE)</f>
        <v>1134.8</v>
      </c>
      <c r="N4635" s="5">
        <f t="shared" si="72"/>
        <v>5106.6000000000004</v>
      </c>
    </row>
    <row r="4636" spans="1:14" x14ac:dyDescent="0.3">
      <c r="A4636" t="s">
        <v>5492</v>
      </c>
      <c r="B4636" s="2">
        <v>45673</v>
      </c>
      <c r="C4636" t="s">
        <v>415</v>
      </c>
      <c r="D4636" t="s">
        <v>800</v>
      </c>
      <c r="E4636" t="s">
        <v>835</v>
      </c>
      <c r="F4636">
        <v>5</v>
      </c>
      <c r="G4636">
        <v>0</v>
      </c>
      <c r="H4636" t="s">
        <v>861</v>
      </c>
      <c r="I4636" t="str">
        <f>VLOOKUP(C4636,Customers!A:C,2,FALSE)&amp;" "&amp;VLOOKUP(C4636,Customers!A:C,3,FALSE)</f>
        <v>Dylan Booker</v>
      </c>
      <c r="J4636" t="str">
        <f>VLOOKUP(D4636,Products!A:C,2,FALSE)</f>
        <v>Book Television</v>
      </c>
      <c r="K4636" t="str">
        <f>VLOOKUP(D4636,Products!A:C,3,FALSE)</f>
        <v>Electronics</v>
      </c>
      <c r="L4636" t="str">
        <f>VLOOKUP(E4636,Stores!A:B,2,FALSE)</f>
        <v>MegaMart Peckmouth</v>
      </c>
      <c r="M4636">
        <f>VLOOKUP(D4636,Products!A:E,5,FALSE)</f>
        <v>1952.65</v>
      </c>
      <c r="N4636" s="5">
        <f t="shared" si="72"/>
        <v>9763.25</v>
      </c>
    </row>
    <row r="4637" spans="1:14" x14ac:dyDescent="0.3">
      <c r="A4637" t="s">
        <v>5493</v>
      </c>
      <c r="B4637" s="2">
        <v>45522</v>
      </c>
      <c r="C4637" t="s">
        <v>527</v>
      </c>
      <c r="D4637" t="s">
        <v>824</v>
      </c>
      <c r="E4637" t="s">
        <v>831</v>
      </c>
      <c r="F4637">
        <v>4</v>
      </c>
      <c r="G4637">
        <v>0.1</v>
      </c>
      <c r="H4637" t="s">
        <v>855</v>
      </c>
      <c r="I4637" t="str">
        <f>VLOOKUP(C4637,Customers!A:C,2,FALSE)&amp;" "&amp;VLOOKUP(C4637,Customers!A:C,3,FALSE)</f>
        <v>Paige Osborne</v>
      </c>
      <c r="J4637" t="str">
        <f>VLOOKUP(D4637,Products!A:C,2,FALSE)</f>
        <v>Possible Watches</v>
      </c>
      <c r="K4637" t="str">
        <f>VLOOKUP(D4637,Products!A:C,3,FALSE)</f>
        <v>Fashion</v>
      </c>
      <c r="L4637" t="str">
        <f>VLOOKUP(E4637,Stores!A:B,2,FALSE)</f>
        <v>MegaMart Jimenezborough</v>
      </c>
      <c r="M4637">
        <f>VLOOKUP(D4637,Products!A:E,5,FALSE)</f>
        <v>388.26</v>
      </c>
      <c r="N4637" s="5">
        <f t="shared" si="72"/>
        <v>1397.7360000000001</v>
      </c>
    </row>
    <row r="4638" spans="1:14" x14ac:dyDescent="0.3">
      <c r="A4638" t="s">
        <v>5494</v>
      </c>
      <c r="B4638" s="2">
        <v>45510</v>
      </c>
      <c r="C4638" t="s">
        <v>67</v>
      </c>
      <c r="D4638" t="s">
        <v>755</v>
      </c>
      <c r="E4638" t="s">
        <v>835</v>
      </c>
      <c r="F4638">
        <v>3</v>
      </c>
      <c r="G4638">
        <v>0.1</v>
      </c>
      <c r="H4638" t="s">
        <v>865</v>
      </c>
      <c r="I4638" t="str">
        <f>VLOOKUP(C4638,Customers!A:C,2,FALSE)&amp;" "&amp;VLOOKUP(C4638,Customers!A:C,3,FALSE)</f>
        <v>Miguel Johnson</v>
      </c>
      <c r="J4638" t="str">
        <f>VLOOKUP(D4638,Products!A:C,2,FALSE)</f>
        <v>House Accessories</v>
      </c>
      <c r="K4638" t="str">
        <f>VLOOKUP(D4638,Products!A:C,3,FALSE)</f>
        <v>Fashion</v>
      </c>
      <c r="L4638" t="str">
        <f>VLOOKUP(E4638,Stores!A:B,2,FALSE)</f>
        <v>MegaMart Peckmouth</v>
      </c>
      <c r="M4638">
        <f>VLOOKUP(D4638,Products!A:E,5,FALSE)</f>
        <v>1858.75</v>
      </c>
      <c r="N4638" s="5">
        <f t="shared" si="72"/>
        <v>5018.625</v>
      </c>
    </row>
    <row r="4639" spans="1:14" x14ac:dyDescent="0.3">
      <c r="A4639" t="s">
        <v>5495</v>
      </c>
      <c r="B4639" s="2">
        <v>45757</v>
      </c>
      <c r="C4639" t="s">
        <v>633</v>
      </c>
      <c r="D4639" t="s">
        <v>796</v>
      </c>
      <c r="E4639" t="s">
        <v>846</v>
      </c>
      <c r="F4639">
        <v>2</v>
      </c>
      <c r="G4639">
        <v>0.05</v>
      </c>
      <c r="H4639" t="s">
        <v>861</v>
      </c>
      <c r="I4639" t="str">
        <f>VLOOKUP(C4639,Customers!A:C,2,FALSE)&amp;" "&amp;VLOOKUP(C4639,Customers!A:C,3,FALSE)</f>
        <v>Dennis Wallace</v>
      </c>
      <c r="J4639" t="str">
        <f>VLOOKUP(D4639,Products!A:C,2,FALSE)</f>
        <v>Chair Laptop</v>
      </c>
      <c r="K4639" t="str">
        <f>VLOOKUP(D4639,Products!A:C,3,FALSE)</f>
        <v>Electronics</v>
      </c>
      <c r="L4639" t="str">
        <f>VLOOKUP(E4639,Stores!A:B,2,FALSE)</f>
        <v>MegaMart Johnmouth</v>
      </c>
      <c r="M4639">
        <f>VLOOKUP(D4639,Products!A:E,5,FALSE)</f>
        <v>1562.43</v>
      </c>
      <c r="N4639" s="5">
        <f t="shared" si="72"/>
        <v>2968.6170000000002</v>
      </c>
    </row>
    <row r="4640" spans="1:14" x14ac:dyDescent="0.3">
      <c r="A4640" t="s">
        <v>5496</v>
      </c>
      <c r="B4640" s="2">
        <v>45373</v>
      </c>
      <c r="C4640" t="s">
        <v>442</v>
      </c>
      <c r="D4640" t="s">
        <v>742</v>
      </c>
      <c r="E4640" t="s">
        <v>835</v>
      </c>
      <c r="F4640">
        <v>4</v>
      </c>
      <c r="G4640">
        <v>0.05</v>
      </c>
      <c r="H4640" t="s">
        <v>865</v>
      </c>
      <c r="I4640" t="str">
        <f>VLOOKUP(C4640,Customers!A:C,2,FALSE)&amp;" "&amp;VLOOKUP(C4640,Customers!A:C,3,FALSE)</f>
        <v>Jason Lloyd</v>
      </c>
      <c r="J4640" t="str">
        <f>VLOOKUP(D4640,Products!A:C,2,FALSE)</f>
        <v>Either Headphones</v>
      </c>
      <c r="K4640" t="str">
        <f>VLOOKUP(D4640,Products!A:C,3,FALSE)</f>
        <v>Electronics</v>
      </c>
      <c r="L4640" t="str">
        <f>VLOOKUP(E4640,Stores!A:B,2,FALSE)</f>
        <v>MegaMart Peckmouth</v>
      </c>
      <c r="M4640">
        <f>VLOOKUP(D4640,Products!A:E,5,FALSE)</f>
        <v>248.57</v>
      </c>
      <c r="N4640" s="5">
        <f t="shared" si="72"/>
        <v>944.56599999999992</v>
      </c>
    </row>
    <row r="4641" spans="1:14" x14ac:dyDescent="0.3">
      <c r="A4641" t="s">
        <v>5497</v>
      </c>
      <c r="B4641" s="2">
        <v>45406</v>
      </c>
      <c r="C4641" t="s">
        <v>159</v>
      </c>
      <c r="D4641" t="s">
        <v>816</v>
      </c>
      <c r="E4641" t="s">
        <v>846</v>
      </c>
      <c r="F4641">
        <v>1</v>
      </c>
      <c r="G4641">
        <v>0.15</v>
      </c>
      <c r="H4641" t="s">
        <v>861</v>
      </c>
      <c r="I4641" t="str">
        <f>VLOOKUP(C4641,Customers!A:C,2,FALSE)&amp;" "&amp;VLOOKUP(C4641,Customers!A:C,3,FALSE)</f>
        <v>Melissa Rodgers</v>
      </c>
      <c r="J4641" t="str">
        <f>VLOOKUP(D4641,Products!A:C,2,FALSE)</f>
        <v>Set Dairy</v>
      </c>
      <c r="K4641" t="str">
        <f>VLOOKUP(D4641,Products!A:C,3,FALSE)</f>
        <v>Groceries</v>
      </c>
      <c r="L4641" t="str">
        <f>VLOOKUP(E4641,Stores!A:B,2,FALSE)</f>
        <v>MegaMart Johnmouth</v>
      </c>
      <c r="M4641">
        <f>VLOOKUP(D4641,Products!A:E,5,FALSE)</f>
        <v>1879.08</v>
      </c>
      <c r="N4641" s="5">
        <f t="shared" si="72"/>
        <v>1597.2179999999998</v>
      </c>
    </row>
    <row r="4642" spans="1:14" x14ac:dyDescent="0.3">
      <c r="A4642" t="s">
        <v>5498</v>
      </c>
      <c r="B4642" s="2">
        <v>45440</v>
      </c>
      <c r="C4642" t="s">
        <v>339</v>
      </c>
      <c r="D4642" t="s">
        <v>804</v>
      </c>
      <c r="E4642" t="s">
        <v>831</v>
      </c>
      <c r="F4642">
        <v>3</v>
      </c>
      <c r="G4642">
        <v>0.15</v>
      </c>
      <c r="H4642" t="s">
        <v>865</v>
      </c>
      <c r="I4642" t="str">
        <f>VLOOKUP(C4642,Customers!A:C,2,FALSE)&amp;" "&amp;VLOOKUP(C4642,Customers!A:C,3,FALSE)</f>
        <v>Carrie Peterson</v>
      </c>
      <c r="J4642" t="str">
        <f>VLOOKUP(D4642,Products!A:C,2,FALSE)</f>
        <v>Church Clothing</v>
      </c>
      <c r="K4642" t="str">
        <f>VLOOKUP(D4642,Products!A:C,3,FALSE)</f>
        <v>Fashion</v>
      </c>
      <c r="L4642" t="str">
        <f>VLOOKUP(E4642,Stores!A:B,2,FALSE)</f>
        <v>MegaMart Jimenezborough</v>
      </c>
      <c r="M4642">
        <f>VLOOKUP(D4642,Products!A:E,5,FALSE)</f>
        <v>540.94000000000005</v>
      </c>
      <c r="N4642" s="5">
        <f t="shared" si="72"/>
        <v>1379.3970000000002</v>
      </c>
    </row>
    <row r="4643" spans="1:14" x14ac:dyDescent="0.3">
      <c r="A4643" t="s">
        <v>5499</v>
      </c>
      <c r="B4643" s="2">
        <v>45631</v>
      </c>
      <c r="C4643" t="s">
        <v>130</v>
      </c>
      <c r="D4643" t="s">
        <v>778</v>
      </c>
      <c r="E4643" t="s">
        <v>842</v>
      </c>
      <c r="F4643">
        <v>4</v>
      </c>
      <c r="G4643">
        <v>0.15</v>
      </c>
      <c r="H4643" t="s">
        <v>858</v>
      </c>
      <c r="I4643" t="str">
        <f>VLOOKUP(C4643,Customers!A:C,2,FALSE)&amp;" "&amp;VLOOKUP(C4643,Customers!A:C,3,FALSE)</f>
        <v>Jenny Beck</v>
      </c>
      <c r="J4643" t="str">
        <f>VLOOKUP(D4643,Products!A:C,2,FALSE)</f>
        <v>Behavior Dairy</v>
      </c>
      <c r="K4643" t="str">
        <f>VLOOKUP(D4643,Products!A:C,3,FALSE)</f>
        <v>Groceries</v>
      </c>
      <c r="L4643" t="str">
        <f>VLOOKUP(E4643,Stores!A:B,2,FALSE)</f>
        <v>MegaMart Brianahaven</v>
      </c>
      <c r="M4643">
        <f>VLOOKUP(D4643,Products!A:E,5,FALSE)</f>
        <v>1015.76</v>
      </c>
      <c r="N4643" s="5">
        <f t="shared" si="72"/>
        <v>3453.5839999999998</v>
      </c>
    </row>
    <row r="4644" spans="1:14" x14ac:dyDescent="0.3">
      <c r="A4644" t="s">
        <v>5500</v>
      </c>
      <c r="B4644" s="2">
        <v>45890</v>
      </c>
      <c r="C4644" t="s">
        <v>593</v>
      </c>
      <c r="D4644" t="s">
        <v>820</v>
      </c>
      <c r="E4644" t="s">
        <v>839</v>
      </c>
      <c r="F4644">
        <v>2</v>
      </c>
      <c r="G4644">
        <v>0.15</v>
      </c>
      <c r="H4644" t="s">
        <v>861</v>
      </c>
      <c r="I4644" t="str">
        <f>VLOOKUP(C4644,Customers!A:C,2,FALSE)&amp;" "&amp;VLOOKUP(C4644,Customers!A:C,3,FALSE)</f>
        <v>Meagan Ali</v>
      </c>
      <c r="J4644" t="str">
        <f>VLOOKUP(D4644,Products!A:C,2,FALSE)</f>
        <v>Or Smartphone</v>
      </c>
      <c r="K4644" t="str">
        <f>VLOOKUP(D4644,Products!A:C,3,FALSE)</f>
        <v>Electronics</v>
      </c>
      <c r="L4644" t="str">
        <f>VLOOKUP(E4644,Stores!A:B,2,FALSE)</f>
        <v>MegaMart New Michele</v>
      </c>
      <c r="M4644">
        <f>VLOOKUP(D4644,Products!A:E,5,FALSE)</f>
        <v>1197.18</v>
      </c>
      <c r="N4644" s="5">
        <f t="shared" si="72"/>
        <v>2035.2060000000001</v>
      </c>
    </row>
    <row r="4645" spans="1:14" x14ac:dyDescent="0.3">
      <c r="A4645" t="s">
        <v>5501</v>
      </c>
      <c r="B4645" s="2">
        <v>45415</v>
      </c>
      <c r="C4645" t="s">
        <v>516</v>
      </c>
      <c r="D4645" t="s">
        <v>725</v>
      </c>
      <c r="E4645" t="s">
        <v>839</v>
      </c>
      <c r="F4645">
        <v>3</v>
      </c>
      <c r="G4645">
        <v>0.05</v>
      </c>
      <c r="H4645" t="s">
        <v>858</v>
      </c>
      <c r="I4645" t="str">
        <f>VLOOKUP(C4645,Customers!A:C,2,FALSE)&amp;" "&amp;VLOOKUP(C4645,Customers!A:C,3,FALSE)</f>
        <v>Suzanne Fox</v>
      </c>
      <c r="J4645" t="str">
        <f>VLOOKUP(D4645,Products!A:C,2,FALSE)</f>
        <v>Knowledge Bags</v>
      </c>
      <c r="K4645" t="str">
        <f>VLOOKUP(D4645,Products!A:C,3,FALSE)</f>
        <v>Fashion</v>
      </c>
      <c r="L4645" t="str">
        <f>VLOOKUP(E4645,Stores!A:B,2,FALSE)</f>
        <v>MegaMart New Michele</v>
      </c>
      <c r="M4645">
        <f>VLOOKUP(D4645,Products!A:E,5,FALSE)</f>
        <v>1396.22</v>
      </c>
      <c r="N4645" s="5">
        <f t="shared" si="72"/>
        <v>3979.2269999999999</v>
      </c>
    </row>
    <row r="4646" spans="1:14" x14ac:dyDescent="0.3">
      <c r="A4646" t="s">
        <v>5502</v>
      </c>
      <c r="B4646" s="2">
        <v>45616</v>
      </c>
      <c r="C4646" t="s">
        <v>258</v>
      </c>
      <c r="D4646" t="s">
        <v>722</v>
      </c>
      <c r="E4646" t="s">
        <v>846</v>
      </c>
      <c r="F4646">
        <v>5</v>
      </c>
      <c r="G4646">
        <v>0.1</v>
      </c>
      <c r="H4646" t="s">
        <v>865</v>
      </c>
      <c r="I4646" t="str">
        <f>VLOOKUP(C4646,Customers!A:C,2,FALSE)&amp;" "&amp;VLOOKUP(C4646,Customers!A:C,3,FALSE)</f>
        <v>Alexandra Montoya</v>
      </c>
      <c r="J4646" t="str">
        <f>VLOOKUP(D4646,Products!A:C,2,FALSE)</f>
        <v>Four Accessories</v>
      </c>
      <c r="K4646" t="str">
        <f>VLOOKUP(D4646,Products!A:C,3,FALSE)</f>
        <v>Fashion</v>
      </c>
      <c r="L4646" t="str">
        <f>VLOOKUP(E4646,Stores!A:B,2,FALSE)</f>
        <v>MegaMart Johnmouth</v>
      </c>
      <c r="M4646">
        <f>VLOOKUP(D4646,Products!A:E,5,FALSE)</f>
        <v>1853.77</v>
      </c>
      <c r="N4646" s="5">
        <f t="shared" si="72"/>
        <v>8341.9650000000001</v>
      </c>
    </row>
    <row r="4647" spans="1:14" x14ac:dyDescent="0.3">
      <c r="A4647" t="s">
        <v>5503</v>
      </c>
      <c r="B4647" s="2">
        <v>45758</v>
      </c>
      <c r="C4647" t="s">
        <v>432</v>
      </c>
      <c r="D4647" t="s">
        <v>804</v>
      </c>
      <c r="E4647" t="s">
        <v>831</v>
      </c>
      <c r="F4647">
        <v>5</v>
      </c>
      <c r="G4647">
        <v>0.15</v>
      </c>
      <c r="H4647" t="s">
        <v>855</v>
      </c>
      <c r="I4647" t="str">
        <f>VLOOKUP(C4647,Customers!A:C,2,FALSE)&amp;" "&amp;VLOOKUP(C4647,Customers!A:C,3,FALSE)</f>
        <v>Jamie Webb</v>
      </c>
      <c r="J4647" t="str">
        <f>VLOOKUP(D4647,Products!A:C,2,FALSE)</f>
        <v>Church Clothing</v>
      </c>
      <c r="K4647" t="str">
        <f>VLOOKUP(D4647,Products!A:C,3,FALSE)</f>
        <v>Fashion</v>
      </c>
      <c r="L4647" t="str">
        <f>VLOOKUP(E4647,Stores!A:B,2,FALSE)</f>
        <v>MegaMart Jimenezborough</v>
      </c>
      <c r="M4647">
        <f>VLOOKUP(D4647,Products!A:E,5,FALSE)</f>
        <v>540.94000000000005</v>
      </c>
      <c r="N4647" s="5">
        <f t="shared" si="72"/>
        <v>2298.9950000000003</v>
      </c>
    </row>
    <row r="4648" spans="1:14" x14ac:dyDescent="0.3">
      <c r="A4648" t="s">
        <v>5504</v>
      </c>
      <c r="B4648" s="2">
        <v>45632</v>
      </c>
      <c r="C4648" t="s">
        <v>7</v>
      </c>
      <c r="D4648" t="s">
        <v>739</v>
      </c>
      <c r="E4648" t="s">
        <v>842</v>
      </c>
      <c r="F4648">
        <v>4</v>
      </c>
      <c r="G4648">
        <v>0.1</v>
      </c>
      <c r="H4648" t="s">
        <v>858</v>
      </c>
      <c r="I4648" t="str">
        <f>VLOOKUP(C4648,Customers!A:C,2,FALSE)&amp;" "&amp;VLOOKUP(C4648,Customers!A:C,3,FALSE)</f>
        <v>Michael Davis</v>
      </c>
      <c r="J4648" t="str">
        <f>VLOOKUP(D4648,Products!A:C,2,FALSE)</f>
        <v>Step Smartphone</v>
      </c>
      <c r="K4648" t="str">
        <f>VLOOKUP(D4648,Products!A:C,3,FALSE)</f>
        <v>Electronics</v>
      </c>
      <c r="L4648" t="str">
        <f>VLOOKUP(E4648,Stores!A:B,2,FALSE)</f>
        <v>MegaMart Brianahaven</v>
      </c>
      <c r="M4648">
        <f>VLOOKUP(D4648,Products!A:E,5,FALSE)</f>
        <v>1194.1199999999999</v>
      </c>
      <c r="N4648" s="5">
        <f t="shared" si="72"/>
        <v>4298.8319999999994</v>
      </c>
    </row>
    <row r="4649" spans="1:14" x14ac:dyDescent="0.3">
      <c r="A4649" t="s">
        <v>5505</v>
      </c>
      <c r="B4649" s="2">
        <v>45183</v>
      </c>
      <c r="C4649" t="s">
        <v>28</v>
      </c>
      <c r="D4649" t="s">
        <v>794</v>
      </c>
      <c r="E4649" t="s">
        <v>835</v>
      </c>
      <c r="F4649">
        <v>1</v>
      </c>
      <c r="G4649">
        <v>0</v>
      </c>
      <c r="H4649" t="s">
        <v>865</v>
      </c>
      <c r="I4649" t="str">
        <f>VLOOKUP(C4649,Customers!A:C,2,FALSE)&amp;" "&amp;VLOOKUP(C4649,Customers!A:C,3,FALSE)</f>
        <v>Danny Moore</v>
      </c>
      <c r="J4649" t="str">
        <f>VLOOKUP(D4649,Products!A:C,2,FALSE)</f>
        <v>Everything Laptop</v>
      </c>
      <c r="K4649" t="str">
        <f>VLOOKUP(D4649,Products!A:C,3,FALSE)</f>
        <v>Electronics</v>
      </c>
      <c r="L4649" t="str">
        <f>VLOOKUP(E4649,Stores!A:B,2,FALSE)</f>
        <v>MegaMart Peckmouth</v>
      </c>
      <c r="M4649">
        <f>VLOOKUP(D4649,Products!A:E,5,FALSE)</f>
        <v>428.05</v>
      </c>
      <c r="N4649" s="5">
        <f t="shared" si="72"/>
        <v>428.05</v>
      </c>
    </row>
    <row r="4650" spans="1:14" x14ac:dyDescent="0.3">
      <c r="A4650" t="s">
        <v>5506</v>
      </c>
      <c r="B4650" s="2">
        <v>45538</v>
      </c>
      <c r="C4650" t="s">
        <v>527</v>
      </c>
      <c r="D4650" t="s">
        <v>725</v>
      </c>
      <c r="E4650" t="s">
        <v>835</v>
      </c>
      <c r="F4650">
        <v>5</v>
      </c>
      <c r="G4650">
        <v>0</v>
      </c>
      <c r="H4650" t="s">
        <v>861</v>
      </c>
      <c r="I4650" t="str">
        <f>VLOOKUP(C4650,Customers!A:C,2,FALSE)&amp;" "&amp;VLOOKUP(C4650,Customers!A:C,3,FALSE)</f>
        <v>Paige Osborne</v>
      </c>
      <c r="J4650" t="str">
        <f>VLOOKUP(D4650,Products!A:C,2,FALSE)</f>
        <v>Knowledge Bags</v>
      </c>
      <c r="K4650" t="str">
        <f>VLOOKUP(D4650,Products!A:C,3,FALSE)</f>
        <v>Fashion</v>
      </c>
      <c r="L4650" t="str">
        <f>VLOOKUP(E4650,Stores!A:B,2,FALSE)</f>
        <v>MegaMart Peckmouth</v>
      </c>
      <c r="M4650">
        <f>VLOOKUP(D4650,Products!A:E,5,FALSE)</f>
        <v>1396.22</v>
      </c>
      <c r="N4650" s="5">
        <f t="shared" si="72"/>
        <v>6981.1</v>
      </c>
    </row>
    <row r="4651" spans="1:14" x14ac:dyDescent="0.3">
      <c r="A4651" t="s">
        <v>5507</v>
      </c>
      <c r="B4651" s="2">
        <v>45561</v>
      </c>
      <c r="C4651" t="s">
        <v>187</v>
      </c>
      <c r="D4651" t="s">
        <v>792</v>
      </c>
      <c r="E4651" t="s">
        <v>831</v>
      </c>
      <c r="F4651">
        <v>3</v>
      </c>
      <c r="G4651">
        <v>0.1</v>
      </c>
      <c r="H4651" t="s">
        <v>861</v>
      </c>
      <c r="I4651" t="str">
        <f>VLOOKUP(C4651,Customers!A:C,2,FALSE)&amp;" "&amp;VLOOKUP(C4651,Customers!A:C,3,FALSE)</f>
        <v>Alexis Crane</v>
      </c>
      <c r="J4651" t="str">
        <f>VLOOKUP(D4651,Products!A:C,2,FALSE)</f>
        <v>Beat Accessories</v>
      </c>
      <c r="K4651" t="str">
        <f>VLOOKUP(D4651,Products!A:C,3,FALSE)</f>
        <v>Fashion</v>
      </c>
      <c r="L4651" t="str">
        <f>VLOOKUP(E4651,Stores!A:B,2,FALSE)</f>
        <v>MegaMart Jimenezborough</v>
      </c>
      <c r="M4651">
        <f>VLOOKUP(D4651,Products!A:E,5,FALSE)</f>
        <v>1798.97</v>
      </c>
      <c r="N4651" s="5">
        <f t="shared" si="72"/>
        <v>4857.2190000000001</v>
      </c>
    </row>
    <row r="4652" spans="1:14" x14ac:dyDescent="0.3">
      <c r="A4652" t="s">
        <v>5508</v>
      </c>
      <c r="B4652" s="2">
        <v>45606</v>
      </c>
      <c r="C4652" t="s">
        <v>570</v>
      </c>
      <c r="D4652" t="s">
        <v>794</v>
      </c>
      <c r="E4652" t="s">
        <v>831</v>
      </c>
      <c r="F4652">
        <v>3</v>
      </c>
      <c r="G4652">
        <v>0.1</v>
      </c>
      <c r="H4652" t="s">
        <v>865</v>
      </c>
      <c r="I4652" t="str">
        <f>VLOOKUP(C4652,Customers!A:C,2,FALSE)&amp;" "&amp;VLOOKUP(C4652,Customers!A:C,3,FALSE)</f>
        <v>Thomas Chung</v>
      </c>
      <c r="J4652" t="str">
        <f>VLOOKUP(D4652,Products!A:C,2,FALSE)</f>
        <v>Everything Laptop</v>
      </c>
      <c r="K4652" t="str">
        <f>VLOOKUP(D4652,Products!A:C,3,FALSE)</f>
        <v>Electronics</v>
      </c>
      <c r="L4652" t="str">
        <f>VLOOKUP(E4652,Stores!A:B,2,FALSE)</f>
        <v>MegaMart Jimenezborough</v>
      </c>
      <c r="M4652">
        <f>VLOOKUP(D4652,Products!A:E,5,FALSE)</f>
        <v>428.05</v>
      </c>
      <c r="N4652" s="5">
        <f t="shared" si="72"/>
        <v>1155.7350000000001</v>
      </c>
    </row>
    <row r="4653" spans="1:14" x14ac:dyDescent="0.3">
      <c r="A4653" t="s">
        <v>5509</v>
      </c>
      <c r="B4653" s="2">
        <v>45508</v>
      </c>
      <c r="C4653" t="s">
        <v>542</v>
      </c>
      <c r="D4653" t="s">
        <v>786</v>
      </c>
      <c r="E4653" t="s">
        <v>835</v>
      </c>
      <c r="F4653">
        <v>2</v>
      </c>
      <c r="G4653">
        <v>0.05</v>
      </c>
      <c r="H4653" t="s">
        <v>855</v>
      </c>
      <c r="I4653" t="str">
        <f>VLOOKUP(C4653,Customers!A:C,2,FALSE)&amp;" "&amp;VLOOKUP(C4653,Customers!A:C,3,FALSE)</f>
        <v>Francis Hernandez</v>
      </c>
      <c r="J4653" t="str">
        <f>VLOOKUP(D4653,Products!A:C,2,FALSE)</f>
        <v>National Watches</v>
      </c>
      <c r="K4653" t="str">
        <f>VLOOKUP(D4653,Products!A:C,3,FALSE)</f>
        <v>Fashion</v>
      </c>
      <c r="L4653" t="str">
        <f>VLOOKUP(E4653,Stores!A:B,2,FALSE)</f>
        <v>MegaMart Peckmouth</v>
      </c>
      <c r="M4653">
        <f>VLOOKUP(D4653,Products!A:E,5,FALSE)</f>
        <v>29.24</v>
      </c>
      <c r="N4653" s="5">
        <f t="shared" si="72"/>
        <v>55.555999999999997</v>
      </c>
    </row>
    <row r="4654" spans="1:14" x14ac:dyDescent="0.3">
      <c r="A4654" t="s">
        <v>5510</v>
      </c>
      <c r="B4654" s="2">
        <v>45358</v>
      </c>
      <c r="C4654" t="s">
        <v>195</v>
      </c>
      <c r="D4654" t="s">
        <v>761</v>
      </c>
      <c r="E4654" t="s">
        <v>835</v>
      </c>
      <c r="F4654">
        <v>2</v>
      </c>
      <c r="G4654">
        <v>0.05</v>
      </c>
      <c r="H4654" t="s">
        <v>865</v>
      </c>
      <c r="I4654" t="str">
        <f>VLOOKUP(C4654,Customers!A:C,2,FALSE)&amp;" "&amp;VLOOKUP(C4654,Customers!A:C,3,FALSE)</f>
        <v>Kelly Mcmillan</v>
      </c>
      <c r="J4654" t="str">
        <f>VLOOKUP(D4654,Products!A:C,2,FALSE)</f>
        <v>Traditional Laptop</v>
      </c>
      <c r="K4654" t="str">
        <f>VLOOKUP(D4654,Products!A:C,3,FALSE)</f>
        <v>Electronics</v>
      </c>
      <c r="L4654" t="str">
        <f>VLOOKUP(E4654,Stores!A:B,2,FALSE)</f>
        <v>MegaMart Peckmouth</v>
      </c>
      <c r="M4654">
        <f>VLOOKUP(D4654,Products!A:E,5,FALSE)</f>
        <v>1762.92</v>
      </c>
      <c r="N4654" s="5">
        <f t="shared" si="72"/>
        <v>3349.5479999999998</v>
      </c>
    </row>
    <row r="4655" spans="1:14" x14ac:dyDescent="0.3">
      <c r="A4655" t="s">
        <v>5511</v>
      </c>
      <c r="B4655" s="2">
        <v>45478</v>
      </c>
      <c r="C4655" t="s">
        <v>167</v>
      </c>
      <c r="D4655" t="s">
        <v>782</v>
      </c>
      <c r="E4655" t="s">
        <v>835</v>
      </c>
      <c r="F4655">
        <v>3</v>
      </c>
      <c r="G4655">
        <v>0</v>
      </c>
      <c r="H4655" t="s">
        <v>865</v>
      </c>
      <c r="I4655" t="str">
        <f>VLOOKUP(C4655,Customers!A:C,2,FALSE)&amp;" "&amp;VLOOKUP(C4655,Customers!A:C,3,FALSE)</f>
        <v>Kenneth Allen</v>
      </c>
      <c r="J4655" t="str">
        <f>VLOOKUP(D4655,Products!A:C,2,FALSE)</f>
        <v>Deal Smartphone</v>
      </c>
      <c r="K4655" t="str">
        <f>VLOOKUP(D4655,Products!A:C,3,FALSE)</f>
        <v>Electronics</v>
      </c>
      <c r="L4655" t="str">
        <f>VLOOKUP(E4655,Stores!A:B,2,FALSE)</f>
        <v>MegaMart Peckmouth</v>
      </c>
      <c r="M4655">
        <f>VLOOKUP(D4655,Products!A:E,5,FALSE)</f>
        <v>673.78</v>
      </c>
      <c r="N4655" s="5">
        <f t="shared" si="72"/>
        <v>2021.34</v>
      </c>
    </row>
    <row r="4656" spans="1:14" x14ac:dyDescent="0.3">
      <c r="A4656" t="s">
        <v>5512</v>
      </c>
      <c r="B4656" s="2">
        <v>45470</v>
      </c>
      <c r="C4656" t="s">
        <v>155</v>
      </c>
      <c r="D4656" t="s">
        <v>812</v>
      </c>
      <c r="E4656" t="s">
        <v>839</v>
      </c>
      <c r="F4656">
        <v>3</v>
      </c>
      <c r="G4656">
        <v>0.1</v>
      </c>
      <c r="H4656" t="s">
        <v>865</v>
      </c>
      <c r="I4656" t="str">
        <f>VLOOKUP(C4656,Customers!A:C,2,FALSE)&amp;" "&amp;VLOOKUP(C4656,Customers!A:C,3,FALSE)</f>
        <v>Scott Powell</v>
      </c>
      <c r="J4656" t="str">
        <f>VLOOKUP(D4656,Products!A:C,2,FALSE)</f>
        <v>Soon Accessories</v>
      </c>
      <c r="K4656" t="str">
        <f>VLOOKUP(D4656,Products!A:C,3,FALSE)</f>
        <v>Fashion</v>
      </c>
      <c r="L4656" t="str">
        <f>VLOOKUP(E4656,Stores!A:B,2,FALSE)</f>
        <v>MegaMart New Michele</v>
      </c>
      <c r="M4656">
        <f>VLOOKUP(D4656,Products!A:E,5,FALSE)</f>
        <v>564.41999999999996</v>
      </c>
      <c r="N4656" s="5">
        <f t="shared" si="72"/>
        <v>1523.9339999999997</v>
      </c>
    </row>
    <row r="4657" spans="1:14" x14ac:dyDescent="0.3">
      <c r="A4657" t="s">
        <v>5513</v>
      </c>
      <c r="B4657" s="2">
        <v>45803</v>
      </c>
      <c r="C4657" t="s">
        <v>119</v>
      </c>
      <c r="D4657" t="s">
        <v>802</v>
      </c>
      <c r="E4657" t="s">
        <v>846</v>
      </c>
      <c r="F4657">
        <v>2</v>
      </c>
      <c r="G4657">
        <v>0.1</v>
      </c>
      <c r="H4657" t="s">
        <v>855</v>
      </c>
      <c r="I4657" t="str">
        <f>VLOOKUP(C4657,Customers!A:C,2,FALSE)&amp;" "&amp;VLOOKUP(C4657,Customers!A:C,3,FALSE)</f>
        <v>Lacey Hall</v>
      </c>
      <c r="J4657" t="str">
        <f>VLOOKUP(D4657,Products!A:C,2,FALSE)</f>
        <v>Stage Footwear</v>
      </c>
      <c r="K4657" t="str">
        <f>VLOOKUP(D4657,Products!A:C,3,FALSE)</f>
        <v>Fashion</v>
      </c>
      <c r="L4657" t="str">
        <f>VLOOKUP(E4657,Stores!A:B,2,FALSE)</f>
        <v>MegaMart Johnmouth</v>
      </c>
      <c r="M4657">
        <f>VLOOKUP(D4657,Products!A:E,5,FALSE)</f>
        <v>366.93</v>
      </c>
      <c r="N4657" s="5">
        <f t="shared" si="72"/>
        <v>660.47400000000005</v>
      </c>
    </row>
    <row r="4658" spans="1:14" x14ac:dyDescent="0.3">
      <c r="A4658" t="s">
        <v>5514</v>
      </c>
      <c r="B4658" s="2">
        <v>45295</v>
      </c>
      <c r="C4658" t="s">
        <v>320</v>
      </c>
      <c r="D4658" t="s">
        <v>742</v>
      </c>
      <c r="E4658" t="s">
        <v>831</v>
      </c>
      <c r="F4658">
        <v>2</v>
      </c>
      <c r="G4658">
        <v>0.15</v>
      </c>
      <c r="H4658" t="s">
        <v>855</v>
      </c>
      <c r="I4658" t="str">
        <f>VLOOKUP(C4658,Customers!A:C,2,FALSE)&amp;" "&amp;VLOOKUP(C4658,Customers!A:C,3,FALSE)</f>
        <v>Juan Ramirez</v>
      </c>
      <c r="J4658" t="str">
        <f>VLOOKUP(D4658,Products!A:C,2,FALSE)</f>
        <v>Either Headphones</v>
      </c>
      <c r="K4658" t="str">
        <f>VLOOKUP(D4658,Products!A:C,3,FALSE)</f>
        <v>Electronics</v>
      </c>
      <c r="L4658" t="str">
        <f>VLOOKUP(E4658,Stores!A:B,2,FALSE)</f>
        <v>MegaMart Jimenezborough</v>
      </c>
      <c r="M4658">
        <f>VLOOKUP(D4658,Products!A:E,5,FALSE)</f>
        <v>248.57</v>
      </c>
      <c r="N4658" s="5">
        <f t="shared" si="72"/>
        <v>422.56899999999996</v>
      </c>
    </row>
    <row r="4659" spans="1:14" x14ac:dyDescent="0.3">
      <c r="A4659" t="s">
        <v>5515</v>
      </c>
      <c r="B4659" s="2">
        <v>45832</v>
      </c>
      <c r="C4659" t="s">
        <v>630</v>
      </c>
      <c r="D4659" t="s">
        <v>757</v>
      </c>
      <c r="E4659" t="s">
        <v>835</v>
      </c>
      <c r="F4659">
        <v>5</v>
      </c>
      <c r="G4659">
        <v>0.05</v>
      </c>
      <c r="H4659" t="s">
        <v>861</v>
      </c>
      <c r="I4659" t="str">
        <f>VLOOKUP(C4659,Customers!A:C,2,FALSE)&amp;" "&amp;VLOOKUP(C4659,Customers!A:C,3,FALSE)</f>
        <v>Mark Mcdonald</v>
      </c>
      <c r="J4659" t="str">
        <f>VLOOKUP(D4659,Products!A:C,2,FALSE)</f>
        <v>Find Headphones</v>
      </c>
      <c r="K4659" t="str">
        <f>VLOOKUP(D4659,Products!A:C,3,FALSE)</f>
        <v>Electronics</v>
      </c>
      <c r="L4659" t="str">
        <f>VLOOKUP(E4659,Stores!A:B,2,FALSE)</f>
        <v>MegaMart Peckmouth</v>
      </c>
      <c r="M4659">
        <f>VLOOKUP(D4659,Products!A:E,5,FALSE)</f>
        <v>1246.1099999999999</v>
      </c>
      <c r="N4659" s="5">
        <f t="shared" si="72"/>
        <v>5919.0224999999991</v>
      </c>
    </row>
    <row r="4660" spans="1:14" x14ac:dyDescent="0.3">
      <c r="A4660" t="s">
        <v>5516</v>
      </c>
      <c r="B4660" s="2">
        <v>45215</v>
      </c>
      <c r="C4660" t="s">
        <v>195</v>
      </c>
      <c r="D4660" t="s">
        <v>761</v>
      </c>
      <c r="E4660" t="s">
        <v>835</v>
      </c>
      <c r="F4660">
        <v>3</v>
      </c>
      <c r="G4660">
        <v>0.05</v>
      </c>
      <c r="H4660" t="s">
        <v>858</v>
      </c>
      <c r="I4660" t="str">
        <f>VLOOKUP(C4660,Customers!A:C,2,FALSE)&amp;" "&amp;VLOOKUP(C4660,Customers!A:C,3,FALSE)</f>
        <v>Kelly Mcmillan</v>
      </c>
      <c r="J4660" t="str">
        <f>VLOOKUP(D4660,Products!A:C,2,FALSE)</f>
        <v>Traditional Laptop</v>
      </c>
      <c r="K4660" t="str">
        <f>VLOOKUP(D4660,Products!A:C,3,FALSE)</f>
        <v>Electronics</v>
      </c>
      <c r="L4660" t="str">
        <f>VLOOKUP(E4660,Stores!A:B,2,FALSE)</f>
        <v>MegaMart Peckmouth</v>
      </c>
      <c r="M4660">
        <f>VLOOKUP(D4660,Products!A:E,5,FALSE)</f>
        <v>1762.92</v>
      </c>
      <c r="N4660" s="5">
        <f t="shared" si="72"/>
        <v>5024.3220000000001</v>
      </c>
    </row>
    <row r="4661" spans="1:14" x14ac:dyDescent="0.3">
      <c r="A4661" t="s">
        <v>5517</v>
      </c>
      <c r="B4661" s="2">
        <v>45462</v>
      </c>
      <c r="C4661" t="s">
        <v>163</v>
      </c>
      <c r="D4661" t="s">
        <v>788</v>
      </c>
      <c r="E4661" t="s">
        <v>846</v>
      </c>
      <c r="F4661">
        <v>4</v>
      </c>
      <c r="G4661">
        <v>0.05</v>
      </c>
      <c r="H4661" t="s">
        <v>865</v>
      </c>
      <c r="I4661" t="str">
        <f>VLOOKUP(C4661,Customers!A:C,2,FALSE)&amp;" "&amp;VLOOKUP(C4661,Customers!A:C,3,FALSE)</f>
        <v>Anna Andrews</v>
      </c>
      <c r="J4661" t="str">
        <f>VLOOKUP(D4661,Products!A:C,2,FALSE)</f>
        <v>Foot Snacks</v>
      </c>
      <c r="K4661" t="str">
        <f>VLOOKUP(D4661,Products!A:C,3,FALSE)</f>
        <v>Groceries</v>
      </c>
      <c r="L4661" t="str">
        <f>VLOOKUP(E4661,Stores!A:B,2,FALSE)</f>
        <v>MegaMart Johnmouth</v>
      </c>
      <c r="M4661">
        <f>VLOOKUP(D4661,Products!A:E,5,FALSE)</f>
        <v>1095.72</v>
      </c>
      <c r="N4661" s="5">
        <f t="shared" si="72"/>
        <v>4163.7359999999999</v>
      </c>
    </row>
    <row r="4662" spans="1:14" x14ac:dyDescent="0.3">
      <c r="A4662" t="s">
        <v>5518</v>
      </c>
      <c r="B4662" s="2">
        <v>45364</v>
      </c>
      <c r="C4662" t="s">
        <v>503</v>
      </c>
      <c r="D4662" t="s">
        <v>794</v>
      </c>
      <c r="E4662" t="s">
        <v>831</v>
      </c>
      <c r="F4662">
        <v>3</v>
      </c>
      <c r="G4662">
        <v>0.05</v>
      </c>
      <c r="H4662" t="s">
        <v>865</v>
      </c>
      <c r="I4662" t="str">
        <f>VLOOKUP(C4662,Customers!A:C,2,FALSE)&amp;" "&amp;VLOOKUP(C4662,Customers!A:C,3,FALSE)</f>
        <v>Breanna Moore</v>
      </c>
      <c r="J4662" t="str">
        <f>VLOOKUP(D4662,Products!A:C,2,FALSE)</f>
        <v>Everything Laptop</v>
      </c>
      <c r="K4662" t="str">
        <f>VLOOKUP(D4662,Products!A:C,3,FALSE)</f>
        <v>Electronics</v>
      </c>
      <c r="L4662" t="str">
        <f>VLOOKUP(E4662,Stores!A:B,2,FALSE)</f>
        <v>MegaMart Jimenezborough</v>
      </c>
      <c r="M4662">
        <f>VLOOKUP(D4662,Products!A:E,5,FALSE)</f>
        <v>428.05</v>
      </c>
      <c r="N4662" s="5">
        <f t="shared" si="72"/>
        <v>1219.9425000000001</v>
      </c>
    </row>
    <row r="4663" spans="1:14" x14ac:dyDescent="0.3">
      <c r="A4663" t="s">
        <v>5519</v>
      </c>
      <c r="B4663" s="2">
        <v>45768</v>
      </c>
      <c r="C4663" t="s">
        <v>130</v>
      </c>
      <c r="D4663" t="s">
        <v>780</v>
      </c>
      <c r="E4663" t="s">
        <v>839</v>
      </c>
      <c r="F4663">
        <v>3</v>
      </c>
      <c r="G4663">
        <v>0</v>
      </c>
      <c r="H4663" t="s">
        <v>861</v>
      </c>
      <c r="I4663" t="str">
        <f>VLOOKUP(C4663,Customers!A:C,2,FALSE)&amp;" "&amp;VLOOKUP(C4663,Customers!A:C,3,FALSE)</f>
        <v>Jenny Beck</v>
      </c>
      <c r="J4663" t="str">
        <f>VLOOKUP(D4663,Products!A:C,2,FALSE)</f>
        <v>Hospital Smartphone</v>
      </c>
      <c r="K4663" t="str">
        <f>VLOOKUP(D4663,Products!A:C,3,FALSE)</f>
        <v>Electronics</v>
      </c>
      <c r="L4663" t="str">
        <f>VLOOKUP(E4663,Stores!A:B,2,FALSE)</f>
        <v>MegaMart New Michele</v>
      </c>
      <c r="M4663">
        <f>VLOOKUP(D4663,Products!A:E,5,FALSE)</f>
        <v>1272.23</v>
      </c>
      <c r="N4663" s="5">
        <f t="shared" si="72"/>
        <v>3816.69</v>
      </c>
    </row>
    <row r="4664" spans="1:14" x14ac:dyDescent="0.3">
      <c r="A4664" t="s">
        <v>5520</v>
      </c>
      <c r="B4664" s="2">
        <v>45246</v>
      </c>
      <c r="C4664" t="s">
        <v>539</v>
      </c>
      <c r="D4664" t="s">
        <v>734</v>
      </c>
      <c r="E4664" t="s">
        <v>831</v>
      </c>
      <c r="F4664">
        <v>4</v>
      </c>
      <c r="G4664">
        <v>0.1</v>
      </c>
      <c r="H4664" t="s">
        <v>858</v>
      </c>
      <c r="I4664" t="str">
        <f>VLOOKUP(C4664,Customers!A:C,2,FALSE)&amp;" "&amp;VLOOKUP(C4664,Customers!A:C,3,FALSE)</f>
        <v>Melissa Torres</v>
      </c>
      <c r="J4664" t="str">
        <f>VLOOKUP(D4664,Products!A:C,2,FALSE)</f>
        <v>Recognize Footwear</v>
      </c>
      <c r="K4664" t="str">
        <f>VLOOKUP(D4664,Products!A:C,3,FALSE)</f>
        <v>Fashion</v>
      </c>
      <c r="L4664" t="str">
        <f>VLOOKUP(E4664,Stores!A:B,2,FALSE)</f>
        <v>MegaMart Jimenezborough</v>
      </c>
      <c r="M4664">
        <f>VLOOKUP(D4664,Products!A:E,5,FALSE)</f>
        <v>109.78</v>
      </c>
      <c r="N4664" s="5">
        <f t="shared" si="72"/>
        <v>395.20800000000003</v>
      </c>
    </row>
    <row r="4665" spans="1:14" x14ac:dyDescent="0.3">
      <c r="A4665" t="s">
        <v>5521</v>
      </c>
      <c r="B4665" s="2">
        <v>45825</v>
      </c>
      <c r="C4665" t="s">
        <v>306</v>
      </c>
      <c r="D4665" t="s">
        <v>794</v>
      </c>
      <c r="E4665" t="s">
        <v>846</v>
      </c>
      <c r="F4665">
        <v>5</v>
      </c>
      <c r="G4665">
        <v>0.05</v>
      </c>
      <c r="H4665" t="s">
        <v>865</v>
      </c>
      <c r="I4665" t="str">
        <f>VLOOKUP(C4665,Customers!A:C,2,FALSE)&amp;" "&amp;VLOOKUP(C4665,Customers!A:C,3,FALSE)</f>
        <v>Sarah Reynolds</v>
      </c>
      <c r="J4665" t="str">
        <f>VLOOKUP(D4665,Products!A:C,2,FALSE)</f>
        <v>Everything Laptop</v>
      </c>
      <c r="K4665" t="str">
        <f>VLOOKUP(D4665,Products!A:C,3,FALSE)</f>
        <v>Electronics</v>
      </c>
      <c r="L4665" t="str">
        <f>VLOOKUP(E4665,Stores!A:B,2,FALSE)</f>
        <v>MegaMart Johnmouth</v>
      </c>
      <c r="M4665">
        <f>VLOOKUP(D4665,Products!A:E,5,FALSE)</f>
        <v>428.05</v>
      </c>
      <c r="N4665" s="5">
        <f t="shared" si="72"/>
        <v>2033.2375</v>
      </c>
    </row>
    <row r="4666" spans="1:14" x14ac:dyDescent="0.3">
      <c r="A4666" t="s">
        <v>5522</v>
      </c>
      <c r="B4666" s="2">
        <v>45449</v>
      </c>
      <c r="C4666" t="s">
        <v>123</v>
      </c>
      <c r="D4666" t="s">
        <v>782</v>
      </c>
      <c r="E4666" t="s">
        <v>835</v>
      </c>
      <c r="F4666">
        <v>2</v>
      </c>
      <c r="G4666">
        <v>0.15</v>
      </c>
      <c r="H4666" t="s">
        <v>858</v>
      </c>
      <c r="I4666" t="str">
        <f>VLOOKUP(C4666,Customers!A:C,2,FALSE)&amp;" "&amp;VLOOKUP(C4666,Customers!A:C,3,FALSE)</f>
        <v>Ashley Gibson</v>
      </c>
      <c r="J4666" t="str">
        <f>VLOOKUP(D4666,Products!A:C,2,FALSE)</f>
        <v>Deal Smartphone</v>
      </c>
      <c r="K4666" t="str">
        <f>VLOOKUP(D4666,Products!A:C,3,FALSE)</f>
        <v>Electronics</v>
      </c>
      <c r="L4666" t="str">
        <f>VLOOKUP(E4666,Stores!A:B,2,FALSE)</f>
        <v>MegaMart Peckmouth</v>
      </c>
      <c r="M4666">
        <f>VLOOKUP(D4666,Products!A:E,5,FALSE)</f>
        <v>673.78</v>
      </c>
      <c r="N4666" s="5">
        <f t="shared" si="72"/>
        <v>1145.4259999999999</v>
      </c>
    </row>
    <row r="4667" spans="1:14" x14ac:dyDescent="0.3">
      <c r="A4667" t="s">
        <v>5523</v>
      </c>
      <c r="B4667" s="2">
        <v>45322</v>
      </c>
      <c r="C4667" t="s">
        <v>198</v>
      </c>
      <c r="D4667" t="s">
        <v>804</v>
      </c>
      <c r="E4667" t="s">
        <v>831</v>
      </c>
      <c r="F4667">
        <v>4</v>
      </c>
      <c r="G4667">
        <v>0.15</v>
      </c>
      <c r="H4667" t="s">
        <v>855</v>
      </c>
      <c r="I4667" t="str">
        <f>VLOOKUP(C4667,Customers!A:C,2,FALSE)&amp;" "&amp;VLOOKUP(C4667,Customers!A:C,3,FALSE)</f>
        <v>Madison Sellers</v>
      </c>
      <c r="J4667" t="str">
        <f>VLOOKUP(D4667,Products!A:C,2,FALSE)</f>
        <v>Church Clothing</v>
      </c>
      <c r="K4667" t="str">
        <f>VLOOKUP(D4667,Products!A:C,3,FALSE)</f>
        <v>Fashion</v>
      </c>
      <c r="L4667" t="str">
        <f>VLOOKUP(E4667,Stores!A:B,2,FALSE)</f>
        <v>MegaMart Jimenezborough</v>
      </c>
      <c r="M4667">
        <f>VLOOKUP(D4667,Products!A:E,5,FALSE)</f>
        <v>540.94000000000005</v>
      </c>
      <c r="N4667" s="5">
        <f t="shared" si="72"/>
        <v>1839.1960000000001</v>
      </c>
    </row>
    <row r="4668" spans="1:14" x14ac:dyDescent="0.3">
      <c r="A4668" t="s">
        <v>5524</v>
      </c>
      <c r="B4668" s="2">
        <v>45897</v>
      </c>
      <c r="C4668" t="s">
        <v>545</v>
      </c>
      <c r="D4668" t="s">
        <v>776</v>
      </c>
      <c r="E4668" t="s">
        <v>839</v>
      </c>
      <c r="F4668">
        <v>3</v>
      </c>
      <c r="G4668">
        <v>0.05</v>
      </c>
      <c r="H4668" t="s">
        <v>865</v>
      </c>
      <c r="I4668" t="str">
        <f>VLOOKUP(C4668,Customers!A:C,2,FALSE)&amp;" "&amp;VLOOKUP(C4668,Customers!A:C,3,FALSE)</f>
        <v>Dawn Fletcher</v>
      </c>
      <c r="J4668" t="str">
        <f>VLOOKUP(D4668,Products!A:C,2,FALSE)</f>
        <v>Little Watches</v>
      </c>
      <c r="K4668" t="str">
        <f>VLOOKUP(D4668,Products!A:C,3,FALSE)</f>
        <v>Fashion</v>
      </c>
      <c r="L4668" t="str">
        <f>VLOOKUP(E4668,Stores!A:B,2,FALSE)</f>
        <v>MegaMart New Michele</v>
      </c>
      <c r="M4668">
        <f>VLOOKUP(D4668,Products!A:E,5,FALSE)</f>
        <v>429.15</v>
      </c>
      <c r="N4668" s="5">
        <f t="shared" si="72"/>
        <v>1223.0774999999999</v>
      </c>
    </row>
    <row r="4669" spans="1:14" x14ac:dyDescent="0.3">
      <c r="A4669" t="s">
        <v>5525</v>
      </c>
      <c r="B4669" s="2">
        <v>45270</v>
      </c>
      <c r="C4669" t="s">
        <v>20</v>
      </c>
      <c r="D4669" t="s">
        <v>782</v>
      </c>
      <c r="E4669" t="s">
        <v>842</v>
      </c>
      <c r="F4669">
        <v>2</v>
      </c>
      <c r="G4669">
        <v>0.1</v>
      </c>
      <c r="H4669" t="s">
        <v>865</v>
      </c>
      <c r="I4669" t="str">
        <f>VLOOKUP(C4669,Customers!A:C,2,FALSE)&amp;" "&amp;VLOOKUP(C4669,Customers!A:C,3,FALSE)</f>
        <v>Joseph Ward</v>
      </c>
      <c r="J4669" t="str">
        <f>VLOOKUP(D4669,Products!A:C,2,FALSE)</f>
        <v>Deal Smartphone</v>
      </c>
      <c r="K4669" t="str">
        <f>VLOOKUP(D4669,Products!A:C,3,FALSE)</f>
        <v>Electronics</v>
      </c>
      <c r="L4669" t="str">
        <f>VLOOKUP(E4669,Stores!A:B,2,FALSE)</f>
        <v>MegaMart Brianahaven</v>
      </c>
      <c r="M4669">
        <f>VLOOKUP(D4669,Products!A:E,5,FALSE)</f>
        <v>673.78</v>
      </c>
      <c r="N4669" s="5">
        <f t="shared" si="72"/>
        <v>1212.8040000000001</v>
      </c>
    </row>
    <row r="4670" spans="1:14" x14ac:dyDescent="0.3">
      <c r="A4670" t="s">
        <v>5526</v>
      </c>
      <c r="B4670" s="2">
        <v>45715</v>
      </c>
      <c r="C4670" t="s">
        <v>527</v>
      </c>
      <c r="D4670" t="s">
        <v>816</v>
      </c>
      <c r="E4670" t="s">
        <v>835</v>
      </c>
      <c r="F4670">
        <v>4</v>
      </c>
      <c r="G4670">
        <v>0.1</v>
      </c>
      <c r="H4670" t="s">
        <v>865</v>
      </c>
      <c r="I4670" t="str">
        <f>VLOOKUP(C4670,Customers!A:C,2,FALSE)&amp;" "&amp;VLOOKUP(C4670,Customers!A:C,3,FALSE)</f>
        <v>Paige Osborne</v>
      </c>
      <c r="J4670" t="str">
        <f>VLOOKUP(D4670,Products!A:C,2,FALSE)</f>
        <v>Set Dairy</v>
      </c>
      <c r="K4670" t="str">
        <f>VLOOKUP(D4670,Products!A:C,3,FALSE)</f>
        <v>Groceries</v>
      </c>
      <c r="L4670" t="str">
        <f>VLOOKUP(E4670,Stores!A:B,2,FALSE)</f>
        <v>MegaMart Peckmouth</v>
      </c>
      <c r="M4670">
        <f>VLOOKUP(D4670,Products!A:E,5,FALSE)</f>
        <v>1879.08</v>
      </c>
      <c r="N4670" s="5">
        <f t="shared" si="72"/>
        <v>6764.6880000000001</v>
      </c>
    </row>
    <row r="4671" spans="1:14" x14ac:dyDescent="0.3">
      <c r="A4671" t="s">
        <v>5527</v>
      </c>
      <c r="B4671" s="2">
        <v>45348</v>
      </c>
      <c r="C4671" t="s">
        <v>545</v>
      </c>
      <c r="D4671" t="s">
        <v>739</v>
      </c>
      <c r="E4671" t="s">
        <v>835</v>
      </c>
      <c r="F4671">
        <v>2</v>
      </c>
      <c r="G4671">
        <v>0.15</v>
      </c>
      <c r="H4671" t="s">
        <v>858</v>
      </c>
      <c r="I4671" t="str">
        <f>VLOOKUP(C4671,Customers!A:C,2,FALSE)&amp;" "&amp;VLOOKUP(C4671,Customers!A:C,3,FALSE)</f>
        <v>Dawn Fletcher</v>
      </c>
      <c r="J4671" t="str">
        <f>VLOOKUP(D4671,Products!A:C,2,FALSE)</f>
        <v>Step Smartphone</v>
      </c>
      <c r="K4671" t="str">
        <f>VLOOKUP(D4671,Products!A:C,3,FALSE)</f>
        <v>Electronics</v>
      </c>
      <c r="L4671" t="str">
        <f>VLOOKUP(E4671,Stores!A:B,2,FALSE)</f>
        <v>MegaMart Peckmouth</v>
      </c>
      <c r="M4671">
        <f>VLOOKUP(D4671,Products!A:E,5,FALSE)</f>
        <v>1194.1199999999999</v>
      </c>
      <c r="N4671" s="5">
        <f t="shared" si="72"/>
        <v>2030.0039999999997</v>
      </c>
    </row>
    <row r="4672" spans="1:14" x14ac:dyDescent="0.3">
      <c r="A4672" t="s">
        <v>5528</v>
      </c>
      <c r="B4672" s="2">
        <v>45803</v>
      </c>
      <c r="C4672" t="s">
        <v>81</v>
      </c>
      <c r="D4672" t="s">
        <v>818</v>
      </c>
      <c r="E4672" t="s">
        <v>835</v>
      </c>
      <c r="F4672">
        <v>1</v>
      </c>
      <c r="G4672">
        <v>0.15</v>
      </c>
      <c r="H4672" t="s">
        <v>855</v>
      </c>
      <c r="I4672" t="str">
        <f>VLOOKUP(C4672,Customers!A:C,2,FALSE)&amp;" "&amp;VLOOKUP(C4672,Customers!A:C,3,FALSE)</f>
        <v>Ryan Cole</v>
      </c>
      <c r="J4672" t="str">
        <f>VLOOKUP(D4672,Products!A:C,2,FALSE)</f>
        <v>Nature Clothing</v>
      </c>
      <c r="K4672" t="str">
        <f>VLOOKUP(D4672,Products!A:C,3,FALSE)</f>
        <v>Fashion</v>
      </c>
      <c r="L4672" t="str">
        <f>VLOOKUP(E4672,Stores!A:B,2,FALSE)</f>
        <v>MegaMart Peckmouth</v>
      </c>
      <c r="M4672">
        <f>VLOOKUP(D4672,Products!A:E,5,FALSE)</f>
        <v>1165.3699999999999</v>
      </c>
      <c r="N4672" s="5">
        <f t="shared" si="72"/>
        <v>990.56449999999984</v>
      </c>
    </row>
    <row r="4673" spans="1:14" x14ac:dyDescent="0.3">
      <c r="A4673" t="s">
        <v>5529</v>
      </c>
      <c r="B4673" s="2">
        <v>45506</v>
      </c>
      <c r="C4673" t="s">
        <v>230</v>
      </c>
      <c r="D4673" t="s">
        <v>822</v>
      </c>
      <c r="E4673" t="s">
        <v>842</v>
      </c>
      <c r="F4673">
        <v>2</v>
      </c>
      <c r="G4673">
        <v>0.15</v>
      </c>
      <c r="H4673" t="s">
        <v>855</v>
      </c>
      <c r="I4673" t="str">
        <f>VLOOKUP(C4673,Customers!A:C,2,FALSE)&amp;" "&amp;VLOOKUP(C4673,Customers!A:C,3,FALSE)</f>
        <v>Anthony Conway</v>
      </c>
      <c r="J4673" t="str">
        <f>VLOOKUP(D4673,Products!A:C,2,FALSE)</f>
        <v>Nor Bags</v>
      </c>
      <c r="K4673" t="str">
        <f>VLOOKUP(D4673,Products!A:C,3,FALSE)</f>
        <v>Fashion</v>
      </c>
      <c r="L4673" t="str">
        <f>VLOOKUP(E4673,Stores!A:B,2,FALSE)</f>
        <v>MegaMart Brianahaven</v>
      </c>
      <c r="M4673">
        <f>VLOOKUP(D4673,Products!A:E,5,FALSE)</f>
        <v>1216.3599999999999</v>
      </c>
      <c r="N4673" s="5">
        <f t="shared" si="72"/>
        <v>2067.8119999999999</v>
      </c>
    </row>
    <row r="4674" spans="1:14" x14ac:dyDescent="0.3">
      <c r="A4674" t="s">
        <v>5530</v>
      </c>
      <c r="B4674" s="2">
        <v>45718</v>
      </c>
      <c r="C4674" t="s">
        <v>452</v>
      </c>
      <c r="D4674" t="s">
        <v>715</v>
      </c>
      <c r="E4674" t="s">
        <v>839</v>
      </c>
      <c r="F4674">
        <v>2</v>
      </c>
      <c r="G4674">
        <v>0.15</v>
      </c>
      <c r="H4674" t="s">
        <v>855</v>
      </c>
      <c r="I4674" t="str">
        <f>VLOOKUP(C4674,Customers!A:C,2,FALSE)&amp;" "&amp;VLOOKUP(C4674,Customers!A:C,3,FALSE)</f>
        <v>Amy Smith</v>
      </c>
      <c r="J4674" t="str">
        <f>VLOOKUP(D4674,Products!A:C,2,FALSE)</f>
        <v>Audience Television</v>
      </c>
      <c r="K4674" t="str">
        <f>VLOOKUP(D4674,Products!A:C,3,FALSE)</f>
        <v>Electronics</v>
      </c>
      <c r="L4674" t="str">
        <f>VLOOKUP(E4674,Stores!A:B,2,FALSE)</f>
        <v>MegaMart New Michele</v>
      </c>
      <c r="M4674">
        <f>VLOOKUP(D4674,Products!A:E,5,FALSE)</f>
        <v>818.76</v>
      </c>
      <c r="N4674" s="5">
        <f t="shared" si="72"/>
        <v>1391.8920000000001</v>
      </c>
    </row>
    <row r="4675" spans="1:14" x14ac:dyDescent="0.3">
      <c r="A4675" t="s">
        <v>5531</v>
      </c>
      <c r="B4675" s="2">
        <v>45481</v>
      </c>
      <c r="C4675" t="s">
        <v>372</v>
      </c>
      <c r="D4675" t="s">
        <v>769</v>
      </c>
      <c r="E4675" t="s">
        <v>831</v>
      </c>
      <c r="F4675">
        <v>2</v>
      </c>
      <c r="G4675">
        <v>0</v>
      </c>
      <c r="H4675" t="s">
        <v>858</v>
      </c>
      <c r="I4675" t="str">
        <f>VLOOKUP(C4675,Customers!A:C,2,FALSE)&amp;" "&amp;VLOOKUP(C4675,Customers!A:C,3,FALSE)</f>
        <v>Kimberly Jones</v>
      </c>
      <c r="J4675" t="str">
        <f>VLOOKUP(D4675,Products!A:C,2,FALSE)</f>
        <v>How Vegetables</v>
      </c>
      <c r="K4675" t="str">
        <f>VLOOKUP(D4675,Products!A:C,3,FALSE)</f>
        <v>Groceries</v>
      </c>
      <c r="L4675" t="str">
        <f>VLOOKUP(E4675,Stores!A:B,2,FALSE)</f>
        <v>MegaMart Jimenezborough</v>
      </c>
      <c r="M4675">
        <f>VLOOKUP(D4675,Products!A:E,5,FALSE)</f>
        <v>25.57</v>
      </c>
      <c r="N4675" s="5">
        <f t="shared" ref="N4675:N4738" si="73">F4675*M4675*(1-G4675)</f>
        <v>51.14</v>
      </c>
    </row>
    <row r="4676" spans="1:14" x14ac:dyDescent="0.3">
      <c r="A4676" t="s">
        <v>5532</v>
      </c>
      <c r="B4676" s="2">
        <v>45242</v>
      </c>
      <c r="C4676" t="s">
        <v>123</v>
      </c>
      <c r="D4676" t="s">
        <v>757</v>
      </c>
      <c r="E4676" t="s">
        <v>842</v>
      </c>
      <c r="F4676">
        <v>2</v>
      </c>
      <c r="G4676">
        <v>0</v>
      </c>
      <c r="H4676" t="s">
        <v>865</v>
      </c>
      <c r="I4676" t="str">
        <f>VLOOKUP(C4676,Customers!A:C,2,FALSE)&amp;" "&amp;VLOOKUP(C4676,Customers!A:C,3,FALSE)</f>
        <v>Ashley Gibson</v>
      </c>
      <c r="J4676" t="str">
        <f>VLOOKUP(D4676,Products!A:C,2,FALSE)</f>
        <v>Find Headphones</v>
      </c>
      <c r="K4676" t="str">
        <f>VLOOKUP(D4676,Products!A:C,3,FALSE)</f>
        <v>Electronics</v>
      </c>
      <c r="L4676" t="str">
        <f>VLOOKUP(E4676,Stores!A:B,2,FALSE)</f>
        <v>MegaMart Brianahaven</v>
      </c>
      <c r="M4676">
        <f>VLOOKUP(D4676,Products!A:E,5,FALSE)</f>
        <v>1246.1099999999999</v>
      </c>
      <c r="N4676" s="5">
        <f t="shared" si="73"/>
        <v>2492.2199999999998</v>
      </c>
    </row>
    <row r="4677" spans="1:14" x14ac:dyDescent="0.3">
      <c r="A4677" t="s">
        <v>5533</v>
      </c>
      <c r="B4677" s="2">
        <v>45255</v>
      </c>
      <c r="C4677" t="s">
        <v>533</v>
      </c>
      <c r="D4677" t="s">
        <v>764</v>
      </c>
      <c r="E4677" t="s">
        <v>846</v>
      </c>
      <c r="F4677">
        <v>2</v>
      </c>
      <c r="G4677">
        <v>0.1</v>
      </c>
      <c r="H4677" t="s">
        <v>855</v>
      </c>
      <c r="I4677" t="str">
        <f>VLOOKUP(C4677,Customers!A:C,2,FALSE)&amp;" "&amp;VLOOKUP(C4677,Customers!A:C,3,FALSE)</f>
        <v>Crystal Garrison</v>
      </c>
      <c r="J4677" t="str">
        <f>VLOOKUP(D4677,Products!A:C,2,FALSE)</f>
        <v>Simple Accessories</v>
      </c>
      <c r="K4677" t="str">
        <f>VLOOKUP(D4677,Products!A:C,3,FALSE)</f>
        <v>Fashion</v>
      </c>
      <c r="L4677" t="str">
        <f>VLOOKUP(E4677,Stores!A:B,2,FALSE)</f>
        <v>MegaMart Johnmouth</v>
      </c>
      <c r="M4677">
        <f>VLOOKUP(D4677,Products!A:E,5,FALSE)</f>
        <v>323.92</v>
      </c>
      <c r="N4677" s="5">
        <f t="shared" si="73"/>
        <v>583.05600000000004</v>
      </c>
    </row>
    <row r="4678" spans="1:14" x14ac:dyDescent="0.3">
      <c r="A4678" t="s">
        <v>5534</v>
      </c>
      <c r="B4678" s="2">
        <v>45809</v>
      </c>
      <c r="C4678" t="s">
        <v>141</v>
      </c>
      <c r="D4678" t="s">
        <v>745</v>
      </c>
      <c r="E4678" t="s">
        <v>839</v>
      </c>
      <c r="F4678">
        <v>1</v>
      </c>
      <c r="G4678">
        <v>0.05</v>
      </c>
      <c r="H4678" t="s">
        <v>861</v>
      </c>
      <c r="I4678" t="str">
        <f>VLOOKUP(C4678,Customers!A:C,2,FALSE)&amp;" "&amp;VLOOKUP(C4678,Customers!A:C,3,FALSE)</f>
        <v>Michael Cervantes</v>
      </c>
      <c r="J4678" t="str">
        <f>VLOOKUP(D4678,Products!A:C,2,FALSE)</f>
        <v>Above Camera</v>
      </c>
      <c r="K4678" t="str">
        <f>VLOOKUP(D4678,Products!A:C,3,FALSE)</f>
        <v>Electronics</v>
      </c>
      <c r="L4678" t="str">
        <f>VLOOKUP(E4678,Stores!A:B,2,FALSE)</f>
        <v>MegaMart New Michele</v>
      </c>
      <c r="M4678">
        <f>VLOOKUP(D4678,Products!A:E,5,FALSE)</f>
        <v>1193.0899999999999</v>
      </c>
      <c r="N4678" s="5">
        <f t="shared" si="73"/>
        <v>1133.4354999999998</v>
      </c>
    </row>
    <row r="4679" spans="1:14" x14ac:dyDescent="0.3">
      <c r="A4679" t="s">
        <v>5535</v>
      </c>
      <c r="B4679" s="2">
        <v>45666</v>
      </c>
      <c r="C4679" t="s">
        <v>640</v>
      </c>
      <c r="D4679" t="s">
        <v>732</v>
      </c>
      <c r="E4679" t="s">
        <v>831</v>
      </c>
      <c r="F4679">
        <v>1</v>
      </c>
      <c r="G4679">
        <v>0.1</v>
      </c>
      <c r="H4679" t="s">
        <v>861</v>
      </c>
      <c r="I4679" t="str">
        <f>VLOOKUP(C4679,Customers!A:C,2,FALSE)&amp;" "&amp;VLOOKUP(C4679,Customers!A:C,3,FALSE)</f>
        <v>Brittany Oneal</v>
      </c>
      <c r="J4679" t="str">
        <f>VLOOKUP(D4679,Products!A:C,2,FALSE)</f>
        <v>Understand Camera</v>
      </c>
      <c r="K4679" t="str">
        <f>VLOOKUP(D4679,Products!A:C,3,FALSE)</f>
        <v>Electronics</v>
      </c>
      <c r="L4679" t="str">
        <f>VLOOKUP(E4679,Stores!A:B,2,FALSE)</f>
        <v>MegaMart Jimenezborough</v>
      </c>
      <c r="M4679">
        <f>VLOOKUP(D4679,Products!A:E,5,FALSE)</f>
        <v>1474.12</v>
      </c>
      <c r="N4679" s="5">
        <f t="shared" si="73"/>
        <v>1326.7079999999999</v>
      </c>
    </row>
    <row r="4680" spans="1:14" x14ac:dyDescent="0.3">
      <c r="A4680" t="s">
        <v>5536</v>
      </c>
      <c r="B4680" s="2">
        <v>45792</v>
      </c>
      <c r="C4680" t="s">
        <v>320</v>
      </c>
      <c r="D4680" t="s">
        <v>766</v>
      </c>
      <c r="E4680" t="s">
        <v>839</v>
      </c>
      <c r="F4680">
        <v>1</v>
      </c>
      <c r="G4680">
        <v>0.1</v>
      </c>
      <c r="H4680" t="s">
        <v>865</v>
      </c>
      <c r="I4680" t="str">
        <f>VLOOKUP(C4680,Customers!A:C,2,FALSE)&amp;" "&amp;VLOOKUP(C4680,Customers!A:C,3,FALSE)</f>
        <v>Juan Ramirez</v>
      </c>
      <c r="J4680" t="str">
        <f>VLOOKUP(D4680,Products!A:C,2,FALSE)</f>
        <v>Firm Dairy</v>
      </c>
      <c r="K4680" t="str">
        <f>VLOOKUP(D4680,Products!A:C,3,FALSE)</f>
        <v>Groceries</v>
      </c>
      <c r="L4680" t="str">
        <f>VLOOKUP(E4680,Stores!A:B,2,FALSE)</f>
        <v>MegaMart New Michele</v>
      </c>
      <c r="M4680">
        <f>VLOOKUP(D4680,Products!A:E,5,FALSE)</f>
        <v>1227.24</v>
      </c>
      <c r="N4680" s="5">
        <f t="shared" si="73"/>
        <v>1104.5160000000001</v>
      </c>
    </row>
    <row r="4681" spans="1:14" x14ac:dyDescent="0.3">
      <c r="A4681" t="s">
        <v>5537</v>
      </c>
      <c r="B4681" s="2">
        <v>45863</v>
      </c>
      <c r="C4681" t="s">
        <v>266</v>
      </c>
      <c r="D4681" t="s">
        <v>732</v>
      </c>
      <c r="E4681" t="s">
        <v>835</v>
      </c>
      <c r="F4681">
        <v>2</v>
      </c>
      <c r="G4681">
        <v>0</v>
      </c>
      <c r="H4681" t="s">
        <v>865</v>
      </c>
      <c r="I4681" t="str">
        <f>VLOOKUP(C4681,Customers!A:C,2,FALSE)&amp;" "&amp;VLOOKUP(C4681,Customers!A:C,3,FALSE)</f>
        <v>Eric Bryan</v>
      </c>
      <c r="J4681" t="str">
        <f>VLOOKUP(D4681,Products!A:C,2,FALSE)</f>
        <v>Understand Camera</v>
      </c>
      <c r="K4681" t="str">
        <f>VLOOKUP(D4681,Products!A:C,3,FALSE)</f>
        <v>Electronics</v>
      </c>
      <c r="L4681" t="str">
        <f>VLOOKUP(E4681,Stores!A:B,2,FALSE)</f>
        <v>MegaMart Peckmouth</v>
      </c>
      <c r="M4681">
        <f>VLOOKUP(D4681,Products!A:E,5,FALSE)</f>
        <v>1474.12</v>
      </c>
      <c r="N4681" s="5">
        <f t="shared" si="73"/>
        <v>2948.24</v>
      </c>
    </row>
    <row r="4682" spans="1:14" x14ac:dyDescent="0.3">
      <c r="A4682" t="s">
        <v>5538</v>
      </c>
      <c r="B4682" s="2">
        <v>45681</v>
      </c>
      <c r="C4682" t="s">
        <v>291</v>
      </c>
      <c r="D4682" t="s">
        <v>711</v>
      </c>
      <c r="E4682" t="s">
        <v>835</v>
      </c>
      <c r="F4682">
        <v>1</v>
      </c>
      <c r="G4682">
        <v>0.15</v>
      </c>
      <c r="H4682" t="s">
        <v>858</v>
      </c>
      <c r="I4682" t="str">
        <f>VLOOKUP(C4682,Customers!A:C,2,FALSE)&amp;" "&amp;VLOOKUP(C4682,Customers!A:C,3,FALSE)</f>
        <v>Matthew Juarez</v>
      </c>
      <c r="J4682" t="str">
        <f>VLOOKUP(D4682,Products!A:C,2,FALSE)</f>
        <v>Like Camera</v>
      </c>
      <c r="K4682" t="str">
        <f>VLOOKUP(D4682,Products!A:C,3,FALSE)</f>
        <v>Electronics</v>
      </c>
      <c r="L4682" t="str">
        <f>VLOOKUP(E4682,Stores!A:B,2,FALSE)</f>
        <v>MegaMart Peckmouth</v>
      </c>
      <c r="M4682">
        <f>VLOOKUP(D4682,Products!A:E,5,FALSE)</f>
        <v>1673.69</v>
      </c>
      <c r="N4682" s="5">
        <f t="shared" si="73"/>
        <v>1422.6365000000001</v>
      </c>
    </row>
    <row r="4683" spans="1:14" x14ac:dyDescent="0.3">
      <c r="A4683" t="s">
        <v>5539</v>
      </c>
      <c r="B4683" s="2">
        <v>45841</v>
      </c>
      <c r="C4683" t="s">
        <v>549</v>
      </c>
      <c r="D4683" t="s">
        <v>820</v>
      </c>
      <c r="E4683" t="s">
        <v>842</v>
      </c>
      <c r="F4683">
        <v>2</v>
      </c>
      <c r="G4683">
        <v>0.1</v>
      </c>
      <c r="H4683" t="s">
        <v>858</v>
      </c>
      <c r="I4683" t="str">
        <f>VLOOKUP(C4683,Customers!A:C,2,FALSE)&amp;" "&amp;VLOOKUP(C4683,Customers!A:C,3,FALSE)</f>
        <v>Brittany Green</v>
      </c>
      <c r="J4683" t="str">
        <f>VLOOKUP(D4683,Products!A:C,2,FALSE)</f>
        <v>Or Smartphone</v>
      </c>
      <c r="K4683" t="str">
        <f>VLOOKUP(D4683,Products!A:C,3,FALSE)</f>
        <v>Electronics</v>
      </c>
      <c r="L4683" t="str">
        <f>VLOOKUP(E4683,Stores!A:B,2,FALSE)</f>
        <v>MegaMart Brianahaven</v>
      </c>
      <c r="M4683">
        <f>VLOOKUP(D4683,Products!A:E,5,FALSE)</f>
        <v>1197.18</v>
      </c>
      <c r="N4683" s="5">
        <f t="shared" si="73"/>
        <v>2154.924</v>
      </c>
    </row>
    <row r="4684" spans="1:14" x14ac:dyDescent="0.3">
      <c r="A4684" t="s">
        <v>5540</v>
      </c>
      <c r="B4684" s="2">
        <v>45471</v>
      </c>
      <c r="C4684" t="s">
        <v>556</v>
      </c>
      <c r="D4684" t="s">
        <v>728</v>
      </c>
      <c r="E4684" t="s">
        <v>835</v>
      </c>
      <c r="F4684">
        <v>3</v>
      </c>
      <c r="G4684">
        <v>0.1</v>
      </c>
      <c r="H4684" t="s">
        <v>861</v>
      </c>
      <c r="I4684" t="str">
        <f>VLOOKUP(C4684,Customers!A:C,2,FALSE)&amp;" "&amp;VLOOKUP(C4684,Customers!A:C,3,FALSE)</f>
        <v>Jill Mcconnell</v>
      </c>
      <c r="J4684" t="str">
        <f>VLOOKUP(D4684,Products!A:C,2,FALSE)</f>
        <v>Company Fruits</v>
      </c>
      <c r="K4684" t="str">
        <f>VLOOKUP(D4684,Products!A:C,3,FALSE)</f>
        <v>Groceries</v>
      </c>
      <c r="L4684" t="str">
        <f>VLOOKUP(E4684,Stores!A:B,2,FALSE)</f>
        <v>MegaMart Peckmouth</v>
      </c>
      <c r="M4684">
        <f>VLOOKUP(D4684,Products!A:E,5,FALSE)</f>
        <v>318.05</v>
      </c>
      <c r="N4684" s="5">
        <f t="shared" si="73"/>
        <v>858.73500000000013</v>
      </c>
    </row>
    <row r="4685" spans="1:14" x14ac:dyDescent="0.3">
      <c r="A4685" t="s">
        <v>5541</v>
      </c>
      <c r="B4685" s="2">
        <v>45245</v>
      </c>
      <c r="C4685" t="s">
        <v>155</v>
      </c>
      <c r="D4685" t="s">
        <v>728</v>
      </c>
      <c r="E4685" t="s">
        <v>831</v>
      </c>
      <c r="F4685">
        <v>5</v>
      </c>
      <c r="G4685">
        <v>0.05</v>
      </c>
      <c r="H4685" t="s">
        <v>855</v>
      </c>
      <c r="I4685" t="str">
        <f>VLOOKUP(C4685,Customers!A:C,2,FALSE)&amp;" "&amp;VLOOKUP(C4685,Customers!A:C,3,FALSE)</f>
        <v>Scott Powell</v>
      </c>
      <c r="J4685" t="str">
        <f>VLOOKUP(D4685,Products!A:C,2,FALSE)</f>
        <v>Company Fruits</v>
      </c>
      <c r="K4685" t="str">
        <f>VLOOKUP(D4685,Products!A:C,3,FALSE)</f>
        <v>Groceries</v>
      </c>
      <c r="L4685" t="str">
        <f>VLOOKUP(E4685,Stores!A:B,2,FALSE)</f>
        <v>MegaMart Jimenezborough</v>
      </c>
      <c r="M4685">
        <f>VLOOKUP(D4685,Products!A:E,5,FALSE)</f>
        <v>318.05</v>
      </c>
      <c r="N4685" s="5">
        <f t="shared" si="73"/>
        <v>1510.7375</v>
      </c>
    </row>
    <row r="4686" spans="1:14" x14ac:dyDescent="0.3">
      <c r="A4686" t="s">
        <v>5542</v>
      </c>
      <c r="B4686" s="2">
        <v>45796</v>
      </c>
      <c r="C4686" t="s">
        <v>577</v>
      </c>
      <c r="D4686" t="s">
        <v>742</v>
      </c>
      <c r="E4686" t="s">
        <v>839</v>
      </c>
      <c r="F4686">
        <v>5</v>
      </c>
      <c r="G4686">
        <v>0</v>
      </c>
      <c r="H4686" t="s">
        <v>861</v>
      </c>
      <c r="I4686" t="str">
        <f>VLOOKUP(C4686,Customers!A:C,2,FALSE)&amp;" "&amp;VLOOKUP(C4686,Customers!A:C,3,FALSE)</f>
        <v>Michael Perez</v>
      </c>
      <c r="J4686" t="str">
        <f>VLOOKUP(D4686,Products!A:C,2,FALSE)</f>
        <v>Either Headphones</v>
      </c>
      <c r="K4686" t="str">
        <f>VLOOKUP(D4686,Products!A:C,3,FALSE)</f>
        <v>Electronics</v>
      </c>
      <c r="L4686" t="str">
        <f>VLOOKUP(E4686,Stores!A:B,2,FALSE)</f>
        <v>MegaMart New Michele</v>
      </c>
      <c r="M4686">
        <f>VLOOKUP(D4686,Products!A:E,5,FALSE)</f>
        <v>248.57</v>
      </c>
      <c r="N4686" s="5">
        <f t="shared" si="73"/>
        <v>1242.8499999999999</v>
      </c>
    </row>
    <row r="4687" spans="1:14" x14ac:dyDescent="0.3">
      <c r="A4687" t="s">
        <v>5543</v>
      </c>
      <c r="B4687" s="2">
        <v>45568</v>
      </c>
      <c r="C4687" t="s">
        <v>666</v>
      </c>
      <c r="D4687" t="s">
        <v>736</v>
      </c>
      <c r="E4687" t="s">
        <v>831</v>
      </c>
      <c r="F4687">
        <v>3</v>
      </c>
      <c r="G4687">
        <v>0.15</v>
      </c>
      <c r="H4687" t="s">
        <v>858</v>
      </c>
      <c r="I4687" t="str">
        <f>VLOOKUP(C4687,Customers!A:C,2,FALSE)&amp;" "&amp;VLOOKUP(C4687,Customers!A:C,3,FALSE)</f>
        <v>Steve Flynn</v>
      </c>
      <c r="J4687" t="str">
        <f>VLOOKUP(D4687,Products!A:C,2,FALSE)</f>
        <v>Us Snacks</v>
      </c>
      <c r="K4687" t="str">
        <f>VLOOKUP(D4687,Products!A:C,3,FALSE)</f>
        <v>Groceries</v>
      </c>
      <c r="L4687" t="str">
        <f>VLOOKUP(E4687,Stores!A:B,2,FALSE)</f>
        <v>MegaMart Jimenezborough</v>
      </c>
      <c r="M4687">
        <f>VLOOKUP(D4687,Products!A:E,5,FALSE)</f>
        <v>123.19</v>
      </c>
      <c r="N4687" s="5">
        <f t="shared" si="73"/>
        <v>314.1345</v>
      </c>
    </row>
    <row r="4688" spans="1:14" x14ac:dyDescent="0.3">
      <c r="A4688" t="s">
        <v>5544</v>
      </c>
      <c r="B4688" s="2">
        <v>45515</v>
      </c>
      <c r="C4688" t="s">
        <v>48</v>
      </c>
      <c r="D4688" t="s">
        <v>790</v>
      </c>
      <c r="E4688" t="s">
        <v>842</v>
      </c>
      <c r="F4688">
        <v>4</v>
      </c>
      <c r="G4688">
        <v>0.15</v>
      </c>
      <c r="H4688" t="s">
        <v>861</v>
      </c>
      <c r="I4688" t="str">
        <f>VLOOKUP(C4688,Customers!A:C,2,FALSE)&amp;" "&amp;VLOOKUP(C4688,Customers!A:C,3,FALSE)</f>
        <v>Haley Williams</v>
      </c>
      <c r="J4688" t="str">
        <f>VLOOKUP(D4688,Products!A:C,2,FALSE)</f>
        <v>Difficult Vegetables</v>
      </c>
      <c r="K4688" t="str">
        <f>VLOOKUP(D4688,Products!A:C,3,FALSE)</f>
        <v>Groceries</v>
      </c>
      <c r="L4688" t="str">
        <f>VLOOKUP(E4688,Stores!A:B,2,FALSE)</f>
        <v>MegaMart Brianahaven</v>
      </c>
      <c r="M4688">
        <f>VLOOKUP(D4688,Products!A:E,5,FALSE)</f>
        <v>304.70999999999998</v>
      </c>
      <c r="N4688" s="5">
        <f t="shared" si="73"/>
        <v>1036.0139999999999</v>
      </c>
    </row>
    <row r="4689" spans="1:14" x14ac:dyDescent="0.3">
      <c r="A4689" t="s">
        <v>5545</v>
      </c>
      <c r="B4689" s="2">
        <v>45876</v>
      </c>
      <c r="C4689" t="s">
        <v>210</v>
      </c>
      <c r="D4689" t="s">
        <v>820</v>
      </c>
      <c r="E4689" t="s">
        <v>835</v>
      </c>
      <c r="F4689">
        <v>2</v>
      </c>
      <c r="G4689">
        <v>0.15</v>
      </c>
      <c r="H4689" t="s">
        <v>855</v>
      </c>
      <c r="I4689" t="str">
        <f>VLOOKUP(C4689,Customers!A:C,2,FALSE)&amp;" "&amp;VLOOKUP(C4689,Customers!A:C,3,FALSE)</f>
        <v>Crystal Johnson</v>
      </c>
      <c r="J4689" t="str">
        <f>VLOOKUP(D4689,Products!A:C,2,FALSE)</f>
        <v>Or Smartphone</v>
      </c>
      <c r="K4689" t="str">
        <f>VLOOKUP(D4689,Products!A:C,3,FALSE)</f>
        <v>Electronics</v>
      </c>
      <c r="L4689" t="str">
        <f>VLOOKUP(E4689,Stores!A:B,2,FALSE)</f>
        <v>MegaMart Peckmouth</v>
      </c>
      <c r="M4689">
        <f>VLOOKUP(D4689,Products!A:E,5,FALSE)</f>
        <v>1197.18</v>
      </c>
      <c r="N4689" s="5">
        <f t="shared" si="73"/>
        <v>2035.2060000000001</v>
      </c>
    </row>
    <row r="4690" spans="1:14" x14ac:dyDescent="0.3">
      <c r="A4690" t="s">
        <v>5546</v>
      </c>
      <c r="B4690" s="2">
        <v>45191</v>
      </c>
      <c r="C4690" t="s">
        <v>101</v>
      </c>
      <c r="D4690" t="s">
        <v>772</v>
      </c>
      <c r="E4690" t="s">
        <v>839</v>
      </c>
      <c r="F4690">
        <v>5</v>
      </c>
      <c r="G4690">
        <v>0</v>
      </c>
      <c r="H4690" t="s">
        <v>861</v>
      </c>
      <c r="I4690" t="str">
        <f>VLOOKUP(C4690,Customers!A:C,2,FALSE)&amp;" "&amp;VLOOKUP(C4690,Customers!A:C,3,FALSE)</f>
        <v>Cheryl Gilbert</v>
      </c>
      <c r="J4690" t="str">
        <f>VLOOKUP(D4690,Products!A:C,2,FALSE)</f>
        <v>And Footwear</v>
      </c>
      <c r="K4690" t="str">
        <f>VLOOKUP(D4690,Products!A:C,3,FALSE)</f>
        <v>Fashion</v>
      </c>
      <c r="L4690" t="str">
        <f>VLOOKUP(E4690,Stores!A:B,2,FALSE)</f>
        <v>MegaMart New Michele</v>
      </c>
      <c r="M4690">
        <f>VLOOKUP(D4690,Products!A:E,5,FALSE)</f>
        <v>1878.47</v>
      </c>
      <c r="N4690" s="5">
        <f t="shared" si="73"/>
        <v>9392.35</v>
      </c>
    </row>
    <row r="4691" spans="1:14" x14ac:dyDescent="0.3">
      <c r="A4691" t="s">
        <v>5547</v>
      </c>
      <c r="B4691" s="2">
        <v>45489</v>
      </c>
      <c r="C4691" t="s">
        <v>331</v>
      </c>
      <c r="D4691" t="s">
        <v>732</v>
      </c>
      <c r="E4691" t="s">
        <v>842</v>
      </c>
      <c r="F4691">
        <v>5</v>
      </c>
      <c r="G4691">
        <v>0.1</v>
      </c>
      <c r="H4691" t="s">
        <v>858</v>
      </c>
      <c r="I4691" t="str">
        <f>VLOOKUP(C4691,Customers!A:C,2,FALSE)&amp;" "&amp;VLOOKUP(C4691,Customers!A:C,3,FALSE)</f>
        <v>Brenda Costa</v>
      </c>
      <c r="J4691" t="str">
        <f>VLOOKUP(D4691,Products!A:C,2,FALSE)</f>
        <v>Understand Camera</v>
      </c>
      <c r="K4691" t="str">
        <f>VLOOKUP(D4691,Products!A:C,3,FALSE)</f>
        <v>Electronics</v>
      </c>
      <c r="L4691" t="str">
        <f>VLOOKUP(E4691,Stores!A:B,2,FALSE)</f>
        <v>MegaMart Brianahaven</v>
      </c>
      <c r="M4691">
        <f>VLOOKUP(D4691,Products!A:E,5,FALSE)</f>
        <v>1474.12</v>
      </c>
      <c r="N4691" s="5">
        <f t="shared" si="73"/>
        <v>6633.54</v>
      </c>
    </row>
    <row r="4692" spans="1:14" x14ac:dyDescent="0.3">
      <c r="A4692" t="s">
        <v>5548</v>
      </c>
      <c r="B4692" s="2">
        <v>45207</v>
      </c>
      <c r="C4692" t="s">
        <v>270</v>
      </c>
      <c r="D4692" t="s">
        <v>739</v>
      </c>
      <c r="E4692" t="s">
        <v>831</v>
      </c>
      <c r="F4692">
        <v>5</v>
      </c>
      <c r="G4692">
        <v>0.1</v>
      </c>
      <c r="H4692" t="s">
        <v>855</v>
      </c>
      <c r="I4692" t="str">
        <f>VLOOKUP(C4692,Customers!A:C,2,FALSE)&amp;" "&amp;VLOOKUP(C4692,Customers!A:C,3,FALSE)</f>
        <v>Denise Gutierrez</v>
      </c>
      <c r="J4692" t="str">
        <f>VLOOKUP(D4692,Products!A:C,2,FALSE)</f>
        <v>Step Smartphone</v>
      </c>
      <c r="K4692" t="str">
        <f>VLOOKUP(D4692,Products!A:C,3,FALSE)</f>
        <v>Electronics</v>
      </c>
      <c r="L4692" t="str">
        <f>VLOOKUP(E4692,Stores!A:B,2,FALSE)</f>
        <v>MegaMart Jimenezborough</v>
      </c>
      <c r="M4692">
        <f>VLOOKUP(D4692,Products!A:E,5,FALSE)</f>
        <v>1194.1199999999999</v>
      </c>
      <c r="N4692" s="5">
        <f t="shared" si="73"/>
        <v>5373.54</v>
      </c>
    </row>
    <row r="4693" spans="1:14" x14ac:dyDescent="0.3">
      <c r="A4693" t="s">
        <v>5549</v>
      </c>
      <c r="B4693" s="2">
        <v>45826</v>
      </c>
      <c r="C4693" t="s">
        <v>666</v>
      </c>
      <c r="D4693" t="s">
        <v>826</v>
      </c>
      <c r="E4693" t="s">
        <v>846</v>
      </c>
      <c r="F4693">
        <v>5</v>
      </c>
      <c r="G4693">
        <v>0.05</v>
      </c>
      <c r="H4693" t="s">
        <v>861</v>
      </c>
      <c r="I4693" t="str">
        <f>VLOOKUP(C4693,Customers!A:C,2,FALSE)&amp;" "&amp;VLOOKUP(C4693,Customers!A:C,3,FALSE)</f>
        <v>Steve Flynn</v>
      </c>
      <c r="J4693" t="str">
        <f>VLOOKUP(D4693,Products!A:C,2,FALSE)</f>
        <v>Maybe Footwear</v>
      </c>
      <c r="K4693" t="str">
        <f>VLOOKUP(D4693,Products!A:C,3,FALSE)</f>
        <v>Fashion</v>
      </c>
      <c r="L4693" t="str">
        <f>VLOOKUP(E4693,Stores!A:B,2,FALSE)</f>
        <v>MegaMart Johnmouth</v>
      </c>
      <c r="M4693">
        <f>VLOOKUP(D4693,Products!A:E,5,FALSE)</f>
        <v>1044.6400000000001</v>
      </c>
      <c r="N4693" s="5">
        <f t="shared" si="73"/>
        <v>4962.0400000000009</v>
      </c>
    </row>
    <row r="4694" spans="1:14" x14ac:dyDescent="0.3">
      <c r="A4694" t="s">
        <v>5550</v>
      </c>
      <c r="B4694" s="2">
        <v>45536</v>
      </c>
      <c r="C4694" t="s">
        <v>700</v>
      </c>
      <c r="D4694" t="s">
        <v>761</v>
      </c>
      <c r="E4694" t="s">
        <v>839</v>
      </c>
      <c r="F4694">
        <v>4</v>
      </c>
      <c r="G4694">
        <v>0.15</v>
      </c>
      <c r="H4694" t="s">
        <v>861</v>
      </c>
      <c r="I4694" t="str">
        <f>VLOOKUP(C4694,Customers!A:C,2,FALSE)&amp;" "&amp;VLOOKUP(C4694,Customers!A:C,3,FALSE)</f>
        <v>Juan Johnson</v>
      </c>
      <c r="J4694" t="str">
        <f>VLOOKUP(D4694,Products!A:C,2,FALSE)</f>
        <v>Traditional Laptop</v>
      </c>
      <c r="K4694" t="str">
        <f>VLOOKUP(D4694,Products!A:C,3,FALSE)</f>
        <v>Electronics</v>
      </c>
      <c r="L4694" t="str">
        <f>VLOOKUP(E4694,Stores!A:B,2,FALSE)</f>
        <v>MegaMart New Michele</v>
      </c>
      <c r="M4694">
        <f>VLOOKUP(D4694,Products!A:E,5,FALSE)</f>
        <v>1762.92</v>
      </c>
      <c r="N4694" s="5">
        <f t="shared" si="73"/>
        <v>5993.9279999999999</v>
      </c>
    </row>
    <row r="4695" spans="1:14" x14ac:dyDescent="0.3">
      <c r="A4695" t="s">
        <v>5551</v>
      </c>
      <c r="B4695" s="2">
        <v>45357</v>
      </c>
      <c r="C4695" t="s">
        <v>390</v>
      </c>
      <c r="D4695" t="s">
        <v>788</v>
      </c>
      <c r="E4695" t="s">
        <v>835</v>
      </c>
      <c r="F4695">
        <v>1</v>
      </c>
      <c r="G4695">
        <v>0.1</v>
      </c>
      <c r="H4695" t="s">
        <v>858</v>
      </c>
      <c r="I4695" t="str">
        <f>VLOOKUP(C4695,Customers!A:C,2,FALSE)&amp;" "&amp;VLOOKUP(C4695,Customers!A:C,3,FALSE)</f>
        <v>Brenda Dean</v>
      </c>
      <c r="J4695" t="str">
        <f>VLOOKUP(D4695,Products!A:C,2,FALSE)</f>
        <v>Foot Snacks</v>
      </c>
      <c r="K4695" t="str">
        <f>VLOOKUP(D4695,Products!A:C,3,FALSE)</f>
        <v>Groceries</v>
      </c>
      <c r="L4695" t="str">
        <f>VLOOKUP(E4695,Stores!A:B,2,FALSE)</f>
        <v>MegaMart Peckmouth</v>
      </c>
      <c r="M4695">
        <f>VLOOKUP(D4695,Products!A:E,5,FALSE)</f>
        <v>1095.72</v>
      </c>
      <c r="N4695" s="5">
        <f t="shared" si="73"/>
        <v>986.14800000000002</v>
      </c>
    </row>
    <row r="4696" spans="1:14" x14ac:dyDescent="0.3">
      <c r="A4696" t="s">
        <v>5552</v>
      </c>
      <c r="B4696" s="2">
        <v>45503</v>
      </c>
      <c r="C4696" t="s">
        <v>458</v>
      </c>
      <c r="D4696" t="s">
        <v>734</v>
      </c>
      <c r="E4696" t="s">
        <v>835</v>
      </c>
      <c r="F4696">
        <v>5</v>
      </c>
      <c r="G4696">
        <v>0.05</v>
      </c>
      <c r="H4696" t="s">
        <v>855</v>
      </c>
      <c r="I4696" t="str">
        <f>VLOOKUP(C4696,Customers!A:C,2,FALSE)&amp;" "&amp;VLOOKUP(C4696,Customers!A:C,3,FALSE)</f>
        <v>Chad Roberts</v>
      </c>
      <c r="J4696" t="str">
        <f>VLOOKUP(D4696,Products!A:C,2,FALSE)</f>
        <v>Recognize Footwear</v>
      </c>
      <c r="K4696" t="str">
        <f>VLOOKUP(D4696,Products!A:C,3,FALSE)</f>
        <v>Fashion</v>
      </c>
      <c r="L4696" t="str">
        <f>VLOOKUP(E4696,Stores!A:B,2,FALSE)</f>
        <v>MegaMart Peckmouth</v>
      </c>
      <c r="M4696">
        <f>VLOOKUP(D4696,Products!A:E,5,FALSE)</f>
        <v>109.78</v>
      </c>
      <c r="N4696" s="5">
        <f t="shared" si="73"/>
        <v>521.45499999999993</v>
      </c>
    </row>
    <row r="4697" spans="1:14" x14ac:dyDescent="0.3">
      <c r="A4697" t="s">
        <v>5553</v>
      </c>
      <c r="B4697" s="2">
        <v>45235</v>
      </c>
      <c r="C4697" t="s">
        <v>298</v>
      </c>
      <c r="D4697" t="s">
        <v>796</v>
      </c>
      <c r="E4697" t="s">
        <v>835</v>
      </c>
      <c r="F4697">
        <v>3</v>
      </c>
      <c r="G4697">
        <v>0.1</v>
      </c>
      <c r="H4697" t="s">
        <v>865</v>
      </c>
      <c r="I4697" t="str">
        <f>VLOOKUP(C4697,Customers!A:C,2,FALSE)&amp;" "&amp;VLOOKUP(C4697,Customers!A:C,3,FALSE)</f>
        <v>Donald Marsh</v>
      </c>
      <c r="J4697" t="str">
        <f>VLOOKUP(D4697,Products!A:C,2,FALSE)</f>
        <v>Chair Laptop</v>
      </c>
      <c r="K4697" t="str">
        <f>VLOOKUP(D4697,Products!A:C,3,FALSE)</f>
        <v>Electronics</v>
      </c>
      <c r="L4697" t="str">
        <f>VLOOKUP(E4697,Stores!A:B,2,FALSE)</f>
        <v>MegaMart Peckmouth</v>
      </c>
      <c r="M4697">
        <f>VLOOKUP(D4697,Products!A:E,5,FALSE)</f>
        <v>1562.43</v>
      </c>
      <c r="N4697" s="5">
        <f t="shared" si="73"/>
        <v>4218.5609999999997</v>
      </c>
    </row>
    <row r="4698" spans="1:14" x14ac:dyDescent="0.3">
      <c r="A4698" t="s">
        <v>5554</v>
      </c>
      <c r="B4698" s="2">
        <v>45491</v>
      </c>
      <c r="C4698" t="s">
        <v>542</v>
      </c>
      <c r="D4698" t="s">
        <v>725</v>
      </c>
      <c r="E4698" t="s">
        <v>842</v>
      </c>
      <c r="F4698">
        <v>2</v>
      </c>
      <c r="G4698">
        <v>0.05</v>
      </c>
      <c r="H4698" t="s">
        <v>861</v>
      </c>
      <c r="I4698" t="str">
        <f>VLOOKUP(C4698,Customers!A:C,2,FALSE)&amp;" "&amp;VLOOKUP(C4698,Customers!A:C,3,FALSE)</f>
        <v>Francis Hernandez</v>
      </c>
      <c r="J4698" t="str">
        <f>VLOOKUP(D4698,Products!A:C,2,FALSE)</f>
        <v>Knowledge Bags</v>
      </c>
      <c r="K4698" t="str">
        <f>VLOOKUP(D4698,Products!A:C,3,FALSE)</f>
        <v>Fashion</v>
      </c>
      <c r="L4698" t="str">
        <f>VLOOKUP(E4698,Stores!A:B,2,FALSE)</f>
        <v>MegaMart Brianahaven</v>
      </c>
      <c r="M4698">
        <f>VLOOKUP(D4698,Products!A:E,5,FALSE)</f>
        <v>1396.22</v>
      </c>
      <c r="N4698" s="5">
        <f t="shared" si="73"/>
        <v>2652.8179999999998</v>
      </c>
    </row>
    <row r="4699" spans="1:14" x14ac:dyDescent="0.3">
      <c r="A4699" t="s">
        <v>5555</v>
      </c>
      <c r="B4699" s="2">
        <v>45224</v>
      </c>
      <c r="C4699" t="s">
        <v>183</v>
      </c>
      <c r="D4699" t="s">
        <v>796</v>
      </c>
      <c r="E4699" t="s">
        <v>839</v>
      </c>
      <c r="F4699">
        <v>1</v>
      </c>
      <c r="G4699">
        <v>0</v>
      </c>
      <c r="H4699" t="s">
        <v>861</v>
      </c>
      <c r="I4699" t="str">
        <f>VLOOKUP(C4699,Customers!A:C,2,FALSE)&amp;" "&amp;VLOOKUP(C4699,Customers!A:C,3,FALSE)</f>
        <v>Mary Decker</v>
      </c>
      <c r="J4699" t="str">
        <f>VLOOKUP(D4699,Products!A:C,2,FALSE)</f>
        <v>Chair Laptop</v>
      </c>
      <c r="K4699" t="str">
        <f>VLOOKUP(D4699,Products!A:C,3,FALSE)</f>
        <v>Electronics</v>
      </c>
      <c r="L4699" t="str">
        <f>VLOOKUP(E4699,Stores!A:B,2,FALSE)</f>
        <v>MegaMart New Michele</v>
      </c>
      <c r="M4699">
        <f>VLOOKUP(D4699,Products!A:E,5,FALSE)</f>
        <v>1562.43</v>
      </c>
      <c r="N4699" s="5">
        <f t="shared" si="73"/>
        <v>1562.43</v>
      </c>
    </row>
    <row r="4700" spans="1:14" x14ac:dyDescent="0.3">
      <c r="A4700" t="s">
        <v>5556</v>
      </c>
      <c r="B4700" s="2">
        <v>45384</v>
      </c>
      <c r="C4700" t="s">
        <v>343</v>
      </c>
      <c r="D4700" t="s">
        <v>790</v>
      </c>
      <c r="E4700" t="s">
        <v>842</v>
      </c>
      <c r="F4700">
        <v>2</v>
      </c>
      <c r="G4700">
        <v>0.1</v>
      </c>
      <c r="H4700" t="s">
        <v>858</v>
      </c>
      <c r="I4700" t="str">
        <f>VLOOKUP(C4700,Customers!A:C,2,FALSE)&amp;" "&amp;VLOOKUP(C4700,Customers!A:C,3,FALSE)</f>
        <v>Brian Fowler</v>
      </c>
      <c r="J4700" t="str">
        <f>VLOOKUP(D4700,Products!A:C,2,FALSE)</f>
        <v>Difficult Vegetables</v>
      </c>
      <c r="K4700" t="str">
        <f>VLOOKUP(D4700,Products!A:C,3,FALSE)</f>
        <v>Groceries</v>
      </c>
      <c r="L4700" t="str">
        <f>VLOOKUP(E4700,Stores!A:B,2,FALSE)</f>
        <v>MegaMart Brianahaven</v>
      </c>
      <c r="M4700">
        <f>VLOOKUP(D4700,Products!A:E,5,FALSE)</f>
        <v>304.70999999999998</v>
      </c>
      <c r="N4700" s="5">
        <f t="shared" si="73"/>
        <v>548.47799999999995</v>
      </c>
    </row>
    <row r="4701" spans="1:14" x14ac:dyDescent="0.3">
      <c r="A4701" t="s">
        <v>5557</v>
      </c>
      <c r="B4701" s="2">
        <v>45188</v>
      </c>
      <c r="C4701" t="s">
        <v>175</v>
      </c>
      <c r="D4701" t="s">
        <v>774</v>
      </c>
      <c r="E4701" t="s">
        <v>846</v>
      </c>
      <c r="F4701">
        <v>4</v>
      </c>
      <c r="G4701">
        <v>0.05</v>
      </c>
      <c r="H4701" t="s">
        <v>855</v>
      </c>
      <c r="I4701" t="str">
        <f>VLOOKUP(C4701,Customers!A:C,2,FALSE)&amp;" "&amp;VLOOKUP(C4701,Customers!A:C,3,FALSE)</f>
        <v>Kelly Shaw</v>
      </c>
      <c r="J4701" t="str">
        <f>VLOOKUP(D4701,Products!A:C,2,FALSE)</f>
        <v>Him Smartphone</v>
      </c>
      <c r="K4701" t="str">
        <f>VLOOKUP(D4701,Products!A:C,3,FALSE)</f>
        <v>Electronics</v>
      </c>
      <c r="L4701" t="str">
        <f>VLOOKUP(E4701,Stores!A:B,2,FALSE)</f>
        <v>MegaMart Johnmouth</v>
      </c>
      <c r="M4701">
        <f>VLOOKUP(D4701,Products!A:E,5,FALSE)</f>
        <v>1487.41</v>
      </c>
      <c r="N4701" s="5">
        <f t="shared" si="73"/>
        <v>5652.1580000000004</v>
      </c>
    </row>
    <row r="4702" spans="1:14" x14ac:dyDescent="0.3">
      <c r="A4702" t="s">
        <v>5558</v>
      </c>
      <c r="B4702" s="2">
        <v>45574</v>
      </c>
      <c r="C4702" t="s">
        <v>183</v>
      </c>
      <c r="D4702" t="s">
        <v>800</v>
      </c>
      <c r="E4702" t="s">
        <v>831</v>
      </c>
      <c r="F4702">
        <v>1</v>
      </c>
      <c r="G4702">
        <v>0.05</v>
      </c>
      <c r="H4702" t="s">
        <v>861</v>
      </c>
      <c r="I4702" t="str">
        <f>VLOOKUP(C4702,Customers!A:C,2,FALSE)&amp;" "&amp;VLOOKUP(C4702,Customers!A:C,3,FALSE)</f>
        <v>Mary Decker</v>
      </c>
      <c r="J4702" t="str">
        <f>VLOOKUP(D4702,Products!A:C,2,FALSE)</f>
        <v>Book Television</v>
      </c>
      <c r="K4702" t="str">
        <f>VLOOKUP(D4702,Products!A:C,3,FALSE)</f>
        <v>Electronics</v>
      </c>
      <c r="L4702" t="str">
        <f>VLOOKUP(E4702,Stores!A:B,2,FALSE)</f>
        <v>MegaMart Jimenezborough</v>
      </c>
      <c r="M4702">
        <f>VLOOKUP(D4702,Products!A:E,5,FALSE)</f>
        <v>1952.65</v>
      </c>
      <c r="N4702" s="5">
        <f t="shared" si="73"/>
        <v>1855.0174999999999</v>
      </c>
    </row>
    <row r="4703" spans="1:14" x14ac:dyDescent="0.3">
      <c r="A4703" t="s">
        <v>5559</v>
      </c>
      <c r="B4703" s="2">
        <v>45372</v>
      </c>
      <c r="C4703" t="s">
        <v>241</v>
      </c>
      <c r="D4703" t="s">
        <v>822</v>
      </c>
      <c r="E4703" t="s">
        <v>839</v>
      </c>
      <c r="F4703">
        <v>1</v>
      </c>
      <c r="G4703">
        <v>0.1</v>
      </c>
      <c r="H4703" t="s">
        <v>861</v>
      </c>
      <c r="I4703" t="str">
        <f>VLOOKUP(C4703,Customers!A:C,2,FALSE)&amp;" "&amp;VLOOKUP(C4703,Customers!A:C,3,FALSE)</f>
        <v>Michael Johnson</v>
      </c>
      <c r="J4703" t="str">
        <f>VLOOKUP(D4703,Products!A:C,2,FALSE)</f>
        <v>Nor Bags</v>
      </c>
      <c r="K4703" t="str">
        <f>VLOOKUP(D4703,Products!A:C,3,FALSE)</f>
        <v>Fashion</v>
      </c>
      <c r="L4703" t="str">
        <f>VLOOKUP(E4703,Stores!A:B,2,FALSE)</f>
        <v>MegaMart New Michele</v>
      </c>
      <c r="M4703">
        <f>VLOOKUP(D4703,Products!A:E,5,FALSE)</f>
        <v>1216.3599999999999</v>
      </c>
      <c r="N4703" s="5">
        <f t="shared" si="73"/>
        <v>1094.7239999999999</v>
      </c>
    </row>
    <row r="4704" spans="1:14" x14ac:dyDescent="0.3">
      <c r="A4704" t="s">
        <v>5560</v>
      </c>
      <c r="B4704" s="2">
        <v>45396</v>
      </c>
      <c r="C4704" t="s">
        <v>551</v>
      </c>
      <c r="D4704" t="s">
        <v>745</v>
      </c>
      <c r="E4704" t="s">
        <v>831</v>
      </c>
      <c r="F4704">
        <v>1</v>
      </c>
      <c r="G4704">
        <v>0.15</v>
      </c>
      <c r="H4704" t="s">
        <v>858</v>
      </c>
      <c r="I4704" t="str">
        <f>VLOOKUP(C4704,Customers!A:C,2,FALSE)&amp;" "&amp;VLOOKUP(C4704,Customers!A:C,3,FALSE)</f>
        <v>Nancy Gordon</v>
      </c>
      <c r="J4704" t="str">
        <f>VLOOKUP(D4704,Products!A:C,2,FALSE)</f>
        <v>Above Camera</v>
      </c>
      <c r="K4704" t="str">
        <f>VLOOKUP(D4704,Products!A:C,3,FALSE)</f>
        <v>Electronics</v>
      </c>
      <c r="L4704" t="str">
        <f>VLOOKUP(E4704,Stores!A:B,2,FALSE)</f>
        <v>MegaMart Jimenezborough</v>
      </c>
      <c r="M4704">
        <f>VLOOKUP(D4704,Products!A:E,5,FALSE)</f>
        <v>1193.0899999999999</v>
      </c>
      <c r="N4704" s="5">
        <f t="shared" si="73"/>
        <v>1014.1264999999999</v>
      </c>
    </row>
    <row r="4705" spans="1:14" x14ac:dyDescent="0.3">
      <c r="A4705" t="s">
        <v>5561</v>
      </c>
      <c r="B4705" s="2">
        <v>45433</v>
      </c>
      <c r="C4705" t="s">
        <v>171</v>
      </c>
      <c r="D4705" t="s">
        <v>808</v>
      </c>
      <c r="E4705" t="s">
        <v>842</v>
      </c>
      <c r="F4705">
        <v>1</v>
      </c>
      <c r="G4705">
        <v>0.05</v>
      </c>
      <c r="H4705" t="s">
        <v>858</v>
      </c>
      <c r="I4705" t="str">
        <f>VLOOKUP(C4705,Customers!A:C,2,FALSE)&amp;" "&amp;VLOOKUP(C4705,Customers!A:C,3,FALSE)</f>
        <v>Parker Sparks</v>
      </c>
      <c r="J4705" t="str">
        <f>VLOOKUP(D4705,Products!A:C,2,FALSE)</f>
        <v>Present Television</v>
      </c>
      <c r="K4705" t="str">
        <f>VLOOKUP(D4705,Products!A:C,3,FALSE)</f>
        <v>Electronics</v>
      </c>
      <c r="L4705" t="str">
        <f>VLOOKUP(E4705,Stores!A:B,2,FALSE)</f>
        <v>MegaMart Brianahaven</v>
      </c>
      <c r="M4705">
        <f>VLOOKUP(D4705,Products!A:E,5,FALSE)</f>
        <v>1635.01</v>
      </c>
      <c r="N4705" s="5">
        <f t="shared" si="73"/>
        <v>1553.2594999999999</v>
      </c>
    </row>
    <row r="4706" spans="1:14" x14ac:dyDescent="0.3">
      <c r="A4706" t="s">
        <v>5562</v>
      </c>
      <c r="B4706" s="2">
        <v>45407</v>
      </c>
      <c r="C4706" t="s">
        <v>386</v>
      </c>
      <c r="D4706" t="s">
        <v>786</v>
      </c>
      <c r="E4706" t="s">
        <v>831</v>
      </c>
      <c r="F4706">
        <v>3</v>
      </c>
      <c r="G4706">
        <v>0.1</v>
      </c>
      <c r="H4706" t="s">
        <v>865</v>
      </c>
      <c r="I4706" t="str">
        <f>VLOOKUP(C4706,Customers!A:C,2,FALSE)&amp;" "&amp;VLOOKUP(C4706,Customers!A:C,3,FALSE)</f>
        <v>David Burns</v>
      </c>
      <c r="J4706" t="str">
        <f>VLOOKUP(D4706,Products!A:C,2,FALSE)</f>
        <v>National Watches</v>
      </c>
      <c r="K4706" t="str">
        <f>VLOOKUP(D4706,Products!A:C,3,FALSE)</f>
        <v>Fashion</v>
      </c>
      <c r="L4706" t="str">
        <f>VLOOKUP(E4706,Stores!A:B,2,FALSE)</f>
        <v>MegaMart Jimenezborough</v>
      </c>
      <c r="M4706">
        <f>VLOOKUP(D4706,Products!A:E,5,FALSE)</f>
        <v>29.24</v>
      </c>
      <c r="N4706" s="5">
        <f t="shared" si="73"/>
        <v>78.948000000000008</v>
      </c>
    </row>
    <row r="4707" spans="1:14" x14ac:dyDescent="0.3">
      <c r="A4707" t="s">
        <v>5563</v>
      </c>
      <c r="B4707" s="2">
        <v>45184</v>
      </c>
      <c r="C4707" t="s">
        <v>539</v>
      </c>
      <c r="D4707" t="s">
        <v>816</v>
      </c>
      <c r="E4707" t="s">
        <v>839</v>
      </c>
      <c r="F4707">
        <v>4</v>
      </c>
      <c r="G4707">
        <v>0.05</v>
      </c>
      <c r="H4707" t="s">
        <v>861</v>
      </c>
      <c r="I4707" t="str">
        <f>VLOOKUP(C4707,Customers!A:C,2,FALSE)&amp;" "&amp;VLOOKUP(C4707,Customers!A:C,3,FALSE)</f>
        <v>Melissa Torres</v>
      </c>
      <c r="J4707" t="str">
        <f>VLOOKUP(D4707,Products!A:C,2,FALSE)</f>
        <v>Set Dairy</v>
      </c>
      <c r="K4707" t="str">
        <f>VLOOKUP(D4707,Products!A:C,3,FALSE)</f>
        <v>Groceries</v>
      </c>
      <c r="L4707" t="str">
        <f>VLOOKUP(E4707,Stores!A:B,2,FALSE)</f>
        <v>MegaMart New Michele</v>
      </c>
      <c r="M4707">
        <f>VLOOKUP(D4707,Products!A:E,5,FALSE)</f>
        <v>1879.08</v>
      </c>
      <c r="N4707" s="5">
        <f t="shared" si="73"/>
        <v>7140.503999999999</v>
      </c>
    </row>
    <row r="4708" spans="1:14" x14ac:dyDescent="0.3">
      <c r="A4708" t="s">
        <v>5564</v>
      </c>
      <c r="B4708" s="2">
        <v>45305</v>
      </c>
      <c r="C4708" t="s">
        <v>74</v>
      </c>
      <c r="D4708" t="s">
        <v>757</v>
      </c>
      <c r="E4708" t="s">
        <v>842</v>
      </c>
      <c r="F4708">
        <v>3</v>
      </c>
      <c r="G4708">
        <v>0</v>
      </c>
      <c r="H4708" t="s">
        <v>865</v>
      </c>
      <c r="I4708" t="str">
        <f>VLOOKUP(C4708,Customers!A:C,2,FALSE)&amp;" "&amp;VLOOKUP(C4708,Customers!A:C,3,FALSE)</f>
        <v>Breanna Davis</v>
      </c>
      <c r="J4708" t="str">
        <f>VLOOKUP(D4708,Products!A:C,2,FALSE)</f>
        <v>Find Headphones</v>
      </c>
      <c r="K4708" t="str">
        <f>VLOOKUP(D4708,Products!A:C,3,FALSE)</f>
        <v>Electronics</v>
      </c>
      <c r="L4708" t="str">
        <f>VLOOKUP(E4708,Stores!A:B,2,FALSE)</f>
        <v>MegaMart Brianahaven</v>
      </c>
      <c r="M4708">
        <f>VLOOKUP(D4708,Products!A:E,5,FALSE)</f>
        <v>1246.1099999999999</v>
      </c>
      <c r="N4708" s="5">
        <f t="shared" si="73"/>
        <v>3738.33</v>
      </c>
    </row>
    <row r="4709" spans="1:14" x14ac:dyDescent="0.3">
      <c r="A4709" t="s">
        <v>5565</v>
      </c>
      <c r="B4709" s="2">
        <v>45465</v>
      </c>
      <c r="C4709" t="s">
        <v>650</v>
      </c>
      <c r="D4709" t="s">
        <v>826</v>
      </c>
      <c r="E4709" t="s">
        <v>835</v>
      </c>
      <c r="F4709">
        <v>5</v>
      </c>
      <c r="G4709">
        <v>0</v>
      </c>
      <c r="H4709" t="s">
        <v>865</v>
      </c>
      <c r="I4709" t="str">
        <f>VLOOKUP(C4709,Customers!A:C,2,FALSE)&amp;" "&amp;VLOOKUP(C4709,Customers!A:C,3,FALSE)</f>
        <v>Daniel Mcintyre</v>
      </c>
      <c r="J4709" t="str">
        <f>VLOOKUP(D4709,Products!A:C,2,FALSE)</f>
        <v>Maybe Footwear</v>
      </c>
      <c r="K4709" t="str">
        <f>VLOOKUP(D4709,Products!A:C,3,FALSE)</f>
        <v>Fashion</v>
      </c>
      <c r="L4709" t="str">
        <f>VLOOKUP(E4709,Stores!A:B,2,FALSE)</f>
        <v>MegaMart Peckmouth</v>
      </c>
      <c r="M4709">
        <f>VLOOKUP(D4709,Products!A:E,5,FALSE)</f>
        <v>1044.6400000000001</v>
      </c>
      <c r="N4709" s="5">
        <f t="shared" si="73"/>
        <v>5223.2000000000007</v>
      </c>
    </row>
    <row r="4710" spans="1:14" x14ac:dyDescent="0.3">
      <c r="A4710" t="s">
        <v>5566</v>
      </c>
      <c r="B4710" s="2">
        <v>45467</v>
      </c>
      <c r="C4710" t="s">
        <v>666</v>
      </c>
      <c r="D4710" t="s">
        <v>826</v>
      </c>
      <c r="E4710" t="s">
        <v>831</v>
      </c>
      <c r="F4710">
        <v>5</v>
      </c>
      <c r="G4710">
        <v>0.05</v>
      </c>
      <c r="H4710" t="s">
        <v>861</v>
      </c>
      <c r="I4710" t="str">
        <f>VLOOKUP(C4710,Customers!A:C,2,FALSE)&amp;" "&amp;VLOOKUP(C4710,Customers!A:C,3,FALSE)</f>
        <v>Steve Flynn</v>
      </c>
      <c r="J4710" t="str">
        <f>VLOOKUP(D4710,Products!A:C,2,FALSE)</f>
        <v>Maybe Footwear</v>
      </c>
      <c r="K4710" t="str">
        <f>VLOOKUP(D4710,Products!A:C,3,FALSE)</f>
        <v>Fashion</v>
      </c>
      <c r="L4710" t="str">
        <f>VLOOKUP(E4710,Stores!A:B,2,FALSE)</f>
        <v>MegaMart Jimenezborough</v>
      </c>
      <c r="M4710">
        <f>VLOOKUP(D4710,Products!A:E,5,FALSE)</f>
        <v>1044.6400000000001</v>
      </c>
      <c r="N4710" s="5">
        <f t="shared" si="73"/>
        <v>4962.0400000000009</v>
      </c>
    </row>
    <row r="4711" spans="1:14" x14ac:dyDescent="0.3">
      <c r="A4711" t="s">
        <v>5567</v>
      </c>
      <c r="B4711" s="2">
        <v>45519</v>
      </c>
      <c r="C4711" t="s">
        <v>358</v>
      </c>
      <c r="D4711" t="s">
        <v>753</v>
      </c>
      <c r="E4711" t="s">
        <v>835</v>
      </c>
      <c r="F4711">
        <v>5</v>
      </c>
      <c r="G4711">
        <v>0.05</v>
      </c>
      <c r="H4711" t="s">
        <v>861</v>
      </c>
      <c r="I4711" t="str">
        <f>VLOOKUP(C4711,Customers!A:C,2,FALSE)&amp;" "&amp;VLOOKUP(C4711,Customers!A:C,3,FALSE)</f>
        <v>Kevin Snyder</v>
      </c>
      <c r="J4711" t="str">
        <f>VLOOKUP(D4711,Products!A:C,2,FALSE)</f>
        <v>Whether Bags</v>
      </c>
      <c r="K4711" t="str">
        <f>VLOOKUP(D4711,Products!A:C,3,FALSE)</f>
        <v>Fashion</v>
      </c>
      <c r="L4711" t="str">
        <f>VLOOKUP(E4711,Stores!A:B,2,FALSE)</f>
        <v>MegaMart Peckmouth</v>
      </c>
      <c r="M4711">
        <f>VLOOKUP(D4711,Products!A:E,5,FALSE)</f>
        <v>270.45</v>
      </c>
      <c r="N4711" s="5">
        <f t="shared" si="73"/>
        <v>1284.6375</v>
      </c>
    </row>
    <row r="4712" spans="1:14" x14ac:dyDescent="0.3">
      <c r="A4712" t="s">
        <v>5568</v>
      </c>
      <c r="B4712" s="2">
        <v>45556</v>
      </c>
      <c r="C4712" t="s">
        <v>163</v>
      </c>
      <c r="D4712" t="s">
        <v>808</v>
      </c>
      <c r="E4712" t="s">
        <v>839</v>
      </c>
      <c r="F4712">
        <v>4</v>
      </c>
      <c r="G4712">
        <v>0</v>
      </c>
      <c r="H4712" t="s">
        <v>865</v>
      </c>
      <c r="I4712" t="str">
        <f>VLOOKUP(C4712,Customers!A:C,2,FALSE)&amp;" "&amp;VLOOKUP(C4712,Customers!A:C,3,FALSE)</f>
        <v>Anna Andrews</v>
      </c>
      <c r="J4712" t="str">
        <f>VLOOKUP(D4712,Products!A:C,2,FALSE)</f>
        <v>Present Television</v>
      </c>
      <c r="K4712" t="str">
        <f>VLOOKUP(D4712,Products!A:C,3,FALSE)</f>
        <v>Electronics</v>
      </c>
      <c r="L4712" t="str">
        <f>VLOOKUP(E4712,Stores!A:B,2,FALSE)</f>
        <v>MegaMart New Michele</v>
      </c>
      <c r="M4712">
        <f>VLOOKUP(D4712,Products!A:E,5,FALSE)</f>
        <v>1635.01</v>
      </c>
      <c r="N4712" s="5">
        <f t="shared" si="73"/>
        <v>6540.04</v>
      </c>
    </row>
    <row r="4713" spans="1:14" x14ac:dyDescent="0.3">
      <c r="A4713" t="s">
        <v>5569</v>
      </c>
      <c r="B4713" s="2">
        <v>45467</v>
      </c>
      <c r="C4713" t="s">
        <v>549</v>
      </c>
      <c r="D4713" t="s">
        <v>780</v>
      </c>
      <c r="E4713" t="s">
        <v>835</v>
      </c>
      <c r="F4713">
        <v>4</v>
      </c>
      <c r="G4713">
        <v>0</v>
      </c>
      <c r="H4713" t="s">
        <v>865</v>
      </c>
      <c r="I4713" t="str">
        <f>VLOOKUP(C4713,Customers!A:C,2,FALSE)&amp;" "&amp;VLOOKUP(C4713,Customers!A:C,3,FALSE)</f>
        <v>Brittany Green</v>
      </c>
      <c r="J4713" t="str">
        <f>VLOOKUP(D4713,Products!A:C,2,FALSE)</f>
        <v>Hospital Smartphone</v>
      </c>
      <c r="K4713" t="str">
        <f>VLOOKUP(D4713,Products!A:C,3,FALSE)</f>
        <v>Electronics</v>
      </c>
      <c r="L4713" t="str">
        <f>VLOOKUP(E4713,Stores!A:B,2,FALSE)</f>
        <v>MegaMart Peckmouth</v>
      </c>
      <c r="M4713">
        <f>VLOOKUP(D4713,Products!A:E,5,FALSE)</f>
        <v>1272.23</v>
      </c>
      <c r="N4713" s="5">
        <f t="shared" si="73"/>
        <v>5088.92</v>
      </c>
    </row>
    <row r="4714" spans="1:14" x14ac:dyDescent="0.3">
      <c r="A4714" t="s">
        <v>5570</v>
      </c>
      <c r="B4714" s="2">
        <v>45288</v>
      </c>
      <c r="C4714" t="s">
        <v>403</v>
      </c>
      <c r="D4714" t="s">
        <v>826</v>
      </c>
      <c r="E4714" t="s">
        <v>831</v>
      </c>
      <c r="F4714">
        <v>5</v>
      </c>
      <c r="G4714">
        <v>0.05</v>
      </c>
      <c r="H4714" t="s">
        <v>858</v>
      </c>
      <c r="I4714" t="str">
        <f>VLOOKUP(C4714,Customers!A:C,2,FALSE)&amp;" "&amp;VLOOKUP(C4714,Customers!A:C,3,FALSE)</f>
        <v>Samantha Hill</v>
      </c>
      <c r="J4714" t="str">
        <f>VLOOKUP(D4714,Products!A:C,2,FALSE)</f>
        <v>Maybe Footwear</v>
      </c>
      <c r="K4714" t="str">
        <f>VLOOKUP(D4714,Products!A:C,3,FALSE)</f>
        <v>Fashion</v>
      </c>
      <c r="L4714" t="str">
        <f>VLOOKUP(E4714,Stores!A:B,2,FALSE)</f>
        <v>MegaMart Jimenezborough</v>
      </c>
      <c r="M4714">
        <f>VLOOKUP(D4714,Products!A:E,5,FALSE)</f>
        <v>1044.6400000000001</v>
      </c>
      <c r="N4714" s="5">
        <f t="shared" si="73"/>
        <v>4962.0400000000009</v>
      </c>
    </row>
    <row r="4715" spans="1:14" x14ac:dyDescent="0.3">
      <c r="A4715" t="s">
        <v>5571</v>
      </c>
      <c r="B4715" s="2">
        <v>45418</v>
      </c>
      <c r="C4715" t="s">
        <v>462</v>
      </c>
      <c r="D4715" t="s">
        <v>774</v>
      </c>
      <c r="E4715" t="s">
        <v>831</v>
      </c>
      <c r="F4715">
        <v>3</v>
      </c>
      <c r="G4715">
        <v>0.15</v>
      </c>
      <c r="H4715" t="s">
        <v>855</v>
      </c>
      <c r="I4715" t="str">
        <f>VLOOKUP(C4715,Customers!A:C,2,FALSE)&amp;" "&amp;VLOOKUP(C4715,Customers!A:C,3,FALSE)</f>
        <v>Kimberly Parker</v>
      </c>
      <c r="J4715" t="str">
        <f>VLOOKUP(D4715,Products!A:C,2,FALSE)</f>
        <v>Him Smartphone</v>
      </c>
      <c r="K4715" t="str">
        <f>VLOOKUP(D4715,Products!A:C,3,FALSE)</f>
        <v>Electronics</v>
      </c>
      <c r="L4715" t="str">
        <f>VLOOKUP(E4715,Stores!A:B,2,FALSE)</f>
        <v>MegaMart Jimenezborough</v>
      </c>
      <c r="M4715">
        <f>VLOOKUP(D4715,Products!A:E,5,FALSE)</f>
        <v>1487.41</v>
      </c>
      <c r="N4715" s="5">
        <f t="shared" si="73"/>
        <v>3792.8955000000001</v>
      </c>
    </row>
    <row r="4716" spans="1:14" x14ac:dyDescent="0.3">
      <c r="A4716" t="s">
        <v>5572</v>
      </c>
      <c r="B4716" s="2">
        <v>45880</v>
      </c>
      <c r="C4716" t="s">
        <v>386</v>
      </c>
      <c r="D4716" t="s">
        <v>818</v>
      </c>
      <c r="E4716" t="s">
        <v>831</v>
      </c>
      <c r="F4716">
        <v>4</v>
      </c>
      <c r="G4716">
        <v>0</v>
      </c>
      <c r="H4716" t="s">
        <v>858</v>
      </c>
      <c r="I4716" t="str">
        <f>VLOOKUP(C4716,Customers!A:C,2,FALSE)&amp;" "&amp;VLOOKUP(C4716,Customers!A:C,3,FALSE)</f>
        <v>David Burns</v>
      </c>
      <c r="J4716" t="str">
        <f>VLOOKUP(D4716,Products!A:C,2,FALSE)</f>
        <v>Nature Clothing</v>
      </c>
      <c r="K4716" t="str">
        <f>VLOOKUP(D4716,Products!A:C,3,FALSE)</f>
        <v>Fashion</v>
      </c>
      <c r="L4716" t="str">
        <f>VLOOKUP(E4716,Stores!A:B,2,FALSE)</f>
        <v>MegaMart Jimenezborough</v>
      </c>
      <c r="M4716">
        <f>VLOOKUP(D4716,Products!A:E,5,FALSE)</f>
        <v>1165.3699999999999</v>
      </c>
      <c r="N4716" s="5">
        <f t="shared" si="73"/>
        <v>4661.4799999999996</v>
      </c>
    </row>
    <row r="4717" spans="1:14" x14ac:dyDescent="0.3">
      <c r="A4717" t="s">
        <v>5573</v>
      </c>
      <c r="B4717" s="2">
        <v>45448</v>
      </c>
      <c r="C4717" t="s">
        <v>419</v>
      </c>
      <c r="D4717" t="s">
        <v>824</v>
      </c>
      <c r="E4717" t="s">
        <v>835</v>
      </c>
      <c r="F4717">
        <v>4</v>
      </c>
      <c r="G4717">
        <v>0.1</v>
      </c>
      <c r="H4717" t="s">
        <v>861</v>
      </c>
      <c r="I4717" t="str">
        <f>VLOOKUP(C4717,Customers!A:C,2,FALSE)&amp;" "&amp;VLOOKUP(C4717,Customers!A:C,3,FALSE)</f>
        <v>Jeffrey Smith</v>
      </c>
      <c r="J4717" t="str">
        <f>VLOOKUP(D4717,Products!A:C,2,FALSE)</f>
        <v>Possible Watches</v>
      </c>
      <c r="K4717" t="str">
        <f>VLOOKUP(D4717,Products!A:C,3,FALSE)</f>
        <v>Fashion</v>
      </c>
      <c r="L4717" t="str">
        <f>VLOOKUP(E4717,Stores!A:B,2,FALSE)</f>
        <v>MegaMart Peckmouth</v>
      </c>
      <c r="M4717">
        <f>VLOOKUP(D4717,Products!A:E,5,FALSE)</f>
        <v>388.26</v>
      </c>
      <c r="N4717" s="5">
        <f t="shared" si="73"/>
        <v>1397.7360000000001</v>
      </c>
    </row>
    <row r="4718" spans="1:14" x14ac:dyDescent="0.3">
      <c r="A4718" t="s">
        <v>5574</v>
      </c>
      <c r="B4718" s="2">
        <v>45459</v>
      </c>
      <c r="C4718" t="s">
        <v>643</v>
      </c>
      <c r="D4718" t="s">
        <v>826</v>
      </c>
      <c r="E4718" t="s">
        <v>846</v>
      </c>
      <c r="F4718">
        <v>3</v>
      </c>
      <c r="G4718">
        <v>0</v>
      </c>
      <c r="H4718" t="s">
        <v>865</v>
      </c>
      <c r="I4718" t="str">
        <f>VLOOKUP(C4718,Customers!A:C,2,FALSE)&amp;" "&amp;VLOOKUP(C4718,Customers!A:C,3,FALSE)</f>
        <v>Meghan Wright</v>
      </c>
      <c r="J4718" t="str">
        <f>VLOOKUP(D4718,Products!A:C,2,FALSE)</f>
        <v>Maybe Footwear</v>
      </c>
      <c r="K4718" t="str">
        <f>VLOOKUP(D4718,Products!A:C,3,FALSE)</f>
        <v>Fashion</v>
      </c>
      <c r="L4718" t="str">
        <f>VLOOKUP(E4718,Stores!A:B,2,FALSE)</f>
        <v>MegaMart Johnmouth</v>
      </c>
      <c r="M4718">
        <f>VLOOKUP(D4718,Products!A:E,5,FALSE)</f>
        <v>1044.6400000000001</v>
      </c>
      <c r="N4718" s="5">
        <f t="shared" si="73"/>
        <v>3133.92</v>
      </c>
    </row>
    <row r="4719" spans="1:14" x14ac:dyDescent="0.3">
      <c r="A4719" t="s">
        <v>5575</v>
      </c>
      <c r="B4719" s="2">
        <v>45299</v>
      </c>
      <c r="C4719" t="s">
        <v>533</v>
      </c>
      <c r="D4719" t="s">
        <v>761</v>
      </c>
      <c r="E4719" t="s">
        <v>839</v>
      </c>
      <c r="F4719">
        <v>2</v>
      </c>
      <c r="G4719">
        <v>0.15</v>
      </c>
      <c r="H4719" t="s">
        <v>861</v>
      </c>
      <c r="I4719" t="str">
        <f>VLOOKUP(C4719,Customers!A:C,2,FALSE)&amp;" "&amp;VLOOKUP(C4719,Customers!A:C,3,FALSE)</f>
        <v>Crystal Garrison</v>
      </c>
      <c r="J4719" t="str">
        <f>VLOOKUP(D4719,Products!A:C,2,FALSE)</f>
        <v>Traditional Laptop</v>
      </c>
      <c r="K4719" t="str">
        <f>VLOOKUP(D4719,Products!A:C,3,FALSE)</f>
        <v>Electronics</v>
      </c>
      <c r="L4719" t="str">
        <f>VLOOKUP(E4719,Stores!A:B,2,FALSE)</f>
        <v>MegaMart New Michele</v>
      </c>
      <c r="M4719">
        <f>VLOOKUP(D4719,Products!A:E,5,FALSE)</f>
        <v>1762.92</v>
      </c>
      <c r="N4719" s="5">
        <f t="shared" si="73"/>
        <v>2996.9639999999999</v>
      </c>
    </row>
    <row r="4720" spans="1:14" x14ac:dyDescent="0.3">
      <c r="A4720" t="s">
        <v>5576</v>
      </c>
      <c r="B4720" s="2">
        <v>45473</v>
      </c>
      <c r="C4720" t="s">
        <v>202</v>
      </c>
      <c r="D4720" t="s">
        <v>782</v>
      </c>
      <c r="E4720" t="s">
        <v>839</v>
      </c>
      <c r="F4720">
        <v>4</v>
      </c>
      <c r="G4720">
        <v>0</v>
      </c>
      <c r="H4720" t="s">
        <v>858</v>
      </c>
      <c r="I4720" t="str">
        <f>VLOOKUP(C4720,Customers!A:C,2,FALSE)&amp;" "&amp;VLOOKUP(C4720,Customers!A:C,3,FALSE)</f>
        <v>Billy Hernandez</v>
      </c>
      <c r="J4720" t="str">
        <f>VLOOKUP(D4720,Products!A:C,2,FALSE)</f>
        <v>Deal Smartphone</v>
      </c>
      <c r="K4720" t="str">
        <f>VLOOKUP(D4720,Products!A:C,3,FALSE)</f>
        <v>Electronics</v>
      </c>
      <c r="L4720" t="str">
        <f>VLOOKUP(E4720,Stores!A:B,2,FALSE)</f>
        <v>MegaMart New Michele</v>
      </c>
      <c r="M4720">
        <f>VLOOKUP(D4720,Products!A:E,5,FALSE)</f>
        <v>673.78</v>
      </c>
      <c r="N4720" s="5">
        <f t="shared" si="73"/>
        <v>2695.12</v>
      </c>
    </row>
    <row r="4721" spans="1:14" x14ac:dyDescent="0.3">
      <c r="A4721" t="s">
        <v>5577</v>
      </c>
      <c r="B4721" s="2">
        <v>45216</v>
      </c>
      <c r="C4721" t="s">
        <v>407</v>
      </c>
      <c r="D4721" t="s">
        <v>755</v>
      </c>
      <c r="E4721" t="s">
        <v>835</v>
      </c>
      <c r="F4721">
        <v>2</v>
      </c>
      <c r="G4721">
        <v>0</v>
      </c>
      <c r="H4721" t="s">
        <v>861</v>
      </c>
      <c r="I4721" t="str">
        <f>VLOOKUP(C4721,Customers!A:C,2,FALSE)&amp;" "&amp;VLOOKUP(C4721,Customers!A:C,3,FALSE)</f>
        <v>Austin Hogan</v>
      </c>
      <c r="J4721" t="str">
        <f>VLOOKUP(D4721,Products!A:C,2,FALSE)</f>
        <v>House Accessories</v>
      </c>
      <c r="K4721" t="str">
        <f>VLOOKUP(D4721,Products!A:C,3,FALSE)</f>
        <v>Fashion</v>
      </c>
      <c r="L4721" t="str">
        <f>VLOOKUP(E4721,Stores!A:B,2,FALSE)</f>
        <v>MegaMart Peckmouth</v>
      </c>
      <c r="M4721">
        <f>VLOOKUP(D4721,Products!A:E,5,FALSE)</f>
        <v>1858.75</v>
      </c>
      <c r="N4721" s="5">
        <f t="shared" si="73"/>
        <v>3717.5</v>
      </c>
    </row>
    <row r="4722" spans="1:14" x14ac:dyDescent="0.3">
      <c r="A4722" t="s">
        <v>5578</v>
      </c>
      <c r="B4722" s="2">
        <v>45396</v>
      </c>
      <c r="C4722" t="s">
        <v>198</v>
      </c>
      <c r="D4722" t="s">
        <v>778</v>
      </c>
      <c r="E4722" t="s">
        <v>842</v>
      </c>
      <c r="F4722">
        <v>1</v>
      </c>
      <c r="G4722">
        <v>0</v>
      </c>
      <c r="H4722" t="s">
        <v>855</v>
      </c>
      <c r="I4722" t="str">
        <f>VLOOKUP(C4722,Customers!A:C,2,FALSE)&amp;" "&amp;VLOOKUP(C4722,Customers!A:C,3,FALSE)</f>
        <v>Madison Sellers</v>
      </c>
      <c r="J4722" t="str">
        <f>VLOOKUP(D4722,Products!A:C,2,FALSE)</f>
        <v>Behavior Dairy</v>
      </c>
      <c r="K4722" t="str">
        <f>VLOOKUP(D4722,Products!A:C,3,FALSE)</f>
        <v>Groceries</v>
      </c>
      <c r="L4722" t="str">
        <f>VLOOKUP(E4722,Stores!A:B,2,FALSE)</f>
        <v>MegaMart Brianahaven</v>
      </c>
      <c r="M4722">
        <f>VLOOKUP(D4722,Products!A:E,5,FALSE)</f>
        <v>1015.76</v>
      </c>
      <c r="N4722" s="5">
        <f t="shared" si="73"/>
        <v>1015.76</v>
      </c>
    </row>
    <row r="4723" spans="1:14" x14ac:dyDescent="0.3">
      <c r="A4723" t="s">
        <v>5579</v>
      </c>
      <c r="B4723" s="2">
        <v>45560</v>
      </c>
      <c r="C4723" t="s">
        <v>277</v>
      </c>
      <c r="D4723" t="s">
        <v>816</v>
      </c>
      <c r="E4723" t="s">
        <v>831</v>
      </c>
      <c r="F4723">
        <v>4</v>
      </c>
      <c r="G4723">
        <v>0.1</v>
      </c>
      <c r="H4723" t="s">
        <v>861</v>
      </c>
      <c r="I4723" t="str">
        <f>VLOOKUP(C4723,Customers!A:C,2,FALSE)&amp;" "&amp;VLOOKUP(C4723,Customers!A:C,3,FALSE)</f>
        <v>Carl Armstrong</v>
      </c>
      <c r="J4723" t="str">
        <f>VLOOKUP(D4723,Products!A:C,2,FALSE)</f>
        <v>Set Dairy</v>
      </c>
      <c r="K4723" t="str">
        <f>VLOOKUP(D4723,Products!A:C,3,FALSE)</f>
        <v>Groceries</v>
      </c>
      <c r="L4723" t="str">
        <f>VLOOKUP(E4723,Stores!A:B,2,FALSE)</f>
        <v>MegaMart Jimenezborough</v>
      </c>
      <c r="M4723">
        <f>VLOOKUP(D4723,Products!A:E,5,FALSE)</f>
        <v>1879.08</v>
      </c>
      <c r="N4723" s="5">
        <f t="shared" si="73"/>
        <v>6764.6880000000001</v>
      </c>
    </row>
    <row r="4724" spans="1:14" x14ac:dyDescent="0.3">
      <c r="A4724" t="s">
        <v>5580</v>
      </c>
      <c r="B4724" s="2">
        <v>45789</v>
      </c>
      <c r="C4724" t="s">
        <v>202</v>
      </c>
      <c r="D4724" t="s">
        <v>745</v>
      </c>
      <c r="E4724" t="s">
        <v>831</v>
      </c>
      <c r="F4724">
        <v>4</v>
      </c>
      <c r="G4724">
        <v>0.1</v>
      </c>
      <c r="H4724" t="s">
        <v>855</v>
      </c>
      <c r="I4724" t="str">
        <f>VLOOKUP(C4724,Customers!A:C,2,FALSE)&amp;" "&amp;VLOOKUP(C4724,Customers!A:C,3,FALSE)</f>
        <v>Billy Hernandez</v>
      </c>
      <c r="J4724" t="str">
        <f>VLOOKUP(D4724,Products!A:C,2,FALSE)</f>
        <v>Above Camera</v>
      </c>
      <c r="K4724" t="str">
        <f>VLOOKUP(D4724,Products!A:C,3,FALSE)</f>
        <v>Electronics</v>
      </c>
      <c r="L4724" t="str">
        <f>VLOOKUP(E4724,Stores!A:B,2,FALSE)</f>
        <v>MegaMart Jimenezborough</v>
      </c>
      <c r="M4724">
        <f>VLOOKUP(D4724,Products!A:E,5,FALSE)</f>
        <v>1193.0899999999999</v>
      </c>
      <c r="N4724" s="5">
        <f t="shared" si="73"/>
        <v>4295.1239999999998</v>
      </c>
    </row>
    <row r="4725" spans="1:14" x14ac:dyDescent="0.3">
      <c r="A4725" t="s">
        <v>5581</v>
      </c>
      <c r="B4725" s="2">
        <v>45734</v>
      </c>
      <c r="C4725" t="s">
        <v>280</v>
      </c>
      <c r="D4725" t="s">
        <v>776</v>
      </c>
      <c r="E4725" t="s">
        <v>831</v>
      </c>
      <c r="F4725">
        <v>2</v>
      </c>
      <c r="G4725">
        <v>0.15</v>
      </c>
      <c r="H4725" t="s">
        <v>861</v>
      </c>
      <c r="I4725" t="str">
        <f>VLOOKUP(C4725,Customers!A:C,2,FALSE)&amp;" "&amp;VLOOKUP(C4725,Customers!A:C,3,FALSE)</f>
        <v>Jesus Singh</v>
      </c>
      <c r="J4725" t="str">
        <f>VLOOKUP(D4725,Products!A:C,2,FALSE)</f>
        <v>Little Watches</v>
      </c>
      <c r="K4725" t="str">
        <f>VLOOKUP(D4725,Products!A:C,3,FALSE)</f>
        <v>Fashion</v>
      </c>
      <c r="L4725" t="str">
        <f>VLOOKUP(E4725,Stores!A:B,2,FALSE)</f>
        <v>MegaMart Jimenezborough</v>
      </c>
      <c r="M4725">
        <f>VLOOKUP(D4725,Products!A:E,5,FALSE)</f>
        <v>429.15</v>
      </c>
      <c r="N4725" s="5">
        <f t="shared" si="73"/>
        <v>729.55499999999995</v>
      </c>
    </row>
    <row r="4726" spans="1:14" x14ac:dyDescent="0.3">
      <c r="A4726" t="s">
        <v>5582</v>
      </c>
      <c r="B4726" s="2">
        <v>45440</v>
      </c>
      <c r="C4726" t="s">
        <v>442</v>
      </c>
      <c r="D4726" t="s">
        <v>820</v>
      </c>
      <c r="E4726" t="s">
        <v>842</v>
      </c>
      <c r="F4726">
        <v>4</v>
      </c>
      <c r="G4726">
        <v>0.1</v>
      </c>
      <c r="H4726" t="s">
        <v>858</v>
      </c>
      <c r="I4726" t="str">
        <f>VLOOKUP(C4726,Customers!A:C,2,FALSE)&amp;" "&amp;VLOOKUP(C4726,Customers!A:C,3,FALSE)</f>
        <v>Jason Lloyd</v>
      </c>
      <c r="J4726" t="str">
        <f>VLOOKUP(D4726,Products!A:C,2,FALSE)</f>
        <v>Or Smartphone</v>
      </c>
      <c r="K4726" t="str">
        <f>VLOOKUP(D4726,Products!A:C,3,FALSE)</f>
        <v>Electronics</v>
      </c>
      <c r="L4726" t="str">
        <f>VLOOKUP(E4726,Stores!A:B,2,FALSE)</f>
        <v>MegaMart Brianahaven</v>
      </c>
      <c r="M4726">
        <f>VLOOKUP(D4726,Products!A:E,5,FALSE)</f>
        <v>1197.18</v>
      </c>
      <c r="N4726" s="5">
        <f t="shared" si="73"/>
        <v>4309.848</v>
      </c>
    </row>
    <row r="4727" spans="1:14" x14ac:dyDescent="0.3">
      <c r="A4727" t="s">
        <v>5583</v>
      </c>
      <c r="B4727" s="2">
        <v>45373</v>
      </c>
      <c r="C4727" t="s">
        <v>403</v>
      </c>
      <c r="D4727" t="s">
        <v>822</v>
      </c>
      <c r="E4727" t="s">
        <v>831</v>
      </c>
      <c r="F4727">
        <v>4</v>
      </c>
      <c r="G4727">
        <v>0.05</v>
      </c>
      <c r="H4727" t="s">
        <v>855</v>
      </c>
      <c r="I4727" t="str">
        <f>VLOOKUP(C4727,Customers!A:C,2,FALSE)&amp;" "&amp;VLOOKUP(C4727,Customers!A:C,3,FALSE)</f>
        <v>Samantha Hill</v>
      </c>
      <c r="J4727" t="str">
        <f>VLOOKUP(D4727,Products!A:C,2,FALSE)</f>
        <v>Nor Bags</v>
      </c>
      <c r="K4727" t="str">
        <f>VLOOKUP(D4727,Products!A:C,3,FALSE)</f>
        <v>Fashion</v>
      </c>
      <c r="L4727" t="str">
        <f>VLOOKUP(E4727,Stores!A:B,2,FALSE)</f>
        <v>MegaMart Jimenezborough</v>
      </c>
      <c r="M4727">
        <f>VLOOKUP(D4727,Products!A:E,5,FALSE)</f>
        <v>1216.3599999999999</v>
      </c>
      <c r="N4727" s="5">
        <f t="shared" si="73"/>
        <v>4622.1679999999997</v>
      </c>
    </row>
    <row r="4728" spans="1:14" x14ac:dyDescent="0.3">
      <c r="A4728" t="s">
        <v>5584</v>
      </c>
      <c r="B4728" s="2">
        <v>45659</v>
      </c>
      <c r="C4728" t="s">
        <v>556</v>
      </c>
      <c r="D4728" t="s">
        <v>796</v>
      </c>
      <c r="E4728" t="s">
        <v>839</v>
      </c>
      <c r="F4728">
        <v>2</v>
      </c>
      <c r="G4728">
        <v>0</v>
      </c>
      <c r="H4728" t="s">
        <v>855</v>
      </c>
      <c r="I4728" t="str">
        <f>VLOOKUP(C4728,Customers!A:C,2,FALSE)&amp;" "&amp;VLOOKUP(C4728,Customers!A:C,3,FALSE)</f>
        <v>Jill Mcconnell</v>
      </c>
      <c r="J4728" t="str">
        <f>VLOOKUP(D4728,Products!A:C,2,FALSE)</f>
        <v>Chair Laptop</v>
      </c>
      <c r="K4728" t="str">
        <f>VLOOKUP(D4728,Products!A:C,3,FALSE)</f>
        <v>Electronics</v>
      </c>
      <c r="L4728" t="str">
        <f>VLOOKUP(E4728,Stores!A:B,2,FALSE)</f>
        <v>MegaMart New Michele</v>
      </c>
      <c r="M4728">
        <f>VLOOKUP(D4728,Products!A:E,5,FALSE)</f>
        <v>1562.43</v>
      </c>
      <c r="N4728" s="5">
        <f t="shared" si="73"/>
        <v>3124.86</v>
      </c>
    </row>
    <row r="4729" spans="1:14" x14ac:dyDescent="0.3">
      <c r="A4729" t="s">
        <v>5585</v>
      </c>
      <c r="B4729" s="2">
        <v>45557</v>
      </c>
      <c r="C4729" t="s">
        <v>411</v>
      </c>
      <c r="D4729" t="s">
        <v>796</v>
      </c>
      <c r="E4729" t="s">
        <v>831</v>
      </c>
      <c r="F4729">
        <v>4</v>
      </c>
      <c r="G4729">
        <v>0.1</v>
      </c>
      <c r="H4729" t="s">
        <v>855</v>
      </c>
      <c r="I4729" t="str">
        <f>VLOOKUP(C4729,Customers!A:C,2,FALSE)&amp;" "&amp;VLOOKUP(C4729,Customers!A:C,3,FALSE)</f>
        <v>Travis Peters</v>
      </c>
      <c r="J4729" t="str">
        <f>VLOOKUP(D4729,Products!A:C,2,FALSE)</f>
        <v>Chair Laptop</v>
      </c>
      <c r="K4729" t="str">
        <f>VLOOKUP(D4729,Products!A:C,3,FALSE)</f>
        <v>Electronics</v>
      </c>
      <c r="L4729" t="str">
        <f>VLOOKUP(E4729,Stores!A:B,2,FALSE)</f>
        <v>MegaMart Jimenezborough</v>
      </c>
      <c r="M4729">
        <f>VLOOKUP(D4729,Products!A:E,5,FALSE)</f>
        <v>1562.43</v>
      </c>
      <c r="N4729" s="5">
        <f t="shared" si="73"/>
        <v>5624.7480000000005</v>
      </c>
    </row>
    <row r="4730" spans="1:14" x14ac:dyDescent="0.3">
      <c r="A4730" t="s">
        <v>5586</v>
      </c>
      <c r="B4730" s="2">
        <v>45777</v>
      </c>
      <c r="C4730" t="s">
        <v>105</v>
      </c>
      <c r="D4730" t="s">
        <v>814</v>
      </c>
      <c r="E4730" t="s">
        <v>846</v>
      </c>
      <c r="F4730">
        <v>5</v>
      </c>
      <c r="G4730">
        <v>0.15</v>
      </c>
      <c r="H4730" t="s">
        <v>865</v>
      </c>
      <c r="I4730" t="str">
        <f>VLOOKUP(C4730,Customers!A:C,2,FALSE)&amp;" "&amp;VLOOKUP(C4730,Customers!A:C,3,FALSE)</f>
        <v>Justin Macdonald</v>
      </c>
      <c r="J4730" t="str">
        <f>VLOOKUP(D4730,Products!A:C,2,FALSE)</f>
        <v>Least Accessories</v>
      </c>
      <c r="K4730" t="str">
        <f>VLOOKUP(D4730,Products!A:C,3,FALSE)</f>
        <v>Fashion</v>
      </c>
      <c r="L4730" t="str">
        <f>VLOOKUP(E4730,Stores!A:B,2,FALSE)</f>
        <v>MegaMart Johnmouth</v>
      </c>
      <c r="M4730">
        <f>VLOOKUP(D4730,Products!A:E,5,FALSE)</f>
        <v>1286.55</v>
      </c>
      <c r="N4730" s="5">
        <f t="shared" si="73"/>
        <v>5467.8374999999996</v>
      </c>
    </row>
    <row r="4731" spans="1:14" x14ac:dyDescent="0.3">
      <c r="A4731" t="s">
        <v>5587</v>
      </c>
      <c r="B4731" s="2">
        <v>45552</v>
      </c>
      <c r="C4731" t="s">
        <v>93</v>
      </c>
      <c r="D4731" t="s">
        <v>761</v>
      </c>
      <c r="E4731" t="s">
        <v>842</v>
      </c>
      <c r="F4731">
        <v>5</v>
      </c>
      <c r="G4731">
        <v>0.05</v>
      </c>
      <c r="H4731" t="s">
        <v>861</v>
      </c>
      <c r="I4731" t="str">
        <f>VLOOKUP(C4731,Customers!A:C,2,FALSE)&amp;" "&amp;VLOOKUP(C4731,Customers!A:C,3,FALSE)</f>
        <v>Mark Martinez</v>
      </c>
      <c r="J4731" t="str">
        <f>VLOOKUP(D4731,Products!A:C,2,FALSE)</f>
        <v>Traditional Laptop</v>
      </c>
      <c r="K4731" t="str">
        <f>VLOOKUP(D4731,Products!A:C,3,FALSE)</f>
        <v>Electronics</v>
      </c>
      <c r="L4731" t="str">
        <f>VLOOKUP(E4731,Stores!A:B,2,FALSE)</f>
        <v>MegaMart Brianahaven</v>
      </c>
      <c r="M4731">
        <f>VLOOKUP(D4731,Products!A:E,5,FALSE)</f>
        <v>1762.92</v>
      </c>
      <c r="N4731" s="5">
        <f t="shared" si="73"/>
        <v>8373.8700000000008</v>
      </c>
    </row>
    <row r="4732" spans="1:14" x14ac:dyDescent="0.3">
      <c r="A4732" t="s">
        <v>5588</v>
      </c>
      <c r="B4732" s="2">
        <v>45474</v>
      </c>
      <c r="C4732" t="s">
        <v>291</v>
      </c>
      <c r="D4732" t="s">
        <v>769</v>
      </c>
      <c r="E4732" t="s">
        <v>835</v>
      </c>
      <c r="F4732">
        <v>1</v>
      </c>
      <c r="G4732">
        <v>0.05</v>
      </c>
      <c r="H4732" t="s">
        <v>855</v>
      </c>
      <c r="I4732" t="str">
        <f>VLOOKUP(C4732,Customers!A:C,2,FALSE)&amp;" "&amp;VLOOKUP(C4732,Customers!A:C,3,FALSE)</f>
        <v>Matthew Juarez</v>
      </c>
      <c r="J4732" t="str">
        <f>VLOOKUP(D4732,Products!A:C,2,FALSE)</f>
        <v>How Vegetables</v>
      </c>
      <c r="K4732" t="str">
        <f>VLOOKUP(D4732,Products!A:C,3,FALSE)</f>
        <v>Groceries</v>
      </c>
      <c r="L4732" t="str">
        <f>VLOOKUP(E4732,Stores!A:B,2,FALSE)</f>
        <v>MegaMart Peckmouth</v>
      </c>
      <c r="M4732">
        <f>VLOOKUP(D4732,Products!A:E,5,FALSE)</f>
        <v>25.57</v>
      </c>
      <c r="N4732" s="5">
        <f t="shared" si="73"/>
        <v>24.291499999999999</v>
      </c>
    </row>
    <row r="4733" spans="1:14" x14ac:dyDescent="0.3">
      <c r="A4733" t="s">
        <v>5589</v>
      </c>
      <c r="B4733" s="2">
        <v>45627</v>
      </c>
      <c r="C4733" t="s">
        <v>524</v>
      </c>
      <c r="D4733" t="s">
        <v>732</v>
      </c>
      <c r="E4733" t="s">
        <v>835</v>
      </c>
      <c r="F4733">
        <v>4</v>
      </c>
      <c r="G4733">
        <v>0.1</v>
      </c>
      <c r="H4733" t="s">
        <v>855</v>
      </c>
      <c r="I4733" t="str">
        <f>VLOOKUP(C4733,Customers!A:C,2,FALSE)&amp;" "&amp;VLOOKUP(C4733,Customers!A:C,3,FALSE)</f>
        <v>Betty Johnson</v>
      </c>
      <c r="J4733" t="str">
        <f>VLOOKUP(D4733,Products!A:C,2,FALSE)</f>
        <v>Understand Camera</v>
      </c>
      <c r="K4733" t="str">
        <f>VLOOKUP(D4733,Products!A:C,3,FALSE)</f>
        <v>Electronics</v>
      </c>
      <c r="L4733" t="str">
        <f>VLOOKUP(E4733,Stores!A:B,2,FALSE)</f>
        <v>MegaMart Peckmouth</v>
      </c>
      <c r="M4733">
        <f>VLOOKUP(D4733,Products!A:E,5,FALSE)</f>
        <v>1474.12</v>
      </c>
      <c r="N4733" s="5">
        <f t="shared" si="73"/>
        <v>5306.8319999999994</v>
      </c>
    </row>
    <row r="4734" spans="1:14" x14ac:dyDescent="0.3">
      <c r="A4734" t="s">
        <v>5590</v>
      </c>
      <c r="B4734" s="2">
        <v>45591</v>
      </c>
      <c r="C4734" t="s">
        <v>696</v>
      </c>
      <c r="D4734" t="s">
        <v>736</v>
      </c>
      <c r="E4734" t="s">
        <v>839</v>
      </c>
      <c r="F4734">
        <v>1</v>
      </c>
      <c r="G4734">
        <v>0.15</v>
      </c>
      <c r="H4734" t="s">
        <v>861</v>
      </c>
      <c r="I4734" t="str">
        <f>VLOOKUP(C4734,Customers!A:C,2,FALSE)&amp;" "&amp;VLOOKUP(C4734,Customers!A:C,3,FALSE)</f>
        <v>Jessica Mullins</v>
      </c>
      <c r="J4734" t="str">
        <f>VLOOKUP(D4734,Products!A:C,2,FALSE)</f>
        <v>Us Snacks</v>
      </c>
      <c r="K4734" t="str">
        <f>VLOOKUP(D4734,Products!A:C,3,FALSE)</f>
        <v>Groceries</v>
      </c>
      <c r="L4734" t="str">
        <f>VLOOKUP(E4734,Stores!A:B,2,FALSE)</f>
        <v>MegaMart New Michele</v>
      </c>
      <c r="M4734">
        <f>VLOOKUP(D4734,Products!A:E,5,FALSE)</f>
        <v>123.19</v>
      </c>
      <c r="N4734" s="5">
        <f t="shared" si="73"/>
        <v>104.7115</v>
      </c>
    </row>
    <row r="4735" spans="1:14" x14ac:dyDescent="0.3">
      <c r="A4735" t="s">
        <v>5591</v>
      </c>
      <c r="B4735" s="2">
        <v>45520</v>
      </c>
      <c r="C4735" t="s">
        <v>221</v>
      </c>
      <c r="D4735" t="s">
        <v>774</v>
      </c>
      <c r="E4735" t="s">
        <v>839</v>
      </c>
      <c r="F4735">
        <v>3</v>
      </c>
      <c r="G4735">
        <v>0.15</v>
      </c>
      <c r="H4735" t="s">
        <v>855</v>
      </c>
      <c r="I4735" t="str">
        <f>VLOOKUP(C4735,Customers!A:C,2,FALSE)&amp;" "&amp;VLOOKUP(C4735,Customers!A:C,3,FALSE)</f>
        <v>Julie Gibson</v>
      </c>
      <c r="J4735" t="str">
        <f>VLOOKUP(D4735,Products!A:C,2,FALSE)</f>
        <v>Him Smartphone</v>
      </c>
      <c r="K4735" t="str">
        <f>VLOOKUP(D4735,Products!A:C,3,FALSE)</f>
        <v>Electronics</v>
      </c>
      <c r="L4735" t="str">
        <f>VLOOKUP(E4735,Stores!A:B,2,FALSE)</f>
        <v>MegaMart New Michele</v>
      </c>
      <c r="M4735">
        <f>VLOOKUP(D4735,Products!A:E,5,FALSE)</f>
        <v>1487.41</v>
      </c>
      <c r="N4735" s="5">
        <f t="shared" si="73"/>
        <v>3792.8955000000001</v>
      </c>
    </row>
    <row r="4736" spans="1:14" x14ac:dyDescent="0.3">
      <c r="A4736" t="s">
        <v>5592</v>
      </c>
      <c r="B4736" s="2">
        <v>45614</v>
      </c>
      <c r="C4736" t="s">
        <v>198</v>
      </c>
      <c r="D4736" t="s">
        <v>753</v>
      </c>
      <c r="E4736" t="s">
        <v>846</v>
      </c>
      <c r="F4736">
        <v>4</v>
      </c>
      <c r="G4736">
        <v>0.1</v>
      </c>
      <c r="H4736" t="s">
        <v>858</v>
      </c>
      <c r="I4736" t="str">
        <f>VLOOKUP(C4736,Customers!A:C,2,FALSE)&amp;" "&amp;VLOOKUP(C4736,Customers!A:C,3,FALSE)</f>
        <v>Madison Sellers</v>
      </c>
      <c r="J4736" t="str">
        <f>VLOOKUP(D4736,Products!A:C,2,FALSE)</f>
        <v>Whether Bags</v>
      </c>
      <c r="K4736" t="str">
        <f>VLOOKUP(D4736,Products!A:C,3,FALSE)</f>
        <v>Fashion</v>
      </c>
      <c r="L4736" t="str">
        <f>VLOOKUP(E4736,Stores!A:B,2,FALSE)</f>
        <v>MegaMart Johnmouth</v>
      </c>
      <c r="M4736">
        <f>VLOOKUP(D4736,Products!A:E,5,FALSE)</f>
        <v>270.45</v>
      </c>
      <c r="N4736" s="5">
        <f t="shared" si="73"/>
        <v>973.62</v>
      </c>
    </row>
    <row r="4737" spans="1:14" x14ac:dyDescent="0.3">
      <c r="A4737" t="s">
        <v>5593</v>
      </c>
      <c r="B4737" s="2">
        <v>45810</v>
      </c>
      <c r="C4737" t="s">
        <v>531</v>
      </c>
      <c r="D4737" t="s">
        <v>750</v>
      </c>
      <c r="E4737" t="s">
        <v>831</v>
      </c>
      <c r="F4737">
        <v>2</v>
      </c>
      <c r="G4737">
        <v>0.1</v>
      </c>
      <c r="H4737" t="s">
        <v>855</v>
      </c>
      <c r="I4737" t="str">
        <f>VLOOKUP(C4737,Customers!A:C,2,FALSE)&amp;" "&amp;VLOOKUP(C4737,Customers!A:C,3,FALSE)</f>
        <v>John Johnson</v>
      </c>
      <c r="J4737" t="str">
        <f>VLOOKUP(D4737,Products!A:C,2,FALSE)</f>
        <v>Add Clothing</v>
      </c>
      <c r="K4737" t="str">
        <f>VLOOKUP(D4737,Products!A:C,3,FALSE)</f>
        <v>Fashion</v>
      </c>
      <c r="L4737" t="str">
        <f>VLOOKUP(E4737,Stores!A:B,2,FALSE)</f>
        <v>MegaMart Jimenezborough</v>
      </c>
      <c r="M4737">
        <f>VLOOKUP(D4737,Products!A:E,5,FALSE)</f>
        <v>1342.75</v>
      </c>
      <c r="N4737" s="5">
        <f t="shared" si="73"/>
        <v>2416.9500000000003</v>
      </c>
    </row>
    <row r="4738" spans="1:14" x14ac:dyDescent="0.3">
      <c r="A4738" t="s">
        <v>5594</v>
      </c>
      <c r="B4738" s="2">
        <v>45305</v>
      </c>
      <c r="C4738" t="s">
        <v>696</v>
      </c>
      <c r="D4738" t="s">
        <v>772</v>
      </c>
      <c r="E4738" t="s">
        <v>846</v>
      </c>
      <c r="F4738">
        <v>3</v>
      </c>
      <c r="G4738">
        <v>0.05</v>
      </c>
      <c r="H4738" t="s">
        <v>858</v>
      </c>
      <c r="I4738" t="str">
        <f>VLOOKUP(C4738,Customers!A:C,2,FALSE)&amp;" "&amp;VLOOKUP(C4738,Customers!A:C,3,FALSE)</f>
        <v>Jessica Mullins</v>
      </c>
      <c r="J4738" t="str">
        <f>VLOOKUP(D4738,Products!A:C,2,FALSE)</f>
        <v>And Footwear</v>
      </c>
      <c r="K4738" t="str">
        <f>VLOOKUP(D4738,Products!A:C,3,FALSE)</f>
        <v>Fashion</v>
      </c>
      <c r="L4738" t="str">
        <f>VLOOKUP(E4738,Stores!A:B,2,FALSE)</f>
        <v>MegaMart Johnmouth</v>
      </c>
      <c r="M4738">
        <f>VLOOKUP(D4738,Products!A:E,5,FALSE)</f>
        <v>1878.47</v>
      </c>
      <c r="N4738" s="5">
        <f t="shared" si="73"/>
        <v>5353.6394999999993</v>
      </c>
    </row>
    <row r="4739" spans="1:14" x14ac:dyDescent="0.3">
      <c r="A4739" t="s">
        <v>5595</v>
      </c>
      <c r="B4739" s="2">
        <v>45466</v>
      </c>
      <c r="C4739" t="s">
        <v>687</v>
      </c>
      <c r="D4739" t="s">
        <v>742</v>
      </c>
      <c r="E4739" t="s">
        <v>835</v>
      </c>
      <c r="F4739">
        <v>4</v>
      </c>
      <c r="G4739">
        <v>0</v>
      </c>
      <c r="H4739" t="s">
        <v>855</v>
      </c>
      <c r="I4739" t="str">
        <f>VLOOKUP(C4739,Customers!A:C,2,FALSE)&amp;" "&amp;VLOOKUP(C4739,Customers!A:C,3,FALSE)</f>
        <v>James Mitchell</v>
      </c>
      <c r="J4739" t="str">
        <f>VLOOKUP(D4739,Products!A:C,2,FALSE)</f>
        <v>Either Headphones</v>
      </c>
      <c r="K4739" t="str">
        <f>VLOOKUP(D4739,Products!A:C,3,FALSE)</f>
        <v>Electronics</v>
      </c>
      <c r="L4739" t="str">
        <f>VLOOKUP(E4739,Stores!A:B,2,FALSE)</f>
        <v>MegaMart Peckmouth</v>
      </c>
      <c r="M4739">
        <f>VLOOKUP(D4739,Products!A:E,5,FALSE)</f>
        <v>248.57</v>
      </c>
      <c r="N4739" s="5">
        <f t="shared" ref="N4739:N4802" si="74">F4739*M4739*(1-G4739)</f>
        <v>994.28</v>
      </c>
    </row>
    <row r="4740" spans="1:14" x14ac:dyDescent="0.3">
      <c r="A4740" t="s">
        <v>5596</v>
      </c>
      <c r="B4740" s="2">
        <v>45253</v>
      </c>
      <c r="C4740" t="s">
        <v>627</v>
      </c>
      <c r="D4740" t="s">
        <v>778</v>
      </c>
      <c r="E4740" t="s">
        <v>842</v>
      </c>
      <c r="F4740">
        <v>2</v>
      </c>
      <c r="G4740">
        <v>0.05</v>
      </c>
      <c r="H4740" t="s">
        <v>858</v>
      </c>
      <c r="I4740" t="str">
        <f>VLOOKUP(C4740,Customers!A:C,2,FALSE)&amp;" "&amp;VLOOKUP(C4740,Customers!A:C,3,FALSE)</f>
        <v>Anthony Gould</v>
      </c>
      <c r="J4740" t="str">
        <f>VLOOKUP(D4740,Products!A:C,2,FALSE)</f>
        <v>Behavior Dairy</v>
      </c>
      <c r="K4740" t="str">
        <f>VLOOKUP(D4740,Products!A:C,3,FALSE)</f>
        <v>Groceries</v>
      </c>
      <c r="L4740" t="str">
        <f>VLOOKUP(E4740,Stores!A:B,2,FALSE)</f>
        <v>MegaMart Brianahaven</v>
      </c>
      <c r="M4740">
        <f>VLOOKUP(D4740,Products!A:E,5,FALSE)</f>
        <v>1015.76</v>
      </c>
      <c r="N4740" s="5">
        <f t="shared" si="74"/>
        <v>1929.944</v>
      </c>
    </row>
    <row r="4741" spans="1:14" x14ac:dyDescent="0.3">
      <c r="A4741" t="s">
        <v>5597</v>
      </c>
      <c r="B4741" s="2">
        <v>45888</v>
      </c>
      <c r="C4741" t="s">
        <v>664</v>
      </c>
      <c r="D4741" t="s">
        <v>725</v>
      </c>
      <c r="E4741" t="s">
        <v>839</v>
      </c>
      <c r="F4741">
        <v>1</v>
      </c>
      <c r="G4741">
        <v>0</v>
      </c>
      <c r="H4741" t="s">
        <v>865</v>
      </c>
      <c r="I4741" t="str">
        <f>VLOOKUP(C4741,Customers!A:C,2,FALSE)&amp;" "&amp;VLOOKUP(C4741,Customers!A:C,3,FALSE)</f>
        <v>Ryan Flores</v>
      </c>
      <c r="J4741" t="str">
        <f>VLOOKUP(D4741,Products!A:C,2,FALSE)</f>
        <v>Knowledge Bags</v>
      </c>
      <c r="K4741" t="str">
        <f>VLOOKUP(D4741,Products!A:C,3,FALSE)</f>
        <v>Fashion</v>
      </c>
      <c r="L4741" t="str">
        <f>VLOOKUP(E4741,Stores!A:B,2,FALSE)</f>
        <v>MegaMart New Michele</v>
      </c>
      <c r="M4741">
        <f>VLOOKUP(D4741,Products!A:E,5,FALSE)</f>
        <v>1396.22</v>
      </c>
      <c r="N4741" s="5">
        <f t="shared" si="74"/>
        <v>1396.22</v>
      </c>
    </row>
    <row r="4742" spans="1:14" x14ac:dyDescent="0.3">
      <c r="A4742" t="s">
        <v>5598</v>
      </c>
      <c r="B4742" s="2">
        <v>45683</v>
      </c>
      <c r="C4742" t="s">
        <v>551</v>
      </c>
      <c r="D4742" t="s">
        <v>761</v>
      </c>
      <c r="E4742" t="s">
        <v>839</v>
      </c>
      <c r="F4742">
        <v>2</v>
      </c>
      <c r="G4742">
        <v>0.1</v>
      </c>
      <c r="H4742" t="s">
        <v>855</v>
      </c>
      <c r="I4742" t="str">
        <f>VLOOKUP(C4742,Customers!A:C,2,FALSE)&amp;" "&amp;VLOOKUP(C4742,Customers!A:C,3,FALSE)</f>
        <v>Nancy Gordon</v>
      </c>
      <c r="J4742" t="str">
        <f>VLOOKUP(D4742,Products!A:C,2,FALSE)</f>
        <v>Traditional Laptop</v>
      </c>
      <c r="K4742" t="str">
        <f>VLOOKUP(D4742,Products!A:C,3,FALSE)</f>
        <v>Electronics</v>
      </c>
      <c r="L4742" t="str">
        <f>VLOOKUP(E4742,Stores!A:B,2,FALSE)</f>
        <v>MegaMart New Michele</v>
      </c>
      <c r="M4742">
        <f>VLOOKUP(D4742,Products!A:E,5,FALSE)</f>
        <v>1762.92</v>
      </c>
      <c r="N4742" s="5">
        <f t="shared" si="74"/>
        <v>3173.2560000000003</v>
      </c>
    </row>
    <row r="4743" spans="1:14" x14ac:dyDescent="0.3">
      <c r="A4743" t="s">
        <v>5599</v>
      </c>
      <c r="B4743" s="2">
        <v>45782</v>
      </c>
      <c r="C4743" t="s">
        <v>458</v>
      </c>
      <c r="D4743" t="s">
        <v>750</v>
      </c>
      <c r="E4743" t="s">
        <v>839</v>
      </c>
      <c r="F4743">
        <v>2</v>
      </c>
      <c r="G4743">
        <v>0</v>
      </c>
      <c r="H4743" t="s">
        <v>858</v>
      </c>
      <c r="I4743" t="str">
        <f>VLOOKUP(C4743,Customers!A:C,2,FALSE)&amp;" "&amp;VLOOKUP(C4743,Customers!A:C,3,FALSE)</f>
        <v>Chad Roberts</v>
      </c>
      <c r="J4743" t="str">
        <f>VLOOKUP(D4743,Products!A:C,2,FALSE)</f>
        <v>Add Clothing</v>
      </c>
      <c r="K4743" t="str">
        <f>VLOOKUP(D4743,Products!A:C,3,FALSE)</f>
        <v>Fashion</v>
      </c>
      <c r="L4743" t="str">
        <f>VLOOKUP(E4743,Stores!A:B,2,FALSE)</f>
        <v>MegaMart New Michele</v>
      </c>
      <c r="M4743">
        <f>VLOOKUP(D4743,Products!A:E,5,FALSE)</f>
        <v>1342.75</v>
      </c>
      <c r="N4743" s="5">
        <f t="shared" si="74"/>
        <v>2685.5</v>
      </c>
    </row>
    <row r="4744" spans="1:14" x14ac:dyDescent="0.3">
      <c r="A4744" t="s">
        <v>5600</v>
      </c>
      <c r="B4744" s="2">
        <v>45431</v>
      </c>
      <c r="C4744" t="s">
        <v>657</v>
      </c>
      <c r="D4744" t="s">
        <v>782</v>
      </c>
      <c r="E4744" t="s">
        <v>839</v>
      </c>
      <c r="F4744">
        <v>2</v>
      </c>
      <c r="G4744">
        <v>0.1</v>
      </c>
      <c r="H4744" t="s">
        <v>865</v>
      </c>
      <c r="I4744" t="str">
        <f>VLOOKUP(C4744,Customers!A:C,2,FALSE)&amp;" "&amp;VLOOKUP(C4744,Customers!A:C,3,FALSE)</f>
        <v>Vicki Guzman</v>
      </c>
      <c r="J4744" t="str">
        <f>VLOOKUP(D4744,Products!A:C,2,FALSE)</f>
        <v>Deal Smartphone</v>
      </c>
      <c r="K4744" t="str">
        <f>VLOOKUP(D4744,Products!A:C,3,FALSE)</f>
        <v>Electronics</v>
      </c>
      <c r="L4744" t="str">
        <f>VLOOKUP(E4744,Stores!A:B,2,FALSE)</f>
        <v>MegaMart New Michele</v>
      </c>
      <c r="M4744">
        <f>VLOOKUP(D4744,Products!A:E,5,FALSE)</f>
        <v>673.78</v>
      </c>
      <c r="N4744" s="5">
        <f t="shared" si="74"/>
        <v>1212.8040000000001</v>
      </c>
    </row>
    <row r="4745" spans="1:14" x14ac:dyDescent="0.3">
      <c r="A4745" t="s">
        <v>5601</v>
      </c>
      <c r="B4745" s="2">
        <v>45815</v>
      </c>
      <c r="C4745" t="s">
        <v>40</v>
      </c>
      <c r="D4745" t="s">
        <v>788</v>
      </c>
      <c r="E4745" t="s">
        <v>846</v>
      </c>
      <c r="F4745">
        <v>2</v>
      </c>
      <c r="G4745">
        <v>0.15</v>
      </c>
      <c r="H4745" t="s">
        <v>865</v>
      </c>
      <c r="I4745" t="str">
        <f>VLOOKUP(C4745,Customers!A:C,2,FALSE)&amp;" "&amp;VLOOKUP(C4745,Customers!A:C,3,FALSE)</f>
        <v>Richard Pacheco</v>
      </c>
      <c r="J4745" t="str">
        <f>VLOOKUP(D4745,Products!A:C,2,FALSE)</f>
        <v>Foot Snacks</v>
      </c>
      <c r="K4745" t="str">
        <f>VLOOKUP(D4745,Products!A:C,3,FALSE)</f>
        <v>Groceries</v>
      </c>
      <c r="L4745" t="str">
        <f>VLOOKUP(E4745,Stores!A:B,2,FALSE)</f>
        <v>MegaMart Johnmouth</v>
      </c>
      <c r="M4745">
        <f>VLOOKUP(D4745,Products!A:E,5,FALSE)</f>
        <v>1095.72</v>
      </c>
      <c r="N4745" s="5">
        <f t="shared" si="74"/>
        <v>1862.7239999999999</v>
      </c>
    </row>
    <row r="4746" spans="1:14" x14ac:dyDescent="0.3">
      <c r="A4746" t="s">
        <v>5602</v>
      </c>
      <c r="B4746" s="2">
        <v>45334</v>
      </c>
      <c r="C4746" t="s">
        <v>258</v>
      </c>
      <c r="D4746" t="s">
        <v>747</v>
      </c>
      <c r="E4746" t="s">
        <v>842</v>
      </c>
      <c r="F4746">
        <v>1</v>
      </c>
      <c r="G4746">
        <v>0.1</v>
      </c>
      <c r="H4746" t="s">
        <v>858</v>
      </c>
      <c r="I4746" t="str">
        <f>VLOOKUP(C4746,Customers!A:C,2,FALSE)&amp;" "&amp;VLOOKUP(C4746,Customers!A:C,3,FALSE)</f>
        <v>Alexandra Montoya</v>
      </c>
      <c r="J4746" t="str">
        <f>VLOOKUP(D4746,Products!A:C,2,FALSE)</f>
        <v>World Watches</v>
      </c>
      <c r="K4746" t="str">
        <f>VLOOKUP(D4746,Products!A:C,3,FALSE)</f>
        <v>Fashion</v>
      </c>
      <c r="L4746" t="str">
        <f>VLOOKUP(E4746,Stores!A:B,2,FALSE)</f>
        <v>MegaMart Brianahaven</v>
      </c>
      <c r="M4746">
        <f>VLOOKUP(D4746,Products!A:E,5,FALSE)</f>
        <v>1134.8</v>
      </c>
      <c r="N4746" s="5">
        <f t="shared" si="74"/>
        <v>1021.3199999999999</v>
      </c>
    </row>
    <row r="4747" spans="1:14" x14ac:dyDescent="0.3">
      <c r="A4747" t="s">
        <v>5603</v>
      </c>
      <c r="B4747" s="2">
        <v>45662</v>
      </c>
      <c r="C4747" t="s">
        <v>593</v>
      </c>
      <c r="D4747" t="s">
        <v>820</v>
      </c>
      <c r="E4747" t="s">
        <v>842</v>
      </c>
      <c r="F4747">
        <v>1</v>
      </c>
      <c r="G4747">
        <v>0.1</v>
      </c>
      <c r="H4747" t="s">
        <v>861</v>
      </c>
      <c r="I4747" t="str">
        <f>VLOOKUP(C4747,Customers!A:C,2,FALSE)&amp;" "&amp;VLOOKUP(C4747,Customers!A:C,3,FALSE)</f>
        <v>Meagan Ali</v>
      </c>
      <c r="J4747" t="str">
        <f>VLOOKUP(D4747,Products!A:C,2,FALSE)</f>
        <v>Or Smartphone</v>
      </c>
      <c r="K4747" t="str">
        <f>VLOOKUP(D4747,Products!A:C,3,FALSE)</f>
        <v>Electronics</v>
      </c>
      <c r="L4747" t="str">
        <f>VLOOKUP(E4747,Stores!A:B,2,FALSE)</f>
        <v>MegaMart Brianahaven</v>
      </c>
      <c r="M4747">
        <f>VLOOKUP(D4747,Products!A:E,5,FALSE)</f>
        <v>1197.18</v>
      </c>
      <c r="N4747" s="5">
        <f t="shared" si="74"/>
        <v>1077.462</v>
      </c>
    </row>
    <row r="4748" spans="1:14" x14ac:dyDescent="0.3">
      <c r="A4748" t="s">
        <v>5604</v>
      </c>
      <c r="B4748" s="2">
        <v>45585</v>
      </c>
      <c r="C4748" t="s">
        <v>435</v>
      </c>
      <c r="D4748" t="s">
        <v>755</v>
      </c>
      <c r="E4748" t="s">
        <v>846</v>
      </c>
      <c r="F4748">
        <v>5</v>
      </c>
      <c r="G4748">
        <v>0.1</v>
      </c>
      <c r="H4748" t="s">
        <v>855</v>
      </c>
      <c r="I4748" t="str">
        <f>VLOOKUP(C4748,Customers!A:C,2,FALSE)&amp;" "&amp;VLOOKUP(C4748,Customers!A:C,3,FALSE)</f>
        <v>Timothy Beck</v>
      </c>
      <c r="J4748" t="str">
        <f>VLOOKUP(D4748,Products!A:C,2,FALSE)</f>
        <v>House Accessories</v>
      </c>
      <c r="K4748" t="str">
        <f>VLOOKUP(D4748,Products!A:C,3,FALSE)</f>
        <v>Fashion</v>
      </c>
      <c r="L4748" t="str">
        <f>VLOOKUP(E4748,Stores!A:B,2,FALSE)</f>
        <v>MegaMart Johnmouth</v>
      </c>
      <c r="M4748">
        <f>VLOOKUP(D4748,Products!A:E,5,FALSE)</f>
        <v>1858.75</v>
      </c>
      <c r="N4748" s="5">
        <f t="shared" si="74"/>
        <v>8364.375</v>
      </c>
    </row>
    <row r="4749" spans="1:14" x14ac:dyDescent="0.3">
      <c r="A4749" t="s">
        <v>5605</v>
      </c>
      <c r="B4749" s="2">
        <v>45851</v>
      </c>
      <c r="C4749" t="s">
        <v>213</v>
      </c>
      <c r="D4749" t="s">
        <v>822</v>
      </c>
      <c r="E4749" t="s">
        <v>842</v>
      </c>
      <c r="F4749">
        <v>1</v>
      </c>
      <c r="G4749">
        <v>0.15</v>
      </c>
      <c r="H4749" t="s">
        <v>858</v>
      </c>
      <c r="I4749" t="str">
        <f>VLOOKUP(C4749,Customers!A:C,2,FALSE)&amp;" "&amp;VLOOKUP(C4749,Customers!A:C,3,FALSE)</f>
        <v>Deborah Moody</v>
      </c>
      <c r="J4749" t="str">
        <f>VLOOKUP(D4749,Products!A:C,2,FALSE)</f>
        <v>Nor Bags</v>
      </c>
      <c r="K4749" t="str">
        <f>VLOOKUP(D4749,Products!A:C,3,FALSE)</f>
        <v>Fashion</v>
      </c>
      <c r="L4749" t="str">
        <f>VLOOKUP(E4749,Stores!A:B,2,FALSE)</f>
        <v>MegaMart Brianahaven</v>
      </c>
      <c r="M4749">
        <f>VLOOKUP(D4749,Products!A:E,5,FALSE)</f>
        <v>1216.3599999999999</v>
      </c>
      <c r="N4749" s="5">
        <f t="shared" si="74"/>
        <v>1033.9059999999999</v>
      </c>
    </row>
    <row r="4750" spans="1:14" x14ac:dyDescent="0.3">
      <c r="A4750" t="s">
        <v>5606</v>
      </c>
      <c r="B4750" s="2">
        <v>45311</v>
      </c>
      <c r="C4750" t="s">
        <v>89</v>
      </c>
      <c r="D4750" t="s">
        <v>772</v>
      </c>
      <c r="E4750" t="s">
        <v>846</v>
      </c>
      <c r="F4750">
        <v>4</v>
      </c>
      <c r="G4750">
        <v>0.1</v>
      </c>
      <c r="H4750" t="s">
        <v>858</v>
      </c>
      <c r="I4750" t="str">
        <f>VLOOKUP(C4750,Customers!A:C,2,FALSE)&amp;" "&amp;VLOOKUP(C4750,Customers!A:C,3,FALSE)</f>
        <v>Megan Velasquez</v>
      </c>
      <c r="J4750" t="str">
        <f>VLOOKUP(D4750,Products!A:C,2,FALSE)</f>
        <v>And Footwear</v>
      </c>
      <c r="K4750" t="str">
        <f>VLOOKUP(D4750,Products!A:C,3,FALSE)</f>
        <v>Fashion</v>
      </c>
      <c r="L4750" t="str">
        <f>VLOOKUP(E4750,Stores!A:B,2,FALSE)</f>
        <v>MegaMart Johnmouth</v>
      </c>
      <c r="M4750">
        <f>VLOOKUP(D4750,Products!A:E,5,FALSE)</f>
        <v>1878.47</v>
      </c>
      <c r="N4750" s="5">
        <f t="shared" si="74"/>
        <v>6762.4920000000002</v>
      </c>
    </row>
    <row r="4751" spans="1:14" x14ac:dyDescent="0.3">
      <c r="A4751" t="s">
        <v>5607</v>
      </c>
      <c r="B4751" s="2">
        <v>45237</v>
      </c>
      <c r="C4751" t="s">
        <v>250</v>
      </c>
      <c r="D4751" t="s">
        <v>788</v>
      </c>
      <c r="E4751" t="s">
        <v>842</v>
      </c>
      <c r="F4751">
        <v>4</v>
      </c>
      <c r="G4751">
        <v>0.05</v>
      </c>
      <c r="H4751" t="s">
        <v>858</v>
      </c>
      <c r="I4751" t="str">
        <f>VLOOKUP(C4751,Customers!A:C,2,FALSE)&amp;" "&amp;VLOOKUP(C4751,Customers!A:C,3,FALSE)</f>
        <v>Jason Jenkins</v>
      </c>
      <c r="J4751" t="str">
        <f>VLOOKUP(D4751,Products!A:C,2,FALSE)</f>
        <v>Foot Snacks</v>
      </c>
      <c r="K4751" t="str">
        <f>VLOOKUP(D4751,Products!A:C,3,FALSE)</f>
        <v>Groceries</v>
      </c>
      <c r="L4751" t="str">
        <f>VLOOKUP(E4751,Stores!A:B,2,FALSE)</f>
        <v>MegaMart Brianahaven</v>
      </c>
      <c r="M4751">
        <f>VLOOKUP(D4751,Products!A:E,5,FALSE)</f>
        <v>1095.72</v>
      </c>
      <c r="N4751" s="5">
        <f t="shared" si="74"/>
        <v>4163.7359999999999</v>
      </c>
    </row>
    <row r="4752" spans="1:14" x14ac:dyDescent="0.3">
      <c r="A4752" t="s">
        <v>5608</v>
      </c>
      <c r="B4752" s="2">
        <v>45364</v>
      </c>
      <c r="C4752" t="s">
        <v>683</v>
      </c>
      <c r="D4752" t="s">
        <v>745</v>
      </c>
      <c r="E4752" t="s">
        <v>835</v>
      </c>
      <c r="F4752">
        <v>4</v>
      </c>
      <c r="G4752">
        <v>0</v>
      </c>
      <c r="H4752" t="s">
        <v>855</v>
      </c>
      <c r="I4752" t="str">
        <f>VLOOKUP(C4752,Customers!A:C,2,FALSE)&amp;" "&amp;VLOOKUP(C4752,Customers!A:C,3,FALSE)</f>
        <v>Ann West</v>
      </c>
      <c r="J4752" t="str">
        <f>VLOOKUP(D4752,Products!A:C,2,FALSE)</f>
        <v>Above Camera</v>
      </c>
      <c r="K4752" t="str">
        <f>VLOOKUP(D4752,Products!A:C,3,FALSE)</f>
        <v>Electronics</v>
      </c>
      <c r="L4752" t="str">
        <f>VLOOKUP(E4752,Stores!A:B,2,FALSE)</f>
        <v>MegaMart Peckmouth</v>
      </c>
      <c r="M4752">
        <f>VLOOKUP(D4752,Products!A:E,5,FALSE)</f>
        <v>1193.0899999999999</v>
      </c>
      <c r="N4752" s="5">
        <f t="shared" si="74"/>
        <v>4772.3599999999997</v>
      </c>
    </row>
    <row r="4753" spans="1:14" x14ac:dyDescent="0.3">
      <c r="A4753" t="s">
        <v>5609</v>
      </c>
      <c r="B4753" s="2">
        <v>45679</v>
      </c>
      <c r="C4753" t="s">
        <v>601</v>
      </c>
      <c r="D4753" t="s">
        <v>764</v>
      </c>
      <c r="E4753" t="s">
        <v>839</v>
      </c>
      <c r="F4753">
        <v>1</v>
      </c>
      <c r="G4753">
        <v>0.1</v>
      </c>
      <c r="H4753" t="s">
        <v>865</v>
      </c>
      <c r="I4753" t="str">
        <f>VLOOKUP(C4753,Customers!A:C,2,FALSE)&amp;" "&amp;VLOOKUP(C4753,Customers!A:C,3,FALSE)</f>
        <v>Travis Watson</v>
      </c>
      <c r="J4753" t="str">
        <f>VLOOKUP(D4753,Products!A:C,2,FALSE)</f>
        <v>Simple Accessories</v>
      </c>
      <c r="K4753" t="str">
        <f>VLOOKUP(D4753,Products!A:C,3,FALSE)</f>
        <v>Fashion</v>
      </c>
      <c r="L4753" t="str">
        <f>VLOOKUP(E4753,Stores!A:B,2,FALSE)</f>
        <v>MegaMart New Michele</v>
      </c>
      <c r="M4753">
        <f>VLOOKUP(D4753,Products!A:E,5,FALSE)</f>
        <v>323.92</v>
      </c>
      <c r="N4753" s="5">
        <f t="shared" si="74"/>
        <v>291.52800000000002</v>
      </c>
    </row>
    <row r="4754" spans="1:14" x14ac:dyDescent="0.3">
      <c r="A4754" t="s">
        <v>5610</v>
      </c>
      <c r="B4754" s="2">
        <v>45592</v>
      </c>
      <c r="C4754" t="s">
        <v>67</v>
      </c>
      <c r="D4754" t="s">
        <v>784</v>
      </c>
      <c r="E4754" t="s">
        <v>835</v>
      </c>
      <c r="F4754">
        <v>4</v>
      </c>
      <c r="G4754">
        <v>0.15</v>
      </c>
      <c r="H4754" t="s">
        <v>861</v>
      </c>
      <c r="I4754" t="str">
        <f>VLOOKUP(C4754,Customers!A:C,2,FALSE)&amp;" "&amp;VLOOKUP(C4754,Customers!A:C,3,FALSE)</f>
        <v>Miguel Johnson</v>
      </c>
      <c r="J4754" t="str">
        <f>VLOOKUP(D4754,Products!A:C,2,FALSE)</f>
        <v>Road Clothing</v>
      </c>
      <c r="K4754" t="str">
        <f>VLOOKUP(D4754,Products!A:C,3,FALSE)</f>
        <v>Fashion</v>
      </c>
      <c r="L4754" t="str">
        <f>VLOOKUP(E4754,Stores!A:B,2,FALSE)</f>
        <v>MegaMart Peckmouth</v>
      </c>
      <c r="M4754">
        <f>VLOOKUP(D4754,Products!A:E,5,FALSE)</f>
        <v>1485.05</v>
      </c>
      <c r="N4754" s="5">
        <f t="shared" si="74"/>
        <v>5049.17</v>
      </c>
    </row>
    <row r="4755" spans="1:14" x14ac:dyDescent="0.3">
      <c r="A4755" t="s">
        <v>5611</v>
      </c>
      <c r="B4755" s="2">
        <v>45702</v>
      </c>
      <c r="C4755" t="s">
        <v>536</v>
      </c>
      <c r="D4755" t="s">
        <v>772</v>
      </c>
      <c r="E4755" t="s">
        <v>831</v>
      </c>
      <c r="F4755">
        <v>1</v>
      </c>
      <c r="G4755">
        <v>0.1</v>
      </c>
      <c r="H4755" t="s">
        <v>855</v>
      </c>
      <c r="I4755" t="str">
        <f>VLOOKUP(C4755,Customers!A:C,2,FALSE)&amp;" "&amp;VLOOKUP(C4755,Customers!A:C,3,FALSE)</f>
        <v>John Foster</v>
      </c>
      <c r="J4755" t="str">
        <f>VLOOKUP(D4755,Products!A:C,2,FALSE)</f>
        <v>And Footwear</v>
      </c>
      <c r="K4755" t="str">
        <f>VLOOKUP(D4755,Products!A:C,3,FALSE)</f>
        <v>Fashion</v>
      </c>
      <c r="L4755" t="str">
        <f>VLOOKUP(E4755,Stores!A:B,2,FALSE)</f>
        <v>MegaMart Jimenezborough</v>
      </c>
      <c r="M4755">
        <f>VLOOKUP(D4755,Products!A:E,5,FALSE)</f>
        <v>1878.47</v>
      </c>
      <c r="N4755" s="5">
        <f t="shared" si="74"/>
        <v>1690.623</v>
      </c>
    </row>
    <row r="4756" spans="1:14" x14ac:dyDescent="0.3">
      <c r="A4756" t="s">
        <v>5612</v>
      </c>
      <c r="B4756" s="2">
        <v>45362</v>
      </c>
      <c r="C4756" t="s">
        <v>48</v>
      </c>
      <c r="D4756" t="s">
        <v>718</v>
      </c>
      <c r="E4756" t="s">
        <v>842</v>
      </c>
      <c r="F4756">
        <v>5</v>
      </c>
      <c r="G4756">
        <v>0.15</v>
      </c>
      <c r="H4756" t="s">
        <v>865</v>
      </c>
      <c r="I4756" t="str">
        <f>VLOOKUP(C4756,Customers!A:C,2,FALSE)&amp;" "&amp;VLOOKUP(C4756,Customers!A:C,3,FALSE)</f>
        <v>Haley Williams</v>
      </c>
      <c r="J4756" t="str">
        <f>VLOOKUP(D4756,Products!A:C,2,FALSE)</f>
        <v>Here Footwear</v>
      </c>
      <c r="K4756" t="str">
        <f>VLOOKUP(D4756,Products!A:C,3,FALSE)</f>
        <v>Fashion</v>
      </c>
      <c r="L4756" t="str">
        <f>VLOOKUP(E4756,Stores!A:B,2,FALSE)</f>
        <v>MegaMart Brianahaven</v>
      </c>
      <c r="M4756">
        <f>VLOOKUP(D4756,Products!A:E,5,FALSE)</f>
        <v>337.63</v>
      </c>
      <c r="N4756" s="5">
        <f t="shared" si="74"/>
        <v>1434.9275</v>
      </c>
    </row>
    <row r="4757" spans="1:14" x14ac:dyDescent="0.3">
      <c r="A4757" t="s">
        <v>5613</v>
      </c>
      <c r="B4757" s="2">
        <v>45607</v>
      </c>
      <c r="C4757" t="s">
        <v>284</v>
      </c>
      <c r="D4757" t="s">
        <v>802</v>
      </c>
      <c r="E4757" t="s">
        <v>835</v>
      </c>
      <c r="F4757">
        <v>3</v>
      </c>
      <c r="G4757">
        <v>0.15</v>
      </c>
      <c r="H4757" t="s">
        <v>858</v>
      </c>
      <c r="I4757" t="str">
        <f>VLOOKUP(C4757,Customers!A:C,2,FALSE)&amp;" "&amp;VLOOKUP(C4757,Customers!A:C,3,FALSE)</f>
        <v>Seth Moore</v>
      </c>
      <c r="J4757" t="str">
        <f>VLOOKUP(D4757,Products!A:C,2,FALSE)</f>
        <v>Stage Footwear</v>
      </c>
      <c r="K4757" t="str">
        <f>VLOOKUP(D4757,Products!A:C,3,FALSE)</f>
        <v>Fashion</v>
      </c>
      <c r="L4757" t="str">
        <f>VLOOKUP(E4757,Stores!A:B,2,FALSE)</f>
        <v>MegaMart Peckmouth</v>
      </c>
      <c r="M4757">
        <f>VLOOKUP(D4757,Products!A:E,5,FALSE)</f>
        <v>366.93</v>
      </c>
      <c r="N4757" s="5">
        <f t="shared" si="74"/>
        <v>935.67149999999992</v>
      </c>
    </row>
    <row r="4758" spans="1:14" x14ac:dyDescent="0.3">
      <c r="A4758" t="s">
        <v>5614</v>
      </c>
      <c r="B4758" s="2">
        <v>45849</v>
      </c>
      <c r="C4758" t="s">
        <v>40</v>
      </c>
      <c r="D4758" t="s">
        <v>739</v>
      </c>
      <c r="E4758" t="s">
        <v>839</v>
      </c>
      <c r="F4758">
        <v>1</v>
      </c>
      <c r="G4758">
        <v>0.05</v>
      </c>
      <c r="H4758" t="s">
        <v>861</v>
      </c>
      <c r="I4758" t="str">
        <f>VLOOKUP(C4758,Customers!A:C,2,FALSE)&amp;" "&amp;VLOOKUP(C4758,Customers!A:C,3,FALSE)</f>
        <v>Richard Pacheco</v>
      </c>
      <c r="J4758" t="str">
        <f>VLOOKUP(D4758,Products!A:C,2,FALSE)</f>
        <v>Step Smartphone</v>
      </c>
      <c r="K4758" t="str">
        <f>VLOOKUP(D4758,Products!A:C,3,FALSE)</f>
        <v>Electronics</v>
      </c>
      <c r="L4758" t="str">
        <f>VLOOKUP(E4758,Stores!A:B,2,FALSE)</f>
        <v>MegaMart New Michele</v>
      </c>
      <c r="M4758">
        <f>VLOOKUP(D4758,Products!A:E,5,FALSE)</f>
        <v>1194.1199999999999</v>
      </c>
      <c r="N4758" s="5">
        <f t="shared" si="74"/>
        <v>1134.4139999999998</v>
      </c>
    </row>
    <row r="4759" spans="1:14" x14ac:dyDescent="0.3">
      <c r="A4759" t="s">
        <v>5615</v>
      </c>
      <c r="B4759" s="2">
        <v>45796</v>
      </c>
      <c r="C4759" t="s">
        <v>426</v>
      </c>
      <c r="D4759" t="s">
        <v>820</v>
      </c>
      <c r="E4759" t="s">
        <v>839</v>
      </c>
      <c r="F4759">
        <v>4</v>
      </c>
      <c r="G4759">
        <v>0.05</v>
      </c>
      <c r="H4759" t="s">
        <v>861</v>
      </c>
      <c r="I4759" t="str">
        <f>VLOOKUP(C4759,Customers!A:C,2,FALSE)&amp;" "&amp;VLOOKUP(C4759,Customers!A:C,3,FALSE)</f>
        <v>Miranda Rodriguez</v>
      </c>
      <c r="J4759" t="str">
        <f>VLOOKUP(D4759,Products!A:C,2,FALSE)</f>
        <v>Or Smartphone</v>
      </c>
      <c r="K4759" t="str">
        <f>VLOOKUP(D4759,Products!A:C,3,FALSE)</f>
        <v>Electronics</v>
      </c>
      <c r="L4759" t="str">
        <f>VLOOKUP(E4759,Stores!A:B,2,FALSE)</f>
        <v>MegaMart New Michele</v>
      </c>
      <c r="M4759">
        <f>VLOOKUP(D4759,Products!A:E,5,FALSE)</f>
        <v>1197.18</v>
      </c>
      <c r="N4759" s="5">
        <f t="shared" si="74"/>
        <v>4549.2839999999997</v>
      </c>
    </row>
    <row r="4760" spans="1:14" x14ac:dyDescent="0.3">
      <c r="A4760" t="s">
        <v>5616</v>
      </c>
      <c r="B4760" s="2">
        <v>45786</v>
      </c>
      <c r="C4760" t="s">
        <v>32</v>
      </c>
      <c r="D4760" t="s">
        <v>772</v>
      </c>
      <c r="E4760" t="s">
        <v>842</v>
      </c>
      <c r="F4760">
        <v>4</v>
      </c>
      <c r="G4760">
        <v>0.15</v>
      </c>
      <c r="H4760" t="s">
        <v>861</v>
      </c>
      <c r="I4760" t="str">
        <f>VLOOKUP(C4760,Customers!A:C,2,FALSE)&amp;" "&amp;VLOOKUP(C4760,Customers!A:C,3,FALSE)</f>
        <v>Erin Walker</v>
      </c>
      <c r="J4760" t="str">
        <f>VLOOKUP(D4760,Products!A:C,2,FALSE)</f>
        <v>And Footwear</v>
      </c>
      <c r="K4760" t="str">
        <f>VLOOKUP(D4760,Products!A:C,3,FALSE)</f>
        <v>Fashion</v>
      </c>
      <c r="L4760" t="str">
        <f>VLOOKUP(E4760,Stores!A:B,2,FALSE)</f>
        <v>MegaMart Brianahaven</v>
      </c>
      <c r="M4760">
        <f>VLOOKUP(D4760,Products!A:E,5,FALSE)</f>
        <v>1878.47</v>
      </c>
      <c r="N4760" s="5">
        <f t="shared" si="74"/>
        <v>6386.7979999999998</v>
      </c>
    </row>
    <row r="4761" spans="1:14" x14ac:dyDescent="0.3">
      <c r="A4761" t="s">
        <v>5617</v>
      </c>
      <c r="B4761" s="2">
        <v>45397</v>
      </c>
      <c r="C4761" t="s">
        <v>28</v>
      </c>
      <c r="D4761" t="s">
        <v>747</v>
      </c>
      <c r="E4761" t="s">
        <v>842</v>
      </c>
      <c r="F4761">
        <v>4</v>
      </c>
      <c r="G4761">
        <v>0</v>
      </c>
      <c r="H4761" t="s">
        <v>861</v>
      </c>
      <c r="I4761" t="str">
        <f>VLOOKUP(C4761,Customers!A:C,2,FALSE)&amp;" "&amp;VLOOKUP(C4761,Customers!A:C,3,FALSE)</f>
        <v>Danny Moore</v>
      </c>
      <c r="J4761" t="str">
        <f>VLOOKUP(D4761,Products!A:C,2,FALSE)</f>
        <v>World Watches</v>
      </c>
      <c r="K4761" t="str">
        <f>VLOOKUP(D4761,Products!A:C,3,FALSE)</f>
        <v>Fashion</v>
      </c>
      <c r="L4761" t="str">
        <f>VLOOKUP(E4761,Stores!A:B,2,FALSE)</f>
        <v>MegaMart Brianahaven</v>
      </c>
      <c r="M4761">
        <f>VLOOKUP(D4761,Products!A:E,5,FALSE)</f>
        <v>1134.8</v>
      </c>
      <c r="N4761" s="5">
        <f t="shared" si="74"/>
        <v>4539.2</v>
      </c>
    </row>
    <row r="4762" spans="1:14" x14ac:dyDescent="0.3">
      <c r="A4762" t="s">
        <v>5618</v>
      </c>
      <c r="B4762" s="2">
        <v>45698</v>
      </c>
      <c r="C4762" t="s">
        <v>183</v>
      </c>
      <c r="D4762" t="s">
        <v>782</v>
      </c>
      <c r="E4762" t="s">
        <v>835</v>
      </c>
      <c r="F4762">
        <v>4</v>
      </c>
      <c r="G4762">
        <v>0.15</v>
      </c>
      <c r="H4762" t="s">
        <v>858</v>
      </c>
      <c r="I4762" t="str">
        <f>VLOOKUP(C4762,Customers!A:C,2,FALSE)&amp;" "&amp;VLOOKUP(C4762,Customers!A:C,3,FALSE)</f>
        <v>Mary Decker</v>
      </c>
      <c r="J4762" t="str">
        <f>VLOOKUP(D4762,Products!A:C,2,FALSE)</f>
        <v>Deal Smartphone</v>
      </c>
      <c r="K4762" t="str">
        <f>VLOOKUP(D4762,Products!A:C,3,FALSE)</f>
        <v>Electronics</v>
      </c>
      <c r="L4762" t="str">
        <f>VLOOKUP(E4762,Stores!A:B,2,FALSE)</f>
        <v>MegaMart Peckmouth</v>
      </c>
      <c r="M4762">
        <f>VLOOKUP(D4762,Products!A:E,5,FALSE)</f>
        <v>673.78</v>
      </c>
      <c r="N4762" s="5">
        <f t="shared" si="74"/>
        <v>2290.8519999999999</v>
      </c>
    </row>
    <row r="4763" spans="1:14" x14ac:dyDescent="0.3">
      <c r="A4763" t="s">
        <v>5619</v>
      </c>
      <c r="B4763" s="2">
        <v>45898</v>
      </c>
      <c r="C4763" t="s">
        <v>536</v>
      </c>
      <c r="D4763" t="s">
        <v>816</v>
      </c>
      <c r="E4763" t="s">
        <v>839</v>
      </c>
      <c r="F4763">
        <v>1</v>
      </c>
      <c r="G4763">
        <v>0</v>
      </c>
      <c r="H4763" t="s">
        <v>858</v>
      </c>
      <c r="I4763" t="str">
        <f>VLOOKUP(C4763,Customers!A:C,2,FALSE)&amp;" "&amp;VLOOKUP(C4763,Customers!A:C,3,FALSE)</f>
        <v>John Foster</v>
      </c>
      <c r="J4763" t="str">
        <f>VLOOKUP(D4763,Products!A:C,2,FALSE)</f>
        <v>Set Dairy</v>
      </c>
      <c r="K4763" t="str">
        <f>VLOOKUP(D4763,Products!A:C,3,FALSE)</f>
        <v>Groceries</v>
      </c>
      <c r="L4763" t="str">
        <f>VLOOKUP(E4763,Stores!A:B,2,FALSE)</f>
        <v>MegaMart New Michele</v>
      </c>
      <c r="M4763">
        <f>VLOOKUP(D4763,Products!A:E,5,FALSE)</f>
        <v>1879.08</v>
      </c>
      <c r="N4763" s="5">
        <f t="shared" si="74"/>
        <v>1879.08</v>
      </c>
    </row>
    <row r="4764" spans="1:14" x14ac:dyDescent="0.3">
      <c r="A4764" t="s">
        <v>5620</v>
      </c>
      <c r="B4764" s="2">
        <v>45891</v>
      </c>
      <c r="C4764" t="s">
        <v>480</v>
      </c>
      <c r="D4764" t="s">
        <v>826</v>
      </c>
      <c r="E4764" t="s">
        <v>846</v>
      </c>
      <c r="F4764">
        <v>4</v>
      </c>
      <c r="G4764">
        <v>0.1</v>
      </c>
      <c r="H4764" t="s">
        <v>861</v>
      </c>
      <c r="I4764" t="str">
        <f>VLOOKUP(C4764,Customers!A:C,2,FALSE)&amp;" "&amp;VLOOKUP(C4764,Customers!A:C,3,FALSE)</f>
        <v>Denise Jackson</v>
      </c>
      <c r="J4764" t="str">
        <f>VLOOKUP(D4764,Products!A:C,2,FALSE)</f>
        <v>Maybe Footwear</v>
      </c>
      <c r="K4764" t="str">
        <f>VLOOKUP(D4764,Products!A:C,3,FALSE)</f>
        <v>Fashion</v>
      </c>
      <c r="L4764" t="str">
        <f>VLOOKUP(E4764,Stores!A:B,2,FALSE)</f>
        <v>MegaMart Johnmouth</v>
      </c>
      <c r="M4764">
        <f>VLOOKUP(D4764,Products!A:E,5,FALSE)</f>
        <v>1044.6400000000001</v>
      </c>
      <c r="N4764" s="5">
        <f t="shared" si="74"/>
        <v>3760.7040000000006</v>
      </c>
    </row>
    <row r="4765" spans="1:14" x14ac:dyDescent="0.3">
      <c r="A4765" t="s">
        <v>5621</v>
      </c>
      <c r="B4765" s="2">
        <v>45709</v>
      </c>
      <c r="C4765" t="s">
        <v>472</v>
      </c>
      <c r="D4765" t="s">
        <v>812</v>
      </c>
      <c r="E4765" t="s">
        <v>839</v>
      </c>
      <c r="F4765">
        <v>5</v>
      </c>
      <c r="G4765">
        <v>0</v>
      </c>
      <c r="H4765" t="s">
        <v>858</v>
      </c>
      <c r="I4765" t="str">
        <f>VLOOKUP(C4765,Customers!A:C,2,FALSE)&amp;" "&amp;VLOOKUP(C4765,Customers!A:C,3,FALSE)</f>
        <v>Gary Taylor</v>
      </c>
      <c r="J4765" t="str">
        <f>VLOOKUP(D4765,Products!A:C,2,FALSE)</f>
        <v>Soon Accessories</v>
      </c>
      <c r="K4765" t="str">
        <f>VLOOKUP(D4765,Products!A:C,3,FALSE)</f>
        <v>Fashion</v>
      </c>
      <c r="L4765" t="str">
        <f>VLOOKUP(E4765,Stores!A:B,2,FALSE)</f>
        <v>MegaMart New Michele</v>
      </c>
      <c r="M4765">
        <f>VLOOKUP(D4765,Products!A:E,5,FALSE)</f>
        <v>564.41999999999996</v>
      </c>
      <c r="N4765" s="5">
        <f t="shared" si="74"/>
        <v>2822.1</v>
      </c>
    </row>
    <row r="4766" spans="1:14" x14ac:dyDescent="0.3">
      <c r="A4766" t="s">
        <v>5622</v>
      </c>
      <c r="B4766" s="2">
        <v>45821</v>
      </c>
      <c r="C4766" t="s">
        <v>449</v>
      </c>
      <c r="D4766" t="s">
        <v>764</v>
      </c>
      <c r="E4766" t="s">
        <v>835</v>
      </c>
      <c r="F4766">
        <v>5</v>
      </c>
      <c r="G4766">
        <v>0.15</v>
      </c>
      <c r="H4766" t="s">
        <v>861</v>
      </c>
      <c r="I4766" t="str">
        <f>VLOOKUP(C4766,Customers!A:C,2,FALSE)&amp;" "&amp;VLOOKUP(C4766,Customers!A:C,3,FALSE)</f>
        <v>John Bell</v>
      </c>
      <c r="J4766" t="str">
        <f>VLOOKUP(D4766,Products!A:C,2,FALSE)</f>
        <v>Simple Accessories</v>
      </c>
      <c r="K4766" t="str">
        <f>VLOOKUP(D4766,Products!A:C,3,FALSE)</f>
        <v>Fashion</v>
      </c>
      <c r="L4766" t="str">
        <f>VLOOKUP(E4766,Stores!A:B,2,FALSE)</f>
        <v>MegaMart Peckmouth</v>
      </c>
      <c r="M4766">
        <f>VLOOKUP(D4766,Products!A:E,5,FALSE)</f>
        <v>323.92</v>
      </c>
      <c r="N4766" s="5">
        <f t="shared" si="74"/>
        <v>1376.66</v>
      </c>
    </row>
    <row r="4767" spans="1:14" x14ac:dyDescent="0.3">
      <c r="A4767" t="s">
        <v>5623</v>
      </c>
      <c r="B4767" s="2">
        <v>45269</v>
      </c>
      <c r="C4767" t="s">
        <v>294</v>
      </c>
      <c r="D4767" t="s">
        <v>745</v>
      </c>
      <c r="E4767" t="s">
        <v>835</v>
      </c>
      <c r="F4767">
        <v>5</v>
      </c>
      <c r="G4767">
        <v>0.15</v>
      </c>
      <c r="H4767" t="s">
        <v>858</v>
      </c>
      <c r="I4767" t="str">
        <f>VLOOKUP(C4767,Customers!A:C,2,FALSE)&amp;" "&amp;VLOOKUP(C4767,Customers!A:C,3,FALSE)</f>
        <v>Jeanne Young</v>
      </c>
      <c r="J4767" t="str">
        <f>VLOOKUP(D4767,Products!A:C,2,FALSE)</f>
        <v>Above Camera</v>
      </c>
      <c r="K4767" t="str">
        <f>VLOOKUP(D4767,Products!A:C,3,FALSE)</f>
        <v>Electronics</v>
      </c>
      <c r="L4767" t="str">
        <f>VLOOKUP(E4767,Stores!A:B,2,FALSE)</f>
        <v>MegaMart Peckmouth</v>
      </c>
      <c r="M4767">
        <f>VLOOKUP(D4767,Products!A:E,5,FALSE)</f>
        <v>1193.0899999999999</v>
      </c>
      <c r="N4767" s="5">
        <f t="shared" si="74"/>
        <v>5070.6324999999997</v>
      </c>
    </row>
    <row r="4768" spans="1:14" x14ac:dyDescent="0.3">
      <c r="A4768" t="s">
        <v>5624</v>
      </c>
      <c r="B4768" s="2">
        <v>45554</v>
      </c>
      <c r="C4768" t="s">
        <v>32</v>
      </c>
      <c r="D4768" t="s">
        <v>820</v>
      </c>
      <c r="E4768" t="s">
        <v>839</v>
      </c>
      <c r="F4768">
        <v>3</v>
      </c>
      <c r="G4768">
        <v>0</v>
      </c>
      <c r="H4768" t="s">
        <v>855</v>
      </c>
      <c r="I4768" t="str">
        <f>VLOOKUP(C4768,Customers!A:C,2,FALSE)&amp;" "&amp;VLOOKUP(C4768,Customers!A:C,3,FALSE)</f>
        <v>Erin Walker</v>
      </c>
      <c r="J4768" t="str">
        <f>VLOOKUP(D4768,Products!A:C,2,FALSE)</f>
        <v>Or Smartphone</v>
      </c>
      <c r="K4768" t="str">
        <f>VLOOKUP(D4768,Products!A:C,3,FALSE)</f>
        <v>Electronics</v>
      </c>
      <c r="L4768" t="str">
        <f>VLOOKUP(E4768,Stores!A:B,2,FALSE)</f>
        <v>MegaMart New Michele</v>
      </c>
      <c r="M4768">
        <f>VLOOKUP(D4768,Products!A:E,5,FALSE)</f>
        <v>1197.18</v>
      </c>
      <c r="N4768" s="5">
        <f t="shared" si="74"/>
        <v>3591.54</v>
      </c>
    </row>
    <row r="4769" spans="1:14" x14ac:dyDescent="0.3">
      <c r="A4769" t="s">
        <v>5625</v>
      </c>
      <c r="B4769" s="2">
        <v>45483</v>
      </c>
      <c r="C4769" t="s">
        <v>533</v>
      </c>
      <c r="D4769" t="s">
        <v>711</v>
      </c>
      <c r="E4769" t="s">
        <v>835</v>
      </c>
      <c r="F4769">
        <v>2</v>
      </c>
      <c r="G4769">
        <v>0</v>
      </c>
      <c r="H4769" t="s">
        <v>858</v>
      </c>
      <c r="I4769" t="str">
        <f>VLOOKUP(C4769,Customers!A:C,2,FALSE)&amp;" "&amp;VLOOKUP(C4769,Customers!A:C,3,FALSE)</f>
        <v>Crystal Garrison</v>
      </c>
      <c r="J4769" t="str">
        <f>VLOOKUP(D4769,Products!A:C,2,FALSE)</f>
        <v>Like Camera</v>
      </c>
      <c r="K4769" t="str">
        <f>VLOOKUP(D4769,Products!A:C,3,FALSE)</f>
        <v>Electronics</v>
      </c>
      <c r="L4769" t="str">
        <f>VLOOKUP(E4769,Stores!A:B,2,FALSE)</f>
        <v>MegaMart Peckmouth</v>
      </c>
      <c r="M4769">
        <f>VLOOKUP(D4769,Products!A:E,5,FALSE)</f>
        <v>1673.69</v>
      </c>
      <c r="N4769" s="5">
        <f t="shared" si="74"/>
        <v>3347.38</v>
      </c>
    </row>
    <row r="4770" spans="1:14" x14ac:dyDescent="0.3">
      <c r="A4770" t="s">
        <v>5626</v>
      </c>
      <c r="B4770" s="2">
        <v>45346</v>
      </c>
      <c r="C4770" t="s">
        <v>67</v>
      </c>
      <c r="D4770" t="s">
        <v>816</v>
      </c>
      <c r="E4770" t="s">
        <v>839</v>
      </c>
      <c r="F4770">
        <v>5</v>
      </c>
      <c r="G4770">
        <v>0.15</v>
      </c>
      <c r="H4770" t="s">
        <v>865</v>
      </c>
      <c r="I4770" t="str">
        <f>VLOOKUP(C4770,Customers!A:C,2,FALSE)&amp;" "&amp;VLOOKUP(C4770,Customers!A:C,3,FALSE)</f>
        <v>Miguel Johnson</v>
      </c>
      <c r="J4770" t="str">
        <f>VLOOKUP(D4770,Products!A:C,2,FALSE)</f>
        <v>Set Dairy</v>
      </c>
      <c r="K4770" t="str">
        <f>VLOOKUP(D4770,Products!A:C,3,FALSE)</f>
        <v>Groceries</v>
      </c>
      <c r="L4770" t="str">
        <f>VLOOKUP(E4770,Stores!A:B,2,FALSE)</f>
        <v>MegaMart New Michele</v>
      </c>
      <c r="M4770">
        <f>VLOOKUP(D4770,Products!A:E,5,FALSE)</f>
        <v>1879.08</v>
      </c>
      <c r="N4770" s="5">
        <f t="shared" si="74"/>
        <v>7986.0899999999992</v>
      </c>
    </row>
    <row r="4771" spans="1:14" x14ac:dyDescent="0.3">
      <c r="A4771" t="s">
        <v>5627</v>
      </c>
      <c r="B4771" s="2">
        <v>45501</v>
      </c>
      <c r="C4771" t="s">
        <v>509</v>
      </c>
      <c r="D4771" t="s">
        <v>711</v>
      </c>
      <c r="E4771" t="s">
        <v>842</v>
      </c>
      <c r="F4771">
        <v>4</v>
      </c>
      <c r="G4771">
        <v>0</v>
      </c>
      <c r="H4771" t="s">
        <v>858</v>
      </c>
      <c r="I4771" t="str">
        <f>VLOOKUP(C4771,Customers!A:C,2,FALSE)&amp;" "&amp;VLOOKUP(C4771,Customers!A:C,3,FALSE)</f>
        <v>Stacy Williams</v>
      </c>
      <c r="J4771" t="str">
        <f>VLOOKUP(D4771,Products!A:C,2,FALSE)</f>
        <v>Like Camera</v>
      </c>
      <c r="K4771" t="str">
        <f>VLOOKUP(D4771,Products!A:C,3,FALSE)</f>
        <v>Electronics</v>
      </c>
      <c r="L4771" t="str">
        <f>VLOOKUP(E4771,Stores!A:B,2,FALSE)</f>
        <v>MegaMart Brianahaven</v>
      </c>
      <c r="M4771">
        <f>VLOOKUP(D4771,Products!A:E,5,FALSE)</f>
        <v>1673.69</v>
      </c>
      <c r="N4771" s="5">
        <f t="shared" si="74"/>
        <v>6694.76</v>
      </c>
    </row>
    <row r="4772" spans="1:14" x14ac:dyDescent="0.3">
      <c r="A4772" t="s">
        <v>5628</v>
      </c>
      <c r="B4772" s="2">
        <v>45815</v>
      </c>
      <c r="C4772" t="s">
        <v>379</v>
      </c>
      <c r="D4772" t="s">
        <v>766</v>
      </c>
      <c r="E4772" t="s">
        <v>835</v>
      </c>
      <c r="F4772">
        <v>2</v>
      </c>
      <c r="G4772">
        <v>0</v>
      </c>
      <c r="H4772" t="s">
        <v>865</v>
      </c>
      <c r="I4772" t="str">
        <f>VLOOKUP(C4772,Customers!A:C,2,FALSE)&amp;" "&amp;VLOOKUP(C4772,Customers!A:C,3,FALSE)</f>
        <v>William Pope</v>
      </c>
      <c r="J4772" t="str">
        <f>VLOOKUP(D4772,Products!A:C,2,FALSE)</f>
        <v>Firm Dairy</v>
      </c>
      <c r="K4772" t="str">
        <f>VLOOKUP(D4772,Products!A:C,3,FALSE)</f>
        <v>Groceries</v>
      </c>
      <c r="L4772" t="str">
        <f>VLOOKUP(E4772,Stores!A:B,2,FALSE)</f>
        <v>MegaMart Peckmouth</v>
      </c>
      <c r="M4772">
        <f>VLOOKUP(D4772,Products!A:E,5,FALSE)</f>
        <v>1227.24</v>
      </c>
      <c r="N4772" s="5">
        <f t="shared" si="74"/>
        <v>2454.48</v>
      </c>
    </row>
    <row r="4773" spans="1:14" x14ac:dyDescent="0.3">
      <c r="A4773" t="s">
        <v>5629</v>
      </c>
      <c r="B4773" s="2">
        <v>45561</v>
      </c>
      <c r="C4773" t="s">
        <v>386</v>
      </c>
      <c r="D4773" t="s">
        <v>808</v>
      </c>
      <c r="E4773" t="s">
        <v>835</v>
      </c>
      <c r="F4773">
        <v>5</v>
      </c>
      <c r="G4773">
        <v>0</v>
      </c>
      <c r="H4773" t="s">
        <v>858</v>
      </c>
      <c r="I4773" t="str">
        <f>VLOOKUP(C4773,Customers!A:C,2,FALSE)&amp;" "&amp;VLOOKUP(C4773,Customers!A:C,3,FALSE)</f>
        <v>David Burns</v>
      </c>
      <c r="J4773" t="str">
        <f>VLOOKUP(D4773,Products!A:C,2,FALSE)</f>
        <v>Present Television</v>
      </c>
      <c r="K4773" t="str">
        <f>VLOOKUP(D4773,Products!A:C,3,FALSE)</f>
        <v>Electronics</v>
      </c>
      <c r="L4773" t="str">
        <f>VLOOKUP(E4773,Stores!A:B,2,FALSE)</f>
        <v>MegaMart Peckmouth</v>
      </c>
      <c r="M4773">
        <f>VLOOKUP(D4773,Products!A:E,5,FALSE)</f>
        <v>1635.01</v>
      </c>
      <c r="N4773" s="5">
        <f t="shared" si="74"/>
        <v>8175.05</v>
      </c>
    </row>
    <row r="4774" spans="1:14" x14ac:dyDescent="0.3">
      <c r="A4774" t="s">
        <v>5630</v>
      </c>
      <c r="B4774" s="2">
        <v>45828</v>
      </c>
      <c r="C4774" t="s">
        <v>195</v>
      </c>
      <c r="D4774" t="s">
        <v>774</v>
      </c>
      <c r="E4774" t="s">
        <v>846</v>
      </c>
      <c r="F4774">
        <v>5</v>
      </c>
      <c r="G4774">
        <v>0.05</v>
      </c>
      <c r="H4774" t="s">
        <v>865</v>
      </c>
      <c r="I4774" t="str">
        <f>VLOOKUP(C4774,Customers!A:C,2,FALSE)&amp;" "&amp;VLOOKUP(C4774,Customers!A:C,3,FALSE)</f>
        <v>Kelly Mcmillan</v>
      </c>
      <c r="J4774" t="str">
        <f>VLOOKUP(D4774,Products!A:C,2,FALSE)</f>
        <v>Him Smartphone</v>
      </c>
      <c r="K4774" t="str">
        <f>VLOOKUP(D4774,Products!A:C,3,FALSE)</f>
        <v>Electronics</v>
      </c>
      <c r="L4774" t="str">
        <f>VLOOKUP(E4774,Stores!A:B,2,FALSE)</f>
        <v>MegaMart Johnmouth</v>
      </c>
      <c r="M4774">
        <f>VLOOKUP(D4774,Products!A:E,5,FALSE)</f>
        <v>1487.41</v>
      </c>
      <c r="N4774" s="5">
        <f t="shared" si="74"/>
        <v>7065.1975000000002</v>
      </c>
    </row>
    <row r="4775" spans="1:14" x14ac:dyDescent="0.3">
      <c r="A4775" t="s">
        <v>5631</v>
      </c>
      <c r="B4775" s="2">
        <v>45199</v>
      </c>
      <c r="C4775" t="s">
        <v>615</v>
      </c>
      <c r="D4775" t="s">
        <v>722</v>
      </c>
      <c r="E4775" t="s">
        <v>846</v>
      </c>
      <c r="F4775">
        <v>5</v>
      </c>
      <c r="G4775">
        <v>0.05</v>
      </c>
      <c r="H4775" t="s">
        <v>858</v>
      </c>
      <c r="I4775" t="str">
        <f>VLOOKUP(C4775,Customers!A:C,2,FALSE)&amp;" "&amp;VLOOKUP(C4775,Customers!A:C,3,FALSE)</f>
        <v>Lisa Ruiz</v>
      </c>
      <c r="J4775" t="str">
        <f>VLOOKUP(D4775,Products!A:C,2,FALSE)</f>
        <v>Four Accessories</v>
      </c>
      <c r="K4775" t="str">
        <f>VLOOKUP(D4775,Products!A:C,3,FALSE)</f>
        <v>Fashion</v>
      </c>
      <c r="L4775" t="str">
        <f>VLOOKUP(E4775,Stores!A:B,2,FALSE)</f>
        <v>MegaMart Johnmouth</v>
      </c>
      <c r="M4775">
        <f>VLOOKUP(D4775,Products!A:E,5,FALSE)</f>
        <v>1853.77</v>
      </c>
      <c r="N4775" s="5">
        <f t="shared" si="74"/>
        <v>8805.4074999999993</v>
      </c>
    </row>
    <row r="4776" spans="1:14" x14ac:dyDescent="0.3">
      <c r="A4776" t="s">
        <v>5632</v>
      </c>
      <c r="B4776" s="2">
        <v>45344</v>
      </c>
      <c r="C4776" t="s">
        <v>123</v>
      </c>
      <c r="D4776" t="s">
        <v>725</v>
      </c>
      <c r="E4776" t="s">
        <v>846</v>
      </c>
      <c r="F4776">
        <v>2</v>
      </c>
      <c r="G4776">
        <v>0.15</v>
      </c>
      <c r="H4776" t="s">
        <v>855</v>
      </c>
      <c r="I4776" t="str">
        <f>VLOOKUP(C4776,Customers!A:C,2,FALSE)&amp;" "&amp;VLOOKUP(C4776,Customers!A:C,3,FALSE)</f>
        <v>Ashley Gibson</v>
      </c>
      <c r="J4776" t="str">
        <f>VLOOKUP(D4776,Products!A:C,2,FALSE)</f>
        <v>Knowledge Bags</v>
      </c>
      <c r="K4776" t="str">
        <f>VLOOKUP(D4776,Products!A:C,3,FALSE)</f>
        <v>Fashion</v>
      </c>
      <c r="L4776" t="str">
        <f>VLOOKUP(E4776,Stores!A:B,2,FALSE)</f>
        <v>MegaMart Johnmouth</v>
      </c>
      <c r="M4776">
        <f>VLOOKUP(D4776,Products!A:E,5,FALSE)</f>
        <v>1396.22</v>
      </c>
      <c r="N4776" s="5">
        <f t="shared" si="74"/>
        <v>2373.5740000000001</v>
      </c>
    </row>
    <row r="4777" spans="1:14" x14ac:dyDescent="0.3">
      <c r="A4777" t="s">
        <v>5633</v>
      </c>
      <c r="B4777" s="2">
        <v>45461</v>
      </c>
      <c r="C4777" t="s">
        <v>693</v>
      </c>
      <c r="D4777" t="s">
        <v>755</v>
      </c>
      <c r="E4777" t="s">
        <v>835</v>
      </c>
      <c r="F4777">
        <v>2</v>
      </c>
      <c r="G4777">
        <v>0.15</v>
      </c>
      <c r="H4777" t="s">
        <v>865</v>
      </c>
      <c r="I4777" t="str">
        <f>VLOOKUP(C4777,Customers!A:C,2,FALSE)&amp;" "&amp;VLOOKUP(C4777,Customers!A:C,3,FALSE)</f>
        <v>Matthew Dixon</v>
      </c>
      <c r="J4777" t="str">
        <f>VLOOKUP(D4777,Products!A:C,2,FALSE)</f>
        <v>House Accessories</v>
      </c>
      <c r="K4777" t="str">
        <f>VLOOKUP(D4777,Products!A:C,3,FALSE)</f>
        <v>Fashion</v>
      </c>
      <c r="L4777" t="str">
        <f>VLOOKUP(E4777,Stores!A:B,2,FALSE)</f>
        <v>MegaMart Peckmouth</v>
      </c>
      <c r="M4777">
        <f>VLOOKUP(D4777,Products!A:E,5,FALSE)</f>
        <v>1858.75</v>
      </c>
      <c r="N4777" s="5">
        <f t="shared" si="74"/>
        <v>3159.875</v>
      </c>
    </row>
    <row r="4778" spans="1:14" x14ac:dyDescent="0.3">
      <c r="A4778" t="s">
        <v>5634</v>
      </c>
      <c r="B4778" s="2">
        <v>45908</v>
      </c>
      <c r="C4778" t="s">
        <v>438</v>
      </c>
      <c r="D4778" t="s">
        <v>759</v>
      </c>
      <c r="E4778" t="s">
        <v>831</v>
      </c>
      <c r="F4778">
        <v>5</v>
      </c>
      <c r="G4778">
        <v>0.15</v>
      </c>
      <c r="H4778" t="s">
        <v>855</v>
      </c>
      <c r="I4778" t="str">
        <f>VLOOKUP(C4778,Customers!A:C,2,FALSE)&amp;" "&amp;VLOOKUP(C4778,Customers!A:C,3,FALSE)</f>
        <v>Gina Bradford</v>
      </c>
      <c r="J4778" t="str">
        <f>VLOOKUP(D4778,Products!A:C,2,FALSE)</f>
        <v>Democratic Smartphone</v>
      </c>
      <c r="K4778" t="str">
        <f>VLOOKUP(D4778,Products!A:C,3,FALSE)</f>
        <v>Electronics</v>
      </c>
      <c r="L4778" t="str">
        <f>VLOOKUP(E4778,Stores!A:B,2,FALSE)</f>
        <v>MegaMart Jimenezborough</v>
      </c>
      <c r="M4778">
        <f>VLOOKUP(D4778,Products!A:E,5,FALSE)</f>
        <v>1079.8900000000001</v>
      </c>
      <c r="N4778" s="5">
        <f t="shared" si="74"/>
        <v>4589.5325000000003</v>
      </c>
    </row>
    <row r="4779" spans="1:14" x14ac:dyDescent="0.3">
      <c r="A4779" t="s">
        <v>5635</v>
      </c>
      <c r="B4779" s="2">
        <v>45464</v>
      </c>
      <c r="C4779" t="s">
        <v>563</v>
      </c>
      <c r="D4779" t="s">
        <v>715</v>
      </c>
      <c r="E4779" t="s">
        <v>839</v>
      </c>
      <c r="F4779">
        <v>2</v>
      </c>
      <c r="G4779">
        <v>0.15</v>
      </c>
      <c r="H4779" t="s">
        <v>855</v>
      </c>
      <c r="I4779" t="str">
        <f>VLOOKUP(C4779,Customers!A:C,2,FALSE)&amp;" "&amp;VLOOKUP(C4779,Customers!A:C,3,FALSE)</f>
        <v>Connie Terry</v>
      </c>
      <c r="J4779" t="str">
        <f>VLOOKUP(D4779,Products!A:C,2,FALSE)</f>
        <v>Audience Television</v>
      </c>
      <c r="K4779" t="str">
        <f>VLOOKUP(D4779,Products!A:C,3,FALSE)</f>
        <v>Electronics</v>
      </c>
      <c r="L4779" t="str">
        <f>VLOOKUP(E4779,Stores!A:B,2,FALSE)</f>
        <v>MegaMart New Michele</v>
      </c>
      <c r="M4779">
        <f>VLOOKUP(D4779,Products!A:E,5,FALSE)</f>
        <v>818.76</v>
      </c>
      <c r="N4779" s="5">
        <f t="shared" si="74"/>
        <v>1391.8920000000001</v>
      </c>
    </row>
    <row r="4780" spans="1:14" x14ac:dyDescent="0.3">
      <c r="A4780" t="s">
        <v>5636</v>
      </c>
      <c r="B4780" s="2">
        <v>45592</v>
      </c>
      <c r="C4780" t="s">
        <v>159</v>
      </c>
      <c r="D4780" t="s">
        <v>824</v>
      </c>
      <c r="E4780" t="s">
        <v>831</v>
      </c>
      <c r="F4780">
        <v>2</v>
      </c>
      <c r="G4780">
        <v>0.05</v>
      </c>
      <c r="H4780" t="s">
        <v>865</v>
      </c>
      <c r="I4780" t="str">
        <f>VLOOKUP(C4780,Customers!A:C,2,FALSE)&amp;" "&amp;VLOOKUP(C4780,Customers!A:C,3,FALSE)</f>
        <v>Melissa Rodgers</v>
      </c>
      <c r="J4780" t="str">
        <f>VLOOKUP(D4780,Products!A:C,2,FALSE)</f>
        <v>Possible Watches</v>
      </c>
      <c r="K4780" t="str">
        <f>VLOOKUP(D4780,Products!A:C,3,FALSE)</f>
        <v>Fashion</v>
      </c>
      <c r="L4780" t="str">
        <f>VLOOKUP(E4780,Stores!A:B,2,FALSE)</f>
        <v>MegaMart Jimenezborough</v>
      </c>
      <c r="M4780">
        <f>VLOOKUP(D4780,Products!A:E,5,FALSE)</f>
        <v>388.26</v>
      </c>
      <c r="N4780" s="5">
        <f t="shared" si="74"/>
        <v>737.69399999999996</v>
      </c>
    </row>
    <row r="4781" spans="1:14" x14ac:dyDescent="0.3">
      <c r="A4781" t="s">
        <v>5637</v>
      </c>
      <c r="B4781" s="2">
        <v>45601</v>
      </c>
      <c r="C4781" t="s">
        <v>615</v>
      </c>
      <c r="D4781" t="s">
        <v>742</v>
      </c>
      <c r="E4781" t="s">
        <v>835</v>
      </c>
      <c r="F4781">
        <v>3</v>
      </c>
      <c r="G4781">
        <v>0.1</v>
      </c>
      <c r="H4781" t="s">
        <v>865</v>
      </c>
      <c r="I4781" t="str">
        <f>VLOOKUP(C4781,Customers!A:C,2,FALSE)&amp;" "&amp;VLOOKUP(C4781,Customers!A:C,3,FALSE)</f>
        <v>Lisa Ruiz</v>
      </c>
      <c r="J4781" t="str">
        <f>VLOOKUP(D4781,Products!A:C,2,FALSE)</f>
        <v>Either Headphones</v>
      </c>
      <c r="K4781" t="str">
        <f>VLOOKUP(D4781,Products!A:C,3,FALSE)</f>
        <v>Electronics</v>
      </c>
      <c r="L4781" t="str">
        <f>VLOOKUP(E4781,Stores!A:B,2,FALSE)</f>
        <v>MegaMart Peckmouth</v>
      </c>
      <c r="M4781">
        <f>VLOOKUP(D4781,Products!A:E,5,FALSE)</f>
        <v>248.57</v>
      </c>
      <c r="N4781" s="5">
        <f t="shared" si="74"/>
        <v>671.13900000000001</v>
      </c>
    </row>
    <row r="4782" spans="1:14" x14ac:dyDescent="0.3">
      <c r="A4782" t="s">
        <v>5638</v>
      </c>
      <c r="B4782" s="2">
        <v>45440</v>
      </c>
      <c r="C4782" t="s">
        <v>115</v>
      </c>
      <c r="D4782" t="s">
        <v>774</v>
      </c>
      <c r="E4782" t="s">
        <v>839</v>
      </c>
      <c r="F4782">
        <v>3</v>
      </c>
      <c r="G4782">
        <v>0.15</v>
      </c>
      <c r="H4782" t="s">
        <v>858</v>
      </c>
      <c r="I4782" t="str">
        <f>VLOOKUP(C4782,Customers!A:C,2,FALSE)&amp;" "&amp;VLOOKUP(C4782,Customers!A:C,3,FALSE)</f>
        <v>Tyler Levine</v>
      </c>
      <c r="J4782" t="str">
        <f>VLOOKUP(D4782,Products!A:C,2,FALSE)</f>
        <v>Him Smartphone</v>
      </c>
      <c r="K4782" t="str">
        <f>VLOOKUP(D4782,Products!A:C,3,FALSE)</f>
        <v>Electronics</v>
      </c>
      <c r="L4782" t="str">
        <f>VLOOKUP(E4782,Stores!A:B,2,FALSE)</f>
        <v>MegaMart New Michele</v>
      </c>
      <c r="M4782">
        <f>VLOOKUP(D4782,Products!A:E,5,FALSE)</f>
        <v>1487.41</v>
      </c>
      <c r="N4782" s="5">
        <f t="shared" si="74"/>
        <v>3792.8955000000001</v>
      </c>
    </row>
    <row r="4783" spans="1:14" x14ac:dyDescent="0.3">
      <c r="A4783" t="s">
        <v>5639</v>
      </c>
      <c r="B4783" s="2">
        <v>45383</v>
      </c>
      <c r="C4783" t="s">
        <v>32</v>
      </c>
      <c r="D4783" t="s">
        <v>734</v>
      </c>
      <c r="E4783" t="s">
        <v>842</v>
      </c>
      <c r="F4783">
        <v>5</v>
      </c>
      <c r="G4783">
        <v>0.05</v>
      </c>
      <c r="H4783" t="s">
        <v>865</v>
      </c>
      <c r="I4783" t="str">
        <f>VLOOKUP(C4783,Customers!A:C,2,FALSE)&amp;" "&amp;VLOOKUP(C4783,Customers!A:C,3,FALSE)</f>
        <v>Erin Walker</v>
      </c>
      <c r="J4783" t="str">
        <f>VLOOKUP(D4783,Products!A:C,2,FALSE)</f>
        <v>Recognize Footwear</v>
      </c>
      <c r="K4783" t="str">
        <f>VLOOKUP(D4783,Products!A:C,3,FALSE)</f>
        <v>Fashion</v>
      </c>
      <c r="L4783" t="str">
        <f>VLOOKUP(E4783,Stores!A:B,2,FALSE)</f>
        <v>MegaMart Brianahaven</v>
      </c>
      <c r="M4783">
        <f>VLOOKUP(D4783,Products!A:E,5,FALSE)</f>
        <v>109.78</v>
      </c>
      <c r="N4783" s="5">
        <f t="shared" si="74"/>
        <v>521.45499999999993</v>
      </c>
    </row>
    <row r="4784" spans="1:14" x14ac:dyDescent="0.3">
      <c r="A4784" t="s">
        <v>5640</v>
      </c>
      <c r="B4784" s="2">
        <v>45270</v>
      </c>
      <c r="C4784" t="s">
        <v>567</v>
      </c>
      <c r="D4784" t="s">
        <v>734</v>
      </c>
      <c r="E4784" t="s">
        <v>839</v>
      </c>
      <c r="F4784">
        <v>5</v>
      </c>
      <c r="G4784">
        <v>0.15</v>
      </c>
      <c r="H4784" t="s">
        <v>861</v>
      </c>
      <c r="I4784" t="str">
        <f>VLOOKUP(C4784,Customers!A:C,2,FALSE)&amp;" "&amp;VLOOKUP(C4784,Customers!A:C,3,FALSE)</f>
        <v>Crystal Aguirre</v>
      </c>
      <c r="J4784" t="str">
        <f>VLOOKUP(D4784,Products!A:C,2,FALSE)</f>
        <v>Recognize Footwear</v>
      </c>
      <c r="K4784" t="str">
        <f>VLOOKUP(D4784,Products!A:C,3,FALSE)</f>
        <v>Fashion</v>
      </c>
      <c r="L4784" t="str">
        <f>VLOOKUP(E4784,Stores!A:B,2,FALSE)</f>
        <v>MegaMart New Michele</v>
      </c>
      <c r="M4784">
        <f>VLOOKUP(D4784,Products!A:E,5,FALSE)</f>
        <v>109.78</v>
      </c>
      <c r="N4784" s="5">
        <f t="shared" si="74"/>
        <v>466.56499999999994</v>
      </c>
    </row>
    <row r="4785" spans="1:14" x14ac:dyDescent="0.3">
      <c r="A4785" t="s">
        <v>5641</v>
      </c>
      <c r="B4785" s="2">
        <v>45841</v>
      </c>
      <c r="C4785" t="s">
        <v>7</v>
      </c>
      <c r="D4785" t="s">
        <v>757</v>
      </c>
      <c r="E4785" t="s">
        <v>839</v>
      </c>
      <c r="F4785">
        <v>3</v>
      </c>
      <c r="G4785">
        <v>0.05</v>
      </c>
      <c r="H4785" t="s">
        <v>855</v>
      </c>
      <c r="I4785" t="str">
        <f>VLOOKUP(C4785,Customers!A:C,2,FALSE)&amp;" "&amp;VLOOKUP(C4785,Customers!A:C,3,FALSE)</f>
        <v>Michael Davis</v>
      </c>
      <c r="J4785" t="str">
        <f>VLOOKUP(D4785,Products!A:C,2,FALSE)</f>
        <v>Find Headphones</v>
      </c>
      <c r="K4785" t="str">
        <f>VLOOKUP(D4785,Products!A:C,3,FALSE)</f>
        <v>Electronics</v>
      </c>
      <c r="L4785" t="str">
        <f>VLOOKUP(E4785,Stores!A:B,2,FALSE)</f>
        <v>MegaMart New Michele</v>
      </c>
      <c r="M4785">
        <f>VLOOKUP(D4785,Products!A:E,5,FALSE)</f>
        <v>1246.1099999999999</v>
      </c>
      <c r="N4785" s="5">
        <f t="shared" si="74"/>
        <v>3551.4134999999997</v>
      </c>
    </row>
    <row r="4786" spans="1:14" x14ac:dyDescent="0.3">
      <c r="A4786" t="s">
        <v>5642</v>
      </c>
      <c r="B4786" s="2">
        <v>45594</v>
      </c>
      <c r="C4786" t="s">
        <v>230</v>
      </c>
      <c r="D4786" t="s">
        <v>764</v>
      </c>
      <c r="E4786" t="s">
        <v>846</v>
      </c>
      <c r="F4786">
        <v>5</v>
      </c>
      <c r="G4786">
        <v>0.1</v>
      </c>
      <c r="H4786" t="s">
        <v>861</v>
      </c>
      <c r="I4786" t="str">
        <f>VLOOKUP(C4786,Customers!A:C,2,FALSE)&amp;" "&amp;VLOOKUP(C4786,Customers!A:C,3,FALSE)</f>
        <v>Anthony Conway</v>
      </c>
      <c r="J4786" t="str">
        <f>VLOOKUP(D4786,Products!A:C,2,FALSE)</f>
        <v>Simple Accessories</v>
      </c>
      <c r="K4786" t="str">
        <f>VLOOKUP(D4786,Products!A:C,3,FALSE)</f>
        <v>Fashion</v>
      </c>
      <c r="L4786" t="str">
        <f>VLOOKUP(E4786,Stores!A:B,2,FALSE)</f>
        <v>MegaMart Johnmouth</v>
      </c>
      <c r="M4786">
        <f>VLOOKUP(D4786,Products!A:E,5,FALSE)</f>
        <v>323.92</v>
      </c>
      <c r="N4786" s="5">
        <f t="shared" si="74"/>
        <v>1457.64</v>
      </c>
    </row>
    <row r="4787" spans="1:14" x14ac:dyDescent="0.3">
      <c r="A4787" t="s">
        <v>5643</v>
      </c>
      <c r="B4787" s="2">
        <v>45405</v>
      </c>
      <c r="C4787" t="s">
        <v>59</v>
      </c>
      <c r="D4787" t="s">
        <v>764</v>
      </c>
      <c r="E4787" t="s">
        <v>835</v>
      </c>
      <c r="F4787">
        <v>1</v>
      </c>
      <c r="G4787">
        <v>0.15</v>
      </c>
      <c r="H4787" t="s">
        <v>865</v>
      </c>
      <c r="I4787" t="str">
        <f>VLOOKUP(C4787,Customers!A:C,2,FALSE)&amp;" "&amp;VLOOKUP(C4787,Customers!A:C,3,FALSE)</f>
        <v>Brittany Green</v>
      </c>
      <c r="J4787" t="str">
        <f>VLOOKUP(D4787,Products!A:C,2,FALSE)</f>
        <v>Simple Accessories</v>
      </c>
      <c r="K4787" t="str">
        <f>VLOOKUP(D4787,Products!A:C,3,FALSE)</f>
        <v>Fashion</v>
      </c>
      <c r="L4787" t="str">
        <f>VLOOKUP(E4787,Stores!A:B,2,FALSE)</f>
        <v>MegaMart Peckmouth</v>
      </c>
      <c r="M4787">
        <f>VLOOKUP(D4787,Products!A:E,5,FALSE)</f>
        <v>323.92</v>
      </c>
      <c r="N4787" s="5">
        <f t="shared" si="74"/>
        <v>275.33199999999999</v>
      </c>
    </row>
    <row r="4788" spans="1:14" x14ac:dyDescent="0.3">
      <c r="A4788" t="s">
        <v>5644</v>
      </c>
      <c r="B4788" s="2">
        <v>45551</v>
      </c>
      <c r="C4788" t="s">
        <v>399</v>
      </c>
      <c r="D4788" t="s">
        <v>757</v>
      </c>
      <c r="E4788" t="s">
        <v>842</v>
      </c>
      <c r="F4788">
        <v>5</v>
      </c>
      <c r="G4788">
        <v>0</v>
      </c>
      <c r="H4788" t="s">
        <v>858</v>
      </c>
      <c r="I4788" t="str">
        <f>VLOOKUP(C4788,Customers!A:C,2,FALSE)&amp;" "&amp;VLOOKUP(C4788,Customers!A:C,3,FALSE)</f>
        <v>Victoria Hansen</v>
      </c>
      <c r="J4788" t="str">
        <f>VLOOKUP(D4788,Products!A:C,2,FALSE)</f>
        <v>Find Headphones</v>
      </c>
      <c r="K4788" t="str">
        <f>VLOOKUP(D4788,Products!A:C,3,FALSE)</f>
        <v>Electronics</v>
      </c>
      <c r="L4788" t="str">
        <f>VLOOKUP(E4788,Stores!A:B,2,FALSE)</f>
        <v>MegaMart Brianahaven</v>
      </c>
      <c r="M4788">
        <f>VLOOKUP(D4788,Products!A:E,5,FALSE)</f>
        <v>1246.1099999999999</v>
      </c>
      <c r="N4788" s="5">
        <f t="shared" si="74"/>
        <v>6230.5499999999993</v>
      </c>
    </row>
    <row r="4789" spans="1:14" x14ac:dyDescent="0.3">
      <c r="A4789" t="s">
        <v>5645</v>
      </c>
      <c r="B4789" s="2">
        <v>45228</v>
      </c>
      <c r="C4789" t="s">
        <v>582</v>
      </c>
      <c r="D4789" t="s">
        <v>728</v>
      </c>
      <c r="E4789" t="s">
        <v>842</v>
      </c>
      <c r="F4789">
        <v>3</v>
      </c>
      <c r="G4789">
        <v>0.05</v>
      </c>
      <c r="H4789" t="s">
        <v>865</v>
      </c>
      <c r="I4789" t="str">
        <f>VLOOKUP(C4789,Customers!A:C,2,FALSE)&amp;" "&amp;VLOOKUP(C4789,Customers!A:C,3,FALSE)</f>
        <v>Erin Rogers</v>
      </c>
      <c r="J4789" t="str">
        <f>VLOOKUP(D4789,Products!A:C,2,FALSE)</f>
        <v>Company Fruits</v>
      </c>
      <c r="K4789" t="str">
        <f>VLOOKUP(D4789,Products!A:C,3,FALSE)</f>
        <v>Groceries</v>
      </c>
      <c r="L4789" t="str">
        <f>VLOOKUP(E4789,Stores!A:B,2,FALSE)</f>
        <v>MegaMart Brianahaven</v>
      </c>
      <c r="M4789">
        <f>VLOOKUP(D4789,Products!A:E,5,FALSE)</f>
        <v>318.05</v>
      </c>
      <c r="N4789" s="5">
        <f t="shared" si="74"/>
        <v>906.4425</v>
      </c>
    </row>
    <row r="4790" spans="1:14" x14ac:dyDescent="0.3">
      <c r="A4790" t="s">
        <v>5646</v>
      </c>
      <c r="B4790" s="2">
        <v>45731</v>
      </c>
      <c r="C4790" t="s">
        <v>331</v>
      </c>
      <c r="D4790" t="s">
        <v>822</v>
      </c>
      <c r="E4790" t="s">
        <v>846</v>
      </c>
      <c r="F4790">
        <v>5</v>
      </c>
      <c r="G4790">
        <v>0</v>
      </c>
      <c r="H4790" t="s">
        <v>865</v>
      </c>
      <c r="I4790" t="str">
        <f>VLOOKUP(C4790,Customers!A:C,2,FALSE)&amp;" "&amp;VLOOKUP(C4790,Customers!A:C,3,FALSE)</f>
        <v>Brenda Costa</v>
      </c>
      <c r="J4790" t="str">
        <f>VLOOKUP(D4790,Products!A:C,2,FALSE)</f>
        <v>Nor Bags</v>
      </c>
      <c r="K4790" t="str">
        <f>VLOOKUP(D4790,Products!A:C,3,FALSE)</f>
        <v>Fashion</v>
      </c>
      <c r="L4790" t="str">
        <f>VLOOKUP(E4790,Stores!A:B,2,FALSE)</f>
        <v>MegaMart Johnmouth</v>
      </c>
      <c r="M4790">
        <f>VLOOKUP(D4790,Products!A:E,5,FALSE)</f>
        <v>1216.3599999999999</v>
      </c>
      <c r="N4790" s="5">
        <f t="shared" si="74"/>
        <v>6081.7999999999993</v>
      </c>
    </row>
    <row r="4791" spans="1:14" x14ac:dyDescent="0.3">
      <c r="A4791" t="s">
        <v>5647</v>
      </c>
      <c r="B4791" s="2">
        <v>45381</v>
      </c>
      <c r="C4791" t="s">
        <v>368</v>
      </c>
      <c r="D4791" t="s">
        <v>790</v>
      </c>
      <c r="E4791" t="s">
        <v>839</v>
      </c>
      <c r="F4791">
        <v>5</v>
      </c>
      <c r="G4791">
        <v>0.05</v>
      </c>
      <c r="H4791" t="s">
        <v>865</v>
      </c>
      <c r="I4791" t="str">
        <f>VLOOKUP(C4791,Customers!A:C,2,FALSE)&amp;" "&amp;VLOOKUP(C4791,Customers!A:C,3,FALSE)</f>
        <v>Lisa Vega</v>
      </c>
      <c r="J4791" t="str">
        <f>VLOOKUP(D4791,Products!A:C,2,FALSE)</f>
        <v>Difficult Vegetables</v>
      </c>
      <c r="K4791" t="str">
        <f>VLOOKUP(D4791,Products!A:C,3,FALSE)</f>
        <v>Groceries</v>
      </c>
      <c r="L4791" t="str">
        <f>VLOOKUP(E4791,Stores!A:B,2,FALSE)</f>
        <v>MegaMart New Michele</v>
      </c>
      <c r="M4791">
        <f>VLOOKUP(D4791,Products!A:E,5,FALSE)</f>
        <v>304.70999999999998</v>
      </c>
      <c r="N4791" s="5">
        <f t="shared" si="74"/>
        <v>1447.3724999999999</v>
      </c>
    </row>
    <row r="4792" spans="1:14" x14ac:dyDescent="0.3">
      <c r="A4792" t="s">
        <v>5648</v>
      </c>
      <c r="B4792" s="2">
        <v>45675</v>
      </c>
      <c r="C4792" t="s">
        <v>320</v>
      </c>
      <c r="D4792" t="s">
        <v>784</v>
      </c>
      <c r="E4792" t="s">
        <v>831</v>
      </c>
      <c r="F4792">
        <v>2</v>
      </c>
      <c r="G4792">
        <v>0.15</v>
      </c>
      <c r="H4792" t="s">
        <v>865</v>
      </c>
      <c r="I4792" t="str">
        <f>VLOOKUP(C4792,Customers!A:C,2,FALSE)&amp;" "&amp;VLOOKUP(C4792,Customers!A:C,3,FALSE)</f>
        <v>Juan Ramirez</v>
      </c>
      <c r="J4792" t="str">
        <f>VLOOKUP(D4792,Products!A:C,2,FALSE)</f>
        <v>Road Clothing</v>
      </c>
      <c r="K4792" t="str">
        <f>VLOOKUP(D4792,Products!A:C,3,FALSE)</f>
        <v>Fashion</v>
      </c>
      <c r="L4792" t="str">
        <f>VLOOKUP(E4792,Stores!A:B,2,FALSE)</f>
        <v>MegaMart Jimenezborough</v>
      </c>
      <c r="M4792">
        <f>VLOOKUP(D4792,Products!A:E,5,FALSE)</f>
        <v>1485.05</v>
      </c>
      <c r="N4792" s="5">
        <f t="shared" si="74"/>
        <v>2524.585</v>
      </c>
    </row>
    <row r="4793" spans="1:14" x14ac:dyDescent="0.3">
      <c r="A4793" t="s">
        <v>5649</v>
      </c>
      <c r="B4793" s="2">
        <v>45311</v>
      </c>
      <c r="C4793" t="s">
        <v>119</v>
      </c>
      <c r="D4793" t="s">
        <v>790</v>
      </c>
      <c r="E4793" t="s">
        <v>842</v>
      </c>
      <c r="F4793">
        <v>1</v>
      </c>
      <c r="G4793">
        <v>0.05</v>
      </c>
      <c r="H4793" t="s">
        <v>858</v>
      </c>
      <c r="I4793" t="str">
        <f>VLOOKUP(C4793,Customers!A:C,2,FALSE)&amp;" "&amp;VLOOKUP(C4793,Customers!A:C,3,FALSE)</f>
        <v>Lacey Hall</v>
      </c>
      <c r="J4793" t="str">
        <f>VLOOKUP(D4793,Products!A:C,2,FALSE)</f>
        <v>Difficult Vegetables</v>
      </c>
      <c r="K4793" t="str">
        <f>VLOOKUP(D4793,Products!A:C,3,FALSE)</f>
        <v>Groceries</v>
      </c>
      <c r="L4793" t="str">
        <f>VLOOKUP(E4793,Stores!A:B,2,FALSE)</f>
        <v>MegaMart Brianahaven</v>
      </c>
      <c r="M4793">
        <f>VLOOKUP(D4793,Products!A:E,5,FALSE)</f>
        <v>304.70999999999998</v>
      </c>
      <c r="N4793" s="5">
        <f t="shared" si="74"/>
        <v>289.47449999999998</v>
      </c>
    </row>
    <row r="4794" spans="1:14" x14ac:dyDescent="0.3">
      <c r="A4794" t="s">
        <v>5650</v>
      </c>
      <c r="B4794" s="2">
        <v>45475</v>
      </c>
      <c r="C4794" t="s">
        <v>579</v>
      </c>
      <c r="D4794" t="s">
        <v>774</v>
      </c>
      <c r="E4794" t="s">
        <v>839</v>
      </c>
      <c r="F4794">
        <v>1</v>
      </c>
      <c r="G4794">
        <v>0.15</v>
      </c>
      <c r="H4794" t="s">
        <v>865</v>
      </c>
      <c r="I4794" t="str">
        <f>VLOOKUP(C4794,Customers!A:C,2,FALSE)&amp;" "&amp;VLOOKUP(C4794,Customers!A:C,3,FALSE)</f>
        <v>Jill Roach</v>
      </c>
      <c r="J4794" t="str">
        <f>VLOOKUP(D4794,Products!A:C,2,FALSE)</f>
        <v>Him Smartphone</v>
      </c>
      <c r="K4794" t="str">
        <f>VLOOKUP(D4794,Products!A:C,3,FALSE)</f>
        <v>Electronics</v>
      </c>
      <c r="L4794" t="str">
        <f>VLOOKUP(E4794,Stores!A:B,2,FALSE)</f>
        <v>MegaMart New Michele</v>
      </c>
      <c r="M4794">
        <f>VLOOKUP(D4794,Products!A:E,5,FALSE)</f>
        <v>1487.41</v>
      </c>
      <c r="N4794" s="5">
        <f t="shared" si="74"/>
        <v>1264.2985000000001</v>
      </c>
    </row>
    <row r="4795" spans="1:14" x14ac:dyDescent="0.3">
      <c r="A4795" t="s">
        <v>5651</v>
      </c>
      <c r="B4795" s="2">
        <v>45734</v>
      </c>
      <c r="C4795" t="s">
        <v>206</v>
      </c>
      <c r="D4795" t="s">
        <v>772</v>
      </c>
      <c r="E4795" t="s">
        <v>831</v>
      </c>
      <c r="F4795">
        <v>5</v>
      </c>
      <c r="G4795">
        <v>0</v>
      </c>
      <c r="H4795" t="s">
        <v>865</v>
      </c>
      <c r="I4795" t="str">
        <f>VLOOKUP(C4795,Customers!A:C,2,FALSE)&amp;" "&amp;VLOOKUP(C4795,Customers!A:C,3,FALSE)</f>
        <v>Felicia Morgan</v>
      </c>
      <c r="J4795" t="str">
        <f>VLOOKUP(D4795,Products!A:C,2,FALSE)</f>
        <v>And Footwear</v>
      </c>
      <c r="K4795" t="str">
        <f>VLOOKUP(D4795,Products!A:C,3,FALSE)</f>
        <v>Fashion</v>
      </c>
      <c r="L4795" t="str">
        <f>VLOOKUP(E4795,Stores!A:B,2,FALSE)</f>
        <v>MegaMart Jimenezborough</v>
      </c>
      <c r="M4795">
        <f>VLOOKUP(D4795,Products!A:E,5,FALSE)</f>
        <v>1878.47</v>
      </c>
      <c r="N4795" s="5">
        <f t="shared" si="74"/>
        <v>9392.35</v>
      </c>
    </row>
    <row r="4796" spans="1:14" x14ac:dyDescent="0.3">
      <c r="A4796" t="s">
        <v>5652</v>
      </c>
      <c r="B4796" s="2">
        <v>45642</v>
      </c>
      <c r="C4796" t="s">
        <v>435</v>
      </c>
      <c r="D4796" t="s">
        <v>794</v>
      </c>
      <c r="E4796" t="s">
        <v>835</v>
      </c>
      <c r="F4796">
        <v>4</v>
      </c>
      <c r="G4796">
        <v>0.05</v>
      </c>
      <c r="H4796" t="s">
        <v>861</v>
      </c>
      <c r="I4796" t="str">
        <f>VLOOKUP(C4796,Customers!A:C,2,FALSE)&amp;" "&amp;VLOOKUP(C4796,Customers!A:C,3,FALSE)</f>
        <v>Timothy Beck</v>
      </c>
      <c r="J4796" t="str">
        <f>VLOOKUP(D4796,Products!A:C,2,FALSE)</f>
        <v>Everything Laptop</v>
      </c>
      <c r="K4796" t="str">
        <f>VLOOKUP(D4796,Products!A:C,3,FALSE)</f>
        <v>Electronics</v>
      </c>
      <c r="L4796" t="str">
        <f>VLOOKUP(E4796,Stores!A:B,2,FALSE)</f>
        <v>MegaMart Peckmouth</v>
      </c>
      <c r="M4796">
        <f>VLOOKUP(D4796,Products!A:E,5,FALSE)</f>
        <v>428.05</v>
      </c>
      <c r="N4796" s="5">
        <f t="shared" si="74"/>
        <v>1626.59</v>
      </c>
    </row>
    <row r="4797" spans="1:14" x14ac:dyDescent="0.3">
      <c r="A4797" t="s">
        <v>5653</v>
      </c>
      <c r="B4797" s="2">
        <v>45432</v>
      </c>
      <c r="C4797" t="s">
        <v>554</v>
      </c>
      <c r="D4797" t="s">
        <v>808</v>
      </c>
      <c r="E4797" t="s">
        <v>842</v>
      </c>
      <c r="F4797">
        <v>5</v>
      </c>
      <c r="G4797">
        <v>0.05</v>
      </c>
      <c r="H4797" t="s">
        <v>855</v>
      </c>
      <c r="I4797" t="str">
        <f>VLOOKUP(C4797,Customers!A:C,2,FALSE)&amp;" "&amp;VLOOKUP(C4797,Customers!A:C,3,FALSE)</f>
        <v>Lisa Martinez</v>
      </c>
      <c r="J4797" t="str">
        <f>VLOOKUP(D4797,Products!A:C,2,FALSE)</f>
        <v>Present Television</v>
      </c>
      <c r="K4797" t="str">
        <f>VLOOKUP(D4797,Products!A:C,3,FALSE)</f>
        <v>Electronics</v>
      </c>
      <c r="L4797" t="str">
        <f>VLOOKUP(E4797,Stores!A:B,2,FALSE)</f>
        <v>MegaMart Brianahaven</v>
      </c>
      <c r="M4797">
        <f>VLOOKUP(D4797,Products!A:E,5,FALSE)</f>
        <v>1635.01</v>
      </c>
      <c r="N4797" s="5">
        <f t="shared" si="74"/>
        <v>7766.2974999999997</v>
      </c>
    </row>
    <row r="4798" spans="1:14" x14ac:dyDescent="0.3">
      <c r="A4798" t="s">
        <v>5654</v>
      </c>
      <c r="B4798" s="2">
        <v>45182</v>
      </c>
      <c r="C4798" t="s">
        <v>291</v>
      </c>
      <c r="D4798" t="s">
        <v>711</v>
      </c>
      <c r="E4798" t="s">
        <v>846</v>
      </c>
      <c r="F4798">
        <v>3</v>
      </c>
      <c r="G4798">
        <v>0</v>
      </c>
      <c r="H4798" t="s">
        <v>865</v>
      </c>
      <c r="I4798" t="str">
        <f>VLOOKUP(C4798,Customers!A:C,2,FALSE)&amp;" "&amp;VLOOKUP(C4798,Customers!A:C,3,FALSE)</f>
        <v>Matthew Juarez</v>
      </c>
      <c r="J4798" t="str">
        <f>VLOOKUP(D4798,Products!A:C,2,FALSE)</f>
        <v>Like Camera</v>
      </c>
      <c r="K4798" t="str">
        <f>VLOOKUP(D4798,Products!A:C,3,FALSE)</f>
        <v>Electronics</v>
      </c>
      <c r="L4798" t="str">
        <f>VLOOKUP(E4798,Stores!A:B,2,FALSE)</f>
        <v>MegaMart Johnmouth</v>
      </c>
      <c r="M4798">
        <f>VLOOKUP(D4798,Products!A:E,5,FALSE)</f>
        <v>1673.69</v>
      </c>
      <c r="N4798" s="5">
        <f t="shared" si="74"/>
        <v>5021.07</v>
      </c>
    </row>
    <row r="4799" spans="1:14" x14ac:dyDescent="0.3">
      <c r="A4799" t="s">
        <v>5655</v>
      </c>
      <c r="B4799" s="2">
        <v>45390</v>
      </c>
      <c r="C4799" t="s">
        <v>438</v>
      </c>
      <c r="D4799" t="s">
        <v>728</v>
      </c>
      <c r="E4799" t="s">
        <v>835</v>
      </c>
      <c r="F4799">
        <v>5</v>
      </c>
      <c r="G4799">
        <v>0.1</v>
      </c>
      <c r="H4799" t="s">
        <v>861</v>
      </c>
      <c r="I4799" t="str">
        <f>VLOOKUP(C4799,Customers!A:C,2,FALSE)&amp;" "&amp;VLOOKUP(C4799,Customers!A:C,3,FALSE)</f>
        <v>Gina Bradford</v>
      </c>
      <c r="J4799" t="str">
        <f>VLOOKUP(D4799,Products!A:C,2,FALSE)</f>
        <v>Company Fruits</v>
      </c>
      <c r="K4799" t="str">
        <f>VLOOKUP(D4799,Products!A:C,3,FALSE)</f>
        <v>Groceries</v>
      </c>
      <c r="L4799" t="str">
        <f>VLOOKUP(E4799,Stores!A:B,2,FALSE)</f>
        <v>MegaMart Peckmouth</v>
      </c>
      <c r="M4799">
        <f>VLOOKUP(D4799,Products!A:E,5,FALSE)</f>
        <v>318.05</v>
      </c>
      <c r="N4799" s="5">
        <f t="shared" si="74"/>
        <v>1431.2250000000001</v>
      </c>
    </row>
    <row r="4800" spans="1:14" x14ac:dyDescent="0.3">
      <c r="A4800" t="s">
        <v>5656</v>
      </c>
      <c r="B4800" s="2">
        <v>45557</v>
      </c>
      <c r="C4800" t="s">
        <v>589</v>
      </c>
      <c r="D4800" t="s">
        <v>764</v>
      </c>
      <c r="E4800" t="s">
        <v>842</v>
      </c>
      <c r="F4800">
        <v>3</v>
      </c>
      <c r="G4800">
        <v>0</v>
      </c>
      <c r="H4800" t="s">
        <v>865</v>
      </c>
      <c r="I4800" t="str">
        <f>VLOOKUP(C4800,Customers!A:C,2,FALSE)&amp;" "&amp;VLOOKUP(C4800,Customers!A:C,3,FALSE)</f>
        <v>Tanya Mueller</v>
      </c>
      <c r="J4800" t="str">
        <f>VLOOKUP(D4800,Products!A:C,2,FALSE)</f>
        <v>Simple Accessories</v>
      </c>
      <c r="K4800" t="str">
        <f>VLOOKUP(D4800,Products!A:C,3,FALSE)</f>
        <v>Fashion</v>
      </c>
      <c r="L4800" t="str">
        <f>VLOOKUP(E4800,Stores!A:B,2,FALSE)</f>
        <v>MegaMart Brianahaven</v>
      </c>
      <c r="M4800">
        <f>VLOOKUP(D4800,Products!A:E,5,FALSE)</f>
        <v>323.92</v>
      </c>
      <c r="N4800" s="5">
        <f t="shared" si="74"/>
        <v>971.76</v>
      </c>
    </row>
    <row r="4801" spans="1:14" x14ac:dyDescent="0.3">
      <c r="A4801" t="s">
        <v>5657</v>
      </c>
      <c r="B4801" s="2">
        <v>45586</v>
      </c>
      <c r="C4801" t="s">
        <v>403</v>
      </c>
      <c r="D4801" t="s">
        <v>753</v>
      </c>
      <c r="E4801" t="s">
        <v>846</v>
      </c>
      <c r="F4801">
        <v>1</v>
      </c>
      <c r="G4801">
        <v>0.15</v>
      </c>
      <c r="H4801" t="s">
        <v>865</v>
      </c>
      <c r="I4801" t="str">
        <f>VLOOKUP(C4801,Customers!A:C,2,FALSE)&amp;" "&amp;VLOOKUP(C4801,Customers!A:C,3,FALSE)</f>
        <v>Samantha Hill</v>
      </c>
      <c r="J4801" t="str">
        <f>VLOOKUP(D4801,Products!A:C,2,FALSE)</f>
        <v>Whether Bags</v>
      </c>
      <c r="K4801" t="str">
        <f>VLOOKUP(D4801,Products!A:C,3,FALSE)</f>
        <v>Fashion</v>
      </c>
      <c r="L4801" t="str">
        <f>VLOOKUP(E4801,Stores!A:B,2,FALSE)</f>
        <v>MegaMart Johnmouth</v>
      </c>
      <c r="M4801">
        <f>VLOOKUP(D4801,Products!A:E,5,FALSE)</f>
        <v>270.45</v>
      </c>
      <c r="N4801" s="5">
        <f t="shared" si="74"/>
        <v>229.88249999999999</v>
      </c>
    </row>
    <row r="4802" spans="1:14" x14ac:dyDescent="0.3">
      <c r="A4802" t="s">
        <v>5658</v>
      </c>
      <c r="B4802" s="2">
        <v>45754</v>
      </c>
      <c r="C4802" t="s">
        <v>653</v>
      </c>
      <c r="D4802" t="s">
        <v>722</v>
      </c>
      <c r="E4802" t="s">
        <v>846</v>
      </c>
      <c r="F4802">
        <v>4</v>
      </c>
      <c r="G4802">
        <v>0</v>
      </c>
      <c r="H4802" t="s">
        <v>861</v>
      </c>
      <c r="I4802" t="str">
        <f>VLOOKUP(C4802,Customers!A:C,2,FALSE)&amp;" "&amp;VLOOKUP(C4802,Customers!A:C,3,FALSE)</f>
        <v>Joe Vincent</v>
      </c>
      <c r="J4802" t="str">
        <f>VLOOKUP(D4802,Products!A:C,2,FALSE)</f>
        <v>Four Accessories</v>
      </c>
      <c r="K4802" t="str">
        <f>VLOOKUP(D4802,Products!A:C,3,FALSE)</f>
        <v>Fashion</v>
      </c>
      <c r="L4802" t="str">
        <f>VLOOKUP(E4802,Stores!A:B,2,FALSE)</f>
        <v>MegaMart Johnmouth</v>
      </c>
      <c r="M4802">
        <f>VLOOKUP(D4802,Products!A:E,5,FALSE)</f>
        <v>1853.77</v>
      </c>
      <c r="N4802" s="5">
        <f t="shared" si="74"/>
        <v>7415.08</v>
      </c>
    </row>
    <row r="4803" spans="1:14" x14ac:dyDescent="0.3">
      <c r="A4803" t="s">
        <v>5659</v>
      </c>
      <c r="B4803" s="2">
        <v>45841</v>
      </c>
      <c r="C4803" t="s">
        <v>449</v>
      </c>
      <c r="D4803" t="s">
        <v>766</v>
      </c>
      <c r="E4803" t="s">
        <v>842</v>
      </c>
      <c r="F4803">
        <v>4</v>
      </c>
      <c r="G4803">
        <v>0.05</v>
      </c>
      <c r="H4803" t="s">
        <v>865</v>
      </c>
      <c r="I4803" t="str">
        <f>VLOOKUP(C4803,Customers!A:C,2,FALSE)&amp;" "&amp;VLOOKUP(C4803,Customers!A:C,3,FALSE)</f>
        <v>John Bell</v>
      </c>
      <c r="J4803" t="str">
        <f>VLOOKUP(D4803,Products!A:C,2,FALSE)</f>
        <v>Firm Dairy</v>
      </c>
      <c r="K4803" t="str">
        <f>VLOOKUP(D4803,Products!A:C,3,FALSE)</f>
        <v>Groceries</v>
      </c>
      <c r="L4803" t="str">
        <f>VLOOKUP(E4803,Stores!A:B,2,FALSE)</f>
        <v>MegaMart Brianahaven</v>
      </c>
      <c r="M4803">
        <f>VLOOKUP(D4803,Products!A:E,5,FALSE)</f>
        <v>1227.24</v>
      </c>
      <c r="N4803" s="5">
        <f t="shared" ref="N4803:N4866" si="75">F4803*M4803*(1-G4803)</f>
        <v>4663.5119999999997</v>
      </c>
    </row>
    <row r="4804" spans="1:14" x14ac:dyDescent="0.3">
      <c r="A4804" t="s">
        <v>5660</v>
      </c>
      <c r="B4804" s="2">
        <v>45691</v>
      </c>
      <c r="C4804" t="s">
        <v>520</v>
      </c>
      <c r="D4804" t="s">
        <v>725</v>
      </c>
      <c r="E4804" t="s">
        <v>831</v>
      </c>
      <c r="F4804">
        <v>5</v>
      </c>
      <c r="G4804">
        <v>0.05</v>
      </c>
      <c r="H4804" t="s">
        <v>865</v>
      </c>
      <c r="I4804" t="str">
        <f>VLOOKUP(C4804,Customers!A:C,2,FALSE)&amp;" "&amp;VLOOKUP(C4804,Customers!A:C,3,FALSE)</f>
        <v>Cynthia Carlson</v>
      </c>
      <c r="J4804" t="str">
        <f>VLOOKUP(D4804,Products!A:C,2,FALSE)</f>
        <v>Knowledge Bags</v>
      </c>
      <c r="K4804" t="str">
        <f>VLOOKUP(D4804,Products!A:C,3,FALSE)</f>
        <v>Fashion</v>
      </c>
      <c r="L4804" t="str">
        <f>VLOOKUP(E4804,Stores!A:B,2,FALSE)</f>
        <v>MegaMart Jimenezborough</v>
      </c>
      <c r="M4804">
        <f>VLOOKUP(D4804,Products!A:E,5,FALSE)</f>
        <v>1396.22</v>
      </c>
      <c r="N4804" s="5">
        <f t="shared" si="75"/>
        <v>6632.0450000000001</v>
      </c>
    </row>
    <row r="4805" spans="1:14" x14ac:dyDescent="0.3">
      <c r="A4805" t="s">
        <v>5661</v>
      </c>
      <c r="B4805" s="2">
        <v>45247</v>
      </c>
      <c r="C4805" t="s">
        <v>238</v>
      </c>
      <c r="D4805" t="s">
        <v>792</v>
      </c>
      <c r="E4805" t="s">
        <v>846</v>
      </c>
      <c r="F4805">
        <v>1</v>
      </c>
      <c r="G4805">
        <v>0.15</v>
      </c>
      <c r="H4805" t="s">
        <v>865</v>
      </c>
      <c r="I4805" t="str">
        <f>VLOOKUP(C4805,Customers!A:C,2,FALSE)&amp;" "&amp;VLOOKUP(C4805,Customers!A:C,3,FALSE)</f>
        <v>Susan Salinas</v>
      </c>
      <c r="J4805" t="str">
        <f>VLOOKUP(D4805,Products!A:C,2,FALSE)</f>
        <v>Beat Accessories</v>
      </c>
      <c r="K4805" t="str">
        <f>VLOOKUP(D4805,Products!A:C,3,FALSE)</f>
        <v>Fashion</v>
      </c>
      <c r="L4805" t="str">
        <f>VLOOKUP(E4805,Stores!A:B,2,FALSE)</f>
        <v>MegaMart Johnmouth</v>
      </c>
      <c r="M4805">
        <f>VLOOKUP(D4805,Products!A:E,5,FALSE)</f>
        <v>1798.97</v>
      </c>
      <c r="N4805" s="5">
        <f t="shared" si="75"/>
        <v>1529.1244999999999</v>
      </c>
    </row>
    <row r="4806" spans="1:14" x14ac:dyDescent="0.3">
      <c r="A4806" t="s">
        <v>5662</v>
      </c>
      <c r="B4806" s="2">
        <v>45877</v>
      </c>
      <c r="C4806" t="s">
        <v>582</v>
      </c>
      <c r="D4806" t="s">
        <v>755</v>
      </c>
      <c r="E4806" t="s">
        <v>835</v>
      </c>
      <c r="F4806">
        <v>4</v>
      </c>
      <c r="G4806">
        <v>0.05</v>
      </c>
      <c r="H4806" t="s">
        <v>855</v>
      </c>
      <c r="I4806" t="str">
        <f>VLOOKUP(C4806,Customers!A:C,2,FALSE)&amp;" "&amp;VLOOKUP(C4806,Customers!A:C,3,FALSE)</f>
        <v>Erin Rogers</v>
      </c>
      <c r="J4806" t="str">
        <f>VLOOKUP(D4806,Products!A:C,2,FALSE)</f>
        <v>House Accessories</v>
      </c>
      <c r="K4806" t="str">
        <f>VLOOKUP(D4806,Products!A:C,3,FALSE)</f>
        <v>Fashion</v>
      </c>
      <c r="L4806" t="str">
        <f>VLOOKUP(E4806,Stores!A:B,2,FALSE)</f>
        <v>MegaMart Peckmouth</v>
      </c>
      <c r="M4806">
        <f>VLOOKUP(D4806,Products!A:E,5,FALSE)</f>
        <v>1858.75</v>
      </c>
      <c r="N4806" s="5">
        <f t="shared" si="75"/>
        <v>7063.25</v>
      </c>
    </row>
    <row r="4807" spans="1:14" x14ac:dyDescent="0.3">
      <c r="A4807" t="s">
        <v>5663</v>
      </c>
      <c r="B4807" s="2">
        <v>45869</v>
      </c>
      <c r="C4807" t="s">
        <v>274</v>
      </c>
      <c r="D4807" t="s">
        <v>745</v>
      </c>
      <c r="E4807" t="s">
        <v>839</v>
      </c>
      <c r="F4807">
        <v>2</v>
      </c>
      <c r="G4807">
        <v>0.1</v>
      </c>
      <c r="H4807" t="s">
        <v>858</v>
      </c>
      <c r="I4807" t="str">
        <f>VLOOKUP(C4807,Customers!A:C,2,FALSE)&amp;" "&amp;VLOOKUP(C4807,Customers!A:C,3,FALSE)</f>
        <v>Eric Watkins</v>
      </c>
      <c r="J4807" t="str">
        <f>VLOOKUP(D4807,Products!A:C,2,FALSE)</f>
        <v>Above Camera</v>
      </c>
      <c r="K4807" t="str">
        <f>VLOOKUP(D4807,Products!A:C,3,FALSE)</f>
        <v>Electronics</v>
      </c>
      <c r="L4807" t="str">
        <f>VLOOKUP(E4807,Stores!A:B,2,FALSE)</f>
        <v>MegaMart New Michele</v>
      </c>
      <c r="M4807">
        <f>VLOOKUP(D4807,Products!A:E,5,FALSE)</f>
        <v>1193.0899999999999</v>
      </c>
      <c r="N4807" s="5">
        <f t="shared" si="75"/>
        <v>2147.5619999999999</v>
      </c>
    </row>
    <row r="4808" spans="1:14" x14ac:dyDescent="0.3">
      <c r="A4808" t="s">
        <v>5664</v>
      </c>
      <c r="B4808" s="2">
        <v>45890</v>
      </c>
      <c r="C4808" t="s">
        <v>579</v>
      </c>
      <c r="D4808" t="s">
        <v>764</v>
      </c>
      <c r="E4808" t="s">
        <v>835</v>
      </c>
      <c r="F4808">
        <v>3</v>
      </c>
      <c r="G4808">
        <v>0.1</v>
      </c>
      <c r="H4808" t="s">
        <v>858</v>
      </c>
      <c r="I4808" t="str">
        <f>VLOOKUP(C4808,Customers!A:C,2,FALSE)&amp;" "&amp;VLOOKUP(C4808,Customers!A:C,3,FALSE)</f>
        <v>Jill Roach</v>
      </c>
      <c r="J4808" t="str">
        <f>VLOOKUP(D4808,Products!A:C,2,FALSE)</f>
        <v>Simple Accessories</v>
      </c>
      <c r="K4808" t="str">
        <f>VLOOKUP(D4808,Products!A:C,3,FALSE)</f>
        <v>Fashion</v>
      </c>
      <c r="L4808" t="str">
        <f>VLOOKUP(E4808,Stores!A:B,2,FALSE)</f>
        <v>MegaMart Peckmouth</v>
      </c>
      <c r="M4808">
        <f>VLOOKUP(D4808,Products!A:E,5,FALSE)</f>
        <v>323.92</v>
      </c>
      <c r="N4808" s="5">
        <f t="shared" si="75"/>
        <v>874.58400000000006</v>
      </c>
    </row>
    <row r="4809" spans="1:14" x14ac:dyDescent="0.3">
      <c r="A4809" t="s">
        <v>5665</v>
      </c>
      <c r="B4809" s="2">
        <v>45435</v>
      </c>
      <c r="C4809" t="s">
        <v>12</v>
      </c>
      <c r="D4809" t="s">
        <v>747</v>
      </c>
      <c r="E4809" t="s">
        <v>831</v>
      </c>
      <c r="F4809">
        <v>2</v>
      </c>
      <c r="G4809">
        <v>0</v>
      </c>
      <c r="H4809" t="s">
        <v>855</v>
      </c>
      <c r="I4809" t="str">
        <f>VLOOKUP(C4809,Customers!A:C,2,FALSE)&amp;" "&amp;VLOOKUP(C4809,Customers!A:C,3,FALSE)</f>
        <v>Michael Miller</v>
      </c>
      <c r="J4809" t="str">
        <f>VLOOKUP(D4809,Products!A:C,2,FALSE)</f>
        <v>World Watches</v>
      </c>
      <c r="K4809" t="str">
        <f>VLOOKUP(D4809,Products!A:C,3,FALSE)</f>
        <v>Fashion</v>
      </c>
      <c r="L4809" t="str">
        <f>VLOOKUP(E4809,Stores!A:B,2,FALSE)</f>
        <v>MegaMart Jimenezborough</v>
      </c>
      <c r="M4809">
        <f>VLOOKUP(D4809,Products!A:E,5,FALSE)</f>
        <v>1134.8</v>
      </c>
      <c r="N4809" s="5">
        <f t="shared" si="75"/>
        <v>2269.6</v>
      </c>
    </row>
    <row r="4810" spans="1:14" x14ac:dyDescent="0.3">
      <c r="A4810" t="s">
        <v>5666</v>
      </c>
      <c r="B4810" s="2">
        <v>45582</v>
      </c>
      <c r="C4810" t="s">
        <v>604</v>
      </c>
      <c r="D4810" t="s">
        <v>728</v>
      </c>
      <c r="E4810" t="s">
        <v>835</v>
      </c>
      <c r="F4810">
        <v>3</v>
      </c>
      <c r="G4810">
        <v>0.05</v>
      </c>
      <c r="H4810" t="s">
        <v>855</v>
      </c>
      <c r="I4810" t="str">
        <f>VLOOKUP(C4810,Customers!A:C,2,FALSE)&amp;" "&amp;VLOOKUP(C4810,Customers!A:C,3,FALSE)</f>
        <v>Amber Graham</v>
      </c>
      <c r="J4810" t="str">
        <f>VLOOKUP(D4810,Products!A:C,2,FALSE)</f>
        <v>Company Fruits</v>
      </c>
      <c r="K4810" t="str">
        <f>VLOOKUP(D4810,Products!A:C,3,FALSE)</f>
        <v>Groceries</v>
      </c>
      <c r="L4810" t="str">
        <f>VLOOKUP(E4810,Stores!A:B,2,FALSE)</f>
        <v>MegaMart Peckmouth</v>
      </c>
      <c r="M4810">
        <f>VLOOKUP(D4810,Products!A:E,5,FALSE)</f>
        <v>318.05</v>
      </c>
      <c r="N4810" s="5">
        <f t="shared" si="75"/>
        <v>906.4425</v>
      </c>
    </row>
    <row r="4811" spans="1:14" x14ac:dyDescent="0.3">
      <c r="A4811" t="s">
        <v>5667</v>
      </c>
      <c r="B4811" s="2">
        <v>45423</v>
      </c>
      <c r="C4811" t="s">
        <v>217</v>
      </c>
      <c r="D4811" t="s">
        <v>794</v>
      </c>
      <c r="E4811" t="s">
        <v>842</v>
      </c>
      <c r="F4811">
        <v>5</v>
      </c>
      <c r="G4811">
        <v>0</v>
      </c>
      <c r="H4811" t="s">
        <v>865</v>
      </c>
      <c r="I4811" t="str">
        <f>VLOOKUP(C4811,Customers!A:C,2,FALSE)&amp;" "&amp;VLOOKUP(C4811,Customers!A:C,3,FALSE)</f>
        <v>Carl Wyatt</v>
      </c>
      <c r="J4811" t="str">
        <f>VLOOKUP(D4811,Products!A:C,2,FALSE)</f>
        <v>Everything Laptop</v>
      </c>
      <c r="K4811" t="str">
        <f>VLOOKUP(D4811,Products!A:C,3,FALSE)</f>
        <v>Electronics</v>
      </c>
      <c r="L4811" t="str">
        <f>VLOOKUP(E4811,Stores!A:B,2,FALSE)</f>
        <v>MegaMart Brianahaven</v>
      </c>
      <c r="M4811">
        <f>VLOOKUP(D4811,Products!A:E,5,FALSE)</f>
        <v>428.05</v>
      </c>
      <c r="N4811" s="5">
        <f t="shared" si="75"/>
        <v>2140.25</v>
      </c>
    </row>
    <row r="4812" spans="1:14" x14ac:dyDescent="0.3">
      <c r="A4812" t="s">
        <v>5668</v>
      </c>
      <c r="B4812" s="2">
        <v>45430</v>
      </c>
      <c r="C4812" t="s">
        <v>155</v>
      </c>
      <c r="D4812" t="s">
        <v>806</v>
      </c>
      <c r="E4812" t="s">
        <v>835</v>
      </c>
      <c r="F4812">
        <v>4</v>
      </c>
      <c r="G4812">
        <v>0.1</v>
      </c>
      <c r="H4812" t="s">
        <v>861</v>
      </c>
      <c r="I4812" t="str">
        <f>VLOOKUP(C4812,Customers!A:C,2,FALSE)&amp;" "&amp;VLOOKUP(C4812,Customers!A:C,3,FALSE)</f>
        <v>Scott Powell</v>
      </c>
      <c r="J4812" t="str">
        <f>VLOOKUP(D4812,Products!A:C,2,FALSE)</f>
        <v>Piece Headphones</v>
      </c>
      <c r="K4812" t="str">
        <f>VLOOKUP(D4812,Products!A:C,3,FALSE)</f>
        <v>Electronics</v>
      </c>
      <c r="L4812" t="str">
        <f>VLOOKUP(E4812,Stores!A:B,2,FALSE)</f>
        <v>MegaMart Peckmouth</v>
      </c>
      <c r="M4812">
        <f>VLOOKUP(D4812,Products!A:E,5,FALSE)</f>
        <v>1745.61</v>
      </c>
      <c r="N4812" s="5">
        <f t="shared" si="75"/>
        <v>6284.1959999999999</v>
      </c>
    </row>
    <row r="4813" spans="1:14" x14ac:dyDescent="0.3">
      <c r="A4813" t="s">
        <v>5669</v>
      </c>
      <c r="B4813" s="2">
        <v>45248</v>
      </c>
      <c r="C4813" t="s">
        <v>15</v>
      </c>
      <c r="D4813" t="s">
        <v>718</v>
      </c>
      <c r="E4813" t="s">
        <v>835</v>
      </c>
      <c r="F4813">
        <v>5</v>
      </c>
      <c r="G4813">
        <v>0.1</v>
      </c>
      <c r="H4813" t="s">
        <v>858</v>
      </c>
      <c r="I4813" t="str">
        <f>VLOOKUP(C4813,Customers!A:C,2,FALSE)&amp;" "&amp;VLOOKUP(C4813,Customers!A:C,3,FALSE)</f>
        <v>Carol Hays</v>
      </c>
      <c r="J4813" t="str">
        <f>VLOOKUP(D4813,Products!A:C,2,FALSE)</f>
        <v>Here Footwear</v>
      </c>
      <c r="K4813" t="str">
        <f>VLOOKUP(D4813,Products!A:C,3,FALSE)</f>
        <v>Fashion</v>
      </c>
      <c r="L4813" t="str">
        <f>VLOOKUP(E4813,Stores!A:B,2,FALSE)</f>
        <v>MegaMart Peckmouth</v>
      </c>
      <c r="M4813">
        <f>VLOOKUP(D4813,Products!A:E,5,FALSE)</f>
        <v>337.63</v>
      </c>
      <c r="N4813" s="5">
        <f t="shared" si="75"/>
        <v>1519.335</v>
      </c>
    </row>
    <row r="4814" spans="1:14" x14ac:dyDescent="0.3">
      <c r="A4814" t="s">
        <v>5670</v>
      </c>
      <c r="B4814" s="2">
        <v>45416</v>
      </c>
      <c r="C4814" t="s">
        <v>390</v>
      </c>
      <c r="D4814" t="s">
        <v>755</v>
      </c>
      <c r="E4814" t="s">
        <v>831</v>
      </c>
      <c r="F4814">
        <v>2</v>
      </c>
      <c r="G4814">
        <v>0.15</v>
      </c>
      <c r="H4814" t="s">
        <v>858</v>
      </c>
      <c r="I4814" t="str">
        <f>VLOOKUP(C4814,Customers!A:C,2,FALSE)&amp;" "&amp;VLOOKUP(C4814,Customers!A:C,3,FALSE)</f>
        <v>Brenda Dean</v>
      </c>
      <c r="J4814" t="str">
        <f>VLOOKUP(D4814,Products!A:C,2,FALSE)</f>
        <v>House Accessories</v>
      </c>
      <c r="K4814" t="str">
        <f>VLOOKUP(D4814,Products!A:C,3,FALSE)</f>
        <v>Fashion</v>
      </c>
      <c r="L4814" t="str">
        <f>VLOOKUP(E4814,Stores!A:B,2,FALSE)</f>
        <v>MegaMart Jimenezborough</v>
      </c>
      <c r="M4814">
        <f>VLOOKUP(D4814,Products!A:E,5,FALSE)</f>
        <v>1858.75</v>
      </c>
      <c r="N4814" s="5">
        <f t="shared" si="75"/>
        <v>3159.875</v>
      </c>
    </row>
    <row r="4815" spans="1:14" x14ac:dyDescent="0.3">
      <c r="A4815" t="s">
        <v>5671</v>
      </c>
      <c r="B4815" s="2">
        <v>45281</v>
      </c>
      <c r="C4815" t="s">
        <v>7</v>
      </c>
      <c r="D4815" t="s">
        <v>711</v>
      </c>
      <c r="E4815" t="s">
        <v>835</v>
      </c>
      <c r="F4815">
        <v>3</v>
      </c>
      <c r="G4815">
        <v>0.05</v>
      </c>
      <c r="H4815" t="s">
        <v>858</v>
      </c>
      <c r="I4815" t="str">
        <f>VLOOKUP(C4815,Customers!A:C,2,FALSE)&amp;" "&amp;VLOOKUP(C4815,Customers!A:C,3,FALSE)</f>
        <v>Michael Davis</v>
      </c>
      <c r="J4815" t="str">
        <f>VLOOKUP(D4815,Products!A:C,2,FALSE)</f>
        <v>Like Camera</v>
      </c>
      <c r="K4815" t="str">
        <f>VLOOKUP(D4815,Products!A:C,3,FALSE)</f>
        <v>Electronics</v>
      </c>
      <c r="L4815" t="str">
        <f>VLOOKUP(E4815,Stores!A:B,2,FALSE)</f>
        <v>MegaMart Peckmouth</v>
      </c>
      <c r="M4815">
        <f>VLOOKUP(D4815,Products!A:E,5,FALSE)</f>
        <v>1673.69</v>
      </c>
      <c r="N4815" s="5">
        <f t="shared" si="75"/>
        <v>4770.0164999999997</v>
      </c>
    </row>
    <row r="4816" spans="1:14" x14ac:dyDescent="0.3">
      <c r="A4816" t="s">
        <v>5672</v>
      </c>
      <c r="B4816" s="2">
        <v>45400</v>
      </c>
      <c r="C4816" t="s">
        <v>310</v>
      </c>
      <c r="D4816" t="s">
        <v>820</v>
      </c>
      <c r="E4816" t="s">
        <v>835</v>
      </c>
      <c r="F4816">
        <v>3</v>
      </c>
      <c r="G4816">
        <v>0</v>
      </c>
      <c r="H4816" t="s">
        <v>855</v>
      </c>
      <c r="I4816" t="str">
        <f>VLOOKUP(C4816,Customers!A:C,2,FALSE)&amp;" "&amp;VLOOKUP(C4816,Customers!A:C,3,FALSE)</f>
        <v>Amy Haley</v>
      </c>
      <c r="J4816" t="str">
        <f>VLOOKUP(D4816,Products!A:C,2,FALSE)</f>
        <v>Or Smartphone</v>
      </c>
      <c r="K4816" t="str">
        <f>VLOOKUP(D4816,Products!A:C,3,FALSE)</f>
        <v>Electronics</v>
      </c>
      <c r="L4816" t="str">
        <f>VLOOKUP(E4816,Stores!A:B,2,FALSE)</f>
        <v>MegaMart Peckmouth</v>
      </c>
      <c r="M4816">
        <f>VLOOKUP(D4816,Products!A:E,5,FALSE)</f>
        <v>1197.18</v>
      </c>
      <c r="N4816" s="5">
        <f t="shared" si="75"/>
        <v>3591.54</v>
      </c>
    </row>
    <row r="4817" spans="1:14" x14ac:dyDescent="0.3">
      <c r="A4817" t="s">
        <v>5673</v>
      </c>
      <c r="B4817" s="2">
        <v>45440</v>
      </c>
      <c r="C4817" t="s">
        <v>343</v>
      </c>
      <c r="D4817" t="s">
        <v>816</v>
      </c>
      <c r="E4817" t="s">
        <v>835</v>
      </c>
      <c r="F4817">
        <v>4</v>
      </c>
      <c r="G4817">
        <v>0.1</v>
      </c>
      <c r="H4817" t="s">
        <v>865</v>
      </c>
      <c r="I4817" t="str">
        <f>VLOOKUP(C4817,Customers!A:C,2,FALSE)&amp;" "&amp;VLOOKUP(C4817,Customers!A:C,3,FALSE)</f>
        <v>Brian Fowler</v>
      </c>
      <c r="J4817" t="str">
        <f>VLOOKUP(D4817,Products!A:C,2,FALSE)</f>
        <v>Set Dairy</v>
      </c>
      <c r="K4817" t="str">
        <f>VLOOKUP(D4817,Products!A:C,3,FALSE)</f>
        <v>Groceries</v>
      </c>
      <c r="L4817" t="str">
        <f>VLOOKUP(E4817,Stores!A:B,2,FALSE)</f>
        <v>MegaMart Peckmouth</v>
      </c>
      <c r="M4817">
        <f>VLOOKUP(D4817,Products!A:E,5,FALSE)</f>
        <v>1879.08</v>
      </c>
      <c r="N4817" s="5">
        <f t="shared" si="75"/>
        <v>6764.6880000000001</v>
      </c>
    </row>
    <row r="4818" spans="1:14" x14ac:dyDescent="0.3">
      <c r="A4818" t="s">
        <v>5674</v>
      </c>
      <c r="B4818" s="2">
        <v>45308</v>
      </c>
      <c r="C4818" t="s">
        <v>636</v>
      </c>
      <c r="D4818" t="s">
        <v>732</v>
      </c>
      <c r="E4818" t="s">
        <v>846</v>
      </c>
      <c r="F4818">
        <v>4</v>
      </c>
      <c r="G4818">
        <v>0.1</v>
      </c>
      <c r="H4818" t="s">
        <v>855</v>
      </c>
      <c r="I4818" t="str">
        <f>VLOOKUP(C4818,Customers!A:C,2,FALSE)&amp;" "&amp;VLOOKUP(C4818,Customers!A:C,3,FALSE)</f>
        <v>Nichole Calhoun</v>
      </c>
      <c r="J4818" t="str">
        <f>VLOOKUP(D4818,Products!A:C,2,FALSE)</f>
        <v>Understand Camera</v>
      </c>
      <c r="K4818" t="str">
        <f>VLOOKUP(D4818,Products!A:C,3,FALSE)</f>
        <v>Electronics</v>
      </c>
      <c r="L4818" t="str">
        <f>VLOOKUP(E4818,Stores!A:B,2,FALSE)</f>
        <v>MegaMart Johnmouth</v>
      </c>
      <c r="M4818">
        <f>VLOOKUP(D4818,Products!A:E,5,FALSE)</f>
        <v>1474.12</v>
      </c>
      <c r="N4818" s="5">
        <f t="shared" si="75"/>
        <v>5306.8319999999994</v>
      </c>
    </row>
    <row r="4819" spans="1:14" x14ac:dyDescent="0.3">
      <c r="A4819" t="s">
        <v>5675</v>
      </c>
      <c r="B4819" s="2">
        <v>45370</v>
      </c>
      <c r="C4819" t="s">
        <v>618</v>
      </c>
      <c r="D4819" t="s">
        <v>798</v>
      </c>
      <c r="E4819" t="s">
        <v>831</v>
      </c>
      <c r="F4819">
        <v>2</v>
      </c>
      <c r="G4819">
        <v>0.15</v>
      </c>
      <c r="H4819" t="s">
        <v>855</v>
      </c>
      <c r="I4819" t="str">
        <f>VLOOKUP(C4819,Customers!A:C,2,FALSE)&amp;" "&amp;VLOOKUP(C4819,Customers!A:C,3,FALSE)</f>
        <v>Scott Howell</v>
      </c>
      <c r="J4819" t="str">
        <f>VLOOKUP(D4819,Products!A:C,2,FALSE)</f>
        <v>New Watches</v>
      </c>
      <c r="K4819" t="str">
        <f>VLOOKUP(D4819,Products!A:C,3,FALSE)</f>
        <v>Fashion</v>
      </c>
      <c r="L4819" t="str">
        <f>VLOOKUP(E4819,Stores!A:B,2,FALSE)</f>
        <v>MegaMart Jimenezborough</v>
      </c>
      <c r="M4819">
        <f>VLOOKUP(D4819,Products!A:E,5,FALSE)</f>
        <v>1501.46</v>
      </c>
      <c r="N4819" s="5">
        <f t="shared" si="75"/>
        <v>2552.482</v>
      </c>
    </row>
    <row r="4820" spans="1:14" x14ac:dyDescent="0.3">
      <c r="A4820" t="s">
        <v>5676</v>
      </c>
      <c r="B4820" s="2">
        <v>45630</v>
      </c>
      <c r="C4820" t="s">
        <v>480</v>
      </c>
      <c r="D4820" t="s">
        <v>808</v>
      </c>
      <c r="E4820" t="s">
        <v>846</v>
      </c>
      <c r="F4820">
        <v>2</v>
      </c>
      <c r="G4820">
        <v>0</v>
      </c>
      <c r="H4820" t="s">
        <v>855</v>
      </c>
      <c r="I4820" t="str">
        <f>VLOOKUP(C4820,Customers!A:C,2,FALSE)&amp;" "&amp;VLOOKUP(C4820,Customers!A:C,3,FALSE)</f>
        <v>Denise Jackson</v>
      </c>
      <c r="J4820" t="str">
        <f>VLOOKUP(D4820,Products!A:C,2,FALSE)</f>
        <v>Present Television</v>
      </c>
      <c r="K4820" t="str">
        <f>VLOOKUP(D4820,Products!A:C,3,FALSE)</f>
        <v>Electronics</v>
      </c>
      <c r="L4820" t="str">
        <f>VLOOKUP(E4820,Stores!A:B,2,FALSE)</f>
        <v>MegaMart Johnmouth</v>
      </c>
      <c r="M4820">
        <f>VLOOKUP(D4820,Products!A:E,5,FALSE)</f>
        <v>1635.01</v>
      </c>
      <c r="N4820" s="5">
        <f t="shared" si="75"/>
        <v>3270.02</v>
      </c>
    </row>
    <row r="4821" spans="1:14" x14ac:dyDescent="0.3">
      <c r="A4821" t="s">
        <v>5677</v>
      </c>
      <c r="B4821" s="2">
        <v>45582</v>
      </c>
      <c r="C4821" t="s">
        <v>650</v>
      </c>
      <c r="D4821" t="s">
        <v>722</v>
      </c>
      <c r="E4821" t="s">
        <v>846</v>
      </c>
      <c r="F4821">
        <v>4</v>
      </c>
      <c r="G4821">
        <v>0.15</v>
      </c>
      <c r="H4821" t="s">
        <v>861</v>
      </c>
      <c r="I4821" t="str">
        <f>VLOOKUP(C4821,Customers!A:C,2,FALSE)&amp;" "&amp;VLOOKUP(C4821,Customers!A:C,3,FALSE)</f>
        <v>Daniel Mcintyre</v>
      </c>
      <c r="J4821" t="str">
        <f>VLOOKUP(D4821,Products!A:C,2,FALSE)</f>
        <v>Four Accessories</v>
      </c>
      <c r="K4821" t="str">
        <f>VLOOKUP(D4821,Products!A:C,3,FALSE)</f>
        <v>Fashion</v>
      </c>
      <c r="L4821" t="str">
        <f>VLOOKUP(E4821,Stores!A:B,2,FALSE)</f>
        <v>MegaMart Johnmouth</v>
      </c>
      <c r="M4821">
        <f>VLOOKUP(D4821,Products!A:E,5,FALSE)</f>
        <v>1853.77</v>
      </c>
      <c r="N4821" s="5">
        <f t="shared" si="75"/>
        <v>6302.8180000000002</v>
      </c>
    </row>
    <row r="4822" spans="1:14" x14ac:dyDescent="0.3">
      <c r="A4822" t="s">
        <v>5678</v>
      </c>
      <c r="B4822" s="2">
        <v>45750</v>
      </c>
      <c r="C4822" t="s">
        <v>487</v>
      </c>
      <c r="D4822" t="s">
        <v>784</v>
      </c>
      <c r="E4822" t="s">
        <v>839</v>
      </c>
      <c r="F4822">
        <v>3</v>
      </c>
      <c r="G4822">
        <v>0.15</v>
      </c>
      <c r="H4822" t="s">
        <v>858</v>
      </c>
      <c r="I4822" t="str">
        <f>VLOOKUP(C4822,Customers!A:C,2,FALSE)&amp;" "&amp;VLOOKUP(C4822,Customers!A:C,3,FALSE)</f>
        <v>Yvette Roth</v>
      </c>
      <c r="J4822" t="str">
        <f>VLOOKUP(D4822,Products!A:C,2,FALSE)</f>
        <v>Road Clothing</v>
      </c>
      <c r="K4822" t="str">
        <f>VLOOKUP(D4822,Products!A:C,3,FALSE)</f>
        <v>Fashion</v>
      </c>
      <c r="L4822" t="str">
        <f>VLOOKUP(E4822,Stores!A:B,2,FALSE)</f>
        <v>MegaMart New Michele</v>
      </c>
      <c r="M4822">
        <f>VLOOKUP(D4822,Products!A:E,5,FALSE)</f>
        <v>1485.05</v>
      </c>
      <c r="N4822" s="5">
        <f t="shared" si="75"/>
        <v>3786.8774999999996</v>
      </c>
    </row>
    <row r="4823" spans="1:14" x14ac:dyDescent="0.3">
      <c r="A4823" t="s">
        <v>5679</v>
      </c>
      <c r="B4823" s="2">
        <v>45774</v>
      </c>
      <c r="C4823" t="s">
        <v>151</v>
      </c>
      <c r="D4823" t="s">
        <v>722</v>
      </c>
      <c r="E4823" t="s">
        <v>835</v>
      </c>
      <c r="F4823">
        <v>2</v>
      </c>
      <c r="G4823">
        <v>0.05</v>
      </c>
      <c r="H4823" t="s">
        <v>858</v>
      </c>
      <c r="I4823" t="str">
        <f>VLOOKUP(C4823,Customers!A:C,2,FALSE)&amp;" "&amp;VLOOKUP(C4823,Customers!A:C,3,FALSE)</f>
        <v>Nancy Savage</v>
      </c>
      <c r="J4823" t="str">
        <f>VLOOKUP(D4823,Products!A:C,2,FALSE)</f>
        <v>Four Accessories</v>
      </c>
      <c r="K4823" t="str">
        <f>VLOOKUP(D4823,Products!A:C,3,FALSE)</f>
        <v>Fashion</v>
      </c>
      <c r="L4823" t="str">
        <f>VLOOKUP(E4823,Stores!A:B,2,FALSE)</f>
        <v>MegaMart Peckmouth</v>
      </c>
      <c r="M4823">
        <f>VLOOKUP(D4823,Products!A:E,5,FALSE)</f>
        <v>1853.77</v>
      </c>
      <c r="N4823" s="5">
        <f t="shared" si="75"/>
        <v>3522.163</v>
      </c>
    </row>
    <row r="4824" spans="1:14" x14ac:dyDescent="0.3">
      <c r="A4824" t="s">
        <v>5680</v>
      </c>
      <c r="B4824" s="2">
        <v>45368</v>
      </c>
      <c r="C4824" t="s">
        <v>44</v>
      </c>
      <c r="D4824" t="s">
        <v>782</v>
      </c>
      <c r="E4824" t="s">
        <v>842</v>
      </c>
      <c r="F4824">
        <v>4</v>
      </c>
      <c r="G4824">
        <v>0.15</v>
      </c>
      <c r="H4824" t="s">
        <v>858</v>
      </c>
      <c r="I4824" t="str">
        <f>VLOOKUP(C4824,Customers!A:C,2,FALSE)&amp;" "&amp;VLOOKUP(C4824,Customers!A:C,3,FALSE)</f>
        <v>Catherine Rice</v>
      </c>
      <c r="J4824" t="str">
        <f>VLOOKUP(D4824,Products!A:C,2,FALSE)</f>
        <v>Deal Smartphone</v>
      </c>
      <c r="K4824" t="str">
        <f>VLOOKUP(D4824,Products!A:C,3,FALSE)</f>
        <v>Electronics</v>
      </c>
      <c r="L4824" t="str">
        <f>VLOOKUP(E4824,Stores!A:B,2,FALSE)</f>
        <v>MegaMart Brianahaven</v>
      </c>
      <c r="M4824">
        <f>VLOOKUP(D4824,Products!A:E,5,FALSE)</f>
        <v>673.78</v>
      </c>
      <c r="N4824" s="5">
        <f t="shared" si="75"/>
        <v>2290.8519999999999</v>
      </c>
    </row>
    <row r="4825" spans="1:14" x14ac:dyDescent="0.3">
      <c r="A4825" t="s">
        <v>5681</v>
      </c>
      <c r="B4825" s="2">
        <v>45421</v>
      </c>
      <c r="C4825" t="s">
        <v>277</v>
      </c>
      <c r="D4825" t="s">
        <v>732</v>
      </c>
      <c r="E4825" t="s">
        <v>846</v>
      </c>
      <c r="F4825">
        <v>1</v>
      </c>
      <c r="G4825">
        <v>0.05</v>
      </c>
      <c r="H4825" t="s">
        <v>855</v>
      </c>
      <c r="I4825" t="str">
        <f>VLOOKUP(C4825,Customers!A:C,2,FALSE)&amp;" "&amp;VLOOKUP(C4825,Customers!A:C,3,FALSE)</f>
        <v>Carl Armstrong</v>
      </c>
      <c r="J4825" t="str">
        <f>VLOOKUP(D4825,Products!A:C,2,FALSE)</f>
        <v>Understand Camera</v>
      </c>
      <c r="K4825" t="str">
        <f>VLOOKUP(D4825,Products!A:C,3,FALSE)</f>
        <v>Electronics</v>
      </c>
      <c r="L4825" t="str">
        <f>VLOOKUP(E4825,Stores!A:B,2,FALSE)</f>
        <v>MegaMart Johnmouth</v>
      </c>
      <c r="M4825">
        <f>VLOOKUP(D4825,Products!A:E,5,FALSE)</f>
        <v>1474.12</v>
      </c>
      <c r="N4825" s="5">
        <f t="shared" si="75"/>
        <v>1400.4139999999998</v>
      </c>
    </row>
    <row r="4826" spans="1:14" x14ac:dyDescent="0.3">
      <c r="A4826" t="s">
        <v>5682</v>
      </c>
      <c r="B4826" s="2">
        <v>45877</v>
      </c>
      <c r="C4826" t="s">
        <v>539</v>
      </c>
      <c r="D4826" t="s">
        <v>745</v>
      </c>
      <c r="E4826" t="s">
        <v>839</v>
      </c>
      <c r="F4826">
        <v>5</v>
      </c>
      <c r="G4826">
        <v>0.15</v>
      </c>
      <c r="H4826" t="s">
        <v>861</v>
      </c>
      <c r="I4826" t="str">
        <f>VLOOKUP(C4826,Customers!A:C,2,FALSE)&amp;" "&amp;VLOOKUP(C4826,Customers!A:C,3,FALSE)</f>
        <v>Melissa Torres</v>
      </c>
      <c r="J4826" t="str">
        <f>VLOOKUP(D4826,Products!A:C,2,FALSE)</f>
        <v>Above Camera</v>
      </c>
      <c r="K4826" t="str">
        <f>VLOOKUP(D4826,Products!A:C,3,FALSE)</f>
        <v>Electronics</v>
      </c>
      <c r="L4826" t="str">
        <f>VLOOKUP(E4826,Stores!A:B,2,FALSE)</f>
        <v>MegaMart New Michele</v>
      </c>
      <c r="M4826">
        <f>VLOOKUP(D4826,Products!A:E,5,FALSE)</f>
        <v>1193.0899999999999</v>
      </c>
      <c r="N4826" s="5">
        <f t="shared" si="75"/>
        <v>5070.6324999999997</v>
      </c>
    </row>
    <row r="4827" spans="1:14" x14ac:dyDescent="0.3">
      <c r="A4827" t="s">
        <v>5683</v>
      </c>
      <c r="B4827" s="2">
        <v>45821</v>
      </c>
      <c r="C4827" t="s">
        <v>137</v>
      </c>
      <c r="D4827" t="s">
        <v>736</v>
      </c>
      <c r="E4827" t="s">
        <v>831</v>
      </c>
      <c r="F4827">
        <v>3</v>
      </c>
      <c r="G4827">
        <v>0.05</v>
      </c>
      <c r="H4827" t="s">
        <v>858</v>
      </c>
      <c r="I4827" t="str">
        <f>VLOOKUP(C4827,Customers!A:C,2,FALSE)&amp;" "&amp;VLOOKUP(C4827,Customers!A:C,3,FALSE)</f>
        <v>Kimberly King</v>
      </c>
      <c r="J4827" t="str">
        <f>VLOOKUP(D4827,Products!A:C,2,FALSE)</f>
        <v>Us Snacks</v>
      </c>
      <c r="K4827" t="str">
        <f>VLOOKUP(D4827,Products!A:C,3,FALSE)</f>
        <v>Groceries</v>
      </c>
      <c r="L4827" t="str">
        <f>VLOOKUP(E4827,Stores!A:B,2,FALSE)</f>
        <v>MegaMart Jimenezborough</v>
      </c>
      <c r="M4827">
        <f>VLOOKUP(D4827,Products!A:E,5,FALSE)</f>
        <v>123.19</v>
      </c>
      <c r="N4827" s="5">
        <f t="shared" si="75"/>
        <v>351.0915</v>
      </c>
    </row>
    <row r="4828" spans="1:14" x14ac:dyDescent="0.3">
      <c r="A4828" t="s">
        <v>5684</v>
      </c>
      <c r="B4828" s="2">
        <v>45633</v>
      </c>
      <c r="C4828" t="s">
        <v>187</v>
      </c>
      <c r="D4828" t="s">
        <v>772</v>
      </c>
      <c r="E4828" t="s">
        <v>835</v>
      </c>
      <c r="F4828">
        <v>4</v>
      </c>
      <c r="G4828">
        <v>0.05</v>
      </c>
      <c r="H4828" t="s">
        <v>865</v>
      </c>
      <c r="I4828" t="str">
        <f>VLOOKUP(C4828,Customers!A:C,2,FALSE)&amp;" "&amp;VLOOKUP(C4828,Customers!A:C,3,FALSE)</f>
        <v>Alexis Crane</v>
      </c>
      <c r="J4828" t="str">
        <f>VLOOKUP(D4828,Products!A:C,2,FALSE)</f>
        <v>And Footwear</v>
      </c>
      <c r="K4828" t="str">
        <f>VLOOKUP(D4828,Products!A:C,3,FALSE)</f>
        <v>Fashion</v>
      </c>
      <c r="L4828" t="str">
        <f>VLOOKUP(E4828,Stores!A:B,2,FALSE)</f>
        <v>MegaMart Peckmouth</v>
      </c>
      <c r="M4828">
        <f>VLOOKUP(D4828,Products!A:E,5,FALSE)</f>
        <v>1878.47</v>
      </c>
      <c r="N4828" s="5">
        <f t="shared" si="75"/>
        <v>7138.1859999999997</v>
      </c>
    </row>
    <row r="4829" spans="1:14" x14ac:dyDescent="0.3">
      <c r="A4829" t="s">
        <v>5685</v>
      </c>
      <c r="B4829" s="2">
        <v>45647</v>
      </c>
      <c r="C4829" t="s">
        <v>372</v>
      </c>
      <c r="D4829" t="s">
        <v>796</v>
      </c>
      <c r="E4829" t="s">
        <v>842</v>
      </c>
      <c r="F4829">
        <v>4</v>
      </c>
      <c r="G4829">
        <v>0</v>
      </c>
      <c r="H4829" t="s">
        <v>858</v>
      </c>
      <c r="I4829" t="str">
        <f>VLOOKUP(C4829,Customers!A:C,2,FALSE)&amp;" "&amp;VLOOKUP(C4829,Customers!A:C,3,FALSE)</f>
        <v>Kimberly Jones</v>
      </c>
      <c r="J4829" t="str">
        <f>VLOOKUP(D4829,Products!A:C,2,FALSE)</f>
        <v>Chair Laptop</v>
      </c>
      <c r="K4829" t="str">
        <f>VLOOKUP(D4829,Products!A:C,3,FALSE)</f>
        <v>Electronics</v>
      </c>
      <c r="L4829" t="str">
        <f>VLOOKUP(E4829,Stores!A:B,2,FALSE)</f>
        <v>MegaMart Brianahaven</v>
      </c>
      <c r="M4829">
        <f>VLOOKUP(D4829,Products!A:E,5,FALSE)</f>
        <v>1562.43</v>
      </c>
      <c r="N4829" s="5">
        <f t="shared" si="75"/>
        <v>6249.72</v>
      </c>
    </row>
    <row r="4830" spans="1:14" x14ac:dyDescent="0.3">
      <c r="A4830" t="s">
        <v>5686</v>
      </c>
      <c r="B4830" s="2">
        <v>45586</v>
      </c>
      <c r="C4830" t="s">
        <v>531</v>
      </c>
      <c r="D4830" t="s">
        <v>739</v>
      </c>
      <c r="E4830" t="s">
        <v>846</v>
      </c>
      <c r="F4830">
        <v>4</v>
      </c>
      <c r="G4830">
        <v>0.05</v>
      </c>
      <c r="H4830" t="s">
        <v>861</v>
      </c>
      <c r="I4830" t="str">
        <f>VLOOKUP(C4830,Customers!A:C,2,FALSE)&amp;" "&amp;VLOOKUP(C4830,Customers!A:C,3,FALSE)</f>
        <v>John Johnson</v>
      </c>
      <c r="J4830" t="str">
        <f>VLOOKUP(D4830,Products!A:C,2,FALSE)</f>
        <v>Step Smartphone</v>
      </c>
      <c r="K4830" t="str">
        <f>VLOOKUP(D4830,Products!A:C,3,FALSE)</f>
        <v>Electronics</v>
      </c>
      <c r="L4830" t="str">
        <f>VLOOKUP(E4830,Stores!A:B,2,FALSE)</f>
        <v>MegaMart Johnmouth</v>
      </c>
      <c r="M4830">
        <f>VLOOKUP(D4830,Products!A:E,5,FALSE)</f>
        <v>1194.1199999999999</v>
      </c>
      <c r="N4830" s="5">
        <f t="shared" si="75"/>
        <v>4537.655999999999</v>
      </c>
    </row>
    <row r="4831" spans="1:14" x14ac:dyDescent="0.3">
      <c r="A4831" t="s">
        <v>5687</v>
      </c>
      <c r="B4831" s="2">
        <v>45815</v>
      </c>
      <c r="C4831" t="s">
        <v>335</v>
      </c>
      <c r="D4831" t="s">
        <v>784</v>
      </c>
      <c r="E4831" t="s">
        <v>842</v>
      </c>
      <c r="F4831">
        <v>5</v>
      </c>
      <c r="G4831">
        <v>0.05</v>
      </c>
      <c r="H4831" t="s">
        <v>861</v>
      </c>
      <c r="I4831" t="str">
        <f>VLOOKUP(C4831,Customers!A:C,2,FALSE)&amp;" "&amp;VLOOKUP(C4831,Customers!A:C,3,FALSE)</f>
        <v>William Warner</v>
      </c>
      <c r="J4831" t="str">
        <f>VLOOKUP(D4831,Products!A:C,2,FALSE)</f>
        <v>Road Clothing</v>
      </c>
      <c r="K4831" t="str">
        <f>VLOOKUP(D4831,Products!A:C,3,FALSE)</f>
        <v>Fashion</v>
      </c>
      <c r="L4831" t="str">
        <f>VLOOKUP(E4831,Stores!A:B,2,FALSE)</f>
        <v>MegaMart Brianahaven</v>
      </c>
      <c r="M4831">
        <f>VLOOKUP(D4831,Products!A:E,5,FALSE)</f>
        <v>1485.05</v>
      </c>
      <c r="N4831" s="5">
        <f t="shared" si="75"/>
        <v>7053.9874999999993</v>
      </c>
    </row>
    <row r="4832" spans="1:14" x14ac:dyDescent="0.3">
      <c r="A4832" t="s">
        <v>5688</v>
      </c>
      <c r="B4832" s="2">
        <v>45766</v>
      </c>
      <c r="C4832" t="s">
        <v>217</v>
      </c>
      <c r="D4832" t="s">
        <v>788</v>
      </c>
      <c r="E4832" t="s">
        <v>839</v>
      </c>
      <c r="F4832">
        <v>5</v>
      </c>
      <c r="G4832">
        <v>0.15</v>
      </c>
      <c r="H4832" t="s">
        <v>858</v>
      </c>
      <c r="I4832" t="str">
        <f>VLOOKUP(C4832,Customers!A:C,2,FALSE)&amp;" "&amp;VLOOKUP(C4832,Customers!A:C,3,FALSE)</f>
        <v>Carl Wyatt</v>
      </c>
      <c r="J4832" t="str">
        <f>VLOOKUP(D4832,Products!A:C,2,FALSE)</f>
        <v>Foot Snacks</v>
      </c>
      <c r="K4832" t="str">
        <f>VLOOKUP(D4832,Products!A:C,3,FALSE)</f>
        <v>Groceries</v>
      </c>
      <c r="L4832" t="str">
        <f>VLOOKUP(E4832,Stores!A:B,2,FALSE)</f>
        <v>MegaMart New Michele</v>
      </c>
      <c r="M4832">
        <f>VLOOKUP(D4832,Products!A:E,5,FALSE)</f>
        <v>1095.72</v>
      </c>
      <c r="N4832" s="5">
        <f t="shared" si="75"/>
        <v>4656.8100000000004</v>
      </c>
    </row>
    <row r="4833" spans="1:14" x14ac:dyDescent="0.3">
      <c r="A4833" t="s">
        <v>5689</v>
      </c>
      <c r="B4833" s="2">
        <v>45539</v>
      </c>
      <c r="C4833" t="s">
        <v>520</v>
      </c>
      <c r="D4833" t="s">
        <v>800</v>
      </c>
      <c r="E4833" t="s">
        <v>846</v>
      </c>
      <c r="F4833">
        <v>4</v>
      </c>
      <c r="G4833">
        <v>0.15</v>
      </c>
      <c r="H4833" t="s">
        <v>858</v>
      </c>
      <c r="I4833" t="str">
        <f>VLOOKUP(C4833,Customers!A:C,2,FALSE)&amp;" "&amp;VLOOKUP(C4833,Customers!A:C,3,FALSE)</f>
        <v>Cynthia Carlson</v>
      </c>
      <c r="J4833" t="str">
        <f>VLOOKUP(D4833,Products!A:C,2,FALSE)</f>
        <v>Book Television</v>
      </c>
      <c r="K4833" t="str">
        <f>VLOOKUP(D4833,Products!A:C,3,FALSE)</f>
        <v>Electronics</v>
      </c>
      <c r="L4833" t="str">
        <f>VLOOKUP(E4833,Stores!A:B,2,FALSE)</f>
        <v>MegaMart Johnmouth</v>
      </c>
      <c r="M4833">
        <f>VLOOKUP(D4833,Products!A:E,5,FALSE)</f>
        <v>1952.65</v>
      </c>
      <c r="N4833" s="5">
        <f t="shared" si="75"/>
        <v>6639.01</v>
      </c>
    </row>
    <row r="4834" spans="1:14" x14ac:dyDescent="0.3">
      <c r="A4834" t="s">
        <v>5690</v>
      </c>
      <c r="B4834" s="2">
        <v>45469</v>
      </c>
      <c r="C4834" t="s">
        <v>563</v>
      </c>
      <c r="D4834" t="s">
        <v>734</v>
      </c>
      <c r="E4834" t="s">
        <v>835</v>
      </c>
      <c r="F4834">
        <v>3</v>
      </c>
      <c r="G4834">
        <v>0.15</v>
      </c>
      <c r="H4834" t="s">
        <v>865</v>
      </c>
      <c r="I4834" t="str">
        <f>VLOOKUP(C4834,Customers!A:C,2,FALSE)&amp;" "&amp;VLOOKUP(C4834,Customers!A:C,3,FALSE)</f>
        <v>Connie Terry</v>
      </c>
      <c r="J4834" t="str">
        <f>VLOOKUP(D4834,Products!A:C,2,FALSE)</f>
        <v>Recognize Footwear</v>
      </c>
      <c r="K4834" t="str">
        <f>VLOOKUP(D4834,Products!A:C,3,FALSE)</f>
        <v>Fashion</v>
      </c>
      <c r="L4834" t="str">
        <f>VLOOKUP(E4834,Stores!A:B,2,FALSE)</f>
        <v>MegaMart Peckmouth</v>
      </c>
      <c r="M4834">
        <f>VLOOKUP(D4834,Products!A:E,5,FALSE)</f>
        <v>109.78</v>
      </c>
      <c r="N4834" s="5">
        <f t="shared" si="75"/>
        <v>279.93900000000002</v>
      </c>
    </row>
    <row r="4835" spans="1:14" x14ac:dyDescent="0.3">
      <c r="A4835" t="s">
        <v>5691</v>
      </c>
      <c r="B4835" s="2">
        <v>45730</v>
      </c>
      <c r="C4835" t="s">
        <v>294</v>
      </c>
      <c r="D4835" t="s">
        <v>826</v>
      </c>
      <c r="E4835" t="s">
        <v>831</v>
      </c>
      <c r="F4835">
        <v>2</v>
      </c>
      <c r="G4835">
        <v>0.1</v>
      </c>
      <c r="H4835" t="s">
        <v>861</v>
      </c>
      <c r="I4835" t="str">
        <f>VLOOKUP(C4835,Customers!A:C,2,FALSE)&amp;" "&amp;VLOOKUP(C4835,Customers!A:C,3,FALSE)</f>
        <v>Jeanne Young</v>
      </c>
      <c r="J4835" t="str">
        <f>VLOOKUP(D4835,Products!A:C,2,FALSE)</f>
        <v>Maybe Footwear</v>
      </c>
      <c r="K4835" t="str">
        <f>VLOOKUP(D4835,Products!A:C,3,FALSE)</f>
        <v>Fashion</v>
      </c>
      <c r="L4835" t="str">
        <f>VLOOKUP(E4835,Stores!A:B,2,FALSE)</f>
        <v>MegaMart Jimenezborough</v>
      </c>
      <c r="M4835">
        <f>VLOOKUP(D4835,Products!A:E,5,FALSE)</f>
        <v>1044.6400000000001</v>
      </c>
      <c r="N4835" s="5">
        <f t="shared" si="75"/>
        <v>1880.3520000000003</v>
      </c>
    </row>
    <row r="4836" spans="1:14" x14ac:dyDescent="0.3">
      <c r="A4836" t="s">
        <v>5692</v>
      </c>
      <c r="B4836" s="2">
        <v>45730</v>
      </c>
      <c r="C4836" t="s">
        <v>55</v>
      </c>
      <c r="D4836" t="s">
        <v>798</v>
      </c>
      <c r="E4836" t="s">
        <v>846</v>
      </c>
      <c r="F4836">
        <v>3</v>
      </c>
      <c r="G4836">
        <v>0.05</v>
      </c>
      <c r="H4836" t="s">
        <v>865</v>
      </c>
      <c r="I4836" t="str">
        <f>VLOOKUP(C4836,Customers!A:C,2,FALSE)&amp;" "&amp;VLOOKUP(C4836,Customers!A:C,3,FALSE)</f>
        <v>Robert Anderson</v>
      </c>
      <c r="J4836" t="str">
        <f>VLOOKUP(D4836,Products!A:C,2,FALSE)</f>
        <v>New Watches</v>
      </c>
      <c r="K4836" t="str">
        <f>VLOOKUP(D4836,Products!A:C,3,FALSE)</f>
        <v>Fashion</v>
      </c>
      <c r="L4836" t="str">
        <f>VLOOKUP(E4836,Stores!A:B,2,FALSE)</f>
        <v>MegaMart Johnmouth</v>
      </c>
      <c r="M4836">
        <f>VLOOKUP(D4836,Products!A:E,5,FALSE)</f>
        <v>1501.46</v>
      </c>
      <c r="N4836" s="5">
        <f t="shared" si="75"/>
        <v>4279.1610000000001</v>
      </c>
    </row>
    <row r="4837" spans="1:14" x14ac:dyDescent="0.3">
      <c r="A4837" t="s">
        <v>5693</v>
      </c>
      <c r="B4837" s="2">
        <v>45876</v>
      </c>
      <c r="C4837" t="s">
        <v>317</v>
      </c>
      <c r="D4837" t="s">
        <v>769</v>
      </c>
      <c r="E4837" t="s">
        <v>835</v>
      </c>
      <c r="F4837">
        <v>5</v>
      </c>
      <c r="G4837">
        <v>0.05</v>
      </c>
      <c r="H4837" t="s">
        <v>865</v>
      </c>
      <c r="I4837" t="str">
        <f>VLOOKUP(C4837,Customers!A:C,2,FALSE)&amp;" "&amp;VLOOKUP(C4837,Customers!A:C,3,FALSE)</f>
        <v>Amanda Lee</v>
      </c>
      <c r="J4837" t="str">
        <f>VLOOKUP(D4837,Products!A:C,2,FALSE)</f>
        <v>How Vegetables</v>
      </c>
      <c r="K4837" t="str">
        <f>VLOOKUP(D4837,Products!A:C,3,FALSE)</f>
        <v>Groceries</v>
      </c>
      <c r="L4837" t="str">
        <f>VLOOKUP(E4837,Stores!A:B,2,FALSE)</f>
        <v>MegaMart Peckmouth</v>
      </c>
      <c r="M4837">
        <f>VLOOKUP(D4837,Products!A:E,5,FALSE)</f>
        <v>25.57</v>
      </c>
      <c r="N4837" s="5">
        <f t="shared" si="75"/>
        <v>121.4575</v>
      </c>
    </row>
    <row r="4838" spans="1:14" x14ac:dyDescent="0.3">
      <c r="A4838" t="s">
        <v>5694</v>
      </c>
      <c r="B4838" s="2">
        <v>45757</v>
      </c>
      <c r="C4838" t="s">
        <v>155</v>
      </c>
      <c r="D4838" t="s">
        <v>800</v>
      </c>
      <c r="E4838" t="s">
        <v>835</v>
      </c>
      <c r="F4838">
        <v>4</v>
      </c>
      <c r="G4838">
        <v>0</v>
      </c>
      <c r="H4838" t="s">
        <v>865</v>
      </c>
      <c r="I4838" t="str">
        <f>VLOOKUP(C4838,Customers!A:C,2,FALSE)&amp;" "&amp;VLOOKUP(C4838,Customers!A:C,3,FALSE)</f>
        <v>Scott Powell</v>
      </c>
      <c r="J4838" t="str">
        <f>VLOOKUP(D4838,Products!A:C,2,FALSE)</f>
        <v>Book Television</v>
      </c>
      <c r="K4838" t="str">
        <f>VLOOKUP(D4838,Products!A:C,3,FALSE)</f>
        <v>Electronics</v>
      </c>
      <c r="L4838" t="str">
        <f>VLOOKUP(E4838,Stores!A:B,2,FALSE)</f>
        <v>MegaMart Peckmouth</v>
      </c>
      <c r="M4838">
        <f>VLOOKUP(D4838,Products!A:E,5,FALSE)</f>
        <v>1952.65</v>
      </c>
      <c r="N4838" s="5">
        <f t="shared" si="75"/>
        <v>7810.6</v>
      </c>
    </row>
    <row r="4839" spans="1:14" x14ac:dyDescent="0.3">
      <c r="A4839" t="s">
        <v>5695</v>
      </c>
      <c r="B4839" s="2">
        <v>45390</v>
      </c>
      <c r="C4839" t="s">
        <v>12</v>
      </c>
      <c r="D4839" t="s">
        <v>790</v>
      </c>
      <c r="E4839" t="s">
        <v>831</v>
      </c>
      <c r="F4839">
        <v>3</v>
      </c>
      <c r="G4839">
        <v>0.1</v>
      </c>
      <c r="H4839" t="s">
        <v>865</v>
      </c>
      <c r="I4839" t="str">
        <f>VLOOKUP(C4839,Customers!A:C,2,FALSE)&amp;" "&amp;VLOOKUP(C4839,Customers!A:C,3,FALSE)</f>
        <v>Michael Miller</v>
      </c>
      <c r="J4839" t="str">
        <f>VLOOKUP(D4839,Products!A:C,2,FALSE)</f>
        <v>Difficult Vegetables</v>
      </c>
      <c r="K4839" t="str">
        <f>VLOOKUP(D4839,Products!A:C,3,FALSE)</f>
        <v>Groceries</v>
      </c>
      <c r="L4839" t="str">
        <f>VLOOKUP(E4839,Stores!A:B,2,FALSE)</f>
        <v>MegaMart Jimenezborough</v>
      </c>
      <c r="M4839">
        <f>VLOOKUP(D4839,Products!A:E,5,FALSE)</f>
        <v>304.70999999999998</v>
      </c>
      <c r="N4839" s="5">
        <f t="shared" si="75"/>
        <v>822.71699999999987</v>
      </c>
    </row>
    <row r="4840" spans="1:14" x14ac:dyDescent="0.3">
      <c r="A4840" t="s">
        <v>5696</v>
      </c>
      <c r="B4840" s="2">
        <v>45615</v>
      </c>
      <c r="C4840" t="s">
        <v>599</v>
      </c>
      <c r="D4840" t="s">
        <v>806</v>
      </c>
      <c r="E4840" t="s">
        <v>842</v>
      </c>
      <c r="F4840">
        <v>4</v>
      </c>
      <c r="G4840">
        <v>0.05</v>
      </c>
      <c r="H4840" t="s">
        <v>865</v>
      </c>
      <c r="I4840" t="str">
        <f>VLOOKUP(C4840,Customers!A:C,2,FALSE)&amp;" "&amp;VLOOKUP(C4840,Customers!A:C,3,FALSE)</f>
        <v>Richard Jones</v>
      </c>
      <c r="J4840" t="str">
        <f>VLOOKUP(D4840,Products!A:C,2,FALSE)</f>
        <v>Piece Headphones</v>
      </c>
      <c r="K4840" t="str">
        <f>VLOOKUP(D4840,Products!A:C,3,FALSE)</f>
        <v>Electronics</v>
      </c>
      <c r="L4840" t="str">
        <f>VLOOKUP(E4840,Stores!A:B,2,FALSE)</f>
        <v>MegaMart Brianahaven</v>
      </c>
      <c r="M4840">
        <f>VLOOKUP(D4840,Products!A:E,5,FALSE)</f>
        <v>1745.61</v>
      </c>
      <c r="N4840" s="5">
        <f t="shared" si="75"/>
        <v>6633.3179999999993</v>
      </c>
    </row>
    <row r="4841" spans="1:14" x14ac:dyDescent="0.3">
      <c r="A4841" t="s">
        <v>5697</v>
      </c>
      <c r="B4841" s="2">
        <v>45345</v>
      </c>
      <c r="C4841" t="s">
        <v>298</v>
      </c>
      <c r="D4841" t="s">
        <v>790</v>
      </c>
      <c r="E4841" t="s">
        <v>835</v>
      </c>
      <c r="F4841">
        <v>1</v>
      </c>
      <c r="G4841">
        <v>0.1</v>
      </c>
      <c r="H4841" t="s">
        <v>865</v>
      </c>
      <c r="I4841" t="str">
        <f>VLOOKUP(C4841,Customers!A:C,2,FALSE)&amp;" "&amp;VLOOKUP(C4841,Customers!A:C,3,FALSE)</f>
        <v>Donald Marsh</v>
      </c>
      <c r="J4841" t="str">
        <f>VLOOKUP(D4841,Products!A:C,2,FALSE)</f>
        <v>Difficult Vegetables</v>
      </c>
      <c r="K4841" t="str">
        <f>VLOOKUP(D4841,Products!A:C,3,FALSE)</f>
        <v>Groceries</v>
      </c>
      <c r="L4841" t="str">
        <f>VLOOKUP(E4841,Stores!A:B,2,FALSE)</f>
        <v>MegaMart Peckmouth</v>
      </c>
      <c r="M4841">
        <f>VLOOKUP(D4841,Products!A:E,5,FALSE)</f>
        <v>304.70999999999998</v>
      </c>
      <c r="N4841" s="5">
        <f t="shared" si="75"/>
        <v>274.23899999999998</v>
      </c>
    </row>
    <row r="4842" spans="1:14" x14ac:dyDescent="0.3">
      <c r="A4842" t="s">
        <v>5698</v>
      </c>
      <c r="B4842" s="2">
        <v>45313</v>
      </c>
      <c r="C4842" t="s">
        <v>217</v>
      </c>
      <c r="D4842" t="s">
        <v>711</v>
      </c>
      <c r="E4842" t="s">
        <v>839</v>
      </c>
      <c r="F4842">
        <v>1</v>
      </c>
      <c r="G4842">
        <v>0</v>
      </c>
      <c r="H4842" t="s">
        <v>861</v>
      </c>
      <c r="I4842" t="str">
        <f>VLOOKUP(C4842,Customers!A:C,2,FALSE)&amp;" "&amp;VLOOKUP(C4842,Customers!A:C,3,FALSE)</f>
        <v>Carl Wyatt</v>
      </c>
      <c r="J4842" t="str">
        <f>VLOOKUP(D4842,Products!A:C,2,FALSE)</f>
        <v>Like Camera</v>
      </c>
      <c r="K4842" t="str">
        <f>VLOOKUP(D4842,Products!A:C,3,FALSE)</f>
        <v>Electronics</v>
      </c>
      <c r="L4842" t="str">
        <f>VLOOKUP(E4842,Stores!A:B,2,FALSE)</f>
        <v>MegaMart New Michele</v>
      </c>
      <c r="M4842">
        <f>VLOOKUP(D4842,Products!A:E,5,FALSE)</f>
        <v>1673.69</v>
      </c>
      <c r="N4842" s="5">
        <f t="shared" si="75"/>
        <v>1673.69</v>
      </c>
    </row>
    <row r="4843" spans="1:14" x14ac:dyDescent="0.3">
      <c r="A4843" t="s">
        <v>5699</v>
      </c>
      <c r="B4843" s="2">
        <v>45635</v>
      </c>
      <c r="C4843" t="s">
        <v>487</v>
      </c>
      <c r="D4843" t="s">
        <v>732</v>
      </c>
      <c r="E4843" t="s">
        <v>846</v>
      </c>
      <c r="F4843">
        <v>4</v>
      </c>
      <c r="G4843">
        <v>0.1</v>
      </c>
      <c r="H4843" t="s">
        <v>861</v>
      </c>
      <c r="I4843" t="str">
        <f>VLOOKUP(C4843,Customers!A:C,2,FALSE)&amp;" "&amp;VLOOKUP(C4843,Customers!A:C,3,FALSE)</f>
        <v>Yvette Roth</v>
      </c>
      <c r="J4843" t="str">
        <f>VLOOKUP(D4843,Products!A:C,2,FALSE)</f>
        <v>Understand Camera</v>
      </c>
      <c r="K4843" t="str">
        <f>VLOOKUP(D4843,Products!A:C,3,FALSE)</f>
        <v>Electronics</v>
      </c>
      <c r="L4843" t="str">
        <f>VLOOKUP(E4843,Stores!A:B,2,FALSE)</f>
        <v>MegaMart Johnmouth</v>
      </c>
      <c r="M4843">
        <f>VLOOKUP(D4843,Products!A:E,5,FALSE)</f>
        <v>1474.12</v>
      </c>
      <c r="N4843" s="5">
        <f t="shared" si="75"/>
        <v>5306.8319999999994</v>
      </c>
    </row>
    <row r="4844" spans="1:14" x14ac:dyDescent="0.3">
      <c r="A4844" t="s">
        <v>5700</v>
      </c>
      <c r="B4844" s="2">
        <v>45411</v>
      </c>
      <c r="C4844" t="s">
        <v>582</v>
      </c>
      <c r="D4844" t="s">
        <v>788</v>
      </c>
      <c r="E4844" t="s">
        <v>846</v>
      </c>
      <c r="F4844">
        <v>4</v>
      </c>
      <c r="G4844">
        <v>0.05</v>
      </c>
      <c r="H4844" t="s">
        <v>865</v>
      </c>
      <c r="I4844" t="str">
        <f>VLOOKUP(C4844,Customers!A:C,2,FALSE)&amp;" "&amp;VLOOKUP(C4844,Customers!A:C,3,FALSE)</f>
        <v>Erin Rogers</v>
      </c>
      <c r="J4844" t="str">
        <f>VLOOKUP(D4844,Products!A:C,2,FALSE)</f>
        <v>Foot Snacks</v>
      </c>
      <c r="K4844" t="str">
        <f>VLOOKUP(D4844,Products!A:C,3,FALSE)</f>
        <v>Groceries</v>
      </c>
      <c r="L4844" t="str">
        <f>VLOOKUP(E4844,Stores!A:B,2,FALSE)</f>
        <v>MegaMart Johnmouth</v>
      </c>
      <c r="M4844">
        <f>VLOOKUP(D4844,Products!A:E,5,FALSE)</f>
        <v>1095.72</v>
      </c>
      <c r="N4844" s="5">
        <f t="shared" si="75"/>
        <v>4163.7359999999999</v>
      </c>
    </row>
    <row r="4845" spans="1:14" x14ac:dyDescent="0.3">
      <c r="A4845" t="s">
        <v>5701</v>
      </c>
      <c r="B4845" s="2">
        <v>45200</v>
      </c>
      <c r="C4845" t="s">
        <v>549</v>
      </c>
      <c r="D4845" t="s">
        <v>747</v>
      </c>
      <c r="E4845" t="s">
        <v>846</v>
      </c>
      <c r="F4845">
        <v>5</v>
      </c>
      <c r="G4845">
        <v>0.15</v>
      </c>
      <c r="H4845" t="s">
        <v>855</v>
      </c>
      <c r="I4845" t="str">
        <f>VLOOKUP(C4845,Customers!A:C,2,FALSE)&amp;" "&amp;VLOOKUP(C4845,Customers!A:C,3,FALSE)</f>
        <v>Brittany Green</v>
      </c>
      <c r="J4845" t="str">
        <f>VLOOKUP(D4845,Products!A:C,2,FALSE)</f>
        <v>World Watches</v>
      </c>
      <c r="K4845" t="str">
        <f>VLOOKUP(D4845,Products!A:C,3,FALSE)</f>
        <v>Fashion</v>
      </c>
      <c r="L4845" t="str">
        <f>VLOOKUP(E4845,Stores!A:B,2,FALSE)</f>
        <v>MegaMart Johnmouth</v>
      </c>
      <c r="M4845">
        <f>VLOOKUP(D4845,Products!A:E,5,FALSE)</f>
        <v>1134.8</v>
      </c>
      <c r="N4845" s="5">
        <f t="shared" si="75"/>
        <v>4822.8999999999996</v>
      </c>
    </row>
    <row r="4846" spans="1:14" x14ac:dyDescent="0.3">
      <c r="A4846" t="s">
        <v>5702</v>
      </c>
      <c r="B4846" s="2">
        <v>45291</v>
      </c>
      <c r="C4846" t="s">
        <v>612</v>
      </c>
      <c r="D4846" t="s">
        <v>759</v>
      </c>
      <c r="E4846" t="s">
        <v>842</v>
      </c>
      <c r="F4846">
        <v>3</v>
      </c>
      <c r="G4846">
        <v>0.05</v>
      </c>
      <c r="H4846" t="s">
        <v>861</v>
      </c>
      <c r="I4846" t="str">
        <f>VLOOKUP(C4846,Customers!A:C,2,FALSE)&amp;" "&amp;VLOOKUP(C4846,Customers!A:C,3,FALSE)</f>
        <v>Michelle Smith</v>
      </c>
      <c r="J4846" t="str">
        <f>VLOOKUP(D4846,Products!A:C,2,FALSE)</f>
        <v>Democratic Smartphone</v>
      </c>
      <c r="K4846" t="str">
        <f>VLOOKUP(D4846,Products!A:C,3,FALSE)</f>
        <v>Electronics</v>
      </c>
      <c r="L4846" t="str">
        <f>VLOOKUP(E4846,Stores!A:B,2,FALSE)</f>
        <v>MegaMart Brianahaven</v>
      </c>
      <c r="M4846">
        <f>VLOOKUP(D4846,Products!A:E,5,FALSE)</f>
        <v>1079.8900000000001</v>
      </c>
      <c r="N4846" s="5">
        <f t="shared" si="75"/>
        <v>3077.6864999999998</v>
      </c>
    </row>
    <row r="4847" spans="1:14" x14ac:dyDescent="0.3">
      <c r="A4847" t="s">
        <v>5703</v>
      </c>
      <c r="B4847" s="2">
        <v>45360</v>
      </c>
      <c r="C4847" t="s">
        <v>287</v>
      </c>
      <c r="D4847" t="s">
        <v>759</v>
      </c>
      <c r="E4847" t="s">
        <v>831</v>
      </c>
      <c r="F4847">
        <v>3</v>
      </c>
      <c r="G4847">
        <v>0.05</v>
      </c>
      <c r="H4847" t="s">
        <v>865</v>
      </c>
      <c r="I4847" t="str">
        <f>VLOOKUP(C4847,Customers!A:C,2,FALSE)&amp;" "&amp;VLOOKUP(C4847,Customers!A:C,3,FALSE)</f>
        <v>Phyllis Durham</v>
      </c>
      <c r="J4847" t="str">
        <f>VLOOKUP(D4847,Products!A:C,2,FALSE)</f>
        <v>Democratic Smartphone</v>
      </c>
      <c r="K4847" t="str">
        <f>VLOOKUP(D4847,Products!A:C,3,FALSE)</f>
        <v>Electronics</v>
      </c>
      <c r="L4847" t="str">
        <f>VLOOKUP(E4847,Stores!A:B,2,FALSE)</f>
        <v>MegaMart Jimenezborough</v>
      </c>
      <c r="M4847">
        <f>VLOOKUP(D4847,Products!A:E,5,FALSE)</f>
        <v>1079.8900000000001</v>
      </c>
      <c r="N4847" s="5">
        <f t="shared" si="75"/>
        <v>3077.6864999999998</v>
      </c>
    </row>
    <row r="4848" spans="1:14" x14ac:dyDescent="0.3">
      <c r="A4848" t="s">
        <v>5704</v>
      </c>
      <c r="B4848" s="2">
        <v>45602</v>
      </c>
      <c r="C4848" t="s">
        <v>487</v>
      </c>
      <c r="D4848" t="s">
        <v>734</v>
      </c>
      <c r="E4848" t="s">
        <v>835</v>
      </c>
      <c r="F4848">
        <v>2</v>
      </c>
      <c r="G4848">
        <v>0.1</v>
      </c>
      <c r="H4848" t="s">
        <v>861</v>
      </c>
      <c r="I4848" t="str">
        <f>VLOOKUP(C4848,Customers!A:C,2,FALSE)&amp;" "&amp;VLOOKUP(C4848,Customers!A:C,3,FALSE)</f>
        <v>Yvette Roth</v>
      </c>
      <c r="J4848" t="str">
        <f>VLOOKUP(D4848,Products!A:C,2,FALSE)</f>
        <v>Recognize Footwear</v>
      </c>
      <c r="K4848" t="str">
        <f>VLOOKUP(D4848,Products!A:C,3,FALSE)</f>
        <v>Fashion</v>
      </c>
      <c r="L4848" t="str">
        <f>VLOOKUP(E4848,Stores!A:B,2,FALSE)</f>
        <v>MegaMart Peckmouth</v>
      </c>
      <c r="M4848">
        <f>VLOOKUP(D4848,Products!A:E,5,FALSE)</f>
        <v>109.78</v>
      </c>
      <c r="N4848" s="5">
        <f t="shared" si="75"/>
        <v>197.60400000000001</v>
      </c>
    </row>
    <row r="4849" spans="1:14" x14ac:dyDescent="0.3">
      <c r="A4849" t="s">
        <v>5705</v>
      </c>
      <c r="B4849" s="2">
        <v>45288</v>
      </c>
      <c r="C4849" t="s">
        <v>36</v>
      </c>
      <c r="D4849" t="s">
        <v>808</v>
      </c>
      <c r="E4849" t="s">
        <v>846</v>
      </c>
      <c r="F4849">
        <v>4</v>
      </c>
      <c r="G4849">
        <v>0.15</v>
      </c>
      <c r="H4849" t="s">
        <v>858</v>
      </c>
      <c r="I4849" t="str">
        <f>VLOOKUP(C4849,Customers!A:C,2,FALSE)&amp;" "&amp;VLOOKUP(C4849,Customers!A:C,3,FALSE)</f>
        <v>Isaiah Williams</v>
      </c>
      <c r="J4849" t="str">
        <f>VLOOKUP(D4849,Products!A:C,2,FALSE)</f>
        <v>Present Television</v>
      </c>
      <c r="K4849" t="str">
        <f>VLOOKUP(D4849,Products!A:C,3,FALSE)</f>
        <v>Electronics</v>
      </c>
      <c r="L4849" t="str">
        <f>VLOOKUP(E4849,Stores!A:B,2,FALSE)</f>
        <v>MegaMart Johnmouth</v>
      </c>
      <c r="M4849">
        <f>VLOOKUP(D4849,Products!A:E,5,FALSE)</f>
        <v>1635.01</v>
      </c>
      <c r="N4849" s="5">
        <f t="shared" si="75"/>
        <v>5559.0339999999997</v>
      </c>
    </row>
    <row r="4850" spans="1:14" x14ac:dyDescent="0.3">
      <c r="A4850" t="s">
        <v>5706</v>
      </c>
      <c r="B4850" s="2">
        <v>45399</v>
      </c>
      <c r="C4850" t="s">
        <v>560</v>
      </c>
      <c r="D4850" t="s">
        <v>769</v>
      </c>
      <c r="E4850" t="s">
        <v>831</v>
      </c>
      <c r="F4850">
        <v>5</v>
      </c>
      <c r="G4850">
        <v>0.1</v>
      </c>
      <c r="H4850" t="s">
        <v>858</v>
      </c>
      <c r="I4850" t="str">
        <f>VLOOKUP(C4850,Customers!A:C,2,FALSE)&amp;" "&amp;VLOOKUP(C4850,Customers!A:C,3,FALSE)</f>
        <v>George Young</v>
      </c>
      <c r="J4850" t="str">
        <f>VLOOKUP(D4850,Products!A:C,2,FALSE)</f>
        <v>How Vegetables</v>
      </c>
      <c r="K4850" t="str">
        <f>VLOOKUP(D4850,Products!A:C,3,FALSE)</f>
        <v>Groceries</v>
      </c>
      <c r="L4850" t="str">
        <f>VLOOKUP(E4850,Stores!A:B,2,FALSE)</f>
        <v>MegaMart Jimenezborough</v>
      </c>
      <c r="M4850">
        <f>VLOOKUP(D4850,Products!A:E,5,FALSE)</f>
        <v>25.57</v>
      </c>
      <c r="N4850" s="5">
        <f t="shared" si="75"/>
        <v>115.065</v>
      </c>
    </row>
    <row r="4851" spans="1:14" x14ac:dyDescent="0.3">
      <c r="A4851" t="s">
        <v>5707</v>
      </c>
      <c r="B4851" s="2">
        <v>45900</v>
      </c>
      <c r="C4851" t="s">
        <v>130</v>
      </c>
      <c r="D4851" t="s">
        <v>784</v>
      </c>
      <c r="E4851" t="s">
        <v>846</v>
      </c>
      <c r="F4851">
        <v>5</v>
      </c>
      <c r="G4851">
        <v>0</v>
      </c>
      <c r="H4851" t="s">
        <v>855</v>
      </c>
      <c r="I4851" t="str">
        <f>VLOOKUP(C4851,Customers!A:C,2,FALSE)&amp;" "&amp;VLOOKUP(C4851,Customers!A:C,3,FALSE)</f>
        <v>Jenny Beck</v>
      </c>
      <c r="J4851" t="str">
        <f>VLOOKUP(D4851,Products!A:C,2,FALSE)</f>
        <v>Road Clothing</v>
      </c>
      <c r="K4851" t="str">
        <f>VLOOKUP(D4851,Products!A:C,3,FALSE)</f>
        <v>Fashion</v>
      </c>
      <c r="L4851" t="str">
        <f>VLOOKUP(E4851,Stores!A:B,2,FALSE)</f>
        <v>MegaMart Johnmouth</v>
      </c>
      <c r="M4851">
        <f>VLOOKUP(D4851,Products!A:E,5,FALSE)</f>
        <v>1485.05</v>
      </c>
      <c r="N4851" s="5">
        <f t="shared" si="75"/>
        <v>7425.25</v>
      </c>
    </row>
    <row r="4852" spans="1:14" x14ac:dyDescent="0.3">
      <c r="A4852" t="s">
        <v>5708</v>
      </c>
      <c r="B4852" s="2">
        <v>45441</v>
      </c>
      <c r="C4852" t="s">
        <v>386</v>
      </c>
      <c r="D4852" t="s">
        <v>800</v>
      </c>
      <c r="E4852" t="s">
        <v>846</v>
      </c>
      <c r="F4852">
        <v>2</v>
      </c>
      <c r="G4852">
        <v>0</v>
      </c>
      <c r="H4852" t="s">
        <v>865</v>
      </c>
      <c r="I4852" t="str">
        <f>VLOOKUP(C4852,Customers!A:C,2,FALSE)&amp;" "&amp;VLOOKUP(C4852,Customers!A:C,3,FALSE)</f>
        <v>David Burns</v>
      </c>
      <c r="J4852" t="str">
        <f>VLOOKUP(D4852,Products!A:C,2,FALSE)</f>
        <v>Book Television</v>
      </c>
      <c r="K4852" t="str">
        <f>VLOOKUP(D4852,Products!A:C,3,FALSE)</f>
        <v>Electronics</v>
      </c>
      <c r="L4852" t="str">
        <f>VLOOKUP(E4852,Stores!A:B,2,FALSE)</f>
        <v>MegaMart Johnmouth</v>
      </c>
      <c r="M4852">
        <f>VLOOKUP(D4852,Products!A:E,5,FALSE)</f>
        <v>1952.65</v>
      </c>
      <c r="N4852" s="5">
        <f t="shared" si="75"/>
        <v>3905.3</v>
      </c>
    </row>
    <row r="4853" spans="1:14" x14ac:dyDescent="0.3">
      <c r="A4853" t="s">
        <v>5709</v>
      </c>
      <c r="B4853" s="2">
        <v>45755</v>
      </c>
      <c r="C4853" t="s">
        <v>452</v>
      </c>
      <c r="D4853" t="s">
        <v>728</v>
      </c>
      <c r="E4853" t="s">
        <v>839</v>
      </c>
      <c r="F4853">
        <v>2</v>
      </c>
      <c r="G4853">
        <v>0</v>
      </c>
      <c r="H4853" t="s">
        <v>858</v>
      </c>
      <c r="I4853" t="str">
        <f>VLOOKUP(C4853,Customers!A:C,2,FALSE)&amp;" "&amp;VLOOKUP(C4853,Customers!A:C,3,FALSE)</f>
        <v>Amy Smith</v>
      </c>
      <c r="J4853" t="str">
        <f>VLOOKUP(D4853,Products!A:C,2,FALSE)</f>
        <v>Company Fruits</v>
      </c>
      <c r="K4853" t="str">
        <f>VLOOKUP(D4853,Products!A:C,3,FALSE)</f>
        <v>Groceries</v>
      </c>
      <c r="L4853" t="str">
        <f>VLOOKUP(E4853,Stores!A:B,2,FALSE)</f>
        <v>MegaMart New Michele</v>
      </c>
      <c r="M4853">
        <f>VLOOKUP(D4853,Products!A:E,5,FALSE)</f>
        <v>318.05</v>
      </c>
      <c r="N4853" s="5">
        <f t="shared" si="75"/>
        <v>636.1</v>
      </c>
    </row>
    <row r="4854" spans="1:14" x14ac:dyDescent="0.3">
      <c r="A4854" t="s">
        <v>5710</v>
      </c>
      <c r="B4854" s="2">
        <v>45524</v>
      </c>
      <c r="C4854" t="s">
        <v>567</v>
      </c>
      <c r="D4854" t="s">
        <v>812</v>
      </c>
      <c r="E4854" t="s">
        <v>842</v>
      </c>
      <c r="F4854">
        <v>4</v>
      </c>
      <c r="G4854">
        <v>0</v>
      </c>
      <c r="H4854" t="s">
        <v>858</v>
      </c>
      <c r="I4854" t="str">
        <f>VLOOKUP(C4854,Customers!A:C,2,FALSE)&amp;" "&amp;VLOOKUP(C4854,Customers!A:C,3,FALSE)</f>
        <v>Crystal Aguirre</v>
      </c>
      <c r="J4854" t="str">
        <f>VLOOKUP(D4854,Products!A:C,2,FALSE)</f>
        <v>Soon Accessories</v>
      </c>
      <c r="K4854" t="str">
        <f>VLOOKUP(D4854,Products!A:C,3,FALSE)</f>
        <v>Fashion</v>
      </c>
      <c r="L4854" t="str">
        <f>VLOOKUP(E4854,Stores!A:B,2,FALSE)</f>
        <v>MegaMart Brianahaven</v>
      </c>
      <c r="M4854">
        <f>VLOOKUP(D4854,Products!A:E,5,FALSE)</f>
        <v>564.41999999999996</v>
      </c>
      <c r="N4854" s="5">
        <f t="shared" si="75"/>
        <v>2257.6799999999998</v>
      </c>
    </row>
    <row r="4855" spans="1:14" x14ac:dyDescent="0.3">
      <c r="A4855" t="s">
        <v>5711</v>
      </c>
      <c r="B4855" s="2">
        <v>45690</v>
      </c>
      <c r="C4855" t="s">
        <v>533</v>
      </c>
      <c r="D4855" t="s">
        <v>764</v>
      </c>
      <c r="E4855" t="s">
        <v>839</v>
      </c>
      <c r="F4855">
        <v>4</v>
      </c>
      <c r="G4855">
        <v>0.05</v>
      </c>
      <c r="H4855" t="s">
        <v>855</v>
      </c>
      <c r="I4855" t="str">
        <f>VLOOKUP(C4855,Customers!A:C,2,FALSE)&amp;" "&amp;VLOOKUP(C4855,Customers!A:C,3,FALSE)</f>
        <v>Crystal Garrison</v>
      </c>
      <c r="J4855" t="str">
        <f>VLOOKUP(D4855,Products!A:C,2,FALSE)</f>
        <v>Simple Accessories</v>
      </c>
      <c r="K4855" t="str">
        <f>VLOOKUP(D4855,Products!A:C,3,FALSE)</f>
        <v>Fashion</v>
      </c>
      <c r="L4855" t="str">
        <f>VLOOKUP(E4855,Stores!A:B,2,FALSE)</f>
        <v>MegaMart New Michele</v>
      </c>
      <c r="M4855">
        <f>VLOOKUP(D4855,Products!A:E,5,FALSE)</f>
        <v>323.92</v>
      </c>
      <c r="N4855" s="5">
        <f t="shared" si="75"/>
        <v>1230.896</v>
      </c>
    </row>
    <row r="4856" spans="1:14" x14ac:dyDescent="0.3">
      <c r="A4856" t="s">
        <v>5712</v>
      </c>
      <c r="B4856" s="2">
        <v>45741</v>
      </c>
      <c r="C4856" t="s">
        <v>12</v>
      </c>
      <c r="D4856" t="s">
        <v>759</v>
      </c>
      <c r="E4856" t="s">
        <v>839</v>
      </c>
      <c r="F4856">
        <v>2</v>
      </c>
      <c r="G4856">
        <v>0.1</v>
      </c>
      <c r="H4856" t="s">
        <v>858</v>
      </c>
      <c r="I4856" t="str">
        <f>VLOOKUP(C4856,Customers!A:C,2,FALSE)&amp;" "&amp;VLOOKUP(C4856,Customers!A:C,3,FALSE)</f>
        <v>Michael Miller</v>
      </c>
      <c r="J4856" t="str">
        <f>VLOOKUP(D4856,Products!A:C,2,FALSE)</f>
        <v>Democratic Smartphone</v>
      </c>
      <c r="K4856" t="str">
        <f>VLOOKUP(D4856,Products!A:C,3,FALSE)</f>
        <v>Electronics</v>
      </c>
      <c r="L4856" t="str">
        <f>VLOOKUP(E4856,Stores!A:B,2,FALSE)</f>
        <v>MegaMart New Michele</v>
      </c>
      <c r="M4856">
        <f>VLOOKUP(D4856,Products!A:E,5,FALSE)</f>
        <v>1079.8900000000001</v>
      </c>
      <c r="N4856" s="5">
        <f t="shared" si="75"/>
        <v>1943.8020000000001</v>
      </c>
    </row>
    <row r="4857" spans="1:14" x14ac:dyDescent="0.3">
      <c r="A4857" t="s">
        <v>5713</v>
      </c>
      <c r="B4857" s="2">
        <v>45658</v>
      </c>
      <c r="C4857" t="s">
        <v>250</v>
      </c>
      <c r="D4857" t="s">
        <v>745</v>
      </c>
      <c r="E4857" t="s">
        <v>831</v>
      </c>
      <c r="F4857">
        <v>2</v>
      </c>
      <c r="G4857">
        <v>0.1</v>
      </c>
      <c r="H4857" t="s">
        <v>861</v>
      </c>
      <c r="I4857" t="str">
        <f>VLOOKUP(C4857,Customers!A:C,2,FALSE)&amp;" "&amp;VLOOKUP(C4857,Customers!A:C,3,FALSE)</f>
        <v>Jason Jenkins</v>
      </c>
      <c r="J4857" t="str">
        <f>VLOOKUP(D4857,Products!A:C,2,FALSE)</f>
        <v>Above Camera</v>
      </c>
      <c r="K4857" t="str">
        <f>VLOOKUP(D4857,Products!A:C,3,FALSE)</f>
        <v>Electronics</v>
      </c>
      <c r="L4857" t="str">
        <f>VLOOKUP(E4857,Stores!A:B,2,FALSE)</f>
        <v>MegaMart Jimenezborough</v>
      </c>
      <c r="M4857">
        <f>VLOOKUP(D4857,Products!A:E,5,FALSE)</f>
        <v>1193.0899999999999</v>
      </c>
      <c r="N4857" s="5">
        <f t="shared" si="75"/>
        <v>2147.5619999999999</v>
      </c>
    </row>
    <row r="4858" spans="1:14" x14ac:dyDescent="0.3">
      <c r="A4858" t="s">
        <v>5714</v>
      </c>
      <c r="B4858" s="2">
        <v>45307</v>
      </c>
      <c r="C4858" t="s">
        <v>77</v>
      </c>
      <c r="D4858" t="s">
        <v>750</v>
      </c>
      <c r="E4858" t="s">
        <v>835</v>
      </c>
      <c r="F4858">
        <v>4</v>
      </c>
      <c r="G4858">
        <v>0.1</v>
      </c>
      <c r="H4858" t="s">
        <v>858</v>
      </c>
      <c r="I4858" t="str">
        <f>VLOOKUP(C4858,Customers!A:C,2,FALSE)&amp;" "&amp;VLOOKUP(C4858,Customers!A:C,3,FALSE)</f>
        <v>John Smith</v>
      </c>
      <c r="J4858" t="str">
        <f>VLOOKUP(D4858,Products!A:C,2,FALSE)</f>
        <v>Add Clothing</v>
      </c>
      <c r="K4858" t="str">
        <f>VLOOKUP(D4858,Products!A:C,3,FALSE)</f>
        <v>Fashion</v>
      </c>
      <c r="L4858" t="str">
        <f>VLOOKUP(E4858,Stores!A:B,2,FALSE)</f>
        <v>MegaMart Peckmouth</v>
      </c>
      <c r="M4858">
        <f>VLOOKUP(D4858,Products!A:E,5,FALSE)</f>
        <v>1342.75</v>
      </c>
      <c r="N4858" s="5">
        <f t="shared" si="75"/>
        <v>4833.9000000000005</v>
      </c>
    </row>
    <row r="4859" spans="1:14" x14ac:dyDescent="0.3">
      <c r="A4859" t="s">
        <v>5715</v>
      </c>
      <c r="B4859" s="2">
        <v>45782</v>
      </c>
      <c r="C4859" t="s">
        <v>101</v>
      </c>
      <c r="D4859" t="s">
        <v>739</v>
      </c>
      <c r="E4859" t="s">
        <v>831</v>
      </c>
      <c r="F4859">
        <v>1</v>
      </c>
      <c r="G4859">
        <v>0.15</v>
      </c>
      <c r="H4859" t="s">
        <v>858</v>
      </c>
      <c r="I4859" t="str">
        <f>VLOOKUP(C4859,Customers!A:C,2,FALSE)&amp;" "&amp;VLOOKUP(C4859,Customers!A:C,3,FALSE)</f>
        <v>Cheryl Gilbert</v>
      </c>
      <c r="J4859" t="str">
        <f>VLOOKUP(D4859,Products!A:C,2,FALSE)</f>
        <v>Step Smartphone</v>
      </c>
      <c r="K4859" t="str">
        <f>VLOOKUP(D4859,Products!A:C,3,FALSE)</f>
        <v>Electronics</v>
      </c>
      <c r="L4859" t="str">
        <f>VLOOKUP(E4859,Stores!A:B,2,FALSE)</f>
        <v>MegaMart Jimenezborough</v>
      </c>
      <c r="M4859">
        <f>VLOOKUP(D4859,Products!A:E,5,FALSE)</f>
        <v>1194.1199999999999</v>
      </c>
      <c r="N4859" s="5">
        <f t="shared" si="75"/>
        <v>1015.0019999999998</v>
      </c>
    </row>
    <row r="4860" spans="1:14" x14ac:dyDescent="0.3">
      <c r="A4860" t="s">
        <v>5716</v>
      </c>
      <c r="B4860" s="2">
        <v>45414</v>
      </c>
      <c r="C4860" t="s">
        <v>467</v>
      </c>
      <c r="D4860" t="s">
        <v>757</v>
      </c>
      <c r="E4860" t="s">
        <v>835</v>
      </c>
      <c r="F4860">
        <v>2</v>
      </c>
      <c r="G4860">
        <v>0</v>
      </c>
      <c r="H4860" t="s">
        <v>858</v>
      </c>
      <c r="I4860" t="str">
        <f>VLOOKUP(C4860,Customers!A:C,2,FALSE)&amp;" "&amp;VLOOKUP(C4860,Customers!A:C,3,FALSE)</f>
        <v>John Allen</v>
      </c>
      <c r="J4860" t="str">
        <f>VLOOKUP(D4860,Products!A:C,2,FALSE)</f>
        <v>Find Headphones</v>
      </c>
      <c r="K4860" t="str">
        <f>VLOOKUP(D4860,Products!A:C,3,FALSE)</f>
        <v>Electronics</v>
      </c>
      <c r="L4860" t="str">
        <f>VLOOKUP(E4860,Stores!A:B,2,FALSE)</f>
        <v>MegaMart Peckmouth</v>
      </c>
      <c r="M4860">
        <f>VLOOKUP(D4860,Products!A:E,5,FALSE)</f>
        <v>1246.1099999999999</v>
      </c>
      <c r="N4860" s="5">
        <f t="shared" si="75"/>
        <v>2492.2199999999998</v>
      </c>
    </row>
    <row r="4861" spans="1:14" x14ac:dyDescent="0.3">
      <c r="A4861" t="s">
        <v>5717</v>
      </c>
      <c r="B4861" s="2">
        <v>45674</v>
      </c>
      <c r="C4861" t="s">
        <v>339</v>
      </c>
      <c r="D4861" t="s">
        <v>808</v>
      </c>
      <c r="E4861" t="s">
        <v>831</v>
      </c>
      <c r="F4861">
        <v>2</v>
      </c>
      <c r="G4861">
        <v>0.15</v>
      </c>
      <c r="H4861" t="s">
        <v>865</v>
      </c>
      <c r="I4861" t="str">
        <f>VLOOKUP(C4861,Customers!A:C,2,FALSE)&amp;" "&amp;VLOOKUP(C4861,Customers!A:C,3,FALSE)</f>
        <v>Carrie Peterson</v>
      </c>
      <c r="J4861" t="str">
        <f>VLOOKUP(D4861,Products!A:C,2,FALSE)</f>
        <v>Present Television</v>
      </c>
      <c r="K4861" t="str">
        <f>VLOOKUP(D4861,Products!A:C,3,FALSE)</f>
        <v>Electronics</v>
      </c>
      <c r="L4861" t="str">
        <f>VLOOKUP(E4861,Stores!A:B,2,FALSE)</f>
        <v>MegaMart Jimenezborough</v>
      </c>
      <c r="M4861">
        <f>VLOOKUP(D4861,Products!A:E,5,FALSE)</f>
        <v>1635.01</v>
      </c>
      <c r="N4861" s="5">
        <f t="shared" si="75"/>
        <v>2779.5169999999998</v>
      </c>
    </row>
    <row r="4862" spans="1:14" x14ac:dyDescent="0.3">
      <c r="A4862" t="s">
        <v>5718</v>
      </c>
      <c r="B4862" s="2">
        <v>45248</v>
      </c>
      <c r="C4862" t="s">
        <v>683</v>
      </c>
      <c r="D4862" t="s">
        <v>739</v>
      </c>
      <c r="E4862" t="s">
        <v>846</v>
      </c>
      <c r="F4862">
        <v>2</v>
      </c>
      <c r="G4862">
        <v>0</v>
      </c>
      <c r="H4862" t="s">
        <v>861</v>
      </c>
      <c r="I4862" t="str">
        <f>VLOOKUP(C4862,Customers!A:C,2,FALSE)&amp;" "&amp;VLOOKUP(C4862,Customers!A:C,3,FALSE)</f>
        <v>Ann West</v>
      </c>
      <c r="J4862" t="str">
        <f>VLOOKUP(D4862,Products!A:C,2,FALSE)</f>
        <v>Step Smartphone</v>
      </c>
      <c r="K4862" t="str">
        <f>VLOOKUP(D4862,Products!A:C,3,FALSE)</f>
        <v>Electronics</v>
      </c>
      <c r="L4862" t="str">
        <f>VLOOKUP(E4862,Stores!A:B,2,FALSE)</f>
        <v>MegaMart Johnmouth</v>
      </c>
      <c r="M4862">
        <f>VLOOKUP(D4862,Products!A:E,5,FALSE)</f>
        <v>1194.1199999999999</v>
      </c>
      <c r="N4862" s="5">
        <f t="shared" si="75"/>
        <v>2388.2399999999998</v>
      </c>
    </row>
    <row r="4863" spans="1:14" x14ac:dyDescent="0.3">
      <c r="A4863" t="s">
        <v>5719</v>
      </c>
      <c r="B4863" s="2">
        <v>45351</v>
      </c>
      <c r="C4863" t="s">
        <v>630</v>
      </c>
      <c r="D4863" t="s">
        <v>718</v>
      </c>
      <c r="E4863" t="s">
        <v>839</v>
      </c>
      <c r="F4863">
        <v>5</v>
      </c>
      <c r="G4863">
        <v>0</v>
      </c>
      <c r="H4863" t="s">
        <v>861</v>
      </c>
      <c r="I4863" t="str">
        <f>VLOOKUP(C4863,Customers!A:C,2,FALSE)&amp;" "&amp;VLOOKUP(C4863,Customers!A:C,3,FALSE)</f>
        <v>Mark Mcdonald</v>
      </c>
      <c r="J4863" t="str">
        <f>VLOOKUP(D4863,Products!A:C,2,FALSE)</f>
        <v>Here Footwear</v>
      </c>
      <c r="K4863" t="str">
        <f>VLOOKUP(D4863,Products!A:C,3,FALSE)</f>
        <v>Fashion</v>
      </c>
      <c r="L4863" t="str">
        <f>VLOOKUP(E4863,Stores!A:B,2,FALSE)</f>
        <v>MegaMart New Michele</v>
      </c>
      <c r="M4863">
        <f>VLOOKUP(D4863,Products!A:E,5,FALSE)</f>
        <v>337.63</v>
      </c>
      <c r="N4863" s="5">
        <f t="shared" si="75"/>
        <v>1688.15</v>
      </c>
    </row>
    <row r="4864" spans="1:14" x14ac:dyDescent="0.3">
      <c r="A4864" t="s">
        <v>5720</v>
      </c>
      <c r="B4864" s="2">
        <v>45880</v>
      </c>
      <c r="C4864" t="s">
        <v>487</v>
      </c>
      <c r="D4864" t="s">
        <v>826</v>
      </c>
      <c r="E4864" t="s">
        <v>842</v>
      </c>
      <c r="F4864">
        <v>2</v>
      </c>
      <c r="G4864">
        <v>0.05</v>
      </c>
      <c r="H4864" t="s">
        <v>858</v>
      </c>
      <c r="I4864" t="str">
        <f>VLOOKUP(C4864,Customers!A:C,2,FALSE)&amp;" "&amp;VLOOKUP(C4864,Customers!A:C,3,FALSE)</f>
        <v>Yvette Roth</v>
      </c>
      <c r="J4864" t="str">
        <f>VLOOKUP(D4864,Products!A:C,2,FALSE)</f>
        <v>Maybe Footwear</v>
      </c>
      <c r="K4864" t="str">
        <f>VLOOKUP(D4864,Products!A:C,3,FALSE)</f>
        <v>Fashion</v>
      </c>
      <c r="L4864" t="str">
        <f>VLOOKUP(E4864,Stores!A:B,2,FALSE)</f>
        <v>MegaMart Brianahaven</v>
      </c>
      <c r="M4864">
        <f>VLOOKUP(D4864,Products!A:E,5,FALSE)</f>
        <v>1044.6400000000001</v>
      </c>
      <c r="N4864" s="5">
        <f t="shared" si="75"/>
        <v>1984.816</v>
      </c>
    </row>
    <row r="4865" spans="1:14" x14ac:dyDescent="0.3">
      <c r="A4865" t="s">
        <v>5721</v>
      </c>
      <c r="B4865" s="2">
        <v>45273</v>
      </c>
      <c r="C4865" t="s">
        <v>48</v>
      </c>
      <c r="D4865" t="s">
        <v>739</v>
      </c>
      <c r="E4865" t="s">
        <v>835</v>
      </c>
      <c r="F4865">
        <v>3</v>
      </c>
      <c r="G4865">
        <v>0.05</v>
      </c>
      <c r="H4865" t="s">
        <v>855</v>
      </c>
      <c r="I4865" t="str">
        <f>VLOOKUP(C4865,Customers!A:C,2,FALSE)&amp;" "&amp;VLOOKUP(C4865,Customers!A:C,3,FALSE)</f>
        <v>Haley Williams</v>
      </c>
      <c r="J4865" t="str">
        <f>VLOOKUP(D4865,Products!A:C,2,FALSE)</f>
        <v>Step Smartphone</v>
      </c>
      <c r="K4865" t="str">
        <f>VLOOKUP(D4865,Products!A:C,3,FALSE)</f>
        <v>Electronics</v>
      </c>
      <c r="L4865" t="str">
        <f>VLOOKUP(E4865,Stores!A:B,2,FALSE)</f>
        <v>MegaMart Peckmouth</v>
      </c>
      <c r="M4865">
        <f>VLOOKUP(D4865,Products!A:E,5,FALSE)</f>
        <v>1194.1199999999999</v>
      </c>
      <c r="N4865" s="5">
        <f t="shared" si="75"/>
        <v>3403.2419999999997</v>
      </c>
    </row>
    <row r="4866" spans="1:14" x14ac:dyDescent="0.3">
      <c r="A4866" t="s">
        <v>5722</v>
      </c>
      <c r="B4866" s="2">
        <v>45181</v>
      </c>
      <c r="C4866" t="s">
        <v>302</v>
      </c>
      <c r="D4866" t="s">
        <v>715</v>
      </c>
      <c r="E4866" t="s">
        <v>839</v>
      </c>
      <c r="F4866">
        <v>4</v>
      </c>
      <c r="G4866">
        <v>0.1</v>
      </c>
      <c r="H4866" t="s">
        <v>865</v>
      </c>
      <c r="I4866" t="str">
        <f>VLOOKUP(C4866,Customers!A:C,2,FALSE)&amp;" "&amp;VLOOKUP(C4866,Customers!A:C,3,FALSE)</f>
        <v>Grace Garcia</v>
      </c>
      <c r="J4866" t="str">
        <f>VLOOKUP(D4866,Products!A:C,2,FALSE)</f>
        <v>Audience Television</v>
      </c>
      <c r="K4866" t="str">
        <f>VLOOKUP(D4866,Products!A:C,3,FALSE)</f>
        <v>Electronics</v>
      </c>
      <c r="L4866" t="str">
        <f>VLOOKUP(E4866,Stores!A:B,2,FALSE)</f>
        <v>MegaMart New Michele</v>
      </c>
      <c r="M4866">
        <f>VLOOKUP(D4866,Products!A:E,5,FALSE)</f>
        <v>818.76</v>
      </c>
      <c r="N4866" s="5">
        <f t="shared" si="75"/>
        <v>2947.5360000000001</v>
      </c>
    </row>
    <row r="4867" spans="1:14" x14ac:dyDescent="0.3">
      <c r="A4867" t="s">
        <v>5723</v>
      </c>
      <c r="B4867" s="2">
        <v>45756</v>
      </c>
      <c r="C4867" t="s">
        <v>702</v>
      </c>
      <c r="D4867" t="s">
        <v>732</v>
      </c>
      <c r="E4867" t="s">
        <v>839</v>
      </c>
      <c r="F4867">
        <v>4</v>
      </c>
      <c r="G4867">
        <v>0.15</v>
      </c>
      <c r="H4867" t="s">
        <v>865</v>
      </c>
      <c r="I4867" t="str">
        <f>VLOOKUP(C4867,Customers!A:C,2,FALSE)&amp;" "&amp;VLOOKUP(C4867,Customers!A:C,3,FALSE)</f>
        <v>Ronald Haley</v>
      </c>
      <c r="J4867" t="str">
        <f>VLOOKUP(D4867,Products!A:C,2,FALSE)</f>
        <v>Understand Camera</v>
      </c>
      <c r="K4867" t="str">
        <f>VLOOKUP(D4867,Products!A:C,3,FALSE)</f>
        <v>Electronics</v>
      </c>
      <c r="L4867" t="str">
        <f>VLOOKUP(E4867,Stores!A:B,2,FALSE)</f>
        <v>MegaMart New Michele</v>
      </c>
      <c r="M4867">
        <f>VLOOKUP(D4867,Products!A:E,5,FALSE)</f>
        <v>1474.12</v>
      </c>
      <c r="N4867" s="5">
        <f t="shared" ref="N4867:N4930" si="76">F4867*M4867*(1-G4867)</f>
        <v>5012.0079999999998</v>
      </c>
    </row>
    <row r="4868" spans="1:14" x14ac:dyDescent="0.3">
      <c r="A4868" t="s">
        <v>5724</v>
      </c>
      <c r="B4868" s="2">
        <v>45900</v>
      </c>
      <c r="C4868" t="s">
        <v>426</v>
      </c>
      <c r="D4868" t="s">
        <v>786</v>
      </c>
      <c r="E4868" t="s">
        <v>846</v>
      </c>
      <c r="F4868">
        <v>4</v>
      </c>
      <c r="G4868">
        <v>0.05</v>
      </c>
      <c r="H4868" t="s">
        <v>861</v>
      </c>
      <c r="I4868" t="str">
        <f>VLOOKUP(C4868,Customers!A:C,2,FALSE)&amp;" "&amp;VLOOKUP(C4868,Customers!A:C,3,FALSE)</f>
        <v>Miranda Rodriguez</v>
      </c>
      <c r="J4868" t="str">
        <f>VLOOKUP(D4868,Products!A:C,2,FALSE)</f>
        <v>National Watches</v>
      </c>
      <c r="K4868" t="str">
        <f>VLOOKUP(D4868,Products!A:C,3,FALSE)</f>
        <v>Fashion</v>
      </c>
      <c r="L4868" t="str">
        <f>VLOOKUP(E4868,Stores!A:B,2,FALSE)</f>
        <v>MegaMart Johnmouth</v>
      </c>
      <c r="M4868">
        <f>VLOOKUP(D4868,Products!A:E,5,FALSE)</f>
        <v>29.24</v>
      </c>
      <c r="N4868" s="5">
        <f t="shared" si="76"/>
        <v>111.11199999999999</v>
      </c>
    </row>
    <row r="4869" spans="1:14" x14ac:dyDescent="0.3">
      <c r="A4869" t="s">
        <v>5725</v>
      </c>
      <c r="B4869" s="2">
        <v>45427</v>
      </c>
      <c r="C4869" t="s">
        <v>306</v>
      </c>
      <c r="D4869" t="s">
        <v>715</v>
      </c>
      <c r="E4869" t="s">
        <v>831</v>
      </c>
      <c r="F4869">
        <v>1</v>
      </c>
      <c r="G4869">
        <v>0.15</v>
      </c>
      <c r="H4869" t="s">
        <v>858</v>
      </c>
      <c r="I4869" t="str">
        <f>VLOOKUP(C4869,Customers!A:C,2,FALSE)&amp;" "&amp;VLOOKUP(C4869,Customers!A:C,3,FALSE)</f>
        <v>Sarah Reynolds</v>
      </c>
      <c r="J4869" t="str">
        <f>VLOOKUP(D4869,Products!A:C,2,FALSE)</f>
        <v>Audience Television</v>
      </c>
      <c r="K4869" t="str">
        <f>VLOOKUP(D4869,Products!A:C,3,FALSE)</f>
        <v>Electronics</v>
      </c>
      <c r="L4869" t="str">
        <f>VLOOKUP(E4869,Stores!A:B,2,FALSE)</f>
        <v>MegaMart Jimenezborough</v>
      </c>
      <c r="M4869">
        <f>VLOOKUP(D4869,Products!A:E,5,FALSE)</f>
        <v>818.76</v>
      </c>
      <c r="N4869" s="5">
        <f t="shared" si="76"/>
        <v>695.94600000000003</v>
      </c>
    </row>
    <row r="4870" spans="1:14" x14ac:dyDescent="0.3">
      <c r="A4870" t="s">
        <v>5726</v>
      </c>
      <c r="B4870" s="2">
        <v>45831</v>
      </c>
      <c r="C4870" t="s">
        <v>313</v>
      </c>
      <c r="D4870" t="s">
        <v>824</v>
      </c>
      <c r="E4870" t="s">
        <v>831</v>
      </c>
      <c r="F4870">
        <v>5</v>
      </c>
      <c r="G4870">
        <v>0</v>
      </c>
      <c r="H4870" t="s">
        <v>858</v>
      </c>
      <c r="I4870" t="str">
        <f>VLOOKUP(C4870,Customers!A:C,2,FALSE)&amp;" "&amp;VLOOKUP(C4870,Customers!A:C,3,FALSE)</f>
        <v>Jeremy Robles</v>
      </c>
      <c r="J4870" t="str">
        <f>VLOOKUP(D4870,Products!A:C,2,FALSE)</f>
        <v>Possible Watches</v>
      </c>
      <c r="K4870" t="str">
        <f>VLOOKUP(D4870,Products!A:C,3,FALSE)</f>
        <v>Fashion</v>
      </c>
      <c r="L4870" t="str">
        <f>VLOOKUP(E4870,Stores!A:B,2,FALSE)</f>
        <v>MegaMart Jimenezborough</v>
      </c>
      <c r="M4870">
        <f>VLOOKUP(D4870,Products!A:E,5,FALSE)</f>
        <v>388.26</v>
      </c>
      <c r="N4870" s="5">
        <f t="shared" si="76"/>
        <v>1941.3</v>
      </c>
    </row>
    <row r="4871" spans="1:14" x14ac:dyDescent="0.3">
      <c r="A4871" t="s">
        <v>5727</v>
      </c>
      <c r="B4871" s="2">
        <v>45526</v>
      </c>
      <c r="C4871" t="s">
        <v>579</v>
      </c>
      <c r="D4871" t="s">
        <v>796</v>
      </c>
      <c r="E4871" t="s">
        <v>831</v>
      </c>
      <c r="F4871">
        <v>5</v>
      </c>
      <c r="G4871">
        <v>0.1</v>
      </c>
      <c r="H4871" t="s">
        <v>865</v>
      </c>
      <c r="I4871" t="str">
        <f>VLOOKUP(C4871,Customers!A:C,2,FALSE)&amp;" "&amp;VLOOKUP(C4871,Customers!A:C,3,FALSE)</f>
        <v>Jill Roach</v>
      </c>
      <c r="J4871" t="str">
        <f>VLOOKUP(D4871,Products!A:C,2,FALSE)</f>
        <v>Chair Laptop</v>
      </c>
      <c r="K4871" t="str">
        <f>VLOOKUP(D4871,Products!A:C,3,FALSE)</f>
        <v>Electronics</v>
      </c>
      <c r="L4871" t="str">
        <f>VLOOKUP(E4871,Stores!A:B,2,FALSE)</f>
        <v>MegaMart Jimenezborough</v>
      </c>
      <c r="M4871">
        <f>VLOOKUP(D4871,Products!A:E,5,FALSE)</f>
        <v>1562.43</v>
      </c>
      <c r="N4871" s="5">
        <f t="shared" si="76"/>
        <v>7030.9350000000004</v>
      </c>
    </row>
    <row r="4872" spans="1:14" x14ac:dyDescent="0.3">
      <c r="A4872" t="s">
        <v>5728</v>
      </c>
      <c r="B4872" s="2">
        <v>45799</v>
      </c>
      <c r="C4872" t="s">
        <v>458</v>
      </c>
      <c r="D4872" t="s">
        <v>788</v>
      </c>
      <c r="E4872" t="s">
        <v>835</v>
      </c>
      <c r="F4872">
        <v>2</v>
      </c>
      <c r="G4872">
        <v>0.1</v>
      </c>
      <c r="H4872" t="s">
        <v>865</v>
      </c>
      <c r="I4872" t="str">
        <f>VLOOKUP(C4872,Customers!A:C,2,FALSE)&amp;" "&amp;VLOOKUP(C4872,Customers!A:C,3,FALSE)</f>
        <v>Chad Roberts</v>
      </c>
      <c r="J4872" t="str">
        <f>VLOOKUP(D4872,Products!A:C,2,FALSE)</f>
        <v>Foot Snacks</v>
      </c>
      <c r="K4872" t="str">
        <f>VLOOKUP(D4872,Products!A:C,3,FALSE)</f>
        <v>Groceries</v>
      </c>
      <c r="L4872" t="str">
        <f>VLOOKUP(E4872,Stores!A:B,2,FALSE)</f>
        <v>MegaMart Peckmouth</v>
      </c>
      <c r="M4872">
        <f>VLOOKUP(D4872,Products!A:E,5,FALSE)</f>
        <v>1095.72</v>
      </c>
      <c r="N4872" s="5">
        <f t="shared" si="76"/>
        <v>1972.296</v>
      </c>
    </row>
    <row r="4873" spans="1:14" x14ac:dyDescent="0.3">
      <c r="A4873" t="s">
        <v>5729</v>
      </c>
      <c r="B4873" s="2">
        <v>45702</v>
      </c>
      <c r="C4873" t="s">
        <v>262</v>
      </c>
      <c r="D4873" t="s">
        <v>753</v>
      </c>
      <c r="E4873" t="s">
        <v>839</v>
      </c>
      <c r="F4873">
        <v>4</v>
      </c>
      <c r="G4873">
        <v>0.05</v>
      </c>
      <c r="H4873" t="s">
        <v>855</v>
      </c>
      <c r="I4873" t="str">
        <f>VLOOKUP(C4873,Customers!A:C,2,FALSE)&amp;" "&amp;VLOOKUP(C4873,Customers!A:C,3,FALSE)</f>
        <v>Gabriel Daugherty</v>
      </c>
      <c r="J4873" t="str">
        <f>VLOOKUP(D4873,Products!A:C,2,FALSE)</f>
        <v>Whether Bags</v>
      </c>
      <c r="K4873" t="str">
        <f>VLOOKUP(D4873,Products!A:C,3,FALSE)</f>
        <v>Fashion</v>
      </c>
      <c r="L4873" t="str">
        <f>VLOOKUP(E4873,Stores!A:B,2,FALSE)</f>
        <v>MegaMart New Michele</v>
      </c>
      <c r="M4873">
        <f>VLOOKUP(D4873,Products!A:E,5,FALSE)</f>
        <v>270.45</v>
      </c>
      <c r="N4873" s="5">
        <f t="shared" si="76"/>
        <v>1027.7099999999998</v>
      </c>
    </row>
    <row r="4874" spans="1:14" x14ac:dyDescent="0.3">
      <c r="A4874" t="s">
        <v>5730</v>
      </c>
      <c r="B4874" s="2">
        <v>45367</v>
      </c>
      <c r="C4874" t="s">
        <v>44</v>
      </c>
      <c r="D4874" t="s">
        <v>800</v>
      </c>
      <c r="E4874" t="s">
        <v>846</v>
      </c>
      <c r="F4874">
        <v>1</v>
      </c>
      <c r="G4874">
        <v>0.1</v>
      </c>
      <c r="H4874" t="s">
        <v>865</v>
      </c>
      <c r="I4874" t="str">
        <f>VLOOKUP(C4874,Customers!A:C,2,FALSE)&amp;" "&amp;VLOOKUP(C4874,Customers!A:C,3,FALSE)</f>
        <v>Catherine Rice</v>
      </c>
      <c r="J4874" t="str">
        <f>VLOOKUP(D4874,Products!A:C,2,FALSE)</f>
        <v>Book Television</v>
      </c>
      <c r="K4874" t="str">
        <f>VLOOKUP(D4874,Products!A:C,3,FALSE)</f>
        <v>Electronics</v>
      </c>
      <c r="L4874" t="str">
        <f>VLOOKUP(E4874,Stores!A:B,2,FALSE)</f>
        <v>MegaMart Johnmouth</v>
      </c>
      <c r="M4874">
        <f>VLOOKUP(D4874,Products!A:E,5,FALSE)</f>
        <v>1952.65</v>
      </c>
      <c r="N4874" s="5">
        <f t="shared" si="76"/>
        <v>1757.3850000000002</v>
      </c>
    </row>
    <row r="4875" spans="1:14" x14ac:dyDescent="0.3">
      <c r="A4875" t="s">
        <v>5731</v>
      </c>
      <c r="B4875" s="2">
        <v>45276</v>
      </c>
      <c r="C4875" t="s">
        <v>335</v>
      </c>
      <c r="D4875" t="s">
        <v>772</v>
      </c>
      <c r="E4875" t="s">
        <v>839</v>
      </c>
      <c r="F4875">
        <v>5</v>
      </c>
      <c r="G4875">
        <v>0</v>
      </c>
      <c r="H4875" t="s">
        <v>865</v>
      </c>
      <c r="I4875" t="str">
        <f>VLOOKUP(C4875,Customers!A:C,2,FALSE)&amp;" "&amp;VLOOKUP(C4875,Customers!A:C,3,FALSE)</f>
        <v>William Warner</v>
      </c>
      <c r="J4875" t="str">
        <f>VLOOKUP(D4875,Products!A:C,2,FALSE)</f>
        <v>And Footwear</v>
      </c>
      <c r="K4875" t="str">
        <f>VLOOKUP(D4875,Products!A:C,3,FALSE)</f>
        <v>Fashion</v>
      </c>
      <c r="L4875" t="str">
        <f>VLOOKUP(E4875,Stores!A:B,2,FALSE)</f>
        <v>MegaMart New Michele</v>
      </c>
      <c r="M4875">
        <f>VLOOKUP(D4875,Products!A:E,5,FALSE)</f>
        <v>1878.47</v>
      </c>
      <c r="N4875" s="5">
        <f t="shared" si="76"/>
        <v>9392.35</v>
      </c>
    </row>
    <row r="4876" spans="1:14" x14ac:dyDescent="0.3">
      <c r="A4876" t="s">
        <v>5732</v>
      </c>
      <c r="B4876" s="2">
        <v>45608</v>
      </c>
      <c r="C4876" t="s">
        <v>313</v>
      </c>
      <c r="D4876" t="s">
        <v>732</v>
      </c>
      <c r="E4876" t="s">
        <v>842</v>
      </c>
      <c r="F4876">
        <v>3</v>
      </c>
      <c r="G4876">
        <v>0.1</v>
      </c>
      <c r="H4876" t="s">
        <v>858</v>
      </c>
      <c r="I4876" t="str">
        <f>VLOOKUP(C4876,Customers!A:C,2,FALSE)&amp;" "&amp;VLOOKUP(C4876,Customers!A:C,3,FALSE)</f>
        <v>Jeremy Robles</v>
      </c>
      <c r="J4876" t="str">
        <f>VLOOKUP(D4876,Products!A:C,2,FALSE)</f>
        <v>Understand Camera</v>
      </c>
      <c r="K4876" t="str">
        <f>VLOOKUP(D4876,Products!A:C,3,FALSE)</f>
        <v>Electronics</v>
      </c>
      <c r="L4876" t="str">
        <f>VLOOKUP(E4876,Stores!A:B,2,FALSE)</f>
        <v>MegaMart Brianahaven</v>
      </c>
      <c r="M4876">
        <f>VLOOKUP(D4876,Products!A:E,5,FALSE)</f>
        <v>1474.12</v>
      </c>
      <c r="N4876" s="5">
        <f t="shared" si="76"/>
        <v>3980.1239999999998</v>
      </c>
    </row>
    <row r="4877" spans="1:14" x14ac:dyDescent="0.3">
      <c r="A4877" t="s">
        <v>5733</v>
      </c>
      <c r="B4877" s="2">
        <v>45878</v>
      </c>
      <c r="C4877" t="s">
        <v>612</v>
      </c>
      <c r="D4877" t="s">
        <v>796</v>
      </c>
      <c r="E4877" t="s">
        <v>839</v>
      </c>
      <c r="F4877">
        <v>2</v>
      </c>
      <c r="G4877">
        <v>0</v>
      </c>
      <c r="H4877" t="s">
        <v>858</v>
      </c>
      <c r="I4877" t="str">
        <f>VLOOKUP(C4877,Customers!A:C,2,FALSE)&amp;" "&amp;VLOOKUP(C4877,Customers!A:C,3,FALSE)</f>
        <v>Michelle Smith</v>
      </c>
      <c r="J4877" t="str">
        <f>VLOOKUP(D4877,Products!A:C,2,FALSE)</f>
        <v>Chair Laptop</v>
      </c>
      <c r="K4877" t="str">
        <f>VLOOKUP(D4877,Products!A:C,3,FALSE)</f>
        <v>Electronics</v>
      </c>
      <c r="L4877" t="str">
        <f>VLOOKUP(E4877,Stores!A:B,2,FALSE)</f>
        <v>MegaMart New Michele</v>
      </c>
      <c r="M4877">
        <f>VLOOKUP(D4877,Products!A:E,5,FALSE)</f>
        <v>1562.43</v>
      </c>
      <c r="N4877" s="5">
        <f t="shared" si="76"/>
        <v>3124.86</v>
      </c>
    </row>
    <row r="4878" spans="1:14" x14ac:dyDescent="0.3">
      <c r="A4878" t="s">
        <v>5734</v>
      </c>
      <c r="B4878" s="2">
        <v>45386</v>
      </c>
      <c r="C4878" t="s">
        <v>55</v>
      </c>
      <c r="D4878" t="s">
        <v>732</v>
      </c>
      <c r="E4878" t="s">
        <v>842</v>
      </c>
      <c r="F4878">
        <v>4</v>
      </c>
      <c r="G4878">
        <v>0</v>
      </c>
      <c r="H4878" t="s">
        <v>865</v>
      </c>
      <c r="I4878" t="str">
        <f>VLOOKUP(C4878,Customers!A:C,2,FALSE)&amp;" "&amp;VLOOKUP(C4878,Customers!A:C,3,FALSE)</f>
        <v>Robert Anderson</v>
      </c>
      <c r="J4878" t="str">
        <f>VLOOKUP(D4878,Products!A:C,2,FALSE)</f>
        <v>Understand Camera</v>
      </c>
      <c r="K4878" t="str">
        <f>VLOOKUP(D4878,Products!A:C,3,FALSE)</f>
        <v>Electronics</v>
      </c>
      <c r="L4878" t="str">
        <f>VLOOKUP(E4878,Stores!A:B,2,FALSE)</f>
        <v>MegaMart Brianahaven</v>
      </c>
      <c r="M4878">
        <f>VLOOKUP(D4878,Products!A:E,5,FALSE)</f>
        <v>1474.12</v>
      </c>
      <c r="N4878" s="5">
        <f t="shared" si="76"/>
        <v>5896.48</v>
      </c>
    </row>
    <row r="4879" spans="1:14" x14ac:dyDescent="0.3">
      <c r="A4879" t="s">
        <v>5735</v>
      </c>
      <c r="B4879" s="2">
        <v>45575</v>
      </c>
      <c r="C4879" t="s">
        <v>277</v>
      </c>
      <c r="D4879" t="s">
        <v>753</v>
      </c>
      <c r="E4879" t="s">
        <v>831</v>
      </c>
      <c r="F4879">
        <v>5</v>
      </c>
      <c r="G4879">
        <v>0.05</v>
      </c>
      <c r="H4879" t="s">
        <v>865</v>
      </c>
      <c r="I4879" t="str">
        <f>VLOOKUP(C4879,Customers!A:C,2,FALSE)&amp;" "&amp;VLOOKUP(C4879,Customers!A:C,3,FALSE)</f>
        <v>Carl Armstrong</v>
      </c>
      <c r="J4879" t="str">
        <f>VLOOKUP(D4879,Products!A:C,2,FALSE)</f>
        <v>Whether Bags</v>
      </c>
      <c r="K4879" t="str">
        <f>VLOOKUP(D4879,Products!A:C,3,FALSE)</f>
        <v>Fashion</v>
      </c>
      <c r="L4879" t="str">
        <f>VLOOKUP(E4879,Stores!A:B,2,FALSE)</f>
        <v>MegaMart Jimenezborough</v>
      </c>
      <c r="M4879">
        <f>VLOOKUP(D4879,Products!A:E,5,FALSE)</f>
        <v>270.45</v>
      </c>
      <c r="N4879" s="5">
        <f t="shared" si="76"/>
        <v>1284.6375</v>
      </c>
    </row>
    <row r="4880" spans="1:14" x14ac:dyDescent="0.3">
      <c r="A4880" t="s">
        <v>5736</v>
      </c>
      <c r="B4880" s="2">
        <v>45313</v>
      </c>
      <c r="C4880" t="s">
        <v>650</v>
      </c>
      <c r="D4880" t="s">
        <v>732</v>
      </c>
      <c r="E4880" t="s">
        <v>839</v>
      </c>
      <c r="F4880">
        <v>3</v>
      </c>
      <c r="G4880">
        <v>0.1</v>
      </c>
      <c r="H4880" t="s">
        <v>865</v>
      </c>
      <c r="I4880" t="str">
        <f>VLOOKUP(C4880,Customers!A:C,2,FALSE)&amp;" "&amp;VLOOKUP(C4880,Customers!A:C,3,FALSE)</f>
        <v>Daniel Mcintyre</v>
      </c>
      <c r="J4880" t="str">
        <f>VLOOKUP(D4880,Products!A:C,2,FALSE)</f>
        <v>Understand Camera</v>
      </c>
      <c r="K4880" t="str">
        <f>VLOOKUP(D4880,Products!A:C,3,FALSE)</f>
        <v>Electronics</v>
      </c>
      <c r="L4880" t="str">
        <f>VLOOKUP(E4880,Stores!A:B,2,FALSE)</f>
        <v>MegaMart New Michele</v>
      </c>
      <c r="M4880">
        <f>VLOOKUP(D4880,Products!A:E,5,FALSE)</f>
        <v>1474.12</v>
      </c>
      <c r="N4880" s="5">
        <f t="shared" si="76"/>
        <v>3980.1239999999998</v>
      </c>
    </row>
    <row r="4881" spans="1:14" x14ac:dyDescent="0.3">
      <c r="A4881" t="s">
        <v>5737</v>
      </c>
      <c r="B4881" s="2">
        <v>45290</v>
      </c>
      <c r="C4881" t="s">
        <v>505</v>
      </c>
      <c r="D4881" t="s">
        <v>816</v>
      </c>
      <c r="E4881" t="s">
        <v>839</v>
      </c>
      <c r="F4881">
        <v>1</v>
      </c>
      <c r="G4881">
        <v>0.05</v>
      </c>
      <c r="H4881" t="s">
        <v>861</v>
      </c>
      <c r="I4881" t="str">
        <f>VLOOKUP(C4881,Customers!A:C,2,FALSE)&amp;" "&amp;VLOOKUP(C4881,Customers!A:C,3,FALSE)</f>
        <v>Alexander Mcfarland</v>
      </c>
      <c r="J4881" t="str">
        <f>VLOOKUP(D4881,Products!A:C,2,FALSE)</f>
        <v>Set Dairy</v>
      </c>
      <c r="K4881" t="str">
        <f>VLOOKUP(D4881,Products!A:C,3,FALSE)</f>
        <v>Groceries</v>
      </c>
      <c r="L4881" t="str">
        <f>VLOOKUP(E4881,Stores!A:B,2,FALSE)</f>
        <v>MegaMart New Michele</v>
      </c>
      <c r="M4881">
        <f>VLOOKUP(D4881,Products!A:E,5,FALSE)</f>
        <v>1879.08</v>
      </c>
      <c r="N4881" s="5">
        <f t="shared" si="76"/>
        <v>1785.1259999999997</v>
      </c>
    </row>
    <row r="4882" spans="1:14" x14ac:dyDescent="0.3">
      <c r="A4882" t="s">
        <v>5738</v>
      </c>
      <c r="B4882" s="2">
        <v>45803</v>
      </c>
      <c r="C4882" t="s">
        <v>179</v>
      </c>
      <c r="D4882" t="s">
        <v>769</v>
      </c>
      <c r="E4882" t="s">
        <v>831</v>
      </c>
      <c r="F4882">
        <v>5</v>
      </c>
      <c r="G4882">
        <v>0</v>
      </c>
      <c r="H4882" t="s">
        <v>861</v>
      </c>
      <c r="I4882" t="str">
        <f>VLOOKUP(C4882,Customers!A:C,2,FALSE)&amp;" "&amp;VLOOKUP(C4882,Customers!A:C,3,FALSE)</f>
        <v>Dennis Poole</v>
      </c>
      <c r="J4882" t="str">
        <f>VLOOKUP(D4882,Products!A:C,2,FALSE)</f>
        <v>How Vegetables</v>
      </c>
      <c r="K4882" t="str">
        <f>VLOOKUP(D4882,Products!A:C,3,FALSE)</f>
        <v>Groceries</v>
      </c>
      <c r="L4882" t="str">
        <f>VLOOKUP(E4882,Stores!A:B,2,FALSE)</f>
        <v>MegaMart Jimenezborough</v>
      </c>
      <c r="M4882">
        <f>VLOOKUP(D4882,Products!A:E,5,FALSE)</f>
        <v>25.57</v>
      </c>
      <c r="N4882" s="5">
        <f t="shared" si="76"/>
        <v>127.85</v>
      </c>
    </row>
    <row r="4883" spans="1:14" x14ac:dyDescent="0.3">
      <c r="A4883" t="s">
        <v>5739</v>
      </c>
      <c r="B4883" s="2">
        <v>45598</v>
      </c>
      <c r="C4883" t="s">
        <v>545</v>
      </c>
      <c r="D4883" t="s">
        <v>715</v>
      </c>
      <c r="E4883" t="s">
        <v>842</v>
      </c>
      <c r="F4883">
        <v>4</v>
      </c>
      <c r="G4883">
        <v>0.05</v>
      </c>
      <c r="H4883" t="s">
        <v>865</v>
      </c>
      <c r="I4883" t="str">
        <f>VLOOKUP(C4883,Customers!A:C,2,FALSE)&amp;" "&amp;VLOOKUP(C4883,Customers!A:C,3,FALSE)</f>
        <v>Dawn Fletcher</v>
      </c>
      <c r="J4883" t="str">
        <f>VLOOKUP(D4883,Products!A:C,2,FALSE)</f>
        <v>Audience Television</v>
      </c>
      <c r="K4883" t="str">
        <f>VLOOKUP(D4883,Products!A:C,3,FALSE)</f>
        <v>Electronics</v>
      </c>
      <c r="L4883" t="str">
        <f>VLOOKUP(E4883,Stores!A:B,2,FALSE)</f>
        <v>MegaMart Brianahaven</v>
      </c>
      <c r="M4883">
        <f>VLOOKUP(D4883,Products!A:E,5,FALSE)</f>
        <v>818.76</v>
      </c>
      <c r="N4883" s="5">
        <f t="shared" si="76"/>
        <v>3111.288</v>
      </c>
    </row>
    <row r="4884" spans="1:14" x14ac:dyDescent="0.3">
      <c r="A4884" t="s">
        <v>5740</v>
      </c>
      <c r="B4884" s="2">
        <v>45739</v>
      </c>
      <c r="C4884" t="s">
        <v>238</v>
      </c>
      <c r="D4884" t="s">
        <v>820</v>
      </c>
      <c r="E4884" t="s">
        <v>846</v>
      </c>
      <c r="F4884">
        <v>3</v>
      </c>
      <c r="G4884">
        <v>0.15</v>
      </c>
      <c r="H4884" t="s">
        <v>855</v>
      </c>
      <c r="I4884" t="str">
        <f>VLOOKUP(C4884,Customers!A:C,2,FALSE)&amp;" "&amp;VLOOKUP(C4884,Customers!A:C,3,FALSE)</f>
        <v>Susan Salinas</v>
      </c>
      <c r="J4884" t="str">
        <f>VLOOKUP(D4884,Products!A:C,2,FALSE)</f>
        <v>Or Smartphone</v>
      </c>
      <c r="K4884" t="str">
        <f>VLOOKUP(D4884,Products!A:C,3,FALSE)</f>
        <v>Electronics</v>
      </c>
      <c r="L4884" t="str">
        <f>VLOOKUP(E4884,Stores!A:B,2,FALSE)</f>
        <v>MegaMart Johnmouth</v>
      </c>
      <c r="M4884">
        <f>VLOOKUP(D4884,Products!A:E,5,FALSE)</f>
        <v>1197.18</v>
      </c>
      <c r="N4884" s="5">
        <f t="shared" si="76"/>
        <v>3052.8089999999997</v>
      </c>
    </row>
    <row r="4885" spans="1:14" x14ac:dyDescent="0.3">
      <c r="A4885" t="s">
        <v>5741</v>
      </c>
      <c r="B4885" s="2">
        <v>45826</v>
      </c>
      <c r="C4885" t="s">
        <v>577</v>
      </c>
      <c r="D4885" t="s">
        <v>814</v>
      </c>
      <c r="E4885" t="s">
        <v>831</v>
      </c>
      <c r="F4885">
        <v>4</v>
      </c>
      <c r="G4885">
        <v>0</v>
      </c>
      <c r="H4885" t="s">
        <v>861</v>
      </c>
      <c r="I4885" t="str">
        <f>VLOOKUP(C4885,Customers!A:C,2,FALSE)&amp;" "&amp;VLOOKUP(C4885,Customers!A:C,3,FALSE)</f>
        <v>Michael Perez</v>
      </c>
      <c r="J4885" t="str">
        <f>VLOOKUP(D4885,Products!A:C,2,FALSE)</f>
        <v>Least Accessories</v>
      </c>
      <c r="K4885" t="str">
        <f>VLOOKUP(D4885,Products!A:C,3,FALSE)</f>
        <v>Fashion</v>
      </c>
      <c r="L4885" t="str">
        <f>VLOOKUP(E4885,Stores!A:B,2,FALSE)</f>
        <v>MegaMart Jimenezborough</v>
      </c>
      <c r="M4885">
        <f>VLOOKUP(D4885,Products!A:E,5,FALSE)</f>
        <v>1286.55</v>
      </c>
      <c r="N4885" s="5">
        <f t="shared" si="76"/>
        <v>5146.2</v>
      </c>
    </row>
    <row r="4886" spans="1:14" x14ac:dyDescent="0.3">
      <c r="A4886" t="s">
        <v>5742</v>
      </c>
      <c r="B4886" s="2">
        <v>45440</v>
      </c>
      <c r="C4886" t="s">
        <v>379</v>
      </c>
      <c r="D4886" t="s">
        <v>790</v>
      </c>
      <c r="E4886" t="s">
        <v>839</v>
      </c>
      <c r="F4886">
        <v>2</v>
      </c>
      <c r="G4886">
        <v>0.1</v>
      </c>
      <c r="H4886" t="s">
        <v>865</v>
      </c>
      <c r="I4886" t="str">
        <f>VLOOKUP(C4886,Customers!A:C,2,FALSE)&amp;" "&amp;VLOOKUP(C4886,Customers!A:C,3,FALSE)</f>
        <v>William Pope</v>
      </c>
      <c r="J4886" t="str">
        <f>VLOOKUP(D4886,Products!A:C,2,FALSE)</f>
        <v>Difficult Vegetables</v>
      </c>
      <c r="K4886" t="str">
        <f>VLOOKUP(D4886,Products!A:C,3,FALSE)</f>
        <v>Groceries</v>
      </c>
      <c r="L4886" t="str">
        <f>VLOOKUP(E4886,Stores!A:B,2,FALSE)</f>
        <v>MegaMart New Michele</v>
      </c>
      <c r="M4886">
        <f>VLOOKUP(D4886,Products!A:E,5,FALSE)</f>
        <v>304.70999999999998</v>
      </c>
      <c r="N4886" s="5">
        <f t="shared" si="76"/>
        <v>548.47799999999995</v>
      </c>
    </row>
    <row r="4887" spans="1:14" x14ac:dyDescent="0.3">
      <c r="A4887" t="s">
        <v>5743</v>
      </c>
      <c r="B4887" s="2">
        <v>45650</v>
      </c>
      <c r="C4887" t="s">
        <v>368</v>
      </c>
      <c r="D4887" t="s">
        <v>711</v>
      </c>
      <c r="E4887" t="s">
        <v>839</v>
      </c>
      <c r="F4887">
        <v>4</v>
      </c>
      <c r="G4887">
        <v>0.05</v>
      </c>
      <c r="H4887" t="s">
        <v>861</v>
      </c>
      <c r="I4887" t="str">
        <f>VLOOKUP(C4887,Customers!A:C,2,FALSE)&amp;" "&amp;VLOOKUP(C4887,Customers!A:C,3,FALSE)</f>
        <v>Lisa Vega</v>
      </c>
      <c r="J4887" t="str">
        <f>VLOOKUP(D4887,Products!A:C,2,FALSE)</f>
        <v>Like Camera</v>
      </c>
      <c r="K4887" t="str">
        <f>VLOOKUP(D4887,Products!A:C,3,FALSE)</f>
        <v>Electronics</v>
      </c>
      <c r="L4887" t="str">
        <f>VLOOKUP(E4887,Stores!A:B,2,FALSE)</f>
        <v>MegaMart New Michele</v>
      </c>
      <c r="M4887">
        <f>VLOOKUP(D4887,Products!A:E,5,FALSE)</f>
        <v>1673.69</v>
      </c>
      <c r="N4887" s="5">
        <f t="shared" si="76"/>
        <v>6360.0219999999999</v>
      </c>
    </row>
    <row r="4888" spans="1:14" x14ac:dyDescent="0.3">
      <c r="A4888" t="s">
        <v>5744</v>
      </c>
      <c r="B4888" s="2">
        <v>45275</v>
      </c>
      <c r="C4888" t="s">
        <v>653</v>
      </c>
      <c r="D4888" t="s">
        <v>753</v>
      </c>
      <c r="E4888" t="s">
        <v>835</v>
      </c>
      <c r="F4888">
        <v>3</v>
      </c>
      <c r="G4888">
        <v>0.15</v>
      </c>
      <c r="H4888" t="s">
        <v>861</v>
      </c>
      <c r="I4888" t="str">
        <f>VLOOKUP(C4888,Customers!A:C,2,FALSE)&amp;" "&amp;VLOOKUP(C4888,Customers!A:C,3,FALSE)</f>
        <v>Joe Vincent</v>
      </c>
      <c r="J4888" t="str">
        <f>VLOOKUP(D4888,Products!A:C,2,FALSE)</f>
        <v>Whether Bags</v>
      </c>
      <c r="K4888" t="str">
        <f>VLOOKUP(D4888,Products!A:C,3,FALSE)</f>
        <v>Fashion</v>
      </c>
      <c r="L4888" t="str">
        <f>VLOOKUP(E4888,Stores!A:B,2,FALSE)</f>
        <v>MegaMart Peckmouth</v>
      </c>
      <c r="M4888">
        <f>VLOOKUP(D4888,Products!A:E,5,FALSE)</f>
        <v>270.45</v>
      </c>
      <c r="N4888" s="5">
        <f t="shared" si="76"/>
        <v>689.64749999999992</v>
      </c>
    </row>
    <row r="4889" spans="1:14" x14ac:dyDescent="0.3">
      <c r="A4889" t="s">
        <v>5745</v>
      </c>
      <c r="B4889" s="2">
        <v>45186</v>
      </c>
      <c r="C4889" t="s">
        <v>202</v>
      </c>
      <c r="D4889" t="s">
        <v>792</v>
      </c>
      <c r="E4889" t="s">
        <v>831</v>
      </c>
      <c r="F4889">
        <v>2</v>
      </c>
      <c r="G4889">
        <v>0.15</v>
      </c>
      <c r="H4889" t="s">
        <v>855</v>
      </c>
      <c r="I4889" t="str">
        <f>VLOOKUP(C4889,Customers!A:C,2,FALSE)&amp;" "&amp;VLOOKUP(C4889,Customers!A:C,3,FALSE)</f>
        <v>Billy Hernandez</v>
      </c>
      <c r="J4889" t="str">
        <f>VLOOKUP(D4889,Products!A:C,2,FALSE)</f>
        <v>Beat Accessories</v>
      </c>
      <c r="K4889" t="str">
        <f>VLOOKUP(D4889,Products!A:C,3,FALSE)</f>
        <v>Fashion</v>
      </c>
      <c r="L4889" t="str">
        <f>VLOOKUP(E4889,Stores!A:B,2,FALSE)</f>
        <v>MegaMart Jimenezborough</v>
      </c>
      <c r="M4889">
        <f>VLOOKUP(D4889,Products!A:E,5,FALSE)</f>
        <v>1798.97</v>
      </c>
      <c r="N4889" s="5">
        <f t="shared" si="76"/>
        <v>3058.2489999999998</v>
      </c>
    </row>
    <row r="4890" spans="1:14" x14ac:dyDescent="0.3">
      <c r="A4890" t="s">
        <v>5746</v>
      </c>
      <c r="B4890" s="2">
        <v>45769</v>
      </c>
      <c r="C4890" t="s">
        <v>258</v>
      </c>
      <c r="D4890" t="s">
        <v>769</v>
      </c>
      <c r="E4890" t="s">
        <v>831</v>
      </c>
      <c r="F4890">
        <v>5</v>
      </c>
      <c r="G4890">
        <v>0</v>
      </c>
      <c r="H4890" t="s">
        <v>858</v>
      </c>
      <c r="I4890" t="str">
        <f>VLOOKUP(C4890,Customers!A:C,2,FALSE)&amp;" "&amp;VLOOKUP(C4890,Customers!A:C,3,FALSE)</f>
        <v>Alexandra Montoya</v>
      </c>
      <c r="J4890" t="str">
        <f>VLOOKUP(D4890,Products!A:C,2,FALSE)</f>
        <v>How Vegetables</v>
      </c>
      <c r="K4890" t="str">
        <f>VLOOKUP(D4890,Products!A:C,3,FALSE)</f>
        <v>Groceries</v>
      </c>
      <c r="L4890" t="str">
        <f>VLOOKUP(E4890,Stores!A:B,2,FALSE)</f>
        <v>MegaMart Jimenezborough</v>
      </c>
      <c r="M4890">
        <f>VLOOKUP(D4890,Products!A:E,5,FALSE)</f>
        <v>25.57</v>
      </c>
      <c r="N4890" s="5">
        <f t="shared" si="76"/>
        <v>127.85</v>
      </c>
    </row>
    <row r="4891" spans="1:14" x14ac:dyDescent="0.3">
      <c r="A4891" t="s">
        <v>5747</v>
      </c>
      <c r="B4891" s="2">
        <v>45423</v>
      </c>
      <c r="C4891" t="s">
        <v>462</v>
      </c>
      <c r="D4891" t="s">
        <v>711</v>
      </c>
      <c r="E4891" t="s">
        <v>831</v>
      </c>
      <c r="F4891">
        <v>5</v>
      </c>
      <c r="G4891">
        <v>0.15</v>
      </c>
      <c r="H4891" t="s">
        <v>865</v>
      </c>
      <c r="I4891" t="str">
        <f>VLOOKUP(C4891,Customers!A:C,2,FALSE)&amp;" "&amp;VLOOKUP(C4891,Customers!A:C,3,FALSE)</f>
        <v>Kimberly Parker</v>
      </c>
      <c r="J4891" t="str">
        <f>VLOOKUP(D4891,Products!A:C,2,FALSE)</f>
        <v>Like Camera</v>
      </c>
      <c r="K4891" t="str">
        <f>VLOOKUP(D4891,Products!A:C,3,FALSE)</f>
        <v>Electronics</v>
      </c>
      <c r="L4891" t="str">
        <f>VLOOKUP(E4891,Stores!A:B,2,FALSE)</f>
        <v>MegaMart Jimenezborough</v>
      </c>
      <c r="M4891">
        <f>VLOOKUP(D4891,Products!A:E,5,FALSE)</f>
        <v>1673.69</v>
      </c>
      <c r="N4891" s="5">
        <f t="shared" si="76"/>
        <v>7113.1825000000008</v>
      </c>
    </row>
    <row r="4892" spans="1:14" x14ac:dyDescent="0.3">
      <c r="A4892" t="s">
        <v>5748</v>
      </c>
      <c r="B4892" s="2">
        <v>45672</v>
      </c>
      <c r="C4892" t="s">
        <v>551</v>
      </c>
      <c r="D4892" t="s">
        <v>792</v>
      </c>
      <c r="E4892" t="s">
        <v>835</v>
      </c>
      <c r="F4892">
        <v>1</v>
      </c>
      <c r="G4892">
        <v>0</v>
      </c>
      <c r="H4892" t="s">
        <v>865</v>
      </c>
      <c r="I4892" t="str">
        <f>VLOOKUP(C4892,Customers!A:C,2,FALSE)&amp;" "&amp;VLOOKUP(C4892,Customers!A:C,3,FALSE)</f>
        <v>Nancy Gordon</v>
      </c>
      <c r="J4892" t="str">
        <f>VLOOKUP(D4892,Products!A:C,2,FALSE)</f>
        <v>Beat Accessories</v>
      </c>
      <c r="K4892" t="str">
        <f>VLOOKUP(D4892,Products!A:C,3,FALSE)</f>
        <v>Fashion</v>
      </c>
      <c r="L4892" t="str">
        <f>VLOOKUP(E4892,Stores!A:B,2,FALSE)</f>
        <v>MegaMart Peckmouth</v>
      </c>
      <c r="M4892">
        <f>VLOOKUP(D4892,Products!A:E,5,FALSE)</f>
        <v>1798.97</v>
      </c>
      <c r="N4892" s="5">
        <f t="shared" si="76"/>
        <v>1798.97</v>
      </c>
    </row>
    <row r="4893" spans="1:14" x14ac:dyDescent="0.3">
      <c r="A4893" t="s">
        <v>5749</v>
      </c>
      <c r="B4893" s="2">
        <v>45685</v>
      </c>
      <c r="C4893" t="s">
        <v>505</v>
      </c>
      <c r="D4893" t="s">
        <v>764</v>
      </c>
      <c r="E4893" t="s">
        <v>839</v>
      </c>
      <c r="F4893">
        <v>2</v>
      </c>
      <c r="G4893">
        <v>0</v>
      </c>
      <c r="H4893" t="s">
        <v>865</v>
      </c>
      <c r="I4893" t="str">
        <f>VLOOKUP(C4893,Customers!A:C,2,FALSE)&amp;" "&amp;VLOOKUP(C4893,Customers!A:C,3,FALSE)</f>
        <v>Alexander Mcfarland</v>
      </c>
      <c r="J4893" t="str">
        <f>VLOOKUP(D4893,Products!A:C,2,FALSE)</f>
        <v>Simple Accessories</v>
      </c>
      <c r="K4893" t="str">
        <f>VLOOKUP(D4893,Products!A:C,3,FALSE)</f>
        <v>Fashion</v>
      </c>
      <c r="L4893" t="str">
        <f>VLOOKUP(E4893,Stores!A:B,2,FALSE)</f>
        <v>MegaMart New Michele</v>
      </c>
      <c r="M4893">
        <f>VLOOKUP(D4893,Products!A:E,5,FALSE)</f>
        <v>323.92</v>
      </c>
      <c r="N4893" s="5">
        <f t="shared" si="76"/>
        <v>647.84</v>
      </c>
    </row>
    <row r="4894" spans="1:14" x14ac:dyDescent="0.3">
      <c r="A4894" t="s">
        <v>5750</v>
      </c>
      <c r="B4894" s="2">
        <v>45306</v>
      </c>
      <c r="C4894" t="s">
        <v>202</v>
      </c>
      <c r="D4894" t="s">
        <v>786</v>
      </c>
      <c r="E4894" t="s">
        <v>835</v>
      </c>
      <c r="F4894">
        <v>4</v>
      </c>
      <c r="G4894">
        <v>0.15</v>
      </c>
      <c r="H4894" t="s">
        <v>865</v>
      </c>
      <c r="I4894" t="str">
        <f>VLOOKUP(C4894,Customers!A:C,2,FALSE)&amp;" "&amp;VLOOKUP(C4894,Customers!A:C,3,FALSE)</f>
        <v>Billy Hernandez</v>
      </c>
      <c r="J4894" t="str">
        <f>VLOOKUP(D4894,Products!A:C,2,FALSE)</f>
        <v>National Watches</v>
      </c>
      <c r="K4894" t="str">
        <f>VLOOKUP(D4894,Products!A:C,3,FALSE)</f>
        <v>Fashion</v>
      </c>
      <c r="L4894" t="str">
        <f>VLOOKUP(E4894,Stores!A:B,2,FALSE)</f>
        <v>MegaMart Peckmouth</v>
      </c>
      <c r="M4894">
        <f>VLOOKUP(D4894,Products!A:E,5,FALSE)</f>
        <v>29.24</v>
      </c>
      <c r="N4894" s="5">
        <f t="shared" si="76"/>
        <v>99.415999999999997</v>
      </c>
    </row>
    <row r="4895" spans="1:14" x14ac:dyDescent="0.3">
      <c r="A4895" t="s">
        <v>5751</v>
      </c>
      <c r="B4895" s="2">
        <v>45240</v>
      </c>
      <c r="C4895" t="s">
        <v>101</v>
      </c>
      <c r="D4895" t="s">
        <v>759</v>
      </c>
      <c r="E4895" t="s">
        <v>839</v>
      </c>
      <c r="F4895">
        <v>5</v>
      </c>
      <c r="G4895">
        <v>0.1</v>
      </c>
      <c r="H4895" t="s">
        <v>855</v>
      </c>
      <c r="I4895" t="str">
        <f>VLOOKUP(C4895,Customers!A:C,2,FALSE)&amp;" "&amp;VLOOKUP(C4895,Customers!A:C,3,FALSE)</f>
        <v>Cheryl Gilbert</v>
      </c>
      <c r="J4895" t="str">
        <f>VLOOKUP(D4895,Products!A:C,2,FALSE)</f>
        <v>Democratic Smartphone</v>
      </c>
      <c r="K4895" t="str">
        <f>VLOOKUP(D4895,Products!A:C,3,FALSE)</f>
        <v>Electronics</v>
      </c>
      <c r="L4895" t="str">
        <f>VLOOKUP(E4895,Stores!A:B,2,FALSE)</f>
        <v>MegaMart New Michele</v>
      </c>
      <c r="M4895">
        <f>VLOOKUP(D4895,Products!A:E,5,FALSE)</f>
        <v>1079.8900000000001</v>
      </c>
      <c r="N4895" s="5">
        <f t="shared" si="76"/>
        <v>4859.505000000001</v>
      </c>
    </row>
    <row r="4896" spans="1:14" x14ac:dyDescent="0.3">
      <c r="A4896" t="s">
        <v>5752</v>
      </c>
      <c r="B4896" s="2">
        <v>45780</v>
      </c>
      <c r="C4896" t="s">
        <v>524</v>
      </c>
      <c r="D4896" t="s">
        <v>784</v>
      </c>
      <c r="E4896" t="s">
        <v>831</v>
      </c>
      <c r="F4896">
        <v>3</v>
      </c>
      <c r="G4896">
        <v>0.05</v>
      </c>
      <c r="H4896" t="s">
        <v>858</v>
      </c>
      <c r="I4896" t="str">
        <f>VLOOKUP(C4896,Customers!A:C,2,FALSE)&amp;" "&amp;VLOOKUP(C4896,Customers!A:C,3,FALSE)</f>
        <v>Betty Johnson</v>
      </c>
      <c r="J4896" t="str">
        <f>VLOOKUP(D4896,Products!A:C,2,FALSE)</f>
        <v>Road Clothing</v>
      </c>
      <c r="K4896" t="str">
        <f>VLOOKUP(D4896,Products!A:C,3,FALSE)</f>
        <v>Fashion</v>
      </c>
      <c r="L4896" t="str">
        <f>VLOOKUP(E4896,Stores!A:B,2,FALSE)</f>
        <v>MegaMart Jimenezborough</v>
      </c>
      <c r="M4896">
        <f>VLOOKUP(D4896,Products!A:E,5,FALSE)</f>
        <v>1485.05</v>
      </c>
      <c r="N4896" s="5">
        <f t="shared" si="76"/>
        <v>4232.392499999999</v>
      </c>
    </row>
    <row r="4897" spans="1:14" x14ac:dyDescent="0.3">
      <c r="A4897" t="s">
        <v>5753</v>
      </c>
      <c r="B4897" s="2">
        <v>45404</v>
      </c>
      <c r="C4897" t="s">
        <v>238</v>
      </c>
      <c r="D4897" t="s">
        <v>759</v>
      </c>
      <c r="E4897" t="s">
        <v>835</v>
      </c>
      <c r="F4897">
        <v>1</v>
      </c>
      <c r="G4897">
        <v>0</v>
      </c>
      <c r="H4897" t="s">
        <v>858</v>
      </c>
      <c r="I4897" t="str">
        <f>VLOOKUP(C4897,Customers!A:C,2,FALSE)&amp;" "&amp;VLOOKUP(C4897,Customers!A:C,3,FALSE)</f>
        <v>Susan Salinas</v>
      </c>
      <c r="J4897" t="str">
        <f>VLOOKUP(D4897,Products!A:C,2,FALSE)</f>
        <v>Democratic Smartphone</v>
      </c>
      <c r="K4897" t="str">
        <f>VLOOKUP(D4897,Products!A:C,3,FALSE)</f>
        <v>Electronics</v>
      </c>
      <c r="L4897" t="str">
        <f>VLOOKUP(E4897,Stores!A:B,2,FALSE)</f>
        <v>MegaMart Peckmouth</v>
      </c>
      <c r="M4897">
        <f>VLOOKUP(D4897,Products!A:E,5,FALSE)</f>
        <v>1079.8900000000001</v>
      </c>
      <c r="N4897" s="5">
        <f t="shared" si="76"/>
        <v>1079.8900000000001</v>
      </c>
    </row>
    <row r="4898" spans="1:14" x14ac:dyDescent="0.3">
      <c r="A4898" t="s">
        <v>5754</v>
      </c>
      <c r="B4898" s="2">
        <v>45726</v>
      </c>
      <c r="C4898" t="s">
        <v>40</v>
      </c>
      <c r="D4898" t="s">
        <v>715</v>
      </c>
      <c r="E4898" t="s">
        <v>839</v>
      </c>
      <c r="F4898">
        <v>4</v>
      </c>
      <c r="G4898">
        <v>0.05</v>
      </c>
      <c r="H4898" t="s">
        <v>861</v>
      </c>
      <c r="I4898" t="str">
        <f>VLOOKUP(C4898,Customers!A:C,2,FALSE)&amp;" "&amp;VLOOKUP(C4898,Customers!A:C,3,FALSE)</f>
        <v>Richard Pacheco</v>
      </c>
      <c r="J4898" t="str">
        <f>VLOOKUP(D4898,Products!A:C,2,FALSE)</f>
        <v>Audience Television</v>
      </c>
      <c r="K4898" t="str">
        <f>VLOOKUP(D4898,Products!A:C,3,FALSE)</f>
        <v>Electronics</v>
      </c>
      <c r="L4898" t="str">
        <f>VLOOKUP(E4898,Stores!A:B,2,FALSE)</f>
        <v>MegaMart New Michele</v>
      </c>
      <c r="M4898">
        <f>VLOOKUP(D4898,Products!A:E,5,FALSE)</f>
        <v>818.76</v>
      </c>
      <c r="N4898" s="5">
        <f t="shared" si="76"/>
        <v>3111.288</v>
      </c>
    </row>
    <row r="4899" spans="1:14" x14ac:dyDescent="0.3">
      <c r="A4899" t="s">
        <v>5755</v>
      </c>
      <c r="B4899" s="2">
        <v>45725</v>
      </c>
      <c r="C4899" t="s">
        <v>24</v>
      </c>
      <c r="D4899" t="s">
        <v>788</v>
      </c>
      <c r="E4899" t="s">
        <v>839</v>
      </c>
      <c r="F4899">
        <v>2</v>
      </c>
      <c r="G4899">
        <v>0.15</v>
      </c>
      <c r="H4899" t="s">
        <v>865</v>
      </c>
      <c r="I4899" t="str">
        <f>VLOOKUP(C4899,Customers!A:C,2,FALSE)&amp;" "&amp;VLOOKUP(C4899,Customers!A:C,3,FALSE)</f>
        <v>Jamie Salinas</v>
      </c>
      <c r="J4899" t="str">
        <f>VLOOKUP(D4899,Products!A:C,2,FALSE)</f>
        <v>Foot Snacks</v>
      </c>
      <c r="K4899" t="str">
        <f>VLOOKUP(D4899,Products!A:C,3,FALSE)</f>
        <v>Groceries</v>
      </c>
      <c r="L4899" t="str">
        <f>VLOOKUP(E4899,Stores!A:B,2,FALSE)</f>
        <v>MegaMart New Michele</v>
      </c>
      <c r="M4899">
        <f>VLOOKUP(D4899,Products!A:E,5,FALSE)</f>
        <v>1095.72</v>
      </c>
      <c r="N4899" s="5">
        <f t="shared" si="76"/>
        <v>1862.7239999999999</v>
      </c>
    </row>
    <row r="4900" spans="1:14" x14ac:dyDescent="0.3">
      <c r="A4900" t="s">
        <v>5756</v>
      </c>
      <c r="B4900" s="2">
        <v>45257</v>
      </c>
      <c r="C4900" t="s">
        <v>452</v>
      </c>
      <c r="D4900" t="s">
        <v>798</v>
      </c>
      <c r="E4900" t="s">
        <v>842</v>
      </c>
      <c r="F4900">
        <v>3</v>
      </c>
      <c r="G4900">
        <v>0.1</v>
      </c>
      <c r="H4900" t="s">
        <v>855</v>
      </c>
      <c r="I4900" t="str">
        <f>VLOOKUP(C4900,Customers!A:C,2,FALSE)&amp;" "&amp;VLOOKUP(C4900,Customers!A:C,3,FALSE)</f>
        <v>Amy Smith</v>
      </c>
      <c r="J4900" t="str">
        <f>VLOOKUP(D4900,Products!A:C,2,FALSE)</f>
        <v>New Watches</v>
      </c>
      <c r="K4900" t="str">
        <f>VLOOKUP(D4900,Products!A:C,3,FALSE)</f>
        <v>Fashion</v>
      </c>
      <c r="L4900" t="str">
        <f>VLOOKUP(E4900,Stores!A:B,2,FALSE)</f>
        <v>MegaMart Brianahaven</v>
      </c>
      <c r="M4900">
        <f>VLOOKUP(D4900,Products!A:E,5,FALSE)</f>
        <v>1501.46</v>
      </c>
      <c r="N4900" s="5">
        <f t="shared" si="76"/>
        <v>4053.942</v>
      </c>
    </row>
    <row r="4901" spans="1:14" x14ac:dyDescent="0.3">
      <c r="A4901" t="s">
        <v>5757</v>
      </c>
      <c r="B4901" s="2">
        <v>45322</v>
      </c>
      <c r="C4901" t="s">
        <v>287</v>
      </c>
      <c r="D4901" t="s">
        <v>736</v>
      </c>
      <c r="E4901" t="s">
        <v>842</v>
      </c>
      <c r="F4901">
        <v>1</v>
      </c>
      <c r="G4901">
        <v>0.05</v>
      </c>
      <c r="H4901" t="s">
        <v>861</v>
      </c>
      <c r="I4901" t="str">
        <f>VLOOKUP(C4901,Customers!A:C,2,FALSE)&amp;" "&amp;VLOOKUP(C4901,Customers!A:C,3,FALSE)</f>
        <v>Phyllis Durham</v>
      </c>
      <c r="J4901" t="str">
        <f>VLOOKUP(D4901,Products!A:C,2,FALSE)</f>
        <v>Us Snacks</v>
      </c>
      <c r="K4901" t="str">
        <f>VLOOKUP(D4901,Products!A:C,3,FALSE)</f>
        <v>Groceries</v>
      </c>
      <c r="L4901" t="str">
        <f>VLOOKUP(E4901,Stores!A:B,2,FALSE)</f>
        <v>MegaMart Brianahaven</v>
      </c>
      <c r="M4901">
        <f>VLOOKUP(D4901,Products!A:E,5,FALSE)</f>
        <v>123.19</v>
      </c>
      <c r="N4901" s="5">
        <f t="shared" si="76"/>
        <v>117.03049999999999</v>
      </c>
    </row>
    <row r="4902" spans="1:14" x14ac:dyDescent="0.3">
      <c r="A4902" t="s">
        <v>5758</v>
      </c>
      <c r="B4902" s="2">
        <v>45848</v>
      </c>
      <c r="C4902" t="s">
        <v>85</v>
      </c>
      <c r="D4902" t="s">
        <v>798</v>
      </c>
      <c r="E4902" t="s">
        <v>842</v>
      </c>
      <c r="F4902">
        <v>1</v>
      </c>
      <c r="G4902">
        <v>0.1</v>
      </c>
      <c r="H4902" t="s">
        <v>858</v>
      </c>
      <c r="I4902" t="str">
        <f>VLOOKUP(C4902,Customers!A:C,2,FALSE)&amp;" "&amp;VLOOKUP(C4902,Customers!A:C,3,FALSE)</f>
        <v>Debbie Martin</v>
      </c>
      <c r="J4902" t="str">
        <f>VLOOKUP(D4902,Products!A:C,2,FALSE)</f>
        <v>New Watches</v>
      </c>
      <c r="K4902" t="str">
        <f>VLOOKUP(D4902,Products!A:C,3,FALSE)</f>
        <v>Fashion</v>
      </c>
      <c r="L4902" t="str">
        <f>VLOOKUP(E4902,Stores!A:B,2,FALSE)</f>
        <v>MegaMart Brianahaven</v>
      </c>
      <c r="M4902">
        <f>VLOOKUP(D4902,Products!A:E,5,FALSE)</f>
        <v>1501.46</v>
      </c>
      <c r="N4902" s="5">
        <f t="shared" si="76"/>
        <v>1351.3140000000001</v>
      </c>
    </row>
    <row r="4903" spans="1:14" x14ac:dyDescent="0.3">
      <c r="A4903" t="s">
        <v>5759</v>
      </c>
      <c r="B4903" s="2">
        <v>45637</v>
      </c>
      <c r="C4903" t="s">
        <v>673</v>
      </c>
      <c r="D4903" t="s">
        <v>739</v>
      </c>
      <c r="E4903" t="s">
        <v>831</v>
      </c>
      <c r="F4903">
        <v>5</v>
      </c>
      <c r="G4903">
        <v>0.1</v>
      </c>
      <c r="H4903" t="s">
        <v>861</v>
      </c>
      <c r="I4903" t="str">
        <f>VLOOKUP(C4903,Customers!A:C,2,FALSE)&amp;" "&amp;VLOOKUP(C4903,Customers!A:C,3,FALSE)</f>
        <v>Karen Quinn</v>
      </c>
      <c r="J4903" t="str">
        <f>VLOOKUP(D4903,Products!A:C,2,FALSE)</f>
        <v>Step Smartphone</v>
      </c>
      <c r="K4903" t="str">
        <f>VLOOKUP(D4903,Products!A:C,3,FALSE)</f>
        <v>Electronics</v>
      </c>
      <c r="L4903" t="str">
        <f>VLOOKUP(E4903,Stores!A:B,2,FALSE)</f>
        <v>MegaMart Jimenezborough</v>
      </c>
      <c r="M4903">
        <f>VLOOKUP(D4903,Products!A:E,5,FALSE)</f>
        <v>1194.1199999999999</v>
      </c>
      <c r="N4903" s="5">
        <f t="shared" si="76"/>
        <v>5373.54</v>
      </c>
    </row>
    <row r="4904" spans="1:14" x14ac:dyDescent="0.3">
      <c r="A4904" t="s">
        <v>5760</v>
      </c>
      <c r="B4904" s="2">
        <v>45726</v>
      </c>
      <c r="C4904" t="s">
        <v>536</v>
      </c>
      <c r="D4904" t="s">
        <v>736</v>
      </c>
      <c r="E4904" t="s">
        <v>839</v>
      </c>
      <c r="F4904">
        <v>4</v>
      </c>
      <c r="G4904">
        <v>0.15</v>
      </c>
      <c r="H4904" t="s">
        <v>858</v>
      </c>
      <c r="I4904" t="str">
        <f>VLOOKUP(C4904,Customers!A:C,2,FALSE)&amp;" "&amp;VLOOKUP(C4904,Customers!A:C,3,FALSE)</f>
        <v>John Foster</v>
      </c>
      <c r="J4904" t="str">
        <f>VLOOKUP(D4904,Products!A:C,2,FALSE)</f>
        <v>Us Snacks</v>
      </c>
      <c r="K4904" t="str">
        <f>VLOOKUP(D4904,Products!A:C,3,FALSE)</f>
        <v>Groceries</v>
      </c>
      <c r="L4904" t="str">
        <f>VLOOKUP(E4904,Stores!A:B,2,FALSE)</f>
        <v>MegaMart New Michele</v>
      </c>
      <c r="M4904">
        <f>VLOOKUP(D4904,Products!A:E,5,FALSE)</f>
        <v>123.19</v>
      </c>
      <c r="N4904" s="5">
        <f t="shared" si="76"/>
        <v>418.846</v>
      </c>
    </row>
    <row r="4905" spans="1:14" x14ac:dyDescent="0.3">
      <c r="A4905" t="s">
        <v>5761</v>
      </c>
      <c r="B4905" s="2">
        <v>45458</v>
      </c>
      <c r="C4905" t="s">
        <v>393</v>
      </c>
      <c r="D4905" t="s">
        <v>822</v>
      </c>
      <c r="E4905" t="s">
        <v>835</v>
      </c>
      <c r="F4905">
        <v>4</v>
      </c>
      <c r="G4905">
        <v>0.05</v>
      </c>
      <c r="H4905" t="s">
        <v>861</v>
      </c>
      <c r="I4905" t="str">
        <f>VLOOKUP(C4905,Customers!A:C,2,FALSE)&amp;" "&amp;VLOOKUP(C4905,Customers!A:C,3,FALSE)</f>
        <v>Kenneth Berg</v>
      </c>
      <c r="J4905" t="str">
        <f>VLOOKUP(D4905,Products!A:C,2,FALSE)</f>
        <v>Nor Bags</v>
      </c>
      <c r="K4905" t="str">
        <f>VLOOKUP(D4905,Products!A:C,3,FALSE)</f>
        <v>Fashion</v>
      </c>
      <c r="L4905" t="str">
        <f>VLOOKUP(E4905,Stores!A:B,2,FALSE)</f>
        <v>MegaMart Peckmouth</v>
      </c>
      <c r="M4905">
        <f>VLOOKUP(D4905,Products!A:E,5,FALSE)</f>
        <v>1216.3599999999999</v>
      </c>
      <c r="N4905" s="5">
        <f t="shared" si="76"/>
        <v>4622.1679999999997</v>
      </c>
    </row>
    <row r="4906" spans="1:14" x14ac:dyDescent="0.3">
      <c r="A4906" t="s">
        <v>5762</v>
      </c>
      <c r="B4906" s="2">
        <v>45796</v>
      </c>
      <c r="C4906" t="s">
        <v>317</v>
      </c>
      <c r="D4906" t="s">
        <v>745</v>
      </c>
      <c r="E4906" t="s">
        <v>846</v>
      </c>
      <c r="F4906">
        <v>4</v>
      </c>
      <c r="G4906">
        <v>0</v>
      </c>
      <c r="H4906" t="s">
        <v>855</v>
      </c>
      <c r="I4906" t="str">
        <f>VLOOKUP(C4906,Customers!A:C,2,FALSE)&amp;" "&amp;VLOOKUP(C4906,Customers!A:C,3,FALSE)</f>
        <v>Amanda Lee</v>
      </c>
      <c r="J4906" t="str">
        <f>VLOOKUP(D4906,Products!A:C,2,FALSE)</f>
        <v>Above Camera</v>
      </c>
      <c r="K4906" t="str">
        <f>VLOOKUP(D4906,Products!A:C,3,FALSE)</f>
        <v>Electronics</v>
      </c>
      <c r="L4906" t="str">
        <f>VLOOKUP(E4906,Stores!A:B,2,FALSE)</f>
        <v>MegaMart Johnmouth</v>
      </c>
      <c r="M4906">
        <f>VLOOKUP(D4906,Products!A:E,5,FALSE)</f>
        <v>1193.0899999999999</v>
      </c>
      <c r="N4906" s="5">
        <f t="shared" si="76"/>
        <v>4772.3599999999997</v>
      </c>
    </row>
    <row r="4907" spans="1:14" x14ac:dyDescent="0.3">
      <c r="A4907" t="s">
        <v>5763</v>
      </c>
      <c r="B4907" s="2">
        <v>45603</v>
      </c>
      <c r="C4907" t="s">
        <v>230</v>
      </c>
      <c r="D4907" t="s">
        <v>798</v>
      </c>
      <c r="E4907" t="s">
        <v>831</v>
      </c>
      <c r="F4907">
        <v>2</v>
      </c>
      <c r="G4907">
        <v>0.15</v>
      </c>
      <c r="H4907" t="s">
        <v>865</v>
      </c>
      <c r="I4907" t="str">
        <f>VLOOKUP(C4907,Customers!A:C,2,FALSE)&amp;" "&amp;VLOOKUP(C4907,Customers!A:C,3,FALSE)</f>
        <v>Anthony Conway</v>
      </c>
      <c r="J4907" t="str">
        <f>VLOOKUP(D4907,Products!A:C,2,FALSE)</f>
        <v>New Watches</v>
      </c>
      <c r="K4907" t="str">
        <f>VLOOKUP(D4907,Products!A:C,3,FALSE)</f>
        <v>Fashion</v>
      </c>
      <c r="L4907" t="str">
        <f>VLOOKUP(E4907,Stores!A:B,2,FALSE)</f>
        <v>MegaMart Jimenezborough</v>
      </c>
      <c r="M4907">
        <f>VLOOKUP(D4907,Products!A:E,5,FALSE)</f>
        <v>1501.46</v>
      </c>
      <c r="N4907" s="5">
        <f t="shared" si="76"/>
        <v>2552.482</v>
      </c>
    </row>
    <row r="4908" spans="1:14" x14ac:dyDescent="0.3">
      <c r="A4908" t="s">
        <v>5764</v>
      </c>
      <c r="B4908" s="2">
        <v>45748</v>
      </c>
      <c r="C4908" t="s">
        <v>670</v>
      </c>
      <c r="D4908" t="s">
        <v>757</v>
      </c>
      <c r="E4908" t="s">
        <v>846</v>
      </c>
      <c r="F4908">
        <v>3</v>
      </c>
      <c r="G4908">
        <v>0</v>
      </c>
      <c r="H4908" t="s">
        <v>861</v>
      </c>
      <c r="I4908" t="str">
        <f>VLOOKUP(C4908,Customers!A:C,2,FALSE)&amp;" "&amp;VLOOKUP(C4908,Customers!A:C,3,FALSE)</f>
        <v>Daniel Lawson</v>
      </c>
      <c r="J4908" t="str">
        <f>VLOOKUP(D4908,Products!A:C,2,FALSE)</f>
        <v>Find Headphones</v>
      </c>
      <c r="K4908" t="str">
        <f>VLOOKUP(D4908,Products!A:C,3,FALSE)</f>
        <v>Electronics</v>
      </c>
      <c r="L4908" t="str">
        <f>VLOOKUP(E4908,Stores!A:B,2,FALSE)</f>
        <v>MegaMart Johnmouth</v>
      </c>
      <c r="M4908">
        <f>VLOOKUP(D4908,Products!A:E,5,FALSE)</f>
        <v>1246.1099999999999</v>
      </c>
      <c r="N4908" s="5">
        <f t="shared" si="76"/>
        <v>3738.33</v>
      </c>
    </row>
    <row r="4909" spans="1:14" x14ac:dyDescent="0.3">
      <c r="A4909" t="s">
        <v>5765</v>
      </c>
      <c r="B4909" s="2">
        <v>45565</v>
      </c>
      <c r="C4909" t="s">
        <v>362</v>
      </c>
      <c r="D4909" t="s">
        <v>784</v>
      </c>
      <c r="E4909" t="s">
        <v>842</v>
      </c>
      <c r="F4909">
        <v>5</v>
      </c>
      <c r="G4909">
        <v>0.15</v>
      </c>
      <c r="H4909" t="s">
        <v>865</v>
      </c>
      <c r="I4909" t="str">
        <f>VLOOKUP(C4909,Customers!A:C,2,FALSE)&amp;" "&amp;VLOOKUP(C4909,Customers!A:C,3,FALSE)</f>
        <v>Eric King</v>
      </c>
      <c r="J4909" t="str">
        <f>VLOOKUP(D4909,Products!A:C,2,FALSE)</f>
        <v>Road Clothing</v>
      </c>
      <c r="K4909" t="str">
        <f>VLOOKUP(D4909,Products!A:C,3,FALSE)</f>
        <v>Fashion</v>
      </c>
      <c r="L4909" t="str">
        <f>VLOOKUP(E4909,Stores!A:B,2,FALSE)</f>
        <v>MegaMart Brianahaven</v>
      </c>
      <c r="M4909">
        <f>VLOOKUP(D4909,Products!A:E,5,FALSE)</f>
        <v>1485.05</v>
      </c>
      <c r="N4909" s="5">
        <f t="shared" si="76"/>
        <v>6311.4624999999996</v>
      </c>
    </row>
    <row r="4910" spans="1:14" x14ac:dyDescent="0.3">
      <c r="A4910" t="s">
        <v>5766</v>
      </c>
      <c r="B4910" s="2">
        <v>45473</v>
      </c>
      <c r="C4910" t="s">
        <v>217</v>
      </c>
      <c r="D4910" t="s">
        <v>728</v>
      </c>
      <c r="E4910" t="s">
        <v>842</v>
      </c>
      <c r="F4910">
        <v>5</v>
      </c>
      <c r="G4910">
        <v>0.15</v>
      </c>
      <c r="H4910" t="s">
        <v>865</v>
      </c>
      <c r="I4910" t="str">
        <f>VLOOKUP(C4910,Customers!A:C,2,FALSE)&amp;" "&amp;VLOOKUP(C4910,Customers!A:C,3,FALSE)</f>
        <v>Carl Wyatt</v>
      </c>
      <c r="J4910" t="str">
        <f>VLOOKUP(D4910,Products!A:C,2,FALSE)</f>
        <v>Company Fruits</v>
      </c>
      <c r="K4910" t="str">
        <f>VLOOKUP(D4910,Products!A:C,3,FALSE)</f>
        <v>Groceries</v>
      </c>
      <c r="L4910" t="str">
        <f>VLOOKUP(E4910,Stores!A:B,2,FALSE)</f>
        <v>MegaMart Brianahaven</v>
      </c>
      <c r="M4910">
        <f>VLOOKUP(D4910,Products!A:E,5,FALSE)</f>
        <v>318.05</v>
      </c>
      <c r="N4910" s="5">
        <f t="shared" si="76"/>
        <v>1351.7124999999999</v>
      </c>
    </row>
    <row r="4911" spans="1:14" x14ac:dyDescent="0.3">
      <c r="A4911" t="s">
        <v>5767</v>
      </c>
      <c r="B4911" s="2">
        <v>45365</v>
      </c>
      <c r="C4911" t="s">
        <v>320</v>
      </c>
      <c r="D4911" t="s">
        <v>784</v>
      </c>
      <c r="E4911" t="s">
        <v>831</v>
      </c>
      <c r="F4911">
        <v>4</v>
      </c>
      <c r="G4911">
        <v>0.05</v>
      </c>
      <c r="H4911" t="s">
        <v>865</v>
      </c>
      <c r="I4911" t="str">
        <f>VLOOKUP(C4911,Customers!A:C,2,FALSE)&amp;" "&amp;VLOOKUP(C4911,Customers!A:C,3,FALSE)</f>
        <v>Juan Ramirez</v>
      </c>
      <c r="J4911" t="str">
        <f>VLOOKUP(D4911,Products!A:C,2,FALSE)</f>
        <v>Road Clothing</v>
      </c>
      <c r="K4911" t="str">
        <f>VLOOKUP(D4911,Products!A:C,3,FALSE)</f>
        <v>Fashion</v>
      </c>
      <c r="L4911" t="str">
        <f>VLOOKUP(E4911,Stores!A:B,2,FALSE)</f>
        <v>MegaMart Jimenezborough</v>
      </c>
      <c r="M4911">
        <f>VLOOKUP(D4911,Products!A:E,5,FALSE)</f>
        <v>1485.05</v>
      </c>
      <c r="N4911" s="5">
        <f t="shared" si="76"/>
        <v>5643.19</v>
      </c>
    </row>
    <row r="4912" spans="1:14" x14ac:dyDescent="0.3">
      <c r="A4912" t="s">
        <v>5768</v>
      </c>
      <c r="B4912" s="2">
        <v>45585</v>
      </c>
      <c r="C4912" t="s">
        <v>382</v>
      </c>
      <c r="D4912" t="s">
        <v>784</v>
      </c>
      <c r="E4912" t="s">
        <v>842</v>
      </c>
      <c r="F4912">
        <v>2</v>
      </c>
      <c r="G4912">
        <v>0.15</v>
      </c>
      <c r="H4912" t="s">
        <v>865</v>
      </c>
      <c r="I4912" t="str">
        <f>VLOOKUP(C4912,Customers!A:C,2,FALSE)&amp;" "&amp;VLOOKUP(C4912,Customers!A:C,3,FALSE)</f>
        <v>Carolyn Perez</v>
      </c>
      <c r="J4912" t="str">
        <f>VLOOKUP(D4912,Products!A:C,2,FALSE)</f>
        <v>Road Clothing</v>
      </c>
      <c r="K4912" t="str">
        <f>VLOOKUP(D4912,Products!A:C,3,FALSE)</f>
        <v>Fashion</v>
      </c>
      <c r="L4912" t="str">
        <f>VLOOKUP(E4912,Stores!A:B,2,FALSE)</f>
        <v>MegaMart Brianahaven</v>
      </c>
      <c r="M4912">
        <f>VLOOKUP(D4912,Products!A:E,5,FALSE)</f>
        <v>1485.05</v>
      </c>
      <c r="N4912" s="5">
        <f t="shared" si="76"/>
        <v>2524.585</v>
      </c>
    </row>
    <row r="4913" spans="1:14" x14ac:dyDescent="0.3">
      <c r="A4913" t="s">
        <v>5769</v>
      </c>
      <c r="B4913" s="2">
        <v>45297</v>
      </c>
      <c r="C4913" t="s">
        <v>358</v>
      </c>
      <c r="D4913" t="s">
        <v>761</v>
      </c>
      <c r="E4913" t="s">
        <v>831</v>
      </c>
      <c r="F4913">
        <v>2</v>
      </c>
      <c r="G4913">
        <v>0</v>
      </c>
      <c r="H4913" t="s">
        <v>858</v>
      </c>
      <c r="I4913" t="str">
        <f>VLOOKUP(C4913,Customers!A:C,2,FALSE)&amp;" "&amp;VLOOKUP(C4913,Customers!A:C,3,FALSE)</f>
        <v>Kevin Snyder</v>
      </c>
      <c r="J4913" t="str">
        <f>VLOOKUP(D4913,Products!A:C,2,FALSE)</f>
        <v>Traditional Laptop</v>
      </c>
      <c r="K4913" t="str">
        <f>VLOOKUP(D4913,Products!A:C,3,FALSE)</f>
        <v>Electronics</v>
      </c>
      <c r="L4913" t="str">
        <f>VLOOKUP(E4913,Stores!A:B,2,FALSE)</f>
        <v>MegaMart Jimenezborough</v>
      </c>
      <c r="M4913">
        <f>VLOOKUP(D4913,Products!A:E,5,FALSE)</f>
        <v>1762.92</v>
      </c>
      <c r="N4913" s="5">
        <f t="shared" si="76"/>
        <v>3525.84</v>
      </c>
    </row>
    <row r="4914" spans="1:14" x14ac:dyDescent="0.3">
      <c r="A4914" t="s">
        <v>5770</v>
      </c>
      <c r="B4914" s="2">
        <v>45558</v>
      </c>
      <c r="C4914" t="s">
        <v>262</v>
      </c>
      <c r="D4914" t="s">
        <v>732</v>
      </c>
      <c r="E4914" t="s">
        <v>831</v>
      </c>
      <c r="F4914">
        <v>5</v>
      </c>
      <c r="G4914">
        <v>0</v>
      </c>
      <c r="H4914" t="s">
        <v>865</v>
      </c>
      <c r="I4914" t="str">
        <f>VLOOKUP(C4914,Customers!A:C,2,FALSE)&amp;" "&amp;VLOOKUP(C4914,Customers!A:C,3,FALSE)</f>
        <v>Gabriel Daugherty</v>
      </c>
      <c r="J4914" t="str">
        <f>VLOOKUP(D4914,Products!A:C,2,FALSE)</f>
        <v>Understand Camera</v>
      </c>
      <c r="K4914" t="str">
        <f>VLOOKUP(D4914,Products!A:C,3,FALSE)</f>
        <v>Electronics</v>
      </c>
      <c r="L4914" t="str">
        <f>VLOOKUP(E4914,Stores!A:B,2,FALSE)</f>
        <v>MegaMart Jimenezborough</v>
      </c>
      <c r="M4914">
        <f>VLOOKUP(D4914,Products!A:E,5,FALSE)</f>
        <v>1474.12</v>
      </c>
      <c r="N4914" s="5">
        <f t="shared" si="76"/>
        <v>7370.5999999999995</v>
      </c>
    </row>
    <row r="4915" spans="1:14" x14ac:dyDescent="0.3">
      <c r="A4915" t="s">
        <v>5771</v>
      </c>
      <c r="B4915" s="2">
        <v>45786</v>
      </c>
      <c r="C4915" t="s">
        <v>217</v>
      </c>
      <c r="D4915" t="s">
        <v>814</v>
      </c>
      <c r="E4915" t="s">
        <v>846</v>
      </c>
      <c r="F4915">
        <v>1</v>
      </c>
      <c r="G4915">
        <v>0</v>
      </c>
      <c r="H4915" t="s">
        <v>861</v>
      </c>
      <c r="I4915" t="str">
        <f>VLOOKUP(C4915,Customers!A:C,2,FALSE)&amp;" "&amp;VLOOKUP(C4915,Customers!A:C,3,FALSE)</f>
        <v>Carl Wyatt</v>
      </c>
      <c r="J4915" t="str">
        <f>VLOOKUP(D4915,Products!A:C,2,FALSE)</f>
        <v>Least Accessories</v>
      </c>
      <c r="K4915" t="str">
        <f>VLOOKUP(D4915,Products!A:C,3,FALSE)</f>
        <v>Fashion</v>
      </c>
      <c r="L4915" t="str">
        <f>VLOOKUP(E4915,Stores!A:B,2,FALSE)</f>
        <v>MegaMart Johnmouth</v>
      </c>
      <c r="M4915">
        <f>VLOOKUP(D4915,Products!A:E,5,FALSE)</f>
        <v>1286.55</v>
      </c>
      <c r="N4915" s="5">
        <f t="shared" si="76"/>
        <v>1286.55</v>
      </c>
    </row>
    <row r="4916" spans="1:14" x14ac:dyDescent="0.3">
      <c r="A4916" t="s">
        <v>5772</v>
      </c>
      <c r="B4916" s="2">
        <v>45425</v>
      </c>
      <c r="C4916" t="s">
        <v>67</v>
      </c>
      <c r="D4916" t="s">
        <v>753</v>
      </c>
      <c r="E4916" t="s">
        <v>835</v>
      </c>
      <c r="F4916">
        <v>1</v>
      </c>
      <c r="G4916">
        <v>0.05</v>
      </c>
      <c r="H4916" t="s">
        <v>855</v>
      </c>
      <c r="I4916" t="str">
        <f>VLOOKUP(C4916,Customers!A:C,2,FALSE)&amp;" "&amp;VLOOKUP(C4916,Customers!A:C,3,FALSE)</f>
        <v>Miguel Johnson</v>
      </c>
      <c r="J4916" t="str">
        <f>VLOOKUP(D4916,Products!A:C,2,FALSE)</f>
        <v>Whether Bags</v>
      </c>
      <c r="K4916" t="str">
        <f>VLOOKUP(D4916,Products!A:C,3,FALSE)</f>
        <v>Fashion</v>
      </c>
      <c r="L4916" t="str">
        <f>VLOOKUP(E4916,Stores!A:B,2,FALSE)</f>
        <v>MegaMart Peckmouth</v>
      </c>
      <c r="M4916">
        <f>VLOOKUP(D4916,Products!A:E,5,FALSE)</f>
        <v>270.45</v>
      </c>
      <c r="N4916" s="5">
        <f t="shared" si="76"/>
        <v>256.92749999999995</v>
      </c>
    </row>
    <row r="4917" spans="1:14" x14ac:dyDescent="0.3">
      <c r="A4917" t="s">
        <v>5773</v>
      </c>
      <c r="B4917" s="2">
        <v>45543</v>
      </c>
      <c r="C4917" t="s">
        <v>137</v>
      </c>
      <c r="D4917" t="s">
        <v>725</v>
      </c>
      <c r="E4917" t="s">
        <v>831</v>
      </c>
      <c r="F4917">
        <v>5</v>
      </c>
      <c r="G4917">
        <v>0.1</v>
      </c>
      <c r="H4917" t="s">
        <v>855</v>
      </c>
      <c r="I4917" t="str">
        <f>VLOOKUP(C4917,Customers!A:C,2,FALSE)&amp;" "&amp;VLOOKUP(C4917,Customers!A:C,3,FALSE)</f>
        <v>Kimberly King</v>
      </c>
      <c r="J4917" t="str">
        <f>VLOOKUP(D4917,Products!A:C,2,FALSE)</f>
        <v>Knowledge Bags</v>
      </c>
      <c r="K4917" t="str">
        <f>VLOOKUP(D4917,Products!A:C,3,FALSE)</f>
        <v>Fashion</v>
      </c>
      <c r="L4917" t="str">
        <f>VLOOKUP(E4917,Stores!A:B,2,FALSE)</f>
        <v>MegaMart Jimenezborough</v>
      </c>
      <c r="M4917">
        <f>VLOOKUP(D4917,Products!A:E,5,FALSE)</f>
        <v>1396.22</v>
      </c>
      <c r="N4917" s="5">
        <f t="shared" si="76"/>
        <v>6282.9900000000007</v>
      </c>
    </row>
    <row r="4918" spans="1:14" x14ac:dyDescent="0.3">
      <c r="A4918" t="s">
        <v>5774</v>
      </c>
      <c r="B4918" s="2">
        <v>45534</v>
      </c>
      <c r="C4918" t="s">
        <v>159</v>
      </c>
      <c r="D4918" t="s">
        <v>776</v>
      </c>
      <c r="E4918" t="s">
        <v>835</v>
      </c>
      <c r="F4918">
        <v>4</v>
      </c>
      <c r="G4918">
        <v>0.1</v>
      </c>
      <c r="H4918" t="s">
        <v>858</v>
      </c>
      <c r="I4918" t="str">
        <f>VLOOKUP(C4918,Customers!A:C,2,FALSE)&amp;" "&amp;VLOOKUP(C4918,Customers!A:C,3,FALSE)</f>
        <v>Melissa Rodgers</v>
      </c>
      <c r="J4918" t="str">
        <f>VLOOKUP(D4918,Products!A:C,2,FALSE)</f>
        <v>Little Watches</v>
      </c>
      <c r="K4918" t="str">
        <f>VLOOKUP(D4918,Products!A:C,3,FALSE)</f>
        <v>Fashion</v>
      </c>
      <c r="L4918" t="str">
        <f>VLOOKUP(E4918,Stores!A:B,2,FALSE)</f>
        <v>MegaMart Peckmouth</v>
      </c>
      <c r="M4918">
        <f>VLOOKUP(D4918,Products!A:E,5,FALSE)</f>
        <v>429.15</v>
      </c>
      <c r="N4918" s="5">
        <f t="shared" si="76"/>
        <v>1544.94</v>
      </c>
    </row>
    <row r="4919" spans="1:14" x14ac:dyDescent="0.3">
      <c r="A4919" t="s">
        <v>5775</v>
      </c>
      <c r="B4919" s="2">
        <v>45579</v>
      </c>
      <c r="C4919" t="s">
        <v>633</v>
      </c>
      <c r="D4919" t="s">
        <v>715</v>
      </c>
      <c r="E4919" t="s">
        <v>846</v>
      </c>
      <c r="F4919">
        <v>3</v>
      </c>
      <c r="G4919">
        <v>0.05</v>
      </c>
      <c r="H4919" t="s">
        <v>865</v>
      </c>
      <c r="I4919" t="str">
        <f>VLOOKUP(C4919,Customers!A:C,2,FALSE)&amp;" "&amp;VLOOKUP(C4919,Customers!A:C,3,FALSE)</f>
        <v>Dennis Wallace</v>
      </c>
      <c r="J4919" t="str">
        <f>VLOOKUP(D4919,Products!A:C,2,FALSE)</f>
        <v>Audience Television</v>
      </c>
      <c r="K4919" t="str">
        <f>VLOOKUP(D4919,Products!A:C,3,FALSE)</f>
        <v>Electronics</v>
      </c>
      <c r="L4919" t="str">
        <f>VLOOKUP(E4919,Stores!A:B,2,FALSE)</f>
        <v>MegaMart Johnmouth</v>
      </c>
      <c r="M4919">
        <f>VLOOKUP(D4919,Products!A:E,5,FALSE)</f>
        <v>818.76</v>
      </c>
      <c r="N4919" s="5">
        <f t="shared" si="76"/>
        <v>2333.4659999999994</v>
      </c>
    </row>
    <row r="4920" spans="1:14" x14ac:dyDescent="0.3">
      <c r="A4920" t="s">
        <v>5776</v>
      </c>
      <c r="B4920" s="2">
        <v>45715</v>
      </c>
      <c r="C4920" t="s">
        <v>536</v>
      </c>
      <c r="D4920" t="s">
        <v>742</v>
      </c>
      <c r="E4920" t="s">
        <v>835</v>
      </c>
      <c r="F4920">
        <v>4</v>
      </c>
      <c r="G4920">
        <v>0</v>
      </c>
      <c r="H4920" t="s">
        <v>865</v>
      </c>
      <c r="I4920" t="str">
        <f>VLOOKUP(C4920,Customers!A:C,2,FALSE)&amp;" "&amp;VLOOKUP(C4920,Customers!A:C,3,FALSE)</f>
        <v>John Foster</v>
      </c>
      <c r="J4920" t="str">
        <f>VLOOKUP(D4920,Products!A:C,2,FALSE)</f>
        <v>Either Headphones</v>
      </c>
      <c r="K4920" t="str">
        <f>VLOOKUP(D4920,Products!A:C,3,FALSE)</f>
        <v>Electronics</v>
      </c>
      <c r="L4920" t="str">
        <f>VLOOKUP(E4920,Stores!A:B,2,FALSE)</f>
        <v>MegaMart Peckmouth</v>
      </c>
      <c r="M4920">
        <f>VLOOKUP(D4920,Products!A:E,5,FALSE)</f>
        <v>248.57</v>
      </c>
      <c r="N4920" s="5">
        <f t="shared" si="76"/>
        <v>994.28</v>
      </c>
    </row>
    <row r="4921" spans="1:14" x14ac:dyDescent="0.3">
      <c r="A4921" t="s">
        <v>5777</v>
      </c>
      <c r="B4921" s="2">
        <v>45431</v>
      </c>
      <c r="C4921" t="s">
        <v>574</v>
      </c>
      <c r="D4921" t="s">
        <v>750</v>
      </c>
      <c r="E4921" t="s">
        <v>846</v>
      </c>
      <c r="F4921">
        <v>4</v>
      </c>
      <c r="G4921">
        <v>0</v>
      </c>
      <c r="H4921" t="s">
        <v>861</v>
      </c>
      <c r="I4921" t="str">
        <f>VLOOKUP(C4921,Customers!A:C,2,FALSE)&amp;" "&amp;VLOOKUP(C4921,Customers!A:C,3,FALSE)</f>
        <v>Meagan Macdonald</v>
      </c>
      <c r="J4921" t="str">
        <f>VLOOKUP(D4921,Products!A:C,2,FALSE)</f>
        <v>Add Clothing</v>
      </c>
      <c r="K4921" t="str">
        <f>VLOOKUP(D4921,Products!A:C,3,FALSE)</f>
        <v>Fashion</v>
      </c>
      <c r="L4921" t="str">
        <f>VLOOKUP(E4921,Stores!A:B,2,FALSE)</f>
        <v>MegaMart Johnmouth</v>
      </c>
      <c r="M4921">
        <f>VLOOKUP(D4921,Products!A:E,5,FALSE)</f>
        <v>1342.75</v>
      </c>
      <c r="N4921" s="5">
        <f t="shared" si="76"/>
        <v>5371</v>
      </c>
    </row>
    <row r="4922" spans="1:14" x14ac:dyDescent="0.3">
      <c r="A4922" t="s">
        <v>5778</v>
      </c>
      <c r="B4922" s="2">
        <v>45629</v>
      </c>
      <c r="C4922" t="s">
        <v>442</v>
      </c>
      <c r="D4922" t="s">
        <v>820</v>
      </c>
      <c r="E4922" t="s">
        <v>839</v>
      </c>
      <c r="F4922">
        <v>4</v>
      </c>
      <c r="G4922">
        <v>0.1</v>
      </c>
      <c r="H4922" t="s">
        <v>855</v>
      </c>
      <c r="I4922" t="str">
        <f>VLOOKUP(C4922,Customers!A:C,2,FALSE)&amp;" "&amp;VLOOKUP(C4922,Customers!A:C,3,FALSE)</f>
        <v>Jason Lloyd</v>
      </c>
      <c r="J4922" t="str">
        <f>VLOOKUP(D4922,Products!A:C,2,FALSE)</f>
        <v>Or Smartphone</v>
      </c>
      <c r="K4922" t="str">
        <f>VLOOKUP(D4922,Products!A:C,3,FALSE)</f>
        <v>Electronics</v>
      </c>
      <c r="L4922" t="str">
        <f>VLOOKUP(E4922,Stores!A:B,2,FALSE)</f>
        <v>MegaMart New Michele</v>
      </c>
      <c r="M4922">
        <f>VLOOKUP(D4922,Products!A:E,5,FALSE)</f>
        <v>1197.18</v>
      </c>
      <c r="N4922" s="5">
        <f t="shared" si="76"/>
        <v>4309.848</v>
      </c>
    </row>
    <row r="4923" spans="1:14" x14ac:dyDescent="0.3">
      <c r="A4923" t="s">
        <v>5779</v>
      </c>
      <c r="B4923" s="2">
        <v>45420</v>
      </c>
      <c r="C4923" t="s">
        <v>250</v>
      </c>
      <c r="D4923" t="s">
        <v>788</v>
      </c>
      <c r="E4923" t="s">
        <v>839</v>
      </c>
      <c r="F4923">
        <v>5</v>
      </c>
      <c r="G4923">
        <v>0.05</v>
      </c>
      <c r="H4923" t="s">
        <v>865</v>
      </c>
      <c r="I4923" t="str">
        <f>VLOOKUP(C4923,Customers!A:C,2,FALSE)&amp;" "&amp;VLOOKUP(C4923,Customers!A:C,3,FALSE)</f>
        <v>Jason Jenkins</v>
      </c>
      <c r="J4923" t="str">
        <f>VLOOKUP(D4923,Products!A:C,2,FALSE)</f>
        <v>Foot Snacks</v>
      </c>
      <c r="K4923" t="str">
        <f>VLOOKUP(D4923,Products!A:C,3,FALSE)</f>
        <v>Groceries</v>
      </c>
      <c r="L4923" t="str">
        <f>VLOOKUP(E4923,Stores!A:B,2,FALSE)</f>
        <v>MegaMart New Michele</v>
      </c>
      <c r="M4923">
        <f>VLOOKUP(D4923,Products!A:E,5,FALSE)</f>
        <v>1095.72</v>
      </c>
      <c r="N4923" s="5">
        <f t="shared" si="76"/>
        <v>5204.67</v>
      </c>
    </row>
    <row r="4924" spans="1:14" x14ac:dyDescent="0.3">
      <c r="A4924" t="s">
        <v>5780</v>
      </c>
      <c r="B4924" s="2">
        <v>45699</v>
      </c>
      <c r="C4924" t="s">
        <v>310</v>
      </c>
      <c r="D4924" t="s">
        <v>718</v>
      </c>
      <c r="E4924" t="s">
        <v>839</v>
      </c>
      <c r="F4924">
        <v>5</v>
      </c>
      <c r="G4924">
        <v>0.1</v>
      </c>
      <c r="H4924" t="s">
        <v>855</v>
      </c>
      <c r="I4924" t="str">
        <f>VLOOKUP(C4924,Customers!A:C,2,FALSE)&amp;" "&amp;VLOOKUP(C4924,Customers!A:C,3,FALSE)</f>
        <v>Amy Haley</v>
      </c>
      <c r="J4924" t="str">
        <f>VLOOKUP(D4924,Products!A:C,2,FALSE)</f>
        <v>Here Footwear</v>
      </c>
      <c r="K4924" t="str">
        <f>VLOOKUP(D4924,Products!A:C,3,FALSE)</f>
        <v>Fashion</v>
      </c>
      <c r="L4924" t="str">
        <f>VLOOKUP(E4924,Stores!A:B,2,FALSE)</f>
        <v>MegaMart New Michele</v>
      </c>
      <c r="M4924">
        <f>VLOOKUP(D4924,Products!A:E,5,FALSE)</f>
        <v>337.63</v>
      </c>
      <c r="N4924" s="5">
        <f t="shared" si="76"/>
        <v>1519.335</v>
      </c>
    </row>
    <row r="4925" spans="1:14" x14ac:dyDescent="0.3">
      <c r="A4925" t="s">
        <v>5781</v>
      </c>
      <c r="B4925" s="2">
        <v>45896</v>
      </c>
      <c r="C4925" t="s">
        <v>320</v>
      </c>
      <c r="D4925" t="s">
        <v>745</v>
      </c>
      <c r="E4925" t="s">
        <v>835</v>
      </c>
      <c r="F4925">
        <v>5</v>
      </c>
      <c r="G4925">
        <v>0</v>
      </c>
      <c r="H4925" t="s">
        <v>865</v>
      </c>
      <c r="I4925" t="str">
        <f>VLOOKUP(C4925,Customers!A:C,2,FALSE)&amp;" "&amp;VLOOKUP(C4925,Customers!A:C,3,FALSE)</f>
        <v>Juan Ramirez</v>
      </c>
      <c r="J4925" t="str">
        <f>VLOOKUP(D4925,Products!A:C,2,FALSE)</f>
        <v>Above Camera</v>
      </c>
      <c r="K4925" t="str">
        <f>VLOOKUP(D4925,Products!A:C,3,FALSE)</f>
        <v>Electronics</v>
      </c>
      <c r="L4925" t="str">
        <f>VLOOKUP(E4925,Stores!A:B,2,FALSE)</f>
        <v>MegaMart Peckmouth</v>
      </c>
      <c r="M4925">
        <f>VLOOKUP(D4925,Products!A:E,5,FALSE)</f>
        <v>1193.0899999999999</v>
      </c>
      <c r="N4925" s="5">
        <f t="shared" si="76"/>
        <v>5965.45</v>
      </c>
    </row>
    <row r="4926" spans="1:14" x14ac:dyDescent="0.3">
      <c r="A4926" t="s">
        <v>5782</v>
      </c>
      <c r="B4926" s="2">
        <v>45530</v>
      </c>
      <c r="C4926" t="s">
        <v>520</v>
      </c>
      <c r="D4926" t="s">
        <v>796</v>
      </c>
      <c r="E4926" t="s">
        <v>831</v>
      </c>
      <c r="F4926">
        <v>5</v>
      </c>
      <c r="G4926">
        <v>0</v>
      </c>
      <c r="H4926" t="s">
        <v>858</v>
      </c>
      <c r="I4926" t="str">
        <f>VLOOKUP(C4926,Customers!A:C,2,FALSE)&amp;" "&amp;VLOOKUP(C4926,Customers!A:C,3,FALSE)</f>
        <v>Cynthia Carlson</v>
      </c>
      <c r="J4926" t="str">
        <f>VLOOKUP(D4926,Products!A:C,2,FALSE)</f>
        <v>Chair Laptop</v>
      </c>
      <c r="K4926" t="str">
        <f>VLOOKUP(D4926,Products!A:C,3,FALSE)</f>
        <v>Electronics</v>
      </c>
      <c r="L4926" t="str">
        <f>VLOOKUP(E4926,Stores!A:B,2,FALSE)</f>
        <v>MegaMart Jimenezborough</v>
      </c>
      <c r="M4926">
        <f>VLOOKUP(D4926,Products!A:E,5,FALSE)</f>
        <v>1562.43</v>
      </c>
      <c r="N4926" s="5">
        <f t="shared" si="76"/>
        <v>7812.1500000000005</v>
      </c>
    </row>
    <row r="4927" spans="1:14" x14ac:dyDescent="0.3">
      <c r="A4927" t="s">
        <v>5783</v>
      </c>
      <c r="B4927" s="2">
        <v>45631</v>
      </c>
      <c r="C4927" t="s">
        <v>339</v>
      </c>
      <c r="D4927" t="s">
        <v>800</v>
      </c>
      <c r="E4927" t="s">
        <v>839</v>
      </c>
      <c r="F4927">
        <v>5</v>
      </c>
      <c r="G4927">
        <v>0.05</v>
      </c>
      <c r="H4927" t="s">
        <v>855</v>
      </c>
      <c r="I4927" t="str">
        <f>VLOOKUP(C4927,Customers!A:C,2,FALSE)&amp;" "&amp;VLOOKUP(C4927,Customers!A:C,3,FALSE)</f>
        <v>Carrie Peterson</v>
      </c>
      <c r="J4927" t="str">
        <f>VLOOKUP(D4927,Products!A:C,2,FALSE)</f>
        <v>Book Television</v>
      </c>
      <c r="K4927" t="str">
        <f>VLOOKUP(D4927,Products!A:C,3,FALSE)</f>
        <v>Electronics</v>
      </c>
      <c r="L4927" t="str">
        <f>VLOOKUP(E4927,Stores!A:B,2,FALSE)</f>
        <v>MegaMart New Michele</v>
      </c>
      <c r="M4927">
        <f>VLOOKUP(D4927,Products!A:E,5,FALSE)</f>
        <v>1952.65</v>
      </c>
      <c r="N4927" s="5">
        <f t="shared" si="76"/>
        <v>9275.0874999999996</v>
      </c>
    </row>
    <row r="4928" spans="1:14" x14ac:dyDescent="0.3">
      <c r="A4928" t="s">
        <v>5784</v>
      </c>
      <c r="B4928" s="2">
        <v>45890</v>
      </c>
      <c r="C4928" t="s">
        <v>277</v>
      </c>
      <c r="D4928" t="s">
        <v>822</v>
      </c>
      <c r="E4928" t="s">
        <v>839</v>
      </c>
      <c r="F4928">
        <v>4</v>
      </c>
      <c r="G4928">
        <v>0.15</v>
      </c>
      <c r="H4928" t="s">
        <v>861</v>
      </c>
      <c r="I4928" t="str">
        <f>VLOOKUP(C4928,Customers!A:C,2,FALSE)&amp;" "&amp;VLOOKUP(C4928,Customers!A:C,3,FALSE)</f>
        <v>Carl Armstrong</v>
      </c>
      <c r="J4928" t="str">
        <f>VLOOKUP(D4928,Products!A:C,2,FALSE)</f>
        <v>Nor Bags</v>
      </c>
      <c r="K4928" t="str">
        <f>VLOOKUP(D4928,Products!A:C,3,FALSE)</f>
        <v>Fashion</v>
      </c>
      <c r="L4928" t="str">
        <f>VLOOKUP(E4928,Stores!A:B,2,FALSE)</f>
        <v>MegaMart New Michele</v>
      </c>
      <c r="M4928">
        <f>VLOOKUP(D4928,Products!A:E,5,FALSE)</f>
        <v>1216.3599999999999</v>
      </c>
      <c r="N4928" s="5">
        <f t="shared" si="76"/>
        <v>4135.6239999999998</v>
      </c>
    </row>
    <row r="4929" spans="1:14" x14ac:dyDescent="0.3">
      <c r="A4929" t="s">
        <v>5785</v>
      </c>
      <c r="B4929" s="2">
        <v>45779</v>
      </c>
      <c r="C4929" t="s">
        <v>167</v>
      </c>
      <c r="D4929" t="s">
        <v>818</v>
      </c>
      <c r="E4929" t="s">
        <v>846</v>
      </c>
      <c r="F4929">
        <v>3</v>
      </c>
      <c r="G4929">
        <v>0.05</v>
      </c>
      <c r="H4929" t="s">
        <v>865</v>
      </c>
      <c r="I4929" t="str">
        <f>VLOOKUP(C4929,Customers!A:C,2,FALSE)&amp;" "&amp;VLOOKUP(C4929,Customers!A:C,3,FALSE)</f>
        <v>Kenneth Allen</v>
      </c>
      <c r="J4929" t="str">
        <f>VLOOKUP(D4929,Products!A:C,2,FALSE)</f>
        <v>Nature Clothing</v>
      </c>
      <c r="K4929" t="str">
        <f>VLOOKUP(D4929,Products!A:C,3,FALSE)</f>
        <v>Fashion</v>
      </c>
      <c r="L4929" t="str">
        <f>VLOOKUP(E4929,Stores!A:B,2,FALSE)</f>
        <v>MegaMart Johnmouth</v>
      </c>
      <c r="M4929">
        <f>VLOOKUP(D4929,Products!A:E,5,FALSE)</f>
        <v>1165.3699999999999</v>
      </c>
      <c r="N4929" s="5">
        <f t="shared" si="76"/>
        <v>3321.3044999999997</v>
      </c>
    </row>
    <row r="4930" spans="1:14" x14ac:dyDescent="0.3">
      <c r="A4930" t="s">
        <v>5786</v>
      </c>
      <c r="B4930" s="2">
        <v>45775</v>
      </c>
      <c r="C4930" t="s">
        <v>467</v>
      </c>
      <c r="D4930" t="s">
        <v>753</v>
      </c>
      <c r="E4930" t="s">
        <v>846</v>
      </c>
      <c r="F4930">
        <v>4</v>
      </c>
      <c r="G4930">
        <v>0</v>
      </c>
      <c r="H4930" t="s">
        <v>855</v>
      </c>
      <c r="I4930" t="str">
        <f>VLOOKUP(C4930,Customers!A:C,2,FALSE)&amp;" "&amp;VLOOKUP(C4930,Customers!A:C,3,FALSE)</f>
        <v>John Allen</v>
      </c>
      <c r="J4930" t="str">
        <f>VLOOKUP(D4930,Products!A:C,2,FALSE)</f>
        <v>Whether Bags</v>
      </c>
      <c r="K4930" t="str">
        <f>VLOOKUP(D4930,Products!A:C,3,FALSE)</f>
        <v>Fashion</v>
      </c>
      <c r="L4930" t="str">
        <f>VLOOKUP(E4930,Stores!A:B,2,FALSE)</f>
        <v>MegaMart Johnmouth</v>
      </c>
      <c r="M4930">
        <f>VLOOKUP(D4930,Products!A:E,5,FALSE)</f>
        <v>270.45</v>
      </c>
      <c r="N4930" s="5">
        <f t="shared" si="76"/>
        <v>1081.8</v>
      </c>
    </row>
    <row r="4931" spans="1:14" x14ac:dyDescent="0.3">
      <c r="A4931" t="s">
        <v>5787</v>
      </c>
      <c r="B4931" s="2">
        <v>45416</v>
      </c>
      <c r="C4931" t="s">
        <v>636</v>
      </c>
      <c r="D4931" t="s">
        <v>718</v>
      </c>
      <c r="E4931" t="s">
        <v>842</v>
      </c>
      <c r="F4931">
        <v>4</v>
      </c>
      <c r="G4931">
        <v>0</v>
      </c>
      <c r="H4931" t="s">
        <v>861</v>
      </c>
      <c r="I4931" t="str">
        <f>VLOOKUP(C4931,Customers!A:C,2,FALSE)&amp;" "&amp;VLOOKUP(C4931,Customers!A:C,3,FALSE)</f>
        <v>Nichole Calhoun</v>
      </c>
      <c r="J4931" t="str">
        <f>VLOOKUP(D4931,Products!A:C,2,FALSE)</f>
        <v>Here Footwear</v>
      </c>
      <c r="K4931" t="str">
        <f>VLOOKUP(D4931,Products!A:C,3,FALSE)</f>
        <v>Fashion</v>
      </c>
      <c r="L4931" t="str">
        <f>VLOOKUP(E4931,Stores!A:B,2,FALSE)</f>
        <v>MegaMart Brianahaven</v>
      </c>
      <c r="M4931">
        <f>VLOOKUP(D4931,Products!A:E,5,FALSE)</f>
        <v>337.63</v>
      </c>
      <c r="N4931" s="5">
        <f t="shared" ref="N4931:N4994" si="77">F4931*M4931*(1-G4931)</f>
        <v>1350.52</v>
      </c>
    </row>
    <row r="4932" spans="1:14" x14ac:dyDescent="0.3">
      <c r="A4932" t="s">
        <v>5788</v>
      </c>
      <c r="B4932" s="2">
        <v>45221</v>
      </c>
      <c r="C4932" t="s">
        <v>393</v>
      </c>
      <c r="D4932" t="s">
        <v>728</v>
      </c>
      <c r="E4932" t="s">
        <v>831</v>
      </c>
      <c r="F4932">
        <v>4</v>
      </c>
      <c r="G4932">
        <v>0.05</v>
      </c>
      <c r="H4932" t="s">
        <v>855</v>
      </c>
      <c r="I4932" t="str">
        <f>VLOOKUP(C4932,Customers!A:C,2,FALSE)&amp;" "&amp;VLOOKUP(C4932,Customers!A:C,3,FALSE)</f>
        <v>Kenneth Berg</v>
      </c>
      <c r="J4932" t="str">
        <f>VLOOKUP(D4932,Products!A:C,2,FALSE)</f>
        <v>Company Fruits</v>
      </c>
      <c r="K4932" t="str">
        <f>VLOOKUP(D4932,Products!A:C,3,FALSE)</f>
        <v>Groceries</v>
      </c>
      <c r="L4932" t="str">
        <f>VLOOKUP(E4932,Stores!A:B,2,FALSE)</f>
        <v>MegaMart Jimenezborough</v>
      </c>
      <c r="M4932">
        <f>VLOOKUP(D4932,Products!A:E,5,FALSE)</f>
        <v>318.05</v>
      </c>
      <c r="N4932" s="5">
        <f t="shared" si="77"/>
        <v>1208.5899999999999</v>
      </c>
    </row>
    <row r="4933" spans="1:14" x14ac:dyDescent="0.3">
      <c r="A4933" t="s">
        <v>5789</v>
      </c>
      <c r="B4933" s="2">
        <v>45483</v>
      </c>
      <c r="C4933" t="s">
        <v>505</v>
      </c>
      <c r="D4933" t="s">
        <v>736</v>
      </c>
      <c r="E4933" t="s">
        <v>842</v>
      </c>
      <c r="F4933">
        <v>1</v>
      </c>
      <c r="G4933">
        <v>0.15</v>
      </c>
      <c r="H4933" t="s">
        <v>865</v>
      </c>
      <c r="I4933" t="str">
        <f>VLOOKUP(C4933,Customers!A:C,2,FALSE)&amp;" "&amp;VLOOKUP(C4933,Customers!A:C,3,FALSE)</f>
        <v>Alexander Mcfarland</v>
      </c>
      <c r="J4933" t="str">
        <f>VLOOKUP(D4933,Products!A:C,2,FALSE)</f>
        <v>Us Snacks</v>
      </c>
      <c r="K4933" t="str">
        <f>VLOOKUP(D4933,Products!A:C,3,FALSE)</f>
        <v>Groceries</v>
      </c>
      <c r="L4933" t="str">
        <f>VLOOKUP(E4933,Stores!A:B,2,FALSE)</f>
        <v>MegaMart Brianahaven</v>
      </c>
      <c r="M4933">
        <f>VLOOKUP(D4933,Products!A:E,5,FALSE)</f>
        <v>123.19</v>
      </c>
      <c r="N4933" s="5">
        <f t="shared" si="77"/>
        <v>104.7115</v>
      </c>
    </row>
    <row r="4934" spans="1:14" x14ac:dyDescent="0.3">
      <c r="A4934" t="s">
        <v>5790</v>
      </c>
      <c r="B4934" s="2">
        <v>45748</v>
      </c>
      <c r="C4934" t="s">
        <v>287</v>
      </c>
      <c r="D4934" t="s">
        <v>759</v>
      </c>
      <c r="E4934" t="s">
        <v>842</v>
      </c>
      <c r="F4934">
        <v>2</v>
      </c>
      <c r="G4934">
        <v>0.15</v>
      </c>
      <c r="H4934" t="s">
        <v>858</v>
      </c>
      <c r="I4934" t="str">
        <f>VLOOKUP(C4934,Customers!A:C,2,FALSE)&amp;" "&amp;VLOOKUP(C4934,Customers!A:C,3,FALSE)</f>
        <v>Phyllis Durham</v>
      </c>
      <c r="J4934" t="str">
        <f>VLOOKUP(D4934,Products!A:C,2,FALSE)</f>
        <v>Democratic Smartphone</v>
      </c>
      <c r="K4934" t="str">
        <f>VLOOKUP(D4934,Products!A:C,3,FALSE)</f>
        <v>Electronics</v>
      </c>
      <c r="L4934" t="str">
        <f>VLOOKUP(E4934,Stores!A:B,2,FALSE)</f>
        <v>MegaMart Brianahaven</v>
      </c>
      <c r="M4934">
        <f>VLOOKUP(D4934,Products!A:E,5,FALSE)</f>
        <v>1079.8900000000001</v>
      </c>
      <c r="N4934" s="5">
        <f t="shared" si="77"/>
        <v>1835.8130000000001</v>
      </c>
    </row>
    <row r="4935" spans="1:14" x14ac:dyDescent="0.3">
      <c r="A4935" t="s">
        <v>5791</v>
      </c>
      <c r="B4935" s="2">
        <v>45313</v>
      </c>
      <c r="C4935" t="s">
        <v>24</v>
      </c>
      <c r="D4935" t="s">
        <v>776</v>
      </c>
      <c r="E4935" t="s">
        <v>835</v>
      </c>
      <c r="F4935">
        <v>2</v>
      </c>
      <c r="G4935">
        <v>0.1</v>
      </c>
      <c r="H4935" t="s">
        <v>865</v>
      </c>
      <c r="I4935" t="str">
        <f>VLOOKUP(C4935,Customers!A:C,2,FALSE)&amp;" "&amp;VLOOKUP(C4935,Customers!A:C,3,FALSE)</f>
        <v>Jamie Salinas</v>
      </c>
      <c r="J4935" t="str">
        <f>VLOOKUP(D4935,Products!A:C,2,FALSE)</f>
        <v>Little Watches</v>
      </c>
      <c r="K4935" t="str">
        <f>VLOOKUP(D4935,Products!A:C,3,FALSE)</f>
        <v>Fashion</v>
      </c>
      <c r="L4935" t="str">
        <f>VLOOKUP(E4935,Stores!A:B,2,FALSE)</f>
        <v>MegaMart Peckmouth</v>
      </c>
      <c r="M4935">
        <f>VLOOKUP(D4935,Products!A:E,5,FALSE)</f>
        <v>429.15</v>
      </c>
      <c r="N4935" s="5">
        <f t="shared" si="77"/>
        <v>772.47</v>
      </c>
    </row>
    <row r="4936" spans="1:14" x14ac:dyDescent="0.3">
      <c r="A4936" t="s">
        <v>5792</v>
      </c>
      <c r="B4936" s="2">
        <v>45712</v>
      </c>
      <c r="C4936" t="s">
        <v>355</v>
      </c>
      <c r="D4936" t="s">
        <v>810</v>
      </c>
      <c r="E4936" t="s">
        <v>846</v>
      </c>
      <c r="F4936">
        <v>3</v>
      </c>
      <c r="G4936">
        <v>0</v>
      </c>
      <c r="H4936" t="s">
        <v>865</v>
      </c>
      <c r="I4936" t="str">
        <f>VLOOKUP(C4936,Customers!A:C,2,FALSE)&amp;" "&amp;VLOOKUP(C4936,Customers!A:C,3,FALSE)</f>
        <v>Kimberly Stokes</v>
      </c>
      <c r="J4936" t="str">
        <f>VLOOKUP(D4936,Products!A:C,2,FALSE)</f>
        <v>Maybe Clothing</v>
      </c>
      <c r="K4936" t="str">
        <f>VLOOKUP(D4936,Products!A:C,3,FALSE)</f>
        <v>Fashion</v>
      </c>
      <c r="L4936" t="str">
        <f>VLOOKUP(E4936,Stores!A:B,2,FALSE)</f>
        <v>MegaMart Johnmouth</v>
      </c>
      <c r="M4936">
        <f>VLOOKUP(D4936,Products!A:E,5,FALSE)</f>
        <v>453.62</v>
      </c>
      <c r="N4936" s="5">
        <f t="shared" si="77"/>
        <v>1360.8600000000001</v>
      </c>
    </row>
    <row r="4937" spans="1:14" x14ac:dyDescent="0.3">
      <c r="A4937" t="s">
        <v>5793</v>
      </c>
      <c r="B4937" s="2">
        <v>45353</v>
      </c>
      <c r="C4937" t="s">
        <v>362</v>
      </c>
      <c r="D4937" t="s">
        <v>780</v>
      </c>
      <c r="E4937" t="s">
        <v>835</v>
      </c>
      <c r="F4937">
        <v>1</v>
      </c>
      <c r="G4937">
        <v>0</v>
      </c>
      <c r="H4937" t="s">
        <v>858</v>
      </c>
      <c r="I4937" t="str">
        <f>VLOOKUP(C4937,Customers!A:C,2,FALSE)&amp;" "&amp;VLOOKUP(C4937,Customers!A:C,3,FALSE)</f>
        <v>Eric King</v>
      </c>
      <c r="J4937" t="str">
        <f>VLOOKUP(D4937,Products!A:C,2,FALSE)</f>
        <v>Hospital Smartphone</v>
      </c>
      <c r="K4937" t="str">
        <f>VLOOKUP(D4937,Products!A:C,3,FALSE)</f>
        <v>Electronics</v>
      </c>
      <c r="L4937" t="str">
        <f>VLOOKUP(E4937,Stores!A:B,2,FALSE)</f>
        <v>MegaMart Peckmouth</v>
      </c>
      <c r="M4937">
        <f>VLOOKUP(D4937,Products!A:E,5,FALSE)</f>
        <v>1272.23</v>
      </c>
      <c r="N4937" s="5">
        <f t="shared" si="77"/>
        <v>1272.23</v>
      </c>
    </row>
    <row r="4938" spans="1:14" x14ac:dyDescent="0.3">
      <c r="A4938" t="s">
        <v>5794</v>
      </c>
      <c r="B4938" s="2">
        <v>45523</v>
      </c>
      <c r="C4938" t="s">
        <v>228</v>
      </c>
      <c r="D4938" t="s">
        <v>757</v>
      </c>
      <c r="E4938" t="s">
        <v>831</v>
      </c>
      <c r="F4938">
        <v>4</v>
      </c>
      <c r="G4938">
        <v>0.15</v>
      </c>
      <c r="H4938" t="s">
        <v>865</v>
      </c>
      <c r="I4938" t="str">
        <f>VLOOKUP(C4938,Customers!A:C,2,FALSE)&amp;" "&amp;VLOOKUP(C4938,Customers!A:C,3,FALSE)</f>
        <v>Scott Wyatt</v>
      </c>
      <c r="J4938" t="str">
        <f>VLOOKUP(D4938,Products!A:C,2,FALSE)</f>
        <v>Find Headphones</v>
      </c>
      <c r="K4938" t="str">
        <f>VLOOKUP(D4938,Products!A:C,3,FALSE)</f>
        <v>Electronics</v>
      </c>
      <c r="L4938" t="str">
        <f>VLOOKUP(E4938,Stores!A:B,2,FALSE)</f>
        <v>MegaMart Jimenezborough</v>
      </c>
      <c r="M4938">
        <f>VLOOKUP(D4938,Products!A:E,5,FALSE)</f>
        <v>1246.1099999999999</v>
      </c>
      <c r="N4938" s="5">
        <f t="shared" si="77"/>
        <v>4236.7739999999994</v>
      </c>
    </row>
    <row r="4939" spans="1:14" x14ac:dyDescent="0.3">
      <c r="A4939" t="s">
        <v>5795</v>
      </c>
      <c r="B4939" s="2">
        <v>45675</v>
      </c>
      <c r="C4939" t="s">
        <v>306</v>
      </c>
      <c r="D4939" t="s">
        <v>818</v>
      </c>
      <c r="E4939" t="s">
        <v>842</v>
      </c>
      <c r="F4939">
        <v>1</v>
      </c>
      <c r="G4939">
        <v>0.1</v>
      </c>
      <c r="H4939" t="s">
        <v>858</v>
      </c>
      <c r="I4939" t="str">
        <f>VLOOKUP(C4939,Customers!A:C,2,FALSE)&amp;" "&amp;VLOOKUP(C4939,Customers!A:C,3,FALSE)</f>
        <v>Sarah Reynolds</v>
      </c>
      <c r="J4939" t="str">
        <f>VLOOKUP(D4939,Products!A:C,2,FALSE)</f>
        <v>Nature Clothing</v>
      </c>
      <c r="K4939" t="str">
        <f>VLOOKUP(D4939,Products!A:C,3,FALSE)</f>
        <v>Fashion</v>
      </c>
      <c r="L4939" t="str">
        <f>VLOOKUP(E4939,Stores!A:B,2,FALSE)</f>
        <v>MegaMart Brianahaven</v>
      </c>
      <c r="M4939">
        <f>VLOOKUP(D4939,Products!A:E,5,FALSE)</f>
        <v>1165.3699999999999</v>
      </c>
      <c r="N4939" s="5">
        <f t="shared" si="77"/>
        <v>1048.8329999999999</v>
      </c>
    </row>
    <row r="4940" spans="1:14" x14ac:dyDescent="0.3">
      <c r="A4940" t="s">
        <v>5796</v>
      </c>
      <c r="B4940" s="2">
        <v>45556</v>
      </c>
      <c r="C4940" t="s">
        <v>533</v>
      </c>
      <c r="D4940" t="s">
        <v>766</v>
      </c>
      <c r="E4940" t="s">
        <v>831</v>
      </c>
      <c r="F4940">
        <v>3</v>
      </c>
      <c r="G4940">
        <v>0.05</v>
      </c>
      <c r="H4940" t="s">
        <v>861</v>
      </c>
      <c r="I4940" t="str">
        <f>VLOOKUP(C4940,Customers!A:C,2,FALSE)&amp;" "&amp;VLOOKUP(C4940,Customers!A:C,3,FALSE)</f>
        <v>Crystal Garrison</v>
      </c>
      <c r="J4940" t="str">
        <f>VLOOKUP(D4940,Products!A:C,2,FALSE)</f>
        <v>Firm Dairy</v>
      </c>
      <c r="K4940" t="str">
        <f>VLOOKUP(D4940,Products!A:C,3,FALSE)</f>
        <v>Groceries</v>
      </c>
      <c r="L4940" t="str">
        <f>VLOOKUP(E4940,Stores!A:B,2,FALSE)</f>
        <v>MegaMart Jimenezborough</v>
      </c>
      <c r="M4940">
        <f>VLOOKUP(D4940,Products!A:E,5,FALSE)</f>
        <v>1227.24</v>
      </c>
      <c r="N4940" s="5">
        <f t="shared" si="77"/>
        <v>3497.634</v>
      </c>
    </row>
    <row r="4941" spans="1:14" x14ac:dyDescent="0.3">
      <c r="A4941" t="s">
        <v>5797</v>
      </c>
      <c r="B4941" s="2">
        <v>45715</v>
      </c>
      <c r="C4941" t="s">
        <v>250</v>
      </c>
      <c r="D4941" t="s">
        <v>772</v>
      </c>
      <c r="E4941" t="s">
        <v>839</v>
      </c>
      <c r="F4941">
        <v>1</v>
      </c>
      <c r="G4941">
        <v>0.05</v>
      </c>
      <c r="H4941" t="s">
        <v>861</v>
      </c>
      <c r="I4941" t="str">
        <f>VLOOKUP(C4941,Customers!A:C,2,FALSE)&amp;" "&amp;VLOOKUP(C4941,Customers!A:C,3,FALSE)</f>
        <v>Jason Jenkins</v>
      </c>
      <c r="J4941" t="str">
        <f>VLOOKUP(D4941,Products!A:C,2,FALSE)</f>
        <v>And Footwear</v>
      </c>
      <c r="K4941" t="str">
        <f>VLOOKUP(D4941,Products!A:C,3,FALSE)</f>
        <v>Fashion</v>
      </c>
      <c r="L4941" t="str">
        <f>VLOOKUP(E4941,Stores!A:B,2,FALSE)</f>
        <v>MegaMart New Michele</v>
      </c>
      <c r="M4941">
        <f>VLOOKUP(D4941,Products!A:E,5,FALSE)</f>
        <v>1878.47</v>
      </c>
      <c r="N4941" s="5">
        <f t="shared" si="77"/>
        <v>1784.5464999999999</v>
      </c>
    </row>
    <row r="4942" spans="1:14" x14ac:dyDescent="0.3">
      <c r="A4942" t="s">
        <v>5798</v>
      </c>
      <c r="B4942" s="2">
        <v>45667</v>
      </c>
      <c r="C4942" t="s">
        <v>549</v>
      </c>
      <c r="D4942" t="s">
        <v>782</v>
      </c>
      <c r="E4942" t="s">
        <v>839</v>
      </c>
      <c r="F4942">
        <v>3</v>
      </c>
      <c r="G4942">
        <v>0.15</v>
      </c>
      <c r="H4942" t="s">
        <v>855</v>
      </c>
      <c r="I4942" t="str">
        <f>VLOOKUP(C4942,Customers!A:C,2,FALSE)&amp;" "&amp;VLOOKUP(C4942,Customers!A:C,3,FALSE)</f>
        <v>Brittany Green</v>
      </c>
      <c r="J4942" t="str">
        <f>VLOOKUP(D4942,Products!A:C,2,FALSE)</f>
        <v>Deal Smartphone</v>
      </c>
      <c r="K4942" t="str">
        <f>VLOOKUP(D4942,Products!A:C,3,FALSE)</f>
        <v>Electronics</v>
      </c>
      <c r="L4942" t="str">
        <f>VLOOKUP(E4942,Stores!A:B,2,FALSE)</f>
        <v>MegaMart New Michele</v>
      </c>
      <c r="M4942">
        <f>VLOOKUP(D4942,Products!A:E,5,FALSE)</f>
        <v>673.78</v>
      </c>
      <c r="N4942" s="5">
        <f t="shared" si="77"/>
        <v>1718.1389999999999</v>
      </c>
    </row>
    <row r="4943" spans="1:14" x14ac:dyDescent="0.3">
      <c r="A4943" t="s">
        <v>5799</v>
      </c>
      <c r="B4943" s="2">
        <v>45295</v>
      </c>
      <c r="C4943" t="s">
        <v>63</v>
      </c>
      <c r="D4943" t="s">
        <v>814</v>
      </c>
      <c r="E4943" t="s">
        <v>842</v>
      </c>
      <c r="F4943">
        <v>3</v>
      </c>
      <c r="G4943">
        <v>0.1</v>
      </c>
      <c r="H4943" t="s">
        <v>861</v>
      </c>
      <c r="I4943" t="str">
        <f>VLOOKUP(C4943,Customers!A:C,2,FALSE)&amp;" "&amp;VLOOKUP(C4943,Customers!A:C,3,FALSE)</f>
        <v>Matthew Molina</v>
      </c>
      <c r="J4943" t="str">
        <f>VLOOKUP(D4943,Products!A:C,2,FALSE)</f>
        <v>Least Accessories</v>
      </c>
      <c r="K4943" t="str">
        <f>VLOOKUP(D4943,Products!A:C,3,FALSE)</f>
        <v>Fashion</v>
      </c>
      <c r="L4943" t="str">
        <f>VLOOKUP(E4943,Stores!A:B,2,FALSE)</f>
        <v>MegaMart Brianahaven</v>
      </c>
      <c r="M4943">
        <f>VLOOKUP(D4943,Products!A:E,5,FALSE)</f>
        <v>1286.55</v>
      </c>
      <c r="N4943" s="5">
        <f t="shared" si="77"/>
        <v>3473.6849999999999</v>
      </c>
    </row>
    <row r="4944" spans="1:14" x14ac:dyDescent="0.3">
      <c r="A4944" t="s">
        <v>5800</v>
      </c>
      <c r="B4944" s="2">
        <v>45283</v>
      </c>
      <c r="C4944" t="s">
        <v>101</v>
      </c>
      <c r="D4944" t="s">
        <v>782</v>
      </c>
      <c r="E4944" t="s">
        <v>839</v>
      </c>
      <c r="F4944">
        <v>4</v>
      </c>
      <c r="G4944">
        <v>0</v>
      </c>
      <c r="H4944" t="s">
        <v>855</v>
      </c>
      <c r="I4944" t="str">
        <f>VLOOKUP(C4944,Customers!A:C,2,FALSE)&amp;" "&amp;VLOOKUP(C4944,Customers!A:C,3,FALSE)</f>
        <v>Cheryl Gilbert</v>
      </c>
      <c r="J4944" t="str">
        <f>VLOOKUP(D4944,Products!A:C,2,FALSE)</f>
        <v>Deal Smartphone</v>
      </c>
      <c r="K4944" t="str">
        <f>VLOOKUP(D4944,Products!A:C,3,FALSE)</f>
        <v>Electronics</v>
      </c>
      <c r="L4944" t="str">
        <f>VLOOKUP(E4944,Stores!A:B,2,FALSE)</f>
        <v>MegaMart New Michele</v>
      </c>
      <c r="M4944">
        <f>VLOOKUP(D4944,Products!A:E,5,FALSE)</f>
        <v>673.78</v>
      </c>
      <c r="N4944" s="5">
        <f t="shared" si="77"/>
        <v>2695.12</v>
      </c>
    </row>
    <row r="4945" spans="1:14" x14ac:dyDescent="0.3">
      <c r="A4945" t="s">
        <v>5801</v>
      </c>
      <c r="B4945" s="2">
        <v>45302</v>
      </c>
      <c r="C4945" t="s">
        <v>657</v>
      </c>
      <c r="D4945" t="s">
        <v>820</v>
      </c>
      <c r="E4945" t="s">
        <v>842</v>
      </c>
      <c r="F4945">
        <v>1</v>
      </c>
      <c r="G4945">
        <v>0</v>
      </c>
      <c r="H4945" t="s">
        <v>858</v>
      </c>
      <c r="I4945" t="str">
        <f>VLOOKUP(C4945,Customers!A:C,2,FALSE)&amp;" "&amp;VLOOKUP(C4945,Customers!A:C,3,FALSE)</f>
        <v>Vicki Guzman</v>
      </c>
      <c r="J4945" t="str">
        <f>VLOOKUP(D4945,Products!A:C,2,FALSE)</f>
        <v>Or Smartphone</v>
      </c>
      <c r="K4945" t="str">
        <f>VLOOKUP(D4945,Products!A:C,3,FALSE)</f>
        <v>Electronics</v>
      </c>
      <c r="L4945" t="str">
        <f>VLOOKUP(E4945,Stores!A:B,2,FALSE)</f>
        <v>MegaMart Brianahaven</v>
      </c>
      <c r="M4945">
        <f>VLOOKUP(D4945,Products!A:E,5,FALSE)</f>
        <v>1197.18</v>
      </c>
      <c r="N4945" s="5">
        <f t="shared" si="77"/>
        <v>1197.18</v>
      </c>
    </row>
    <row r="4946" spans="1:14" x14ac:dyDescent="0.3">
      <c r="A4946" t="s">
        <v>5802</v>
      </c>
      <c r="B4946" s="2">
        <v>45242</v>
      </c>
      <c r="C4946" t="s">
        <v>419</v>
      </c>
      <c r="D4946" t="s">
        <v>800</v>
      </c>
      <c r="E4946" t="s">
        <v>839</v>
      </c>
      <c r="F4946">
        <v>4</v>
      </c>
      <c r="G4946">
        <v>0.05</v>
      </c>
      <c r="H4946" t="s">
        <v>858</v>
      </c>
      <c r="I4946" t="str">
        <f>VLOOKUP(C4946,Customers!A:C,2,FALSE)&amp;" "&amp;VLOOKUP(C4946,Customers!A:C,3,FALSE)</f>
        <v>Jeffrey Smith</v>
      </c>
      <c r="J4946" t="str">
        <f>VLOOKUP(D4946,Products!A:C,2,FALSE)</f>
        <v>Book Television</v>
      </c>
      <c r="K4946" t="str">
        <f>VLOOKUP(D4946,Products!A:C,3,FALSE)</f>
        <v>Electronics</v>
      </c>
      <c r="L4946" t="str">
        <f>VLOOKUP(E4946,Stores!A:B,2,FALSE)</f>
        <v>MegaMart New Michele</v>
      </c>
      <c r="M4946">
        <f>VLOOKUP(D4946,Products!A:E,5,FALSE)</f>
        <v>1952.65</v>
      </c>
      <c r="N4946" s="5">
        <f t="shared" si="77"/>
        <v>7420.07</v>
      </c>
    </row>
    <row r="4947" spans="1:14" x14ac:dyDescent="0.3">
      <c r="A4947" t="s">
        <v>5803</v>
      </c>
      <c r="B4947" s="2">
        <v>45653</v>
      </c>
      <c r="C4947" t="s">
        <v>320</v>
      </c>
      <c r="D4947" t="s">
        <v>812</v>
      </c>
      <c r="E4947" t="s">
        <v>842</v>
      </c>
      <c r="F4947">
        <v>1</v>
      </c>
      <c r="G4947">
        <v>0.05</v>
      </c>
      <c r="H4947" t="s">
        <v>861</v>
      </c>
      <c r="I4947" t="str">
        <f>VLOOKUP(C4947,Customers!A:C,2,FALSE)&amp;" "&amp;VLOOKUP(C4947,Customers!A:C,3,FALSE)</f>
        <v>Juan Ramirez</v>
      </c>
      <c r="J4947" t="str">
        <f>VLOOKUP(D4947,Products!A:C,2,FALSE)</f>
        <v>Soon Accessories</v>
      </c>
      <c r="K4947" t="str">
        <f>VLOOKUP(D4947,Products!A:C,3,FALSE)</f>
        <v>Fashion</v>
      </c>
      <c r="L4947" t="str">
        <f>VLOOKUP(E4947,Stores!A:B,2,FALSE)</f>
        <v>MegaMart Brianahaven</v>
      </c>
      <c r="M4947">
        <f>VLOOKUP(D4947,Products!A:E,5,FALSE)</f>
        <v>564.41999999999996</v>
      </c>
      <c r="N4947" s="5">
        <f t="shared" si="77"/>
        <v>536.19899999999996</v>
      </c>
    </row>
    <row r="4948" spans="1:14" x14ac:dyDescent="0.3">
      <c r="A4948" t="s">
        <v>5804</v>
      </c>
      <c r="B4948" s="2">
        <v>45899</v>
      </c>
      <c r="C4948" t="s">
        <v>313</v>
      </c>
      <c r="D4948" t="s">
        <v>747</v>
      </c>
      <c r="E4948" t="s">
        <v>846</v>
      </c>
      <c r="F4948">
        <v>4</v>
      </c>
      <c r="G4948">
        <v>0.1</v>
      </c>
      <c r="H4948" t="s">
        <v>858</v>
      </c>
      <c r="I4948" t="str">
        <f>VLOOKUP(C4948,Customers!A:C,2,FALSE)&amp;" "&amp;VLOOKUP(C4948,Customers!A:C,3,FALSE)</f>
        <v>Jeremy Robles</v>
      </c>
      <c r="J4948" t="str">
        <f>VLOOKUP(D4948,Products!A:C,2,FALSE)</f>
        <v>World Watches</v>
      </c>
      <c r="K4948" t="str">
        <f>VLOOKUP(D4948,Products!A:C,3,FALSE)</f>
        <v>Fashion</v>
      </c>
      <c r="L4948" t="str">
        <f>VLOOKUP(E4948,Stores!A:B,2,FALSE)</f>
        <v>MegaMart Johnmouth</v>
      </c>
      <c r="M4948">
        <f>VLOOKUP(D4948,Products!A:E,5,FALSE)</f>
        <v>1134.8</v>
      </c>
      <c r="N4948" s="5">
        <f t="shared" si="77"/>
        <v>4085.2799999999997</v>
      </c>
    </row>
    <row r="4949" spans="1:14" x14ac:dyDescent="0.3">
      <c r="A4949" t="s">
        <v>5805</v>
      </c>
      <c r="B4949" s="2">
        <v>45681</v>
      </c>
      <c r="C4949" t="s">
        <v>382</v>
      </c>
      <c r="D4949" t="s">
        <v>755</v>
      </c>
      <c r="E4949" t="s">
        <v>846</v>
      </c>
      <c r="F4949">
        <v>1</v>
      </c>
      <c r="G4949">
        <v>0.1</v>
      </c>
      <c r="H4949" t="s">
        <v>858</v>
      </c>
      <c r="I4949" t="str">
        <f>VLOOKUP(C4949,Customers!A:C,2,FALSE)&amp;" "&amp;VLOOKUP(C4949,Customers!A:C,3,FALSE)</f>
        <v>Carolyn Perez</v>
      </c>
      <c r="J4949" t="str">
        <f>VLOOKUP(D4949,Products!A:C,2,FALSE)</f>
        <v>House Accessories</v>
      </c>
      <c r="K4949" t="str">
        <f>VLOOKUP(D4949,Products!A:C,3,FALSE)</f>
        <v>Fashion</v>
      </c>
      <c r="L4949" t="str">
        <f>VLOOKUP(E4949,Stores!A:B,2,FALSE)</f>
        <v>MegaMart Johnmouth</v>
      </c>
      <c r="M4949">
        <f>VLOOKUP(D4949,Products!A:E,5,FALSE)</f>
        <v>1858.75</v>
      </c>
      <c r="N4949" s="5">
        <f t="shared" si="77"/>
        <v>1672.875</v>
      </c>
    </row>
    <row r="4950" spans="1:14" x14ac:dyDescent="0.3">
      <c r="A4950" t="s">
        <v>5806</v>
      </c>
      <c r="B4950" s="2">
        <v>45422</v>
      </c>
      <c r="C4950" t="s">
        <v>55</v>
      </c>
      <c r="D4950" t="s">
        <v>711</v>
      </c>
      <c r="E4950" t="s">
        <v>835</v>
      </c>
      <c r="F4950">
        <v>2</v>
      </c>
      <c r="G4950">
        <v>0.15</v>
      </c>
      <c r="H4950" t="s">
        <v>858</v>
      </c>
      <c r="I4950" t="str">
        <f>VLOOKUP(C4950,Customers!A:C,2,FALSE)&amp;" "&amp;VLOOKUP(C4950,Customers!A:C,3,FALSE)</f>
        <v>Robert Anderson</v>
      </c>
      <c r="J4950" t="str">
        <f>VLOOKUP(D4950,Products!A:C,2,FALSE)</f>
        <v>Like Camera</v>
      </c>
      <c r="K4950" t="str">
        <f>VLOOKUP(D4950,Products!A:C,3,FALSE)</f>
        <v>Electronics</v>
      </c>
      <c r="L4950" t="str">
        <f>VLOOKUP(E4950,Stores!A:B,2,FALSE)</f>
        <v>MegaMart Peckmouth</v>
      </c>
      <c r="M4950">
        <f>VLOOKUP(D4950,Products!A:E,5,FALSE)</f>
        <v>1673.69</v>
      </c>
      <c r="N4950" s="5">
        <f t="shared" si="77"/>
        <v>2845.2730000000001</v>
      </c>
    </row>
    <row r="4951" spans="1:14" x14ac:dyDescent="0.3">
      <c r="A4951" t="s">
        <v>5807</v>
      </c>
      <c r="B4951" s="2">
        <v>45606</v>
      </c>
      <c r="C4951" t="s">
        <v>664</v>
      </c>
      <c r="D4951" t="s">
        <v>753</v>
      </c>
      <c r="E4951" t="s">
        <v>831</v>
      </c>
      <c r="F4951">
        <v>5</v>
      </c>
      <c r="G4951">
        <v>0.1</v>
      </c>
      <c r="H4951" t="s">
        <v>861</v>
      </c>
      <c r="I4951" t="str">
        <f>VLOOKUP(C4951,Customers!A:C,2,FALSE)&amp;" "&amp;VLOOKUP(C4951,Customers!A:C,3,FALSE)</f>
        <v>Ryan Flores</v>
      </c>
      <c r="J4951" t="str">
        <f>VLOOKUP(D4951,Products!A:C,2,FALSE)</f>
        <v>Whether Bags</v>
      </c>
      <c r="K4951" t="str">
        <f>VLOOKUP(D4951,Products!A:C,3,FALSE)</f>
        <v>Fashion</v>
      </c>
      <c r="L4951" t="str">
        <f>VLOOKUP(E4951,Stores!A:B,2,FALSE)</f>
        <v>MegaMart Jimenezborough</v>
      </c>
      <c r="M4951">
        <f>VLOOKUP(D4951,Products!A:E,5,FALSE)</f>
        <v>270.45</v>
      </c>
      <c r="N4951" s="5">
        <f t="shared" si="77"/>
        <v>1217.0250000000001</v>
      </c>
    </row>
    <row r="4952" spans="1:14" x14ac:dyDescent="0.3">
      <c r="A4952" t="s">
        <v>5808</v>
      </c>
      <c r="B4952" s="2">
        <v>45331</v>
      </c>
      <c r="C4952" t="s">
        <v>12</v>
      </c>
      <c r="D4952" t="s">
        <v>769</v>
      </c>
      <c r="E4952" t="s">
        <v>831</v>
      </c>
      <c r="F4952">
        <v>5</v>
      </c>
      <c r="G4952">
        <v>0.05</v>
      </c>
      <c r="H4952" t="s">
        <v>861</v>
      </c>
      <c r="I4952" t="str">
        <f>VLOOKUP(C4952,Customers!A:C,2,FALSE)&amp;" "&amp;VLOOKUP(C4952,Customers!A:C,3,FALSE)</f>
        <v>Michael Miller</v>
      </c>
      <c r="J4952" t="str">
        <f>VLOOKUP(D4952,Products!A:C,2,FALSE)</f>
        <v>How Vegetables</v>
      </c>
      <c r="K4952" t="str">
        <f>VLOOKUP(D4952,Products!A:C,3,FALSE)</f>
        <v>Groceries</v>
      </c>
      <c r="L4952" t="str">
        <f>VLOOKUP(E4952,Stores!A:B,2,FALSE)</f>
        <v>MegaMart Jimenezborough</v>
      </c>
      <c r="M4952">
        <f>VLOOKUP(D4952,Products!A:E,5,FALSE)</f>
        <v>25.57</v>
      </c>
      <c r="N4952" s="5">
        <f t="shared" si="77"/>
        <v>121.4575</v>
      </c>
    </row>
    <row r="4953" spans="1:14" x14ac:dyDescent="0.3">
      <c r="A4953" t="s">
        <v>5809</v>
      </c>
      <c r="B4953" s="2">
        <v>45286</v>
      </c>
      <c r="C4953" t="s">
        <v>32</v>
      </c>
      <c r="D4953" t="s">
        <v>722</v>
      </c>
      <c r="E4953" t="s">
        <v>846</v>
      </c>
      <c r="F4953">
        <v>3</v>
      </c>
      <c r="G4953">
        <v>0.15</v>
      </c>
      <c r="H4953" t="s">
        <v>858</v>
      </c>
      <c r="I4953" t="str">
        <f>VLOOKUP(C4953,Customers!A:C,2,FALSE)&amp;" "&amp;VLOOKUP(C4953,Customers!A:C,3,FALSE)</f>
        <v>Erin Walker</v>
      </c>
      <c r="J4953" t="str">
        <f>VLOOKUP(D4953,Products!A:C,2,FALSE)</f>
        <v>Four Accessories</v>
      </c>
      <c r="K4953" t="str">
        <f>VLOOKUP(D4953,Products!A:C,3,FALSE)</f>
        <v>Fashion</v>
      </c>
      <c r="L4953" t="str">
        <f>VLOOKUP(E4953,Stores!A:B,2,FALSE)</f>
        <v>MegaMart Johnmouth</v>
      </c>
      <c r="M4953">
        <f>VLOOKUP(D4953,Products!A:E,5,FALSE)</f>
        <v>1853.77</v>
      </c>
      <c r="N4953" s="5">
        <f t="shared" si="77"/>
        <v>4727.1134999999995</v>
      </c>
    </row>
    <row r="4954" spans="1:14" x14ac:dyDescent="0.3">
      <c r="A4954" t="s">
        <v>5810</v>
      </c>
      <c r="B4954" s="2">
        <v>45690</v>
      </c>
      <c r="C4954" t="s">
        <v>238</v>
      </c>
      <c r="D4954" t="s">
        <v>818</v>
      </c>
      <c r="E4954" t="s">
        <v>835</v>
      </c>
      <c r="F4954">
        <v>2</v>
      </c>
      <c r="G4954">
        <v>0.05</v>
      </c>
      <c r="H4954" t="s">
        <v>858</v>
      </c>
      <c r="I4954" t="str">
        <f>VLOOKUP(C4954,Customers!A:C,2,FALSE)&amp;" "&amp;VLOOKUP(C4954,Customers!A:C,3,FALSE)</f>
        <v>Susan Salinas</v>
      </c>
      <c r="J4954" t="str">
        <f>VLOOKUP(D4954,Products!A:C,2,FALSE)</f>
        <v>Nature Clothing</v>
      </c>
      <c r="K4954" t="str">
        <f>VLOOKUP(D4954,Products!A:C,3,FALSE)</f>
        <v>Fashion</v>
      </c>
      <c r="L4954" t="str">
        <f>VLOOKUP(E4954,Stores!A:B,2,FALSE)</f>
        <v>MegaMart Peckmouth</v>
      </c>
      <c r="M4954">
        <f>VLOOKUP(D4954,Products!A:E,5,FALSE)</f>
        <v>1165.3699999999999</v>
      </c>
      <c r="N4954" s="5">
        <f t="shared" si="77"/>
        <v>2214.2029999999995</v>
      </c>
    </row>
    <row r="4955" spans="1:14" x14ac:dyDescent="0.3">
      <c r="A4955" t="s">
        <v>5811</v>
      </c>
      <c r="B4955" s="2">
        <v>45295</v>
      </c>
      <c r="C4955" t="s">
        <v>213</v>
      </c>
      <c r="D4955" t="s">
        <v>782</v>
      </c>
      <c r="E4955" t="s">
        <v>835</v>
      </c>
      <c r="F4955">
        <v>2</v>
      </c>
      <c r="G4955">
        <v>0.15</v>
      </c>
      <c r="H4955" t="s">
        <v>855</v>
      </c>
      <c r="I4955" t="str">
        <f>VLOOKUP(C4955,Customers!A:C,2,FALSE)&amp;" "&amp;VLOOKUP(C4955,Customers!A:C,3,FALSE)</f>
        <v>Deborah Moody</v>
      </c>
      <c r="J4955" t="str">
        <f>VLOOKUP(D4955,Products!A:C,2,FALSE)</f>
        <v>Deal Smartphone</v>
      </c>
      <c r="K4955" t="str">
        <f>VLOOKUP(D4955,Products!A:C,3,FALSE)</f>
        <v>Electronics</v>
      </c>
      <c r="L4955" t="str">
        <f>VLOOKUP(E4955,Stores!A:B,2,FALSE)</f>
        <v>MegaMart Peckmouth</v>
      </c>
      <c r="M4955">
        <f>VLOOKUP(D4955,Products!A:E,5,FALSE)</f>
        <v>673.78</v>
      </c>
      <c r="N4955" s="5">
        <f t="shared" si="77"/>
        <v>1145.4259999999999</v>
      </c>
    </row>
    <row r="4956" spans="1:14" x14ac:dyDescent="0.3">
      <c r="A4956" t="s">
        <v>5812</v>
      </c>
      <c r="B4956" s="2">
        <v>45378</v>
      </c>
      <c r="C4956" t="s">
        <v>254</v>
      </c>
      <c r="D4956" t="s">
        <v>776</v>
      </c>
      <c r="E4956" t="s">
        <v>831</v>
      </c>
      <c r="F4956">
        <v>2</v>
      </c>
      <c r="G4956">
        <v>0.05</v>
      </c>
      <c r="H4956" t="s">
        <v>855</v>
      </c>
      <c r="I4956" t="str">
        <f>VLOOKUP(C4956,Customers!A:C,2,FALSE)&amp;" "&amp;VLOOKUP(C4956,Customers!A:C,3,FALSE)</f>
        <v>Daniel Maldonado</v>
      </c>
      <c r="J4956" t="str">
        <f>VLOOKUP(D4956,Products!A:C,2,FALSE)</f>
        <v>Little Watches</v>
      </c>
      <c r="K4956" t="str">
        <f>VLOOKUP(D4956,Products!A:C,3,FALSE)</f>
        <v>Fashion</v>
      </c>
      <c r="L4956" t="str">
        <f>VLOOKUP(E4956,Stores!A:B,2,FALSE)</f>
        <v>MegaMart Jimenezborough</v>
      </c>
      <c r="M4956">
        <f>VLOOKUP(D4956,Products!A:E,5,FALSE)</f>
        <v>429.15</v>
      </c>
      <c r="N4956" s="5">
        <f t="shared" si="77"/>
        <v>815.38499999999988</v>
      </c>
    </row>
    <row r="4957" spans="1:14" x14ac:dyDescent="0.3">
      <c r="A4957" t="s">
        <v>5813</v>
      </c>
      <c r="B4957" s="2">
        <v>45317</v>
      </c>
      <c r="C4957" t="s">
        <v>238</v>
      </c>
      <c r="D4957" t="s">
        <v>794</v>
      </c>
      <c r="E4957" t="s">
        <v>835</v>
      </c>
      <c r="F4957">
        <v>4</v>
      </c>
      <c r="G4957">
        <v>0.15</v>
      </c>
      <c r="H4957" t="s">
        <v>858</v>
      </c>
      <c r="I4957" t="str">
        <f>VLOOKUP(C4957,Customers!A:C,2,FALSE)&amp;" "&amp;VLOOKUP(C4957,Customers!A:C,3,FALSE)</f>
        <v>Susan Salinas</v>
      </c>
      <c r="J4957" t="str">
        <f>VLOOKUP(D4957,Products!A:C,2,FALSE)</f>
        <v>Everything Laptop</v>
      </c>
      <c r="K4957" t="str">
        <f>VLOOKUP(D4957,Products!A:C,3,FALSE)</f>
        <v>Electronics</v>
      </c>
      <c r="L4957" t="str">
        <f>VLOOKUP(E4957,Stores!A:B,2,FALSE)</f>
        <v>MegaMart Peckmouth</v>
      </c>
      <c r="M4957">
        <f>VLOOKUP(D4957,Products!A:E,5,FALSE)</f>
        <v>428.05</v>
      </c>
      <c r="N4957" s="5">
        <f t="shared" si="77"/>
        <v>1455.37</v>
      </c>
    </row>
    <row r="4958" spans="1:14" x14ac:dyDescent="0.3">
      <c r="A4958" t="s">
        <v>5814</v>
      </c>
      <c r="B4958" s="2">
        <v>45227</v>
      </c>
      <c r="C4958" t="s">
        <v>570</v>
      </c>
      <c r="D4958" t="s">
        <v>788</v>
      </c>
      <c r="E4958" t="s">
        <v>846</v>
      </c>
      <c r="F4958">
        <v>2</v>
      </c>
      <c r="G4958">
        <v>0.1</v>
      </c>
      <c r="H4958" t="s">
        <v>861</v>
      </c>
      <c r="I4958" t="str">
        <f>VLOOKUP(C4958,Customers!A:C,2,FALSE)&amp;" "&amp;VLOOKUP(C4958,Customers!A:C,3,FALSE)</f>
        <v>Thomas Chung</v>
      </c>
      <c r="J4958" t="str">
        <f>VLOOKUP(D4958,Products!A:C,2,FALSE)</f>
        <v>Foot Snacks</v>
      </c>
      <c r="K4958" t="str">
        <f>VLOOKUP(D4958,Products!A:C,3,FALSE)</f>
        <v>Groceries</v>
      </c>
      <c r="L4958" t="str">
        <f>VLOOKUP(E4958,Stores!A:B,2,FALSE)</f>
        <v>MegaMart Johnmouth</v>
      </c>
      <c r="M4958">
        <f>VLOOKUP(D4958,Products!A:E,5,FALSE)</f>
        <v>1095.72</v>
      </c>
      <c r="N4958" s="5">
        <f t="shared" si="77"/>
        <v>1972.296</v>
      </c>
    </row>
    <row r="4959" spans="1:14" x14ac:dyDescent="0.3">
      <c r="A4959" t="s">
        <v>5815</v>
      </c>
      <c r="B4959" s="2">
        <v>45554</v>
      </c>
      <c r="C4959" t="s">
        <v>422</v>
      </c>
      <c r="D4959" t="s">
        <v>761</v>
      </c>
      <c r="E4959" t="s">
        <v>842</v>
      </c>
      <c r="F4959">
        <v>2</v>
      </c>
      <c r="G4959">
        <v>0.05</v>
      </c>
      <c r="H4959" t="s">
        <v>861</v>
      </c>
      <c r="I4959" t="str">
        <f>VLOOKUP(C4959,Customers!A:C,2,FALSE)&amp;" "&amp;VLOOKUP(C4959,Customers!A:C,3,FALSE)</f>
        <v>Heidi Wilson</v>
      </c>
      <c r="J4959" t="str">
        <f>VLOOKUP(D4959,Products!A:C,2,FALSE)</f>
        <v>Traditional Laptop</v>
      </c>
      <c r="K4959" t="str">
        <f>VLOOKUP(D4959,Products!A:C,3,FALSE)</f>
        <v>Electronics</v>
      </c>
      <c r="L4959" t="str">
        <f>VLOOKUP(E4959,Stores!A:B,2,FALSE)</f>
        <v>MegaMart Brianahaven</v>
      </c>
      <c r="M4959">
        <f>VLOOKUP(D4959,Products!A:E,5,FALSE)</f>
        <v>1762.92</v>
      </c>
      <c r="N4959" s="5">
        <f t="shared" si="77"/>
        <v>3349.5479999999998</v>
      </c>
    </row>
    <row r="4960" spans="1:14" x14ac:dyDescent="0.3">
      <c r="A4960" t="s">
        <v>5816</v>
      </c>
      <c r="B4960" s="2">
        <v>45881</v>
      </c>
      <c r="C4960" t="s">
        <v>653</v>
      </c>
      <c r="D4960" t="s">
        <v>794</v>
      </c>
      <c r="E4960" t="s">
        <v>846</v>
      </c>
      <c r="F4960">
        <v>3</v>
      </c>
      <c r="G4960">
        <v>0.05</v>
      </c>
      <c r="H4960" t="s">
        <v>865</v>
      </c>
      <c r="I4960" t="str">
        <f>VLOOKUP(C4960,Customers!A:C,2,FALSE)&amp;" "&amp;VLOOKUP(C4960,Customers!A:C,3,FALSE)</f>
        <v>Joe Vincent</v>
      </c>
      <c r="J4960" t="str">
        <f>VLOOKUP(D4960,Products!A:C,2,FALSE)</f>
        <v>Everything Laptop</v>
      </c>
      <c r="K4960" t="str">
        <f>VLOOKUP(D4960,Products!A:C,3,FALSE)</f>
        <v>Electronics</v>
      </c>
      <c r="L4960" t="str">
        <f>VLOOKUP(E4960,Stores!A:B,2,FALSE)</f>
        <v>MegaMart Johnmouth</v>
      </c>
      <c r="M4960">
        <f>VLOOKUP(D4960,Products!A:E,5,FALSE)</f>
        <v>428.05</v>
      </c>
      <c r="N4960" s="5">
        <f t="shared" si="77"/>
        <v>1219.9425000000001</v>
      </c>
    </row>
    <row r="4961" spans="1:14" x14ac:dyDescent="0.3">
      <c r="A4961" t="s">
        <v>5817</v>
      </c>
      <c r="B4961" s="2">
        <v>45372</v>
      </c>
      <c r="C4961" t="s">
        <v>137</v>
      </c>
      <c r="D4961" t="s">
        <v>722</v>
      </c>
      <c r="E4961" t="s">
        <v>835</v>
      </c>
      <c r="F4961">
        <v>2</v>
      </c>
      <c r="G4961">
        <v>0</v>
      </c>
      <c r="H4961" t="s">
        <v>865</v>
      </c>
      <c r="I4961" t="str">
        <f>VLOOKUP(C4961,Customers!A:C,2,FALSE)&amp;" "&amp;VLOOKUP(C4961,Customers!A:C,3,FALSE)</f>
        <v>Kimberly King</v>
      </c>
      <c r="J4961" t="str">
        <f>VLOOKUP(D4961,Products!A:C,2,FALSE)</f>
        <v>Four Accessories</v>
      </c>
      <c r="K4961" t="str">
        <f>VLOOKUP(D4961,Products!A:C,3,FALSE)</f>
        <v>Fashion</v>
      </c>
      <c r="L4961" t="str">
        <f>VLOOKUP(E4961,Stores!A:B,2,FALSE)</f>
        <v>MegaMart Peckmouth</v>
      </c>
      <c r="M4961">
        <f>VLOOKUP(D4961,Products!A:E,5,FALSE)</f>
        <v>1853.77</v>
      </c>
      <c r="N4961" s="5">
        <f t="shared" si="77"/>
        <v>3707.54</v>
      </c>
    </row>
    <row r="4962" spans="1:14" x14ac:dyDescent="0.3">
      <c r="A4962" t="s">
        <v>5818</v>
      </c>
      <c r="B4962" s="2">
        <v>45766</v>
      </c>
      <c r="C4962" t="s">
        <v>247</v>
      </c>
      <c r="D4962" t="s">
        <v>766</v>
      </c>
      <c r="E4962" t="s">
        <v>831</v>
      </c>
      <c r="F4962">
        <v>1</v>
      </c>
      <c r="G4962">
        <v>0.15</v>
      </c>
      <c r="H4962" t="s">
        <v>861</v>
      </c>
      <c r="I4962" t="str">
        <f>VLOOKUP(C4962,Customers!A:C,2,FALSE)&amp;" "&amp;VLOOKUP(C4962,Customers!A:C,3,FALSE)</f>
        <v>Scott Duke</v>
      </c>
      <c r="J4962" t="str">
        <f>VLOOKUP(D4962,Products!A:C,2,FALSE)</f>
        <v>Firm Dairy</v>
      </c>
      <c r="K4962" t="str">
        <f>VLOOKUP(D4962,Products!A:C,3,FALSE)</f>
        <v>Groceries</v>
      </c>
      <c r="L4962" t="str">
        <f>VLOOKUP(E4962,Stores!A:B,2,FALSE)</f>
        <v>MegaMart Jimenezborough</v>
      </c>
      <c r="M4962">
        <f>VLOOKUP(D4962,Products!A:E,5,FALSE)</f>
        <v>1227.24</v>
      </c>
      <c r="N4962" s="5">
        <f t="shared" si="77"/>
        <v>1043.154</v>
      </c>
    </row>
    <row r="4963" spans="1:14" x14ac:dyDescent="0.3">
      <c r="A4963" t="s">
        <v>5819</v>
      </c>
      <c r="B4963" s="2">
        <v>45844</v>
      </c>
      <c r="C4963" t="s">
        <v>228</v>
      </c>
      <c r="D4963" t="s">
        <v>736</v>
      </c>
      <c r="E4963" t="s">
        <v>835</v>
      </c>
      <c r="F4963">
        <v>5</v>
      </c>
      <c r="G4963">
        <v>0.1</v>
      </c>
      <c r="H4963" t="s">
        <v>855</v>
      </c>
      <c r="I4963" t="str">
        <f>VLOOKUP(C4963,Customers!A:C,2,FALSE)&amp;" "&amp;VLOOKUP(C4963,Customers!A:C,3,FALSE)</f>
        <v>Scott Wyatt</v>
      </c>
      <c r="J4963" t="str">
        <f>VLOOKUP(D4963,Products!A:C,2,FALSE)</f>
        <v>Us Snacks</v>
      </c>
      <c r="K4963" t="str">
        <f>VLOOKUP(D4963,Products!A:C,3,FALSE)</f>
        <v>Groceries</v>
      </c>
      <c r="L4963" t="str">
        <f>VLOOKUP(E4963,Stores!A:B,2,FALSE)</f>
        <v>MegaMart Peckmouth</v>
      </c>
      <c r="M4963">
        <f>VLOOKUP(D4963,Products!A:E,5,FALSE)</f>
        <v>123.19</v>
      </c>
      <c r="N4963" s="5">
        <f t="shared" si="77"/>
        <v>554.35500000000002</v>
      </c>
    </row>
    <row r="4964" spans="1:14" x14ac:dyDescent="0.3">
      <c r="A4964" t="s">
        <v>5820</v>
      </c>
      <c r="B4964" s="2">
        <v>45621</v>
      </c>
      <c r="C4964" t="s">
        <v>141</v>
      </c>
      <c r="D4964" t="s">
        <v>812</v>
      </c>
      <c r="E4964" t="s">
        <v>835</v>
      </c>
      <c r="F4964">
        <v>3</v>
      </c>
      <c r="G4964">
        <v>0.15</v>
      </c>
      <c r="H4964" t="s">
        <v>865</v>
      </c>
      <c r="I4964" t="str">
        <f>VLOOKUP(C4964,Customers!A:C,2,FALSE)&amp;" "&amp;VLOOKUP(C4964,Customers!A:C,3,FALSE)</f>
        <v>Michael Cervantes</v>
      </c>
      <c r="J4964" t="str">
        <f>VLOOKUP(D4964,Products!A:C,2,FALSE)</f>
        <v>Soon Accessories</v>
      </c>
      <c r="K4964" t="str">
        <f>VLOOKUP(D4964,Products!A:C,3,FALSE)</f>
        <v>Fashion</v>
      </c>
      <c r="L4964" t="str">
        <f>VLOOKUP(E4964,Stores!A:B,2,FALSE)</f>
        <v>MegaMart Peckmouth</v>
      </c>
      <c r="M4964">
        <f>VLOOKUP(D4964,Products!A:E,5,FALSE)</f>
        <v>564.41999999999996</v>
      </c>
      <c r="N4964" s="5">
        <f t="shared" si="77"/>
        <v>1439.2709999999997</v>
      </c>
    </row>
    <row r="4965" spans="1:14" x14ac:dyDescent="0.3">
      <c r="A4965" t="s">
        <v>5821</v>
      </c>
      <c r="B4965" s="2">
        <v>45755</v>
      </c>
      <c r="C4965" t="s">
        <v>556</v>
      </c>
      <c r="D4965" t="s">
        <v>739</v>
      </c>
      <c r="E4965" t="s">
        <v>846</v>
      </c>
      <c r="F4965">
        <v>5</v>
      </c>
      <c r="G4965">
        <v>0.05</v>
      </c>
      <c r="H4965" t="s">
        <v>865</v>
      </c>
      <c r="I4965" t="str">
        <f>VLOOKUP(C4965,Customers!A:C,2,FALSE)&amp;" "&amp;VLOOKUP(C4965,Customers!A:C,3,FALSE)</f>
        <v>Jill Mcconnell</v>
      </c>
      <c r="J4965" t="str">
        <f>VLOOKUP(D4965,Products!A:C,2,FALSE)</f>
        <v>Step Smartphone</v>
      </c>
      <c r="K4965" t="str">
        <f>VLOOKUP(D4965,Products!A:C,3,FALSE)</f>
        <v>Electronics</v>
      </c>
      <c r="L4965" t="str">
        <f>VLOOKUP(E4965,Stores!A:B,2,FALSE)</f>
        <v>MegaMart Johnmouth</v>
      </c>
      <c r="M4965">
        <f>VLOOKUP(D4965,Products!A:E,5,FALSE)</f>
        <v>1194.1199999999999</v>
      </c>
      <c r="N4965" s="5">
        <f t="shared" si="77"/>
        <v>5672.0699999999988</v>
      </c>
    </row>
    <row r="4966" spans="1:14" x14ac:dyDescent="0.3">
      <c r="A4966" t="s">
        <v>5822</v>
      </c>
      <c r="B4966" s="2">
        <v>45760</v>
      </c>
      <c r="C4966" t="s">
        <v>615</v>
      </c>
      <c r="D4966" t="s">
        <v>747</v>
      </c>
      <c r="E4966" t="s">
        <v>842</v>
      </c>
      <c r="F4966">
        <v>3</v>
      </c>
      <c r="G4966">
        <v>0.1</v>
      </c>
      <c r="H4966" t="s">
        <v>865</v>
      </c>
      <c r="I4966" t="str">
        <f>VLOOKUP(C4966,Customers!A:C,2,FALSE)&amp;" "&amp;VLOOKUP(C4966,Customers!A:C,3,FALSE)</f>
        <v>Lisa Ruiz</v>
      </c>
      <c r="J4966" t="str">
        <f>VLOOKUP(D4966,Products!A:C,2,FALSE)</f>
        <v>World Watches</v>
      </c>
      <c r="K4966" t="str">
        <f>VLOOKUP(D4966,Products!A:C,3,FALSE)</f>
        <v>Fashion</v>
      </c>
      <c r="L4966" t="str">
        <f>VLOOKUP(E4966,Stores!A:B,2,FALSE)</f>
        <v>MegaMart Brianahaven</v>
      </c>
      <c r="M4966">
        <f>VLOOKUP(D4966,Products!A:E,5,FALSE)</f>
        <v>1134.8</v>
      </c>
      <c r="N4966" s="5">
        <f t="shared" si="77"/>
        <v>3063.9599999999996</v>
      </c>
    </row>
    <row r="4967" spans="1:14" x14ac:dyDescent="0.3">
      <c r="A4967" t="s">
        <v>5823</v>
      </c>
      <c r="B4967" s="2">
        <v>45255</v>
      </c>
      <c r="C4967" t="s">
        <v>320</v>
      </c>
      <c r="D4967" t="s">
        <v>772</v>
      </c>
      <c r="E4967" t="s">
        <v>839</v>
      </c>
      <c r="F4967">
        <v>3</v>
      </c>
      <c r="G4967">
        <v>0.05</v>
      </c>
      <c r="H4967" t="s">
        <v>858</v>
      </c>
      <c r="I4967" t="str">
        <f>VLOOKUP(C4967,Customers!A:C,2,FALSE)&amp;" "&amp;VLOOKUP(C4967,Customers!A:C,3,FALSE)</f>
        <v>Juan Ramirez</v>
      </c>
      <c r="J4967" t="str">
        <f>VLOOKUP(D4967,Products!A:C,2,FALSE)</f>
        <v>And Footwear</v>
      </c>
      <c r="K4967" t="str">
        <f>VLOOKUP(D4967,Products!A:C,3,FALSE)</f>
        <v>Fashion</v>
      </c>
      <c r="L4967" t="str">
        <f>VLOOKUP(E4967,Stores!A:B,2,FALSE)</f>
        <v>MegaMart New Michele</v>
      </c>
      <c r="M4967">
        <f>VLOOKUP(D4967,Products!A:E,5,FALSE)</f>
        <v>1878.47</v>
      </c>
      <c r="N4967" s="5">
        <f t="shared" si="77"/>
        <v>5353.6394999999993</v>
      </c>
    </row>
    <row r="4968" spans="1:14" x14ac:dyDescent="0.3">
      <c r="A4968" t="s">
        <v>5824</v>
      </c>
      <c r="B4968" s="2">
        <v>45781</v>
      </c>
      <c r="C4968" t="s">
        <v>63</v>
      </c>
      <c r="D4968" t="s">
        <v>774</v>
      </c>
      <c r="E4968" t="s">
        <v>842</v>
      </c>
      <c r="F4968">
        <v>3</v>
      </c>
      <c r="G4968">
        <v>0.15</v>
      </c>
      <c r="H4968" t="s">
        <v>865</v>
      </c>
      <c r="I4968" t="str">
        <f>VLOOKUP(C4968,Customers!A:C,2,FALSE)&amp;" "&amp;VLOOKUP(C4968,Customers!A:C,3,FALSE)</f>
        <v>Matthew Molina</v>
      </c>
      <c r="J4968" t="str">
        <f>VLOOKUP(D4968,Products!A:C,2,FALSE)</f>
        <v>Him Smartphone</v>
      </c>
      <c r="K4968" t="str">
        <f>VLOOKUP(D4968,Products!A:C,3,FALSE)</f>
        <v>Electronics</v>
      </c>
      <c r="L4968" t="str">
        <f>VLOOKUP(E4968,Stores!A:B,2,FALSE)</f>
        <v>MegaMart Brianahaven</v>
      </c>
      <c r="M4968">
        <f>VLOOKUP(D4968,Products!A:E,5,FALSE)</f>
        <v>1487.41</v>
      </c>
      <c r="N4968" s="5">
        <f t="shared" si="77"/>
        <v>3792.8955000000001</v>
      </c>
    </row>
    <row r="4969" spans="1:14" x14ac:dyDescent="0.3">
      <c r="A4969" t="s">
        <v>5825</v>
      </c>
      <c r="B4969" s="2">
        <v>45281</v>
      </c>
      <c r="C4969" t="s">
        <v>202</v>
      </c>
      <c r="D4969" t="s">
        <v>745</v>
      </c>
      <c r="E4969" t="s">
        <v>846</v>
      </c>
      <c r="F4969">
        <v>2</v>
      </c>
      <c r="G4969">
        <v>0</v>
      </c>
      <c r="H4969" t="s">
        <v>865</v>
      </c>
      <c r="I4969" t="str">
        <f>VLOOKUP(C4969,Customers!A:C,2,FALSE)&amp;" "&amp;VLOOKUP(C4969,Customers!A:C,3,FALSE)</f>
        <v>Billy Hernandez</v>
      </c>
      <c r="J4969" t="str">
        <f>VLOOKUP(D4969,Products!A:C,2,FALSE)</f>
        <v>Above Camera</v>
      </c>
      <c r="K4969" t="str">
        <f>VLOOKUP(D4969,Products!A:C,3,FALSE)</f>
        <v>Electronics</v>
      </c>
      <c r="L4969" t="str">
        <f>VLOOKUP(E4969,Stores!A:B,2,FALSE)</f>
        <v>MegaMart Johnmouth</v>
      </c>
      <c r="M4969">
        <f>VLOOKUP(D4969,Products!A:E,5,FALSE)</f>
        <v>1193.0899999999999</v>
      </c>
      <c r="N4969" s="5">
        <f t="shared" si="77"/>
        <v>2386.1799999999998</v>
      </c>
    </row>
    <row r="4970" spans="1:14" x14ac:dyDescent="0.3">
      <c r="A4970" t="s">
        <v>5826</v>
      </c>
      <c r="B4970" s="2">
        <v>45403</v>
      </c>
      <c r="C4970" t="s">
        <v>7</v>
      </c>
      <c r="D4970" t="s">
        <v>715</v>
      </c>
      <c r="E4970" t="s">
        <v>842</v>
      </c>
      <c r="F4970">
        <v>3</v>
      </c>
      <c r="G4970">
        <v>0.05</v>
      </c>
      <c r="H4970" t="s">
        <v>861</v>
      </c>
      <c r="I4970" t="str">
        <f>VLOOKUP(C4970,Customers!A:C,2,FALSE)&amp;" "&amp;VLOOKUP(C4970,Customers!A:C,3,FALSE)</f>
        <v>Michael Davis</v>
      </c>
      <c r="J4970" t="str">
        <f>VLOOKUP(D4970,Products!A:C,2,FALSE)</f>
        <v>Audience Television</v>
      </c>
      <c r="K4970" t="str">
        <f>VLOOKUP(D4970,Products!A:C,3,FALSE)</f>
        <v>Electronics</v>
      </c>
      <c r="L4970" t="str">
        <f>VLOOKUP(E4970,Stores!A:B,2,FALSE)</f>
        <v>MegaMart Brianahaven</v>
      </c>
      <c r="M4970">
        <f>VLOOKUP(D4970,Products!A:E,5,FALSE)</f>
        <v>818.76</v>
      </c>
      <c r="N4970" s="5">
        <f t="shared" si="77"/>
        <v>2333.4659999999994</v>
      </c>
    </row>
    <row r="4971" spans="1:14" x14ac:dyDescent="0.3">
      <c r="A4971" t="s">
        <v>5827</v>
      </c>
      <c r="B4971" s="2">
        <v>45414</v>
      </c>
      <c r="C4971" t="s">
        <v>615</v>
      </c>
      <c r="D4971" t="s">
        <v>761</v>
      </c>
      <c r="E4971" t="s">
        <v>835</v>
      </c>
      <c r="F4971">
        <v>2</v>
      </c>
      <c r="G4971">
        <v>0.15</v>
      </c>
      <c r="H4971" t="s">
        <v>861</v>
      </c>
      <c r="I4971" t="str">
        <f>VLOOKUP(C4971,Customers!A:C,2,FALSE)&amp;" "&amp;VLOOKUP(C4971,Customers!A:C,3,FALSE)</f>
        <v>Lisa Ruiz</v>
      </c>
      <c r="J4971" t="str">
        <f>VLOOKUP(D4971,Products!A:C,2,FALSE)</f>
        <v>Traditional Laptop</v>
      </c>
      <c r="K4971" t="str">
        <f>VLOOKUP(D4971,Products!A:C,3,FALSE)</f>
        <v>Electronics</v>
      </c>
      <c r="L4971" t="str">
        <f>VLOOKUP(E4971,Stores!A:B,2,FALSE)</f>
        <v>MegaMart Peckmouth</v>
      </c>
      <c r="M4971">
        <f>VLOOKUP(D4971,Products!A:E,5,FALSE)</f>
        <v>1762.92</v>
      </c>
      <c r="N4971" s="5">
        <f t="shared" si="77"/>
        <v>2996.9639999999999</v>
      </c>
    </row>
    <row r="4972" spans="1:14" x14ac:dyDescent="0.3">
      <c r="A4972" t="s">
        <v>5828</v>
      </c>
      <c r="B4972" s="2">
        <v>45552</v>
      </c>
      <c r="C4972" t="s">
        <v>130</v>
      </c>
      <c r="D4972" t="s">
        <v>816</v>
      </c>
      <c r="E4972" t="s">
        <v>842</v>
      </c>
      <c r="F4972">
        <v>4</v>
      </c>
      <c r="G4972">
        <v>0.15</v>
      </c>
      <c r="H4972" t="s">
        <v>858</v>
      </c>
      <c r="I4972" t="str">
        <f>VLOOKUP(C4972,Customers!A:C,2,FALSE)&amp;" "&amp;VLOOKUP(C4972,Customers!A:C,3,FALSE)</f>
        <v>Jenny Beck</v>
      </c>
      <c r="J4972" t="str">
        <f>VLOOKUP(D4972,Products!A:C,2,FALSE)</f>
        <v>Set Dairy</v>
      </c>
      <c r="K4972" t="str">
        <f>VLOOKUP(D4972,Products!A:C,3,FALSE)</f>
        <v>Groceries</v>
      </c>
      <c r="L4972" t="str">
        <f>VLOOKUP(E4972,Stores!A:B,2,FALSE)</f>
        <v>MegaMart Brianahaven</v>
      </c>
      <c r="M4972">
        <f>VLOOKUP(D4972,Products!A:E,5,FALSE)</f>
        <v>1879.08</v>
      </c>
      <c r="N4972" s="5">
        <f t="shared" si="77"/>
        <v>6388.8719999999994</v>
      </c>
    </row>
    <row r="4973" spans="1:14" x14ac:dyDescent="0.3">
      <c r="A4973" t="s">
        <v>5829</v>
      </c>
      <c r="B4973" s="2">
        <v>45389</v>
      </c>
      <c r="C4973" t="s">
        <v>217</v>
      </c>
      <c r="D4973" t="s">
        <v>722</v>
      </c>
      <c r="E4973" t="s">
        <v>835</v>
      </c>
      <c r="F4973">
        <v>1</v>
      </c>
      <c r="G4973">
        <v>0.15</v>
      </c>
      <c r="H4973" t="s">
        <v>865</v>
      </c>
      <c r="I4973" t="str">
        <f>VLOOKUP(C4973,Customers!A:C,2,FALSE)&amp;" "&amp;VLOOKUP(C4973,Customers!A:C,3,FALSE)</f>
        <v>Carl Wyatt</v>
      </c>
      <c r="J4973" t="str">
        <f>VLOOKUP(D4973,Products!A:C,2,FALSE)</f>
        <v>Four Accessories</v>
      </c>
      <c r="K4973" t="str">
        <f>VLOOKUP(D4973,Products!A:C,3,FALSE)</f>
        <v>Fashion</v>
      </c>
      <c r="L4973" t="str">
        <f>VLOOKUP(E4973,Stores!A:B,2,FALSE)</f>
        <v>MegaMart Peckmouth</v>
      </c>
      <c r="M4973">
        <f>VLOOKUP(D4973,Products!A:E,5,FALSE)</f>
        <v>1853.77</v>
      </c>
      <c r="N4973" s="5">
        <f t="shared" si="77"/>
        <v>1575.7045000000001</v>
      </c>
    </row>
    <row r="4974" spans="1:14" x14ac:dyDescent="0.3">
      <c r="A4974" t="s">
        <v>5830</v>
      </c>
      <c r="B4974" s="2">
        <v>45842</v>
      </c>
      <c r="C4974" t="s">
        <v>382</v>
      </c>
      <c r="D4974" t="s">
        <v>818</v>
      </c>
      <c r="E4974" t="s">
        <v>842</v>
      </c>
      <c r="F4974">
        <v>3</v>
      </c>
      <c r="G4974">
        <v>0.15</v>
      </c>
      <c r="H4974" t="s">
        <v>865</v>
      </c>
      <c r="I4974" t="str">
        <f>VLOOKUP(C4974,Customers!A:C,2,FALSE)&amp;" "&amp;VLOOKUP(C4974,Customers!A:C,3,FALSE)</f>
        <v>Carolyn Perez</v>
      </c>
      <c r="J4974" t="str">
        <f>VLOOKUP(D4974,Products!A:C,2,FALSE)</f>
        <v>Nature Clothing</v>
      </c>
      <c r="K4974" t="str">
        <f>VLOOKUP(D4974,Products!A:C,3,FALSE)</f>
        <v>Fashion</v>
      </c>
      <c r="L4974" t="str">
        <f>VLOOKUP(E4974,Stores!A:B,2,FALSE)</f>
        <v>MegaMart Brianahaven</v>
      </c>
      <c r="M4974">
        <f>VLOOKUP(D4974,Products!A:E,5,FALSE)</f>
        <v>1165.3699999999999</v>
      </c>
      <c r="N4974" s="5">
        <f t="shared" si="77"/>
        <v>2971.6934999999999</v>
      </c>
    </row>
    <row r="4975" spans="1:14" x14ac:dyDescent="0.3">
      <c r="A4975" t="s">
        <v>5831</v>
      </c>
      <c r="B4975" s="2">
        <v>45586</v>
      </c>
      <c r="C4975" t="s">
        <v>426</v>
      </c>
      <c r="D4975" t="s">
        <v>804</v>
      </c>
      <c r="E4975" t="s">
        <v>831</v>
      </c>
      <c r="F4975">
        <v>2</v>
      </c>
      <c r="G4975">
        <v>0.1</v>
      </c>
      <c r="H4975" t="s">
        <v>865</v>
      </c>
      <c r="I4975" t="str">
        <f>VLOOKUP(C4975,Customers!A:C,2,FALSE)&amp;" "&amp;VLOOKUP(C4975,Customers!A:C,3,FALSE)</f>
        <v>Miranda Rodriguez</v>
      </c>
      <c r="J4975" t="str">
        <f>VLOOKUP(D4975,Products!A:C,2,FALSE)</f>
        <v>Church Clothing</v>
      </c>
      <c r="K4975" t="str">
        <f>VLOOKUP(D4975,Products!A:C,3,FALSE)</f>
        <v>Fashion</v>
      </c>
      <c r="L4975" t="str">
        <f>VLOOKUP(E4975,Stores!A:B,2,FALSE)</f>
        <v>MegaMart Jimenezborough</v>
      </c>
      <c r="M4975">
        <f>VLOOKUP(D4975,Products!A:E,5,FALSE)</f>
        <v>540.94000000000005</v>
      </c>
      <c r="N4975" s="5">
        <f t="shared" si="77"/>
        <v>973.69200000000012</v>
      </c>
    </row>
    <row r="4976" spans="1:14" x14ac:dyDescent="0.3">
      <c r="A4976" t="s">
        <v>5832</v>
      </c>
      <c r="B4976" s="2">
        <v>45485</v>
      </c>
      <c r="C4976" t="s">
        <v>234</v>
      </c>
      <c r="D4976" t="s">
        <v>739</v>
      </c>
      <c r="E4976" t="s">
        <v>842</v>
      </c>
      <c r="F4976">
        <v>1</v>
      </c>
      <c r="G4976">
        <v>0.1</v>
      </c>
      <c r="H4976" t="s">
        <v>855</v>
      </c>
      <c r="I4976" t="str">
        <f>VLOOKUP(C4976,Customers!A:C,2,FALSE)&amp;" "&amp;VLOOKUP(C4976,Customers!A:C,3,FALSE)</f>
        <v>Heather Russell</v>
      </c>
      <c r="J4976" t="str">
        <f>VLOOKUP(D4976,Products!A:C,2,FALSE)</f>
        <v>Step Smartphone</v>
      </c>
      <c r="K4976" t="str">
        <f>VLOOKUP(D4976,Products!A:C,3,FALSE)</f>
        <v>Electronics</v>
      </c>
      <c r="L4976" t="str">
        <f>VLOOKUP(E4976,Stores!A:B,2,FALSE)</f>
        <v>MegaMart Brianahaven</v>
      </c>
      <c r="M4976">
        <f>VLOOKUP(D4976,Products!A:E,5,FALSE)</f>
        <v>1194.1199999999999</v>
      </c>
      <c r="N4976" s="5">
        <f t="shared" si="77"/>
        <v>1074.7079999999999</v>
      </c>
    </row>
    <row r="4977" spans="1:14" x14ac:dyDescent="0.3">
      <c r="A4977" t="s">
        <v>5833</v>
      </c>
      <c r="B4977" s="2">
        <v>45313</v>
      </c>
      <c r="C4977" t="s">
        <v>171</v>
      </c>
      <c r="D4977" t="s">
        <v>790</v>
      </c>
      <c r="E4977" t="s">
        <v>846</v>
      </c>
      <c r="F4977">
        <v>5</v>
      </c>
      <c r="G4977">
        <v>0.1</v>
      </c>
      <c r="H4977" t="s">
        <v>861</v>
      </c>
      <c r="I4977" t="str">
        <f>VLOOKUP(C4977,Customers!A:C,2,FALSE)&amp;" "&amp;VLOOKUP(C4977,Customers!A:C,3,FALSE)</f>
        <v>Parker Sparks</v>
      </c>
      <c r="J4977" t="str">
        <f>VLOOKUP(D4977,Products!A:C,2,FALSE)</f>
        <v>Difficult Vegetables</v>
      </c>
      <c r="K4977" t="str">
        <f>VLOOKUP(D4977,Products!A:C,3,FALSE)</f>
        <v>Groceries</v>
      </c>
      <c r="L4977" t="str">
        <f>VLOOKUP(E4977,Stores!A:B,2,FALSE)</f>
        <v>MegaMart Johnmouth</v>
      </c>
      <c r="M4977">
        <f>VLOOKUP(D4977,Products!A:E,5,FALSE)</f>
        <v>304.70999999999998</v>
      </c>
      <c r="N4977" s="5">
        <f t="shared" si="77"/>
        <v>1371.1949999999999</v>
      </c>
    </row>
    <row r="4978" spans="1:14" x14ac:dyDescent="0.3">
      <c r="A4978" t="s">
        <v>5834</v>
      </c>
      <c r="B4978" s="2">
        <v>45329</v>
      </c>
      <c r="C4978" t="s">
        <v>579</v>
      </c>
      <c r="D4978" t="s">
        <v>742</v>
      </c>
      <c r="E4978" t="s">
        <v>839</v>
      </c>
      <c r="F4978">
        <v>1</v>
      </c>
      <c r="G4978">
        <v>0</v>
      </c>
      <c r="H4978" t="s">
        <v>858</v>
      </c>
      <c r="I4978" t="str">
        <f>VLOOKUP(C4978,Customers!A:C,2,FALSE)&amp;" "&amp;VLOOKUP(C4978,Customers!A:C,3,FALSE)</f>
        <v>Jill Roach</v>
      </c>
      <c r="J4978" t="str">
        <f>VLOOKUP(D4978,Products!A:C,2,FALSE)</f>
        <v>Either Headphones</v>
      </c>
      <c r="K4978" t="str">
        <f>VLOOKUP(D4978,Products!A:C,3,FALSE)</f>
        <v>Electronics</v>
      </c>
      <c r="L4978" t="str">
        <f>VLOOKUP(E4978,Stores!A:B,2,FALSE)</f>
        <v>MegaMart New Michele</v>
      </c>
      <c r="M4978">
        <f>VLOOKUP(D4978,Products!A:E,5,FALSE)</f>
        <v>248.57</v>
      </c>
      <c r="N4978" s="5">
        <f t="shared" si="77"/>
        <v>248.57</v>
      </c>
    </row>
    <row r="4979" spans="1:14" x14ac:dyDescent="0.3">
      <c r="A4979" t="s">
        <v>5835</v>
      </c>
      <c r="B4979" s="2">
        <v>45591</v>
      </c>
      <c r="C4979" t="s">
        <v>643</v>
      </c>
      <c r="D4979" t="s">
        <v>802</v>
      </c>
      <c r="E4979" t="s">
        <v>839</v>
      </c>
      <c r="F4979">
        <v>1</v>
      </c>
      <c r="G4979">
        <v>0.05</v>
      </c>
      <c r="H4979" t="s">
        <v>858</v>
      </c>
      <c r="I4979" t="str">
        <f>VLOOKUP(C4979,Customers!A:C,2,FALSE)&amp;" "&amp;VLOOKUP(C4979,Customers!A:C,3,FALSE)</f>
        <v>Meghan Wright</v>
      </c>
      <c r="J4979" t="str">
        <f>VLOOKUP(D4979,Products!A:C,2,FALSE)</f>
        <v>Stage Footwear</v>
      </c>
      <c r="K4979" t="str">
        <f>VLOOKUP(D4979,Products!A:C,3,FALSE)</f>
        <v>Fashion</v>
      </c>
      <c r="L4979" t="str">
        <f>VLOOKUP(E4979,Stores!A:B,2,FALSE)</f>
        <v>MegaMart New Michele</v>
      </c>
      <c r="M4979">
        <f>VLOOKUP(D4979,Products!A:E,5,FALSE)</f>
        <v>366.93</v>
      </c>
      <c r="N4979" s="5">
        <f t="shared" si="77"/>
        <v>348.58350000000002</v>
      </c>
    </row>
    <row r="4980" spans="1:14" x14ac:dyDescent="0.3">
      <c r="A4980" t="s">
        <v>5836</v>
      </c>
      <c r="B4980" s="2">
        <v>45699</v>
      </c>
      <c r="C4980" t="s">
        <v>266</v>
      </c>
      <c r="D4980" t="s">
        <v>747</v>
      </c>
      <c r="E4980" t="s">
        <v>831</v>
      </c>
      <c r="F4980">
        <v>4</v>
      </c>
      <c r="G4980">
        <v>0.15</v>
      </c>
      <c r="H4980" t="s">
        <v>855</v>
      </c>
      <c r="I4980" t="str">
        <f>VLOOKUP(C4980,Customers!A:C,2,FALSE)&amp;" "&amp;VLOOKUP(C4980,Customers!A:C,3,FALSE)</f>
        <v>Eric Bryan</v>
      </c>
      <c r="J4980" t="str">
        <f>VLOOKUP(D4980,Products!A:C,2,FALSE)</f>
        <v>World Watches</v>
      </c>
      <c r="K4980" t="str">
        <f>VLOOKUP(D4980,Products!A:C,3,FALSE)</f>
        <v>Fashion</v>
      </c>
      <c r="L4980" t="str">
        <f>VLOOKUP(E4980,Stores!A:B,2,FALSE)</f>
        <v>MegaMart Jimenezborough</v>
      </c>
      <c r="M4980">
        <f>VLOOKUP(D4980,Products!A:E,5,FALSE)</f>
        <v>1134.8</v>
      </c>
      <c r="N4980" s="5">
        <f t="shared" si="77"/>
        <v>3858.3199999999997</v>
      </c>
    </row>
    <row r="4981" spans="1:14" x14ac:dyDescent="0.3">
      <c r="A4981" t="s">
        <v>5837</v>
      </c>
      <c r="B4981" s="2">
        <v>45854</v>
      </c>
      <c r="C4981" t="s">
        <v>476</v>
      </c>
      <c r="D4981" t="s">
        <v>711</v>
      </c>
      <c r="E4981" t="s">
        <v>835</v>
      </c>
      <c r="F4981">
        <v>4</v>
      </c>
      <c r="G4981">
        <v>0.15</v>
      </c>
      <c r="H4981" t="s">
        <v>858</v>
      </c>
      <c r="I4981" t="str">
        <f>VLOOKUP(C4981,Customers!A:C,2,FALSE)&amp;" "&amp;VLOOKUP(C4981,Customers!A:C,3,FALSE)</f>
        <v>Aaron Bailey</v>
      </c>
      <c r="J4981" t="str">
        <f>VLOOKUP(D4981,Products!A:C,2,FALSE)</f>
        <v>Like Camera</v>
      </c>
      <c r="K4981" t="str">
        <f>VLOOKUP(D4981,Products!A:C,3,FALSE)</f>
        <v>Electronics</v>
      </c>
      <c r="L4981" t="str">
        <f>VLOOKUP(E4981,Stores!A:B,2,FALSE)</f>
        <v>MegaMart Peckmouth</v>
      </c>
      <c r="M4981">
        <f>VLOOKUP(D4981,Products!A:E,5,FALSE)</f>
        <v>1673.69</v>
      </c>
      <c r="N4981" s="5">
        <f t="shared" si="77"/>
        <v>5690.5460000000003</v>
      </c>
    </row>
    <row r="4982" spans="1:14" x14ac:dyDescent="0.3">
      <c r="A4982" t="s">
        <v>5838</v>
      </c>
      <c r="B4982" s="2">
        <v>45535</v>
      </c>
      <c r="C4982" t="s">
        <v>141</v>
      </c>
      <c r="D4982" t="s">
        <v>769</v>
      </c>
      <c r="E4982" t="s">
        <v>839</v>
      </c>
      <c r="F4982">
        <v>5</v>
      </c>
      <c r="G4982">
        <v>0</v>
      </c>
      <c r="H4982" t="s">
        <v>858</v>
      </c>
      <c r="I4982" t="str">
        <f>VLOOKUP(C4982,Customers!A:C,2,FALSE)&amp;" "&amp;VLOOKUP(C4982,Customers!A:C,3,FALSE)</f>
        <v>Michael Cervantes</v>
      </c>
      <c r="J4982" t="str">
        <f>VLOOKUP(D4982,Products!A:C,2,FALSE)</f>
        <v>How Vegetables</v>
      </c>
      <c r="K4982" t="str">
        <f>VLOOKUP(D4982,Products!A:C,3,FALSE)</f>
        <v>Groceries</v>
      </c>
      <c r="L4982" t="str">
        <f>VLOOKUP(E4982,Stores!A:B,2,FALSE)</f>
        <v>MegaMart New Michele</v>
      </c>
      <c r="M4982">
        <f>VLOOKUP(D4982,Products!A:E,5,FALSE)</f>
        <v>25.57</v>
      </c>
      <c r="N4982" s="5">
        <f t="shared" si="77"/>
        <v>127.85</v>
      </c>
    </row>
    <row r="4983" spans="1:14" x14ac:dyDescent="0.3">
      <c r="A4983" t="s">
        <v>5839</v>
      </c>
      <c r="B4983" s="2">
        <v>45816</v>
      </c>
      <c r="C4983" t="s">
        <v>159</v>
      </c>
      <c r="D4983" t="s">
        <v>800</v>
      </c>
      <c r="E4983" t="s">
        <v>831</v>
      </c>
      <c r="F4983">
        <v>1</v>
      </c>
      <c r="G4983">
        <v>0.05</v>
      </c>
      <c r="H4983" t="s">
        <v>858</v>
      </c>
      <c r="I4983" t="str">
        <f>VLOOKUP(C4983,Customers!A:C,2,FALSE)&amp;" "&amp;VLOOKUP(C4983,Customers!A:C,3,FALSE)</f>
        <v>Melissa Rodgers</v>
      </c>
      <c r="J4983" t="str">
        <f>VLOOKUP(D4983,Products!A:C,2,FALSE)</f>
        <v>Book Television</v>
      </c>
      <c r="K4983" t="str">
        <f>VLOOKUP(D4983,Products!A:C,3,FALSE)</f>
        <v>Electronics</v>
      </c>
      <c r="L4983" t="str">
        <f>VLOOKUP(E4983,Stores!A:B,2,FALSE)</f>
        <v>MegaMart Jimenezborough</v>
      </c>
      <c r="M4983">
        <f>VLOOKUP(D4983,Products!A:E,5,FALSE)</f>
        <v>1952.65</v>
      </c>
      <c r="N4983" s="5">
        <f t="shared" si="77"/>
        <v>1855.0174999999999</v>
      </c>
    </row>
    <row r="4984" spans="1:14" x14ac:dyDescent="0.3">
      <c r="A4984" t="s">
        <v>5840</v>
      </c>
      <c r="B4984" s="2">
        <v>45908</v>
      </c>
      <c r="C4984" t="s">
        <v>191</v>
      </c>
      <c r="D4984" t="s">
        <v>786</v>
      </c>
      <c r="E4984" t="s">
        <v>846</v>
      </c>
      <c r="F4984">
        <v>3</v>
      </c>
      <c r="G4984">
        <v>0.15</v>
      </c>
      <c r="H4984" t="s">
        <v>855</v>
      </c>
      <c r="I4984" t="str">
        <f>VLOOKUP(C4984,Customers!A:C,2,FALSE)&amp;" "&amp;VLOOKUP(C4984,Customers!A:C,3,FALSE)</f>
        <v>Antonio Hamilton</v>
      </c>
      <c r="J4984" t="str">
        <f>VLOOKUP(D4984,Products!A:C,2,FALSE)</f>
        <v>National Watches</v>
      </c>
      <c r="K4984" t="str">
        <f>VLOOKUP(D4984,Products!A:C,3,FALSE)</f>
        <v>Fashion</v>
      </c>
      <c r="L4984" t="str">
        <f>VLOOKUP(E4984,Stores!A:B,2,FALSE)</f>
        <v>MegaMart Johnmouth</v>
      </c>
      <c r="M4984">
        <f>VLOOKUP(D4984,Products!A:E,5,FALSE)</f>
        <v>29.24</v>
      </c>
      <c r="N4984" s="5">
        <f t="shared" si="77"/>
        <v>74.561999999999998</v>
      </c>
    </row>
    <row r="4985" spans="1:14" x14ac:dyDescent="0.3">
      <c r="A4985" t="s">
        <v>5841</v>
      </c>
      <c r="B4985" s="2">
        <v>45262</v>
      </c>
      <c r="C4985" t="s">
        <v>396</v>
      </c>
      <c r="D4985" t="s">
        <v>776</v>
      </c>
      <c r="E4985" t="s">
        <v>831</v>
      </c>
      <c r="F4985">
        <v>3</v>
      </c>
      <c r="G4985">
        <v>0.15</v>
      </c>
      <c r="H4985" t="s">
        <v>855</v>
      </c>
      <c r="I4985" t="str">
        <f>VLOOKUP(C4985,Customers!A:C,2,FALSE)&amp;" "&amp;VLOOKUP(C4985,Customers!A:C,3,FALSE)</f>
        <v>Kevin Flores</v>
      </c>
      <c r="J4985" t="str">
        <f>VLOOKUP(D4985,Products!A:C,2,FALSE)</f>
        <v>Little Watches</v>
      </c>
      <c r="K4985" t="str">
        <f>VLOOKUP(D4985,Products!A:C,3,FALSE)</f>
        <v>Fashion</v>
      </c>
      <c r="L4985" t="str">
        <f>VLOOKUP(E4985,Stores!A:B,2,FALSE)</f>
        <v>MegaMart Jimenezborough</v>
      </c>
      <c r="M4985">
        <f>VLOOKUP(D4985,Products!A:E,5,FALSE)</f>
        <v>429.15</v>
      </c>
      <c r="N4985" s="5">
        <f t="shared" si="77"/>
        <v>1094.3324999999998</v>
      </c>
    </row>
    <row r="4986" spans="1:14" x14ac:dyDescent="0.3">
      <c r="A4986" t="s">
        <v>5842</v>
      </c>
      <c r="B4986" s="2">
        <v>45561</v>
      </c>
      <c r="C4986" t="s">
        <v>306</v>
      </c>
      <c r="D4986" t="s">
        <v>728</v>
      </c>
      <c r="E4986" t="s">
        <v>846</v>
      </c>
      <c r="F4986">
        <v>4</v>
      </c>
      <c r="G4986">
        <v>0.05</v>
      </c>
      <c r="H4986" t="s">
        <v>865</v>
      </c>
      <c r="I4986" t="str">
        <f>VLOOKUP(C4986,Customers!A:C,2,FALSE)&amp;" "&amp;VLOOKUP(C4986,Customers!A:C,3,FALSE)</f>
        <v>Sarah Reynolds</v>
      </c>
      <c r="J4986" t="str">
        <f>VLOOKUP(D4986,Products!A:C,2,FALSE)</f>
        <v>Company Fruits</v>
      </c>
      <c r="K4986" t="str">
        <f>VLOOKUP(D4986,Products!A:C,3,FALSE)</f>
        <v>Groceries</v>
      </c>
      <c r="L4986" t="str">
        <f>VLOOKUP(E4986,Stores!A:B,2,FALSE)</f>
        <v>MegaMart Johnmouth</v>
      </c>
      <c r="M4986">
        <f>VLOOKUP(D4986,Products!A:E,5,FALSE)</f>
        <v>318.05</v>
      </c>
      <c r="N4986" s="5">
        <f t="shared" si="77"/>
        <v>1208.5899999999999</v>
      </c>
    </row>
    <row r="4987" spans="1:14" x14ac:dyDescent="0.3">
      <c r="A4987" t="s">
        <v>5843</v>
      </c>
      <c r="B4987" s="2">
        <v>45190</v>
      </c>
      <c r="C4987" t="s">
        <v>491</v>
      </c>
      <c r="D4987" t="s">
        <v>804</v>
      </c>
      <c r="E4987" t="s">
        <v>835</v>
      </c>
      <c r="F4987">
        <v>5</v>
      </c>
      <c r="G4987">
        <v>0.15</v>
      </c>
      <c r="H4987" t="s">
        <v>855</v>
      </c>
      <c r="I4987" t="str">
        <f>VLOOKUP(C4987,Customers!A:C,2,FALSE)&amp;" "&amp;VLOOKUP(C4987,Customers!A:C,3,FALSE)</f>
        <v>Emily Hart</v>
      </c>
      <c r="J4987" t="str">
        <f>VLOOKUP(D4987,Products!A:C,2,FALSE)</f>
        <v>Church Clothing</v>
      </c>
      <c r="K4987" t="str">
        <f>VLOOKUP(D4987,Products!A:C,3,FALSE)</f>
        <v>Fashion</v>
      </c>
      <c r="L4987" t="str">
        <f>VLOOKUP(E4987,Stores!A:B,2,FALSE)</f>
        <v>MegaMart Peckmouth</v>
      </c>
      <c r="M4987">
        <f>VLOOKUP(D4987,Products!A:E,5,FALSE)</f>
        <v>540.94000000000005</v>
      </c>
      <c r="N4987" s="5">
        <f t="shared" si="77"/>
        <v>2298.9950000000003</v>
      </c>
    </row>
    <row r="4988" spans="1:14" x14ac:dyDescent="0.3">
      <c r="A4988" t="s">
        <v>5844</v>
      </c>
      <c r="B4988" s="2">
        <v>45541</v>
      </c>
      <c r="C4988" t="s">
        <v>554</v>
      </c>
      <c r="D4988" t="s">
        <v>711</v>
      </c>
      <c r="E4988" t="s">
        <v>831</v>
      </c>
      <c r="F4988">
        <v>3</v>
      </c>
      <c r="G4988">
        <v>0.15</v>
      </c>
      <c r="H4988" t="s">
        <v>865</v>
      </c>
      <c r="I4988" t="str">
        <f>VLOOKUP(C4988,Customers!A:C,2,FALSE)&amp;" "&amp;VLOOKUP(C4988,Customers!A:C,3,FALSE)</f>
        <v>Lisa Martinez</v>
      </c>
      <c r="J4988" t="str">
        <f>VLOOKUP(D4988,Products!A:C,2,FALSE)</f>
        <v>Like Camera</v>
      </c>
      <c r="K4988" t="str">
        <f>VLOOKUP(D4988,Products!A:C,3,FALSE)</f>
        <v>Electronics</v>
      </c>
      <c r="L4988" t="str">
        <f>VLOOKUP(E4988,Stores!A:B,2,FALSE)</f>
        <v>MegaMart Jimenezborough</v>
      </c>
      <c r="M4988">
        <f>VLOOKUP(D4988,Products!A:E,5,FALSE)</f>
        <v>1673.69</v>
      </c>
      <c r="N4988" s="5">
        <f t="shared" si="77"/>
        <v>4267.9094999999998</v>
      </c>
    </row>
    <row r="4989" spans="1:14" x14ac:dyDescent="0.3">
      <c r="A4989" t="s">
        <v>5845</v>
      </c>
      <c r="B4989" s="2">
        <v>45189</v>
      </c>
      <c r="C4989" t="s">
        <v>545</v>
      </c>
      <c r="D4989" t="s">
        <v>772</v>
      </c>
      <c r="E4989" t="s">
        <v>846</v>
      </c>
      <c r="F4989">
        <v>3</v>
      </c>
      <c r="G4989">
        <v>0.1</v>
      </c>
      <c r="H4989" t="s">
        <v>865</v>
      </c>
      <c r="I4989" t="str">
        <f>VLOOKUP(C4989,Customers!A:C,2,FALSE)&amp;" "&amp;VLOOKUP(C4989,Customers!A:C,3,FALSE)</f>
        <v>Dawn Fletcher</v>
      </c>
      <c r="J4989" t="str">
        <f>VLOOKUP(D4989,Products!A:C,2,FALSE)</f>
        <v>And Footwear</v>
      </c>
      <c r="K4989" t="str">
        <f>VLOOKUP(D4989,Products!A:C,3,FALSE)</f>
        <v>Fashion</v>
      </c>
      <c r="L4989" t="str">
        <f>VLOOKUP(E4989,Stores!A:B,2,FALSE)</f>
        <v>MegaMart Johnmouth</v>
      </c>
      <c r="M4989">
        <f>VLOOKUP(D4989,Products!A:E,5,FALSE)</f>
        <v>1878.47</v>
      </c>
      <c r="N4989" s="5">
        <f t="shared" si="77"/>
        <v>5071.8689999999997</v>
      </c>
    </row>
    <row r="4990" spans="1:14" x14ac:dyDescent="0.3">
      <c r="A4990" t="s">
        <v>5846</v>
      </c>
      <c r="B4990" s="2">
        <v>45331</v>
      </c>
      <c r="C4990" t="s">
        <v>277</v>
      </c>
      <c r="D4990" t="s">
        <v>796</v>
      </c>
      <c r="E4990" t="s">
        <v>846</v>
      </c>
      <c r="F4990">
        <v>2</v>
      </c>
      <c r="G4990">
        <v>0.05</v>
      </c>
      <c r="H4990" t="s">
        <v>858</v>
      </c>
      <c r="I4990" t="str">
        <f>VLOOKUP(C4990,Customers!A:C,2,FALSE)&amp;" "&amp;VLOOKUP(C4990,Customers!A:C,3,FALSE)</f>
        <v>Carl Armstrong</v>
      </c>
      <c r="J4990" t="str">
        <f>VLOOKUP(D4990,Products!A:C,2,FALSE)</f>
        <v>Chair Laptop</v>
      </c>
      <c r="K4990" t="str">
        <f>VLOOKUP(D4990,Products!A:C,3,FALSE)</f>
        <v>Electronics</v>
      </c>
      <c r="L4990" t="str">
        <f>VLOOKUP(E4990,Stores!A:B,2,FALSE)</f>
        <v>MegaMart Johnmouth</v>
      </c>
      <c r="M4990">
        <f>VLOOKUP(D4990,Products!A:E,5,FALSE)</f>
        <v>1562.43</v>
      </c>
      <c r="N4990" s="5">
        <f t="shared" si="77"/>
        <v>2968.6170000000002</v>
      </c>
    </row>
    <row r="4991" spans="1:14" x14ac:dyDescent="0.3">
      <c r="A4991" t="s">
        <v>5847</v>
      </c>
      <c r="B4991" s="2">
        <v>45533</v>
      </c>
      <c r="C4991" t="s">
        <v>700</v>
      </c>
      <c r="D4991" t="s">
        <v>798</v>
      </c>
      <c r="E4991" t="s">
        <v>842</v>
      </c>
      <c r="F4991">
        <v>3</v>
      </c>
      <c r="G4991">
        <v>0.05</v>
      </c>
      <c r="H4991" t="s">
        <v>861</v>
      </c>
      <c r="I4991" t="str">
        <f>VLOOKUP(C4991,Customers!A:C,2,FALSE)&amp;" "&amp;VLOOKUP(C4991,Customers!A:C,3,FALSE)</f>
        <v>Juan Johnson</v>
      </c>
      <c r="J4991" t="str">
        <f>VLOOKUP(D4991,Products!A:C,2,FALSE)</f>
        <v>New Watches</v>
      </c>
      <c r="K4991" t="str">
        <f>VLOOKUP(D4991,Products!A:C,3,FALSE)</f>
        <v>Fashion</v>
      </c>
      <c r="L4991" t="str">
        <f>VLOOKUP(E4991,Stores!A:B,2,FALSE)</f>
        <v>MegaMart Brianahaven</v>
      </c>
      <c r="M4991">
        <f>VLOOKUP(D4991,Products!A:E,5,FALSE)</f>
        <v>1501.46</v>
      </c>
      <c r="N4991" s="5">
        <f t="shared" si="77"/>
        <v>4279.1610000000001</v>
      </c>
    </row>
    <row r="4992" spans="1:14" x14ac:dyDescent="0.3">
      <c r="A4992" t="s">
        <v>5848</v>
      </c>
      <c r="B4992" s="2">
        <v>45826</v>
      </c>
      <c r="C4992" t="s">
        <v>134</v>
      </c>
      <c r="D4992" t="s">
        <v>736</v>
      </c>
      <c r="E4992" t="s">
        <v>835</v>
      </c>
      <c r="F4992">
        <v>5</v>
      </c>
      <c r="G4992">
        <v>0.1</v>
      </c>
      <c r="H4992" t="s">
        <v>858</v>
      </c>
      <c r="I4992" t="str">
        <f>VLOOKUP(C4992,Customers!A:C,2,FALSE)&amp;" "&amp;VLOOKUP(C4992,Customers!A:C,3,FALSE)</f>
        <v>Kari Miller</v>
      </c>
      <c r="J4992" t="str">
        <f>VLOOKUP(D4992,Products!A:C,2,FALSE)</f>
        <v>Us Snacks</v>
      </c>
      <c r="K4992" t="str">
        <f>VLOOKUP(D4992,Products!A:C,3,FALSE)</f>
        <v>Groceries</v>
      </c>
      <c r="L4992" t="str">
        <f>VLOOKUP(E4992,Stores!A:B,2,FALSE)</f>
        <v>MegaMart Peckmouth</v>
      </c>
      <c r="M4992">
        <f>VLOOKUP(D4992,Products!A:E,5,FALSE)</f>
        <v>123.19</v>
      </c>
      <c r="N4992" s="5">
        <f t="shared" si="77"/>
        <v>554.35500000000002</v>
      </c>
    </row>
    <row r="4993" spans="1:14" x14ac:dyDescent="0.3">
      <c r="A4993" t="s">
        <v>5849</v>
      </c>
      <c r="B4993" s="2">
        <v>45552</v>
      </c>
      <c r="C4993" t="s">
        <v>105</v>
      </c>
      <c r="D4993" t="s">
        <v>806</v>
      </c>
      <c r="E4993" t="s">
        <v>835</v>
      </c>
      <c r="F4993">
        <v>1</v>
      </c>
      <c r="G4993">
        <v>0.05</v>
      </c>
      <c r="H4993" t="s">
        <v>865</v>
      </c>
      <c r="I4993" t="str">
        <f>VLOOKUP(C4993,Customers!A:C,2,FALSE)&amp;" "&amp;VLOOKUP(C4993,Customers!A:C,3,FALSE)</f>
        <v>Justin Macdonald</v>
      </c>
      <c r="J4993" t="str">
        <f>VLOOKUP(D4993,Products!A:C,2,FALSE)</f>
        <v>Piece Headphones</v>
      </c>
      <c r="K4993" t="str">
        <f>VLOOKUP(D4993,Products!A:C,3,FALSE)</f>
        <v>Electronics</v>
      </c>
      <c r="L4993" t="str">
        <f>VLOOKUP(E4993,Stores!A:B,2,FALSE)</f>
        <v>MegaMart Peckmouth</v>
      </c>
      <c r="M4993">
        <f>VLOOKUP(D4993,Products!A:E,5,FALSE)</f>
        <v>1745.61</v>
      </c>
      <c r="N4993" s="5">
        <f t="shared" si="77"/>
        <v>1658.3294999999998</v>
      </c>
    </row>
    <row r="4994" spans="1:14" x14ac:dyDescent="0.3">
      <c r="A4994" t="s">
        <v>5850</v>
      </c>
      <c r="B4994" s="2">
        <v>45475</v>
      </c>
      <c r="C4994" t="s">
        <v>604</v>
      </c>
      <c r="D4994" t="s">
        <v>806</v>
      </c>
      <c r="E4994" t="s">
        <v>831</v>
      </c>
      <c r="F4994">
        <v>3</v>
      </c>
      <c r="G4994">
        <v>0.1</v>
      </c>
      <c r="H4994" t="s">
        <v>855</v>
      </c>
      <c r="I4994" t="str">
        <f>VLOOKUP(C4994,Customers!A:C,2,FALSE)&amp;" "&amp;VLOOKUP(C4994,Customers!A:C,3,FALSE)</f>
        <v>Amber Graham</v>
      </c>
      <c r="J4994" t="str">
        <f>VLOOKUP(D4994,Products!A:C,2,FALSE)</f>
        <v>Piece Headphones</v>
      </c>
      <c r="K4994" t="str">
        <f>VLOOKUP(D4994,Products!A:C,3,FALSE)</f>
        <v>Electronics</v>
      </c>
      <c r="L4994" t="str">
        <f>VLOOKUP(E4994,Stores!A:B,2,FALSE)</f>
        <v>MegaMart Jimenezborough</v>
      </c>
      <c r="M4994">
        <f>VLOOKUP(D4994,Products!A:E,5,FALSE)</f>
        <v>1745.61</v>
      </c>
      <c r="N4994" s="5">
        <f t="shared" si="77"/>
        <v>4713.1469999999999</v>
      </c>
    </row>
    <row r="4995" spans="1:14" x14ac:dyDescent="0.3">
      <c r="A4995" t="s">
        <v>5851</v>
      </c>
      <c r="B4995" s="2">
        <v>45498</v>
      </c>
      <c r="C4995" t="s">
        <v>228</v>
      </c>
      <c r="D4995" t="s">
        <v>722</v>
      </c>
      <c r="E4995" t="s">
        <v>839</v>
      </c>
      <c r="F4995">
        <v>1</v>
      </c>
      <c r="G4995">
        <v>0</v>
      </c>
      <c r="H4995" t="s">
        <v>865</v>
      </c>
      <c r="I4995" t="str">
        <f>VLOOKUP(C4995,Customers!A:C,2,FALSE)&amp;" "&amp;VLOOKUP(C4995,Customers!A:C,3,FALSE)</f>
        <v>Scott Wyatt</v>
      </c>
      <c r="J4995" t="str">
        <f>VLOOKUP(D4995,Products!A:C,2,FALSE)</f>
        <v>Four Accessories</v>
      </c>
      <c r="K4995" t="str">
        <f>VLOOKUP(D4995,Products!A:C,3,FALSE)</f>
        <v>Fashion</v>
      </c>
      <c r="L4995" t="str">
        <f>VLOOKUP(E4995,Stores!A:B,2,FALSE)</f>
        <v>MegaMart New Michele</v>
      </c>
      <c r="M4995">
        <f>VLOOKUP(D4995,Products!A:E,5,FALSE)</f>
        <v>1853.77</v>
      </c>
      <c r="N4995" s="5">
        <f t="shared" ref="N4995:N5001" si="78">F4995*M4995*(1-G4995)</f>
        <v>1853.77</v>
      </c>
    </row>
    <row r="4996" spans="1:14" x14ac:dyDescent="0.3">
      <c r="A4996" t="s">
        <v>5852</v>
      </c>
      <c r="B4996" s="2">
        <v>45754</v>
      </c>
      <c r="C4996" t="s">
        <v>183</v>
      </c>
      <c r="D4996" t="s">
        <v>790</v>
      </c>
      <c r="E4996" t="s">
        <v>842</v>
      </c>
      <c r="F4996">
        <v>4</v>
      </c>
      <c r="G4996">
        <v>0.05</v>
      </c>
      <c r="H4996" t="s">
        <v>861</v>
      </c>
      <c r="I4996" t="str">
        <f>VLOOKUP(C4996,Customers!A:C,2,FALSE)&amp;" "&amp;VLOOKUP(C4996,Customers!A:C,3,FALSE)</f>
        <v>Mary Decker</v>
      </c>
      <c r="J4996" t="str">
        <f>VLOOKUP(D4996,Products!A:C,2,FALSE)</f>
        <v>Difficult Vegetables</v>
      </c>
      <c r="K4996" t="str">
        <f>VLOOKUP(D4996,Products!A:C,3,FALSE)</f>
        <v>Groceries</v>
      </c>
      <c r="L4996" t="str">
        <f>VLOOKUP(E4996,Stores!A:B,2,FALSE)</f>
        <v>MegaMart Brianahaven</v>
      </c>
      <c r="M4996">
        <f>VLOOKUP(D4996,Products!A:E,5,FALSE)</f>
        <v>304.70999999999998</v>
      </c>
      <c r="N4996" s="5">
        <f t="shared" si="78"/>
        <v>1157.8979999999999</v>
      </c>
    </row>
    <row r="4997" spans="1:14" x14ac:dyDescent="0.3">
      <c r="A4997" t="s">
        <v>5853</v>
      </c>
      <c r="B4997" s="2">
        <v>45883</v>
      </c>
      <c r="C4997" t="s">
        <v>195</v>
      </c>
      <c r="D4997" t="s">
        <v>804</v>
      </c>
      <c r="E4997" t="s">
        <v>846</v>
      </c>
      <c r="F4997">
        <v>5</v>
      </c>
      <c r="G4997">
        <v>0.1</v>
      </c>
      <c r="H4997" t="s">
        <v>858</v>
      </c>
      <c r="I4997" t="str">
        <f>VLOOKUP(C4997,Customers!A:C,2,FALSE)&amp;" "&amp;VLOOKUP(C4997,Customers!A:C,3,FALSE)</f>
        <v>Kelly Mcmillan</v>
      </c>
      <c r="J4997" t="str">
        <f>VLOOKUP(D4997,Products!A:C,2,FALSE)</f>
        <v>Church Clothing</v>
      </c>
      <c r="K4997" t="str">
        <f>VLOOKUP(D4997,Products!A:C,3,FALSE)</f>
        <v>Fashion</v>
      </c>
      <c r="L4997" t="str">
        <f>VLOOKUP(E4997,Stores!A:B,2,FALSE)</f>
        <v>MegaMart Johnmouth</v>
      </c>
      <c r="M4997">
        <f>VLOOKUP(D4997,Products!A:E,5,FALSE)</f>
        <v>540.94000000000005</v>
      </c>
      <c r="N4997" s="5">
        <f t="shared" si="78"/>
        <v>2434.2300000000005</v>
      </c>
    </row>
    <row r="4998" spans="1:14" x14ac:dyDescent="0.3">
      <c r="A4998" t="s">
        <v>5854</v>
      </c>
      <c r="B4998" s="2">
        <v>45620</v>
      </c>
      <c r="C4998" t="s">
        <v>291</v>
      </c>
      <c r="D4998" t="s">
        <v>766</v>
      </c>
      <c r="E4998" t="s">
        <v>835</v>
      </c>
      <c r="F4998">
        <v>2</v>
      </c>
      <c r="G4998">
        <v>0.1</v>
      </c>
      <c r="H4998" t="s">
        <v>858</v>
      </c>
      <c r="I4998" t="str">
        <f>VLOOKUP(C4998,Customers!A:C,2,FALSE)&amp;" "&amp;VLOOKUP(C4998,Customers!A:C,3,FALSE)</f>
        <v>Matthew Juarez</v>
      </c>
      <c r="J4998" t="str">
        <f>VLOOKUP(D4998,Products!A:C,2,FALSE)</f>
        <v>Firm Dairy</v>
      </c>
      <c r="K4998" t="str">
        <f>VLOOKUP(D4998,Products!A:C,3,FALSE)</f>
        <v>Groceries</v>
      </c>
      <c r="L4998" t="str">
        <f>VLOOKUP(E4998,Stores!A:B,2,FALSE)</f>
        <v>MegaMart Peckmouth</v>
      </c>
      <c r="M4998">
        <f>VLOOKUP(D4998,Products!A:E,5,FALSE)</f>
        <v>1227.24</v>
      </c>
      <c r="N4998" s="5">
        <f t="shared" si="78"/>
        <v>2209.0320000000002</v>
      </c>
    </row>
    <row r="4999" spans="1:14" x14ac:dyDescent="0.3">
      <c r="A4999" t="s">
        <v>5855</v>
      </c>
      <c r="B4999" s="2">
        <v>45877</v>
      </c>
      <c r="C4999" t="s">
        <v>650</v>
      </c>
      <c r="D4999" t="s">
        <v>725</v>
      </c>
      <c r="E4999" t="s">
        <v>842</v>
      </c>
      <c r="F4999">
        <v>5</v>
      </c>
      <c r="G4999">
        <v>0.15</v>
      </c>
      <c r="H4999" t="s">
        <v>865</v>
      </c>
      <c r="I4999" t="str">
        <f>VLOOKUP(C4999,Customers!A:C,2,FALSE)&amp;" "&amp;VLOOKUP(C4999,Customers!A:C,3,FALSE)</f>
        <v>Daniel Mcintyre</v>
      </c>
      <c r="J4999" t="str">
        <f>VLOOKUP(D4999,Products!A:C,2,FALSE)</f>
        <v>Knowledge Bags</v>
      </c>
      <c r="K4999" t="str">
        <f>VLOOKUP(D4999,Products!A:C,3,FALSE)</f>
        <v>Fashion</v>
      </c>
      <c r="L4999" t="str">
        <f>VLOOKUP(E4999,Stores!A:B,2,FALSE)</f>
        <v>MegaMart Brianahaven</v>
      </c>
      <c r="M4999">
        <f>VLOOKUP(D4999,Products!A:E,5,FALSE)</f>
        <v>1396.22</v>
      </c>
      <c r="N4999" s="5">
        <f t="shared" si="78"/>
        <v>5933.9350000000004</v>
      </c>
    </row>
    <row r="5000" spans="1:14" x14ac:dyDescent="0.3">
      <c r="A5000" t="s">
        <v>5856</v>
      </c>
      <c r="B5000" s="2">
        <v>45365</v>
      </c>
      <c r="C5000" t="s">
        <v>483</v>
      </c>
      <c r="D5000" t="s">
        <v>722</v>
      </c>
      <c r="E5000" t="s">
        <v>846</v>
      </c>
      <c r="F5000">
        <v>5</v>
      </c>
      <c r="G5000">
        <v>0.05</v>
      </c>
      <c r="H5000" t="s">
        <v>861</v>
      </c>
      <c r="I5000" t="str">
        <f>VLOOKUP(C5000,Customers!A:C,2,FALSE)&amp;" "&amp;VLOOKUP(C5000,Customers!A:C,3,FALSE)</f>
        <v>Jared Ochoa</v>
      </c>
      <c r="J5000" t="str">
        <f>VLOOKUP(D5000,Products!A:C,2,FALSE)</f>
        <v>Four Accessories</v>
      </c>
      <c r="K5000" t="str">
        <f>VLOOKUP(D5000,Products!A:C,3,FALSE)</f>
        <v>Fashion</v>
      </c>
      <c r="L5000" t="str">
        <f>VLOOKUP(E5000,Stores!A:B,2,FALSE)</f>
        <v>MegaMart Johnmouth</v>
      </c>
      <c r="M5000">
        <f>VLOOKUP(D5000,Products!A:E,5,FALSE)</f>
        <v>1853.77</v>
      </c>
      <c r="N5000" s="5">
        <f t="shared" si="78"/>
        <v>8805.4074999999993</v>
      </c>
    </row>
    <row r="5001" spans="1:14" x14ac:dyDescent="0.3">
      <c r="A5001" t="s">
        <v>5857</v>
      </c>
      <c r="B5001" s="2">
        <v>45489</v>
      </c>
      <c r="C5001" t="s">
        <v>206</v>
      </c>
      <c r="D5001" t="s">
        <v>794</v>
      </c>
      <c r="E5001" t="s">
        <v>842</v>
      </c>
      <c r="F5001">
        <v>5</v>
      </c>
      <c r="G5001">
        <v>0.15</v>
      </c>
      <c r="H5001" t="s">
        <v>865</v>
      </c>
      <c r="I5001" t="str">
        <f>VLOOKUP(C5001,Customers!A:C,2,FALSE)&amp;" "&amp;VLOOKUP(C5001,Customers!A:C,3,FALSE)</f>
        <v>Felicia Morgan</v>
      </c>
      <c r="J5001" t="str">
        <f>VLOOKUP(D5001,Products!A:C,2,FALSE)</f>
        <v>Everything Laptop</v>
      </c>
      <c r="K5001" t="str">
        <f>VLOOKUP(D5001,Products!A:C,3,FALSE)</f>
        <v>Electronics</v>
      </c>
      <c r="L5001" t="str">
        <f>VLOOKUP(E5001,Stores!A:B,2,FALSE)</f>
        <v>MegaMart Brianahaven</v>
      </c>
      <c r="M5001">
        <f>VLOOKUP(D5001,Products!A:E,5,FALSE)</f>
        <v>428.05</v>
      </c>
      <c r="N5001" s="5">
        <f t="shared" si="78"/>
        <v>1819.2124999999999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1785-1F21-43B6-A1D8-7BBA3BC47D3C}">
  <dimension ref="A1"/>
  <sheetViews>
    <sheetView showGridLines="0" tabSelected="1" zoomScale="62" zoomScaleNormal="70" workbookViewId="0">
      <selection activeCell="P22" sqref="P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vt:lpstr>
      <vt:lpstr>Products</vt:lpstr>
      <vt:lpstr>Stores</vt:lpstr>
      <vt:lpstr>Sheet1</vt:lpstr>
      <vt:lpstr>Sheet2</vt:lpstr>
      <vt:lpstr>Sheet3</vt:lpstr>
      <vt:lpstr>Sheet4</vt:lpstr>
      <vt:lpstr>Transactions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Neel shah</cp:lastModifiedBy>
  <dcterms:created xsi:type="dcterms:W3CDTF">2025-09-10T13:25:52Z</dcterms:created>
  <dcterms:modified xsi:type="dcterms:W3CDTF">2026-05-05T23:00:33Z</dcterms:modified>
</cp:coreProperties>
</file>